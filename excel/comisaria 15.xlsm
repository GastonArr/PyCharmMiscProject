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esktop\PAME\1PLANILLAS MENSUALES AÑO 2025\PLANILLAS SNIC-SAT AÑO 2025\PLANILLA SNIC - SAT NUEVAS\"/>
    </mc:Choice>
  </mc:AlternateContent>
  <workbookProtection workbookAlgorithmName="SHA-512" workbookHashValue="ZyiXtK1P4AHcEkBwjeD0xuP9Qzt/nDguRX7A6XGNY26S+43daVduwCbSCXzmIZPMN5oqZtOd3oDD2wYKEFEXpA==" workbookSaltValue="zDgMXBlmVAvMSLHMcd538A==" workbookSpinCount="100000" lockStructure="1"/>
  <bookViews>
    <workbookView xWindow="0" yWindow="0" windowWidth="25200" windowHeight="11985"/>
  </bookViews>
  <sheets>
    <sheet name="PLANILLA DJ" sheetId="1" r:id="rId1"/>
    <sheet name="BUSCADOR" sheetId="6" state="hidden" r:id="rId2"/>
    <sheet name="SAT-Homicidios Dolosos" sheetId="9" r:id="rId3"/>
    <sheet name="SAT-Muertes Viales" sheetId="10" r:id="rId4"/>
    <sheet name="SAT-Suicidios" sheetId="11" r:id="rId5"/>
    <sheet name="Correcciones" sheetId="17" state="hidden" r:id="rId6"/>
  </sheets>
  <definedNames>
    <definedName name="_____15">BUSCADOR!$A$255:$A$259</definedName>
    <definedName name="_____17">BUSCADOR!$B$255:$B$259</definedName>
    <definedName name="_____19">BUSCADOR!$C$255:$C$259</definedName>
    <definedName name="____15">BUSCADOR!$A$247:$A$251</definedName>
    <definedName name="____17">BUSCADOR!$B$247:$B$251</definedName>
    <definedName name="____19">BUSCADOR!$C$247:$C$249</definedName>
    <definedName name="___8">BUSCADOR!$A$242:$A$243</definedName>
    <definedName name="__15">BUSCADOR!$A$226:$A$227</definedName>
    <definedName name="__17">BUSCADOR!$B$226:$B$227</definedName>
    <definedName name="__19">BUSCADOR!$C$226:$C$227</definedName>
    <definedName name="__21_1">BUSCADOR!$D$225:$D$226</definedName>
    <definedName name="__21_2">BUSCADOR!$B$127:$B$128</definedName>
    <definedName name="_xlnm._FilterDatabase" localSheetId="1" hidden="1">BUSCADOR!$A$1:$KS$1</definedName>
    <definedName name="_xlnm._FilterDatabase" localSheetId="0" hidden="1">'PLANILLA DJ'!$A$1:$BL$102</definedName>
    <definedName name="_Hlk168363170" localSheetId="0">'PLANILLA DJ'!$BL$13</definedName>
    <definedName name="ACTUACION">BUSCADOR!$B$138:$B$140</definedName>
    <definedName name="ASALTANTE">BUSCADOR!$I$233:$I$237</definedName>
    <definedName name="CALIDAD_VICTIMAS">BUSCADOR!$E$233:$E$241</definedName>
    <definedName name="CHERY">Tabla49[[#All],[CHERY]]</definedName>
    <definedName name="CITROEN">Tabla44[[#All],[CITROEN]]</definedName>
    <definedName name="COMISARIA">COMISARIAS[Columna1]</definedName>
    <definedName name="CUATRICICLO">BUSCADOR!$C$204:$C$208</definedName>
    <definedName name="DELITOS_CONTRA_L_PROPIEDAD">Tabla12[DELITOS_CONTRA_L_PROPIEDAD]</definedName>
    <definedName name="ELEMENTOS">BUSCADOR!$B$131:$F$131</definedName>
    <definedName name="ESCRUCHANTE_Violacion_de_domicilio">BUSCADOR!$G$233:$G$238</definedName>
    <definedName name="FORD">Tabla42[[#All],[FORD]]</definedName>
    <definedName name="HECHOS_EN_ESTABLECIMIENTOS_COMERCIALES_O_PRIVADOS">BUSCADOR!$J$148:$J$158</definedName>
    <definedName name="HECHOS_EN_ESTABLECIMIENTOS_PUBLICOS">BUSCADOR!$H$148:$H$155</definedName>
    <definedName name="HECHOS_EN_VIA_PUBLICA">BUSCADOR!$I$148:$I$156</definedName>
    <definedName name="Hora">BUSCADOR!$A$264:$A$310</definedName>
    <definedName name="HURTO_">BUSCADOR!$F$232:$F$239</definedName>
    <definedName name="HYUNDAI">OTRAS_MARCAS[[#All],[HYUNDAI]]</definedName>
    <definedName name="IVECO">Tabla43[[#All],[IVECO]]</definedName>
    <definedName name="JEEP">Tabla51[[#All],[JEEP]]</definedName>
    <definedName name="LOCALIDAD">BUSCADOR!$C$171:$BI$171</definedName>
    <definedName name="MERCEDES_BENZ">Tabla39[[#All],[MERCEDES BENZ]]</definedName>
    <definedName name="MOTIVO">BUSCADOR!$B$116:$B$119</definedName>
    <definedName name="MOTO">BUSCADOR!$A$204:$A$208</definedName>
    <definedName name="N_10">BUSCADOR!$HE$2:INDEX(BUSCADOR!$HE$2:$HE$113,MAX(BUSCADOR!$DI$2:$DI$113),1)</definedName>
    <definedName name="N_100">BUSCADOR!$KQ$2:INDEX(BUSCADOR!$KQ$2:$KQ$113,MAX(BUSCADOR!$GU$2:$GU$113),1)</definedName>
    <definedName name="N_101">BUSCADOR!$KR$2:INDEX(BUSCADOR!$KR$2:$KR$113,MAX(BUSCADOR!$GV$2:$GV$113),1)</definedName>
    <definedName name="N_102">BUSCADOR!$KS$2:INDEX(BUSCADOR!$KS$2:$KS$113,MAX(BUSCADOR!$GW$2:$GW$113),1)</definedName>
    <definedName name="N_103">BUSCADOR!#REF!:INDEX(BUSCADOR!#REF!,MAX(BUSCADOR!#REF!),1)</definedName>
    <definedName name="N_104">BUSCADOR!#REF!:INDEX(BUSCADOR!#REF!,MAX(BUSCADOR!#REF!),1)</definedName>
    <definedName name="N_105">BUSCADOR!#REF!:INDEX(BUSCADOR!#REF!,MAX(BUSCADOR!#REF!),1)</definedName>
    <definedName name="N_106">BUSCADOR!#REF!:INDEX(BUSCADOR!#REF!,MAX(BUSCADOR!#REF!),1)</definedName>
    <definedName name="N_107">BUSCADOR!#REF!:INDEX(BUSCADOR!#REF!,MAX(BUSCADOR!#REF!),1)</definedName>
    <definedName name="N_108">BUSCADOR!#REF!:INDEX(BUSCADOR!#REF!,MAX(BUSCADOR!#REF!),1)</definedName>
    <definedName name="N_109">BUSCADOR!#REF!:INDEX(BUSCADOR!#REF!,MAX(BUSCADOR!#REF!),1)</definedName>
    <definedName name="N_11">BUSCADOR!$HF$2:INDEX(BUSCADOR!$HF$2:$HF$113,MAX(BUSCADOR!$DJ$2:$DJ$113),1)</definedName>
    <definedName name="N_110">BUSCADOR!#REF!:INDEX(BUSCADOR!#REF!,MAX(BUSCADOR!#REF!),1)</definedName>
    <definedName name="N_111">BUSCADOR!#REF!:INDEX(BUSCADOR!#REF!,MAX(BUSCADOR!#REF!),1)</definedName>
    <definedName name="N_112">BUSCADOR!#REF!:INDEX(BUSCADOR!#REF!,MAX(BUSCADOR!#REF!),1)</definedName>
    <definedName name="N_113">BUSCADOR!#REF!:INDEX(BUSCADOR!#REF!,MAX(BUSCADOR!#REF!),1)</definedName>
    <definedName name="N_114">BUSCADOR!#REF!:INDEX(BUSCADOR!#REF!,MAX(BUSCADOR!#REF!),1)</definedName>
    <definedName name="N_115">BUSCADOR!#REF!:INDEX(BUSCADOR!#REF!,MAX(BUSCADOR!#REF!),1)</definedName>
    <definedName name="N_116">BUSCADOR!#REF!:INDEX(BUSCADOR!#REF!,MAX(BUSCADOR!#REF!),1)</definedName>
    <definedName name="N_117">BUSCADOR!#REF!:INDEX(BUSCADOR!#REF!,MAX(BUSCADOR!#REF!),1)</definedName>
    <definedName name="N_118">BUSCADOR!#REF!:INDEX(BUSCADOR!#REF!,MAX(BUSCADOR!#REF!),1)</definedName>
    <definedName name="N_119">BUSCADOR!#REF!:INDEX(BUSCADOR!#REF!,MAX(BUSCADOR!#REF!),1)</definedName>
    <definedName name="N_12">BUSCADOR!$HG$2:INDEX(BUSCADOR!$HG$2:$HG$113,MAX(BUSCADOR!$DK$2:$DK$113),1)</definedName>
    <definedName name="N_120">BUSCADOR!#REF!:INDEX(BUSCADOR!#REF!,MAX(BUSCADOR!#REF!),1)</definedName>
    <definedName name="N_121">BUSCADOR!#REF!:INDEX(BUSCADOR!#REF!,MAX(BUSCADOR!#REF!),1)</definedName>
    <definedName name="N_122">BUSCADOR!#REF!:INDEX(BUSCADOR!#REF!,MAX(BUSCADOR!#REF!),1)</definedName>
    <definedName name="N_123">BUSCADOR!#REF!:INDEX(BUSCADOR!#REF!,MAX(BUSCADOR!#REF!),1)</definedName>
    <definedName name="N_124">BUSCADOR!#REF!:INDEX(BUSCADOR!#REF!,MAX(BUSCADOR!#REF!),1)</definedName>
    <definedName name="N_125">BUSCADOR!#REF!:INDEX(BUSCADOR!#REF!,MAX(BUSCADOR!#REF!),1)</definedName>
    <definedName name="N_126">BUSCADOR!#REF!:INDEX(BUSCADOR!#REF!,MAX(BUSCADOR!#REF!),1)</definedName>
    <definedName name="N_127">BUSCADOR!#REF!:INDEX(BUSCADOR!#REF!,MAX(BUSCADOR!#REF!),1)</definedName>
    <definedName name="N_128">BUSCADOR!#REF!:INDEX(BUSCADOR!#REF!,MAX(BUSCADOR!#REF!),1)</definedName>
    <definedName name="N_129">BUSCADOR!#REF!:INDEX(BUSCADOR!#REF!,MAX(BUSCADOR!#REF!),1)</definedName>
    <definedName name="N_13">BUSCADOR!$HH$2:INDEX(BUSCADOR!$HH$2:$HH$113,MAX(BUSCADOR!$DL$2:$DL$113),1)</definedName>
    <definedName name="N_130">BUSCADOR!#REF!:INDEX(BUSCADOR!#REF!,MAX(BUSCADOR!#REF!),1)</definedName>
    <definedName name="N_131">BUSCADOR!#REF!:INDEX(BUSCADOR!#REF!,MAX(BUSCADOR!#REF!),1)</definedName>
    <definedName name="N_132">BUSCADOR!#REF!:INDEX(BUSCADOR!#REF!,MAX(BUSCADOR!#REF!),1)</definedName>
    <definedName name="N_133">BUSCADOR!#REF!:INDEX(BUSCADOR!#REF!,MAX(BUSCADOR!#REF!),1)</definedName>
    <definedName name="N_134">BUSCADOR!#REF!:INDEX(BUSCADOR!#REF!,MAX(BUSCADOR!#REF!),1)</definedName>
    <definedName name="N_135">BUSCADOR!#REF!:INDEX(BUSCADOR!#REF!,MAX(BUSCADOR!#REF!),1)</definedName>
    <definedName name="N_136">BUSCADOR!#REF!:INDEX(BUSCADOR!#REF!,MAX(BUSCADOR!#REF!),1)</definedName>
    <definedName name="N_137">BUSCADOR!#REF!:INDEX(BUSCADOR!#REF!,MAX(BUSCADOR!#REF!),1)</definedName>
    <definedName name="N_138">BUSCADOR!#REF!:INDEX(BUSCADOR!#REF!,MAX(BUSCADOR!#REF!),1)</definedName>
    <definedName name="N_139">BUSCADOR!#REF!:INDEX(BUSCADOR!#REF!,MAX(BUSCADOR!#REF!),1)</definedName>
    <definedName name="N_14">BUSCADOR!$HI$2:INDEX(BUSCADOR!$HI$2:$HI$113,MAX(BUSCADOR!$DM$2:$DM$113),1)</definedName>
    <definedName name="N_140">BUSCADOR!#REF!:INDEX(BUSCADOR!#REF!,MAX(BUSCADOR!#REF!),1)</definedName>
    <definedName name="N_141">BUSCADOR!#REF!:INDEX(BUSCADOR!#REF!,MAX(BUSCADOR!#REF!),1)</definedName>
    <definedName name="N_142">BUSCADOR!#REF!:INDEX(BUSCADOR!#REF!,MAX(BUSCADOR!#REF!),1)</definedName>
    <definedName name="N_143">BUSCADOR!#REF!:INDEX(BUSCADOR!#REF!,MAX(BUSCADOR!#REF!),1)</definedName>
    <definedName name="N_144">BUSCADOR!#REF!:INDEX(BUSCADOR!#REF!,MAX(BUSCADOR!#REF!),1)</definedName>
    <definedName name="N_145">BUSCADOR!#REF!:INDEX(BUSCADOR!#REF!,MAX(BUSCADOR!#REF!),1)</definedName>
    <definedName name="N_146">BUSCADOR!#REF!:INDEX(BUSCADOR!#REF!,MAX(BUSCADOR!#REF!),1)</definedName>
    <definedName name="N_147">BUSCADOR!#REF!:INDEX(BUSCADOR!#REF!,MAX(BUSCADOR!#REF!),1)</definedName>
    <definedName name="N_148">BUSCADOR!#REF!:INDEX(BUSCADOR!#REF!,MAX(BUSCADOR!#REF!),1)</definedName>
    <definedName name="N_149">BUSCADOR!#REF!:INDEX(BUSCADOR!#REF!,MAX(BUSCADOR!#REF!),1)</definedName>
    <definedName name="N_15">BUSCADOR!$HJ$2:INDEX(BUSCADOR!$HJ$2:$HJ$113,MAX(BUSCADOR!$DN$2:$DN$113),1)</definedName>
    <definedName name="N_150">BUSCADOR!#REF!:INDEX(BUSCADOR!#REF!,MAX(BUSCADOR!#REF!),1)</definedName>
    <definedName name="N_151">BUSCADOR!#REF!:INDEX(BUSCADOR!#REF!,MAX(BUSCADOR!#REF!),1)</definedName>
    <definedName name="N_152">BUSCADOR!#REF!:INDEX(BUSCADOR!#REF!,MAX(BUSCADOR!#REF!),1)</definedName>
    <definedName name="N_16">BUSCADOR!$HK$2:INDEX(BUSCADOR!$HK$2:$HK$113,MAX(BUSCADOR!$DO$2:$DO$113),1)</definedName>
    <definedName name="N_17">BUSCADOR!$HL$2:INDEX(BUSCADOR!$HL$2:$HL$113,MAX(BUSCADOR!$DP$2:$DP$113),1)</definedName>
    <definedName name="N_18">BUSCADOR!$HM$2:INDEX(BUSCADOR!$HM$2:$HM$113,MAX(BUSCADOR!$DQ$2:$DQ$113),1)</definedName>
    <definedName name="N_19">BUSCADOR!$HN$2:INDEX(BUSCADOR!$HN$2:$HN$113,MAX(BUSCADOR!$DR$2:$DR$113),1)</definedName>
    <definedName name="N_20">BUSCADOR!$HO$2:INDEX(BUSCADOR!$HO$2:$HO$113,MAX(BUSCADOR!$DS$2:$DS$113),1)</definedName>
    <definedName name="N_21">BUSCADOR!$HP$2:INDEX(BUSCADOR!$HP$2:$HP$113,MAX(BUSCADOR!$DT$2:$DT$113),1)</definedName>
    <definedName name="N_22">BUSCADOR!$HQ$2:INDEX(BUSCADOR!$HQ$2:$HQ$113,MAX(BUSCADOR!$DU$2:$DU$113),1)</definedName>
    <definedName name="N_23">BUSCADOR!$HR$2:INDEX(BUSCADOR!$HR$2:$HR$113,MAX(BUSCADOR!$DV$2:$DV$113),1)</definedName>
    <definedName name="N_24">BUSCADOR!$HS$2:INDEX(BUSCADOR!$HS$2:$HS$113,MAX(BUSCADOR!$DW$2:$DW$113),1)</definedName>
    <definedName name="N_25">BUSCADOR!$HT$2:INDEX(BUSCADOR!$HT$2:$HT$113,MAX(BUSCADOR!$DX$2:$DX$113),1)</definedName>
    <definedName name="N_26">BUSCADOR!$HU$2:INDEX(BUSCADOR!$HU$2:$HU$113,MAX(BUSCADOR!$DY$2:$DY$113),1)</definedName>
    <definedName name="N_27">BUSCADOR!$HV$2:INDEX(BUSCADOR!$HV$2:$HV$113,MAX(BUSCADOR!$DZ$2:$DZ$113),1)</definedName>
    <definedName name="N_28">BUSCADOR!$HW$2:INDEX(BUSCADOR!$HW$2:$HW$113,MAX(BUSCADOR!$EA$2:$EA$113),1)</definedName>
    <definedName name="N_29">BUSCADOR!$HX$2:INDEX(BUSCADOR!$HX$2:$HX$113,MAX(BUSCADOR!$EB$2:$EB$113),1)</definedName>
    <definedName name="N_3">BUSCADOR!$GX$2:INDEX(BUSCADOR!$GX$2:$GX$113,MAX(BUSCADOR!$DB$2:$DB$113),1)</definedName>
    <definedName name="N_30">BUSCADOR!$HY$2:INDEX(BUSCADOR!$HY$2:$HY$113,MAX(BUSCADOR!$EC$2:$EC$113),1)</definedName>
    <definedName name="N_31">BUSCADOR!$HZ$2:INDEX(BUSCADOR!$HZ$2:$HZ$113,MAX(BUSCADOR!$ED$2:$ED$113),1)</definedName>
    <definedName name="N_32">BUSCADOR!$IA$2:INDEX(BUSCADOR!$IA$2:$IA$113,MAX(BUSCADOR!$EE$2:$EE$113),1)</definedName>
    <definedName name="N_33">BUSCADOR!$IB$2:INDEX(BUSCADOR!$IB$2:$IB$113,MAX(BUSCADOR!$EF$2:$EF$113),1)</definedName>
    <definedName name="N_34">BUSCADOR!$IC$2:INDEX(BUSCADOR!$IC$2:$IC$113,MAX(BUSCADOR!$EG$2:$EG$113),1)</definedName>
    <definedName name="N_35">BUSCADOR!$ID$2:INDEX(BUSCADOR!$ID$2:$ID$113,MAX(BUSCADOR!$EH$2:$EH$113),1)</definedName>
    <definedName name="N_36">BUSCADOR!$IE$2:INDEX(BUSCADOR!$IE$2:$IE$113,MAX(BUSCADOR!$EI$2:$EI$113),1)</definedName>
    <definedName name="N_37">BUSCADOR!$IF$2:INDEX(BUSCADOR!$IF$2:$IF$113,MAX(BUSCADOR!$EJ$2:$EJ$113),1)</definedName>
    <definedName name="N_38">BUSCADOR!$IG$2:INDEX(BUSCADOR!$IG$2:$IG$113,MAX(BUSCADOR!$EK$2:$EK$113),1)</definedName>
    <definedName name="N_39">BUSCADOR!$IH$2:INDEX(BUSCADOR!$IH$2:$IH$113,MAX(BUSCADOR!$EL$2:$EL$113),1)</definedName>
    <definedName name="N_4">BUSCADOR!$GY$2:INDEX(BUSCADOR!$GY$2:$GY$113,MAX(BUSCADOR!$DC$2:$DC$113),1)</definedName>
    <definedName name="N_40">BUSCADOR!$II$2:INDEX(BUSCADOR!$II$2:$II$113,MAX(BUSCADOR!$EM$2:$EM$113),1)</definedName>
    <definedName name="N_41">BUSCADOR!$IJ$2:INDEX(BUSCADOR!$IJ$2:$IJ$113,MAX(BUSCADOR!$EN$2:$EN$113),1)</definedName>
    <definedName name="N_42">BUSCADOR!$IK$2:INDEX(BUSCADOR!$IK$2:$IK$113,MAX(BUSCADOR!$EO$2:$EO$113),1)</definedName>
    <definedName name="N_43">BUSCADOR!$IL$2:INDEX(BUSCADOR!$IL$2:$IL$113,MAX(BUSCADOR!$EP$2:$EP$113),1)</definedName>
    <definedName name="N_44">BUSCADOR!$IM$2:INDEX(BUSCADOR!$IM$2:$IM$113,MAX(BUSCADOR!$EQ$2:$EQ$113),1)</definedName>
    <definedName name="N_45">BUSCADOR!$IN$2:INDEX(BUSCADOR!$IN$2:$IN$113,MAX(BUSCADOR!$ER$2:$ER$113),1)</definedName>
    <definedName name="N_46">BUSCADOR!$IO$2:INDEX(BUSCADOR!$IO$2:$IO$113,MAX(BUSCADOR!$ES$2:$ES$113),1)</definedName>
    <definedName name="N_47">BUSCADOR!$IP$2:INDEX(BUSCADOR!$IP$2:$IP$113,MAX(BUSCADOR!$ET$2:$ET$113),1)</definedName>
    <definedName name="N_48">BUSCADOR!$IQ$2:INDEX(BUSCADOR!$IQ$2:$IQ$113,MAX(BUSCADOR!$EU$2:$EU$113),1)</definedName>
    <definedName name="N_49">BUSCADOR!$IR$2:INDEX(BUSCADOR!$IR$2:$IR$113,MAX(BUSCADOR!$EV$2:$EV$113),1)</definedName>
    <definedName name="N_5">BUSCADOR!$GZ$2:INDEX(BUSCADOR!$GZ$2:$GZ$113,MAX(BUSCADOR!$DD$2:$DD$113),1)</definedName>
    <definedName name="N_50">BUSCADOR!$IS$2:INDEX(BUSCADOR!$IS$2:$IS$113,MAX(BUSCADOR!$EW$2:$EW$113),1)</definedName>
    <definedName name="N_51">BUSCADOR!$IT$2:INDEX(BUSCADOR!$IT$2:$IT$113,MAX(BUSCADOR!$EX$2:$EX$113),1)</definedName>
    <definedName name="N_52">BUSCADOR!$IU$2:INDEX(BUSCADOR!$IU$2:$IU$113,MAX(BUSCADOR!$EY$2:$EY$113),1)</definedName>
    <definedName name="N_53">BUSCADOR!$IV$2:INDEX(BUSCADOR!$IV$2:$IV$113,MAX(BUSCADOR!$EZ$2:$EZ$113),1)</definedName>
    <definedName name="N_54">BUSCADOR!$IW$2:INDEX(BUSCADOR!$IW$2:$IW$113,MAX(BUSCADOR!$FA$2:$FA$113),1)</definedName>
    <definedName name="N_55">BUSCADOR!$IX$2:INDEX(BUSCADOR!$IX$2:$IX$113,MAX(BUSCADOR!$FB$2:$FB$113),1)</definedName>
    <definedName name="N_56">BUSCADOR!$IY$2:INDEX(BUSCADOR!$IY$2:$IY$113,MAX(BUSCADOR!$FC$2:$FC$113),1)</definedName>
    <definedName name="N_57">BUSCADOR!$IZ$2:INDEX(BUSCADOR!$IZ$2:$IZ$113,MAX(BUSCADOR!$FD$2:$FD$113),1)</definedName>
    <definedName name="N_58">BUSCADOR!$JA$2:INDEX(BUSCADOR!$JA$2:$JA$113,MAX(BUSCADOR!$FE$2:$FE$113),1)</definedName>
    <definedName name="N_59">BUSCADOR!$JB$2:INDEX(BUSCADOR!$JB$2:$JB$113,MAX(BUSCADOR!$FF$2:$FF$113),1)</definedName>
    <definedName name="N_6">BUSCADOR!$HA$2:INDEX(BUSCADOR!$HA$2:$HA$113,MAX(BUSCADOR!$DE$2:$DE$113),1)</definedName>
    <definedName name="N_60">BUSCADOR!$JC$2:INDEX(BUSCADOR!$JC$2:$JC$113,MAX(BUSCADOR!$FG$2:$FG$113),1)</definedName>
    <definedName name="N_61">BUSCADOR!$JD$2:INDEX(BUSCADOR!$JD$2:$JD$113,MAX(BUSCADOR!$FH$2:$FH$113),1)</definedName>
    <definedName name="N_62">BUSCADOR!$JE$2:INDEX(BUSCADOR!$JE$2:$JE$113,MAX(BUSCADOR!$FI$2:$FI$113),1)</definedName>
    <definedName name="N_63">BUSCADOR!$JF$2:INDEX(BUSCADOR!$JF$2:$JF$113,MAX(BUSCADOR!$FJ$2:$FJ$113),1)</definedName>
    <definedName name="N_64">BUSCADOR!$JG$2:INDEX(BUSCADOR!$JG$2:$JG$113,MAX(BUSCADOR!$FK$2:$FK$113),1)</definedName>
    <definedName name="N_65">BUSCADOR!$JH$2:INDEX(BUSCADOR!$JH$2:$JH$113,MAX(BUSCADOR!$FL$2:$FL$113),1)</definedName>
    <definedName name="N_66">BUSCADOR!$JI$2:INDEX(BUSCADOR!$JI$2:$JI$113,MAX(BUSCADOR!$FM$2:$FM$113),1)</definedName>
    <definedName name="N_67">BUSCADOR!$JJ$2:INDEX(BUSCADOR!$JJ$2:$JJ$113,MAX(BUSCADOR!$FN$2:$FN$113),1)</definedName>
    <definedName name="N_68">BUSCADOR!$JK$2:INDEX(BUSCADOR!$JK$2:$JK$113,MAX(BUSCADOR!$FO$2:$FO$113),1)</definedName>
    <definedName name="N_69">BUSCADOR!$JL$2:INDEX(BUSCADOR!$JL$2:$JL$113,MAX(BUSCADOR!$FP$2:$FP$113),1)</definedName>
    <definedName name="N_7">BUSCADOR!$HB$2:INDEX(BUSCADOR!$HB$2:$HB$113,MAX(BUSCADOR!$DF$2:$DF$113),1)</definedName>
    <definedName name="N_70">BUSCADOR!$JM$2:INDEX(BUSCADOR!$JM$2:$JM$113,MAX(BUSCADOR!$FQ$2:$FQ$113),1)</definedName>
    <definedName name="N_71">BUSCADOR!$JN$2:INDEX(BUSCADOR!$JN$2:$JN$113,MAX(BUSCADOR!$FR$2:$FR$113),1)</definedName>
    <definedName name="N_72">BUSCADOR!$JO$2:INDEX(BUSCADOR!$JO$2:$JO$113,MAX(BUSCADOR!$FS$2:$FS$113),1)</definedName>
    <definedName name="N_73">BUSCADOR!$JP$2:INDEX(BUSCADOR!$JP$2:$JP$113,MAX(BUSCADOR!$FT$2:$FT$113),1)</definedName>
    <definedName name="N_74">BUSCADOR!$JQ$2:INDEX(BUSCADOR!$JQ$2:$JQ$113,MAX(BUSCADOR!$FU$2:$FU$113),1)</definedName>
    <definedName name="N_75">BUSCADOR!$JR$2:INDEX(BUSCADOR!$JR$2:$JR$113,MAX(BUSCADOR!$FV$2:$FV$113),1)</definedName>
    <definedName name="N_76">BUSCADOR!$JS$2:INDEX(BUSCADOR!$JS$2:$JS$113,MAX(BUSCADOR!$FW$2:$FW$113),1)</definedName>
    <definedName name="N_77">BUSCADOR!$JT$2:INDEX(BUSCADOR!$JT$2:$JT$113,MAX(BUSCADOR!$FX$2:$FX$113),1)</definedName>
    <definedName name="N_78">BUSCADOR!$JU$2:INDEX(BUSCADOR!$JU$2:$JU$113,MAX(BUSCADOR!$FY$2:$FY$113),1)</definedName>
    <definedName name="N_79">BUSCADOR!$JV$2:INDEX(BUSCADOR!$JV$2:$JV$113,MAX(BUSCADOR!$FZ$2:$FZ$113),1)</definedName>
    <definedName name="N_8">BUSCADOR!$HC$2:INDEX(BUSCADOR!$HC$2:$HC$113,MAX(BUSCADOR!$DG$2:$DG$113),1)</definedName>
    <definedName name="N_80">BUSCADOR!$JW$2:INDEX(BUSCADOR!$JW$2:$JW$113,MAX(BUSCADOR!$GA$2:$GA$113),1)</definedName>
    <definedName name="N_81">BUSCADOR!$JX$2:INDEX(BUSCADOR!$JX$2:$JX$113,MAX(BUSCADOR!$GB$2:$GB$113),1)</definedName>
    <definedName name="N_82">BUSCADOR!$JY$2:INDEX(BUSCADOR!$JY$2:$JY$113,MAX(BUSCADOR!$GC$2:$GC$113),1)</definedName>
    <definedName name="N_83">BUSCADOR!$JZ$2:INDEX(BUSCADOR!$JZ$2:$JZ$113,MAX(BUSCADOR!$GD$2:$GD$113),1)</definedName>
    <definedName name="N_84">BUSCADOR!$KA$2:INDEX(BUSCADOR!$KA$2:$KA$113,MAX(BUSCADOR!$GE$2:$GE$113),1)</definedName>
    <definedName name="N_85">BUSCADOR!$KB$2:INDEX(BUSCADOR!$KB$2:$KB$113,MAX(BUSCADOR!$GF$2:$GF$113),1)</definedName>
    <definedName name="N_86">BUSCADOR!$KC$2:INDEX(BUSCADOR!$KC$2:$KC$113,MAX(BUSCADOR!$GG$2:$GG$113),1)</definedName>
    <definedName name="N_87">BUSCADOR!$KD$2:INDEX(BUSCADOR!$KD$2:$KD$113,MAX(BUSCADOR!$GH$2:$GH$113),1)</definedName>
    <definedName name="N_88">BUSCADOR!$KE$2:INDEX(BUSCADOR!$KE$2:$KE$113,MAX(BUSCADOR!$GI$2:$GI$113),1)</definedName>
    <definedName name="N_89">BUSCADOR!$KF$2:INDEX(BUSCADOR!$KF$2:$KF$113,MAX(BUSCADOR!$GJ$2:$GJ$113),1)</definedName>
    <definedName name="N_9">BUSCADOR!$HD$2:INDEX(BUSCADOR!$HD$2:$HD$113,MAX(BUSCADOR!$DH$2:$DH$113),1)</definedName>
    <definedName name="N_90">BUSCADOR!$KG$2:INDEX(BUSCADOR!$KG$2:$KG$113,MAX(BUSCADOR!$GK$2:$GK$113),1)</definedName>
    <definedName name="N_91">BUSCADOR!$KH$2:INDEX(BUSCADOR!$KH$2:$KH$113,MAX(BUSCADOR!$GL$2:$GL$113),1)</definedName>
    <definedName name="N_92">BUSCADOR!$KI$2:INDEX(BUSCADOR!$KI$2:$KI$113,MAX(BUSCADOR!$GM$2:$GM$113),1)</definedName>
    <definedName name="N_93">BUSCADOR!$KJ$2:INDEX(BUSCADOR!$KJ$2:$KJ$113,MAX(BUSCADOR!$GN$2:$GN$113),1)</definedName>
    <definedName name="N_94">BUSCADOR!$KK$2:INDEX(BUSCADOR!$KK$2:$KK$113,MAX(BUSCADOR!$GO$2:$GO$113),1)</definedName>
    <definedName name="N_95">BUSCADOR!$KL$2:INDEX(BUSCADOR!$KL$2:$KL$113,MAX(BUSCADOR!$GP$2:$GP$113),1)</definedName>
    <definedName name="N_96">BUSCADOR!$KM$2:INDEX(BUSCADOR!$KM$2:$KM$113,MAX(BUSCADOR!$GQ$2:$GQ$113),1)</definedName>
    <definedName name="N_97">BUSCADOR!$KN$2:INDEX(BUSCADOR!$KN$2:$KN$113,MAX(BUSCADOR!$GR$2:$GR$113),1)</definedName>
    <definedName name="N_98">BUSCADOR!$KO$2:INDEX(BUSCADOR!$KO$2:$KO$113,MAX(BUSCADOR!$GS$2:$GS$113),1)</definedName>
    <definedName name="N_99">BUSCADOR!$KP$2:INDEX(BUSCADOR!$KP$2:$KP$113,MAX(BUSCADOR!$GT$2:$GT$113),1)</definedName>
    <definedName name="NISSAN">Tabla40[[#All],[NISSAN]]</definedName>
    <definedName name="PEUGEOT">Tabla41[[#All],[PEUGEOT]]</definedName>
    <definedName name="RAM">Tabla50[[#All],[DODGE]]</definedName>
    <definedName name="RENAULT">Tabla45[[#All],[RENAULT]]</definedName>
    <definedName name="ROBO_">BUSCADOR!$H$232:$H$239</definedName>
    <definedName name="SCANIA">Tabla46[[#All],[SCANIA]]</definedName>
    <definedName name="SI">BUSCADOR!$A$230:$A$239</definedName>
    <definedName name="SINO">BUSCADOR!$B$127:$B$128</definedName>
    <definedName name="TOYOTA">Tabla47[[#All],[TOYOTA]]</definedName>
    <definedName name="TRICICLO">BUSCADOR!$B$204:$B$208</definedName>
    <definedName name="VARIANTE">BUSCADOR!$A$2:$A$112</definedName>
    <definedName name="VICTIMAS">BUSCADOR!$D$233:$D$242</definedName>
    <definedName name="VOLKSWAGEN">Tabla48[[#All],[VOLKSWAGEN]]</definedName>
  </definedNames>
  <calcPr calcId="152511"/>
</workbook>
</file>

<file path=xl/calcChain.xml><?xml version="1.0" encoding="utf-8"?>
<calcChain xmlns="http://schemas.openxmlformats.org/spreadsheetml/2006/main">
  <c r="O3" i="1" l="1"/>
  <c r="G4" i="1"/>
  <c r="G5" i="1" s="1"/>
  <c r="G6" i="1" s="1"/>
  <c r="G7" i="1" s="1"/>
  <c r="G8" i="1" s="1"/>
  <c r="G9" i="1" s="1"/>
  <c r="G10" i="1" s="1"/>
  <c r="G11" i="1" s="1"/>
  <c r="G12" i="1" s="1"/>
  <c r="G13" i="1" s="1"/>
  <c r="G14" i="1" s="1"/>
  <c r="G15" i="1" s="1"/>
  <c r="G16" i="1" s="1"/>
  <c r="G17" i="1" s="1"/>
  <c r="G18" i="1" s="1"/>
  <c r="G19" i="1" s="1"/>
  <c r="G20" i="1" s="1"/>
  <c r="G21" i="1" s="1"/>
  <c r="G22" i="1" s="1"/>
  <c r="G23" i="1" s="1"/>
  <c r="G24" i="1" s="1"/>
  <c r="G25" i="1" s="1"/>
  <c r="G26" i="1" s="1"/>
  <c r="G27" i="1" s="1"/>
  <c r="G28" i="1" s="1"/>
  <c r="G29" i="1" s="1"/>
  <c r="G30" i="1" s="1"/>
  <c r="G31" i="1" s="1"/>
  <c r="G32" i="1" s="1"/>
  <c r="G33" i="1" s="1"/>
  <c r="G34" i="1" s="1"/>
  <c r="G35" i="1" s="1"/>
  <c r="G36" i="1" s="1"/>
  <c r="G37" i="1" s="1"/>
  <c r="G38" i="1" s="1"/>
  <c r="G39" i="1" s="1"/>
  <c r="G40" i="1" s="1"/>
  <c r="G41" i="1" s="1"/>
  <c r="G42" i="1" s="1"/>
  <c r="G43" i="1" s="1"/>
  <c r="G44" i="1" s="1"/>
  <c r="G45" i="1" s="1"/>
  <c r="G46" i="1" s="1"/>
  <c r="G47" i="1" s="1"/>
  <c r="G48" i="1" s="1"/>
  <c r="G49" i="1" s="1"/>
  <c r="G50" i="1" s="1"/>
  <c r="G51" i="1" s="1"/>
  <c r="G52" i="1" s="1"/>
  <c r="G53" i="1" s="1"/>
  <c r="G54" i="1" s="1"/>
  <c r="G55" i="1" s="1"/>
  <c r="G56" i="1" s="1"/>
  <c r="G57" i="1" s="1"/>
  <c r="G58" i="1" s="1"/>
  <c r="G59" i="1" s="1"/>
  <c r="G60" i="1" s="1"/>
  <c r="G61" i="1" s="1"/>
  <c r="G62" i="1" s="1"/>
  <c r="G63" i="1" s="1"/>
  <c r="G64" i="1" s="1"/>
  <c r="G65" i="1" s="1"/>
  <c r="G66" i="1" s="1"/>
  <c r="G67" i="1" s="1"/>
  <c r="G68" i="1" s="1"/>
  <c r="G69" i="1" s="1"/>
  <c r="G70" i="1" s="1"/>
  <c r="G71" i="1" s="1"/>
  <c r="G72" i="1" s="1"/>
  <c r="G73" i="1" s="1"/>
  <c r="G74" i="1" s="1"/>
  <c r="G75" i="1" s="1"/>
  <c r="G76" i="1" s="1"/>
  <c r="G77" i="1" s="1"/>
  <c r="G78" i="1" s="1"/>
  <c r="G79" i="1" s="1"/>
  <c r="G80" i="1" s="1"/>
  <c r="G81" i="1" s="1"/>
  <c r="G82" i="1" s="1"/>
  <c r="G83" i="1" s="1"/>
  <c r="G84" i="1" s="1"/>
  <c r="G85" i="1" s="1"/>
  <c r="G86" i="1" s="1"/>
  <c r="G87" i="1" s="1"/>
  <c r="G88" i="1" s="1"/>
  <c r="G89" i="1" s="1"/>
  <c r="G90" i="1" s="1"/>
  <c r="G91" i="1" s="1"/>
  <c r="G92" i="1" s="1"/>
  <c r="G93" i="1" s="1"/>
  <c r="G94" i="1" s="1"/>
  <c r="G95" i="1" s="1"/>
  <c r="G96" i="1" s="1"/>
  <c r="G97" i="1" s="1"/>
  <c r="G98" i="1" s="1"/>
  <c r="G99" i="1" s="1"/>
  <c r="G100" i="1" s="1"/>
  <c r="G101" i="1" s="1"/>
  <c r="G102" i="1" s="1"/>
  <c r="O26" i="1"/>
  <c r="P26" i="1"/>
  <c r="O27" i="1"/>
  <c r="P27" i="1"/>
  <c r="O28" i="1"/>
  <c r="P28" i="1"/>
  <c r="O29" i="1"/>
  <c r="P29" i="1"/>
  <c r="O30" i="1"/>
  <c r="P30" i="1"/>
  <c r="O31" i="1"/>
  <c r="P31" i="1"/>
  <c r="O32" i="1"/>
  <c r="P32" i="1"/>
  <c r="O33" i="1"/>
  <c r="P33" i="1"/>
  <c r="O34" i="1"/>
  <c r="P34" i="1"/>
  <c r="O35" i="1"/>
  <c r="P35" i="1"/>
  <c r="O36" i="1"/>
  <c r="P36" i="1"/>
  <c r="O37" i="1"/>
  <c r="P37" i="1"/>
  <c r="O38" i="1"/>
  <c r="P38" i="1"/>
  <c r="O39" i="1"/>
  <c r="P39" i="1"/>
  <c r="O40" i="1"/>
  <c r="P40" i="1"/>
  <c r="O41" i="1"/>
  <c r="P41" i="1"/>
  <c r="O42" i="1"/>
  <c r="P42" i="1"/>
  <c r="O43" i="1"/>
  <c r="P43" i="1"/>
  <c r="O44" i="1"/>
  <c r="P44" i="1"/>
  <c r="O45" i="1"/>
  <c r="P45" i="1"/>
  <c r="O46" i="1"/>
  <c r="P46" i="1"/>
  <c r="O47" i="1"/>
  <c r="P47" i="1"/>
  <c r="O48" i="1"/>
  <c r="P48" i="1"/>
  <c r="O49" i="1"/>
  <c r="P49" i="1"/>
  <c r="O50" i="1"/>
  <c r="P50" i="1"/>
  <c r="O51" i="1"/>
  <c r="P51" i="1"/>
  <c r="O52" i="1"/>
  <c r="P52" i="1"/>
  <c r="O53" i="1"/>
  <c r="P53" i="1"/>
  <c r="O54" i="1"/>
  <c r="P54" i="1"/>
  <c r="O55" i="1"/>
  <c r="P55" i="1"/>
  <c r="O56" i="1"/>
  <c r="P56" i="1"/>
  <c r="O57" i="1"/>
  <c r="P57" i="1"/>
  <c r="O58" i="1"/>
  <c r="P58" i="1"/>
  <c r="O59" i="1"/>
  <c r="P59" i="1"/>
  <c r="O60" i="1"/>
  <c r="P60" i="1"/>
  <c r="O61" i="1"/>
  <c r="P61" i="1"/>
  <c r="O62" i="1"/>
  <c r="P62" i="1"/>
  <c r="O63" i="1"/>
  <c r="P63" i="1"/>
  <c r="O64" i="1"/>
  <c r="P64" i="1"/>
  <c r="O65" i="1"/>
  <c r="P65" i="1"/>
  <c r="O66" i="1"/>
  <c r="P66" i="1"/>
  <c r="O67" i="1"/>
  <c r="P67" i="1"/>
  <c r="O68" i="1"/>
  <c r="P68" i="1"/>
  <c r="O69" i="1"/>
  <c r="P69" i="1"/>
  <c r="O70" i="1"/>
  <c r="P70" i="1"/>
  <c r="O71" i="1"/>
  <c r="P71" i="1"/>
  <c r="O72" i="1"/>
  <c r="P72" i="1"/>
  <c r="O73" i="1"/>
  <c r="P73" i="1"/>
  <c r="O74" i="1"/>
  <c r="P74" i="1"/>
  <c r="O75" i="1"/>
  <c r="P75" i="1"/>
  <c r="O76" i="1"/>
  <c r="P76" i="1"/>
  <c r="O77" i="1"/>
  <c r="P77" i="1"/>
  <c r="O78" i="1"/>
  <c r="P78" i="1"/>
  <c r="O79" i="1"/>
  <c r="P79" i="1"/>
  <c r="O80" i="1"/>
  <c r="P80" i="1"/>
  <c r="O81" i="1"/>
  <c r="P81" i="1"/>
  <c r="O82" i="1"/>
  <c r="P82" i="1"/>
  <c r="O83" i="1"/>
  <c r="P83" i="1"/>
  <c r="O84" i="1"/>
  <c r="P84" i="1"/>
  <c r="O85" i="1"/>
  <c r="P85" i="1"/>
  <c r="O86" i="1"/>
  <c r="P86" i="1"/>
  <c r="O87" i="1"/>
  <c r="P87" i="1"/>
  <c r="O88" i="1"/>
  <c r="P88" i="1"/>
  <c r="O89" i="1"/>
  <c r="P89" i="1"/>
  <c r="O90" i="1"/>
  <c r="P90" i="1"/>
  <c r="O91" i="1"/>
  <c r="P91" i="1"/>
  <c r="O92" i="1"/>
  <c r="P92" i="1"/>
  <c r="O93" i="1"/>
  <c r="P93" i="1"/>
  <c r="O94" i="1"/>
  <c r="P94" i="1"/>
  <c r="O95" i="1"/>
  <c r="P95" i="1"/>
  <c r="O96" i="1"/>
  <c r="P96" i="1"/>
  <c r="O97" i="1"/>
  <c r="P97" i="1"/>
  <c r="O98" i="1"/>
  <c r="P98" i="1"/>
  <c r="O99" i="1"/>
  <c r="P99" i="1"/>
  <c r="O100" i="1"/>
  <c r="P100" i="1"/>
  <c r="O101" i="1"/>
  <c r="P101" i="1"/>
  <c r="O102" i="1"/>
  <c r="P102" i="1"/>
  <c r="B7" i="9"/>
  <c r="AQ3" i="1"/>
  <c r="P4" i="1"/>
  <c r="DA110" i="6"/>
  <c r="CZ110" i="6"/>
  <c r="CY110" i="6"/>
  <c r="CX110" i="6"/>
  <c r="CW110" i="6"/>
  <c r="CV110" i="6"/>
  <c r="CU110" i="6"/>
  <c r="CT110" i="6"/>
  <c r="CS110" i="6"/>
  <c r="CR110" i="6"/>
  <c r="CQ110" i="6"/>
  <c r="CP110" i="6"/>
  <c r="CO110" i="6"/>
  <c r="CN110" i="6"/>
  <c r="CM110" i="6"/>
  <c r="CL110" i="6"/>
  <c r="CK110" i="6"/>
  <c r="CJ110" i="6"/>
  <c r="CI110" i="6"/>
  <c r="CH110" i="6"/>
  <c r="CG110" i="6"/>
  <c r="CF110" i="6"/>
  <c r="CE110" i="6"/>
  <c r="CD110" i="6"/>
  <c r="CC110" i="6"/>
  <c r="CB110" i="6"/>
  <c r="CA110" i="6"/>
  <c r="BZ110" i="6"/>
  <c r="BY110" i="6"/>
  <c r="BX110" i="6"/>
  <c r="BW110" i="6"/>
  <c r="BV110" i="6"/>
  <c r="BU110" i="6"/>
  <c r="BT110" i="6"/>
  <c r="BS110" i="6"/>
  <c r="BR110" i="6"/>
  <c r="BQ110" i="6"/>
  <c r="BP110" i="6"/>
  <c r="BO110" i="6"/>
  <c r="BN110" i="6"/>
  <c r="BM110" i="6"/>
  <c r="BL110" i="6"/>
  <c r="BK110" i="6"/>
  <c r="BJ110" i="6"/>
  <c r="BI110" i="6"/>
  <c r="BH110" i="6"/>
  <c r="BG110" i="6"/>
  <c r="BF110" i="6"/>
  <c r="BE110" i="6"/>
  <c r="BD110" i="6"/>
  <c r="BC110" i="6"/>
  <c r="BB110" i="6"/>
  <c r="BA110" i="6"/>
  <c r="AZ110" i="6"/>
  <c r="AY110" i="6"/>
  <c r="AX110" i="6"/>
  <c r="AW110" i="6"/>
  <c r="AV110" i="6"/>
  <c r="AU110" i="6"/>
  <c r="AT110" i="6"/>
  <c r="AS110" i="6"/>
  <c r="AR110" i="6"/>
  <c r="AQ110" i="6"/>
  <c r="AP110" i="6"/>
  <c r="AO110" i="6"/>
  <c r="AN110" i="6"/>
  <c r="AM110" i="6"/>
  <c r="AL110" i="6"/>
  <c r="AK110" i="6"/>
  <c r="AJ110" i="6"/>
  <c r="AI110" i="6"/>
  <c r="AH110" i="6"/>
  <c r="AG110" i="6"/>
  <c r="AF110" i="6"/>
  <c r="AE110" i="6"/>
  <c r="AD110" i="6"/>
  <c r="AC110" i="6"/>
  <c r="AB110" i="6"/>
  <c r="AA110" i="6"/>
  <c r="Z110" i="6"/>
  <c r="Y110" i="6"/>
  <c r="X110" i="6"/>
  <c r="W110" i="6"/>
  <c r="V110" i="6"/>
  <c r="U110" i="6"/>
  <c r="T110" i="6"/>
  <c r="S110" i="6"/>
  <c r="R110" i="6"/>
  <c r="Q110" i="6"/>
  <c r="P110" i="6"/>
  <c r="O110" i="6"/>
  <c r="N110" i="6"/>
  <c r="M110" i="6"/>
  <c r="L110" i="6"/>
  <c r="K110" i="6"/>
  <c r="J110" i="6"/>
  <c r="I110" i="6"/>
  <c r="H110" i="6"/>
  <c r="G110" i="6"/>
  <c r="F110" i="6"/>
  <c r="DA63" i="6" l="1"/>
  <c r="CZ63" i="6"/>
  <c r="CY63" i="6"/>
  <c r="CX63" i="6"/>
  <c r="CW63" i="6"/>
  <c r="CV63" i="6"/>
  <c r="CU63" i="6"/>
  <c r="CT63" i="6"/>
  <c r="CS63" i="6"/>
  <c r="CR63" i="6"/>
  <c r="CQ63" i="6"/>
  <c r="CP63" i="6"/>
  <c r="CO63" i="6"/>
  <c r="CN63" i="6"/>
  <c r="CM63" i="6"/>
  <c r="CL63" i="6"/>
  <c r="CK63" i="6"/>
  <c r="CJ63" i="6"/>
  <c r="CI63" i="6"/>
  <c r="CH63" i="6"/>
  <c r="CG63" i="6"/>
  <c r="CF63" i="6"/>
  <c r="CE63" i="6"/>
  <c r="CD63" i="6"/>
  <c r="CC63" i="6"/>
  <c r="CB63" i="6"/>
  <c r="CA63" i="6"/>
  <c r="BZ63" i="6"/>
  <c r="BY63" i="6"/>
  <c r="BX63" i="6"/>
  <c r="BW63" i="6"/>
  <c r="BV63" i="6"/>
  <c r="BU63" i="6"/>
  <c r="BT63" i="6"/>
  <c r="BS63" i="6"/>
  <c r="BR63" i="6"/>
  <c r="BQ63" i="6"/>
  <c r="BP63" i="6"/>
  <c r="BO63" i="6"/>
  <c r="BN63" i="6"/>
  <c r="BM63" i="6"/>
  <c r="BL63" i="6"/>
  <c r="BK63" i="6"/>
  <c r="BJ63" i="6"/>
  <c r="BI63" i="6"/>
  <c r="BH63" i="6"/>
  <c r="BG63" i="6"/>
  <c r="BF63" i="6"/>
  <c r="BE63" i="6"/>
  <c r="BD63" i="6"/>
  <c r="BC63" i="6"/>
  <c r="BB63" i="6"/>
  <c r="BA63" i="6"/>
  <c r="AZ63" i="6"/>
  <c r="AY63" i="6"/>
  <c r="AX63" i="6"/>
  <c r="AW63" i="6"/>
  <c r="AV63" i="6"/>
  <c r="AU63" i="6"/>
  <c r="AT63" i="6"/>
  <c r="AS63" i="6"/>
  <c r="AR63" i="6"/>
  <c r="AQ63" i="6"/>
  <c r="AP63" i="6"/>
  <c r="AO63" i="6"/>
  <c r="AN63" i="6"/>
  <c r="AM63" i="6"/>
  <c r="AL63" i="6"/>
  <c r="AK63" i="6"/>
  <c r="AJ63" i="6"/>
  <c r="AI63" i="6"/>
  <c r="AH63" i="6"/>
  <c r="AG63" i="6"/>
  <c r="AF63" i="6"/>
  <c r="AE63" i="6"/>
  <c r="AD63" i="6"/>
  <c r="AC63" i="6"/>
  <c r="AB63" i="6"/>
  <c r="AA63" i="6"/>
  <c r="Z63" i="6"/>
  <c r="Y63" i="6"/>
  <c r="X63" i="6"/>
  <c r="W63" i="6"/>
  <c r="V63" i="6"/>
  <c r="U63" i="6"/>
  <c r="T63" i="6"/>
  <c r="S63" i="6"/>
  <c r="R63" i="6"/>
  <c r="Q63" i="6"/>
  <c r="P63" i="6"/>
  <c r="O63" i="6"/>
  <c r="N63" i="6"/>
  <c r="M63" i="6"/>
  <c r="L63" i="6"/>
  <c r="K63" i="6"/>
  <c r="J63" i="6"/>
  <c r="I63" i="6"/>
  <c r="H63" i="6"/>
  <c r="G63" i="6"/>
  <c r="F63" i="6"/>
  <c r="O4" i="1"/>
  <c r="O5" i="1"/>
  <c r="P5" i="1"/>
  <c r="O6" i="1"/>
  <c r="P6" i="1"/>
  <c r="O7" i="1"/>
  <c r="P7" i="1"/>
  <c r="O8" i="1"/>
  <c r="P8" i="1"/>
  <c r="O9" i="1"/>
  <c r="P9" i="1"/>
  <c r="O10" i="1"/>
  <c r="P10" i="1"/>
  <c r="O11" i="1"/>
  <c r="P11" i="1"/>
  <c r="O12" i="1"/>
  <c r="P12" i="1"/>
  <c r="O13" i="1"/>
  <c r="P13" i="1"/>
  <c r="O14" i="1"/>
  <c r="P14" i="1"/>
  <c r="O15" i="1"/>
  <c r="P15" i="1"/>
  <c r="O16" i="1"/>
  <c r="P16" i="1"/>
  <c r="O17" i="1"/>
  <c r="P17" i="1"/>
  <c r="O18" i="1"/>
  <c r="P18" i="1"/>
  <c r="O19" i="1"/>
  <c r="P19" i="1"/>
  <c r="O20" i="1"/>
  <c r="P20" i="1"/>
  <c r="O21" i="1"/>
  <c r="P21" i="1"/>
  <c r="O22" i="1"/>
  <c r="P22" i="1"/>
  <c r="O23" i="1"/>
  <c r="P23" i="1"/>
  <c r="O24" i="1"/>
  <c r="P24" i="1"/>
  <c r="O25" i="1"/>
  <c r="P25" i="1"/>
  <c r="P3" i="1"/>
  <c r="DA61" i="6"/>
  <c r="CZ61" i="6"/>
  <c r="CY61" i="6"/>
  <c r="CX61" i="6"/>
  <c r="CW61" i="6"/>
  <c r="CV61" i="6"/>
  <c r="CU61" i="6"/>
  <c r="CT61" i="6"/>
  <c r="CS61" i="6"/>
  <c r="CR61" i="6"/>
  <c r="CQ61" i="6"/>
  <c r="CP61" i="6"/>
  <c r="CO61" i="6"/>
  <c r="CN61" i="6"/>
  <c r="CM61" i="6"/>
  <c r="CL61" i="6"/>
  <c r="CK61" i="6"/>
  <c r="CJ61" i="6"/>
  <c r="CI61" i="6"/>
  <c r="CH61" i="6"/>
  <c r="CG61" i="6"/>
  <c r="CF61" i="6"/>
  <c r="CE61" i="6"/>
  <c r="CD61" i="6"/>
  <c r="CC61" i="6"/>
  <c r="CB61" i="6"/>
  <c r="CA61" i="6"/>
  <c r="BZ61" i="6"/>
  <c r="BY61" i="6"/>
  <c r="BX61" i="6"/>
  <c r="BW61" i="6"/>
  <c r="BV61" i="6"/>
  <c r="BU61" i="6"/>
  <c r="BT61" i="6"/>
  <c r="BS61" i="6"/>
  <c r="BR61" i="6"/>
  <c r="BQ61" i="6"/>
  <c r="BP61" i="6"/>
  <c r="BO61" i="6"/>
  <c r="BN61" i="6"/>
  <c r="BM61" i="6"/>
  <c r="BL61" i="6"/>
  <c r="BK61" i="6"/>
  <c r="BJ61" i="6"/>
  <c r="BI61" i="6"/>
  <c r="BH61" i="6"/>
  <c r="BG61" i="6"/>
  <c r="BF61" i="6"/>
  <c r="BE61" i="6"/>
  <c r="BD61" i="6"/>
  <c r="BC61" i="6"/>
  <c r="BB61" i="6"/>
  <c r="BA61" i="6"/>
  <c r="AZ61" i="6"/>
  <c r="AY61" i="6"/>
  <c r="AX61" i="6"/>
  <c r="AW61" i="6"/>
  <c r="AV61" i="6"/>
  <c r="AU61" i="6"/>
  <c r="AT61" i="6"/>
  <c r="AS61" i="6"/>
  <c r="AR61" i="6"/>
  <c r="AQ61" i="6"/>
  <c r="AP61" i="6"/>
  <c r="AO61" i="6"/>
  <c r="AN61" i="6"/>
  <c r="AM61" i="6"/>
  <c r="AL61" i="6"/>
  <c r="AK61" i="6"/>
  <c r="AJ61" i="6"/>
  <c r="AI61" i="6"/>
  <c r="AH61" i="6"/>
  <c r="AG61" i="6"/>
  <c r="AF61" i="6"/>
  <c r="AE61" i="6"/>
  <c r="AD61" i="6"/>
  <c r="AC61" i="6"/>
  <c r="AB61" i="6"/>
  <c r="AA61" i="6"/>
  <c r="Z61" i="6"/>
  <c r="Y61" i="6"/>
  <c r="X61" i="6"/>
  <c r="W61" i="6"/>
  <c r="V61" i="6"/>
  <c r="U61" i="6"/>
  <c r="T61" i="6"/>
  <c r="S61" i="6"/>
  <c r="R61" i="6"/>
  <c r="Q61" i="6"/>
  <c r="P61" i="6"/>
  <c r="O61" i="6"/>
  <c r="N61" i="6"/>
  <c r="M61" i="6"/>
  <c r="L61" i="6"/>
  <c r="K61" i="6"/>
  <c r="J61" i="6"/>
  <c r="I61" i="6"/>
  <c r="H61" i="6"/>
  <c r="G61" i="6"/>
  <c r="F61" i="6"/>
  <c r="DA80" i="6"/>
  <c r="CZ80" i="6"/>
  <c r="CY80" i="6"/>
  <c r="CX80" i="6"/>
  <c r="CW80" i="6"/>
  <c r="CV80" i="6"/>
  <c r="CU80" i="6"/>
  <c r="CT80" i="6"/>
  <c r="CS80" i="6"/>
  <c r="CR80" i="6"/>
  <c r="CQ80" i="6"/>
  <c r="CP80" i="6"/>
  <c r="CO80" i="6"/>
  <c r="CN80" i="6"/>
  <c r="CM80" i="6"/>
  <c r="CL80" i="6"/>
  <c r="CK80" i="6"/>
  <c r="CJ80" i="6"/>
  <c r="CI80" i="6"/>
  <c r="CH80" i="6"/>
  <c r="CG80" i="6"/>
  <c r="CF80" i="6"/>
  <c r="CE80" i="6"/>
  <c r="CD80" i="6"/>
  <c r="CC80" i="6"/>
  <c r="CB80" i="6"/>
  <c r="CA80" i="6"/>
  <c r="BZ80" i="6"/>
  <c r="BY80" i="6"/>
  <c r="BX80" i="6"/>
  <c r="BW80" i="6"/>
  <c r="BV80" i="6"/>
  <c r="BU80" i="6"/>
  <c r="BT80" i="6"/>
  <c r="BS80" i="6"/>
  <c r="BR80" i="6"/>
  <c r="BQ80" i="6"/>
  <c r="BP80" i="6"/>
  <c r="BO80" i="6"/>
  <c r="BN80" i="6"/>
  <c r="BM80" i="6"/>
  <c r="BL80" i="6"/>
  <c r="BK80" i="6"/>
  <c r="BJ80" i="6"/>
  <c r="BI80" i="6"/>
  <c r="BH80" i="6"/>
  <c r="BG80" i="6"/>
  <c r="BF80" i="6"/>
  <c r="BE80" i="6"/>
  <c r="BD80" i="6"/>
  <c r="BC80" i="6"/>
  <c r="BB80" i="6"/>
  <c r="BA80" i="6"/>
  <c r="AZ80" i="6"/>
  <c r="AY80" i="6"/>
  <c r="AX80" i="6"/>
  <c r="AW80" i="6"/>
  <c r="AV80" i="6"/>
  <c r="AU80" i="6"/>
  <c r="AT80" i="6"/>
  <c r="AS80" i="6"/>
  <c r="AR80" i="6"/>
  <c r="AQ80" i="6"/>
  <c r="AP80" i="6"/>
  <c r="AO80" i="6"/>
  <c r="AN80" i="6"/>
  <c r="AM80" i="6"/>
  <c r="AL80" i="6"/>
  <c r="AK80" i="6"/>
  <c r="AJ80" i="6"/>
  <c r="AI80" i="6"/>
  <c r="AH80" i="6"/>
  <c r="AG80" i="6"/>
  <c r="AF80" i="6"/>
  <c r="AE80" i="6"/>
  <c r="AD80" i="6"/>
  <c r="AC80" i="6"/>
  <c r="AB80" i="6"/>
  <c r="AA80" i="6"/>
  <c r="Z80" i="6"/>
  <c r="Y80" i="6"/>
  <c r="X80" i="6"/>
  <c r="W80" i="6"/>
  <c r="V80" i="6"/>
  <c r="U80" i="6"/>
  <c r="T80" i="6"/>
  <c r="S80" i="6"/>
  <c r="R80" i="6"/>
  <c r="Q80" i="6"/>
  <c r="P80" i="6"/>
  <c r="O80" i="6"/>
  <c r="N80" i="6"/>
  <c r="M80" i="6"/>
  <c r="L80" i="6"/>
  <c r="K80" i="6"/>
  <c r="J80" i="6"/>
  <c r="I80" i="6"/>
  <c r="H80" i="6"/>
  <c r="G80" i="6"/>
  <c r="F80" i="6"/>
  <c r="A10" i="9" l="1"/>
  <c r="A9" i="9"/>
  <c r="A7" i="9"/>
  <c r="A6" i="9"/>
  <c r="Q10" i="9"/>
  <c r="Q9" i="9"/>
  <c r="AQ5" i="1"/>
  <c r="AQ6" i="1"/>
  <c r="AQ7" i="1"/>
  <c r="AQ8" i="1"/>
  <c r="AQ9" i="1"/>
  <c r="AQ10" i="1"/>
  <c r="AQ11" i="1"/>
  <c r="AQ12" i="1"/>
  <c r="AQ13" i="1"/>
  <c r="AQ14" i="1"/>
  <c r="AQ15" i="1"/>
  <c r="AQ16" i="1"/>
  <c r="AQ17" i="1"/>
  <c r="AQ18" i="1"/>
  <c r="AQ19" i="1"/>
  <c r="AQ20" i="1"/>
  <c r="AQ21" i="1"/>
  <c r="AQ22" i="1"/>
  <c r="AQ23" i="1"/>
  <c r="AQ24" i="1"/>
  <c r="AQ25" i="1"/>
  <c r="AQ26" i="1"/>
  <c r="AQ27" i="1"/>
  <c r="AQ28" i="1"/>
  <c r="AQ29" i="1"/>
  <c r="AQ30" i="1"/>
  <c r="AQ31" i="1"/>
  <c r="AQ32" i="1"/>
  <c r="AQ33" i="1"/>
  <c r="AQ34" i="1"/>
  <c r="AQ35" i="1"/>
  <c r="AQ36" i="1"/>
  <c r="AQ37" i="1"/>
  <c r="AQ38" i="1"/>
  <c r="AQ39" i="1"/>
  <c r="AQ40" i="1"/>
  <c r="AQ41" i="1"/>
  <c r="AQ42" i="1"/>
  <c r="AQ43" i="1"/>
  <c r="AQ44" i="1"/>
  <c r="AQ45" i="1"/>
  <c r="AQ46" i="1"/>
  <c r="AQ47" i="1"/>
  <c r="AQ48" i="1"/>
  <c r="AQ49" i="1"/>
  <c r="AQ50" i="1"/>
  <c r="AQ51" i="1"/>
  <c r="AQ52" i="1"/>
  <c r="AQ53" i="1"/>
  <c r="AQ54" i="1"/>
  <c r="AQ55" i="1"/>
  <c r="AQ56" i="1"/>
  <c r="AQ57" i="1"/>
  <c r="AQ58" i="1"/>
  <c r="AQ59" i="1"/>
  <c r="AQ60" i="1"/>
  <c r="AQ61" i="1"/>
  <c r="AQ62" i="1"/>
  <c r="AQ63" i="1"/>
  <c r="AQ64" i="1"/>
  <c r="AQ65" i="1"/>
  <c r="AQ66" i="1"/>
  <c r="AQ67" i="1"/>
  <c r="AQ68" i="1"/>
  <c r="AQ69" i="1"/>
  <c r="AQ70" i="1"/>
  <c r="AQ71" i="1"/>
  <c r="AQ72" i="1"/>
  <c r="AQ73" i="1"/>
  <c r="AQ74" i="1"/>
  <c r="AQ75" i="1"/>
  <c r="AQ76" i="1"/>
  <c r="AQ77" i="1"/>
  <c r="AQ78" i="1"/>
  <c r="AQ79" i="1"/>
  <c r="AQ80" i="1"/>
  <c r="AQ81" i="1"/>
  <c r="AQ82" i="1"/>
  <c r="AQ83" i="1"/>
  <c r="AQ84" i="1"/>
  <c r="AQ85" i="1"/>
  <c r="AQ86" i="1"/>
  <c r="AQ87" i="1"/>
  <c r="AQ88" i="1"/>
  <c r="AQ89" i="1"/>
  <c r="AQ90" i="1"/>
  <c r="AQ91" i="1"/>
  <c r="AQ92" i="1"/>
  <c r="AQ93" i="1"/>
  <c r="AQ94" i="1"/>
  <c r="AQ95" i="1"/>
  <c r="AQ96" i="1"/>
  <c r="AQ97" i="1"/>
  <c r="AQ98" i="1"/>
  <c r="AQ99" i="1"/>
  <c r="AQ100" i="1"/>
  <c r="AQ101" i="1"/>
  <c r="AQ102" i="1"/>
  <c r="T3" i="1" l="1"/>
  <c r="V3" i="1"/>
  <c r="W3" i="1" s="1"/>
  <c r="Y3" i="1"/>
  <c r="T4" i="1"/>
  <c r="U4" i="1" s="1"/>
  <c r="V4" i="1"/>
  <c r="W4" i="1" s="1"/>
  <c r="Y4" i="1"/>
  <c r="T5" i="1"/>
  <c r="U5" i="1" s="1"/>
  <c r="V5" i="1"/>
  <c r="W5" i="1" s="1"/>
  <c r="Y5" i="1"/>
  <c r="T6" i="1"/>
  <c r="U6" i="1" s="1"/>
  <c r="V6" i="1"/>
  <c r="W6" i="1" s="1"/>
  <c r="Y6" i="1"/>
  <c r="BM6" i="1" s="1"/>
  <c r="T7" i="1"/>
  <c r="U7" i="1" s="1"/>
  <c r="V7" i="1"/>
  <c r="W7" i="1" s="1"/>
  <c r="Y7" i="1"/>
  <c r="BM7" i="1" s="1"/>
  <c r="T8" i="1"/>
  <c r="U8" i="1" s="1"/>
  <c r="V8" i="1"/>
  <c r="W8" i="1" s="1"/>
  <c r="Y8" i="1"/>
  <c r="BM8" i="1" s="1"/>
  <c r="T9" i="1"/>
  <c r="U9" i="1" s="1"/>
  <c r="V9" i="1"/>
  <c r="W9" i="1" s="1"/>
  <c r="Y9" i="1"/>
  <c r="BM9" i="1" s="1"/>
  <c r="T10" i="1"/>
  <c r="U10" i="1" s="1"/>
  <c r="V10" i="1"/>
  <c r="W10" i="1" s="1"/>
  <c r="Y10" i="1"/>
  <c r="BM10" i="1" s="1"/>
  <c r="T11" i="1"/>
  <c r="U11" i="1" s="1"/>
  <c r="V11" i="1"/>
  <c r="W11" i="1" s="1"/>
  <c r="Y11" i="1"/>
  <c r="BM11" i="1" s="1"/>
  <c r="BM5" i="1" l="1"/>
  <c r="BM4" i="1"/>
  <c r="BM3" i="1"/>
  <c r="Z4" i="1"/>
  <c r="AA4" i="1" s="1"/>
  <c r="AB4" i="1" s="1"/>
  <c r="AC4" i="1" s="1"/>
  <c r="BI4" i="1"/>
  <c r="Z11" i="1"/>
  <c r="AA11" i="1" s="1"/>
  <c r="AB11" i="1" s="1"/>
  <c r="AC11" i="1" s="1"/>
  <c r="BI11" i="1"/>
  <c r="Z6" i="1"/>
  <c r="AA6" i="1" s="1"/>
  <c r="AB6" i="1" s="1"/>
  <c r="AC6" i="1" s="1"/>
  <c r="BI6" i="1"/>
  <c r="Z7" i="1"/>
  <c r="AA7" i="1" s="1"/>
  <c r="AB7" i="1" s="1"/>
  <c r="AC7" i="1" s="1"/>
  <c r="BI7" i="1"/>
  <c r="Z8" i="1"/>
  <c r="AA8" i="1" s="1"/>
  <c r="AB8" i="1" s="1"/>
  <c r="AC8" i="1" s="1"/>
  <c r="BI8" i="1"/>
  <c r="Z9" i="1"/>
  <c r="AA9" i="1" s="1"/>
  <c r="AB9" i="1" s="1"/>
  <c r="AC9" i="1" s="1"/>
  <c r="BI9" i="1"/>
  <c r="Z10" i="1"/>
  <c r="AA10" i="1" s="1"/>
  <c r="AB10" i="1" s="1"/>
  <c r="AC10" i="1" s="1"/>
  <c r="BI10" i="1"/>
  <c r="Z5" i="1"/>
  <c r="AA5" i="1" s="1"/>
  <c r="AB5" i="1" s="1"/>
  <c r="AC5" i="1" s="1"/>
  <c r="BI5" i="1"/>
  <c r="BI3" i="1"/>
  <c r="Z3" i="1"/>
  <c r="AA3" i="1" s="1"/>
  <c r="AB3" i="1" s="1"/>
  <c r="AC3" i="1" s="1"/>
  <c r="U3" i="1"/>
  <c r="I28" i="11"/>
  <c r="I27" i="11"/>
  <c r="I26" i="11"/>
  <c r="G28" i="11"/>
  <c r="G27" i="11"/>
  <c r="G26" i="11"/>
  <c r="I24" i="11"/>
  <c r="I23" i="11"/>
  <c r="G24" i="11"/>
  <c r="G23" i="11"/>
  <c r="I21" i="11"/>
  <c r="G21" i="11"/>
  <c r="E28" i="11"/>
  <c r="D28" i="11"/>
  <c r="C28" i="11"/>
  <c r="B28" i="11"/>
  <c r="E27" i="11"/>
  <c r="D27" i="11"/>
  <c r="C27" i="11"/>
  <c r="B27" i="11"/>
  <c r="E26" i="11"/>
  <c r="D26" i="11"/>
  <c r="C26" i="11"/>
  <c r="B26" i="11"/>
  <c r="E24" i="11"/>
  <c r="D24" i="11"/>
  <c r="C24" i="11"/>
  <c r="B24" i="11"/>
  <c r="E23" i="11"/>
  <c r="D23" i="11"/>
  <c r="C23" i="11"/>
  <c r="B23" i="11"/>
  <c r="E21" i="11"/>
  <c r="D21" i="11"/>
  <c r="C21" i="11"/>
  <c r="B21" i="11"/>
  <c r="P32" i="10"/>
  <c r="P31" i="10"/>
  <c r="P30" i="10"/>
  <c r="P28" i="10"/>
  <c r="P27" i="10"/>
  <c r="P26" i="10"/>
  <c r="L32" i="10"/>
  <c r="L31" i="10"/>
  <c r="L30" i="10"/>
  <c r="L28" i="10"/>
  <c r="L27" i="10"/>
  <c r="L26" i="10"/>
  <c r="I32" i="10"/>
  <c r="H32" i="10"/>
  <c r="G32" i="10"/>
  <c r="F32" i="10"/>
  <c r="E32" i="10"/>
  <c r="I31" i="10"/>
  <c r="H31" i="10"/>
  <c r="G31" i="10"/>
  <c r="F31" i="10"/>
  <c r="E31" i="10"/>
  <c r="I30" i="10"/>
  <c r="H30" i="10"/>
  <c r="G30" i="10"/>
  <c r="F30" i="10"/>
  <c r="E30" i="10"/>
  <c r="I28" i="10"/>
  <c r="H28" i="10"/>
  <c r="G28" i="10"/>
  <c r="F28" i="10"/>
  <c r="I27" i="10"/>
  <c r="H27" i="10"/>
  <c r="G27" i="10"/>
  <c r="F27" i="10"/>
  <c r="I26" i="10"/>
  <c r="H26" i="10"/>
  <c r="G26" i="10"/>
  <c r="F26" i="10"/>
  <c r="E28" i="10"/>
  <c r="E27" i="10"/>
  <c r="E26" i="10"/>
  <c r="P24" i="10"/>
  <c r="L24" i="10"/>
  <c r="F24" i="10"/>
  <c r="G24" i="10"/>
  <c r="H24" i="10"/>
  <c r="I24" i="10"/>
  <c r="E24" i="10"/>
  <c r="F109" i="6" l="1"/>
  <c r="G109" i="6"/>
  <c r="H109" i="6"/>
  <c r="I109" i="6"/>
  <c r="J109" i="6"/>
  <c r="K109" i="6"/>
  <c r="L109" i="6"/>
  <c r="M109" i="6"/>
  <c r="N109" i="6"/>
  <c r="O109" i="6"/>
  <c r="P109" i="6"/>
  <c r="Q109" i="6"/>
  <c r="R109" i="6"/>
  <c r="S109" i="6"/>
  <c r="T109" i="6"/>
  <c r="U109" i="6"/>
  <c r="V109" i="6"/>
  <c r="W109" i="6"/>
  <c r="X109" i="6"/>
  <c r="Y109" i="6"/>
  <c r="Z109" i="6"/>
  <c r="AA109" i="6"/>
  <c r="AB109" i="6"/>
  <c r="AC109" i="6"/>
  <c r="AD109" i="6"/>
  <c r="AE109" i="6"/>
  <c r="AF109" i="6"/>
  <c r="AG109" i="6"/>
  <c r="AH109" i="6"/>
  <c r="AI109" i="6"/>
  <c r="AJ109" i="6"/>
  <c r="AK109" i="6"/>
  <c r="AL109" i="6"/>
  <c r="AM109" i="6"/>
  <c r="AN109" i="6"/>
  <c r="AO109" i="6"/>
  <c r="AP109" i="6"/>
  <c r="AQ109" i="6"/>
  <c r="AR109" i="6"/>
  <c r="AS109" i="6"/>
  <c r="AT109" i="6"/>
  <c r="AU109" i="6"/>
  <c r="AV109" i="6"/>
  <c r="AW109" i="6"/>
  <c r="AX109" i="6"/>
  <c r="AY109" i="6"/>
  <c r="AZ109" i="6"/>
  <c r="BA109" i="6"/>
  <c r="BB109" i="6"/>
  <c r="BC109" i="6"/>
  <c r="BD109" i="6"/>
  <c r="BE109" i="6"/>
  <c r="BF109" i="6"/>
  <c r="BG109" i="6"/>
  <c r="BH109" i="6"/>
  <c r="BI109" i="6"/>
  <c r="BJ109" i="6"/>
  <c r="BK109" i="6"/>
  <c r="BL109" i="6"/>
  <c r="BM109" i="6"/>
  <c r="BN109" i="6"/>
  <c r="BO109" i="6"/>
  <c r="BP109" i="6"/>
  <c r="BQ109" i="6"/>
  <c r="BR109" i="6"/>
  <c r="BS109" i="6"/>
  <c r="BT109" i="6"/>
  <c r="BU109" i="6"/>
  <c r="BV109" i="6"/>
  <c r="BW109" i="6"/>
  <c r="BX109" i="6"/>
  <c r="BY109" i="6"/>
  <c r="BZ109" i="6"/>
  <c r="CA109" i="6"/>
  <c r="CB109" i="6"/>
  <c r="CC109" i="6"/>
  <c r="CD109" i="6"/>
  <c r="CE109" i="6"/>
  <c r="CF109" i="6"/>
  <c r="CG109" i="6"/>
  <c r="CH109" i="6"/>
  <c r="CI109" i="6"/>
  <c r="CJ109" i="6"/>
  <c r="CK109" i="6"/>
  <c r="CL109" i="6"/>
  <c r="CM109" i="6"/>
  <c r="CN109" i="6"/>
  <c r="CO109" i="6"/>
  <c r="CP109" i="6"/>
  <c r="CQ109" i="6"/>
  <c r="CR109" i="6"/>
  <c r="CS109" i="6"/>
  <c r="CT109" i="6"/>
  <c r="CU109" i="6"/>
  <c r="CV109" i="6"/>
  <c r="CW109" i="6"/>
  <c r="CX109" i="6"/>
  <c r="CY109" i="6"/>
  <c r="CZ109" i="6"/>
  <c r="DA109" i="6"/>
  <c r="F111" i="6"/>
  <c r="G111" i="6"/>
  <c r="H111" i="6"/>
  <c r="I111" i="6"/>
  <c r="J111" i="6"/>
  <c r="K111" i="6"/>
  <c r="L111" i="6"/>
  <c r="M111" i="6"/>
  <c r="N111" i="6"/>
  <c r="O111" i="6"/>
  <c r="P111" i="6"/>
  <c r="Q111" i="6"/>
  <c r="R111" i="6"/>
  <c r="S111" i="6"/>
  <c r="T111" i="6"/>
  <c r="U111" i="6"/>
  <c r="V111" i="6"/>
  <c r="W111" i="6"/>
  <c r="X111" i="6"/>
  <c r="Y111" i="6"/>
  <c r="Z111" i="6"/>
  <c r="AA111" i="6"/>
  <c r="AB111" i="6"/>
  <c r="AC111" i="6"/>
  <c r="AD111" i="6"/>
  <c r="AE111" i="6"/>
  <c r="AF111" i="6"/>
  <c r="AG111" i="6"/>
  <c r="AH111" i="6"/>
  <c r="AI111" i="6"/>
  <c r="AJ111" i="6"/>
  <c r="AK111" i="6"/>
  <c r="AL111" i="6"/>
  <c r="AM111" i="6"/>
  <c r="AN111" i="6"/>
  <c r="AO111" i="6"/>
  <c r="AP111" i="6"/>
  <c r="AQ111" i="6"/>
  <c r="AR111" i="6"/>
  <c r="AS111" i="6"/>
  <c r="AT111" i="6"/>
  <c r="AU111" i="6"/>
  <c r="AV111" i="6"/>
  <c r="AW111" i="6"/>
  <c r="AX111" i="6"/>
  <c r="AY111" i="6"/>
  <c r="AZ111" i="6"/>
  <c r="BA111" i="6"/>
  <c r="BB111" i="6"/>
  <c r="BC111" i="6"/>
  <c r="BD111" i="6"/>
  <c r="BE111" i="6"/>
  <c r="BF111" i="6"/>
  <c r="BG111" i="6"/>
  <c r="BH111" i="6"/>
  <c r="BI111" i="6"/>
  <c r="BJ111" i="6"/>
  <c r="BK111" i="6"/>
  <c r="BL111" i="6"/>
  <c r="BM111" i="6"/>
  <c r="BN111" i="6"/>
  <c r="BO111" i="6"/>
  <c r="BP111" i="6"/>
  <c r="BQ111" i="6"/>
  <c r="BR111" i="6"/>
  <c r="BS111" i="6"/>
  <c r="BT111" i="6"/>
  <c r="BU111" i="6"/>
  <c r="BV111" i="6"/>
  <c r="BW111" i="6"/>
  <c r="BX111" i="6"/>
  <c r="BY111" i="6"/>
  <c r="BZ111" i="6"/>
  <c r="CA111" i="6"/>
  <c r="CB111" i="6"/>
  <c r="CC111" i="6"/>
  <c r="CD111" i="6"/>
  <c r="CE111" i="6"/>
  <c r="CF111" i="6"/>
  <c r="CG111" i="6"/>
  <c r="CH111" i="6"/>
  <c r="CI111" i="6"/>
  <c r="CJ111" i="6"/>
  <c r="CK111" i="6"/>
  <c r="CL111" i="6"/>
  <c r="CM111" i="6"/>
  <c r="CN111" i="6"/>
  <c r="CO111" i="6"/>
  <c r="CP111" i="6"/>
  <c r="CQ111" i="6"/>
  <c r="CR111" i="6"/>
  <c r="CS111" i="6"/>
  <c r="CT111" i="6"/>
  <c r="CU111" i="6"/>
  <c r="CV111" i="6"/>
  <c r="CW111" i="6"/>
  <c r="CX111" i="6"/>
  <c r="CY111" i="6"/>
  <c r="CZ111" i="6"/>
  <c r="DA111" i="6"/>
  <c r="F112" i="6"/>
  <c r="G112" i="6"/>
  <c r="H112" i="6"/>
  <c r="I112" i="6"/>
  <c r="J112" i="6"/>
  <c r="K112" i="6"/>
  <c r="L112" i="6"/>
  <c r="M112" i="6"/>
  <c r="N112" i="6"/>
  <c r="O112" i="6"/>
  <c r="P112" i="6"/>
  <c r="Q112" i="6"/>
  <c r="R112" i="6"/>
  <c r="S112" i="6"/>
  <c r="T112" i="6"/>
  <c r="U112" i="6"/>
  <c r="V112" i="6"/>
  <c r="W112" i="6"/>
  <c r="X112" i="6"/>
  <c r="Y112" i="6"/>
  <c r="Z112" i="6"/>
  <c r="AA112" i="6"/>
  <c r="AB112" i="6"/>
  <c r="AC112" i="6"/>
  <c r="AD112" i="6"/>
  <c r="AE112" i="6"/>
  <c r="AF112" i="6"/>
  <c r="AG112" i="6"/>
  <c r="AH112" i="6"/>
  <c r="AI112" i="6"/>
  <c r="AJ112" i="6"/>
  <c r="AK112" i="6"/>
  <c r="AL112" i="6"/>
  <c r="AM112" i="6"/>
  <c r="AN112" i="6"/>
  <c r="AO112" i="6"/>
  <c r="AP112" i="6"/>
  <c r="AQ112" i="6"/>
  <c r="AR112" i="6"/>
  <c r="AS112" i="6"/>
  <c r="AT112" i="6"/>
  <c r="AU112" i="6"/>
  <c r="AV112" i="6"/>
  <c r="AW112" i="6"/>
  <c r="AX112" i="6"/>
  <c r="AY112" i="6"/>
  <c r="AZ112" i="6"/>
  <c r="BA112" i="6"/>
  <c r="BB112" i="6"/>
  <c r="BC112" i="6"/>
  <c r="BD112" i="6"/>
  <c r="BE112" i="6"/>
  <c r="BF112" i="6"/>
  <c r="BG112" i="6"/>
  <c r="BH112" i="6"/>
  <c r="BI112" i="6"/>
  <c r="BJ112" i="6"/>
  <c r="BK112" i="6"/>
  <c r="BL112" i="6"/>
  <c r="BM112" i="6"/>
  <c r="BN112" i="6"/>
  <c r="BO112" i="6"/>
  <c r="BP112" i="6"/>
  <c r="BQ112" i="6"/>
  <c r="BR112" i="6"/>
  <c r="BS112" i="6"/>
  <c r="BT112" i="6"/>
  <c r="BU112" i="6"/>
  <c r="BV112" i="6"/>
  <c r="BW112" i="6"/>
  <c r="BX112" i="6"/>
  <c r="BY112" i="6"/>
  <c r="BZ112" i="6"/>
  <c r="CA112" i="6"/>
  <c r="CB112" i="6"/>
  <c r="CC112" i="6"/>
  <c r="CD112" i="6"/>
  <c r="CE112" i="6"/>
  <c r="CF112" i="6"/>
  <c r="CG112" i="6"/>
  <c r="CH112" i="6"/>
  <c r="CI112" i="6"/>
  <c r="CJ112" i="6"/>
  <c r="CK112" i="6"/>
  <c r="CL112" i="6"/>
  <c r="CM112" i="6"/>
  <c r="CN112" i="6"/>
  <c r="CO112" i="6"/>
  <c r="CP112" i="6"/>
  <c r="CQ112" i="6"/>
  <c r="CR112" i="6"/>
  <c r="CS112" i="6"/>
  <c r="CT112" i="6"/>
  <c r="CU112" i="6"/>
  <c r="CV112" i="6"/>
  <c r="CW112" i="6"/>
  <c r="CX112" i="6"/>
  <c r="CY112" i="6"/>
  <c r="CZ112" i="6"/>
  <c r="DA112" i="6"/>
  <c r="A113" i="6"/>
  <c r="T42" i="1"/>
  <c r="U42" i="1" s="1"/>
  <c r="V42" i="1"/>
  <c r="W42" i="1" s="1"/>
  <c r="Y42" i="1"/>
  <c r="BM42" i="1" s="1"/>
  <c r="T43" i="1"/>
  <c r="U43" i="1" s="1"/>
  <c r="V43" i="1"/>
  <c r="W43" i="1" s="1"/>
  <c r="Y43" i="1"/>
  <c r="BM43" i="1" s="1"/>
  <c r="T44" i="1"/>
  <c r="U44" i="1" s="1"/>
  <c r="V44" i="1"/>
  <c r="W44" i="1" s="1"/>
  <c r="Y44" i="1"/>
  <c r="BM44" i="1" s="1"/>
  <c r="T45" i="1"/>
  <c r="U45" i="1" s="1"/>
  <c r="V45" i="1"/>
  <c r="W45" i="1" s="1"/>
  <c r="Y45" i="1"/>
  <c r="BM45" i="1" s="1"/>
  <c r="T46" i="1"/>
  <c r="U46" i="1" s="1"/>
  <c r="V46" i="1"/>
  <c r="W46" i="1" s="1"/>
  <c r="Y46" i="1"/>
  <c r="BM46" i="1" s="1"/>
  <c r="T47" i="1"/>
  <c r="U47" i="1" s="1"/>
  <c r="V47" i="1"/>
  <c r="W47" i="1" s="1"/>
  <c r="Y47" i="1"/>
  <c r="BM47" i="1" s="1"/>
  <c r="T48" i="1"/>
  <c r="U48" i="1" s="1"/>
  <c r="V48" i="1"/>
  <c r="W48" i="1" s="1"/>
  <c r="Y48" i="1"/>
  <c r="BM48" i="1" s="1"/>
  <c r="T49" i="1"/>
  <c r="U49" i="1" s="1"/>
  <c r="V49" i="1"/>
  <c r="W49" i="1" s="1"/>
  <c r="Y49" i="1"/>
  <c r="BM49" i="1" s="1"/>
  <c r="T50" i="1"/>
  <c r="U50" i="1" s="1"/>
  <c r="V50" i="1"/>
  <c r="W50" i="1" s="1"/>
  <c r="Y50" i="1"/>
  <c r="BM50" i="1" s="1"/>
  <c r="T51" i="1"/>
  <c r="U51" i="1" s="1"/>
  <c r="V51" i="1"/>
  <c r="W51" i="1" s="1"/>
  <c r="Y51" i="1"/>
  <c r="BM51" i="1" s="1"/>
  <c r="T52" i="1"/>
  <c r="U52" i="1" s="1"/>
  <c r="V52" i="1"/>
  <c r="W52" i="1" s="1"/>
  <c r="Y52" i="1"/>
  <c r="T53" i="1"/>
  <c r="U53" i="1" s="1"/>
  <c r="V53" i="1"/>
  <c r="W53" i="1" s="1"/>
  <c r="Y53" i="1"/>
  <c r="BM53" i="1" s="1"/>
  <c r="T54" i="1"/>
  <c r="U54" i="1" s="1"/>
  <c r="V54" i="1"/>
  <c r="W54" i="1" s="1"/>
  <c r="Y54" i="1"/>
  <c r="T55" i="1"/>
  <c r="U55" i="1" s="1"/>
  <c r="V55" i="1"/>
  <c r="W55" i="1" s="1"/>
  <c r="Y55" i="1"/>
  <c r="T56" i="1"/>
  <c r="U56" i="1" s="1"/>
  <c r="V56" i="1"/>
  <c r="W56" i="1" s="1"/>
  <c r="Y56" i="1"/>
  <c r="T57" i="1"/>
  <c r="U57" i="1" s="1"/>
  <c r="V57" i="1"/>
  <c r="W57" i="1" s="1"/>
  <c r="Y57" i="1"/>
  <c r="T58" i="1"/>
  <c r="U58" i="1" s="1"/>
  <c r="V58" i="1"/>
  <c r="W58" i="1" s="1"/>
  <c r="Y58" i="1"/>
  <c r="T59" i="1"/>
  <c r="U59" i="1" s="1"/>
  <c r="V59" i="1"/>
  <c r="W59" i="1" s="1"/>
  <c r="Y59" i="1"/>
  <c r="T60" i="1"/>
  <c r="U60" i="1" s="1"/>
  <c r="V60" i="1"/>
  <c r="W60" i="1" s="1"/>
  <c r="Y60" i="1"/>
  <c r="T61" i="1"/>
  <c r="U61" i="1" s="1"/>
  <c r="V61" i="1"/>
  <c r="W61" i="1" s="1"/>
  <c r="Y61" i="1"/>
  <c r="T62" i="1"/>
  <c r="U62" i="1" s="1"/>
  <c r="V62" i="1"/>
  <c r="W62" i="1" s="1"/>
  <c r="Y62" i="1"/>
  <c r="T63" i="1"/>
  <c r="U63" i="1" s="1"/>
  <c r="V63" i="1"/>
  <c r="W63" i="1" s="1"/>
  <c r="Y63" i="1"/>
  <c r="T64" i="1"/>
  <c r="U64" i="1" s="1"/>
  <c r="V64" i="1"/>
  <c r="W64" i="1" s="1"/>
  <c r="Y64" i="1"/>
  <c r="T65" i="1"/>
  <c r="U65" i="1" s="1"/>
  <c r="V65" i="1"/>
  <c r="W65" i="1" s="1"/>
  <c r="Y65" i="1"/>
  <c r="T66" i="1"/>
  <c r="U66" i="1" s="1"/>
  <c r="V66" i="1"/>
  <c r="W66" i="1" s="1"/>
  <c r="Y66" i="1"/>
  <c r="T67" i="1"/>
  <c r="U67" i="1" s="1"/>
  <c r="V67" i="1"/>
  <c r="W67" i="1" s="1"/>
  <c r="Y67" i="1"/>
  <c r="T68" i="1"/>
  <c r="U68" i="1" s="1"/>
  <c r="V68" i="1"/>
  <c r="W68" i="1" s="1"/>
  <c r="Y68" i="1"/>
  <c r="T69" i="1"/>
  <c r="U69" i="1" s="1"/>
  <c r="V69" i="1"/>
  <c r="W69" i="1" s="1"/>
  <c r="Y69" i="1"/>
  <c r="T70" i="1"/>
  <c r="U70" i="1" s="1"/>
  <c r="V70" i="1"/>
  <c r="W70" i="1" s="1"/>
  <c r="Y70" i="1"/>
  <c r="T71" i="1"/>
  <c r="U71" i="1" s="1"/>
  <c r="V71" i="1"/>
  <c r="W71" i="1" s="1"/>
  <c r="Y71" i="1"/>
  <c r="T72" i="1"/>
  <c r="U72" i="1" s="1"/>
  <c r="V72" i="1"/>
  <c r="W72" i="1" s="1"/>
  <c r="Y72" i="1"/>
  <c r="T73" i="1"/>
  <c r="U73" i="1" s="1"/>
  <c r="V73" i="1"/>
  <c r="W73" i="1" s="1"/>
  <c r="Y73" i="1"/>
  <c r="T74" i="1"/>
  <c r="U74" i="1" s="1"/>
  <c r="V74" i="1"/>
  <c r="W74" i="1" s="1"/>
  <c r="Y74" i="1"/>
  <c r="T75" i="1"/>
  <c r="U75" i="1" s="1"/>
  <c r="V75" i="1"/>
  <c r="W75" i="1" s="1"/>
  <c r="Y75" i="1"/>
  <c r="T76" i="1"/>
  <c r="U76" i="1" s="1"/>
  <c r="V76" i="1"/>
  <c r="W76" i="1" s="1"/>
  <c r="Y76" i="1"/>
  <c r="T77" i="1"/>
  <c r="U77" i="1" s="1"/>
  <c r="V77" i="1"/>
  <c r="W77" i="1" s="1"/>
  <c r="Y77" i="1"/>
  <c r="BM77" i="1" s="1"/>
  <c r="T78" i="1"/>
  <c r="U78" i="1" s="1"/>
  <c r="V78" i="1"/>
  <c r="W78" i="1" s="1"/>
  <c r="Y78" i="1"/>
  <c r="BM78" i="1" s="1"/>
  <c r="T79" i="1"/>
  <c r="U79" i="1" s="1"/>
  <c r="V79" i="1"/>
  <c r="W79" i="1" s="1"/>
  <c r="Y79" i="1"/>
  <c r="BM79" i="1" s="1"/>
  <c r="T80" i="1"/>
  <c r="U80" i="1" s="1"/>
  <c r="V80" i="1"/>
  <c r="W80" i="1" s="1"/>
  <c r="Y80" i="1"/>
  <c r="T81" i="1"/>
  <c r="U81" i="1" s="1"/>
  <c r="V81" i="1"/>
  <c r="W81" i="1" s="1"/>
  <c r="Y81" i="1"/>
  <c r="T82" i="1"/>
  <c r="U82" i="1" s="1"/>
  <c r="V82" i="1"/>
  <c r="W82" i="1" s="1"/>
  <c r="Y82" i="1"/>
  <c r="T83" i="1"/>
  <c r="U83" i="1" s="1"/>
  <c r="V83" i="1"/>
  <c r="W83" i="1" s="1"/>
  <c r="Y83" i="1"/>
  <c r="BM83" i="1" s="1"/>
  <c r="T84" i="1"/>
  <c r="U84" i="1" s="1"/>
  <c r="V84" i="1"/>
  <c r="W84" i="1" s="1"/>
  <c r="Y84" i="1"/>
  <c r="T85" i="1"/>
  <c r="U85" i="1" s="1"/>
  <c r="V85" i="1"/>
  <c r="W85" i="1" s="1"/>
  <c r="Y85" i="1"/>
  <c r="T86" i="1"/>
  <c r="U86" i="1" s="1"/>
  <c r="V86" i="1"/>
  <c r="W86" i="1" s="1"/>
  <c r="Y86" i="1"/>
  <c r="T87" i="1"/>
  <c r="U87" i="1" s="1"/>
  <c r="V87" i="1"/>
  <c r="W87" i="1" s="1"/>
  <c r="Y87" i="1"/>
  <c r="T88" i="1"/>
  <c r="U88" i="1" s="1"/>
  <c r="V88" i="1"/>
  <c r="W88" i="1" s="1"/>
  <c r="Y88" i="1"/>
  <c r="T89" i="1"/>
  <c r="U89" i="1" s="1"/>
  <c r="V89" i="1"/>
  <c r="W89" i="1" s="1"/>
  <c r="Y89" i="1"/>
  <c r="T90" i="1"/>
  <c r="U90" i="1" s="1"/>
  <c r="V90" i="1"/>
  <c r="W90" i="1" s="1"/>
  <c r="Y90" i="1"/>
  <c r="T91" i="1"/>
  <c r="U91" i="1" s="1"/>
  <c r="V91" i="1"/>
  <c r="W91" i="1" s="1"/>
  <c r="Y91" i="1"/>
  <c r="T92" i="1"/>
  <c r="U92" i="1" s="1"/>
  <c r="V92" i="1"/>
  <c r="W92" i="1" s="1"/>
  <c r="Y92" i="1"/>
  <c r="T93" i="1"/>
  <c r="U93" i="1" s="1"/>
  <c r="V93" i="1"/>
  <c r="W93" i="1" s="1"/>
  <c r="Y93" i="1"/>
  <c r="T94" i="1"/>
  <c r="U94" i="1" s="1"/>
  <c r="V94" i="1"/>
  <c r="W94" i="1" s="1"/>
  <c r="Y94" i="1"/>
  <c r="T95" i="1"/>
  <c r="U95" i="1" s="1"/>
  <c r="V95" i="1"/>
  <c r="W95" i="1" s="1"/>
  <c r="Y95" i="1"/>
  <c r="T96" i="1"/>
  <c r="U96" i="1" s="1"/>
  <c r="V96" i="1"/>
  <c r="W96" i="1" s="1"/>
  <c r="Y96" i="1"/>
  <c r="T97" i="1"/>
  <c r="U97" i="1" s="1"/>
  <c r="V97" i="1"/>
  <c r="W97" i="1" s="1"/>
  <c r="Y97" i="1"/>
  <c r="T98" i="1"/>
  <c r="U98" i="1" s="1"/>
  <c r="V98" i="1"/>
  <c r="W98" i="1" s="1"/>
  <c r="Y98" i="1"/>
  <c r="T99" i="1"/>
  <c r="U99" i="1" s="1"/>
  <c r="V99" i="1"/>
  <c r="W99" i="1" s="1"/>
  <c r="Y99" i="1"/>
  <c r="T100" i="1"/>
  <c r="U100" i="1" s="1"/>
  <c r="V100" i="1"/>
  <c r="W100" i="1" s="1"/>
  <c r="Y100" i="1"/>
  <c r="T101" i="1"/>
  <c r="U101" i="1" s="1"/>
  <c r="V101" i="1"/>
  <c r="W101" i="1" s="1"/>
  <c r="Y101" i="1"/>
  <c r="T102" i="1"/>
  <c r="U102" i="1" s="1"/>
  <c r="V102" i="1"/>
  <c r="W102" i="1" s="1"/>
  <c r="Y102" i="1"/>
  <c r="BM102" i="1" s="1"/>
  <c r="AT3" i="6"/>
  <c r="AU3" i="6"/>
  <c r="AV3" i="6"/>
  <c r="AW3" i="6"/>
  <c r="AX3" i="6"/>
  <c r="AY3" i="6"/>
  <c r="AZ3" i="6"/>
  <c r="BA3" i="6"/>
  <c r="BB3" i="6"/>
  <c r="BC3" i="6"/>
  <c r="BD3" i="6"/>
  <c r="BE3" i="6"/>
  <c r="BF3" i="6"/>
  <c r="BG3" i="6"/>
  <c r="BH3" i="6"/>
  <c r="BI3" i="6"/>
  <c r="BJ3" i="6"/>
  <c r="BK3" i="6"/>
  <c r="BL3" i="6"/>
  <c r="BM3" i="6"/>
  <c r="BN3" i="6"/>
  <c r="BO3" i="6"/>
  <c r="BP3" i="6"/>
  <c r="BQ3" i="6"/>
  <c r="BR3" i="6"/>
  <c r="BS3" i="6"/>
  <c r="BT3" i="6"/>
  <c r="BU3" i="6"/>
  <c r="BV3" i="6"/>
  <c r="BW3" i="6"/>
  <c r="BX3" i="6"/>
  <c r="BY3" i="6"/>
  <c r="BZ3" i="6"/>
  <c r="CA3" i="6"/>
  <c r="CB3" i="6"/>
  <c r="CC3" i="6"/>
  <c r="CD3" i="6"/>
  <c r="CE3" i="6"/>
  <c r="CF3" i="6"/>
  <c r="CG3" i="6"/>
  <c r="CH3" i="6"/>
  <c r="CI3" i="6"/>
  <c r="CJ3" i="6"/>
  <c r="CK3" i="6"/>
  <c r="CL3" i="6"/>
  <c r="CM3" i="6"/>
  <c r="CN3" i="6"/>
  <c r="CO3" i="6"/>
  <c r="CP3" i="6"/>
  <c r="CQ3" i="6"/>
  <c r="CR3" i="6"/>
  <c r="CS3" i="6"/>
  <c r="CT3" i="6"/>
  <c r="CU3" i="6"/>
  <c r="CV3" i="6"/>
  <c r="CW3" i="6"/>
  <c r="CX3" i="6"/>
  <c r="CY3" i="6"/>
  <c r="CZ3" i="6"/>
  <c r="DA3" i="6"/>
  <c r="AT4" i="6"/>
  <c r="AU4" i="6"/>
  <c r="AV4" i="6"/>
  <c r="AW4" i="6"/>
  <c r="AX4" i="6"/>
  <c r="AY4" i="6"/>
  <c r="AZ4" i="6"/>
  <c r="BA4" i="6"/>
  <c r="BB4" i="6"/>
  <c r="BC4" i="6"/>
  <c r="BD4" i="6"/>
  <c r="BE4" i="6"/>
  <c r="BF4" i="6"/>
  <c r="BG4" i="6"/>
  <c r="BH4" i="6"/>
  <c r="BI4" i="6"/>
  <c r="BJ4" i="6"/>
  <c r="BK4" i="6"/>
  <c r="BL4" i="6"/>
  <c r="BM4" i="6"/>
  <c r="BN4" i="6"/>
  <c r="BO4" i="6"/>
  <c r="BP4" i="6"/>
  <c r="BQ4" i="6"/>
  <c r="BR4" i="6"/>
  <c r="BS4" i="6"/>
  <c r="BT4" i="6"/>
  <c r="BU4" i="6"/>
  <c r="BV4" i="6"/>
  <c r="BW4" i="6"/>
  <c r="BX4" i="6"/>
  <c r="BY4" i="6"/>
  <c r="BZ4" i="6"/>
  <c r="CA4" i="6"/>
  <c r="CB4" i="6"/>
  <c r="CC4" i="6"/>
  <c r="CD4" i="6"/>
  <c r="CE4" i="6"/>
  <c r="CF4" i="6"/>
  <c r="CG4" i="6"/>
  <c r="CH4" i="6"/>
  <c r="CI4" i="6"/>
  <c r="CJ4" i="6"/>
  <c r="CK4" i="6"/>
  <c r="CL4" i="6"/>
  <c r="CM4" i="6"/>
  <c r="CN4" i="6"/>
  <c r="CO4" i="6"/>
  <c r="CP4" i="6"/>
  <c r="CQ4" i="6"/>
  <c r="CR4" i="6"/>
  <c r="CS4" i="6"/>
  <c r="CT4" i="6"/>
  <c r="CU4" i="6"/>
  <c r="CV4" i="6"/>
  <c r="CW4" i="6"/>
  <c r="CX4" i="6"/>
  <c r="CY4" i="6"/>
  <c r="CZ4" i="6"/>
  <c r="DA4" i="6"/>
  <c r="AT5" i="6"/>
  <c r="AU5" i="6"/>
  <c r="AV5" i="6"/>
  <c r="AW5" i="6"/>
  <c r="AX5" i="6"/>
  <c r="AY5" i="6"/>
  <c r="AZ5" i="6"/>
  <c r="BA5" i="6"/>
  <c r="BB5" i="6"/>
  <c r="BC5" i="6"/>
  <c r="BD5" i="6"/>
  <c r="BE5" i="6"/>
  <c r="BF5" i="6"/>
  <c r="BG5" i="6"/>
  <c r="BH5" i="6"/>
  <c r="BI5" i="6"/>
  <c r="BJ5" i="6"/>
  <c r="BK5" i="6"/>
  <c r="BL5" i="6"/>
  <c r="BM5" i="6"/>
  <c r="BN5" i="6"/>
  <c r="BO5" i="6"/>
  <c r="BP5" i="6"/>
  <c r="BQ5" i="6"/>
  <c r="BR5" i="6"/>
  <c r="BS5" i="6"/>
  <c r="BT5" i="6"/>
  <c r="BU5" i="6"/>
  <c r="BV5" i="6"/>
  <c r="BW5" i="6"/>
  <c r="BX5" i="6"/>
  <c r="BY5" i="6"/>
  <c r="BZ5" i="6"/>
  <c r="CA5" i="6"/>
  <c r="CB5" i="6"/>
  <c r="CC5" i="6"/>
  <c r="CD5" i="6"/>
  <c r="CE5" i="6"/>
  <c r="CF5" i="6"/>
  <c r="CG5" i="6"/>
  <c r="CH5" i="6"/>
  <c r="CI5" i="6"/>
  <c r="CJ5" i="6"/>
  <c r="CK5" i="6"/>
  <c r="CL5" i="6"/>
  <c r="CM5" i="6"/>
  <c r="CN5" i="6"/>
  <c r="CO5" i="6"/>
  <c r="CP5" i="6"/>
  <c r="CQ5" i="6"/>
  <c r="CR5" i="6"/>
  <c r="CS5" i="6"/>
  <c r="CT5" i="6"/>
  <c r="CU5" i="6"/>
  <c r="CV5" i="6"/>
  <c r="CW5" i="6"/>
  <c r="CX5" i="6"/>
  <c r="CY5" i="6"/>
  <c r="CZ5" i="6"/>
  <c r="DA5" i="6"/>
  <c r="AT6" i="6"/>
  <c r="AU6" i="6"/>
  <c r="AV6" i="6"/>
  <c r="AW6" i="6"/>
  <c r="AX6" i="6"/>
  <c r="AY6" i="6"/>
  <c r="AZ6" i="6"/>
  <c r="BA6" i="6"/>
  <c r="BB6" i="6"/>
  <c r="BC6" i="6"/>
  <c r="BD6" i="6"/>
  <c r="BE6" i="6"/>
  <c r="BF6" i="6"/>
  <c r="BG6" i="6"/>
  <c r="BH6" i="6"/>
  <c r="BI6" i="6"/>
  <c r="BJ6" i="6"/>
  <c r="BK6" i="6"/>
  <c r="BL6" i="6"/>
  <c r="BM6" i="6"/>
  <c r="BN6" i="6"/>
  <c r="BO6" i="6"/>
  <c r="BP6" i="6"/>
  <c r="BQ6" i="6"/>
  <c r="BR6" i="6"/>
  <c r="BS6" i="6"/>
  <c r="BT6" i="6"/>
  <c r="BU6" i="6"/>
  <c r="BV6" i="6"/>
  <c r="BW6" i="6"/>
  <c r="BX6" i="6"/>
  <c r="BY6" i="6"/>
  <c r="BZ6" i="6"/>
  <c r="CA6" i="6"/>
  <c r="CB6" i="6"/>
  <c r="CC6" i="6"/>
  <c r="CD6" i="6"/>
  <c r="CE6" i="6"/>
  <c r="CF6" i="6"/>
  <c r="CG6" i="6"/>
  <c r="CH6" i="6"/>
  <c r="CI6" i="6"/>
  <c r="CJ6" i="6"/>
  <c r="CK6" i="6"/>
  <c r="CL6" i="6"/>
  <c r="CM6" i="6"/>
  <c r="CN6" i="6"/>
  <c r="CO6" i="6"/>
  <c r="CP6" i="6"/>
  <c r="CQ6" i="6"/>
  <c r="CR6" i="6"/>
  <c r="CS6" i="6"/>
  <c r="CT6" i="6"/>
  <c r="CU6" i="6"/>
  <c r="CV6" i="6"/>
  <c r="CW6" i="6"/>
  <c r="CX6" i="6"/>
  <c r="CY6" i="6"/>
  <c r="CZ6" i="6"/>
  <c r="DA6" i="6"/>
  <c r="AT7" i="6"/>
  <c r="AU7" i="6"/>
  <c r="AV7" i="6"/>
  <c r="AW7" i="6"/>
  <c r="AX7" i="6"/>
  <c r="AY7" i="6"/>
  <c r="AZ7" i="6"/>
  <c r="BA7" i="6"/>
  <c r="BB7" i="6"/>
  <c r="BC7" i="6"/>
  <c r="BD7" i="6"/>
  <c r="BE7" i="6"/>
  <c r="BF7" i="6"/>
  <c r="BG7" i="6"/>
  <c r="BH7" i="6"/>
  <c r="BI7" i="6"/>
  <c r="BJ7" i="6"/>
  <c r="BK7" i="6"/>
  <c r="BL7" i="6"/>
  <c r="BM7" i="6"/>
  <c r="BN7" i="6"/>
  <c r="BO7" i="6"/>
  <c r="BP7" i="6"/>
  <c r="BQ7" i="6"/>
  <c r="BR7" i="6"/>
  <c r="BS7" i="6"/>
  <c r="BT7" i="6"/>
  <c r="BU7" i="6"/>
  <c r="BV7" i="6"/>
  <c r="BW7" i="6"/>
  <c r="BX7" i="6"/>
  <c r="BY7" i="6"/>
  <c r="BZ7" i="6"/>
  <c r="CA7" i="6"/>
  <c r="CB7" i="6"/>
  <c r="CC7" i="6"/>
  <c r="CD7" i="6"/>
  <c r="CE7" i="6"/>
  <c r="CF7" i="6"/>
  <c r="CG7" i="6"/>
  <c r="CH7" i="6"/>
  <c r="CI7" i="6"/>
  <c r="CJ7" i="6"/>
  <c r="CK7" i="6"/>
  <c r="CL7" i="6"/>
  <c r="CM7" i="6"/>
  <c r="CN7" i="6"/>
  <c r="CO7" i="6"/>
  <c r="CP7" i="6"/>
  <c r="CQ7" i="6"/>
  <c r="CR7" i="6"/>
  <c r="CS7" i="6"/>
  <c r="CT7" i="6"/>
  <c r="CU7" i="6"/>
  <c r="CV7" i="6"/>
  <c r="CW7" i="6"/>
  <c r="CX7" i="6"/>
  <c r="CY7" i="6"/>
  <c r="CZ7" i="6"/>
  <c r="DA7" i="6"/>
  <c r="AT8" i="6"/>
  <c r="AU8" i="6"/>
  <c r="AV8" i="6"/>
  <c r="AW8" i="6"/>
  <c r="AX8" i="6"/>
  <c r="AY8" i="6"/>
  <c r="AZ8" i="6"/>
  <c r="BA8" i="6"/>
  <c r="BB8" i="6"/>
  <c r="BC8" i="6"/>
  <c r="BD8" i="6"/>
  <c r="BE8" i="6"/>
  <c r="BF8" i="6"/>
  <c r="BG8" i="6"/>
  <c r="BH8" i="6"/>
  <c r="BI8" i="6"/>
  <c r="BJ8" i="6"/>
  <c r="BK8" i="6"/>
  <c r="BL8" i="6"/>
  <c r="BM8" i="6"/>
  <c r="BN8" i="6"/>
  <c r="BO8" i="6"/>
  <c r="BP8" i="6"/>
  <c r="BQ8" i="6"/>
  <c r="BR8" i="6"/>
  <c r="BS8" i="6"/>
  <c r="BT8" i="6"/>
  <c r="BU8" i="6"/>
  <c r="BV8" i="6"/>
  <c r="BW8" i="6"/>
  <c r="BX8" i="6"/>
  <c r="BY8" i="6"/>
  <c r="BZ8" i="6"/>
  <c r="CA8" i="6"/>
  <c r="CB8" i="6"/>
  <c r="CC8" i="6"/>
  <c r="CD8" i="6"/>
  <c r="CE8" i="6"/>
  <c r="CF8" i="6"/>
  <c r="CG8" i="6"/>
  <c r="CH8" i="6"/>
  <c r="CI8" i="6"/>
  <c r="CJ8" i="6"/>
  <c r="CK8" i="6"/>
  <c r="CL8" i="6"/>
  <c r="CM8" i="6"/>
  <c r="CN8" i="6"/>
  <c r="CO8" i="6"/>
  <c r="CP8" i="6"/>
  <c r="CQ8" i="6"/>
  <c r="CR8" i="6"/>
  <c r="CS8" i="6"/>
  <c r="CT8" i="6"/>
  <c r="CU8" i="6"/>
  <c r="CV8" i="6"/>
  <c r="CW8" i="6"/>
  <c r="CX8" i="6"/>
  <c r="CY8" i="6"/>
  <c r="CZ8" i="6"/>
  <c r="DA8" i="6"/>
  <c r="AT9" i="6"/>
  <c r="AU9" i="6"/>
  <c r="AV9" i="6"/>
  <c r="AW9" i="6"/>
  <c r="AX9" i="6"/>
  <c r="AY9" i="6"/>
  <c r="AZ9" i="6"/>
  <c r="BA9" i="6"/>
  <c r="BB9" i="6"/>
  <c r="BC9" i="6"/>
  <c r="BD9" i="6"/>
  <c r="BE9" i="6"/>
  <c r="BF9" i="6"/>
  <c r="BG9" i="6"/>
  <c r="BH9" i="6"/>
  <c r="BI9" i="6"/>
  <c r="BJ9" i="6"/>
  <c r="BK9" i="6"/>
  <c r="BL9" i="6"/>
  <c r="BM9" i="6"/>
  <c r="BN9" i="6"/>
  <c r="BO9" i="6"/>
  <c r="BP9" i="6"/>
  <c r="BQ9" i="6"/>
  <c r="BR9" i="6"/>
  <c r="BS9" i="6"/>
  <c r="BT9" i="6"/>
  <c r="BU9" i="6"/>
  <c r="BV9" i="6"/>
  <c r="BW9" i="6"/>
  <c r="BX9" i="6"/>
  <c r="BY9" i="6"/>
  <c r="BZ9" i="6"/>
  <c r="CA9" i="6"/>
  <c r="CB9" i="6"/>
  <c r="CC9" i="6"/>
  <c r="CD9" i="6"/>
  <c r="CE9" i="6"/>
  <c r="CF9" i="6"/>
  <c r="CG9" i="6"/>
  <c r="CH9" i="6"/>
  <c r="CI9" i="6"/>
  <c r="CJ9" i="6"/>
  <c r="CK9" i="6"/>
  <c r="CL9" i="6"/>
  <c r="CM9" i="6"/>
  <c r="CN9" i="6"/>
  <c r="CO9" i="6"/>
  <c r="CP9" i="6"/>
  <c r="CQ9" i="6"/>
  <c r="CR9" i="6"/>
  <c r="CS9" i="6"/>
  <c r="CT9" i="6"/>
  <c r="CU9" i="6"/>
  <c r="CV9" i="6"/>
  <c r="CW9" i="6"/>
  <c r="CX9" i="6"/>
  <c r="CY9" i="6"/>
  <c r="CZ9" i="6"/>
  <c r="DA9" i="6"/>
  <c r="AT10" i="6"/>
  <c r="AU10" i="6"/>
  <c r="AV10" i="6"/>
  <c r="AW10" i="6"/>
  <c r="AX10" i="6"/>
  <c r="AY10" i="6"/>
  <c r="AZ10" i="6"/>
  <c r="BA10" i="6"/>
  <c r="BB10" i="6"/>
  <c r="BC10" i="6"/>
  <c r="BD10" i="6"/>
  <c r="BE10" i="6"/>
  <c r="BF10" i="6"/>
  <c r="BG10" i="6"/>
  <c r="BH10" i="6"/>
  <c r="BI10" i="6"/>
  <c r="BJ10" i="6"/>
  <c r="BK10" i="6"/>
  <c r="BL10" i="6"/>
  <c r="BM10" i="6"/>
  <c r="BN10" i="6"/>
  <c r="BO10" i="6"/>
  <c r="BP10" i="6"/>
  <c r="BQ10" i="6"/>
  <c r="BR10" i="6"/>
  <c r="BS10" i="6"/>
  <c r="BT10" i="6"/>
  <c r="BU10" i="6"/>
  <c r="BV10" i="6"/>
  <c r="BW10" i="6"/>
  <c r="BX10" i="6"/>
  <c r="BY10" i="6"/>
  <c r="BZ10" i="6"/>
  <c r="CA10" i="6"/>
  <c r="CB10" i="6"/>
  <c r="CC10" i="6"/>
  <c r="CD10" i="6"/>
  <c r="CE10" i="6"/>
  <c r="CF10" i="6"/>
  <c r="CG10" i="6"/>
  <c r="CH10" i="6"/>
  <c r="CI10" i="6"/>
  <c r="CJ10" i="6"/>
  <c r="CK10" i="6"/>
  <c r="CL10" i="6"/>
  <c r="CM10" i="6"/>
  <c r="CN10" i="6"/>
  <c r="CO10" i="6"/>
  <c r="CP10" i="6"/>
  <c r="CQ10" i="6"/>
  <c r="CR10" i="6"/>
  <c r="CS10" i="6"/>
  <c r="CT10" i="6"/>
  <c r="CU10" i="6"/>
  <c r="CV10" i="6"/>
  <c r="CW10" i="6"/>
  <c r="CX10" i="6"/>
  <c r="CY10" i="6"/>
  <c r="CZ10" i="6"/>
  <c r="DA10" i="6"/>
  <c r="AT11" i="6"/>
  <c r="AU11" i="6"/>
  <c r="AV11" i="6"/>
  <c r="AW11" i="6"/>
  <c r="AX11" i="6"/>
  <c r="AY11" i="6"/>
  <c r="AZ11" i="6"/>
  <c r="BA11" i="6"/>
  <c r="BB11" i="6"/>
  <c r="BC11" i="6"/>
  <c r="BD11" i="6"/>
  <c r="BE11" i="6"/>
  <c r="BF11" i="6"/>
  <c r="BG11" i="6"/>
  <c r="BH11" i="6"/>
  <c r="BI11" i="6"/>
  <c r="BJ11" i="6"/>
  <c r="BK11" i="6"/>
  <c r="BL11" i="6"/>
  <c r="BM11" i="6"/>
  <c r="BN11" i="6"/>
  <c r="BO11" i="6"/>
  <c r="BP11" i="6"/>
  <c r="BQ11" i="6"/>
  <c r="BR11" i="6"/>
  <c r="BS11" i="6"/>
  <c r="BT11" i="6"/>
  <c r="BU11" i="6"/>
  <c r="BV11" i="6"/>
  <c r="BW11" i="6"/>
  <c r="BX11" i="6"/>
  <c r="BY11" i="6"/>
  <c r="BZ11" i="6"/>
  <c r="CA11" i="6"/>
  <c r="CB11" i="6"/>
  <c r="CC11" i="6"/>
  <c r="CD11" i="6"/>
  <c r="CE11" i="6"/>
  <c r="CF11" i="6"/>
  <c r="CG11" i="6"/>
  <c r="CH11" i="6"/>
  <c r="CI11" i="6"/>
  <c r="CJ11" i="6"/>
  <c r="CK11" i="6"/>
  <c r="CL11" i="6"/>
  <c r="CM11" i="6"/>
  <c r="CN11" i="6"/>
  <c r="CO11" i="6"/>
  <c r="CP11" i="6"/>
  <c r="CQ11" i="6"/>
  <c r="CR11" i="6"/>
  <c r="CS11" i="6"/>
  <c r="CT11" i="6"/>
  <c r="CU11" i="6"/>
  <c r="CV11" i="6"/>
  <c r="CW11" i="6"/>
  <c r="CX11" i="6"/>
  <c r="CY11" i="6"/>
  <c r="CZ11" i="6"/>
  <c r="DA11" i="6"/>
  <c r="AT12" i="6"/>
  <c r="AU12" i="6"/>
  <c r="AV12" i="6"/>
  <c r="AW12" i="6"/>
  <c r="AX12" i="6"/>
  <c r="AY12" i="6"/>
  <c r="AZ12" i="6"/>
  <c r="BA12" i="6"/>
  <c r="BB12" i="6"/>
  <c r="BC12" i="6"/>
  <c r="BD12" i="6"/>
  <c r="BE12" i="6"/>
  <c r="BF12" i="6"/>
  <c r="BG12" i="6"/>
  <c r="BH12" i="6"/>
  <c r="BI12" i="6"/>
  <c r="BJ12" i="6"/>
  <c r="BK12" i="6"/>
  <c r="BL12" i="6"/>
  <c r="BM12" i="6"/>
  <c r="BN12" i="6"/>
  <c r="BO12" i="6"/>
  <c r="BP12" i="6"/>
  <c r="BQ12" i="6"/>
  <c r="BR12" i="6"/>
  <c r="BS12" i="6"/>
  <c r="BT12" i="6"/>
  <c r="BU12" i="6"/>
  <c r="BV12" i="6"/>
  <c r="BW12" i="6"/>
  <c r="BX12" i="6"/>
  <c r="BY12" i="6"/>
  <c r="BZ12" i="6"/>
  <c r="CA12" i="6"/>
  <c r="CB12" i="6"/>
  <c r="CC12" i="6"/>
  <c r="CD12" i="6"/>
  <c r="CE12" i="6"/>
  <c r="CF12" i="6"/>
  <c r="CG12" i="6"/>
  <c r="CH12" i="6"/>
  <c r="CI12" i="6"/>
  <c r="CJ12" i="6"/>
  <c r="CK12" i="6"/>
  <c r="CL12" i="6"/>
  <c r="CM12" i="6"/>
  <c r="CN12" i="6"/>
  <c r="CO12" i="6"/>
  <c r="CP12" i="6"/>
  <c r="CQ12" i="6"/>
  <c r="CR12" i="6"/>
  <c r="CS12" i="6"/>
  <c r="CT12" i="6"/>
  <c r="CU12" i="6"/>
  <c r="CV12" i="6"/>
  <c r="CW12" i="6"/>
  <c r="CX12" i="6"/>
  <c r="CY12" i="6"/>
  <c r="CZ12" i="6"/>
  <c r="DA12" i="6"/>
  <c r="AT13" i="6"/>
  <c r="AU13" i="6"/>
  <c r="AV13" i="6"/>
  <c r="AW13" i="6"/>
  <c r="AX13" i="6"/>
  <c r="AY13" i="6"/>
  <c r="AZ13" i="6"/>
  <c r="BA13" i="6"/>
  <c r="BB13" i="6"/>
  <c r="BC13" i="6"/>
  <c r="BD13" i="6"/>
  <c r="BE13" i="6"/>
  <c r="BF13" i="6"/>
  <c r="BG13" i="6"/>
  <c r="BH13" i="6"/>
  <c r="BI13" i="6"/>
  <c r="BJ13" i="6"/>
  <c r="BK13" i="6"/>
  <c r="BL13" i="6"/>
  <c r="BM13" i="6"/>
  <c r="BN13" i="6"/>
  <c r="BO13" i="6"/>
  <c r="BP13" i="6"/>
  <c r="BQ13" i="6"/>
  <c r="BR13" i="6"/>
  <c r="BS13" i="6"/>
  <c r="BT13" i="6"/>
  <c r="BU13" i="6"/>
  <c r="BV13" i="6"/>
  <c r="BW13" i="6"/>
  <c r="BX13" i="6"/>
  <c r="BY13" i="6"/>
  <c r="BZ13" i="6"/>
  <c r="CA13" i="6"/>
  <c r="CB13" i="6"/>
  <c r="CC13" i="6"/>
  <c r="CD13" i="6"/>
  <c r="CE13" i="6"/>
  <c r="CF13" i="6"/>
  <c r="CG13" i="6"/>
  <c r="CH13" i="6"/>
  <c r="CI13" i="6"/>
  <c r="CJ13" i="6"/>
  <c r="CK13" i="6"/>
  <c r="CL13" i="6"/>
  <c r="CM13" i="6"/>
  <c r="CN13" i="6"/>
  <c r="CO13" i="6"/>
  <c r="CP13" i="6"/>
  <c r="CQ13" i="6"/>
  <c r="CR13" i="6"/>
  <c r="CS13" i="6"/>
  <c r="CT13" i="6"/>
  <c r="CU13" i="6"/>
  <c r="CV13" i="6"/>
  <c r="CW13" i="6"/>
  <c r="CX13" i="6"/>
  <c r="CY13" i="6"/>
  <c r="CZ13" i="6"/>
  <c r="DA13" i="6"/>
  <c r="AT14" i="6"/>
  <c r="AU14" i="6"/>
  <c r="AV14" i="6"/>
  <c r="AW14" i="6"/>
  <c r="AX14" i="6"/>
  <c r="AY14" i="6"/>
  <c r="AZ14" i="6"/>
  <c r="BA14" i="6"/>
  <c r="BB14" i="6"/>
  <c r="BC14" i="6"/>
  <c r="BD14" i="6"/>
  <c r="BE14" i="6"/>
  <c r="BF14" i="6"/>
  <c r="BG14" i="6"/>
  <c r="BH14" i="6"/>
  <c r="BI14" i="6"/>
  <c r="BJ14" i="6"/>
  <c r="BK14" i="6"/>
  <c r="BL14" i="6"/>
  <c r="BM14" i="6"/>
  <c r="BN14" i="6"/>
  <c r="BO14" i="6"/>
  <c r="BP14" i="6"/>
  <c r="BQ14" i="6"/>
  <c r="BR14" i="6"/>
  <c r="BS14" i="6"/>
  <c r="BT14" i="6"/>
  <c r="BU14" i="6"/>
  <c r="BV14" i="6"/>
  <c r="BW14" i="6"/>
  <c r="BX14" i="6"/>
  <c r="BY14" i="6"/>
  <c r="BZ14" i="6"/>
  <c r="CA14" i="6"/>
  <c r="CB14" i="6"/>
  <c r="CC14" i="6"/>
  <c r="CD14" i="6"/>
  <c r="CE14" i="6"/>
  <c r="CF14" i="6"/>
  <c r="CG14" i="6"/>
  <c r="CH14" i="6"/>
  <c r="CI14" i="6"/>
  <c r="CJ14" i="6"/>
  <c r="CK14" i="6"/>
  <c r="CL14" i="6"/>
  <c r="CM14" i="6"/>
  <c r="CN14" i="6"/>
  <c r="CO14" i="6"/>
  <c r="CP14" i="6"/>
  <c r="CQ14" i="6"/>
  <c r="CR14" i="6"/>
  <c r="CS14" i="6"/>
  <c r="CT14" i="6"/>
  <c r="CU14" i="6"/>
  <c r="CV14" i="6"/>
  <c r="CW14" i="6"/>
  <c r="CX14" i="6"/>
  <c r="CY14" i="6"/>
  <c r="CZ14" i="6"/>
  <c r="DA14" i="6"/>
  <c r="AT15" i="6"/>
  <c r="AU15" i="6"/>
  <c r="AV15" i="6"/>
  <c r="AW15" i="6"/>
  <c r="AX15" i="6"/>
  <c r="AY15" i="6"/>
  <c r="AZ15" i="6"/>
  <c r="BA15" i="6"/>
  <c r="BB15" i="6"/>
  <c r="BC15" i="6"/>
  <c r="BD15" i="6"/>
  <c r="BE15" i="6"/>
  <c r="BF15" i="6"/>
  <c r="BG15" i="6"/>
  <c r="BH15" i="6"/>
  <c r="BI15" i="6"/>
  <c r="BJ15" i="6"/>
  <c r="BK15" i="6"/>
  <c r="BL15" i="6"/>
  <c r="BM15" i="6"/>
  <c r="BN15" i="6"/>
  <c r="BO15" i="6"/>
  <c r="BP15" i="6"/>
  <c r="BQ15" i="6"/>
  <c r="BR15" i="6"/>
  <c r="BS15" i="6"/>
  <c r="BT15" i="6"/>
  <c r="BU15" i="6"/>
  <c r="BV15" i="6"/>
  <c r="BW15" i="6"/>
  <c r="BX15" i="6"/>
  <c r="BY15" i="6"/>
  <c r="BZ15" i="6"/>
  <c r="CA15" i="6"/>
  <c r="CB15" i="6"/>
  <c r="CC15" i="6"/>
  <c r="CD15" i="6"/>
  <c r="CE15" i="6"/>
  <c r="CF15" i="6"/>
  <c r="CG15" i="6"/>
  <c r="CH15" i="6"/>
  <c r="CI15" i="6"/>
  <c r="CJ15" i="6"/>
  <c r="CK15" i="6"/>
  <c r="CL15" i="6"/>
  <c r="CM15" i="6"/>
  <c r="CN15" i="6"/>
  <c r="CO15" i="6"/>
  <c r="CP15" i="6"/>
  <c r="CQ15" i="6"/>
  <c r="CR15" i="6"/>
  <c r="CS15" i="6"/>
  <c r="CT15" i="6"/>
  <c r="CU15" i="6"/>
  <c r="CV15" i="6"/>
  <c r="CW15" i="6"/>
  <c r="CX15" i="6"/>
  <c r="CY15" i="6"/>
  <c r="CZ15" i="6"/>
  <c r="DA15" i="6"/>
  <c r="AT16" i="6"/>
  <c r="AU16" i="6"/>
  <c r="AV16" i="6"/>
  <c r="AW16" i="6"/>
  <c r="AX16" i="6"/>
  <c r="AY16" i="6"/>
  <c r="AZ16" i="6"/>
  <c r="BA16" i="6"/>
  <c r="BB16" i="6"/>
  <c r="BC16" i="6"/>
  <c r="BD16" i="6"/>
  <c r="BE16" i="6"/>
  <c r="BF16" i="6"/>
  <c r="BG16" i="6"/>
  <c r="BH16" i="6"/>
  <c r="BI16" i="6"/>
  <c r="BJ16" i="6"/>
  <c r="BK16" i="6"/>
  <c r="BL16" i="6"/>
  <c r="BM16" i="6"/>
  <c r="BN16" i="6"/>
  <c r="BO16" i="6"/>
  <c r="BP16" i="6"/>
  <c r="BQ16" i="6"/>
  <c r="BR16" i="6"/>
  <c r="BS16" i="6"/>
  <c r="BT16" i="6"/>
  <c r="BU16" i="6"/>
  <c r="BV16" i="6"/>
  <c r="BW16" i="6"/>
  <c r="BX16" i="6"/>
  <c r="BY16" i="6"/>
  <c r="BZ16" i="6"/>
  <c r="CA16" i="6"/>
  <c r="CB16" i="6"/>
  <c r="CC16" i="6"/>
  <c r="CD16" i="6"/>
  <c r="CE16" i="6"/>
  <c r="CF16" i="6"/>
  <c r="CG16" i="6"/>
  <c r="CH16" i="6"/>
  <c r="CI16" i="6"/>
  <c r="CJ16" i="6"/>
  <c r="CK16" i="6"/>
  <c r="CL16" i="6"/>
  <c r="CM16" i="6"/>
  <c r="CN16" i="6"/>
  <c r="CO16" i="6"/>
  <c r="CP16" i="6"/>
  <c r="CQ16" i="6"/>
  <c r="CR16" i="6"/>
  <c r="CS16" i="6"/>
  <c r="CT16" i="6"/>
  <c r="CU16" i="6"/>
  <c r="CV16" i="6"/>
  <c r="CW16" i="6"/>
  <c r="CX16" i="6"/>
  <c r="CY16" i="6"/>
  <c r="CZ16" i="6"/>
  <c r="DA16" i="6"/>
  <c r="AT17" i="6"/>
  <c r="AU17" i="6"/>
  <c r="AV17" i="6"/>
  <c r="AW17" i="6"/>
  <c r="AX17" i="6"/>
  <c r="AY17" i="6"/>
  <c r="AZ17" i="6"/>
  <c r="BA17" i="6"/>
  <c r="BB17" i="6"/>
  <c r="BC17" i="6"/>
  <c r="BD17" i="6"/>
  <c r="BE17" i="6"/>
  <c r="BF17" i="6"/>
  <c r="BG17" i="6"/>
  <c r="BH17" i="6"/>
  <c r="BI17" i="6"/>
  <c r="BJ17" i="6"/>
  <c r="BK17" i="6"/>
  <c r="BL17" i="6"/>
  <c r="BM17" i="6"/>
  <c r="BN17" i="6"/>
  <c r="BO17" i="6"/>
  <c r="BP17" i="6"/>
  <c r="BQ17" i="6"/>
  <c r="BR17" i="6"/>
  <c r="BS17" i="6"/>
  <c r="BT17" i="6"/>
  <c r="BU17" i="6"/>
  <c r="BV17" i="6"/>
  <c r="BW17" i="6"/>
  <c r="BX17" i="6"/>
  <c r="BY17" i="6"/>
  <c r="BZ17" i="6"/>
  <c r="CA17" i="6"/>
  <c r="CB17" i="6"/>
  <c r="CC17" i="6"/>
  <c r="CD17" i="6"/>
  <c r="CE17" i="6"/>
  <c r="CF17" i="6"/>
  <c r="CG17" i="6"/>
  <c r="CH17" i="6"/>
  <c r="CI17" i="6"/>
  <c r="CJ17" i="6"/>
  <c r="CK17" i="6"/>
  <c r="CL17" i="6"/>
  <c r="CM17" i="6"/>
  <c r="CN17" i="6"/>
  <c r="CO17" i="6"/>
  <c r="CP17" i="6"/>
  <c r="CQ17" i="6"/>
  <c r="CR17" i="6"/>
  <c r="CS17" i="6"/>
  <c r="CT17" i="6"/>
  <c r="CU17" i="6"/>
  <c r="CV17" i="6"/>
  <c r="CW17" i="6"/>
  <c r="CX17" i="6"/>
  <c r="CY17" i="6"/>
  <c r="CZ17" i="6"/>
  <c r="DA17" i="6"/>
  <c r="AT18" i="6"/>
  <c r="AU18" i="6"/>
  <c r="AV18" i="6"/>
  <c r="AW18" i="6"/>
  <c r="AX18" i="6"/>
  <c r="AY18" i="6"/>
  <c r="AZ18" i="6"/>
  <c r="BA18" i="6"/>
  <c r="BB18" i="6"/>
  <c r="BC18" i="6"/>
  <c r="BD18" i="6"/>
  <c r="BE18" i="6"/>
  <c r="BF18" i="6"/>
  <c r="BG18" i="6"/>
  <c r="BH18" i="6"/>
  <c r="BI18" i="6"/>
  <c r="BJ18" i="6"/>
  <c r="BK18" i="6"/>
  <c r="BL18" i="6"/>
  <c r="BM18" i="6"/>
  <c r="BN18" i="6"/>
  <c r="BO18" i="6"/>
  <c r="BP18" i="6"/>
  <c r="BQ18" i="6"/>
  <c r="BR18" i="6"/>
  <c r="BS18" i="6"/>
  <c r="BT18" i="6"/>
  <c r="BU18" i="6"/>
  <c r="BV18" i="6"/>
  <c r="BW18" i="6"/>
  <c r="BX18" i="6"/>
  <c r="BY18" i="6"/>
  <c r="BZ18" i="6"/>
  <c r="CA18" i="6"/>
  <c r="CB18" i="6"/>
  <c r="CC18" i="6"/>
  <c r="CD18" i="6"/>
  <c r="CE18" i="6"/>
  <c r="CF18" i="6"/>
  <c r="CG18" i="6"/>
  <c r="CH18" i="6"/>
  <c r="CI18" i="6"/>
  <c r="CJ18" i="6"/>
  <c r="CK18" i="6"/>
  <c r="CL18" i="6"/>
  <c r="CM18" i="6"/>
  <c r="CN18" i="6"/>
  <c r="CO18" i="6"/>
  <c r="CP18" i="6"/>
  <c r="CQ18" i="6"/>
  <c r="CR18" i="6"/>
  <c r="CS18" i="6"/>
  <c r="CT18" i="6"/>
  <c r="CU18" i="6"/>
  <c r="CV18" i="6"/>
  <c r="CW18" i="6"/>
  <c r="CX18" i="6"/>
  <c r="CY18" i="6"/>
  <c r="CZ18" i="6"/>
  <c r="DA18" i="6"/>
  <c r="AT19" i="6"/>
  <c r="AU19" i="6"/>
  <c r="AV19" i="6"/>
  <c r="AW19" i="6"/>
  <c r="AX19" i="6"/>
  <c r="AY19" i="6"/>
  <c r="AZ19" i="6"/>
  <c r="BA19" i="6"/>
  <c r="BB19" i="6"/>
  <c r="BC19" i="6"/>
  <c r="BD19" i="6"/>
  <c r="BE19" i="6"/>
  <c r="BF19" i="6"/>
  <c r="BG19" i="6"/>
  <c r="BH19" i="6"/>
  <c r="BI19" i="6"/>
  <c r="BJ19" i="6"/>
  <c r="BK19" i="6"/>
  <c r="BL19" i="6"/>
  <c r="BM19" i="6"/>
  <c r="BN19" i="6"/>
  <c r="BO19" i="6"/>
  <c r="BP19" i="6"/>
  <c r="BQ19" i="6"/>
  <c r="BR19" i="6"/>
  <c r="BS19" i="6"/>
  <c r="BT19" i="6"/>
  <c r="BU19" i="6"/>
  <c r="BV19" i="6"/>
  <c r="BW19" i="6"/>
  <c r="BX19" i="6"/>
  <c r="BY19" i="6"/>
  <c r="BZ19" i="6"/>
  <c r="CA19" i="6"/>
  <c r="CB19" i="6"/>
  <c r="CC19" i="6"/>
  <c r="CD19" i="6"/>
  <c r="CE19" i="6"/>
  <c r="CF19" i="6"/>
  <c r="CG19" i="6"/>
  <c r="CH19" i="6"/>
  <c r="CI19" i="6"/>
  <c r="CJ19" i="6"/>
  <c r="CK19" i="6"/>
  <c r="CL19" i="6"/>
  <c r="CM19" i="6"/>
  <c r="CN19" i="6"/>
  <c r="CO19" i="6"/>
  <c r="CP19" i="6"/>
  <c r="CQ19" i="6"/>
  <c r="CR19" i="6"/>
  <c r="CS19" i="6"/>
  <c r="CT19" i="6"/>
  <c r="CU19" i="6"/>
  <c r="CV19" i="6"/>
  <c r="CW19" i="6"/>
  <c r="CX19" i="6"/>
  <c r="CY19" i="6"/>
  <c r="CZ19" i="6"/>
  <c r="DA19" i="6"/>
  <c r="AT20" i="6"/>
  <c r="AU20" i="6"/>
  <c r="AV20" i="6"/>
  <c r="AW20" i="6"/>
  <c r="AX20" i="6"/>
  <c r="AY20" i="6"/>
  <c r="AZ20" i="6"/>
  <c r="BA20" i="6"/>
  <c r="BB20" i="6"/>
  <c r="BC20" i="6"/>
  <c r="BD20" i="6"/>
  <c r="BE20" i="6"/>
  <c r="BF20" i="6"/>
  <c r="BG20" i="6"/>
  <c r="BH20" i="6"/>
  <c r="BI20" i="6"/>
  <c r="BJ20" i="6"/>
  <c r="BK20" i="6"/>
  <c r="BL20" i="6"/>
  <c r="BM20" i="6"/>
  <c r="BN20" i="6"/>
  <c r="BO20" i="6"/>
  <c r="BP20" i="6"/>
  <c r="BQ20" i="6"/>
  <c r="BR20" i="6"/>
  <c r="BS20" i="6"/>
  <c r="BT20" i="6"/>
  <c r="BU20" i="6"/>
  <c r="BV20" i="6"/>
  <c r="BW20" i="6"/>
  <c r="BX20" i="6"/>
  <c r="BY20" i="6"/>
  <c r="BZ20" i="6"/>
  <c r="CA20" i="6"/>
  <c r="CB20" i="6"/>
  <c r="CC20" i="6"/>
  <c r="CD20" i="6"/>
  <c r="CE20" i="6"/>
  <c r="CF20" i="6"/>
  <c r="CG20" i="6"/>
  <c r="CH20" i="6"/>
  <c r="CI20" i="6"/>
  <c r="CJ20" i="6"/>
  <c r="CK20" i="6"/>
  <c r="CL20" i="6"/>
  <c r="CM20" i="6"/>
  <c r="CN20" i="6"/>
  <c r="CO20" i="6"/>
  <c r="CP20" i="6"/>
  <c r="CQ20" i="6"/>
  <c r="CR20" i="6"/>
  <c r="CS20" i="6"/>
  <c r="CT20" i="6"/>
  <c r="CU20" i="6"/>
  <c r="CV20" i="6"/>
  <c r="CW20" i="6"/>
  <c r="CX20" i="6"/>
  <c r="CY20" i="6"/>
  <c r="CZ20" i="6"/>
  <c r="DA20" i="6"/>
  <c r="AT21" i="6"/>
  <c r="AU21" i="6"/>
  <c r="AV21" i="6"/>
  <c r="AW21" i="6"/>
  <c r="AX21" i="6"/>
  <c r="AY21" i="6"/>
  <c r="AZ21" i="6"/>
  <c r="BA21" i="6"/>
  <c r="BB21" i="6"/>
  <c r="BC21" i="6"/>
  <c r="BD21" i="6"/>
  <c r="BE21" i="6"/>
  <c r="BF21" i="6"/>
  <c r="BG21" i="6"/>
  <c r="BH21" i="6"/>
  <c r="BI21" i="6"/>
  <c r="BJ21" i="6"/>
  <c r="BK21" i="6"/>
  <c r="BL21" i="6"/>
  <c r="BM21" i="6"/>
  <c r="BN21" i="6"/>
  <c r="BO21" i="6"/>
  <c r="BP21" i="6"/>
  <c r="BQ21" i="6"/>
  <c r="BR21" i="6"/>
  <c r="BS21" i="6"/>
  <c r="BT21" i="6"/>
  <c r="BU21" i="6"/>
  <c r="BV21" i="6"/>
  <c r="BW21" i="6"/>
  <c r="BX21" i="6"/>
  <c r="BY21" i="6"/>
  <c r="BZ21" i="6"/>
  <c r="CA21" i="6"/>
  <c r="CB21" i="6"/>
  <c r="CC21" i="6"/>
  <c r="CD21" i="6"/>
  <c r="CE21" i="6"/>
  <c r="CF21" i="6"/>
  <c r="CG21" i="6"/>
  <c r="CH21" i="6"/>
  <c r="CI21" i="6"/>
  <c r="CJ21" i="6"/>
  <c r="CK21" i="6"/>
  <c r="CL21" i="6"/>
  <c r="CM21" i="6"/>
  <c r="CN21" i="6"/>
  <c r="CO21" i="6"/>
  <c r="CP21" i="6"/>
  <c r="CQ21" i="6"/>
  <c r="CR21" i="6"/>
  <c r="CS21" i="6"/>
  <c r="CT21" i="6"/>
  <c r="CU21" i="6"/>
  <c r="CV21" i="6"/>
  <c r="CW21" i="6"/>
  <c r="CX21" i="6"/>
  <c r="CY21" i="6"/>
  <c r="CZ21" i="6"/>
  <c r="DA21" i="6"/>
  <c r="AT22" i="6"/>
  <c r="AU22" i="6"/>
  <c r="AV22" i="6"/>
  <c r="AW22" i="6"/>
  <c r="AX22" i="6"/>
  <c r="AY22" i="6"/>
  <c r="AZ22" i="6"/>
  <c r="BA22" i="6"/>
  <c r="BB22" i="6"/>
  <c r="BC22" i="6"/>
  <c r="BD22" i="6"/>
  <c r="BE22" i="6"/>
  <c r="BF22" i="6"/>
  <c r="BG22" i="6"/>
  <c r="BH22" i="6"/>
  <c r="BI22" i="6"/>
  <c r="BJ22" i="6"/>
  <c r="BK22" i="6"/>
  <c r="BL22" i="6"/>
  <c r="BM22" i="6"/>
  <c r="BN22" i="6"/>
  <c r="BO22" i="6"/>
  <c r="BP22" i="6"/>
  <c r="BQ22" i="6"/>
  <c r="BR22" i="6"/>
  <c r="BS22" i="6"/>
  <c r="BT22" i="6"/>
  <c r="BU22" i="6"/>
  <c r="BV22" i="6"/>
  <c r="BW22" i="6"/>
  <c r="BX22" i="6"/>
  <c r="BY22" i="6"/>
  <c r="BZ22" i="6"/>
  <c r="CA22" i="6"/>
  <c r="CB22" i="6"/>
  <c r="CC22" i="6"/>
  <c r="CD22" i="6"/>
  <c r="CE22" i="6"/>
  <c r="CF22" i="6"/>
  <c r="CG22" i="6"/>
  <c r="CH22" i="6"/>
  <c r="CI22" i="6"/>
  <c r="CJ22" i="6"/>
  <c r="CK22" i="6"/>
  <c r="CL22" i="6"/>
  <c r="CM22" i="6"/>
  <c r="CN22" i="6"/>
  <c r="CO22" i="6"/>
  <c r="CP22" i="6"/>
  <c r="CQ22" i="6"/>
  <c r="CR22" i="6"/>
  <c r="CS22" i="6"/>
  <c r="CT22" i="6"/>
  <c r="CU22" i="6"/>
  <c r="CV22" i="6"/>
  <c r="CW22" i="6"/>
  <c r="CX22" i="6"/>
  <c r="CY22" i="6"/>
  <c r="CZ22" i="6"/>
  <c r="DA22" i="6"/>
  <c r="AT23" i="6"/>
  <c r="AU23" i="6"/>
  <c r="AV23" i="6"/>
  <c r="AW23" i="6"/>
  <c r="AX23" i="6"/>
  <c r="AY23" i="6"/>
  <c r="AZ23" i="6"/>
  <c r="BA23" i="6"/>
  <c r="BB23" i="6"/>
  <c r="BC23" i="6"/>
  <c r="BD23" i="6"/>
  <c r="BE23" i="6"/>
  <c r="BF23" i="6"/>
  <c r="BG23" i="6"/>
  <c r="BH23" i="6"/>
  <c r="BI23" i="6"/>
  <c r="BJ23" i="6"/>
  <c r="BK23" i="6"/>
  <c r="BL23" i="6"/>
  <c r="BM23" i="6"/>
  <c r="BN23" i="6"/>
  <c r="BO23" i="6"/>
  <c r="BP23" i="6"/>
  <c r="BQ23" i="6"/>
  <c r="BR23" i="6"/>
  <c r="BS23" i="6"/>
  <c r="BT23" i="6"/>
  <c r="BU23" i="6"/>
  <c r="BV23" i="6"/>
  <c r="BW23" i="6"/>
  <c r="BX23" i="6"/>
  <c r="BY23" i="6"/>
  <c r="BZ23" i="6"/>
  <c r="CA23" i="6"/>
  <c r="CB23" i="6"/>
  <c r="CC23" i="6"/>
  <c r="CD23" i="6"/>
  <c r="CE23" i="6"/>
  <c r="CF23" i="6"/>
  <c r="CG23" i="6"/>
  <c r="CH23" i="6"/>
  <c r="CI23" i="6"/>
  <c r="CJ23" i="6"/>
  <c r="CK23" i="6"/>
  <c r="CL23" i="6"/>
  <c r="CM23" i="6"/>
  <c r="CN23" i="6"/>
  <c r="CO23" i="6"/>
  <c r="CP23" i="6"/>
  <c r="CQ23" i="6"/>
  <c r="CR23" i="6"/>
  <c r="CS23" i="6"/>
  <c r="CT23" i="6"/>
  <c r="CU23" i="6"/>
  <c r="CV23" i="6"/>
  <c r="CW23" i="6"/>
  <c r="CX23" i="6"/>
  <c r="CY23" i="6"/>
  <c r="CZ23" i="6"/>
  <c r="DA23" i="6"/>
  <c r="AT24" i="6"/>
  <c r="AU24" i="6"/>
  <c r="AV24" i="6"/>
  <c r="AW24" i="6"/>
  <c r="AX24" i="6"/>
  <c r="AY24" i="6"/>
  <c r="AZ24" i="6"/>
  <c r="BA24" i="6"/>
  <c r="BB24" i="6"/>
  <c r="BC24" i="6"/>
  <c r="BD24" i="6"/>
  <c r="BE24" i="6"/>
  <c r="BF24" i="6"/>
  <c r="BG24" i="6"/>
  <c r="BH24" i="6"/>
  <c r="BI24" i="6"/>
  <c r="BJ24" i="6"/>
  <c r="BK24" i="6"/>
  <c r="BL24" i="6"/>
  <c r="BM24" i="6"/>
  <c r="BN24" i="6"/>
  <c r="BO24" i="6"/>
  <c r="BP24" i="6"/>
  <c r="BQ24" i="6"/>
  <c r="BR24" i="6"/>
  <c r="BS24" i="6"/>
  <c r="BT24" i="6"/>
  <c r="BU24" i="6"/>
  <c r="BV24" i="6"/>
  <c r="BW24" i="6"/>
  <c r="BX24" i="6"/>
  <c r="BY24" i="6"/>
  <c r="BZ24" i="6"/>
  <c r="CA24" i="6"/>
  <c r="CB24" i="6"/>
  <c r="CC24" i="6"/>
  <c r="CD24" i="6"/>
  <c r="CE24" i="6"/>
  <c r="CF24" i="6"/>
  <c r="CG24" i="6"/>
  <c r="CH24" i="6"/>
  <c r="CI24" i="6"/>
  <c r="CJ24" i="6"/>
  <c r="CK24" i="6"/>
  <c r="CL24" i="6"/>
  <c r="CM24" i="6"/>
  <c r="CN24" i="6"/>
  <c r="CO24" i="6"/>
  <c r="CP24" i="6"/>
  <c r="CQ24" i="6"/>
  <c r="CR24" i="6"/>
  <c r="CS24" i="6"/>
  <c r="CT24" i="6"/>
  <c r="CU24" i="6"/>
  <c r="CV24" i="6"/>
  <c r="CW24" i="6"/>
  <c r="CX24" i="6"/>
  <c r="CY24" i="6"/>
  <c r="CZ24" i="6"/>
  <c r="DA24" i="6"/>
  <c r="AT25" i="6"/>
  <c r="AU25" i="6"/>
  <c r="AV25" i="6"/>
  <c r="AW25" i="6"/>
  <c r="AX25" i="6"/>
  <c r="AY25" i="6"/>
  <c r="AZ25" i="6"/>
  <c r="BA25" i="6"/>
  <c r="BB25" i="6"/>
  <c r="BC25" i="6"/>
  <c r="BD25" i="6"/>
  <c r="BE25" i="6"/>
  <c r="BF25" i="6"/>
  <c r="BG25" i="6"/>
  <c r="BH25" i="6"/>
  <c r="BI25" i="6"/>
  <c r="BJ25" i="6"/>
  <c r="BK25" i="6"/>
  <c r="BL25" i="6"/>
  <c r="BM25" i="6"/>
  <c r="BN25" i="6"/>
  <c r="BO25" i="6"/>
  <c r="BP25" i="6"/>
  <c r="BQ25" i="6"/>
  <c r="BR25" i="6"/>
  <c r="BS25" i="6"/>
  <c r="BT25" i="6"/>
  <c r="BU25" i="6"/>
  <c r="BV25" i="6"/>
  <c r="BW25" i="6"/>
  <c r="BX25" i="6"/>
  <c r="BY25" i="6"/>
  <c r="BZ25" i="6"/>
  <c r="CA25" i="6"/>
  <c r="CB25" i="6"/>
  <c r="CC25" i="6"/>
  <c r="CD25" i="6"/>
  <c r="CE25" i="6"/>
  <c r="CF25" i="6"/>
  <c r="CG25" i="6"/>
  <c r="CH25" i="6"/>
  <c r="CI25" i="6"/>
  <c r="CJ25" i="6"/>
  <c r="CK25" i="6"/>
  <c r="CL25" i="6"/>
  <c r="CM25" i="6"/>
  <c r="CN25" i="6"/>
  <c r="CO25" i="6"/>
  <c r="CP25" i="6"/>
  <c r="CQ25" i="6"/>
  <c r="CR25" i="6"/>
  <c r="CS25" i="6"/>
  <c r="CT25" i="6"/>
  <c r="CU25" i="6"/>
  <c r="CV25" i="6"/>
  <c r="CW25" i="6"/>
  <c r="CX25" i="6"/>
  <c r="CY25" i="6"/>
  <c r="CZ25" i="6"/>
  <c r="DA25" i="6"/>
  <c r="AT26" i="6"/>
  <c r="AU26" i="6"/>
  <c r="AV26" i="6"/>
  <c r="AW26" i="6"/>
  <c r="AX26" i="6"/>
  <c r="AY26" i="6"/>
  <c r="AZ26" i="6"/>
  <c r="BA26" i="6"/>
  <c r="BB26" i="6"/>
  <c r="BC26" i="6"/>
  <c r="BD26" i="6"/>
  <c r="BE26" i="6"/>
  <c r="BF26" i="6"/>
  <c r="BG26" i="6"/>
  <c r="BH26" i="6"/>
  <c r="BI26" i="6"/>
  <c r="BJ26" i="6"/>
  <c r="BK26" i="6"/>
  <c r="BL26" i="6"/>
  <c r="BM26" i="6"/>
  <c r="BN26" i="6"/>
  <c r="BO26" i="6"/>
  <c r="BP26" i="6"/>
  <c r="BQ26" i="6"/>
  <c r="BR26" i="6"/>
  <c r="BS26" i="6"/>
  <c r="BT26" i="6"/>
  <c r="BU26" i="6"/>
  <c r="BV26" i="6"/>
  <c r="BW26" i="6"/>
  <c r="BX26" i="6"/>
  <c r="BY26" i="6"/>
  <c r="BZ26" i="6"/>
  <c r="CA26" i="6"/>
  <c r="CB26" i="6"/>
  <c r="CC26" i="6"/>
  <c r="CD26" i="6"/>
  <c r="CE26" i="6"/>
  <c r="CF26" i="6"/>
  <c r="CG26" i="6"/>
  <c r="CH26" i="6"/>
  <c r="CI26" i="6"/>
  <c r="CJ26" i="6"/>
  <c r="CK26" i="6"/>
  <c r="CL26" i="6"/>
  <c r="CM26" i="6"/>
  <c r="CN26" i="6"/>
  <c r="CO26" i="6"/>
  <c r="CP26" i="6"/>
  <c r="CQ26" i="6"/>
  <c r="CR26" i="6"/>
  <c r="CS26" i="6"/>
  <c r="CT26" i="6"/>
  <c r="CU26" i="6"/>
  <c r="CV26" i="6"/>
  <c r="CW26" i="6"/>
  <c r="CX26" i="6"/>
  <c r="CY26" i="6"/>
  <c r="CZ26" i="6"/>
  <c r="DA26" i="6"/>
  <c r="AT27" i="6"/>
  <c r="AU27" i="6"/>
  <c r="AV27" i="6"/>
  <c r="AW27" i="6"/>
  <c r="AX27" i="6"/>
  <c r="AY27" i="6"/>
  <c r="AZ27" i="6"/>
  <c r="BA27" i="6"/>
  <c r="BB27" i="6"/>
  <c r="BC27" i="6"/>
  <c r="BD27" i="6"/>
  <c r="BE27" i="6"/>
  <c r="BF27" i="6"/>
  <c r="BG27" i="6"/>
  <c r="BH27" i="6"/>
  <c r="BI27" i="6"/>
  <c r="BJ27" i="6"/>
  <c r="BK27" i="6"/>
  <c r="BL27" i="6"/>
  <c r="BM27" i="6"/>
  <c r="BN27" i="6"/>
  <c r="BO27" i="6"/>
  <c r="BP27" i="6"/>
  <c r="BQ27" i="6"/>
  <c r="BR27" i="6"/>
  <c r="BS27" i="6"/>
  <c r="BT27" i="6"/>
  <c r="BU27" i="6"/>
  <c r="BV27" i="6"/>
  <c r="BW27" i="6"/>
  <c r="BX27" i="6"/>
  <c r="BY27" i="6"/>
  <c r="BZ27" i="6"/>
  <c r="CA27" i="6"/>
  <c r="CB27" i="6"/>
  <c r="CC27" i="6"/>
  <c r="CD27" i="6"/>
  <c r="CE27" i="6"/>
  <c r="CF27" i="6"/>
  <c r="CG27" i="6"/>
  <c r="CH27" i="6"/>
  <c r="CI27" i="6"/>
  <c r="CJ27" i="6"/>
  <c r="CK27" i="6"/>
  <c r="CL27" i="6"/>
  <c r="CM27" i="6"/>
  <c r="CN27" i="6"/>
  <c r="CO27" i="6"/>
  <c r="CP27" i="6"/>
  <c r="CQ27" i="6"/>
  <c r="CR27" i="6"/>
  <c r="CS27" i="6"/>
  <c r="CT27" i="6"/>
  <c r="CU27" i="6"/>
  <c r="CV27" i="6"/>
  <c r="CW27" i="6"/>
  <c r="CX27" i="6"/>
  <c r="CY27" i="6"/>
  <c r="CZ27" i="6"/>
  <c r="DA27" i="6"/>
  <c r="AT28" i="6"/>
  <c r="AU28" i="6"/>
  <c r="AV28" i="6"/>
  <c r="AW28" i="6"/>
  <c r="AX28" i="6"/>
  <c r="AY28" i="6"/>
  <c r="AZ28" i="6"/>
  <c r="BA28" i="6"/>
  <c r="BB28" i="6"/>
  <c r="BC28" i="6"/>
  <c r="BD28" i="6"/>
  <c r="BE28" i="6"/>
  <c r="BF28" i="6"/>
  <c r="BG28" i="6"/>
  <c r="BH28" i="6"/>
  <c r="BI28" i="6"/>
  <c r="BJ28" i="6"/>
  <c r="BK28" i="6"/>
  <c r="BL28" i="6"/>
  <c r="BM28" i="6"/>
  <c r="BN28" i="6"/>
  <c r="BO28" i="6"/>
  <c r="BP28" i="6"/>
  <c r="BQ28" i="6"/>
  <c r="BR28" i="6"/>
  <c r="BS28" i="6"/>
  <c r="BT28" i="6"/>
  <c r="BU28" i="6"/>
  <c r="BV28" i="6"/>
  <c r="BW28" i="6"/>
  <c r="BX28" i="6"/>
  <c r="BY28" i="6"/>
  <c r="BZ28" i="6"/>
  <c r="CA28" i="6"/>
  <c r="CB28" i="6"/>
  <c r="CC28" i="6"/>
  <c r="CD28" i="6"/>
  <c r="CE28" i="6"/>
  <c r="CF28" i="6"/>
  <c r="CG28" i="6"/>
  <c r="CH28" i="6"/>
  <c r="CI28" i="6"/>
  <c r="CJ28" i="6"/>
  <c r="CK28" i="6"/>
  <c r="CL28" i="6"/>
  <c r="CM28" i="6"/>
  <c r="CN28" i="6"/>
  <c r="CO28" i="6"/>
  <c r="CP28" i="6"/>
  <c r="CQ28" i="6"/>
  <c r="CR28" i="6"/>
  <c r="CS28" i="6"/>
  <c r="CT28" i="6"/>
  <c r="CU28" i="6"/>
  <c r="CV28" i="6"/>
  <c r="CW28" i="6"/>
  <c r="CX28" i="6"/>
  <c r="CY28" i="6"/>
  <c r="CZ28" i="6"/>
  <c r="DA28" i="6"/>
  <c r="AT29" i="6"/>
  <c r="AU29" i="6"/>
  <c r="AV29" i="6"/>
  <c r="AW29" i="6"/>
  <c r="AX29" i="6"/>
  <c r="AY29" i="6"/>
  <c r="AZ29" i="6"/>
  <c r="BA29" i="6"/>
  <c r="BB29" i="6"/>
  <c r="BC29" i="6"/>
  <c r="BD29" i="6"/>
  <c r="BE29" i="6"/>
  <c r="BF29" i="6"/>
  <c r="BG29" i="6"/>
  <c r="BH29" i="6"/>
  <c r="BI29" i="6"/>
  <c r="BJ29" i="6"/>
  <c r="BK29" i="6"/>
  <c r="BL29" i="6"/>
  <c r="BM29" i="6"/>
  <c r="BN29" i="6"/>
  <c r="BO29" i="6"/>
  <c r="BP29" i="6"/>
  <c r="BQ29" i="6"/>
  <c r="BR29" i="6"/>
  <c r="BS29" i="6"/>
  <c r="BT29" i="6"/>
  <c r="BU29" i="6"/>
  <c r="BV29" i="6"/>
  <c r="BW29" i="6"/>
  <c r="BX29" i="6"/>
  <c r="BY29" i="6"/>
  <c r="BZ29" i="6"/>
  <c r="CA29" i="6"/>
  <c r="CB29" i="6"/>
  <c r="CC29" i="6"/>
  <c r="CD29" i="6"/>
  <c r="CE29" i="6"/>
  <c r="CF29" i="6"/>
  <c r="CG29" i="6"/>
  <c r="CH29" i="6"/>
  <c r="CI29" i="6"/>
  <c r="CJ29" i="6"/>
  <c r="CK29" i="6"/>
  <c r="CL29" i="6"/>
  <c r="CM29" i="6"/>
  <c r="CN29" i="6"/>
  <c r="CO29" i="6"/>
  <c r="CP29" i="6"/>
  <c r="CQ29" i="6"/>
  <c r="CR29" i="6"/>
  <c r="CS29" i="6"/>
  <c r="CT29" i="6"/>
  <c r="CU29" i="6"/>
  <c r="CV29" i="6"/>
  <c r="CW29" i="6"/>
  <c r="CX29" i="6"/>
  <c r="CY29" i="6"/>
  <c r="CZ29" i="6"/>
  <c r="DA29" i="6"/>
  <c r="AT30" i="6"/>
  <c r="AU30" i="6"/>
  <c r="AV30" i="6"/>
  <c r="AW30" i="6"/>
  <c r="AX30" i="6"/>
  <c r="AY30" i="6"/>
  <c r="AZ30" i="6"/>
  <c r="BA30" i="6"/>
  <c r="BB30" i="6"/>
  <c r="BC30" i="6"/>
  <c r="BD30" i="6"/>
  <c r="BE30" i="6"/>
  <c r="BF30" i="6"/>
  <c r="BG30" i="6"/>
  <c r="BH30" i="6"/>
  <c r="BI30" i="6"/>
  <c r="BJ30" i="6"/>
  <c r="BK30" i="6"/>
  <c r="BL30" i="6"/>
  <c r="BM30" i="6"/>
  <c r="BN30" i="6"/>
  <c r="BO30" i="6"/>
  <c r="BP30" i="6"/>
  <c r="BQ30" i="6"/>
  <c r="BR30" i="6"/>
  <c r="BS30" i="6"/>
  <c r="BT30" i="6"/>
  <c r="BU30" i="6"/>
  <c r="BV30" i="6"/>
  <c r="BW30" i="6"/>
  <c r="BX30" i="6"/>
  <c r="BY30" i="6"/>
  <c r="BZ30" i="6"/>
  <c r="CA30" i="6"/>
  <c r="CB30" i="6"/>
  <c r="CC30" i="6"/>
  <c r="CD30" i="6"/>
  <c r="CE30" i="6"/>
  <c r="CF30" i="6"/>
  <c r="CG30" i="6"/>
  <c r="CH30" i="6"/>
  <c r="CI30" i="6"/>
  <c r="CJ30" i="6"/>
  <c r="CK30" i="6"/>
  <c r="CL30" i="6"/>
  <c r="CM30" i="6"/>
  <c r="CN30" i="6"/>
  <c r="CO30" i="6"/>
  <c r="CP30" i="6"/>
  <c r="CQ30" i="6"/>
  <c r="CR30" i="6"/>
  <c r="CS30" i="6"/>
  <c r="CT30" i="6"/>
  <c r="CU30" i="6"/>
  <c r="CV30" i="6"/>
  <c r="CW30" i="6"/>
  <c r="CX30" i="6"/>
  <c r="CY30" i="6"/>
  <c r="CZ30" i="6"/>
  <c r="DA30"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Y31" i="6"/>
  <c r="CZ31" i="6"/>
  <c r="DA31" i="6"/>
  <c r="AT32" i="6"/>
  <c r="AU32" i="6"/>
  <c r="AV32" i="6"/>
  <c r="AW32" i="6"/>
  <c r="AX32" i="6"/>
  <c r="AY32" i="6"/>
  <c r="AZ32" i="6"/>
  <c r="BA32" i="6"/>
  <c r="BB32" i="6"/>
  <c r="BC32" i="6"/>
  <c r="BD32" i="6"/>
  <c r="BE32" i="6"/>
  <c r="BF32" i="6"/>
  <c r="BG32" i="6"/>
  <c r="BH32" i="6"/>
  <c r="BI32" i="6"/>
  <c r="BJ32" i="6"/>
  <c r="BK32" i="6"/>
  <c r="BL32" i="6"/>
  <c r="BM32" i="6"/>
  <c r="BN32" i="6"/>
  <c r="BO32" i="6"/>
  <c r="BP32" i="6"/>
  <c r="BQ32" i="6"/>
  <c r="BR32" i="6"/>
  <c r="BS32" i="6"/>
  <c r="BT32" i="6"/>
  <c r="BU32" i="6"/>
  <c r="BV32" i="6"/>
  <c r="BW32" i="6"/>
  <c r="BX32" i="6"/>
  <c r="BY32" i="6"/>
  <c r="BZ32" i="6"/>
  <c r="CA32" i="6"/>
  <c r="CB32" i="6"/>
  <c r="CC32" i="6"/>
  <c r="CD32" i="6"/>
  <c r="CE32" i="6"/>
  <c r="CF32" i="6"/>
  <c r="CG32" i="6"/>
  <c r="CH32" i="6"/>
  <c r="CI32" i="6"/>
  <c r="CJ32" i="6"/>
  <c r="CK32" i="6"/>
  <c r="CL32" i="6"/>
  <c r="CM32" i="6"/>
  <c r="CN32" i="6"/>
  <c r="CO32" i="6"/>
  <c r="CP32" i="6"/>
  <c r="CQ32" i="6"/>
  <c r="CR32" i="6"/>
  <c r="CS32" i="6"/>
  <c r="CT32" i="6"/>
  <c r="CU32" i="6"/>
  <c r="CV32" i="6"/>
  <c r="CW32" i="6"/>
  <c r="CX32" i="6"/>
  <c r="CY32" i="6"/>
  <c r="CZ32" i="6"/>
  <c r="DA32" i="6"/>
  <c r="AT33" i="6"/>
  <c r="AU33" i="6"/>
  <c r="AV33" i="6"/>
  <c r="AW33" i="6"/>
  <c r="AX33" i="6"/>
  <c r="AY33" i="6"/>
  <c r="AZ33" i="6"/>
  <c r="BA33" i="6"/>
  <c r="BB33" i="6"/>
  <c r="BC33" i="6"/>
  <c r="BD33" i="6"/>
  <c r="BE33" i="6"/>
  <c r="BF33" i="6"/>
  <c r="BG33" i="6"/>
  <c r="BH33" i="6"/>
  <c r="BI33" i="6"/>
  <c r="BJ33" i="6"/>
  <c r="BK33" i="6"/>
  <c r="BL33" i="6"/>
  <c r="BM33" i="6"/>
  <c r="BN33" i="6"/>
  <c r="BO33" i="6"/>
  <c r="BP33" i="6"/>
  <c r="BQ33" i="6"/>
  <c r="BR33" i="6"/>
  <c r="BS33" i="6"/>
  <c r="BT33" i="6"/>
  <c r="BU33" i="6"/>
  <c r="BV33" i="6"/>
  <c r="BW33" i="6"/>
  <c r="BX33" i="6"/>
  <c r="BY33" i="6"/>
  <c r="BZ33" i="6"/>
  <c r="CA33" i="6"/>
  <c r="CB33" i="6"/>
  <c r="CC33" i="6"/>
  <c r="CD33" i="6"/>
  <c r="CE33" i="6"/>
  <c r="CF33" i="6"/>
  <c r="CG33" i="6"/>
  <c r="CH33" i="6"/>
  <c r="CI33" i="6"/>
  <c r="CJ33" i="6"/>
  <c r="CK33" i="6"/>
  <c r="CL33" i="6"/>
  <c r="CM33" i="6"/>
  <c r="CN33" i="6"/>
  <c r="CO33" i="6"/>
  <c r="CP33" i="6"/>
  <c r="CQ33" i="6"/>
  <c r="CR33" i="6"/>
  <c r="CS33" i="6"/>
  <c r="CT33" i="6"/>
  <c r="CU33" i="6"/>
  <c r="CV33" i="6"/>
  <c r="CW33" i="6"/>
  <c r="CX33" i="6"/>
  <c r="CY33" i="6"/>
  <c r="CZ33" i="6"/>
  <c r="DA33" i="6"/>
  <c r="AT34" i="6"/>
  <c r="AU34" i="6"/>
  <c r="AV34" i="6"/>
  <c r="AW34" i="6"/>
  <c r="AX34" i="6"/>
  <c r="AY34" i="6"/>
  <c r="AZ34" i="6"/>
  <c r="BA34" i="6"/>
  <c r="BB34" i="6"/>
  <c r="BC34" i="6"/>
  <c r="BD34" i="6"/>
  <c r="BE34" i="6"/>
  <c r="BF34" i="6"/>
  <c r="BG34" i="6"/>
  <c r="BH34" i="6"/>
  <c r="BI34" i="6"/>
  <c r="BJ34" i="6"/>
  <c r="BK34" i="6"/>
  <c r="BL34" i="6"/>
  <c r="BM34" i="6"/>
  <c r="BN34" i="6"/>
  <c r="BO34" i="6"/>
  <c r="BP34" i="6"/>
  <c r="BQ34" i="6"/>
  <c r="BR34" i="6"/>
  <c r="BS34" i="6"/>
  <c r="BT34" i="6"/>
  <c r="BU34" i="6"/>
  <c r="BV34" i="6"/>
  <c r="BW34" i="6"/>
  <c r="BX34" i="6"/>
  <c r="BY34" i="6"/>
  <c r="BZ34" i="6"/>
  <c r="CA34" i="6"/>
  <c r="CB34" i="6"/>
  <c r="CC34" i="6"/>
  <c r="CD34" i="6"/>
  <c r="CE34" i="6"/>
  <c r="CF34" i="6"/>
  <c r="CG34" i="6"/>
  <c r="CH34" i="6"/>
  <c r="CI34" i="6"/>
  <c r="CJ34" i="6"/>
  <c r="CK34" i="6"/>
  <c r="CL34" i="6"/>
  <c r="CM34" i="6"/>
  <c r="CN34" i="6"/>
  <c r="CO34" i="6"/>
  <c r="CP34" i="6"/>
  <c r="CQ34" i="6"/>
  <c r="CR34" i="6"/>
  <c r="CS34" i="6"/>
  <c r="CT34" i="6"/>
  <c r="CU34" i="6"/>
  <c r="CV34" i="6"/>
  <c r="CW34" i="6"/>
  <c r="CX34" i="6"/>
  <c r="CY34" i="6"/>
  <c r="CZ34" i="6"/>
  <c r="DA34" i="6"/>
  <c r="AT35" i="6"/>
  <c r="AU35" i="6"/>
  <c r="AV35" i="6"/>
  <c r="AW35" i="6"/>
  <c r="AX35" i="6"/>
  <c r="AY35" i="6"/>
  <c r="AZ35" i="6"/>
  <c r="BA35" i="6"/>
  <c r="BB35" i="6"/>
  <c r="BC35" i="6"/>
  <c r="BD35" i="6"/>
  <c r="BE35" i="6"/>
  <c r="BF35" i="6"/>
  <c r="BG35" i="6"/>
  <c r="BH35" i="6"/>
  <c r="BI35" i="6"/>
  <c r="BJ35" i="6"/>
  <c r="BK35" i="6"/>
  <c r="BL35" i="6"/>
  <c r="BM35" i="6"/>
  <c r="BN35" i="6"/>
  <c r="BO35" i="6"/>
  <c r="BP35" i="6"/>
  <c r="BQ35" i="6"/>
  <c r="BR35" i="6"/>
  <c r="BS35" i="6"/>
  <c r="BT35" i="6"/>
  <c r="BU35" i="6"/>
  <c r="BV35" i="6"/>
  <c r="BW35" i="6"/>
  <c r="BX35" i="6"/>
  <c r="BY35" i="6"/>
  <c r="BZ35" i="6"/>
  <c r="CA35" i="6"/>
  <c r="CB35" i="6"/>
  <c r="CC35" i="6"/>
  <c r="CD35" i="6"/>
  <c r="CE35" i="6"/>
  <c r="CF35" i="6"/>
  <c r="CG35" i="6"/>
  <c r="CH35" i="6"/>
  <c r="CI35" i="6"/>
  <c r="CJ35" i="6"/>
  <c r="CK35" i="6"/>
  <c r="CL35" i="6"/>
  <c r="CM35" i="6"/>
  <c r="CN35" i="6"/>
  <c r="CO35" i="6"/>
  <c r="CP35" i="6"/>
  <c r="CQ35" i="6"/>
  <c r="CR35" i="6"/>
  <c r="CS35" i="6"/>
  <c r="CT35" i="6"/>
  <c r="CU35" i="6"/>
  <c r="CV35" i="6"/>
  <c r="CW35" i="6"/>
  <c r="CX35" i="6"/>
  <c r="CY35" i="6"/>
  <c r="CZ35" i="6"/>
  <c r="DA35" i="6"/>
  <c r="AT36" i="6"/>
  <c r="AU36" i="6"/>
  <c r="AV36" i="6"/>
  <c r="AW36" i="6"/>
  <c r="AX36" i="6"/>
  <c r="AY36" i="6"/>
  <c r="AZ36" i="6"/>
  <c r="BA36" i="6"/>
  <c r="BB36" i="6"/>
  <c r="BC36" i="6"/>
  <c r="BD36" i="6"/>
  <c r="BE36" i="6"/>
  <c r="BF36" i="6"/>
  <c r="BG36" i="6"/>
  <c r="BH36" i="6"/>
  <c r="BI36" i="6"/>
  <c r="BJ36" i="6"/>
  <c r="BK36" i="6"/>
  <c r="BL36" i="6"/>
  <c r="BM36" i="6"/>
  <c r="BN36" i="6"/>
  <c r="BO36" i="6"/>
  <c r="BP36" i="6"/>
  <c r="BQ36" i="6"/>
  <c r="BR36" i="6"/>
  <c r="BS36" i="6"/>
  <c r="BT36" i="6"/>
  <c r="BU36" i="6"/>
  <c r="BV36" i="6"/>
  <c r="BW36" i="6"/>
  <c r="BX36" i="6"/>
  <c r="BY36" i="6"/>
  <c r="BZ36" i="6"/>
  <c r="CA36" i="6"/>
  <c r="CB36" i="6"/>
  <c r="CC36" i="6"/>
  <c r="CD36" i="6"/>
  <c r="CE36" i="6"/>
  <c r="CF36" i="6"/>
  <c r="CG36" i="6"/>
  <c r="CH36" i="6"/>
  <c r="CI36" i="6"/>
  <c r="CJ36" i="6"/>
  <c r="CK36" i="6"/>
  <c r="CL36" i="6"/>
  <c r="CM36" i="6"/>
  <c r="CN36" i="6"/>
  <c r="CO36" i="6"/>
  <c r="CP36" i="6"/>
  <c r="CQ36" i="6"/>
  <c r="CR36" i="6"/>
  <c r="CS36" i="6"/>
  <c r="CT36" i="6"/>
  <c r="CU36" i="6"/>
  <c r="CV36" i="6"/>
  <c r="CW36" i="6"/>
  <c r="CX36" i="6"/>
  <c r="CY36" i="6"/>
  <c r="CZ36" i="6"/>
  <c r="DA36" i="6"/>
  <c r="AT37" i="6"/>
  <c r="AU37" i="6"/>
  <c r="AV37" i="6"/>
  <c r="AW37" i="6"/>
  <c r="AX37" i="6"/>
  <c r="AY37" i="6"/>
  <c r="AZ37" i="6"/>
  <c r="BA37" i="6"/>
  <c r="BB37" i="6"/>
  <c r="BC37" i="6"/>
  <c r="BD37" i="6"/>
  <c r="BE37" i="6"/>
  <c r="BF37" i="6"/>
  <c r="BG37" i="6"/>
  <c r="BH37" i="6"/>
  <c r="BI37" i="6"/>
  <c r="BJ37" i="6"/>
  <c r="BK37" i="6"/>
  <c r="BL37" i="6"/>
  <c r="BM37" i="6"/>
  <c r="BN37" i="6"/>
  <c r="BO37" i="6"/>
  <c r="BP37" i="6"/>
  <c r="BQ37" i="6"/>
  <c r="BR37" i="6"/>
  <c r="BS37" i="6"/>
  <c r="BT37" i="6"/>
  <c r="BU37" i="6"/>
  <c r="BV37" i="6"/>
  <c r="BW37" i="6"/>
  <c r="BX37" i="6"/>
  <c r="BY37" i="6"/>
  <c r="BZ37" i="6"/>
  <c r="CA37" i="6"/>
  <c r="CB37" i="6"/>
  <c r="CC37" i="6"/>
  <c r="CD37" i="6"/>
  <c r="CE37" i="6"/>
  <c r="CF37" i="6"/>
  <c r="CG37" i="6"/>
  <c r="CH37" i="6"/>
  <c r="CI37" i="6"/>
  <c r="CJ37" i="6"/>
  <c r="CK37" i="6"/>
  <c r="CL37" i="6"/>
  <c r="CM37" i="6"/>
  <c r="CN37" i="6"/>
  <c r="CO37" i="6"/>
  <c r="CP37" i="6"/>
  <c r="CQ37" i="6"/>
  <c r="CR37" i="6"/>
  <c r="CS37" i="6"/>
  <c r="CT37" i="6"/>
  <c r="CU37" i="6"/>
  <c r="CV37" i="6"/>
  <c r="CW37" i="6"/>
  <c r="CX37" i="6"/>
  <c r="CY37" i="6"/>
  <c r="CZ37" i="6"/>
  <c r="DA37" i="6"/>
  <c r="AT38" i="6"/>
  <c r="AU38" i="6"/>
  <c r="AV38" i="6"/>
  <c r="AW38" i="6"/>
  <c r="AX38" i="6"/>
  <c r="AY38" i="6"/>
  <c r="AZ38" i="6"/>
  <c r="BA38" i="6"/>
  <c r="BB38" i="6"/>
  <c r="BC38" i="6"/>
  <c r="BD38" i="6"/>
  <c r="BE38" i="6"/>
  <c r="BF38" i="6"/>
  <c r="BG38" i="6"/>
  <c r="BH38" i="6"/>
  <c r="BI38" i="6"/>
  <c r="BJ38" i="6"/>
  <c r="BK38" i="6"/>
  <c r="BL38" i="6"/>
  <c r="BM38" i="6"/>
  <c r="BN38" i="6"/>
  <c r="BO38" i="6"/>
  <c r="BP38" i="6"/>
  <c r="BQ38" i="6"/>
  <c r="BR38" i="6"/>
  <c r="BS38" i="6"/>
  <c r="BT38" i="6"/>
  <c r="BU38" i="6"/>
  <c r="BV38" i="6"/>
  <c r="BW38" i="6"/>
  <c r="BX38" i="6"/>
  <c r="BY38" i="6"/>
  <c r="BZ38" i="6"/>
  <c r="CA38" i="6"/>
  <c r="CB38" i="6"/>
  <c r="CC38" i="6"/>
  <c r="CD38" i="6"/>
  <c r="CE38" i="6"/>
  <c r="CF38" i="6"/>
  <c r="CG38" i="6"/>
  <c r="CH38" i="6"/>
  <c r="CI38" i="6"/>
  <c r="CJ38" i="6"/>
  <c r="CK38" i="6"/>
  <c r="CL38" i="6"/>
  <c r="CM38" i="6"/>
  <c r="CN38" i="6"/>
  <c r="CO38" i="6"/>
  <c r="CP38" i="6"/>
  <c r="CQ38" i="6"/>
  <c r="CR38" i="6"/>
  <c r="CS38" i="6"/>
  <c r="CT38" i="6"/>
  <c r="CU38" i="6"/>
  <c r="CV38" i="6"/>
  <c r="CW38" i="6"/>
  <c r="CX38" i="6"/>
  <c r="CY38" i="6"/>
  <c r="CZ38" i="6"/>
  <c r="DA38" i="6"/>
  <c r="AT39" i="6"/>
  <c r="AU39" i="6"/>
  <c r="AV39" i="6"/>
  <c r="AW39" i="6"/>
  <c r="AX39" i="6"/>
  <c r="AY39" i="6"/>
  <c r="AZ39" i="6"/>
  <c r="BA39" i="6"/>
  <c r="BB39" i="6"/>
  <c r="BC39" i="6"/>
  <c r="BD39" i="6"/>
  <c r="BE39" i="6"/>
  <c r="BF39" i="6"/>
  <c r="BG39" i="6"/>
  <c r="BH39" i="6"/>
  <c r="BI39" i="6"/>
  <c r="BJ39" i="6"/>
  <c r="BK39" i="6"/>
  <c r="BL39" i="6"/>
  <c r="BM39" i="6"/>
  <c r="BN39" i="6"/>
  <c r="BO39" i="6"/>
  <c r="BP39" i="6"/>
  <c r="BQ39" i="6"/>
  <c r="BR39" i="6"/>
  <c r="BS39" i="6"/>
  <c r="BT39" i="6"/>
  <c r="BU39" i="6"/>
  <c r="BV39" i="6"/>
  <c r="BW39" i="6"/>
  <c r="BX39" i="6"/>
  <c r="BY39" i="6"/>
  <c r="BZ39" i="6"/>
  <c r="CA39" i="6"/>
  <c r="CB39" i="6"/>
  <c r="CC39" i="6"/>
  <c r="CD39" i="6"/>
  <c r="CE39" i="6"/>
  <c r="CF39" i="6"/>
  <c r="CG39" i="6"/>
  <c r="CH39" i="6"/>
  <c r="CI39" i="6"/>
  <c r="CJ39" i="6"/>
  <c r="CK39" i="6"/>
  <c r="CL39" i="6"/>
  <c r="CM39" i="6"/>
  <c r="CN39" i="6"/>
  <c r="CO39" i="6"/>
  <c r="CP39" i="6"/>
  <c r="CQ39" i="6"/>
  <c r="CR39" i="6"/>
  <c r="CS39" i="6"/>
  <c r="CT39" i="6"/>
  <c r="CU39" i="6"/>
  <c r="CV39" i="6"/>
  <c r="CW39" i="6"/>
  <c r="CX39" i="6"/>
  <c r="CY39" i="6"/>
  <c r="CZ39" i="6"/>
  <c r="DA39" i="6"/>
  <c r="AT40" i="6"/>
  <c r="AU40" i="6"/>
  <c r="AV40" i="6"/>
  <c r="AW40" i="6"/>
  <c r="AX40" i="6"/>
  <c r="AY40" i="6"/>
  <c r="AZ40" i="6"/>
  <c r="BA40" i="6"/>
  <c r="BB40" i="6"/>
  <c r="BC40" i="6"/>
  <c r="BD40" i="6"/>
  <c r="BE40" i="6"/>
  <c r="BF40" i="6"/>
  <c r="BG40" i="6"/>
  <c r="BH40" i="6"/>
  <c r="BI40" i="6"/>
  <c r="BJ40" i="6"/>
  <c r="BK40" i="6"/>
  <c r="BL40" i="6"/>
  <c r="BM40" i="6"/>
  <c r="BN40" i="6"/>
  <c r="BO40" i="6"/>
  <c r="BP40" i="6"/>
  <c r="BQ40" i="6"/>
  <c r="BR40" i="6"/>
  <c r="BS40" i="6"/>
  <c r="BT40" i="6"/>
  <c r="BU40" i="6"/>
  <c r="BV40" i="6"/>
  <c r="BW40" i="6"/>
  <c r="BX40" i="6"/>
  <c r="BY40" i="6"/>
  <c r="BZ40" i="6"/>
  <c r="CA40" i="6"/>
  <c r="CB40" i="6"/>
  <c r="CC40" i="6"/>
  <c r="CD40" i="6"/>
  <c r="CE40" i="6"/>
  <c r="CF40" i="6"/>
  <c r="CG40" i="6"/>
  <c r="CH40" i="6"/>
  <c r="CI40" i="6"/>
  <c r="CJ40" i="6"/>
  <c r="CK40" i="6"/>
  <c r="CL40" i="6"/>
  <c r="CM40" i="6"/>
  <c r="CN40" i="6"/>
  <c r="CO40" i="6"/>
  <c r="CP40" i="6"/>
  <c r="CQ40" i="6"/>
  <c r="CR40" i="6"/>
  <c r="CS40" i="6"/>
  <c r="CT40" i="6"/>
  <c r="CU40" i="6"/>
  <c r="CV40" i="6"/>
  <c r="CW40" i="6"/>
  <c r="CX40" i="6"/>
  <c r="CY40" i="6"/>
  <c r="CZ40" i="6"/>
  <c r="DA40" i="6"/>
  <c r="AT41" i="6"/>
  <c r="AU41" i="6"/>
  <c r="AV41" i="6"/>
  <c r="AW41" i="6"/>
  <c r="AX41" i="6"/>
  <c r="AY41" i="6"/>
  <c r="AZ41" i="6"/>
  <c r="BA41" i="6"/>
  <c r="BB41" i="6"/>
  <c r="BC41" i="6"/>
  <c r="BD41" i="6"/>
  <c r="BE41" i="6"/>
  <c r="BF41" i="6"/>
  <c r="BG41" i="6"/>
  <c r="BH41" i="6"/>
  <c r="BI41" i="6"/>
  <c r="BJ41" i="6"/>
  <c r="BK41" i="6"/>
  <c r="BL41" i="6"/>
  <c r="BM41" i="6"/>
  <c r="BN41" i="6"/>
  <c r="BO41" i="6"/>
  <c r="BP41" i="6"/>
  <c r="BQ41" i="6"/>
  <c r="BR41" i="6"/>
  <c r="BS41" i="6"/>
  <c r="BT41" i="6"/>
  <c r="BU41" i="6"/>
  <c r="BV41" i="6"/>
  <c r="BW41" i="6"/>
  <c r="BX41" i="6"/>
  <c r="BY41" i="6"/>
  <c r="BZ41" i="6"/>
  <c r="CA41" i="6"/>
  <c r="CB41" i="6"/>
  <c r="CC41" i="6"/>
  <c r="CD41" i="6"/>
  <c r="CE41" i="6"/>
  <c r="CF41" i="6"/>
  <c r="CG41" i="6"/>
  <c r="CH41" i="6"/>
  <c r="CI41" i="6"/>
  <c r="CJ41" i="6"/>
  <c r="CK41" i="6"/>
  <c r="CL41" i="6"/>
  <c r="CM41" i="6"/>
  <c r="CN41" i="6"/>
  <c r="CO41" i="6"/>
  <c r="CP41" i="6"/>
  <c r="CQ41" i="6"/>
  <c r="CR41" i="6"/>
  <c r="CS41" i="6"/>
  <c r="CT41" i="6"/>
  <c r="CU41" i="6"/>
  <c r="CV41" i="6"/>
  <c r="CW41" i="6"/>
  <c r="CX41" i="6"/>
  <c r="CY41" i="6"/>
  <c r="CZ41" i="6"/>
  <c r="DA41" i="6"/>
  <c r="AT42" i="6"/>
  <c r="AU42" i="6"/>
  <c r="AV42" i="6"/>
  <c r="AW42" i="6"/>
  <c r="AX42" i="6"/>
  <c r="AY42" i="6"/>
  <c r="AZ42" i="6"/>
  <c r="BA42" i="6"/>
  <c r="BB42" i="6"/>
  <c r="BC42" i="6"/>
  <c r="BD42" i="6"/>
  <c r="BE42" i="6"/>
  <c r="BF42" i="6"/>
  <c r="BG42" i="6"/>
  <c r="BH42" i="6"/>
  <c r="BI42" i="6"/>
  <c r="BJ42" i="6"/>
  <c r="BK42" i="6"/>
  <c r="BL42" i="6"/>
  <c r="BM42" i="6"/>
  <c r="BN42" i="6"/>
  <c r="BO42" i="6"/>
  <c r="BP42" i="6"/>
  <c r="BQ42" i="6"/>
  <c r="BR42" i="6"/>
  <c r="BS42" i="6"/>
  <c r="BT42" i="6"/>
  <c r="BU42" i="6"/>
  <c r="BV42" i="6"/>
  <c r="BW42" i="6"/>
  <c r="BX42" i="6"/>
  <c r="BY42" i="6"/>
  <c r="BZ42" i="6"/>
  <c r="CA42" i="6"/>
  <c r="CB42" i="6"/>
  <c r="CC42" i="6"/>
  <c r="CD42" i="6"/>
  <c r="CE42" i="6"/>
  <c r="CF42" i="6"/>
  <c r="CG42" i="6"/>
  <c r="CH42" i="6"/>
  <c r="CI42" i="6"/>
  <c r="CJ42" i="6"/>
  <c r="CK42" i="6"/>
  <c r="CL42" i="6"/>
  <c r="CM42" i="6"/>
  <c r="CN42" i="6"/>
  <c r="CO42" i="6"/>
  <c r="CP42" i="6"/>
  <c r="CQ42" i="6"/>
  <c r="CR42" i="6"/>
  <c r="CS42" i="6"/>
  <c r="CT42" i="6"/>
  <c r="CU42" i="6"/>
  <c r="CV42" i="6"/>
  <c r="CW42" i="6"/>
  <c r="CX42" i="6"/>
  <c r="CY42" i="6"/>
  <c r="CZ42" i="6"/>
  <c r="DA42" i="6"/>
  <c r="AT43" i="6"/>
  <c r="AU43" i="6"/>
  <c r="AV43" i="6"/>
  <c r="AW43" i="6"/>
  <c r="AX43" i="6"/>
  <c r="AY43" i="6"/>
  <c r="AZ43" i="6"/>
  <c r="BA43" i="6"/>
  <c r="BB43" i="6"/>
  <c r="BC43" i="6"/>
  <c r="BD43" i="6"/>
  <c r="BE43" i="6"/>
  <c r="BF43" i="6"/>
  <c r="BG43" i="6"/>
  <c r="BH43" i="6"/>
  <c r="BI43" i="6"/>
  <c r="BJ43" i="6"/>
  <c r="BK43" i="6"/>
  <c r="BL43" i="6"/>
  <c r="BM43" i="6"/>
  <c r="BN43" i="6"/>
  <c r="BO43" i="6"/>
  <c r="BP43" i="6"/>
  <c r="BQ43" i="6"/>
  <c r="BR43" i="6"/>
  <c r="BS43" i="6"/>
  <c r="BT43" i="6"/>
  <c r="BU43" i="6"/>
  <c r="BV43" i="6"/>
  <c r="BW43" i="6"/>
  <c r="BX43" i="6"/>
  <c r="BY43" i="6"/>
  <c r="BZ43" i="6"/>
  <c r="CA43" i="6"/>
  <c r="CB43" i="6"/>
  <c r="CC43" i="6"/>
  <c r="CD43" i="6"/>
  <c r="CE43" i="6"/>
  <c r="CF43" i="6"/>
  <c r="CG43" i="6"/>
  <c r="CH43" i="6"/>
  <c r="CI43" i="6"/>
  <c r="CJ43" i="6"/>
  <c r="CK43" i="6"/>
  <c r="CL43" i="6"/>
  <c r="CM43" i="6"/>
  <c r="CN43" i="6"/>
  <c r="CO43" i="6"/>
  <c r="CP43" i="6"/>
  <c r="CQ43" i="6"/>
  <c r="CR43" i="6"/>
  <c r="CS43" i="6"/>
  <c r="CT43" i="6"/>
  <c r="CU43" i="6"/>
  <c r="CV43" i="6"/>
  <c r="CW43" i="6"/>
  <c r="CX43" i="6"/>
  <c r="CY43" i="6"/>
  <c r="CZ43" i="6"/>
  <c r="DA43" i="6"/>
  <c r="AT44" i="6"/>
  <c r="AU44" i="6"/>
  <c r="AV44" i="6"/>
  <c r="AW44" i="6"/>
  <c r="AX44" i="6"/>
  <c r="AY44" i="6"/>
  <c r="AZ44" i="6"/>
  <c r="BA44" i="6"/>
  <c r="BB44" i="6"/>
  <c r="BC44" i="6"/>
  <c r="BD44" i="6"/>
  <c r="BE44" i="6"/>
  <c r="BF44" i="6"/>
  <c r="BG44" i="6"/>
  <c r="BH44" i="6"/>
  <c r="BI44" i="6"/>
  <c r="BJ44" i="6"/>
  <c r="BK44" i="6"/>
  <c r="BL44" i="6"/>
  <c r="BM44" i="6"/>
  <c r="BN44" i="6"/>
  <c r="BO44" i="6"/>
  <c r="BP44" i="6"/>
  <c r="BQ44" i="6"/>
  <c r="BR44" i="6"/>
  <c r="BS44" i="6"/>
  <c r="BT44" i="6"/>
  <c r="BU44" i="6"/>
  <c r="BV44" i="6"/>
  <c r="BW44" i="6"/>
  <c r="BX44" i="6"/>
  <c r="BY44" i="6"/>
  <c r="BZ44" i="6"/>
  <c r="CA44" i="6"/>
  <c r="CB44" i="6"/>
  <c r="CC44" i="6"/>
  <c r="CD44" i="6"/>
  <c r="CE44" i="6"/>
  <c r="CF44" i="6"/>
  <c r="CG44" i="6"/>
  <c r="CH44" i="6"/>
  <c r="CI44" i="6"/>
  <c r="CJ44" i="6"/>
  <c r="CK44" i="6"/>
  <c r="CL44" i="6"/>
  <c r="CM44" i="6"/>
  <c r="CN44" i="6"/>
  <c r="CO44" i="6"/>
  <c r="CP44" i="6"/>
  <c r="CQ44" i="6"/>
  <c r="CR44" i="6"/>
  <c r="CS44" i="6"/>
  <c r="CT44" i="6"/>
  <c r="CU44" i="6"/>
  <c r="CV44" i="6"/>
  <c r="CW44" i="6"/>
  <c r="CX44" i="6"/>
  <c r="CY44" i="6"/>
  <c r="CZ44" i="6"/>
  <c r="DA44" i="6"/>
  <c r="AT45" i="6"/>
  <c r="AU45" i="6"/>
  <c r="AV45" i="6"/>
  <c r="AW45" i="6"/>
  <c r="AX45" i="6"/>
  <c r="AY45" i="6"/>
  <c r="AZ45" i="6"/>
  <c r="BA45" i="6"/>
  <c r="BB45" i="6"/>
  <c r="BC45" i="6"/>
  <c r="BD45" i="6"/>
  <c r="BE45" i="6"/>
  <c r="BF45" i="6"/>
  <c r="BG45" i="6"/>
  <c r="BH45" i="6"/>
  <c r="BI45" i="6"/>
  <c r="BJ45" i="6"/>
  <c r="BK45" i="6"/>
  <c r="BL45" i="6"/>
  <c r="BM45" i="6"/>
  <c r="BN45" i="6"/>
  <c r="BO45" i="6"/>
  <c r="BP45" i="6"/>
  <c r="BQ45" i="6"/>
  <c r="BR45" i="6"/>
  <c r="BS45" i="6"/>
  <c r="BT45" i="6"/>
  <c r="BU45" i="6"/>
  <c r="BV45" i="6"/>
  <c r="BW45" i="6"/>
  <c r="BX45" i="6"/>
  <c r="BY45" i="6"/>
  <c r="BZ45" i="6"/>
  <c r="CA45" i="6"/>
  <c r="CB45" i="6"/>
  <c r="CC45" i="6"/>
  <c r="CD45" i="6"/>
  <c r="CE45" i="6"/>
  <c r="CF45" i="6"/>
  <c r="CG45" i="6"/>
  <c r="CH45" i="6"/>
  <c r="CI45" i="6"/>
  <c r="CJ45" i="6"/>
  <c r="CK45" i="6"/>
  <c r="CL45" i="6"/>
  <c r="CM45" i="6"/>
  <c r="CN45" i="6"/>
  <c r="CO45" i="6"/>
  <c r="CP45" i="6"/>
  <c r="CQ45" i="6"/>
  <c r="CR45" i="6"/>
  <c r="CS45" i="6"/>
  <c r="CT45" i="6"/>
  <c r="CU45" i="6"/>
  <c r="CV45" i="6"/>
  <c r="CW45" i="6"/>
  <c r="CX45" i="6"/>
  <c r="CY45" i="6"/>
  <c r="CZ45" i="6"/>
  <c r="DA45" i="6"/>
  <c r="AT46" i="6"/>
  <c r="AU46" i="6"/>
  <c r="AV46" i="6"/>
  <c r="AW46" i="6"/>
  <c r="AX46" i="6"/>
  <c r="AY46" i="6"/>
  <c r="AZ46" i="6"/>
  <c r="BA46" i="6"/>
  <c r="BB46" i="6"/>
  <c r="BC46" i="6"/>
  <c r="BD46" i="6"/>
  <c r="BE46" i="6"/>
  <c r="BF46" i="6"/>
  <c r="BG46" i="6"/>
  <c r="BH46" i="6"/>
  <c r="BI46" i="6"/>
  <c r="BJ46" i="6"/>
  <c r="BK46" i="6"/>
  <c r="BL46" i="6"/>
  <c r="BM46" i="6"/>
  <c r="BN46" i="6"/>
  <c r="BO46" i="6"/>
  <c r="BP46" i="6"/>
  <c r="BQ46" i="6"/>
  <c r="BR46" i="6"/>
  <c r="BS46" i="6"/>
  <c r="BT46" i="6"/>
  <c r="BU46" i="6"/>
  <c r="BV46" i="6"/>
  <c r="BW46" i="6"/>
  <c r="BX46" i="6"/>
  <c r="BY46" i="6"/>
  <c r="BZ46" i="6"/>
  <c r="CA46" i="6"/>
  <c r="CB46" i="6"/>
  <c r="CC46" i="6"/>
  <c r="CD46" i="6"/>
  <c r="CE46" i="6"/>
  <c r="CF46" i="6"/>
  <c r="CG46" i="6"/>
  <c r="CH46" i="6"/>
  <c r="CI46" i="6"/>
  <c r="CJ46" i="6"/>
  <c r="CK46" i="6"/>
  <c r="CL46" i="6"/>
  <c r="CM46" i="6"/>
  <c r="CN46" i="6"/>
  <c r="CO46" i="6"/>
  <c r="CP46" i="6"/>
  <c r="CQ46" i="6"/>
  <c r="CR46" i="6"/>
  <c r="CS46" i="6"/>
  <c r="CT46" i="6"/>
  <c r="CU46" i="6"/>
  <c r="CV46" i="6"/>
  <c r="CW46" i="6"/>
  <c r="CX46" i="6"/>
  <c r="CY46" i="6"/>
  <c r="CZ46" i="6"/>
  <c r="DA46" i="6"/>
  <c r="AT47" i="6"/>
  <c r="AU47" i="6"/>
  <c r="AV47" i="6"/>
  <c r="AW47" i="6"/>
  <c r="AX47" i="6"/>
  <c r="AY47" i="6"/>
  <c r="AZ47" i="6"/>
  <c r="BA47" i="6"/>
  <c r="BB47" i="6"/>
  <c r="BC47" i="6"/>
  <c r="BD47" i="6"/>
  <c r="BE47" i="6"/>
  <c r="BF47" i="6"/>
  <c r="BG47" i="6"/>
  <c r="BH47" i="6"/>
  <c r="BI47" i="6"/>
  <c r="BJ47" i="6"/>
  <c r="BK47" i="6"/>
  <c r="BL47" i="6"/>
  <c r="BM47" i="6"/>
  <c r="BN47" i="6"/>
  <c r="BO47" i="6"/>
  <c r="BP47" i="6"/>
  <c r="BQ47" i="6"/>
  <c r="BR47" i="6"/>
  <c r="BS47" i="6"/>
  <c r="BT47" i="6"/>
  <c r="BU47" i="6"/>
  <c r="BV47" i="6"/>
  <c r="BW47" i="6"/>
  <c r="BX47" i="6"/>
  <c r="BY47" i="6"/>
  <c r="BZ47" i="6"/>
  <c r="CA47" i="6"/>
  <c r="CB47" i="6"/>
  <c r="CC47" i="6"/>
  <c r="CD47" i="6"/>
  <c r="CE47" i="6"/>
  <c r="CF47" i="6"/>
  <c r="CG47" i="6"/>
  <c r="CH47" i="6"/>
  <c r="CI47" i="6"/>
  <c r="CJ47" i="6"/>
  <c r="CK47" i="6"/>
  <c r="CL47" i="6"/>
  <c r="CM47" i="6"/>
  <c r="CN47" i="6"/>
  <c r="CO47" i="6"/>
  <c r="CP47" i="6"/>
  <c r="CQ47" i="6"/>
  <c r="CR47" i="6"/>
  <c r="CS47" i="6"/>
  <c r="CT47" i="6"/>
  <c r="CU47" i="6"/>
  <c r="CV47" i="6"/>
  <c r="CW47" i="6"/>
  <c r="CX47" i="6"/>
  <c r="CY47" i="6"/>
  <c r="CZ47" i="6"/>
  <c r="DA47" i="6"/>
  <c r="AT48" i="6"/>
  <c r="AU48" i="6"/>
  <c r="AV48" i="6"/>
  <c r="AW48" i="6"/>
  <c r="AX48" i="6"/>
  <c r="AY48" i="6"/>
  <c r="AZ48" i="6"/>
  <c r="BA48" i="6"/>
  <c r="BB48" i="6"/>
  <c r="BC48" i="6"/>
  <c r="BD48" i="6"/>
  <c r="BE48" i="6"/>
  <c r="BF48" i="6"/>
  <c r="BG48" i="6"/>
  <c r="BH48" i="6"/>
  <c r="BI48" i="6"/>
  <c r="BJ48" i="6"/>
  <c r="BK48" i="6"/>
  <c r="BL48" i="6"/>
  <c r="BM48" i="6"/>
  <c r="BN48" i="6"/>
  <c r="BO48" i="6"/>
  <c r="BP48" i="6"/>
  <c r="BQ48" i="6"/>
  <c r="BR48" i="6"/>
  <c r="BS48" i="6"/>
  <c r="BT48" i="6"/>
  <c r="BU48" i="6"/>
  <c r="BV48" i="6"/>
  <c r="BW48" i="6"/>
  <c r="BX48" i="6"/>
  <c r="BY48" i="6"/>
  <c r="BZ48" i="6"/>
  <c r="CA48" i="6"/>
  <c r="CB48" i="6"/>
  <c r="CC48" i="6"/>
  <c r="CD48" i="6"/>
  <c r="CE48" i="6"/>
  <c r="CF48" i="6"/>
  <c r="CG48" i="6"/>
  <c r="CH48" i="6"/>
  <c r="CI48" i="6"/>
  <c r="CJ48" i="6"/>
  <c r="CK48" i="6"/>
  <c r="CL48" i="6"/>
  <c r="CM48" i="6"/>
  <c r="CN48" i="6"/>
  <c r="CO48" i="6"/>
  <c r="CP48" i="6"/>
  <c r="CQ48" i="6"/>
  <c r="CR48" i="6"/>
  <c r="CS48" i="6"/>
  <c r="CT48" i="6"/>
  <c r="CU48" i="6"/>
  <c r="CV48" i="6"/>
  <c r="CW48" i="6"/>
  <c r="CX48" i="6"/>
  <c r="CY48" i="6"/>
  <c r="CZ48" i="6"/>
  <c r="DA48" i="6"/>
  <c r="AT49" i="6"/>
  <c r="AU49" i="6"/>
  <c r="AV49" i="6"/>
  <c r="AW49" i="6"/>
  <c r="AX49" i="6"/>
  <c r="AY49" i="6"/>
  <c r="AZ49" i="6"/>
  <c r="BA49" i="6"/>
  <c r="BB49" i="6"/>
  <c r="BC49" i="6"/>
  <c r="BD49" i="6"/>
  <c r="BE49" i="6"/>
  <c r="BF49" i="6"/>
  <c r="BG49" i="6"/>
  <c r="BH49" i="6"/>
  <c r="BI49" i="6"/>
  <c r="BJ49" i="6"/>
  <c r="BK49" i="6"/>
  <c r="BL49" i="6"/>
  <c r="BM49" i="6"/>
  <c r="BN49" i="6"/>
  <c r="BO49" i="6"/>
  <c r="BP49" i="6"/>
  <c r="BQ49" i="6"/>
  <c r="BR49" i="6"/>
  <c r="BS49" i="6"/>
  <c r="BT49" i="6"/>
  <c r="BU49" i="6"/>
  <c r="BV49" i="6"/>
  <c r="BW49" i="6"/>
  <c r="BX49" i="6"/>
  <c r="BY49" i="6"/>
  <c r="BZ49" i="6"/>
  <c r="CA49" i="6"/>
  <c r="CB49" i="6"/>
  <c r="CC49" i="6"/>
  <c r="CD49" i="6"/>
  <c r="CE49" i="6"/>
  <c r="CF49" i="6"/>
  <c r="CG49" i="6"/>
  <c r="CH49" i="6"/>
  <c r="CI49" i="6"/>
  <c r="CJ49" i="6"/>
  <c r="CK49" i="6"/>
  <c r="CL49" i="6"/>
  <c r="CM49" i="6"/>
  <c r="CN49" i="6"/>
  <c r="CO49" i="6"/>
  <c r="CP49" i="6"/>
  <c r="CQ49" i="6"/>
  <c r="CR49" i="6"/>
  <c r="CS49" i="6"/>
  <c r="CT49" i="6"/>
  <c r="CU49" i="6"/>
  <c r="CV49" i="6"/>
  <c r="CW49" i="6"/>
  <c r="CX49" i="6"/>
  <c r="CY49" i="6"/>
  <c r="CZ49" i="6"/>
  <c r="DA49" i="6"/>
  <c r="AT50" i="6"/>
  <c r="AU50" i="6"/>
  <c r="AV50" i="6"/>
  <c r="AW50" i="6"/>
  <c r="AX50" i="6"/>
  <c r="AY50" i="6"/>
  <c r="AZ50" i="6"/>
  <c r="BA50" i="6"/>
  <c r="BB50" i="6"/>
  <c r="BC50" i="6"/>
  <c r="BD50" i="6"/>
  <c r="BE50" i="6"/>
  <c r="BF50" i="6"/>
  <c r="BG50" i="6"/>
  <c r="BH50" i="6"/>
  <c r="BI50" i="6"/>
  <c r="BJ50" i="6"/>
  <c r="BK50" i="6"/>
  <c r="BL50" i="6"/>
  <c r="BM50" i="6"/>
  <c r="BN50" i="6"/>
  <c r="BO50" i="6"/>
  <c r="BP50" i="6"/>
  <c r="BQ50" i="6"/>
  <c r="BR50" i="6"/>
  <c r="BS50" i="6"/>
  <c r="BT50" i="6"/>
  <c r="BU50" i="6"/>
  <c r="BV50" i="6"/>
  <c r="BW50" i="6"/>
  <c r="BX50" i="6"/>
  <c r="BY50" i="6"/>
  <c r="BZ50" i="6"/>
  <c r="CA50" i="6"/>
  <c r="CB50" i="6"/>
  <c r="CC50" i="6"/>
  <c r="CD50" i="6"/>
  <c r="CE50" i="6"/>
  <c r="CF50" i="6"/>
  <c r="CG50" i="6"/>
  <c r="CH50" i="6"/>
  <c r="CI50" i="6"/>
  <c r="CJ50" i="6"/>
  <c r="CK50" i="6"/>
  <c r="CL50" i="6"/>
  <c r="CM50" i="6"/>
  <c r="CN50" i="6"/>
  <c r="CO50" i="6"/>
  <c r="CP50" i="6"/>
  <c r="CQ50" i="6"/>
  <c r="CR50" i="6"/>
  <c r="CS50" i="6"/>
  <c r="CT50" i="6"/>
  <c r="CU50" i="6"/>
  <c r="CV50" i="6"/>
  <c r="CW50" i="6"/>
  <c r="CX50" i="6"/>
  <c r="CY50" i="6"/>
  <c r="CZ50" i="6"/>
  <c r="DA50" i="6"/>
  <c r="AT51" i="6"/>
  <c r="AU51" i="6"/>
  <c r="AV51" i="6"/>
  <c r="AW51" i="6"/>
  <c r="AX51" i="6"/>
  <c r="AY51" i="6"/>
  <c r="AZ51" i="6"/>
  <c r="BA51" i="6"/>
  <c r="BB51" i="6"/>
  <c r="BC51" i="6"/>
  <c r="BD51" i="6"/>
  <c r="BE51" i="6"/>
  <c r="BF51" i="6"/>
  <c r="BG51" i="6"/>
  <c r="BH51" i="6"/>
  <c r="BI51" i="6"/>
  <c r="BJ51" i="6"/>
  <c r="BK51" i="6"/>
  <c r="BL51" i="6"/>
  <c r="BM51" i="6"/>
  <c r="BN51" i="6"/>
  <c r="BO51" i="6"/>
  <c r="BP51" i="6"/>
  <c r="BQ51" i="6"/>
  <c r="BR51" i="6"/>
  <c r="BS51" i="6"/>
  <c r="BT51" i="6"/>
  <c r="BU51" i="6"/>
  <c r="BV51" i="6"/>
  <c r="BW51" i="6"/>
  <c r="BX51" i="6"/>
  <c r="BY51" i="6"/>
  <c r="BZ51" i="6"/>
  <c r="CA51" i="6"/>
  <c r="CB51" i="6"/>
  <c r="CC51" i="6"/>
  <c r="CD51" i="6"/>
  <c r="CE51" i="6"/>
  <c r="CF51" i="6"/>
  <c r="CG51" i="6"/>
  <c r="CH51" i="6"/>
  <c r="CI51" i="6"/>
  <c r="CJ51" i="6"/>
  <c r="CK51" i="6"/>
  <c r="CL51" i="6"/>
  <c r="CM51" i="6"/>
  <c r="CN51" i="6"/>
  <c r="CO51" i="6"/>
  <c r="CP51" i="6"/>
  <c r="CQ51" i="6"/>
  <c r="CR51" i="6"/>
  <c r="CS51" i="6"/>
  <c r="CT51" i="6"/>
  <c r="CU51" i="6"/>
  <c r="CV51" i="6"/>
  <c r="CW51" i="6"/>
  <c r="CX51" i="6"/>
  <c r="CY51" i="6"/>
  <c r="CZ51" i="6"/>
  <c r="DA51" i="6"/>
  <c r="AT52" i="6"/>
  <c r="AU52" i="6"/>
  <c r="AV52" i="6"/>
  <c r="AW52" i="6"/>
  <c r="AX52" i="6"/>
  <c r="AY52" i="6"/>
  <c r="AZ52" i="6"/>
  <c r="BA52" i="6"/>
  <c r="BB52" i="6"/>
  <c r="BC52" i="6"/>
  <c r="BD52" i="6"/>
  <c r="BE52" i="6"/>
  <c r="BF52" i="6"/>
  <c r="BG52" i="6"/>
  <c r="BH52" i="6"/>
  <c r="BI52" i="6"/>
  <c r="BJ52" i="6"/>
  <c r="BK52" i="6"/>
  <c r="BL52" i="6"/>
  <c r="BM52" i="6"/>
  <c r="BN52" i="6"/>
  <c r="BO52" i="6"/>
  <c r="BP52" i="6"/>
  <c r="BQ52" i="6"/>
  <c r="BR52" i="6"/>
  <c r="BS52" i="6"/>
  <c r="BT52" i="6"/>
  <c r="BU52" i="6"/>
  <c r="BV52" i="6"/>
  <c r="BW52" i="6"/>
  <c r="BX52" i="6"/>
  <c r="BY52" i="6"/>
  <c r="BZ52" i="6"/>
  <c r="CA52" i="6"/>
  <c r="CB52" i="6"/>
  <c r="CC52" i="6"/>
  <c r="CD52" i="6"/>
  <c r="CE52" i="6"/>
  <c r="CF52" i="6"/>
  <c r="CG52" i="6"/>
  <c r="CH52" i="6"/>
  <c r="CI52" i="6"/>
  <c r="CJ52" i="6"/>
  <c r="CK52" i="6"/>
  <c r="CL52" i="6"/>
  <c r="CM52" i="6"/>
  <c r="CN52" i="6"/>
  <c r="CO52" i="6"/>
  <c r="CP52" i="6"/>
  <c r="CQ52" i="6"/>
  <c r="CR52" i="6"/>
  <c r="CS52" i="6"/>
  <c r="CT52" i="6"/>
  <c r="CU52" i="6"/>
  <c r="CV52" i="6"/>
  <c r="CW52" i="6"/>
  <c r="CX52" i="6"/>
  <c r="CY52" i="6"/>
  <c r="CZ52" i="6"/>
  <c r="DA52" i="6"/>
  <c r="AT53" i="6"/>
  <c r="AU53" i="6"/>
  <c r="AV53" i="6"/>
  <c r="AW53" i="6"/>
  <c r="AX53" i="6"/>
  <c r="AY53" i="6"/>
  <c r="AZ53" i="6"/>
  <c r="BA53" i="6"/>
  <c r="BB53" i="6"/>
  <c r="BC53" i="6"/>
  <c r="BD53" i="6"/>
  <c r="BE53" i="6"/>
  <c r="BF53" i="6"/>
  <c r="BG53" i="6"/>
  <c r="BH53" i="6"/>
  <c r="BI53" i="6"/>
  <c r="BJ53" i="6"/>
  <c r="BK53" i="6"/>
  <c r="BL53" i="6"/>
  <c r="BM53" i="6"/>
  <c r="BN53" i="6"/>
  <c r="BO53" i="6"/>
  <c r="BP53" i="6"/>
  <c r="BQ53" i="6"/>
  <c r="BR53" i="6"/>
  <c r="BS53" i="6"/>
  <c r="BT53" i="6"/>
  <c r="BU53" i="6"/>
  <c r="BV53" i="6"/>
  <c r="BW53" i="6"/>
  <c r="BX53" i="6"/>
  <c r="BY53" i="6"/>
  <c r="BZ53" i="6"/>
  <c r="CA53" i="6"/>
  <c r="CB53" i="6"/>
  <c r="CC53" i="6"/>
  <c r="CD53" i="6"/>
  <c r="CE53" i="6"/>
  <c r="CF53" i="6"/>
  <c r="CG53" i="6"/>
  <c r="CH53" i="6"/>
  <c r="CI53" i="6"/>
  <c r="CJ53" i="6"/>
  <c r="CK53" i="6"/>
  <c r="CL53" i="6"/>
  <c r="CM53" i="6"/>
  <c r="CN53" i="6"/>
  <c r="CO53" i="6"/>
  <c r="CP53" i="6"/>
  <c r="CQ53" i="6"/>
  <c r="CR53" i="6"/>
  <c r="CS53" i="6"/>
  <c r="CT53" i="6"/>
  <c r="CU53" i="6"/>
  <c r="CV53" i="6"/>
  <c r="CW53" i="6"/>
  <c r="CX53" i="6"/>
  <c r="CY53" i="6"/>
  <c r="CZ53" i="6"/>
  <c r="DA53" i="6"/>
  <c r="AT54" i="6"/>
  <c r="AU54" i="6"/>
  <c r="AV54" i="6"/>
  <c r="AW54" i="6"/>
  <c r="AX54" i="6"/>
  <c r="AY54" i="6"/>
  <c r="AZ54" i="6"/>
  <c r="BA54" i="6"/>
  <c r="BB54" i="6"/>
  <c r="BC54" i="6"/>
  <c r="BD54" i="6"/>
  <c r="BE54" i="6"/>
  <c r="BF54" i="6"/>
  <c r="BG54" i="6"/>
  <c r="BH54" i="6"/>
  <c r="BI54" i="6"/>
  <c r="BJ54" i="6"/>
  <c r="BK54" i="6"/>
  <c r="BL54" i="6"/>
  <c r="BM54" i="6"/>
  <c r="BN54" i="6"/>
  <c r="BO54" i="6"/>
  <c r="BP54" i="6"/>
  <c r="BQ54" i="6"/>
  <c r="BR54" i="6"/>
  <c r="BS54" i="6"/>
  <c r="BT54" i="6"/>
  <c r="BU54" i="6"/>
  <c r="BV54" i="6"/>
  <c r="BW54" i="6"/>
  <c r="BX54" i="6"/>
  <c r="BY54" i="6"/>
  <c r="BZ54" i="6"/>
  <c r="CA54" i="6"/>
  <c r="CB54" i="6"/>
  <c r="CC54" i="6"/>
  <c r="CD54" i="6"/>
  <c r="CE54" i="6"/>
  <c r="CF54" i="6"/>
  <c r="CG54" i="6"/>
  <c r="CH54" i="6"/>
  <c r="CI54" i="6"/>
  <c r="CJ54" i="6"/>
  <c r="CK54" i="6"/>
  <c r="CL54" i="6"/>
  <c r="CM54" i="6"/>
  <c r="CN54" i="6"/>
  <c r="CO54" i="6"/>
  <c r="CP54" i="6"/>
  <c r="CQ54" i="6"/>
  <c r="CR54" i="6"/>
  <c r="CS54" i="6"/>
  <c r="CT54" i="6"/>
  <c r="CU54" i="6"/>
  <c r="CV54" i="6"/>
  <c r="CW54" i="6"/>
  <c r="CX54" i="6"/>
  <c r="CY54" i="6"/>
  <c r="CZ54" i="6"/>
  <c r="DA54" i="6"/>
  <c r="AT55" i="6"/>
  <c r="AU55" i="6"/>
  <c r="AV55" i="6"/>
  <c r="AW55" i="6"/>
  <c r="AX55" i="6"/>
  <c r="AY55" i="6"/>
  <c r="AZ55" i="6"/>
  <c r="BA55" i="6"/>
  <c r="BB55" i="6"/>
  <c r="BC55" i="6"/>
  <c r="BD55" i="6"/>
  <c r="BE55" i="6"/>
  <c r="BF55" i="6"/>
  <c r="BG55" i="6"/>
  <c r="BH55" i="6"/>
  <c r="BI55" i="6"/>
  <c r="BJ55" i="6"/>
  <c r="BK55" i="6"/>
  <c r="BL55" i="6"/>
  <c r="BM55" i="6"/>
  <c r="BN55" i="6"/>
  <c r="BO55" i="6"/>
  <c r="BP55" i="6"/>
  <c r="BQ55" i="6"/>
  <c r="BR55" i="6"/>
  <c r="BS55" i="6"/>
  <c r="BT55" i="6"/>
  <c r="BU55" i="6"/>
  <c r="BV55" i="6"/>
  <c r="BW55" i="6"/>
  <c r="BX55" i="6"/>
  <c r="BY55" i="6"/>
  <c r="BZ55" i="6"/>
  <c r="CA55" i="6"/>
  <c r="CB55" i="6"/>
  <c r="CC55" i="6"/>
  <c r="CD55" i="6"/>
  <c r="CE55" i="6"/>
  <c r="CF55" i="6"/>
  <c r="CG55" i="6"/>
  <c r="CH55" i="6"/>
  <c r="CI55" i="6"/>
  <c r="CJ55" i="6"/>
  <c r="CK55" i="6"/>
  <c r="CL55" i="6"/>
  <c r="CM55" i="6"/>
  <c r="CN55" i="6"/>
  <c r="CO55" i="6"/>
  <c r="CP55" i="6"/>
  <c r="CQ55" i="6"/>
  <c r="CR55" i="6"/>
  <c r="CS55" i="6"/>
  <c r="CT55" i="6"/>
  <c r="CU55" i="6"/>
  <c r="CV55" i="6"/>
  <c r="CW55" i="6"/>
  <c r="CX55" i="6"/>
  <c r="CY55" i="6"/>
  <c r="CZ55" i="6"/>
  <c r="DA55" i="6"/>
  <c r="AT56" i="6"/>
  <c r="AU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CL56" i="6"/>
  <c r="CM56" i="6"/>
  <c r="CN56" i="6"/>
  <c r="CO56" i="6"/>
  <c r="CP56" i="6"/>
  <c r="CQ56" i="6"/>
  <c r="CR56" i="6"/>
  <c r="CS56" i="6"/>
  <c r="CT56" i="6"/>
  <c r="CU56" i="6"/>
  <c r="CV56" i="6"/>
  <c r="CW56" i="6"/>
  <c r="CX56" i="6"/>
  <c r="CY56" i="6"/>
  <c r="CZ56" i="6"/>
  <c r="DA56" i="6"/>
  <c r="AT57" i="6"/>
  <c r="AU57" i="6"/>
  <c r="AV57" i="6"/>
  <c r="AW57" i="6"/>
  <c r="AX57" i="6"/>
  <c r="AY57" i="6"/>
  <c r="AZ57" i="6"/>
  <c r="BA57" i="6"/>
  <c r="BB57" i="6"/>
  <c r="BC57" i="6"/>
  <c r="BD57" i="6"/>
  <c r="BE57" i="6"/>
  <c r="BF57" i="6"/>
  <c r="BG57" i="6"/>
  <c r="BH57" i="6"/>
  <c r="BI57" i="6"/>
  <c r="BJ57" i="6"/>
  <c r="BK57" i="6"/>
  <c r="BL57" i="6"/>
  <c r="BM57" i="6"/>
  <c r="BN57" i="6"/>
  <c r="BO57" i="6"/>
  <c r="BP57" i="6"/>
  <c r="BQ57" i="6"/>
  <c r="BR57" i="6"/>
  <c r="BS57" i="6"/>
  <c r="BT57" i="6"/>
  <c r="BU57" i="6"/>
  <c r="BV57" i="6"/>
  <c r="BW57" i="6"/>
  <c r="BX57" i="6"/>
  <c r="BY57" i="6"/>
  <c r="BZ57" i="6"/>
  <c r="CA57" i="6"/>
  <c r="CB57" i="6"/>
  <c r="CC57" i="6"/>
  <c r="CD57" i="6"/>
  <c r="CE57" i="6"/>
  <c r="CF57" i="6"/>
  <c r="CG57" i="6"/>
  <c r="CH57" i="6"/>
  <c r="CI57" i="6"/>
  <c r="CJ57" i="6"/>
  <c r="CK57" i="6"/>
  <c r="CL57" i="6"/>
  <c r="CM57" i="6"/>
  <c r="CN57" i="6"/>
  <c r="CO57" i="6"/>
  <c r="CP57" i="6"/>
  <c r="CQ57" i="6"/>
  <c r="CR57" i="6"/>
  <c r="CS57" i="6"/>
  <c r="CT57" i="6"/>
  <c r="CU57" i="6"/>
  <c r="CV57" i="6"/>
  <c r="CW57" i="6"/>
  <c r="CX57" i="6"/>
  <c r="CY57" i="6"/>
  <c r="CZ57" i="6"/>
  <c r="DA57" i="6"/>
  <c r="AT58" i="6"/>
  <c r="AU58" i="6"/>
  <c r="AV58" i="6"/>
  <c r="AW58" i="6"/>
  <c r="AX58" i="6"/>
  <c r="AY58" i="6"/>
  <c r="AZ58" i="6"/>
  <c r="BA58" i="6"/>
  <c r="BB58" i="6"/>
  <c r="BC58" i="6"/>
  <c r="BD58" i="6"/>
  <c r="BE58" i="6"/>
  <c r="BF58" i="6"/>
  <c r="BG58" i="6"/>
  <c r="BH58" i="6"/>
  <c r="BI58" i="6"/>
  <c r="BJ58" i="6"/>
  <c r="BK58" i="6"/>
  <c r="BL58" i="6"/>
  <c r="BM58" i="6"/>
  <c r="BN58" i="6"/>
  <c r="BO58" i="6"/>
  <c r="BP58" i="6"/>
  <c r="BQ58" i="6"/>
  <c r="BR58" i="6"/>
  <c r="BS58" i="6"/>
  <c r="BT58" i="6"/>
  <c r="BU58" i="6"/>
  <c r="BV58" i="6"/>
  <c r="BW58" i="6"/>
  <c r="BX58" i="6"/>
  <c r="BY58" i="6"/>
  <c r="BZ58" i="6"/>
  <c r="CA58" i="6"/>
  <c r="CB58" i="6"/>
  <c r="CC58" i="6"/>
  <c r="CD58" i="6"/>
  <c r="CE58" i="6"/>
  <c r="CF58" i="6"/>
  <c r="CG58" i="6"/>
  <c r="CH58" i="6"/>
  <c r="CI58" i="6"/>
  <c r="CJ58" i="6"/>
  <c r="CK58" i="6"/>
  <c r="CL58" i="6"/>
  <c r="CM58" i="6"/>
  <c r="CN58" i="6"/>
  <c r="CO58" i="6"/>
  <c r="CP58" i="6"/>
  <c r="CQ58" i="6"/>
  <c r="CR58" i="6"/>
  <c r="CS58" i="6"/>
  <c r="CT58" i="6"/>
  <c r="CU58" i="6"/>
  <c r="CV58" i="6"/>
  <c r="CW58" i="6"/>
  <c r="CX58" i="6"/>
  <c r="CY58" i="6"/>
  <c r="CZ58" i="6"/>
  <c r="DA58" i="6"/>
  <c r="AT59" i="6"/>
  <c r="AU59" i="6"/>
  <c r="AV59" i="6"/>
  <c r="AW59" i="6"/>
  <c r="AX59" i="6"/>
  <c r="AY59" i="6"/>
  <c r="AZ59" i="6"/>
  <c r="BA59" i="6"/>
  <c r="BB59" i="6"/>
  <c r="BC59" i="6"/>
  <c r="BD59" i="6"/>
  <c r="BE59" i="6"/>
  <c r="BF59" i="6"/>
  <c r="BG59" i="6"/>
  <c r="BH59" i="6"/>
  <c r="BI59" i="6"/>
  <c r="BJ59" i="6"/>
  <c r="BK59" i="6"/>
  <c r="BL59" i="6"/>
  <c r="BM59" i="6"/>
  <c r="BN59" i="6"/>
  <c r="BO59" i="6"/>
  <c r="BP59" i="6"/>
  <c r="BQ59" i="6"/>
  <c r="BR59" i="6"/>
  <c r="BS59" i="6"/>
  <c r="BT59" i="6"/>
  <c r="BU59" i="6"/>
  <c r="BV59" i="6"/>
  <c r="BW59" i="6"/>
  <c r="BX59" i="6"/>
  <c r="BY59" i="6"/>
  <c r="BZ59" i="6"/>
  <c r="CA59" i="6"/>
  <c r="CB59" i="6"/>
  <c r="CC59" i="6"/>
  <c r="CD59" i="6"/>
  <c r="CE59" i="6"/>
  <c r="CF59" i="6"/>
  <c r="CG59" i="6"/>
  <c r="CH59" i="6"/>
  <c r="CI59" i="6"/>
  <c r="CJ59" i="6"/>
  <c r="CK59" i="6"/>
  <c r="CL59" i="6"/>
  <c r="CM59" i="6"/>
  <c r="CN59" i="6"/>
  <c r="CO59" i="6"/>
  <c r="CP59" i="6"/>
  <c r="CQ59" i="6"/>
  <c r="CR59" i="6"/>
  <c r="CS59" i="6"/>
  <c r="CT59" i="6"/>
  <c r="CU59" i="6"/>
  <c r="CV59" i="6"/>
  <c r="CW59" i="6"/>
  <c r="CX59" i="6"/>
  <c r="CY59" i="6"/>
  <c r="CZ59" i="6"/>
  <c r="DA59" i="6"/>
  <c r="AT60" i="6"/>
  <c r="AU60" i="6"/>
  <c r="AV60" i="6"/>
  <c r="AW60" i="6"/>
  <c r="AX60" i="6"/>
  <c r="AY60" i="6"/>
  <c r="AZ60" i="6"/>
  <c r="BA60" i="6"/>
  <c r="BB60" i="6"/>
  <c r="BC60" i="6"/>
  <c r="BD60" i="6"/>
  <c r="BE60" i="6"/>
  <c r="BF60" i="6"/>
  <c r="BG60" i="6"/>
  <c r="BH60" i="6"/>
  <c r="BI60" i="6"/>
  <c r="BJ60" i="6"/>
  <c r="BK60" i="6"/>
  <c r="BL60" i="6"/>
  <c r="BM60" i="6"/>
  <c r="BN60" i="6"/>
  <c r="BO60" i="6"/>
  <c r="BP60" i="6"/>
  <c r="BQ60" i="6"/>
  <c r="BR60" i="6"/>
  <c r="BS60" i="6"/>
  <c r="BT60" i="6"/>
  <c r="BU60" i="6"/>
  <c r="BV60" i="6"/>
  <c r="BW60" i="6"/>
  <c r="BX60" i="6"/>
  <c r="BY60" i="6"/>
  <c r="BZ60" i="6"/>
  <c r="CA60" i="6"/>
  <c r="CB60" i="6"/>
  <c r="CC60" i="6"/>
  <c r="CD60" i="6"/>
  <c r="CE60" i="6"/>
  <c r="CF60" i="6"/>
  <c r="CG60" i="6"/>
  <c r="CH60" i="6"/>
  <c r="CI60" i="6"/>
  <c r="CJ60" i="6"/>
  <c r="CK60" i="6"/>
  <c r="CL60" i="6"/>
  <c r="CM60" i="6"/>
  <c r="CN60" i="6"/>
  <c r="CO60" i="6"/>
  <c r="CP60" i="6"/>
  <c r="CQ60" i="6"/>
  <c r="CR60" i="6"/>
  <c r="CS60" i="6"/>
  <c r="CT60" i="6"/>
  <c r="CU60" i="6"/>
  <c r="CV60" i="6"/>
  <c r="CW60" i="6"/>
  <c r="CX60" i="6"/>
  <c r="CY60" i="6"/>
  <c r="CZ60" i="6"/>
  <c r="DA60" i="6"/>
  <c r="AT62" i="6"/>
  <c r="AU62" i="6"/>
  <c r="AV62" i="6"/>
  <c r="AW62" i="6"/>
  <c r="AX62" i="6"/>
  <c r="AY62" i="6"/>
  <c r="AZ62" i="6"/>
  <c r="BA62" i="6"/>
  <c r="BB62" i="6"/>
  <c r="BC62" i="6"/>
  <c r="BD62" i="6"/>
  <c r="BE62" i="6"/>
  <c r="BF62" i="6"/>
  <c r="BG62" i="6"/>
  <c r="BH62" i="6"/>
  <c r="BI62" i="6"/>
  <c r="BJ62" i="6"/>
  <c r="BK62" i="6"/>
  <c r="BL62" i="6"/>
  <c r="BM62" i="6"/>
  <c r="BN62" i="6"/>
  <c r="BO62" i="6"/>
  <c r="BP62" i="6"/>
  <c r="BQ62" i="6"/>
  <c r="BR62" i="6"/>
  <c r="BS62" i="6"/>
  <c r="BT62" i="6"/>
  <c r="BU62" i="6"/>
  <c r="BV62" i="6"/>
  <c r="BW62" i="6"/>
  <c r="BX62" i="6"/>
  <c r="BY62" i="6"/>
  <c r="BZ62" i="6"/>
  <c r="CA62" i="6"/>
  <c r="CB62" i="6"/>
  <c r="CC62" i="6"/>
  <c r="CD62" i="6"/>
  <c r="CE62" i="6"/>
  <c r="CF62" i="6"/>
  <c r="CG62" i="6"/>
  <c r="CH62" i="6"/>
  <c r="CI62" i="6"/>
  <c r="CJ62" i="6"/>
  <c r="CK62" i="6"/>
  <c r="CL62" i="6"/>
  <c r="CM62" i="6"/>
  <c r="CN62" i="6"/>
  <c r="CO62" i="6"/>
  <c r="CP62" i="6"/>
  <c r="CQ62" i="6"/>
  <c r="CR62" i="6"/>
  <c r="CS62" i="6"/>
  <c r="CT62" i="6"/>
  <c r="CU62" i="6"/>
  <c r="CV62" i="6"/>
  <c r="CW62" i="6"/>
  <c r="CX62" i="6"/>
  <c r="CY62" i="6"/>
  <c r="CZ62" i="6"/>
  <c r="DA62" i="6"/>
  <c r="AT64" i="6"/>
  <c r="AU64" i="6"/>
  <c r="AV64" i="6"/>
  <c r="AW64" i="6"/>
  <c r="AX64" i="6"/>
  <c r="AY64" i="6"/>
  <c r="AZ64" i="6"/>
  <c r="BA64" i="6"/>
  <c r="BB64" i="6"/>
  <c r="BC64" i="6"/>
  <c r="BD64" i="6"/>
  <c r="BE64" i="6"/>
  <c r="BF64" i="6"/>
  <c r="BG64" i="6"/>
  <c r="BH64" i="6"/>
  <c r="BI64" i="6"/>
  <c r="BJ64" i="6"/>
  <c r="BK64" i="6"/>
  <c r="BL64" i="6"/>
  <c r="BM64" i="6"/>
  <c r="BN64" i="6"/>
  <c r="BO64" i="6"/>
  <c r="BP64" i="6"/>
  <c r="BQ64" i="6"/>
  <c r="BR64" i="6"/>
  <c r="BS64" i="6"/>
  <c r="BT64" i="6"/>
  <c r="BU64" i="6"/>
  <c r="BV64" i="6"/>
  <c r="BW64" i="6"/>
  <c r="BX64" i="6"/>
  <c r="BY64" i="6"/>
  <c r="BZ64" i="6"/>
  <c r="CA64" i="6"/>
  <c r="CB64" i="6"/>
  <c r="CC64" i="6"/>
  <c r="CD64" i="6"/>
  <c r="CE64" i="6"/>
  <c r="CF64" i="6"/>
  <c r="CG64" i="6"/>
  <c r="CH64" i="6"/>
  <c r="CI64" i="6"/>
  <c r="CJ64" i="6"/>
  <c r="CK64" i="6"/>
  <c r="CL64" i="6"/>
  <c r="CM64" i="6"/>
  <c r="CN64" i="6"/>
  <c r="CO64" i="6"/>
  <c r="CP64" i="6"/>
  <c r="CQ64" i="6"/>
  <c r="CR64" i="6"/>
  <c r="CS64" i="6"/>
  <c r="CT64" i="6"/>
  <c r="CU64" i="6"/>
  <c r="CV64" i="6"/>
  <c r="CW64" i="6"/>
  <c r="CX64" i="6"/>
  <c r="CY64" i="6"/>
  <c r="CZ64" i="6"/>
  <c r="DA64" i="6"/>
  <c r="AT65" i="6"/>
  <c r="AU65" i="6"/>
  <c r="AV65" i="6"/>
  <c r="AW65" i="6"/>
  <c r="AX65" i="6"/>
  <c r="AY65" i="6"/>
  <c r="AZ65" i="6"/>
  <c r="BA65" i="6"/>
  <c r="BB65" i="6"/>
  <c r="BC65" i="6"/>
  <c r="BD65" i="6"/>
  <c r="BE65" i="6"/>
  <c r="BF65" i="6"/>
  <c r="BG65" i="6"/>
  <c r="BH65" i="6"/>
  <c r="BI65" i="6"/>
  <c r="BJ65" i="6"/>
  <c r="BK65" i="6"/>
  <c r="BL65" i="6"/>
  <c r="BM65" i="6"/>
  <c r="BN65" i="6"/>
  <c r="BO65" i="6"/>
  <c r="BP65" i="6"/>
  <c r="BQ65" i="6"/>
  <c r="BR65" i="6"/>
  <c r="BS65" i="6"/>
  <c r="BT65" i="6"/>
  <c r="BU65" i="6"/>
  <c r="BV65" i="6"/>
  <c r="BW65" i="6"/>
  <c r="BX65" i="6"/>
  <c r="BY65" i="6"/>
  <c r="BZ65" i="6"/>
  <c r="CA65" i="6"/>
  <c r="CB65" i="6"/>
  <c r="CC65" i="6"/>
  <c r="CD65" i="6"/>
  <c r="CE65" i="6"/>
  <c r="CF65" i="6"/>
  <c r="CG65" i="6"/>
  <c r="CH65" i="6"/>
  <c r="CI65" i="6"/>
  <c r="CJ65" i="6"/>
  <c r="CK65" i="6"/>
  <c r="CL65" i="6"/>
  <c r="CM65" i="6"/>
  <c r="CN65" i="6"/>
  <c r="CO65" i="6"/>
  <c r="CP65" i="6"/>
  <c r="CQ65" i="6"/>
  <c r="CR65" i="6"/>
  <c r="CS65" i="6"/>
  <c r="CT65" i="6"/>
  <c r="CU65" i="6"/>
  <c r="CV65" i="6"/>
  <c r="CW65" i="6"/>
  <c r="CX65" i="6"/>
  <c r="CY65" i="6"/>
  <c r="CZ65" i="6"/>
  <c r="DA65" i="6"/>
  <c r="AT66" i="6"/>
  <c r="AU66" i="6"/>
  <c r="AV66" i="6"/>
  <c r="AW66" i="6"/>
  <c r="AX66" i="6"/>
  <c r="AY66" i="6"/>
  <c r="AZ66" i="6"/>
  <c r="BA66" i="6"/>
  <c r="BB66" i="6"/>
  <c r="BC66" i="6"/>
  <c r="BD66" i="6"/>
  <c r="BE66" i="6"/>
  <c r="BF66" i="6"/>
  <c r="BG66" i="6"/>
  <c r="BH66" i="6"/>
  <c r="BI66" i="6"/>
  <c r="BJ66" i="6"/>
  <c r="BK66" i="6"/>
  <c r="BL66" i="6"/>
  <c r="BM66" i="6"/>
  <c r="BN66" i="6"/>
  <c r="BO66" i="6"/>
  <c r="BP66" i="6"/>
  <c r="BQ66" i="6"/>
  <c r="BR66" i="6"/>
  <c r="BS66" i="6"/>
  <c r="BT66" i="6"/>
  <c r="BU66" i="6"/>
  <c r="BV66" i="6"/>
  <c r="BW66" i="6"/>
  <c r="BX66" i="6"/>
  <c r="BY66" i="6"/>
  <c r="BZ66" i="6"/>
  <c r="CA66" i="6"/>
  <c r="CB66" i="6"/>
  <c r="CC66" i="6"/>
  <c r="CD66" i="6"/>
  <c r="CE66" i="6"/>
  <c r="CF66" i="6"/>
  <c r="CG66" i="6"/>
  <c r="CH66" i="6"/>
  <c r="CI66" i="6"/>
  <c r="CJ66" i="6"/>
  <c r="CK66" i="6"/>
  <c r="CL66" i="6"/>
  <c r="CM66" i="6"/>
  <c r="CN66" i="6"/>
  <c r="CO66" i="6"/>
  <c r="CP66" i="6"/>
  <c r="CQ66" i="6"/>
  <c r="CR66" i="6"/>
  <c r="CS66" i="6"/>
  <c r="CT66" i="6"/>
  <c r="CU66" i="6"/>
  <c r="CV66" i="6"/>
  <c r="CW66" i="6"/>
  <c r="CX66" i="6"/>
  <c r="CY66" i="6"/>
  <c r="CZ66" i="6"/>
  <c r="DA66" i="6"/>
  <c r="AT67" i="6"/>
  <c r="AU67" i="6"/>
  <c r="AV67" i="6"/>
  <c r="AW67" i="6"/>
  <c r="AX67" i="6"/>
  <c r="AY67" i="6"/>
  <c r="AZ67" i="6"/>
  <c r="BA67" i="6"/>
  <c r="BB67" i="6"/>
  <c r="BC67" i="6"/>
  <c r="BD67" i="6"/>
  <c r="BE67" i="6"/>
  <c r="BF67" i="6"/>
  <c r="BG67" i="6"/>
  <c r="BH67" i="6"/>
  <c r="BI67" i="6"/>
  <c r="BJ67" i="6"/>
  <c r="BK67" i="6"/>
  <c r="BL67" i="6"/>
  <c r="BM67" i="6"/>
  <c r="BN67" i="6"/>
  <c r="BO67" i="6"/>
  <c r="BP67" i="6"/>
  <c r="BQ67" i="6"/>
  <c r="BR67" i="6"/>
  <c r="BS67" i="6"/>
  <c r="BT67" i="6"/>
  <c r="BU67" i="6"/>
  <c r="BV67" i="6"/>
  <c r="BW67" i="6"/>
  <c r="BX67" i="6"/>
  <c r="BY67" i="6"/>
  <c r="BZ67" i="6"/>
  <c r="CA67" i="6"/>
  <c r="CB67" i="6"/>
  <c r="CC67" i="6"/>
  <c r="CD67" i="6"/>
  <c r="CE67" i="6"/>
  <c r="CF67" i="6"/>
  <c r="CG67" i="6"/>
  <c r="CH67" i="6"/>
  <c r="CI67" i="6"/>
  <c r="CJ67" i="6"/>
  <c r="CK67" i="6"/>
  <c r="CL67" i="6"/>
  <c r="CM67" i="6"/>
  <c r="CN67" i="6"/>
  <c r="CO67" i="6"/>
  <c r="CP67" i="6"/>
  <c r="CQ67" i="6"/>
  <c r="CR67" i="6"/>
  <c r="CS67" i="6"/>
  <c r="CT67" i="6"/>
  <c r="CU67" i="6"/>
  <c r="CV67" i="6"/>
  <c r="CW67" i="6"/>
  <c r="CX67" i="6"/>
  <c r="CY67" i="6"/>
  <c r="CZ67" i="6"/>
  <c r="DA67" i="6"/>
  <c r="AT68" i="6"/>
  <c r="AU68" i="6"/>
  <c r="AV68" i="6"/>
  <c r="AW68" i="6"/>
  <c r="AX68" i="6"/>
  <c r="AY68" i="6"/>
  <c r="AZ68" i="6"/>
  <c r="BA68" i="6"/>
  <c r="BB68" i="6"/>
  <c r="BC68" i="6"/>
  <c r="BD68" i="6"/>
  <c r="BE68" i="6"/>
  <c r="BF68" i="6"/>
  <c r="BG68" i="6"/>
  <c r="BH68" i="6"/>
  <c r="BI68" i="6"/>
  <c r="BJ68" i="6"/>
  <c r="BK68" i="6"/>
  <c r="BL68" i="6"/>
  <c r="BM68" i="6"/>
  <c r="BN68" i="6"/>
  <c r="BO68" i="6"/>
  <c r="BP68" i="6"/>
  <c r="BQ68" i="6"/>
  <c r="BR68" i="6"/>
  <c r="BS68" i="6"/>
  <c r="BT68" i="6"/>
  <c r="BU68" i="6"/>
  <c r="BV68" i="6"/>
  <c r="BW68" i="6"/>
  <c r="BX68" i="6"/>
  <c r="BY68" i="6"/>
  <c r="BZ68" i="6"/>
  <c r="CA68" i="6"/>
  <c r="CB68" i="6"/>
  <c r="CC68" i="6"/>
  <c r="CD68" i="6"/>
  <c r="CE68" i="6"/>
  <c r="CF68" i="6"/>
  <c r="CG68" i="6"/>
  <c r="CH68" i="6"/>
  <c r="CI68" i="6"/>
  <c r="CJ68" i="6"/>
  <c r="CK68" i="6"/>
  <c r="CL68" i="6"/>
  <c r="CM68" i="6"/>
  <c r="CN68" i="6"/>
  <c r="CO68" i="6"/>
  <c r="CP68" i="6"/>
  <c r="CQ68" i="6"/>
  <c r="CR68" i="6"/>
  <c r="CS68" i="6"/>
  <c r="CT68" i="6"/>
  <c r="CU68" i="6"/>
  <c r="CV68" i="6"/>
  <c r="CW68" i="6"/>
  <c r="CX68" i="6"/>
  <c r="CY68" i="6"/>
  <c r="CZ68" i="6"/>
  <c r="DA68" i="6"/>
  <c r="AT69" i="6"/>
  <c r="AU69" i="6"/>
  <c r="AV69" i="6"/>
  <c r="AW69" i="6"/>
  <c r="AX69" i="6"/>
  <c r="AY69" i="6"/>
  <c r="AZ69" i="6"/>
  <c r="BA69" i="6"/>
  <c r="BB69" i="6"/>
  <c r="BC69" i="6"/>
  <c r="BD69" i="6"/>
  <c r="BE69" i="6"/>
  <c r="BF69" i="6"/>
  <c r="BG69" i="6"/>
  <c r="BH69" i="6"/>
  <c r="BI69" i="6"/>
  <c r="BJ69" i="6"/>
  <c r="BK69" i="6"/>
  <c r="BL69" i="6"/>
  <c r="BM69" i="6"/>
  <c r="BN69" i="6"/>
  <c r="BO69" i="6"/>
  <c r="BP69" i="6"/>
  <c r="BQ69" i="6"/>
  <c r="BR69" i="6"/>
  <c r="BS69" i="6"/>
  <c r="BT69" i="6"/>
  <c r="BU69" i="6"/>
  <c r="BV69" i="6"/>
  <c r="BW69" i="6"/>
  <c r="BX69" i="6"/>
  <c r="BY69" i="6"/>
  <c r="BZ69" i="6"/>
  <c r="CA69" i="6"/>
  <c r="CB69" i="6"/>
  <c r="CC69" i="6"/>
  <c r="CD69" i="6"/>
  <c r="CE69" i="6"/>
  <c r="CF69" i="6"/>
  <c r="CG69" i="6"/>
  <c r="CH69" i="6"/>
  <c r="CI69" i="6"/>
  <c r="CJ69" i="6"/>
  <c r="CK69" i="6"/>
  <c r="CL69" i="6"/>
  <c r="CM69" i="6"/>
  <c r="CN69" i="6"/>
  <c r="CO69" i="6"/>
  <c r="CP69" i="6"/>
  <c r="CQ69" i="6"/>
  <c r="CR69" i="6"/>
  <c r="CS69" i="6"/>
  <c r="CT69" i="6"/>
  <c r="CU69" i="6"/>
  <c r="CV69" i="6"/>
  <c r="CW69" i="6"/>
  <c r="CX69" i="6"/>
  <c r="CY69" i="6"/>
  <c r="CZ69" i="6"/>
  <c r="DA69" i="6"/>
  <c r="AT70" i="6"/>
  <c r="AU70" i="6"/>
  <c r="AV70" i="6"/>
  <c r="AW70" i="6"/>
  <c r="AX70" i="6"/>
  <c r="AY70" i="6"/>
  <c r="AZ70" i="6"/>
  <c r="BA70" i="6"/>
  <c r="BB70" i="6"/>
  <c r="BC70" i="6"/>
  <c r="BD70" i="6"/>
  <c r="BE70" i="6"/>
  <c r="BF70" i="6"/>
  <c r="BG70" i="6"/>
  <c r="BH70" i="6"/>
  <c r="BI70" i="6"/>
  <c r="BJ70" i="6"/>
  <c r="BK70" i="6"/>
  <c r="BL70" i="6"/>
  <c r="BM70" i="6"/>
  <c r="BN70" i="6"/>
  <c r="BO70" i="6"/>
  <c r="BP70" i="6"/>
  <c r="BQ70" i="6"/>
  <c r="BR70" i="6"/>
  <c r="BS70" i="6"/>
  <c r="BT70" i="6"/>
  <c r="BU70" i="6"/>
  <c r="BV70" i="6"/>
  <c r="BW70" i="6"/>
  <c r="BX70" i="6"/>
  <c r="BY70" i="6"/>
  <c r="BZ70" i="6"/>
  <c r="CA70" i="6"/>
  <c r="CB70" i="6"/>
  <c r="CC70" i="6"/>
  <c r="CD70" i="6"/>
  <c r="CE70" i="6"/>
  <c r="CF70" i="6"/>
  <c r="CG70" i="6"/>
  <c r="CH70" i="6"/>
  <c r="CI70" i="6"/>
  <c r="CJ70" i="6"/>
  <c r="CK70" i="6"/>
  <c r="CL70" i="6"/>
  <c r="CM70" i="6"/>
  <c r="CN70" i="6"/>
  <c r="CO70" i="6"/>
  <c r="CP70" i="6"/>
  <c r="CQ70" i="6"/>
  <c r="CR70" i="6"/>
  <c r="CS70" i="6"/>
  <c r="CT70" i="6"/>
  <c r="CU70" i="6"/>
  <c r="CV70" i="6"/>
  <c r="CW70" i="6"/>
  <c r="CX70" i="6"/>
  <c r="CY70" i="6"/>
  <c r="CZ70" i="6"/>
  <c r="DA70" i="6"/>
  <c r="AT71" i="6"/>
  <c r="AU71" i="6"/>
  <c r="AV71" i="6"/>
  <c r="AW71" i="6"/>
  <c r="AX71" i="6"/>
  <c r="AY71" i="6"/>
  <c r="AZ71" i="6"/>
  <c r="BA71" i="6"/>
  <c r="BB71" i="6"/>
  <c r="BC71" i="6"/>
  <c r="BD71" i="6"/>
  <c r="BE71" i="6"/>
  <c r="BF71" i="6"/>
  <c r="BG71" i="6"/>
  <c r="BH71" i="6"/>
  <c r="BI71" i="6"/>
  <c r="BJ71" i="6"/>
  <c r="BK71" i="6"/>
  <c r="BL71" i="6"/>
  <c r="BM71" i="6"/>
  <c r="BN71" i="6"/>
  <c r="BO71" i="6"/>
  <c r="BP71" i="6"/>
  <c r="BQ71" i="6"/>
  <c r="BR71" i="6"/>
  <c r="BS71" i="6"/>
  <c r="BT71" i="6"/>
  <c r="BU71" i="6"/>
  <c r="BV71" i="6"/>
  <c r="BW71" i="6"/>
  <c r="BX71" i="6"/>
  <c r="BY71" i="6"/>
  <c r="BZ71" i="6"/>
  <c r="CA71" i="6"/>
  <c r="CB71" i="6"/>
  <c r="CC71" i="6"/>
  <c r="CD71" i="6"/>
  <c r="CE71" i="6"/>
  <c r="CF71" i="6"/>
  <c r="CG71" i="6"/>
  <c r="CH71" i="6"/>
  <c r="CI71" i="6"/>
  <c r="CJ71" i="6"/>
  <c r="CK71" i="6"/>
  <c r="CL71" i="6"/>
  <c r="CM71" i="6"/>
  <c r="CN71" i="6"/>
  <c r="CO71" i="6"/>
  <c r="CP71" i="6"/>
  <c r="CQ71" i="6"/>
  <c r="CR71" i="6"/>
  <c r="CS71" i="6"/>
  <c r="CT71" i="6"/>
  <c r="CU71" i="6"/>
  <c r="CV71" i="6"/>
  <c r="CW71" i="6"/>
  <c r="CX71" i="6"/>
  <c r="CY71" i="6"/>
  <c r="CZ71" i="6"/>
  <c r="DA71" i="6"/>
  <c r="AT72" i="6"/>
  <c r="AU72" i="6"/>
  <c r="AV72" i="6"/>
  <c r="AW72" i="6"/>
  <c r="AX72" i="6"/>
  <c r="AY72" i="6"/>
  <c r="AZ72" i="6"/>
  <c r="BA72" i="6"/>
  <c r="BB72" i="6"/>
  <c r="BC72" i="6"/>
  <c r="BD72" i="6"/>
  <c r="BE72" i="6"/>
  <c r="BF72" i="6"/>
  <c r="BG72" i="6"/>
  <c r="BH72" i="6"/>
  <c r="BI72" i="6"/>
  <c r="BJ72" i="6"/>
  <c r="BK72" i="6"/>
  <c r="BL72" i="6"/>
  <c r="BM72" i="6"/>
  <c r="BN72" i="6"/>
  <c r="BO72" i="6"/>
  <c r="BP72" i="6"/>
  <c r="BQ72" i="6"/>
  <c r="BR72" i="6"/>
  <c r="BS72" i="6"/>
  <c r="BT72" i="6"/>
  <c r="BU72" i="6"/>
  <c r="BV72" i="6"/>
  <c r="BW72" i="6"/>
  <c r="BX72" i="6"/>
  <c r="BY72" i="6"/>
  <c r="BZ72" i="6"/>
  <c r="CA72" i="6"/>
  <c r="CB72" i="6"/>
  <c r="CC72" i="6"/>
  <c r="CD72" i="6"/>
  <c r="CE72" i="6"/>
  <c r="CF72" i="6"/>
  <c r="CG72" i="6"/>
  <c r="CH72" i="6"/>
  <c r="CI72" i="6"/>
  <c r="CJ72" i="6"/>
  <c r="CK72" i="6"/>
  <c r="CL72" i="6"/>
  <c r="CM72" i="6"/>
  <c r="CN72" i="6"/>
  <c r="CO72" i="6"/>
  <c r="CP72" i="6"/>
  <c r="CQ72" i="6"/>
  <c r="CR72" i="6"/>
  <c r="CS72" i="6"/>
  <c r="CT72" i="6"/>
  <c r="CU72" i="6"/>
  <c r="CV72" i="6"/>
  <c r="CW72" i="6"/>
  <c r="CX72" i="6"/>
  <c r="CY72" i="6"/>
  <c r="CZ72" i="6"/>
  <c r="DA72" i="6"/>
  <c r="AT73" i="6"/>
  <c r="AU73" i="6"/>
  <c r="AV73" i="6"/>
  <c r="AW73" i="6"/>
  <c r="AX73" i="6"/>
  <c r="AY73" i="6"/>
  <c r="AZ73" i="6"/>
  <c r="BA73" i="6"/>
  <c r="BB73" i="6"/>
  <c r="BC73" i="6"/>
  <c r="BD73" i="6"/>
  <c r="BE73" i="6"/>
  <c r="BF73" i="6"/>
  <c r="BG73" i="6"/>
  <c r="BH73" i="6"/>
  <c r="BI73" i="6"/>
  <c r="BJ73" i="6"/>
  <c r="BK73" i="6"/>
  <c r="BL73" i="6"/>
  <c r="BM73" i="6"/>
  <c r="BN73" i="6"/>
  <c r="BO73" i="6"/>
  <c r="BP73" i="6"/>
  <c r="BQ73" i="6"/>
  <c r="BR73" i="6"/>
  <c r="BS73" i="6"/>
  <c r="BT73" i="6"/>
  <c r="BU73" i="6"/>
  <c r="BV73" i="6"/>
  <c r="BW73" i="6"/>
  <c r="BX73" i="6"/>
  <c r="BY73" i="6"/>
  <c r="BZ73" i="6"/>
  <c r="CA73" i="6"/>
  <c r="CB73" i="6"/>
  <c r="CC73" i="6"/>
  <c r="CD73" i="6"/>
  <c r="CE73" i="6"/>
  <c r="CF73" i="6"/>
  <c r="CG73" i="6"/>
  <c r="CH73" i="6"/>
  <c r="CI73" i="6"/>
  <c r="CJ73" i="6"/>
  <c r="CK73" i="6"/>
  <c r="CL73" i="6"/>
  <c r="CM73" i="6"/>
  <c r="CN73" i="6"/>
  <c r="CO73" i="6"/>
  <c r="CP73" i="6"/>
  <c r="CQ73" i="6"/>
  <c r="CR73" i="6"/>
  <c r="CS73" i="6"/>
  <c r="CT73" i="6"/>
  <c r="CU73" i="6"/>
  <c r="CV73" i="6"/>
  <c r="CW73" i="6"/>
  <c r="CX73" i="6"/>
  <c r="CY73" i="6"/>
  <c r="CZ73" i="6"/>
  <c r="DA73" i="6"/>
  <c r="AT74" i="6"/>
  <c r="AU74" i="6"/>
  <c r="AV74" i="6"/>
  <c r="AW74" i="6"/>
  <c r="AX74" i="6"/>
  <c r="AY74" i="6"/>
  <c r="AZ74" i="6"/>
  <c r="BA74" i="6"/>
  <c r="BB74" i="6"/>
  <c r="BC74" i="6"/>
  <c r="BD74" i="6"/>
  <c r="BE74" i="6"/>
  <c r="BF74" i="6"/>
  <c r="BG74" i="6"/>
  <c r="BH74" i="6"/>
  <c r="BI74" i="6"/>
  <c r="BJ74" i="6"/>
  <c r="BK74" i="6"/>
  <c r="BL74" i="6"/>
  <c r="BM74" i="6"/>
  <c r="BN74" i="6"/>
  <c r="BO74" i="6"/>
  <c r="BP74" i="6"/>
  <c r="BQ74" i="6"/>
  <c r="BR74" i="6"/>
  <c r="BS74" i="6"/>
  <c r="BT74" i="6"/>
  <c r="BU74" i="6"/>
  <c r="BV74" i="6"/>
  <c r="BW74" i="6"/>
  <c r="BX74" i="6"/>
  <c r="BY74" i="6"/>
  <c r="BZ74" i="6"/>
  <c r="CA74" i="6"/>
  <c r="CB74" i="6"/>
  <c r="CC74" i="6"/>
  <c r="CD74" i="6"/>
  <c r="CE74" i="6"/>
  <c r="CF74" i="6"/>
  <c r="CG74" i="6"/>
  <c r="CH74" i="6"/>
  <c r="CI74" i="6"/>
  <c r="CJ74" i="6"/>
  <c r="CK74" i="6"/>
  <c r="CL74" i="6"/>
  <c r="CM74" i="6"/>
  <c r="CN74" i="6"/>
  <c r="CO74" i="6"/>
  <c r="CP74" i="6"/>
  <c r="CQ74" i="6"/>
  <c r="CR74" i="6"/>
  <c r="CS74" i="6"/>
  <c r="CT74" i="6"/>
  <c r="CU74" i="6"/>
  <c r="CV74" i="6"/>
  <c r="CW74" i="6"/>
  <c r="CX74" i="6"/>
  <c r="CY74" i="6"/>
  <c r="CZ74" i="6"/>
  <c r="DA74" i="6"/>
  <c r="AT75" i="6"/>
  <c r="AU75" i="6"/>
  <c r="AV75" i="6"/>
  <c r="AW75" i="6"/>
  <c r="AX75" i="6"/>
  <c r="AY75" i="6"/>
  <c r="AZ75" i="6"/>
  <c r="BA75" i="6"/>
  <c r="BB75" i="6"/>
  <c r="BC75" i="6"/>
  <c r="BD75" i="6"/>
  <c r="BE75" i="6"/>
  <c r="BF75" i="6"/>
  <c r="BG75" i="6"/>
  <c r="BH75" i="6"/>
  <c r="BI75" i="6"/>
  <c r="BJ75" i="6"/>
  <c r="BK75" i="6"/>
  <c r="BL75" i="6"/>
  <c r="BM75" i="6"/>
  <c r="BN75" i="6"/>
  <c r="BO75" i="6"/>
  <c r="BP75" i="6"/>
  <c r="BQ75" i="6"/>
  <c r="BR75" i="6"/>
  <c r="BS75" i="6"/>
  <c r="BT75" i="6"/>
  <c r="BU75" i="6"/>
  <c r="BV75" i="6"/>
  <c r="BW75" i="6"/>
  <c r="BX75" i="6"/>
  <c r="BY75" i="6"/>
  <c r="BZ75" i="6"/>
  <c r="CA75" i="6"/>
  <c r="CB75" i="6"/>
  <c r="CC75" i="6"/>
  <c r="CD75" i="6"/>
  <c r="CE75" i="6"/>
  <c r="CF75" i="6"/>
  <c r="CG75" i="6"/>
  <c r="CH75" i="6"/>
  <c r="CI75" i="6"/>
  <c r="CJ75" i="6"/>
  <c r="CK75" i="6"/>
  <c r="CL75" i="6"/>
  <c r="CM75" i="6"/>
  <c r="CN75" i="6"/>
  <c r="CO75" i="6"/>
  <c r="CP75" i="6"/>
  <c r="CQ75" i="6"/>
  <c r="CR75" i="6"/>
  <c r="CS75" i="6"/>
  <c r="CT75" i="6"/>
  <c r="CU75" i="6"/>
  <c r="CV75" i="6"/>
  <c r="CW75" i="6"/>
  <c r="CX75" i="6"/>
  <c r="CY75" i="6"/>
  <c r="CZ75" i="6"/>
  <c r="DA75" i="6"/>
  <c r="AT76" i="6"/>
  <c r="AU76" i="6"/>
  <c r="AV76" i="6"/>
  <c r="AW76" i="6"/>
  <c r="AX76" i="6"/>
  <c r="AY76" i="6"/>
  <c r="AZ76" i="6"/>
  <c r="BA76" i="6"/>
  <c r="BB76" i="6"/>
  <c r="BC76" i="6"/>
  <c r="BD76" i="6"/>
  <c r="BE76" i="6"/>
  <c r="BF76" i="6"/>
  <c r="BG76" i="6"/>
  <c r="BH76" i="6"/>
  <c r="BI76" i="6"/>
  <c r="BJ76" i="6"/>
  <c r="BK76" i="6"/>
  <c r="BL76" i="6"/>
  <c r="BM76" i="6"/>
  <c r="BN76" i="6"/>
  <c r="BO76" i="6"/>
  <c r="BP76" i="6"/>
  <c r="BQ76" i="6"/>
  <c r="BR76" i="6"/>
  <c r="BS76" i="6"/>
  <c r="BT76" i="6"/>
  <c r="BU76" i="6"/>
  <c r="BV76" i="6"/>
  <c r="BW76" i="6"/>
  <c r="BX76" i="6"/>
  <c r="BY76" i="6"/>
  <c r="BZ76" i="6"/>
  <c r="CA76" i="6"/>
  <c r="CB76" i="6"/>
  <c r="CC76" i="6"/>
  <c r="CD76" i="6"/>
  <c r="CE76" i="6"/>
  <c r="CF76" i="6"/>
  <c r="CG76" i="6"/>
  <c r="CH76" i="6"/>
  <c r="CI76" i="6"/>
  <c r="CJ76" i="6"/>
  <c r="CK76" i="6"/>
  <c r="CL76" i="6"/>
  <c r="CM76" i="6"/>
  <c r="CN76" i="6"/>
  <c r="CO76" i="6"/>
  <c r="CP76" i="6"/>
  <c r="CQ76" i="6"/>
  <c r="CR76" i="6"/>
  <c r="CS76" i="6"/>
  <c r="CT76" i="6"/>
  <c r="CU76" i="6"/>
  <c r="CV76" i="6"/>
  <c r="CW76" i="6"/>
  <c r="CX76" i="6"/>
  <c r="CY76" i="6"/>
  <c r="CZ76" i="6"/>
  <c r="DA76" i="6"/>
  <c r="AT77" i="6"/>
  <c r="AU77" i="6"/>
  <c r="AV77" i="6"/>
  <c r="AW77" i="6"/>
  <c r="AX77" i="6"/>
  <c r="AY77" i="6"/>
  <c r="AZ77" i="6"/>
  <c r="BA77" i="6"/>
  <c r="BB77" i="6"/>
  <c r="BC77" i="6"/>
  <c r="BD77" i="6"/>
  <c r="BE77" i="6"/>
  <c r="BF77" i="6"/>
  <c r="BG77" i="6"/>
  <c r="BH77" i="6"/>
  <c r="BI77" i="6"/>
  <c r="BJ77" i="6"/>
  <c r="BK77" i="6"/>
  <c r="BL77" i="6"/>
  <c r="BM77" i="6"/>
  <c r="BN77" i="6"/>
  <c r="BO77" i="6"/>
  <c r="BP77" i="6"/>
  <c r="BQ77" i="6"/>
  <c r="BR77" i="6"/>
  <c r="BS77" i="6"/>
  <c r="BT77" i="6"/>
  <c r="BU77" i="6"/>
  <c r="BV77" i="6"/>
  <c r="BW77" i="6"/>
  <c r="BX77" i="6"/>
  <c r="BY77" i="6"/>
  <c r="BZ77" i="6"/>
  <c r="CA77" i="6"/>
  <c r="CB77" i="6"/>
  <c r="CC77" i="6"/>
  <c r="CD77" i="6"/>
  <c r="CE77" i="6"/>
  <c r="CF77" i="6"/>
  <c r="CG77" i="6"/>
  <c r="CH77" i="6"/>
  <c r="CI77" i="6"/>
  <c r="CJ77" i="6"/>
  <c r="CK77" i="6"/>
  <c r="CL77" i="6"/>
  <c r="CM77" i="6"/>
  <c r="CN77" i="6"/>
  <c r="CO77" i="6"/>
  <c r="CP77" i="6"/>
  <c r="CQ77" i="6"/>
  <c r="CR77" i="6"/>
  <c r="CS77" i="6"/>
  <c r="CT77" i="6"/>
  <c r="CU77" i="6"/>
  <c r="CV77" i="6"/>
  <c r="CW77" i="6"/>
  <c r="CX77" i="6"/>
  <c r="CY77" i="6"/>
  <c r="CZ77" i="6"/>
  <c r="DA77" i="6"/>
  <c r="AT78" i="6"/>
  <c r="AU78" i="6"/>
  <c r="AV78" i="6"/>
  <c r="AW78" i="6"/>
  <c r="AX78" i="6"/>
  <c r="AY78" i="6"/>
  <c r="AZ78" i="6"/>
  <c r="BA78" i="6"/>
  <c r="BB78" i="6"/>
  <c r="BC78" i="6"/>
  <c r="BD78" i="6"/>
  <c r="BE78" i="6"/>
  <c r="BF78" i="6"/>
  <c r="BG78" i="6"/>
  <c r="BH78" i="6"/>
  <c r="BI78" i="6"/>
  <c r="BJ78" i="6"/>
  <c r="BK78" i="6"/>
  <c r="BL78" i="6"/>
  <c r="BM78" i="6"/>
  <c r="BN78" i="6"/>
  <c r="BO78" i="6"/>
  <c r="BP78" i="6"/>
  <c r="BQ78" i="6"/>
  <c r="BR78" i="6"/>
  <c r="BS78" i="6"/>
  <c r="BT78" i="6"/>
  <c r="BU78" i="6"/>
  <c r="BV78" i="6"/>
  <c r="BW78" i="6"/>
  <c r="BX78" i="6"/>
  <c r="BY78" i="6"/>
  <c r="BZ78" i="6"/>
  <c r="CA78" i="6"/>
  <c r="CB78" i="6"/>
  <c r="CC78" i="6"/>
  <c r="CD78" i="6"/>
  <c r="CE78" i="6"/>
  <c r="CF78" i="6"/>
  <c r="CG78" i="6"/>
  <c r="CH78" i="6"/>
  <c r="CI78" i="6"/>
  <c r="CJ78" i="6"/>
  <c r="CK78" i="6"/>
  <c r="CL78" i="6"/>
  <c r="CM78" i="6"/>
  <c r="CN78" i="6"/>
  <c r="CO78" i="6"/>
  <c r="CP78" i="6"/>
  <c r="CQ78" i="6"/>
  <c r="CR78" i="6"/>
  <c r="CS78" i="6"/>
  <c r="CT78" i="6"/>
  <c r="CU78" i="6"/>
  <c r="CV78" i="6"/>
  <c r="CW78" i="6"/>
  <c r="CX78" i="6"/>
  <c r="CY78" i="6"/>
  <c r="CZ78" i="6"/>
  <c r="DA78" i="6"/>
  <c r="AT79" i="6"/>
  <c r="AU79" i="6"/>
  <c r="AV79" i="6"/>
  <c r="AW79" i="6"/>
  <c r="AX79" i="6"/>
  <c r="AY79" i="6"/>
  <c r="AZ79" i="6"/>
  <c r="BA79" i="6"/>
  <c r="BB79" i="6"/>
  <c r="BC79" i="6"/>
  <c r="BD79" i="6"/>
  <c r="BE79" i="6"/>
  <c r="BF79" i="6"/>
  <c r="BG79" i="6"/>
  <c r="BH79" i="6"/>
  <c r="BI79" i="6"/>
  <c r="BJ79" i="6"/>
  <c r="BK79" i="6"/>
  <c r="BL79" i="6"/>
  <c r="BM79" i="6"/>
  <c r="BN79" i="6"/>
  <c r="BO79" i="6"/>
  <c r="BP79" i="6"/>
  <c r="BQ79" i="6"/>
  <c r="BR79" i="6"/>
  <c r="BS79" i="6"/>
  <c r="BT79" i="6"/>
  <c r="BU79" i="6"/>
  <c r="BV79" i="6"/>
  <c r="BW79" i="6"/>
  <c r="BX79" i="6"/>
  <c r="BY79" i="6"/>
  <c r="BZ79" i="6"/>
  <c r="CA79" i="6"/>
  <c r="CB79" i="6"/>
  <c r="CC79" i="6"/>
  <c r="CD79" i="6"/>
  <c r="CE79" i="6"/>
  <c r="CF79" i="6"/>
  <c r="CG79" i="6"/>
  <c r="CH79" i="6"/>
  <c r="CI79" i="6"/>
  <c r="CJ79" i="6"/>
  <c r="CK79" i="6"/>
  <c r="CL79" i="6"/>
  <c r="CM79" i="6"/>
  <c r="CN79" i="6"/>
  <c r="CO79" i="6"/>
  <c r="CP79" i="6"/>
  <c r="CQ79" i="6"/>
  <c r="CR79" i="6"/>
  <c r="CS79" i="6"/>
  <c r="CT79" i="6"/>
  <c r="CU79" i="6"/>
  <c r="CV79" i="6"/>
  <c r="CW79" i="6"/>
  <c r="CX79" i="6"/>
  <c r="CY79" i="6"/>
  <c r="CZ79" i="6"/>
  <c r="DA79" i="6"/>
  <c r="AT81" i="6"/>
  <c r="AU81" i="6"/>
  <c r="AV81" i="6"/>
  <c r="AW81" i="6"/>
  <c r="AX81" i="6"/>
  <c r="AY81" i="6"/>
  <c r="AZ81" i="6"/>
  <c r="BA81" i="6"/>
  <c r="BB81" i="6"/>
  <c r="BC81" i="6"/>
  <c r="BD81" i="6"/>
  <c r="BE81" i="6"/>
  <c r="BF81" i="6"/>
  <c r="BG81" i="6"/>
  <c r="BH81" i="6"/>
  <c r="BI81" i="6"/>
  <c r="BJ81" i="6"/>
  <c r="BK81" i="6"/>
  <c r="BL81" i="6"/>
  <c r="BM81" i="6"/>
  <c r="BN81" i="6"/>
  <c r="BO81" i="6"/>
  <c r="BP81" i="6"/>
  <c r="BQ81" i="6"/>
  <c r="BR81" i="6"/>
  <c r="BS81" i="6"/>
  <c r="BT81" i="6"/>
  <c r="BU81" i="6"/>
  <c r="BV81" i="6"/>
  <c r="BW81" i="6"/>
  <c r="BX81" i="6"/>
  <c r="BY81" i="6"/>
  <c r="BZ81" i="6"/>
  <c r="CA81" i="6"/>
  <c r="CB81" i="6"/>
  <c r="CC81" i="6"/>
  <c r="CD81" i="6"/>
  <c r="CE81" i="6"/>
  <c r="CF81" i="6"/>
  <c r="CG81" i="6"/>
  <c r="CH81" i="6"/>
  <c r="CI81" i="6"/>
  <c r="CJ81" i="6"/>
  <c r="CK81" i="6"/>
  <c r="CL81" i="6"/>
  <c r="CM81" i="6"/>
  <c r="CN81" i="6"/>
  <c r="CO81" i="6"/>
  <c r="CP81" i="6"/>
  <c r="CQ81" i="6"/>
  <c r="CR81" i="6"/>
  <c r="CS81" i="6"/>
  <c r="CT81" i="6"/>
  <c r="CU81" i="6"/>
  <c r="CV81" i="6"/>
  <c r="CW81" i="6"/>
  <c r="CX81" i="6"/>
  <c r="CY81" i="6"/>
  <c r="CZ81" i="6"/>
  <c r="DA81" i="6"/>
  <c r="AT82" i="6"/>
  <c r="AU82" i="6"/>
  <c r="AV82" i="6"/>
  <c r="AW82" i="6"/>
  <c r="AX82" i="6"/>
  <c r="AY82" i="6"/>
  <c r="AZ82" i="6"/>
  <c r="BA82" i="6"/>
  <c r="BB82" i="6"/>
  <c r="BC82" i="6"/>
  <c r="BD82" i="6"/>
  <c r="BE82" i="6"/>
  <c r="BF82" i="6"/>
  <c r="BG82" i="6"/>
  <c r="BH82" i="6"/>
  <c r="BI82" i="6"/>
  <c r="BJ82" i="6"/>
  <c r="BK82" i="6"/>
  <c r="BL82" i="6"/>
  <c r="BM82" i="6"/>
  <c r="BN82" i="6"/>
  <c r="BO82" i="6"/>
  <c r="BP82" i="6"/>
  <c r="BQ82" i="6"/>
  <c r="BR82" i="6"/>
  <c r="BS82" i="6"/>
  <c r="BT82" i="6"/>
  <c r="BU82" i="6"/>
  <c r="BV82" i="6"/>
  <c r="BW82" i="6"/>
  <c r="BX82" i="6"/>
  <c r="BY82" i="6"/>
  <c r="BZ82" i="6"/>
  <c r="CA82" i="6"/>
  <c r="CB82" i="6"/>
  <c r="CC82" i="6"/>
  <c r="CD82" i="6"/>
  <c r="CE82" i="6"/>
  <c r="CF82" i="6"/>
  <c r="CG82" i="6"/>
  <c r="CH82" i="6"/>
  <c r="CI82" i="6"/>
  <c r="CJ82" i="6"/>
  <c r="CK82" i="6"/>
  <c r="CL82" i="6"/>
  <c r="CM82" i="6"/>
  <c r="CN82" i="6"/>
  <c r="CO82" i="6"/>
  <c r="CP82" i="6"/>
  <c r="CQ82" i="6"/>
  <c r="CR82" i="6"/>
  <c r="CS82" i="6"/>
  <c r="CT82" i="6"/>
  <c r="CU82" i="6"/>
  <c r="CV82" i="6"/>
  <c r="CW82" i="6"/>
  <c r="CX82" i="6"/>
  <c r="CY82" i="6"/>
  <c r="CZ82" i="6"/>
  <c r="DA82" i="6"/>
  <c r="AT83" i="6"/>
  <c r="AU83" i="6"/>
  <c r="AV83" i="6"/>
  <c r="AW83" i="6"/>
  <c r="AX83" i="6"/>
  <c r="AY83" i="6"/>
  <c r="AZ83" i="6"/>
  <c r="BA83" i="6"/>
  <c r="BB83" i="6"/>
  <c r="BC83" i="6"/>
  <c r="BD83" i="6"/>
  <c r="BE83" i="6"/>
  <c r="BF83" i="6"/>
  <c r="BG83" i="6"/>
  <c r="BH83" i="6"/>
  <c r="BI83" i="6"/>
  <c r="BJ83" i="6"/>
  <c r="BK83" i="6"/>
  <c r="BL83" i="6"/>
  <c r="BM83" i="6"/>
  <c r="BN83" i="6"/>
  <c r="BO83" i="6"/>
  <c r="BP83" i="6"/>
  <c r="BQ83" i="6"/>
  <c r="BR83" i="6"/>
  <c r="BS83" i="6"/>
  <c r="BT83" i="6"/>
  <c r="BU83" i="6"/>
  <c r="BV83" i="6"/>
  <c r="BW83" i="6"/>
  <c r="BX83" i="6"/>
  <c r="BY83" i="6"/>
  <c r="BZ83" i="6"/>
  <c r="CA83" i="6"/>
  <c r="CB83" i="6"/>
  <c r="CC83" i="6"/>
  <c r="CD83" i="6"/>
  <c r="CE83" i="6"/>
  <c r="CF83" i="6"/>
  <c r="CG83" i="6"/>
  <c r="CH83" i="6"/>
  <c r="CI83" i="6"/>
  <c r="CJ83" i="6"/>
  <c r="CK83" i="6"/>
  <c r="CL83" i="6"/>
  <c r="CM83" i="6"/>
  <c r="CN83" i="6"/>
  <c r="CO83" i="6"/>
  <c r="CP83" i="6"/>
  <c r="CQ83" i="6"/>
  <c r="CR83" i="6"/>
  <c r="CS83" i="6"/>
  <c r="CT83" i="6"/>
  <c r="CU83" i="6"/>
  <c r="CV83" i="6"/>
  <c r="CW83" i="6"/>
  <c r="CX83" i="6"/>
  <c r="CY83" i="6"/>
  <c r="CZ83" i="6"/>
  <c r="DA83" i="6"/>
  <c r="AT84" i="6"/>
  <c r="AU84" i="6"/>
  <c r="AV84" i="6"/>
  <c r="AW84" i="6"/>
  <c r="AX84" i="6"/>
  <c r="AY84" i="6"/>
  <c r="AZ84" i="6"/>
  <c r="BA84" i="6"/>
  <c r="BB84" i="6"/>
  <c r="BC84" i="6"/>
  <c r="BD84" i="6"/>
  <c r="BE84" i="6"/>
  <c r="BF84" i="6"/>
  <c r="BG84" i="6"/>
  <c r="BH84" i="6"/>
  <c r="BI84" i="6"/>
  <c r="BJ84" i="6"/>
  <c r="BK84" i="6"/>
  <c r="BL84" i="6"/>
  <c r="BM84" i="6"/>
  <c r="BN84" i="6"/>
  <c r="BO84" i="6"/>
  <c r="BP84" i="6"/>
  <c r="BQ84" i="6"/>
  <c r="BR84" i="6"/>
  <c r="BS84" i="6"/>
  <c r="BT84" i="6"/>
  <c r="BU84" i="6"/>
  <c r="BV84" i="6"/>
  <c r="BW84" i="6"/>
  <c r="BX84" i="6"/>
  <c r="BY84" i="6"/>
  <c r="BZ84" i="6"/>
  <c r="CA84" i="6"/>
  <c r="CB84" i="6"/>
  <c r="CC84" i="6"/>
  <c r="CD84" i="6"/>
  <c r="CE84" i="6"/>
  <c r="CF84" i="6"/>
  <c r="CG84" i="6"/>
  <c r="CH84" i="6"/>
  <c r="CI84" i="6"/>
  <c r="CJ84" i="6"/>
  <c r="CK84" i="6"/>
  <c r="CL84" i="6"/>
  <c r="CM84" i="6"/>
  <c r="CN84" i="6"/>
  <c r="CO84" i="6"/>
  <c r="CP84" i="6"/>
  <c r="CQ84" i="6"/>
  <c r="CR84" i="6"/>
  <c r="CS84" i="6"/>
  <c r="CT84" i="6"/>
  <c r="CU84" i="6"/>
  <c r="CV84" i="6"/>
  <c r="CW84" i="6"/>
  <c r="CX84" i="6"/>
  <c r="CY84" i="6"/>
  <c r="CZ84" i="6"/>
  <c r="DA84" i="6"/>
  <c r="AT85" i="6"/>
  <c r="AU85" i="6"/>
  <c r="AV85" i="6"/>
  <c r="AW85" i="6"/>
  <c r="AX85" i="6"/>
  <c r="AY85" i="6"/>
  <c r="AZ85" i="6"/>
  <c r="BA85" i="6"/>
  <c r="BB85" i="6"/>
  <c r="BC85" i="6"/>
  <c r="BD85" i="6"/>
  <c r="BE85" i="6"/>
  <c r="BF85" i="6"/>
  <c r="BG85" i="6"/>
  <c r="BH85" i="6"/>
  <c r="BI85" i="6"/>
  <c r="BJ85" i="6"/>
  <c r="BK85" i="6"/>
  <c r="BL85" i="6"/>
  <c r="BM85" i="6"/>
  <c r="BN85" i="6"/>
  <c r="BO85" i="6"/>
  <c r="BP85" i="6"/>
  <c r="BQ85" i="6"/>
  <c r="BR85" i="6"/>
  <c r="BS85" i="6"/>
  <c r="BT85" i="6"/>
  <c r="BU85" i="6"/>
  <c r="BV85" i="6"/>
  <c r="BW85" i="6"/>
  <c r="BX85" i="6"/>
  <c r="BY85" i="6"/>
  <c r="BZ85" i="6"/>
  <c r="CA85" i="6"/>
  <c r="CB85" i="6"/>
  <c r="CC85" i="6"/>
  <c r="CD85" i="6"/>
  <c r="CE85" i="6"/>
  <c r="CF85" i="6"/>
  <c r="CG85" i="6"/>
  <c r="CH85" i="6"/>
  <c r="CI85" i="6"/>
  <c r="CJ85" i="6"/>
  <c r="CK85" i="6"/>
  <c r="CL85" i="6"/>
  <c r="CM85" i="6"/>
  <c r="CN85" i="6"/>
  <c r="CO85" i="6"/>
  <c r="CP85" i="6"/>
  <c r="CQ85" i="6"/>
  <c r="CR85" i="6"/>
  <c r="CS85" i="6"/>
  <c r="CT85" i="6"/>
  <c r="CU85" i="6"/>
  <c r="CV85" i="6"/>
  <c r="CW85" i="6"/>
  <c r="CX85" i="6"/>
  <c r="CY85" i="6"/>
  <c r="CZ85" i="6"/>
  <c r="DA85" i="6"/>
  <c r="AT86" i="6"/>
  <c r="AU86" i="6"/>
  <c r="AV86" i="6"/>
  <c r="AW86" i="6"/>
  <c r="AX86" i="6"/>
  <c r="AY86" i="6"/>
  <c r="AZ86" i="6"/>
  <c r="BA86" i="6"/>
  <c r="BB86" i="6"/>
  <c r="BC86" i="6"/>
  <c r="BD86" i="6"/>
  <c r="BE86" i="6"/>
  <c r="BF86" i="6"/>
  <c r="BG86" i="6"/>
  <c r="BH86" i="6"/>
  <c r="BI86" i="6"/>
  <c r="BJ86" i="6"/>
  <c r="BK86" i="6"/>
  <c r="BL86" i="6"/>
  <c r="BM86" i="6"/>
  <c r="BN86" i="6"/>
  <c r="BO86" i="6"/>
  <c r="BP86" i="6"/>
  <c r="BQ86" i="6"/>
  <c r="BR86" i="6"/>
  <c r="BS86" i="6"/>
  <c r="BT86" i="6"/>
  <c r="BU86" i="6"/>
  <c r="BV86" i="6"/>
  <c r="BW86" i="6"/>
  <c r="BX86" i="6"/>
  <c r="BY86" i="6"/>
  <c r="BZ86" i="6"/>
  <c r="CA86" i="6"/>
  <c r="CB86" i="6"/>
  <c r="CC86" i="6"/>
  <c r="CD86" i="6"/>
  <c r="CE86" i="6"/>
  <c r="CF86" i="6"/>
  <c r="CG86" i="6"/>
  <c r="CH86" i="6"/>
  <c r="CI86" i="6"/>
  <c r="CJ86" i="6"/>
  <c r="CK86" i="6"/>
  <c r="CL86" i="6"/>
  <c r="CM86" i="6"/>
  <c r="CN86" i="6"/>
  <c r="CO86" i="6"/>
  <c r="CP86" i="6"/>
  <c r="CQ86" i="6"/>
  <c r="CR86" i="6"/>
  <c r="CS86" i="6"/>
  <c r="CT86" i="6"/>
  <c r="CU86" i="6"/>
  <c r="CV86" i="6"/>
  <c r="CW86" i="6"/>
  <c r="CX86" i="6"/>
  <c r="CY86" i="6"/>
  <c r="CZ86" i="6"/>
  <c r="DA86" i="6"/>
  <c r="AT87" i="6"/>
  <c r="AU87" i="6"/>
  <c r="AV87" i="6"/>
  <c r="AW87" i="6"/>
  <c r="AX87" i="6"/>
  <c r="AY87" i="6"/>
  <c r="AZ87" i="6"/>
  <c r="BA87" i="6"/>
  <c r="BB87" i="6"/>
  <c r="BC87" i="6"/>
  <c r="BD87" i="6"/>
  <c r="BE87" i="6"/>
  <c r="BF87" i="6"/>
  <c r="BG87" i="6"/>
  <c r="BH87" i="6"/>
  <c r="BI87" i="6"/>
  <c r="BJ87" i="6"/>
  <c r="BK87" i="6"/>
  <c r="BL87" i="6"/>
  <c r="BM87" i="6"/>
  <c r="BN87" i="6"/>
  <c r="BO87" i="6"/>
  <c r="BP87" i="6"/>
  <c r="BQ87" i="6"/>
  <c r="BR87" i="6"/>
  <c r="BS87" i="6"/>
  <c r="BT87" i="6"/>
  <c r="BU87" i="6"/>
  <c r="BV87" i="6"/>
  <c r="BW87" i="6"/>
  <c r="BX87" i="6"/>
  <c r="BY87" i="6"/>
  <c r="BZ87" i="6"/>
  <c r="CA87" i="6"/>
  <c r="CB87" i="6"/>
  <c r="CC87" i="6"/>
  <c r="CD87" i="6"/>
  <c r="CE87" i="6"/>
  <c r="CF87" i="6"/>
  <c r="CG87" i="6"/>
  <c r="CH87" i="6"/>
  <c r="CI87" i="6"/>
  <c r="CJ87" i="6"/>
  <c r="CK87" i="6"/>
  <c r="CL87" i="6"/>
  <c r="CM87" i="6"/>
  <c r="CN87" i="6"/>
  <c r="CO87" i="6"/>
  <c r="CP87" i="6"/>
  <c r="CQ87" i="6"/>
  <c r="CR87" i="6"/>
  <c r="CS87" i="6"/>
  <c r="CT87" i="6"/>
  <c r="CU87" i="6"/>
  <c r="CV87" i="6"/>
  <c r="CW87" i="6"/>
  <c r="CX87" i="6"/>
  <c r="CY87" i="6"/>
  <c r="CZ87" i="6"/>
  <c r="DA87" i="6"/>
  <c r="AT88" i="6"/>
  <c r="AU88" i="6"/>
  <c r="AV88" i="6"/>
  <c r="AW88" i="6"/>
  <c r="AX88" i="6"/>
  <c r="AY88" i="6"/>
  <c r="AZ88" i="6"/>
  <c r="BA88" i="6"/>
  <c r="BB88" i="6"/>
  <c r="BC88" i="6"/>
  <c r="BD88" i="6"/>
  <c r="BE88" i="6"/>
  <c r="BF88" i="6"/>
  <c r="BG88" i="6"/>
  <c r="BH88" i="6"/>
  <c r="BI88" i="6"/>
  <c r="BJ88" i="6"/>
  <c r="BK88" i="6"/>
  <c r="BL88" i="6"/>
  <c r="BM88" i="6"/>
  <c r="BN88" i="6"/>
  <c r="BO88" i="6"/>
  <c r="BP88" i="6"/>
  <c r="BQ88" i="6"/>
  <c r="BR88" i="6"/>
  <c r="BS88" i="6"/>
  <c r="BT88" i="6"/>
  <c r="BU88" i="6"/>
  <c r="BV88" i="6"/>
  <c r="BW88" i="6"/>
  <c r="BX88" i="6"/>
  <c r="BY88" i="6"/>
  <c r="BZ88" i="6"/>
  <c r="CA88" i="6"/>
  <c r="CB88" i="6"/>
  <c r="CC88" i="6"/>
  <c r="CD88" i="6"/>
  <c r="CE88" i="6"/>
  <c r="CF88" i="6"/>
  <c r="CG88" i="6"/>
  <c r="CH88" i="6"/>
  <c r="CI88" i="6"/>
  <c r="CJ88" i="6"/>
  <c r="CK88" i="6"/>
  <c r="CL88" i="6"/>
  <c r="CM88" i="6"/>
  <c r="CN88" i="6"/>
  <c r="CO88" i="6"/>
  <c r="CP88" i="6"/>
  <c r="CQ88" i="6"/>
  <c r="CR88" i="6"/>
  <c r="CS88" i="6"/>
  <c r="CT88" i="6"/>
  <c r="CU88" i="6"/>
  <c r="CV88" i="6"/>
  <c r="CW88" i="6"/>
  <c r="CX88" i="6"/>
  <c r="CY88" i="6"/>
  <c r="CZ88" i="6"/>
  <c r="DA88" i="6"/>
  <c r="AT89" i="6"/>
  <c r="AU89" i="6"/>
  <c r="AV89" i="6"/>
  <c r="AW89" i="6"/>
  <c r="AX89" i="6"/>
  <c r="AY89" i="6"/>
  <c r="AZ89" i="6"/>
  <c r="BA89" i="6"/>
  <c r="BB89" i="6"/>
  <c r="BC89" i="6"/>
  <c r="BD89" i="6"/>
  <c r="BE89" i="6"/>
  <c r="BF89" i="6"/>
  <c r="BG89" i="6"/>
  <c r="BH89" i="6"/>
  <c r="BI89" i="6"/>
  <c r="BJ89" i="6"/>
  <c r="BK89" i="6"/>
  <c r="BL89" i="6"/>
  <c r="BM89" i="6"/>
  <c r="BN89" i="6"/>
  <c r="BO89" i="6"/>
  <c r="BP89" i="6"/>
  <c r="BQ89" i="6"/>
  <c r="BR89" i="6"/>
  <c r="BS89" i="6"/>
  <c r="BT89" i="6"/>
  <c r="BU89" i="6"/>
  <c r="BV89" i="6"/>
  <c r="BW89" i="6"/>
  <c r="BX89" i="6"/>
  <c r="BY89" i="6"/>
  <c r="BZ89" i="6"/>
  <c r="CA89" i="6"/>
  <c r="CB89" i="6"/>
  <c r="CC89" i="6"/>
  <c r="CD89" i="6"/>
  <c r="CE89" i="6"/>
  <c r="CF89" i="6"/>
  <c r="CG89" i="6"/>
  <c r="CH89" i="6"/>
  <c r="CI89" i="6"/>
  <c r="CJ89" i="6"/>
  <c r="CK89" i="6"/>
  <c r="CL89" i="6"/>
  <c r="CM89" i="6"/>
  <c r="CN89" i="6"/>
  <c r="CO89" i="6"/>
  <c r="CP89" i="6"/>
  <c r="CQ89" i="6"/>
  <c r="CR89" i="6"/>
  <c r="CS89" i="6"/>
  <c r="CT89" i="6"/>
  <c r="CU89" i="6"/>
  <c r="CV89" i="6"/>
  <c r="CW89" i="6"/>
  <c r="CX89" i="6"/>
  <c r="CY89" i="6"/>
  <c r="CZ89" i="6"/>
  <c r="DA89" i="6"/>
  <c r="AT90" i="6"/>
  <c r="AU90" i="6"/>
  <c r="AV90" i="6"/>
  <c r="AW90" i="6"/>
  <c r="AX90" i="6"/>
  <c r="AY90" i="6"/>
  <c r="AZ90" i="6"/>
  <c r="BA90" i="6"/>
  <c r="BB90" i="6"/>
  <c r="BC90" i="6"/>
  <c r="BD90" i="6"/>
  <c r="BE90" i="6"/>
  <c r="BF90" i="6"/>
  <c r="BG90" i="6"/>
  <c r="BH90" i="6"/>
  <c r="BI90" i="6"/>
  <c r="BJ90" i="6"/>
  <c r="BK90" i="6"/>
  <c r="BL90" i="6"/>
  <c r="BM90" i="6"/>
  <c r="BN90" i="6"/>
  <c r="BO90" i="6"/>
  <c r="BP90" i="6"/>
  <c r="BQ90" i="6"/>
  <c r="BR90" i="6"/>
  <c r="BS90" i="6"/>
  <c r="BT90" i="6"/>
  <c r="BU90" i="6"/>
  <c r="BV90" i="6"/>
  <c r="BW90" i="6"/>
  <c r="BX90" i="6"/>
  <c r="BY90" i="6"/>
  <c r="BZ90" i="6"/>
  <c r="CA90" i="6"/>
  <c r="CB90" i="6"/>
  <c r="CC90" i="6"/>
  <c r="CD90" i="6"/>
  <c r="CE90" i="6"/>
  <c r="CF90" i="6"/>
  <c r="CG90" i="6"/>
  <c r="CH90" i="6"/>
  <c r="CI90" i="6"/>
  <c r="CJ90" i="6"/>
  <c r="CK90" i="6"/>
  <c r="CL90" i="6"/>
  <c r="CM90" i="6"/>
  <c r="CN90" i="6"/>
  <c r="CO90" i="6"/>
  <c r="CP90" i="6"/>
  <c r="CQ90" i="6"/>
  <c r="CR90" i="6"/>
  <c r="CS90" i="6"/>
  <c r="CT90" i="6"/>
  <c r="CU90" i="6"/>
  <c r="CV90" i="6"/>
  <c r="CW90" i="6"/>
  <c r="CX90" i="6"/>
  <c r="CY90" i="6"/>
  <c r="CZ90" i="6"/>
  <c r="DA90" i="6"/>
  <c r="AT91" i="6"/>
  <c r="AU91" i="6"/>
  <c r="AV91" i="6"/>
  <c r="AW91" i="6"/>
  <c r="AX91" i="6"/>
  <c r="AY91" i="6"/>
  <c r="AZ91" i="6"/>
  <c r="BA91" i="6"/>
  <c r="BB91" i="6"/>
  <c r="BC91" i="6"/>
  <c r="BD91" i="6"/>
  <c r="BE91" i="6"/>
  <c r="BF91" i="6"/>
  <c r="BG91" i="6"/>
  <c r="BH91" i="6"/>
  <c r="BI91" i="6"/>
  <c r="BJ91" i="6"/>
  <c r="BK91" i="6"/>
  <c r="BL91" i="6"/>
  <c r="BM91" i="6"/>
  <c r="BN91" i="6"/>
  <c r="BO91" i="6"/>
  <c r="BP91" i="6"/>
  <c r="BQ91" i="6"/>
  <c r="BR91" i="6"/>
  <c r="BS91" i="6"/>
  <c r="BT91" i="6"/>
  <c r="BU91" i="6"/>
  <c r="BV91" i="6"/>
  <c r="BW91" i="6"/>
  <c r="BX91" i="6"/>
  <c r="BY91" i="6"/>
  <c r="BZ91" i="6"/>
  <c r="CA91" i="6"/>
  <c r="CB91" i="6"/>
  <c r="CC91" i="6"/>
  <c r="CD91" i="6"/>
  <c r="CE91" i="6"/>
  <c r="CF91" i="6"/>
  <c r="CG91" i="6"/>
  <c r="CH91" i="6"/>
  <c r="CI91" i="6"/>
  <c r="CJ91" i="6"/>
  <c r="CK91" i="6"/>
  <c r="CL91" i="6"/>
  <c r="CM91" i="6"/>
  <c r="CN91" i="6"/>
  <c r="CO91" i="6"/>
  <c r="CP91" i="6"/>
  <c r="CQ91" i="6"/>
  <c r="CR91" i="6"/>
  <c r="CS91" i="6"/>
  <c r="CT91" i="6"/>
  <c r="CU91" i="6"/>
  <c r="CV91" i="6"/>
  <c r="CW91" i="6"/>
  <c r="CX91" i="6"/>
  <c r="CY91" i="6"/>
  <c r="CZ91" i="6"/>
  <c r="DA91" i="6"/>
  <c r="AT92" i="6"/>
  <c r="AU92" i="6"/>
  <c r="AV92" i="6"/>
  <c r="AW92" i="6"/>
  <c r="AX92" i="6"/>
  <c r="AY92" i="6"/>
  <c r="AZ92" i="6"/>
  <c r="BA92" i="6"/>
  <c r="BB92" i="6"/>
  <c r="BC92" i="6"/>
  <c r="BD92" i="6"/>
  <c r="BE92" i="6"/>
  <c r="BF92" i="6"/>
  <c r="BG92" i="6"/>
  <c r="BH92" i="6"/>
  <c r="BI92" i="6"/>
  <c r="BJ92" i="6"/>
  <c r="BK92" i="6"/>
  <c r="BL92" i="6"/>
  <c r="BM92" i="6"/>
  <c r="BN92" i="6"/>
  <c r="BO92" i="6"/>
  <c r="BP92" i="6"/>
  <c r="BQ92" i="6"/>
  <c r="BR92" i="6"/>
  <c r="BS92" i="6"/>
  <c r="BT92" i="6"/>
  <c r="BU92" i="6"/>
  <c r="BV92" i="6"/>
  <c r="BW92" i="6"/>
  <c r="BX92" i="6"/>
  <c r="BY92" i="6"/>
  <c r="BZ92" i="6"/>
  <c r="CA92" i="6"/>
  <c r="CB92" i="6"/>
  <c r="CC92" i="6"/>
  <c r="CD92" i="6"/>
  <c r="CE92" i="6"/>
  <c r="CF92" i="6"/>
  <c r="CG92" i="6"/>
  <c r="CH92" i="6"/>
  <c r="CI92" i="6"/>
  <c r="CJ92" i="6"/>
  <c r="CK92" i="6"/>
  <c r="CL92" i="6"/>
  <c r="CM92" i="6"/>
  <c r="CN92" i="6"/>
  <c r="CO92" i="6"/>
  <c r="CP92" i="6"/>
  <c r="CQ92" i="6"/>
  <c r="CR92" i="6"/>
  <c r="CS92" i="6"/>
  <c r="CT92" i="6"/>
  <c r="CU92" i="6"/>
  <c r="CV92" i="6"/>
  <c r="CW92" i="6"/>
  <c r="CX92" i="6"/>
  <c r="CY92" i="6"/>
  <c r="CZ92" i="6"/>
  <c r="DA92" i="6"/>
  <c r="AT93" i="6"/>
  <c r="AU93" i="6"/>
  <c r="AV93" i="6"/>
  <c r="AW93" i="6"/>
  <c r="AX93" i="6"/>
  <c r="AY93" i="6"/>
  <c r="AZ93" i="6"/>
  <c r="BA93" i="6"/>
  <c r="BB93" i="6"/>
  <c r="BC93" i="6"/>
  <c r="BD93" i="6"/>
  <c r="BE93" i="6"/>
  <c r="BF93" i="6"/>
  <c r="BG93" i="6"/>
  <c r="BH93" i="6"/>
  <c r="BI93" i="6"/>
  <c r="BJ93" i="6"/>
  <c r="BK93" i="6"/>
  <c r="BL93" i="6"/>
  <c r="BM93" i="6"/>
  <c r="BN93" i="6"/>
  <c r="BO93" i="6"/>
  <c r="BP93" i="6"/>
  <c r="BQ93" i="6"/>
  <c r="BR93" i="6"/>
  <c r="BS93" i="6"/>
  <c r="BT93" i="6"/>
  <c r="BU93" i="6"/>
  <c r="BV93" i="6"/>
  <c r="BW93" i="6"/>
  <c r="BX93" i="6"/>
  <c r="BY93" i="6"/>
  <c r="BZ93" i="6"/>
  <c r="CA93" i="6"/>
  <c r="CB93" i="6"/>
  <c r="CC93" i="6"/>
  <c r="CD93" i="6"/>
  <c r="CE93" i="6"/>
  <c r="CF93" i="6"/>
  <c r="CG93" i="6"/>
  <c r="CH93" i="6"/>
  <c r="CI93" i="6"/>
  <c r="CJ93" i="6"/>
  <c r="CK93" i="6"/>
  <c r="CL93" i="6"/>
  <c r="CM93" i="6"/>
  <c r="CN93" i="6"/>
  <c r="CO93" i="6"/>
  <c r="CP93" i="6"/>
  <c r="CQ93" i="6"/>
  <c r="CR93" i="6"/>
  <c r="CS93" i="6"/>
  <c r="CT93" i="6"/>
  <c r="CU93" i="6"/>
  <c r="CV93" i="6"/>
  <c r="CW93" i="6"/>
  <c r="CX93" i="6"/>
  <c r="CY93" i="6"/>
  <c r="CZ93" i="6"/>
  <c r="DA93" i="6"/>
  <c r="AT94" i="6"/>
  <c r="AU94" i="6"/>
  <c r="AV94" i="6"/>
  <c r="AW94" i="6"/>
  <c r="AX94" i="6"/>
  <c r="AY94" i="6"/>
  <c r="AZ94" i="6"/>
  <c r="BA94" i="6"/>
  <c r="BB94" i="6"/>
  <c r="BC94" i="6"/>
  <c r="BD94" i="6"/>
  <c r="BE94" i="6"/>
  <c r="BF94" i="6"/>
  <c r="BG94" i="6"/>
  <c r="BH94" i="6"/>
  <c r="BI94" i="6"/>
  <c r="BJ94" i="6"/>
  <c r="BK94" i="6"/>
  <c r="BL94" i="6"/>
  <c r="BM94" i="6"/>
  <c r="BN94" i="6"/>
  <c r="BO94" i="6"/>
  <c r="BP94" i="6"/>
  <c r="BQ94" i="6"/>
  <c r="BR94" i="6"/>
  <c r="BS94" i="6"/>
  <c r="BT94" i="6"/>
  <c r="BU94" i="6"/>
  <c r="BV94" i="6"/>
  <c r="BW94" i="6"/>
  <c r="BX94" i="6"/>
  <c r="BY94" i="6"/>
  <c r="BZ94" i="6"/>
  <c r="CA94" i="6"/>
  <c r="CB94" i="6"/>
  <c r="CC94" i="6"/>
  <c r="CD94" i="6"/>
  <c r="CE94" i="6"/>
  <c r="CF94" i="6"/>
  <c r="CG94" i="6"/>
  <c r="CH94" i="6"/>
  <c r="CI94" i="6"/>
  <c r="CJ94" i="6"/>
  <c r="CK94" i="6"/>
  <c r="CL94" i="6"/>
  <c r="CM94" i="6"/>
  <c r="CN94" i="6"/>
  <c r="CO94" i="6"/>
  <c r="CP94" i="6"/>
  <c r="CQ94" i="6"/>
  <c r="CR94" i="6"/>
  <c r="CS94" i="6"/>
  <c r="CT94" i="6"/>
  <c r="CU94" i="6"/>
  <c r="CV94" i="6"/>
  <c r="CW94" i="6"/>
  <c r="CX94" i="6"/>
  <c r="CY94" i="6"/>
  <c r="CZ94" i="6"/>
  <c r="DA94" i="6"/>
  <c r="AT95" i="6"/>
  <c r="AU95" i="6"/>
  <c r="AV95" i="6"/>
  <c r="AW95" i="6"/>
  <c r="AX95" i="6"/>
  <c r="AY95" i="6"/>
  <c r="AZ95" i="6"/>
  <c r="BA95" i="6"/>
  <c r="BB95" i="6"/>
  <c r="BC95" i="6"/>
  <c r="BD95" i="6"/>
  <c r="BE95" i="6"/>
  <c r="BF95" i="6"/>
  <c r="BG95" i="6"/>
  <c r="BH95" i="6"/>
  <c r="BI95" i="6"/>
  <c r="BJ95" i="6"/>
  <c r="BK95" i="6"/>
  <c r="BL95" i="6"/>
  <c r="BM95" i="6"/>
  <c r="BN95" i="6"/>
  <c r="BO95" i="6"/>
  <c r="BP95" i="6"/>
  <c r="BQ95" i="6"/>
  <c r="BR95" i="6"/>
  <c r="BS95" i="6"/>
  <c r="BT95" i="6"/>
  <c r="BU95" i="6"/>
  <c r="BV95" i="6"/>
  <c r="BW95" i="6"/>
  <c r="BX95" i="6"/>
  <c r="BY95" i="6"/>
  <c r="BZ95" i="6"/>
  <c r="CA95" i="6"/>
  <c r="CB95" i="6"/>
  <c r="CC95" i="6"/>
  <c r="CD95" i="6"/>
  <c r="CE95" i="6"/>
  <c r="CF95" i="6"/>
  <c r="CG95" i="6"/>
  <c r="CH95" i="6"/>
  <c r="CI95" i="6"/>
  <c r="CJ95" i="6"/>
  <c r="CK95" i="6"/>
  <c r="CL95" i="6"/>
  <c r="CM95" i="6"/>
  <c r="CN95" i="6"/>
  <c r="CO95" i="6"/>
  <c r="CP95" i="6"/>
  <c r="CQ95" i="6"/>
  <c r="CR95" i="6"/>
  <c r="CS95" i="6"/>
  <c r="CT95" i="6"/>
  <c r="CU95" i="6"/>
  <c r="CV95" i="6"/>
  <c r="CW95" i="6"/>
  <c r="CX95" i="6"/>
  <c r="CY95" i="6"/>
  <c r="CZ95" i="6"/>
  <c r="DA95" i="6"/>
  <c r="AT96" i="6"/>
  <c r="AU96" i="6"/>
  <c r="AV96" i="6"/>
  <c r="AW96" i="6"/>
  <c r="AX96" i="6"/>
  <c r="AY96" i="6"/>
  <c r="AZ96" i="6"/>
  <c r="BA96" i="6"/>
  <c r="BB96" i="6"/>
  <c r="BC96" i="6"/>
  <c r="BD96" i="6"/>
  <c r="BE96" i="6"/>
  <c r="BF96" i="6"/>
  <c r="BG96" i="6"/>
  <c r="BH96" i="6"/>
  <c r="BI96" i="6"/>
  <c r="BJ96" i="6"/>
  <c r="BK96" i="6"/>
  <c r="BL96" i="6"/>
  <c r="BM96" i="6"/>
  <c r="BN96" i="6"/>
  <c r="BO96" i="6"/>
  <c r="BP96" i="6"/>
  <c r="BQ96" i="6"/>
  <c r="BR96" i="6"/>
  <c r="BS96" i="6"/>
  <c r="BT96" i="6"/>
  <c r="BU96" i="6"/>
  <c r="BV96" i="6"/>
  <c r="BW96" i="6"/>
  <c r="BX96" i="6"/>
  <c r="BY96" i="6"/>
  <c r="BZ96" i="6"/>
  <c r="CA96" i="6"/>
  <c r="CB96" i="6"/>
  <c r="CC96" i="6"/>
  <c r="CD96" i="6"/>
  <c r="CE96" i="6"/>
  <c r="CF96" i="6"/>
  <c r="CG96" i="6"/>
  <c r="CH96" i="6"/>
  <c r="CI96" i="6"/>
  <c r="CJ96" i="6"/>
  <c r="CK96" i="6"/>
  <c r="CL96" i="6"/>
  <c r="CM96" i="6"/>
  <c r="CN96" i="6"/>
  <c r="CO96" i="6"/>
  <c r="CP96" i="6"/>
  <c r="CQ96" i="6"/>
  <c r="CR96" i="6"/>
  <c r="CS96" i="6"/>
  <c r="CT96" i="6"/>
  <c r="CU96" i="6"/>
  <c r="CV96" i="6"/>
  <c r="CW96" i="6"/>
  <c r="CX96" i="6"/>
  <c r="CY96" i="6"/>
  <c r="CZ96" i="6"/>
  <c r="DA96" i="6"/>
  <c r="AT97" i="6"/>
  <c r="AU97" i="6"/>
  <c r="AV97" i="6"/>
  <c r="AW97" i="6"/>
  <c r="AX97" i="6"/>
  <c r="AY97" i="6"/>
  <c r="AZ97" i="6"/>
  <c r="BA97" i="6"/>
  <c r="BB97" i="6"/>
  <c r="BC97" i="6"/>
  <c r="BD97" i="6"/>
  <c r="BE97" i="6"/>
  <c r="BF97" i="6"/>
  <c r="BG97" i="6"/>
  <c r="BH97" i="6"/>
  <c r="BI97" i="6"/>
  <c r="BJ97" i="6"/>
  <c r="BK97" i="6"/>
  <c r="BL97" i="6"/>
  <c r="BM97" i="6"/>
  <c r="BN97" i="6"/>
  <c r="BO97" i="6"/>
  <c r="BP97" i="6"/>
  <c r="BQ97" i="6"/>
  <c r="BR97" i="6"/>
  <c r="BS97" i="6"/>
  <c r="BT97" i="6"/>
  <c r="BU97" i="6"/>
  <c r="BV97" i="6"/>
  <c r="BW97" i="6"/>
  <c r="BX97" i="6"/>
  <c r="BY97" i="6"/>
  <c r="BZ97" i="6"/>
  <c r="CA97" i="6"/>
  <c r="CB97" i="6"/>
  <c r="CC97" i="6"/>
  <c r="CD97" i="6"/>
  <c r="CE97" i="6"/>
  <c r="CF97" i="6"/>
  <c r="CG97" i="6"/>
  <c r="CH97" i="6"/>
  <c r="CI97" i="6"/>
  <c r="CJ97" i="6"/>
  <c r="CK97" i="6"/>
  <c r="CL97" i="6"/>
  <c r="CM97" i="6"/>
  <c r="CN97" i="6"/>
  <c r="CO97" i="6"/>
  <c r="CP97" i="6"/>
  <c r="CQ97" i="6"/>
  <c r="CR97" i="6"/>
  <c r="CS97" i="6"/>
  <c r="CT97" i="6"/>
  <c r="CU97" i="6"/>
  <c r="CV97" i="6"/>
  <c r="CW97" i="6"/>
  <c r="CX97" i="6"/>
  <c r="CY97" i="6"/>
  <c r="CZ97" i="6"/>
  <c r="DA97" i="6"/>
  <c r="AT98" i="6"/>
  <c r="AU98" i="6"/>
  <c r="AV98" i="6"/>
  <c r="AW98" i="6"/>
  <c r="AX98" i="6"/>
  <c r="AY98" i="6"/>
  <c r="AZ98" i="6"/>
  <c r="BA98" i="6"/>
  <c r="BB98" i="6"/>
  <c r="BC98" i="6"/>
  <c r="BD98" i="6"/>
  <c r="BE98" i="6"/>
  <c r="BF98" i="6"/>
  <c r="BG98" i="6"/>
  <c r="BH98" i="6"/>
  <c r="BI98" i="6"/>
  <c r="BJ98" i="6"/>
  <c r="BK98" i="6"/>
  <c r="BL98" i="6"/>
  <c r="BM98" i="6"/>
  <c r="BN98" i="6"/>
  <c r="BO98" i="6"/>
  <c r="BP98" i="6"/>
  <c r="BQ98" i="6"/>
  <c r="BR98" i="6"/>
  <c r="BS98" i="6"/>
  <c r="BT98" i="6"/>
  <c r="BU98" i="6"/>
  <c r="BV98" i="6"/>
  <c r="BW98" i="6"/>
  <c r="BX98" i="6"/>
  <c r="BY98" i="6"/>
  <c r="BZ98" i="6"/>
  <c r="CA98" i="6"/>
  <c r="CB98" i="6"/>
  <c r="CC98" i="6"/>
  <c r="CD98" i="6"/>
  <c r="CE98" i="6"/>
  <c r="CF98" i="6"/>
  <c r="CG98" i="6"/>
  <c r="CH98" i="6"/>
  <c r="CI98" i="6"/>
  <c r="CJ98" i="6"/>
  <c r="CK98" i="6"/>
  <c r="CL98" i="6"/>
  <c r="CM98" i="6"/>
  <c r="CN98" i="6"/>
  <c r="CO98" i="6"/>
  <c r="CP98" i="6"/>
  <c r="CQ98" i="6"/>
  <c r="CR98" i="6"/>
  <c r="CS98" i="6"/>
  <c r="CT98" i="6"/>
  <c r="CU98" i="6"/>
  <c r="CV98" i="6"/>
  <c r="CW98" i="6"/>
  <c r="CX98" i="6"/>
  <c r="CY98" i="6"/>
  <c r="CZ98" i="6"/>
  <c r="DA98" i="6"/>
  <c r="AT99" i="6"/>
  <c r="AU99" i="6"/>
  <c r="AV99" i="6"/>
  <c r="AW99" i="6"/>
  <c r="AX99" i="6"/>
  <c r="AY99" i="6"/>
  <c r="AZ99" i="6"/>
  <c r="BA99" i="6"/>
  <c r="BB99" i="6"/>
  <c r="BC99" i="6"/>
  <c r="BD99" i="6"/>
  <c r="BE99" i="6"/>
  <c r="BF99" i="6"/>
  <c r="BG99" i="6"/>
  <c r="BH99" i="6"/>
  <c r="BI99" i="6"/>
  <c r="BJ99" i="6"/>
  <c r="BK99" i="6"/>
  <c r="BL99" i="6"/>
  <c r="BM99" i="6"/>
  <c r="BN99" i="6"/>
  <c r="BO99" i="6"/>
  <c r="BP99" i="6"/>
  <c r="BQ99" i="6"/>
  <c r="BR99" i="6"/>
  <c r="BS99" i="6"/>
  <c r="BT99" i="6"/>
  <c r="BU99" i="6"/>
  <c r="BV99" i="6"/>
  <c r="BW99" i="6"/>
  <c r="BX99" i="6"/>
  <c r="BY99" i="6"/>
  <c r="BZ99" i="6"/>
  <c r="CA99" i="6"/>
  <c r="CB99" i="6"/>
  <c r="CC99" i="6"/>
  <c r="CD99" i="6"/>
  <c r="CE99" i="6"/>
  <c r="CF99" i="6"/>
  <c r="CG99" i="6"/>
  <c r="CH99" i="6"/>
  <c r="CI99" i="6"/>
  <c r="CJ99" i="6"/>
  <c r="CK99" i="6"/>
  <c r="CL99" i="6"/>
  <c r="CM99" i="6"/>
  <c r="CN99" i="6"/>
  <c r="CO99" i="6"/>
  <c r="CP99" i="6"/>
  <c r="CQ99" i="6"/>
  <c r="CR99" i="6"/>
  <c r="CS99" i="6"/>
  <c r="CT99" i="6"/>
  <c r="CU99" i="6"/>
  <c r="CV99" i="6"/>
  <c r="CW99" i="6"/>
  <c r="CX99" i="6"/>
  <c r="CY99" i="6"/>
  <c r="CZ99" i="6"/>
  <c r="DA99" i="6"/>
  <c r="AT100" i="6"/>
  <c r="AU100" i="6"/>
  <c r="AV100" i="6"/>
  <c r="AW100" i="6"/>
  <c r="AX100" i="6"/>
  <c r="AY100" i="6"/>
  <c r="AZ100" i="6"/>
  <c r="BA100" i="6"/>
  <c r="BB100" i="6"/>
  <c r="BC100" i="6"/>
  <c r="BD100" i="6"/>
  <c r="BE100" i="6"/>
  <c r="BF100" i="6"/>
  <c r="BG100" i="6"/>
  <c r="BH100" i="6"/>
  <c r="BI100" i="6"/>
  <c r="BJ100" i="6"/>
  <c r="BK100" i="6"/>
  <c r="BL100" i="6"/>
  <c r="BM100" i="6"/>
  <c r="BN100" i="6"/>
  <c r="BO100" i="6"/>
  <c r="BP100" i="6"/>
  <c r="BQ100" i="6"/>
  <c r="BR100" i="6"/>
  <c r="BS100" i="6"/>
  <c r="BT100" i="6"/>
  <c r="BU100" i="6"/>
  <c r="BV100" i="6"/>
  <c r="BW100" i="6"/>
  <c r="BX100" i="6"/>
  <c r="BY100" i="6"/>
  <c r="BZ100" i="6"/>
  <c r="CA100" i="6"/>
  <c r="CB100" i="6"/>
  <c r="CC100" i="6"/>
  <c r="CD100" i="6"/>
  <c r="CE100" i="6"/>
  <c r="CF100" i="6"/>
  <c r="CG100" i="6"/>
  <c r="CH100" i="6"/>
  <c r="CI100" i="6"/>
  <c r="CJ100" i="6"/>
  <c r="CK100" i="6"/>
  <c r="CL100" i="6"/>
  <c r="CM100" i="6"/>
  <c r="CN100" i="6"/>
  <c r="CO100" i="6"/>
  <c r="CP100" i="6"/>
  <c r="CQ100" i="6"/>
  <c r="CR100" i="6"/>
  <c r="CS100" i="6"/>
  <c r="CT100" i="6"/>
  <c r="CU100" i="6"/>
  <c r="CV100" i="6"/>
  <c r="CW100" i="6"/>
  <c r="CX100" i="6"/>
  <c r="CY100" i="6"/>
  <c r="CZ100" i="6"/>
  <c r="DA100" i="6"/>
  <c r="AT101" i="6"/>
  <c r="AU101" i="6"/>
  <c r="AV101" i="6"/>
  <c r="AW101" i="6"/>
  <c r="AX101" i="6"/>
  <c r="AY101" i="6"/>
  <c r="AZ101" i="6"/>
  <c r="BA101" i="6"/>
  <c r="BB101" i="6"/>
  <c r="BC101" i="6"/>
  <c r="BD101" i="6"/>
  <c r="BE101" i="6"/>
  <c r="BF101" i="6"/>
  <c r="BG101" i="6"/>
  <c r="BH101" i="6"/>
  <c r="BI101" i="6"/>
  <c r="BJ101" i="6"/>
  <c r="BK101" i="6"/>
  <c r="BL101" i="6"/>
  <c r="BM101" i="6"/>
  <c r="BN101" i="6"/>
  <c r="BO101" i="6"/>
  <c r="BP101" i="6"/>
  <c r="BQ101" i="6"/>
  <c r="BR101" i="6"/>
  <c r="BS101" i="6"/>
  <c r="BT101" i="6"/>
  <c r="BU101" i="6"/>
  <c r="BV101" i="6"/>
  <c r="BW101" i="6"/>
  <c r="BX101" i="6"/>
  <c r="BY101" i="6"/>
  <c r="BZ101" i="6"/>
  <c r="CA101" i="6"/>
  <c r="CB101" i="6"/>
  <c r="CC101" i="6"/>
  <c r="CD101" i="6"/>
  <c r="CE101" i="6"/>
  <c r="CF101" i="6"/>
  <c r="CG101" i="6"/>
  <c r="CH101" i="6"/>
  <c r="CI101" i="6"/>
  <c r="CJ101" i="6"/>
  <c r="CK101" i="6"/>
  <c r="CL101" i="6"/>
  <c r="CM101" i="6"/>
  <c r="CN101" i="6"/>
  <c r="CO101" i="6"/>
  <c r="CP101" i="6"/>
  <c r="CQ101" i="6"/>
  <c r="CR101" i="6"/>
  <c r="CS101" i="6"/>
  <c r="CT101" i="6"/>
  <c r="CU101" i="6"/>
  <c r="CV101" i="6"/>
  <c r="CW101" i="6"/>
  <c r="CX101" i="6"/>
  <c r="CY101" i="6"/>
  <c r="CZ101" i="6"/>
  <c r="DA101" i="6"/>
  <c r="AT102" i="6"/>
  <c r="AU102" i="6"/>
  <c r="AV102" i="6"/>
  <c r="AW102" i="6"/>
  <c r="AX102" i="6"/>
  <c r="AY102" i="6"/>
  <c r="AZ102" i="6"/>
  <c r="BA102" i="6"/>
  <c r="BB102" i="6"/>
  <c r="BC102" i="6"/>
  <c r="BD102" i="6"/>
  <c r="BE102" i="6"/>
  <c r="BF102" i="6"/>
  <c r="BG102" i="6"/>
  <c r="BH102" i="6"/>
  <c r="BI102" i="6"/>
  <c r="BJ102" i="6"/>
  <c r="BK102" i="6"/>
  <c r="BL102" i="6"/>
  <c r="BM102" i="6"/>
  <c r="BN102" i="6"/>
  <c r="BO102" i="6"/>
  <c r="BP102" i="6"/>
  <c r="BQ102" i="6"/>
  <c r="BR102" i="6"/>
  <c r="BS102" i="6"/>
  <c r="BT102" i="6"/>
  <c r="BU102" i="6"/>
  <c r="BV102" i="6"/>
  <c r="BW102" i="6"/>
  <c r="BX102" i="6"/>
  <c r="BY102" i="6"/>
  <c r="BZ102" i="6"/>
  <c r="CA102" i="6"/>
  <c r="CB102" i="6"/>
  <c r="CC102" i="6"/>
  <c r="CD102" i="6"/>
  <c r="CE102" i="6"/>
  <c r="CF102" i="6"/>
  <c r="CG102" i="6"/>
  <c r="CH102" i="6"/>
  <c r="CI102" i="6"/>
  <c r="CJ102" i="6"/>
  <c r="CK102" i="6"/>
  <c r="CL102" i="6"/>
  <c r="CM102" i="6"/>
  <c r="CN102" i="6"/>
  <c r="CO102" i="6"/>
  <c r="CP102" i="6"/>
  <c r="CQ102" i="6"/>
  <c r="CR102" i="6"/>
  <c r="CS102" i="6"/>
  <c r="CT102" i="6"/>
  <c r="CU102" i="6"/>
  <c r="CV102" i="6"/>
  <c r="CW102" i="6"/>
  <c r="CX102" i="6"/>
  <c r="CY102" i="6"/>
  <c r="CZ102" i="6"/>
  <c r="DA102" i="6"/>
  <c r="AT103" i="6"/>
  <c r="AU103" i="6"/>
  <c r="AV103" i="6"/>
  <c r="AW103" i="6"/>
  <c r="AX103" i="6"/>
  <c r="AY103" i="6"/>
  <c r="AZ103" i="6"/>
  <c r="BA103" i="6"/>
  <c r="BB103" i="6"/>
  <c r="BC103" i="6"/>
  <c r="BD103" i="6"/>
  <c r="BE103" i="6"/>
  <c r="BF103" i="6"/>
  <c r="BG103" i="6"/>
  <c r="BH103" i="6"/>
  <c r="BI103" i="6"/>
  <c r="BJ103" i="6"/>
  <c r="BK103" i="6"/>
  <c r="BL103" i="6"/>
  <c r="BM103" i="6"/>
  <c r="BN103" i="6"/>
  <c r="BO103" i="6"/>
  <c r="BP103" i="6"/>
  <c r="BQ103" i="6"/>
  <c r="BR103" i="6"/>
  <c r="BS103" i="6"/>
  <c r="BT103" i="6"/>
  <c r="BU103" i="6"/>
  <c r="BV103" i="6"/>
  <c r="BW103" i="6"/>
  <c r="BX103" i="6"/>
  <c r="BY103" i="6"/>
  <c r="BZ103" i="6"/>
  <c r="CA103" i="6"/>
  <c r="CB103" i="6"/>
  <c r="CC103" i="6"/>
  <c r="CD103" i="6"/>
  <c r="CE103" i="6"/>
  <c r="CF103" i="6"/>
  <c r="CG103" i="6"/>
  <c r="CH103" i="6"/>
  <c r="CI103" i="6"/>
  <c r="CJ103" i="6"/>
  <c r="CK103" i="6"/>
  <c r="CL103" i="6"/>
  <c r="CM103" i="6"/>
  <c r="CN103" i="6"/>
  <c r="CO103" i="6"/>
  <c r="CP103" i="6"/>
  <c r="CQ103" i="6"/>
  <c r="CR103" i="6"/>
  <c r="CS103" i="6"/>
  <c r="CT103" i="6"/>
  <c r="CU103" i="6"/>
  <c r="CV103" i="6"/>
  <c r="CW103" i="6"/>
  <c r="CX103" i="6"/>
  <c r="CY103" i="6"/>
  <c r="CZ103" i="6"/>
  <c r="DA103" i="6"/>
  <c r="AT104" i="6"/>
  <c r="AU104" i="6"/>
  <c r="AV104" i="6"/>
  <c r="AW104" i="6"/>
  <c r="AX104" i="6"/>
  <c r="AY104" i="6"/>
  <c r="AZ104" i="6"/>
  <c r="BA104" i="6"/>
  <c r="BB104" i="6"/>
  <c r="BC104" i="6"/>
  <c r="BD104" i="6"/>
  <c r="BE104" i="6"/>
  <c r="BF104" i="6"/>
  <c r="BG104" i="6"/>
  <c r="BH104" i="6"/>
  <c r="BI104" i="6"/>
  <c r="BJ104" i="6"/>
  <c r="BK104" i="6"/>
  <c r="BL104" i="6"/>
  <c r="BM104" i="6"/>
  <c r="BN104" i="6"/>
  <c r="BO104" i="6"/>
  <c r="BP104" i="6"/>
  <c r="BQ104" i="6"/>
  <c r="BR104" i="6"/>
  <c r="BS104" i="6"/>
  <c r="BT104" i="6"/>
  <c r="BU104" i="6"/>
  <c r="BV104" i="6"/>
  <c r="BW104" i="6"/>
  <c r="BX104" i="6"/>
  <c r="BY104" i="6"/>
  <c r="BZ104" i="6"/>
  <c r="CA104" i="6"/>
  <c r="CB104" i="6"/>
  <c r="CC104" i="6"/>
  <c r="CD104" i="6"/>
  <c r="CE104" i="6"/>
  <c r="CF104" i="6"/>
  <c r="CG104" i="6"/>
  <c r="CH104" i="6"/>
  <c r="CI104" i="6"/>
  <c r="CJ104" i="6"/>
  <c r="CK104" i="6"/>
  <c r="CL104" i="6"/>
  <c r="CM104" i="6"/>
  <c r="CN104" i="6"/>
  <c r="CO104" i="6"/>
  <c r="CP104" i="6"/>
  <c r="CQ104" i="6"/>
  <c r="CR104" i="6"/>
  <c r="CS104" i="6"/>
  <c r="CT104" i="6"/>
  <c r="CU104" i="6"/>
  <c r="CV104" i="6"/>
  <c r="CW104" i="6"/>
  <c r="CX104" i="6"/>
  <c r="CY104" i="6"/>
  <c r="CZ104" i="6"/>
  <c r="DA104" i="6"/>
  <c r="AT105" i="6"/>
  <c r="AU105" i="6"/>
  <c r="AV105" i="6"/>
  <c r="AW105" i="6"/>
  <c r="AX105" i="6"/>
  <c r="AY105" i="6"/>
  <c r="AZ105" i="6"/>
  <c r="BA105" i="6"/>
  <c r="BB105" i="6"/>
  <c r="BC105" i="6"/>
  <c r="BD105" i="6"/>
  <c r="BE105" i="6"/>
  <c r="BF105" i="6"/>
  <c r="BG105" i="6"/>
  <c r="BH105" i="6"/>
  <c r="BI105" i="6"/>
  <c r="BJ105" i="6"/>
  <c r="BK105" i="6"/>
  <c r="BL105" i="6"/>
  <c r="BM105" i="6"/>
  <c r="BN105" i="6"/>
  <c r="BO105" i="6"/>
  <c r="BP105" i="6"/>
  <c r="BQ105" i="6"/>
  <c r="BR105" i="6"/>
  <c r="BS105" i="6"/>
  <c r="BT105" i="6"/>
  <c r="BU105" i="6"/>
  <c r="BV105" i="6"/>
  <c r="BW105" i="6"/>
  <c r="BX105" i="6"/>
  <c r="BY105" i="6"/>
  <c r="BZ105" i="6"/>
  <c r="CA105" i="6"/>
  <c r="CB105" i="6"/>
  <c r="CC105" i="6"/>
  <c r="CD105" i="6"/>
  <c r="CE105" i="6"/>
  <c r="CF105" i="6"/>
  <c r="CG105" i="6"/>
  <c r="CH105" i="6"/>
  <c r="CI105" i="6"/>
  <c r="CJ105" i="6"/>
  <c r="CK105" i="6"/>
  <c r="CL105" i="6"/>
  <c r="CM105" i="6"/>
  <c r="CN105" i="6"/>
  <c r="CO105" i="6"/>
  <c r="CP105" i="6"/>
  <c r="CQ105" i="6"/>
  <c r="CR105" i="6"/>
  <c r="CS105" i="6"/>
  <c r="CT105" i="6"/>
  <c r="CU105" i="6"/>
  <c r="CV105" i="6"/>
  <c r="CW105" i="6"/>
  <c r="CX105" i="6"/>
  <c r="CY105" i="6"/>
  <c r="CZ105" i="6"/>
  <c r="DA105" i="6"/>
  <c r="AT106" i="6"/>
  <c r="AU106" i="6"/>
  <c r="AV106" i="6"/>
  <c r="AW106" i="6"/>
  <c r="AX106" i="6"/>
  <c r="AY106" i="6"/>
  <c r="AZ106" i="6"/>
  <c r="BA106" i="6"/>
  <c r="BB106" i="6"/>
  <c r="BC106" i="6"/>
  <c r="BD106" i="6"/>
  <c r="BE106" i="6"/>
  <c r="BF106" i="6"/>
  <c r="BG106" i="6"/>
  <c r="BH106" i="6"/>
  <c r="BI106" i="6"/>
  <c r="BJ106" i="6"/>
  <c r="BK106" i="6"/>
  <c r="BL106" i="6"/>
  <c r="BM106" i="6"/>
  <c r="BN106" i="6"/>
  <c r="BO106" i="6"/>
  <c r="BP106" i="6"/>
  <c r="BQ106" i="6"/>
  <c r="BR106" i="6"/>
  <c r="BS106" i="6"/>
  <c r="BT106" i="6"/>
  <c r="BU106" i="6"/>
  <c r="BV106" i="6"/>
  <c r="BW106" i="6"/>
  <c r="BX106" i="6"/>
  <c r="BY106" i="6"/>
  <c r="BZ106" i="6"/>
  <c r="CA106" i="6"/>
  <c r="CB106" i="6"/>
  <c r="CC106" i="6"/>
  <c r="CD106" i="6"/>
  <c r="CE106" i="6"/>
  <c r="CF106" i="6"/>
  <c r="CG106" i="6"/>
  <c r="CH106" i="6"/>
  <c r="CI106" i="6"/>
  <c r="CJ106" i="6"/>
  <c r="CK106" i="6"/>
  <c r="CL106" i="6"/>
  <c r="CM106" i="6"/>
  <c r="CN106" i="6"/>
  <c r="CO106" i="6"/>
  <c r="CP106" i="6"/>
  <c r="CQ106" i="6"/>
  <c r="CR106" i="6"/>
  <c r="CS106" i="6"/>
  <c r="CT106" i="6"/>
  <c r="CU106" i="6"/>
  <c r="CV106" i="6"/>
  <c r="CW106" i="6"/>
  <c r="CX106" i="6"/>
  <c r="CY106" i="6"/>
  <c r="CZ106" i="6"/>
  <c r="DA106" i="6"/>
  <c r="AT107" i="6"/>
  <c r="AU107" i="6"/>
  <c r="AV107" i="6"/>
  <c r="AW107" i="6"/>
  <c r="AX107" i="6"/>
  <c r="AY107" i="6"/>
  <c r="AZ107" i="6"/>
  <c r="BA107" i="6"/>
  <c r="BB107" i="6"/>
  <c r="BC107" i="6"/>
  <c r="BD107" i="6"/>
  <c r="BE107" i="6"/>
  <c r="BF107" i="6"/>
  <c r="BG107" i="6"/>
  <c r="BH107" i="6"/>
  <c r="BI107" i="6"/>
  <c r="BJ107" i="6"/>
  <c r="BK107" i="6"/>
  <c r="BL107" i="6"/>
  <c r="BM107" i="6"/>
  <c r="BN107" i="6"/>
  <c r="BO107" i="6"/>
  <c r="BP107" i="6"/>
  <c r="BQ107" i="6"/>
  <c r="BR107" i="6"/>
  <c r="BS107" i="6"/>
  <c r="BT107" i="6"/>
  <c r="BU107" i="6"/>
  <c r="BV107" i="6"/>
  <c r="BW107" i="6"/>
  <c r="BX107" i="6"/>
  <c r="BY107" i="6"/>
  <c r="BZ107" i="6"/>
  <c r="CA107" i="6"/>
  <c r="CB107" i="6"/>
  <c r="CC107" i="6"/>
  <c r="CD107" i="6"/>
  <c r="CE107" i="6"/>
  <c r="CF107" i="6"/>
  <c r="CG107" i="6"/>
  <c r="CH107" i="6"/>
  <c r="CI107" i="6"/>
  <c r="CJ107" i="6"/>
  <c r="CK107" i="6"/>
  <c r="CL107" i="6"/>
  <c r="CM107" i="6"/>
  <c r="CN107" i="6"/>
  <c r="CO107" i="6"/>
  <c r="CP107" i="6"/>
  <c r="CQ107" i="6"/>
  <c r="CR107" i="6"/>
  <c r="CS107" i="6"/>
  <c r="CT107" i="6"/>
  <c r="CU107" i="6"/>
  <c r="CV107" i="6"/>
  <c r="CW107" i="6"/>
  <c r="CX107" i="6"/>
  <c r="CY107" i="6"/>
  <c r="CZ107" i="6"/>
  <c r="DA107" i="6"/>
  <c r="AT108" i="6"/>
  <c r="AU108" i="6"/>
  <c r="AV108" i="6"/>
  <c r="AW108" i="6"/>
  <c r="AX108" i="6"/>
  <c r="AY108" i="6"/>
  <c r="AZ108" i="6"/>
  <c r="BA108" i="6"/>
  <c r="BB108" i="6"/>
  <c r="BC108" i="6"/>
  <c r="BD108" i="6"/>
  <c r="BE108" i="6"/>
  <c r="BF108" i="6"/>
  <c r="BG108" i="6"/>
  <c r="BH108" i="6"/>
  <c r="BI108" i="6"/>
  <c r="BJ108" i="6"/>
  <c r="BK108" i="6"/>
  <c r="BL108" i="6"/>
  <c r="BM108" i="6"/>
  <c r="BN108" i="6"/>
  <c r="BO108" i="6"/>
  <c r="BP108" i="6"/>
  <c r="BQ108" i="6"/>
  <c r="BR108" i="6"/>
  <c r="BS108" i="6"/>
  <c r="BT108" i="6"/>
  <c r="BU108" i="6"/>
  <c r="BV108" i="6"/>
  <c r="BW108" i="6"/>
  <c r="BX108" i="6"/>
  <c r="BY108" i="6"/>
  <c r="BZ108" i="6"/>
  <c r="CA108" i="6"/>
  <c r="CB108" i="6"/>
  <c r="CC108" i="6"/>
  <c r="CD108" i="6"/>
  <c r="CE108" i="6"/>
  <c r="CF108" i="6"/>
  <c r="CG108" i="6"/>
  <c r="CH108" i="6"/>
  <c r="CI108" i="6"/>
  <c r="CJ108" i="6"/>
  <c r="CK108" i="6"/>
  <c r="CL108" i="6"/>
  <c r="CM108" i="6"/>
  <c r="CN108" i="6"/>
  <c r="CO108" i="6"/>
  <c r="CP108" i="6"/>
  <c r="CQ108" i="6"/>
  <c r="CR108" i="6"/>
  <c r="CS108" i="6"/>
  <c r="CT108" i="6"/>
  <c r="CU108" i="6"/>
  <c r="CV108" i="6"/>
  <c r="CW108" i="6"/>
  <c r="CX108" i="6"/>
  <c r="CY108" i="6"/>
  <c r="CZ108" i="6"/>
  <c r="DA108" i="6"/>
  <c r="AS3" i="6"/>
  <c r="AS4" i="6"/>
  <c r="AS5" i="6"/>
  <c r="AS6" i="6"/>
  <c r="AS7" i="6"/>
  <c r="AS8" i="6"/>
  <c r="AS9" i="6"/>
  <c r="AS10" i="6"/>
  <c r="AS11" i="6"/>
  <c r="AS12" i="6"/>
  <c r="AS13" i="6"/>
  <c r="AS14" i="6"/>
  <c r="AS15" i="6"/>
  <c r="AS16" i="6"/>
  <c r="AS17" i="6"/>
  <c r="AS18" i="6"/>
  <c r="AS19" i="6"/>
  <c r="AS20" i="6"/>
  <c r="AS21" i="6"/>
  <c r="AS22" i="6"/>
  <c r="AS23" i="6"/>
  <c r="AS24" i="6"/>
  <c r="AS25" i="6"/>
  <c r="AS26" i="6"/>
  <c r="AS27" i="6"/>
  <c r="AS28" i="6"/>
  <c r="AS29" i="6"/>
  <c r="AS30" i="6"/>
  <c r="AS31" i="6"/>
  <c r="AS32" i="6"/>
  <c r="AS33" i="6"/>
  <c r="AS34" i="6"/>
  <c r="AS35" i="6"/>
  <c r="AS36" i="6"/>
  <c r="AS37" i="6"/>
  <c r="AS38" i="6"/>
  <c r="AS39" i="6"/>
  <c r="AS40" i="6"/>
  <c r="AS41" i="6"/>
  <c r="AS42" i="6"/>
  <c r="AS43" i="6"/>
  <c r="AS44" i="6"/>
  <c r="AS45" i="6"/>
  <c r="AS46" i="6"/>
  <c r="AS47" i="6"/>
  <c r="AS48" i="6"/>
  <c r="AS49" i="6"/>
  <c r="AS50" i="6"/>
  <c r="AS51" i="6"/>
  <c r="AS52" i="6"/>
  <c r="AS53" i="6"/>
  <c r="AS54" i="6"/>
  <c r="AS55" i="6"/>
  <c r="AS56" i="6"/>
  <c r="AS57" i="6"/>
  <c r="AS58" i="6"/>
  <c r="AS59" i="6"/>
  <c r="AS60" i="6"/>
  <c r="AS62" i="6"/>
  <c r="AS64" i="6"/>
  <c r="AS65" i="6"/>
  <c r="AS66" i="6"/>
  <c r="AS67" i="6"/>
  <c r="AS68" i="6"/>
  <c r="AS69" i="6"/>
  <c r="AS70" i="6"/>
  <c r="AS71" i="6"/>
  <c r="AS72" i="6"/>
  <c r="AS73" i="6"/>
  <c r="AS74" i="6"/>
  <c r="AS75" i="6"/>
  <c r="AS76" i="6"/>
  <c r="AS77" i="6"/>
  <c r="AS78" i="6"/>
  <c r="AS79" i="6"/>
  <c r="AS81" i="6"/>
  <c r="AS82" i="6"/>
  <c r="AS83" i="6"/>
  <c r="AS84" i="6"/>
  <c r="AS85" i="6"/>
  <c r="AS86" i="6"/>
  <c r="AS87" i="6"/>
  <c r="AS88" i="6"/>
  <c r="AS89" i="6"/>
  <c r="AS90" i="6"/>
  <c r="AS91" i="6"/>
  <c r="AS92" i="6"/>
  <c r="AS93" i="6"/>
  <c r="AS94" i="6"/>
  <c r="AS95" i="6"/>
  <c r="AS96" i="6"/>
  <c r="AS97" i="6"/>
  <c r="AS98" i="6"/>
  <c r="AS99" i="6"/>
  <c r="AS100" i="6"/>
  <c r="AS101" i="6"/>
  <c r="AS102" i="6"/>
  <c r="AS103" i="6"/>
  <c r="AS104" i="6"/>
  <c r="AS105" i="6"/>
  <c r="AS106" i="6"/>
  <c r="AS107" i="6"/>
  <c r="AS108" i="6"/>
  <c r="DA2" i="6"/>
  <c r="CZ2" i="6"/>
  <c r="CY2" i="6"/>
  <c r="CX2" i="6"/>
  <c r="CW2" i="6"/>
  <c r="CV2" i="6"/>
  <c r="CU2" i="6"/>
  <c r="CT2" i="6"/>
  <c r="CS2" i="6"/>
  <c r="CR2" i="6"/>
  <c r="CQ2" i="6"/>
  <c r="CP2" i="6"/>
  <c r="CO2" i="6"/>
  <c r="CN2" i="6"/>
  <c r="CM2" i="6"/>
  <c r="CL2" i="6"/>
  <c r="CK2" i="6"/>
  <c r="CJ2" i="6"/>
  <c r="CI2" i="6"/>
  <c r="CH2" i="6"/>
  <c r="CG2" i="6"/>
  <c r="CF2" i="6"/>
  <c r="CE2" i="6"/>
  <c r="CD2" i="6"/>
  <c r="CC2" i="6"/>
  <c r="CB2" i="6"/>
  <c r="CA2" i="6"/>
  <c r="BZ2" i="6"/>
  <c r="BY2" i="6"/>
  <c r="BX2" i="6"/>
  <c r="BW2" i="6"/>
  <c r="BV2" i="6"/>
  <c r="BU2" i="6"/>
  <c r="BT2" i="6"/>
  <c r="BS2" i="6"/>
  <c r="BR2" i="6"/>
  <c r="BQ2" i="6"/>
  <c r="BP2" i="6"/>
  <c r="BO2" i="6"/>
  <c r="BN2" i="6"/>
  <c r="BM2" i="6"/>
  <c r="BL2" i="6"/>
  <c r="BK2" i="6"/>
  <c r="BJ2" i="6"/>
  <c r="BI2" i="6"/>
  <c r="BH2" i="6"/>
  <c r="BG2" i="6"/>
  <c r="BF2" i="6"/>
  <c r="BE2" i="6"/>
  <c r="BD2" i="6"/>
  <c r="BC2" i="6"/>
  <c r="BB2" i="6"/>
  <c r="BA2" i="6"/>
  <c r="AZ2" i="6"/>
  <c r="AY2" i="6"/>
  <c r="AX2" i="6"/>
  <c r="AW2" i="6"/>
  <c r="AV2" i="6"/>
  <c r="AU2" i="6"/>
  <c r="AT2" i="6"/>
  <c r="AS2" i="6"/>
  <c r="Y41" i="1"/>
  <c r="BM41" i="1" s="1"/>
  <c r="Y40" i="1"/>
  <c r="BM40" i="1" s="1"/>
  <c r="Y39" i="1"/>
  <c r="BM39" i="1" s="1"/>
  <c r="Y38" i="1"/>
  <c r="BM38" i="1" s="1"/>
  <c r="Y37" i="1"/>
  <c r="BM37" i="1" s="1"/>
  <c r="Y36" i="1"/>
  <c r="BM36" i="1" s="1"/>
  <c r="Y35" i="1"/>
  <c r="BM35" i="1" s="1"/>
  <c r="Y34" i="1"/>
  <c r="BM34" i="1" s="1"/>
  <c r="Y33" i="1"/>
  <c r="BM33" i="1" s="1"/>
  <c r="Y32" i="1"/>
  <c r="BM32" i="1" s="1"/>
  <c r="Y31" i="1"/>
  <c r="BM31" i="1" s="1"/>
  <c r="Y30" i="1"/>
  <c r="Y29" i="1"/>
  <c r="BM29" i="1" s="1"/>
  <c r="Y28" i="1"/>
  <c r="BM28" i="1" s="1"/>
  <c r="Y27" i="1"/>
  <c r="BM27" i="1" s="1"/>
  <c r="Y26" i="1"/>
  <c r="BM26" i="1" s="1"/>
  <c r="Y25" i="1"/>
  <c r="BM25" i="1" s="1"/>
  <c r="Y24" i="1"/>
  <c r="BM24" i="1" s="1"/>
  <c r="Y23" i="1"/>
  <c r="BM23" i="1" s="1"/>
  <c r="Y22" i="1"/>
  <c r="BM22" i="1" s="1"/>
  <c r="Y21" i="1"/>
  <c r="BM21" i="1" s="1"/>
  <c r="Y20" i="1"/>
  <c r="BM20" i="1" s="1"/>
  <c r="Y19" i="1"/>
  <c r="BM19" i="1" s="1"/>
  <c r="Y18" i="1"/>
  <c r="BM18" i="1" s="1"/>
  <c r="Y17" i="1"/>
  <c r="BM17" i="1" s="1"/>
  <c r="Y16" i="1"/>
  <c r="BM16" i="1" s="1"/>
  <c r="Y15" i="1"/>
  <c r="BM15" i="1" s="1"/>
  <c r="Y14" i="1"/>
  <c r="BM14" i="1" s="1"/>
  <c r="Y13" i="1"/>
  <c r="BM13" i="1" s="1"/>
  <c r="Y12" i="1"/>
  <c r="BM12" i="1" s="1"/>
  <c r="V41" i="1"/>
  <c r="W41" i="1" s="1"/>
  <c r="V40" i="1"/>
  <c r="W40" i="1" s="1"/>
  <c r="V39" i="1"/>
  <c r="W39" i="1" s="1"/>
  <c r="V38" i="1"/>
  <c r="W38" i="1" s="1"/>
  <c r="V37" i="1"/>
  <c r="W37" i="1" s="1"/>
  <c r="V36" i="1"/>
  <c r="W36" i="1" s="1"/>
  <c r="V35" i="1"/>
  <c r="W35" i="1" s="1"/>
  <c r="V34" i="1"/>
  <c r="W34" i="1" s="1"/>
  <c r="V33" i="1"/>
  <c r="W33" i="1" s="1"/>
  <c r="V32" i="1"/>
  <c r="W32" i="1" s="1"/>
  <c r="V31" i="1"/>
  <c r="W31" i="1" s="1"/>
  <c r="V30" i="1"/>
  <c r="W30" i="1" s="1"/>
  <c r="V29" i="1"/>
  <c r="W29" i="1" s="1"/>
  <c r="V28" i="1"/>
  <c r="W28" i="1" s="1"/>
  <c r="V27" i="1"/>
  <c r="W27" i="1" s="1"/>
  <c r="V26" i="1"/>
  <c r="W26" i="1" s="1"/>
  <c r="V25" i="1"/>
  <c r="W25" i="1" s="1"/>
  <c r="V24" i="1"/>
  <c r="W24" i="1" s="1"/>
  <c r="V23" i="1"/>
  <c r="W23" i="1" s="1"/>
  <c r="V22" i="1"/>
  <c r="W22" i="1" s="1"/>
  <c r="V21" i="1"/>
  <c r="W21" i="1" s="1"/>
  <c r="V20" i="1"/>
  <c r="W20" i="1" s="1"/>
  <c r="V19" i="1"/>
  <c r="W19" i="1" s="1"/>
  <c r="V18" i="1"/>
  <c r="W18" i="1" s="1"/>
  <c r="V17" i="1"/>
  <c r="W17" i="1" s="1"/>
  <c r="V16" i="1"/>
  <c r="W16" i="1" s="1"/>
  <c r="V15" i="1"/>
  <c r="W15" i="1" s="1"/>
  <c r="V14" i="1"/>
  <c r="W14" i="1" s="1"/>
  <c r="V13" i="1"/>
  <c r="W13" i="1" s="1"/>
  <c r="V12" i="1"/>
  <c r="W12" i="1" s="1"/>
  <c r="T12" i="1"/>
  <c r="T13" i="1"/>
  <c r="U13" i="1" s="1"/>
  <c r="T14" i="1"/>
  <c r="U14" i="1" s="1"/>
  <c r="T15" i="1"/>
  <c r="U15" i="1" s="1"/>
  <c r="T16" i="1"/>
  <c r="U16" i="1" s="1"/>
  <c r="T17" i="1"/>
  <c r="U17" i="1" s="1"/>
  <c r="T18" i="1"/>
  <c r="U18" i="1" s="1"/>
  <c r="T19" i="1"/>
  <c r="U19" i="1" s="1"/>
  <c r="T20" i="1"/>
  <c r="U20" i="1" s="1"/>
  <c r="T21" i="1"/>
  <c r="U21" i="1" s="1"/>
  <c r="T22" i="1"/>
  <c r="U22" i="1" s="1"/>
  <c r="T23" i="1"/>
  <c r="U23" i="1" s="1"/>
  <c r="T24" i="1"/>
  <c r="U24" i="1" s="1"/>
  <c r="T25" i="1"/>
  <c r="U25" i="1" s="1"/>
  <c r="T26" i="1"/>
  <c r="U26" i="1" s="1"/>
  <c r="T27" i="1"/>
  <c r="U27" i="1" s="1"/>
  <c r="T28" i="1"/>
  <c r="T29" i="1"/>
  <c r="U29" i="1" s="1"/>
  <c r="T30" i="1"/>
  <c r="T31" i="1"/>
  <c r="U31" i="1" s="1"/>
  <c r="T32" i="1"/>
  <c r="U32" i="1" s="1"/>
  <c r="T33" i="1"/>
  <c r="U33" i="1" s="1"/>
  <c r="T34" i="1"/>
  <c r="U34" i="1" s="1"/>
  <c r="T35" i="1"/>
  <c r="U35" i="1" s="1"/>
  <c r="T36" i="1"/>
  <c r="U36" i="1" s="1"/>
  <c r="T37" i="1"/>
  <c r="U37" i="1" s="1"/>
  <c r="T38" i="1"/>
  <c r="U38" i="1" s="1"/>
  <c r="T39" i="1"/>
  <c r="U39" i="1" s="1"/>
  <c r="T40" i="1"/>
  <c r="U40" i="1" s="1"/>
  <c r="T41" i="1"/>
  <c r="U41" i="1" s="1"/>
  <c r="AR44" i="6"/>
  <c r="AQ44" i="6"/>
  <c r="AP44" i="6"/>
  <c r="AO44" i="6"/>
  <c r="AN44" i="6"/>
  <c r="AM44" i="6"/>
  <c r="AL44" i="6"/>
  <c r="AK44" i="6"/>
  <c r="AJ44" i="6"/>
  <c r="AI44" i="6"/>
  <c r="AH44" i="6"/>
  <c r="AG44" i="6"/>
  <c r="AF44" i="6"/>
  <c r="AE44" i="6"/>
  <c r="AD44" i="6"/>
  <c r="AC44" i="6"/>
  <c r="AB44" i="6"/>
  <c r="AA44" i="6"/>
  <c r="Z44" i="6"/>
  <c r="Y44" i="6"/>
  <c r="X44" i="6"/>
  <c r="W44" i="6"/>
  <c r="V44" i="6"/>
  <c r="U44" i="6"/>
  <c r="T44" i="6"/>
  <c r="S44" i="6"/>
  <c r="R44" i="6"/>
  <c r="Q44" i="6"/>
  <c r="P44" i="6"/>
  <c r="O44" i="6"/>
  <c r="N44" i="6"/>
  <c r="M44" i="6"/>
  <c r="L44" i="6"/>
  <c r="K44" i="6"/>
  <c r="J44" i="6"/>
  <c r="I44" i="6"/>
  <c r="H44" i="6"/>
  <c r="G44" i="6"/>
  <c r="F44" i="6"/>
  <c r="AQ4" i="1" l="1"/>
  <c r="BM30" i="1"/>
  <c r="BI30" i="1"/>
  <c r="U30" i="1"/>
  <c r="BI52" i="1"/>
  <c r="BM52" i="1"/>
  <c r="BI54" i="1"/>
  <c r="BM54" i="1"/>
  <c r="BI55" i="1"/>
  <c r="BM55" i="1"/>
  <c r="BI56" i="1"/>
  <c r="BM56" i="1"/>
  <c r="BI57" i="1"/>
  <c r="BM57" i="1"/>
  <c r="BI58" i="1"/>
  <c r="BM58" i="1"/>
  <c r="BI59" i="1"/>
  <c r="BM59" i="1"/>
  <c r="BI60" i="1"/>
  <c r="BM60" i="1"/>
  <c r="BI61" i="1"/>
  <c r="BM61" i="1"/>
  <c r="BI62" i="1"/>
  <c r="BM62" i="1"/>
  <c r="BI63" i="1"/>
  <c r="BM63" i="1"/>
  <c r="BI64" i="1"/>
  <c r="BM64" i="1"/>
  <c r="BI65" i="1"/>
  <c r="BM65" i="1"/>
  <c r="BI66" i="1"/>
  <c r="BM66" i="1"/>
  <c r="BI67" i="1"/>
  <c r="BM67" i="1"/>
  <c r="BI68" i="1"/>
  <c r="BM68" i="1"/>
  <c r="BI69" i="1"/>
  <c r="BM69" i="1"/>
  <c r="BI70" i="1"/>
  <c r="BM70" i="1"/>
  <c r="BI71" i="1"/>
  <c r="BM71" i="1"/>
  <c r="BI72" i="1"/>
  <c r="BM72" i="1"/>
  <c r="BI73" i="1"/>
  <c r="BM73" i="1"/>
  <c r="BI74" i="1"/>
  <c r="BM74" i="1"/>
  <c r="BI75" i="1"/>
  <c r="BM75" i="1"/>
  <c r="BI76" i="1"/>
  <c r="BM76" i="1"/>
  <c r="BI80" i="1"/>
  <c r="BM80" i="1"/>
  <c r="BI81" i="1"/>
  <c r="BM81" i="1"/>
  <c r="BI82" i="1"/>
  <c r="BM82" i="1"/>
  <c r="BI84" i="1"/>
  <c r="BM84" i="1"/>
  <c r="BI85" i="1"/>
  <c r="BM85" i="1"/>
  <c r="BI86" i="1"/>
  <c r="BM86" i="1"/>
  <c r="BI87" i="1"/>
  <c r="BM87" i="1"/>
  <c r="BI88" i="1"/>
  <c r="BM88" i="1"/>
  <c r="BI89" i="1"/>
  <c r="BM89" i="1"/>
  <c r="BI90" i="1"/>
  <c r="BM90" i="1"/>
  <c r="BI91" i="1"/>
  <c r="BM91" i="1"/>
  <c r="BI92" i="1"/>
  <c r="BM92" i="1"/>
  <c r="BI93" i="1"/>
  <c r="BM93" i="1"/>
  <c r="BI94" i="1"/>
  <c r="BM94" i="1"/>
  <c r="BI95" i="1"/>
  <c r="BM95" i="1"/>
  <c r="BI96" i="1"/>
  <c r="BM96" i="1"/>
  <c r="BI97" i="1"/>
  <c r="BM97" i="1"/>
  <c r="BI98" i="1"/>
  <c r="BM98" i="1"/>
  <c r="BI99" i="1"/>
  <c r="BM99" i="1"/>
  <c r="BI100" i="1"/>
  <c r="BM100" i="1"/>
  <c r="BI101" i="1"/>
  <c r="BM101" i="1"/>
  <c r="U28" i="1"/>
  <c r="EX110" i="6"/>
  <c r="FJ110" i="6"/>
  <c r="FV110" i="6"/>
  <c r="GH110" i="6"/>
  <c r="GT110" i="6"/>
  <c r="EO110" i="6"/>
  <c r="ER110" i="6"/>
  <c r="FD110" i="6"/>
  <c r="FP110" i="6"/>
  <c r="GB110" i="6"/>
  <c r="GN110" i="6"/>
  <c r="E25" i="11" a="1"/>
  <c r="E25" i="11" s="1"/>
  <c r="I25" i="11" a="1"/>
  <c r="I25" i="11" s="1"/>
  <c r="G25" i="11" a="1"/>
  <c r="G25" i="11" s="1"/>
  <c r="B25" i="11" a="1"/>
  <c r="B25" i="11" s="1"/>
  <c r="A25" i="11" s="1"/>
  <c r="B22" i="11" a="1"/>
  <c r="B22" i="11" s="1"/>
  <c r="A22" i="11" s="1"/>
  <c r="D22" i="11" a="1"/>
  <c r="D22" i="11" s="1"/>
  <c r="G19" i="11" a="1"/>
  <c r="G19" i="11" s="1"/>
  <c r="G20" i="11" s="1"/>
  <c r="I22" i="11" a="1"/>
  <c r="I22" i="11" s="1"/>
  <c r="G22" i="11" a="1"/>
  <c r="G22" i="11" s="1"/>
  <c r="E22" i="11" a="1"/>
  <c r="E22" i="11" s="1"/>
  <c r="E19" i="11" a="1"/>
  <c r="E19" i="11" s="1"/>
  <c r="E20" i="11" s="1"/>
  <c r="C22" i="11" a="1"/>
  <c r="C22" i="11" s="1"/>
  <c r="I19" i="11" a="1"/>
  <c r="I19" i="11" s="1"/>
  <c r="I20" i="11" s="1"/>
  <c r="B19" i="11" a="1"/>
  <c r="B19" i="11" s="1"/>
  <c r="A19" i="11" s="1"/>
  <c r="D25" i="11" a="1"/>
  <c r="D25" i="11" s="1"/>
  <c r="C25" i="11" a="1"/>
  <c r="C25" i="11" s="1"/>
  <c r="D19" i="11" a="1"/>
  <c r="D19" i="11" s="1"/>
  <c r="D20" i="11" s="1"/>
  <c r="C19" i="11" a="1"/>
  <c r="C19" i="11" s="1"/>
  <c r="C20" i="11" s="1"/>
  <c r="G29" i="10" a="1"/>
  <c r="G29" i="10" s="1"/>
  <c r="L29" i="10" a="1"/>
  <c r="L29" i="10" s="1"/>
  <c r="E25" i="10" a="1"/>
  <c r="E25" i="10" s="1"/>
  <c r="A25" i="10" s="1"/>
  <c r="I21" i="10" a="1"/>
  <c r="I21" i="10" s="1"/>
  <c r="I22" i="10" s="1"/>
  <c r="I23" i="10" s="1"/>
  <c r="I25" i="10" a="1"/>
  <c r="I25" i="10" s="1"/>
  <c r="G25" i="10" a="1"/>
  <c r="G25" i="10" s="1"/>
  <c r="F21" i="10" a="1"/>
  <c r="F21" i="10" s="1"/>
  <c r="F22" i="10" s="1"/>
  <c r="F23" i="10" s="1"/>
  <c r="H21" i="10" a="1"/>
  <c r="H21" i="10" s="1"/>
  <c r="H22" i="10" s="1"/>
  <c r="H23" i="10" s="1"/>
  <c r="E21" i="10" a="1"/>
  <c r="E21" i="10" s="1"/>
  <c r="A21" i="10" s="1"/>
  <c r="L21" i="10" a="1"/>
  <c r="L21" i="10" s="1"/>
  <c r="L22" i="10" s="1"/>
  <c r="L23" i="10" s="1"/>
  <c r="I29" i="10" a="1"/>
  <c r="I29" i="10" s="1"/>
  <c r="H29" i="10" a="1"/>
  <c r="H29" i="10" s="1"/>
  <c r="G21" i="10" a="1"/>
  <c r="G21" i="10" s="1"/>
  <c r="G22" i="10" s="1"/>
  <c r="G23" i="10" s="1"/>
  <c r="P25" i="10" a="1"/>
  <c r="P25" i="10" s="1"/>
  <c r="P29" i="10" a="1"/>
  <c r="P29" i="10" s="1"/>
  <c r="E29" i="10" a="1"/>
  <c r="E29" i="10" s="1"/>
  <c r="A29" i="10" s="1"/>
  <c r="L25" i="10" a="1"/>
  <c r="L25" i="10" s="1"/>
  <c r="F29" i="10" a="1"/>
  <c r="F29" i="10" s="1"/>
  <c r="F25" i="10" a="1"/>
  <c r="F25" i="10" s="1"/>
  <c r="P21" i="10" a="1"/>
  <c r="P21" i="10" s="1"/>
  <c r="P22" i="10" s="1"/>
  <c r="P23" i="10" s="1"/>
  <c r="H25" i="10" a="1"/>
  <c r="H25" i="10" s="1"/>
  <c r="B5" i="9"/>
  <c r="B8" i="9" a="1"/>
  <c r="B8" i="9" s="1"/>
  <c r="EU63" i="6"/>
  <c r="EU110" i="6"/>
  <c r="FA63" i="6"/>
  <c r="FA110" i="6"/>
  <c r="FG63" i="6"/>
  <c r="FG110" i="6"/>
  <c r="FM63" i="6"/>
  <c r="FM110" i="6"/>
  <c r="FS63" i="6"/>
  <c r="FS110" i="6"/>
  <c r="FY63" i="6"/>
  <c r="FY110" i="6"/>
  <c r="GE63" i="6"/>
  <c r="GE110" i="6"/>
  <c r="GK63" i="6"/>
  <c r="GK110" i="6"/>
  <c r="GQ63" i="6"/>
  <c r="GQ110" i="6"/>
  <c r="GW63" i="6"/>
  <c r="GW110" i="6"/>
  <c r="EP63" i="6"/>
  <c r="EP110" i="6"/>
  <c r="EV63" i="6"/>
  <c r="EV110" i="6"/>
  <c r="FB63" i="6"/>
  <c r="FB110" i="6"/>
  <c r="FH63" i="6"/>
  <c r="FH110" i="6"/>
  <c r="FN63" i="6"/>
  <c r="FN110" i="6"/>
  <c r="FT63" i="6"/>
  <c r="FT110" i="6"/>
  <c r="FZ63" i="6"/>
  <c r="FZ110" i="6"/>
  <c r="GF63" i="6"/>
  <c r="GF110" i="6"/>
  <c r="GL63" i="6"/>
  <c r="GL110" i="6"/>
  <c r="GR63" i="6"/>
  <c r="GR110" i="6"/>
  <c r="EQ63" i="6"/>
  <c r="EQ110" i="6"/>
  <c r="EW63" i="6"/>
  <c r="EW110" i="6"/>
  <c r="FC63" i="6"/>
  <c r="FC110" i="6"/>
  <c r="FI63" i="6"/>
  <c r="FI110" i="6"/>
  <c r="FO63" i="6"/>
  <c r="FO110" i="6"/>
  <c r="FU63" i="6"/>
  <c r="FU110" i="6"/>
  <c r="GA63" i="6"/>
  <c r="GA110" i="6"/>
  <c r="GG63" i="6"/>
  <c r="GG110" i="6"/>
  <c r="GM63" i="6"/>
  <c r="GM110" i="6"/>
  <c r="GS63" i="6"/>
  <c r="GS110" i="6"/>
  <c r="ES63" i="6"/>
  <c r="ES110" i="6"/>
  <c r="EY63" i="6"/>
  <c r="EY110" i="6"/>
  <c r="FE63" i="6"/>
  <c r="FE110" i="6"/>
  <c r="FK63" i="6"/>
  <c r="FK110" i="6"/>
  <c r="FQ63" i="6"/>
  <c r="FQ110" i="6"/>
  <c r="FW63" i="6"/>
  <c r="FW110" i="6"/>
  <c r="GC63" i="6"/>
  <c r="GC110" i="6"/>
  <c r="GI63" i="6"/>
  <c r="GI110" i="6"/>
  <c r="GO63" i="6"/>
  <c r="GO110" i="6"/>
  <c r="GU63" i="6"/>
  <c r="GU110" i="6"/>
  <c r="ET63" i="6"/>
  <c r="ET110" i="6"/>
  <c r="EZ63" i="6"/>
  <c r="EZ110" i="6"/>
  <c r="FF63" i="6"/>
  <c r="FF110" i="6"/>
  <c r="FL63" i="6"/>
  <c r="FL110" i="6"/>
  <c r="FR63" i="6"/>
  <c r="FR110" i="6"/>
  <c r="FX63" i="6"/>
  <c r="FX110" i="6"/>
  <c r="GD63" i="6"/>
  <c r="GD110" i="6"/>
  <c r="GJ63" i="6"/>
  <c r="GJ110" i="6"/>
  <c r="GP63" i="6"/>
  <c r="GP110" i="6"/>
  <c r="GV63" i="6"/>
  <c r="GV110" i="6"/>
  <c r="EO63" i="6"/>
  <c r="ER63" i="6"/>
  <c r="EX63" i="6"/>
  <c r="FD63" i="6"/>
  <c r="FJ63" i="6"/>
  <c r="FP63" i="6"/>
  <c r="FV63" i="6"/>
  <c r="GB63" i="6"/>
  <c r="GH63" i="6"/>
  <c r="GN63" i="6"/>
  <c r="GT63" i="6"/>
  <c r="EU61" i="6"/>
  <c r="FA61" i="6"/>
  <c r="FG61" i="6"/>
  <c r="FM61" i="6"/>
  <c r="FS61" i="6"/>
  <c r="FY61" i="6"/>
  <c r="GE61" i="6"/>
  <c r="GK61" i="6"/>
  <c r="GQ61" i="6"/>
  <c r="GW61" i="6"/>
  <c r="EO61" i="6"/>
  <c r="ER61" i="6"/>
  <c r="EX61" i="6"/>
  <c r="FJ61" i="6"/>
  <c r="FP61" i="6"/>
  <c r="FV61" i="6"/>
  <c r="GB61" i="6"/>
  <c r="GH61" i="6"/>
  <c r="GN61" i="6"/>
  <c r="GT61" i="6"/>
  <c r="FD61" i="6"/>
  <c r="EQ61" i="6"/>
  <c r="EW61" i="6"/>
  <c r="FC61" i="6"/>
  <c r="FI61" i="6"/>
  <c r="FO61" i="6"/>
  <c r="FU61" i="6"/>
  <c r="GA61" i="6"/>
  <c r="GG61" i="6"/>
  <c r="GM61" i="6"/>
  <c r="GS61" i="6"/>
  <c r="EP80" i="6"/>
  <c r="EP61" i="6"/>
  <c r="EV80" i="6"/>
  <c r="EV61" i="6"/>
  <c r="FB80" i="6"/>
  <c r="FB61" i="6"/>
  <c r="FH80" i="6"/>
  <c r="FH61" i="6"/>
  <c r="FN80" i="6"/>
  <c r="FN61" i="6"/>
  <c r="FT80" i="6"/>
  <c r="FT61" i="6"/>
  <c r="FZ80" i="6"/>
  <c r="FZ61" i="6"/>
  <c r="GF80" i="6"/>
  <c r="GF61" i="6"/>
  <c r="GL80" i="6"/>
  <c r="GL61" i="6"/>
  <c r="GR80" i="6"/>
  <c r="GR61" i="6"/>
  <c r="ES80" i="6"/>
  <c r="ES61" i="6"/>
  <c r="EY80" i="6"/>
  <c r="EY61" i="6"/>
  <c r="FE80" i="6"/>
  <c r="FE61" i="6"/>
  <c r="FK80" i="6"/>
  <c r="FK61" i="6"/>
  <c r="FQ80" i="6"/>
  <c r="FQ61" i="6"/>
  <c r="FW80" i="6"/>
  <c r="FW61" i="6"/>
  <c r="GC80" i="6"/>
  <c r="GC61" i="6"/>
  <c r="GI80" i="6"/>
  <c r="GI61" i="6"/>
  <c r="GO80" i="6"/>
  <c r="GO61" i="6"/>
  <c r="GU80" i="6"/>
  <c r="GU61" i="6"/>
  <c r="ET80" i="6"/>
  <c r="ET61" i="6"/>
  <c r="EZ80" i="6"/>
  <c r="EZ61" i="6"/>
  <c r="FF80" i="6"/>
  <c r="FF61" i="6"/>
  <c r="FL80" i="6"/>
  <c r="FL61" i="6"/>
  <c r="FR80" i="6"/>
  <c r="FR61" i="6"/>
  <c r="FX80" i="6"/>
  <c r="FX61" i="6"/>
  <c r="GD80" i="6"/>
  <c r="GD61" i="6"/>
  <c r="GJ80" i="6"/>
  <c r="GJ61" i="6"/>
  <c r="GP80" i="6"/>
  <c r="GP61" i="6"/>
  <c r="GV80" i="6"/>
  <c r="GV61" i="6"/>
  <c r="EO80" i="6"/>
  <c r="EU80" i="6"/>
  <c r="FA80" i="6"/>
  <c r="FG80" i="6"/>
  <c r="FM80" i="6"/>
  <c r="FS80" i="6"/>
  <c r="FY80" i="6"/>
  <c r="GE80" i="6"/>
  <c r="GK80" i="6"/>
  <c r="GQ80" i="6"/>
  <c r="GW80" i="6"/>
  <c r="ER80" i="6"/>
  <c r="EX80" i="6"/>
  <c r="FD80" i="6"/>
  <c r="FJ80" i="6"/>
  <c r="FP80" i="6"/>
  <c r="FV80" i="6"/>
  <c r="GB80" i="6"/>
  <c r="GH80" i="6"/>
  <c r="GN80" i="6"/>
  <c r="GT80" i="6"/>
  <c r="EQ80" i="6"/>
  <c r="EW80" i="6"/>
  <c r="FC80" i="6"/>
  <c r="FI80" i="6"/>
  <c r="FO80" i="6"/>
  <c r="FU80" i="6"/>
  <c r="GA80" i="6"/>
  <c r="GG80" i="6"/>
  <c r="GM80" i="6"/>
  <c r="GS80" i="6"/>
  <c r="BI12" i="1"/>
  <c r="Z16" i="1"/>
  <c r="AA16" i="1" s="1"/>
  <c r="AB16" i="1" s="1"/>
  <c r="AC16" i="1" s="1"/>
  <c r="BI16" i="1"/>
  <c r="Z22" i="1"/>
  <c r="AA22" i="1" s="1"/>
  <c r="AB22" i="1" s="1"/>
  <c r="AC22" i="1" s="1"/>
  <c r="BI22" i="1"/>
  <c r="Z28" i="1"/>
  <c r="AA28" i="1" s="1"/>
  <c r="AB28" i="1" s="1"/>
  <c r="AC28" i="1" s="1"/>
  <c r="BI28" i="1"/>
  <c r="Z34" i="1"/>
  <c r="AA34" i="1" s="1"/>
  <c r="AB34" i="1" s="1"/>
  <c r="AC34" i="1" s="1"/>
  <c r="BI34" i="1"/>
  <c r="Z40" i="1"/>
  <c r="AA40" i="1" s="1"/>
  <c r="AB40" i="1" s="1"/>
  <c r="AC40" i="1" s="1"/>
  <c r="BI40" i="1"/>
  <c r="Z17" i="1"/>
  <c r="AA17" i="1" s="1"/>
  <c r="AB17" i="1" s="1"/>
  <c r="AC17" i="1" s="1"/>
  <c r="BI17" i="1"/>
  <c r="Z23" i="1"/>
  <c r="AA23" i="1" s="1"/>
  <c r="AB23" i="1" s="1"/>
  <c r="AC23" i="1" s="1"/>
  <c r="BI23" i="1"/>
  <c r="Z29" i="1"/>
  <c r="AA29" i="1" s="1"/>
  <c r="AB29" i="1" s="1"/>
  <c r="AC29" i="1" s="1"/>
  <c r="BI29" i="1"/>
  <c r="Z35" i="1"/>
  <c r="AA35" i="1" s="1"/>
  <c r="AB35" i="1" s="1"/>
  <c r="AC35" i="1" s="1"/>
  <c r="BI35" i="1"/>
  <c r="Z41" i="1"/>
  <c r="AA41" i="1" s="1"/>
  <c r="AB41" i="1" s="1"/>
  <c r="AC41" i="1" s="1"/>
  <c r="BI41" i="1"/>
  <c r="Z83" i="1"/>
  <c r="AA83" i="1" s="1"/>
  <c r="AB83" i="1" s="1"/>
  <c r="AC83" i="1" s="1"/>
  <c r="BI83" i="1"/>
  <c r="Z79" i="1"/>
  <c r="AA79" i="1" s="1"/>
  <c r="AB79" i="1" s="1"/>
  <c r="AC79" i="1" s="1"/>
  <c r="BI79" i="1"/>
  <c r="Z77" i="1"/>
  <c r="AA77" i="1" s="1"/>
  <c r="AB77" i="1" s="1"/>
  <c r="AC77" i="1" s="1"/>
  <c r="BI77" i="1"/>
  <c r="Z53" i="1"/>
  <c r="AA53" i="1" s="1"/>
  <c r="AB53" i="1" s="1"/>
  <c r="AC53" i="1" s="1"/>
  <c r="BI53" i="1"/>
  <c r="Z51" i="1"/>
  <c r="AA51" i="1" s="1"/>
  <c r="AB51" i="1" s="1"/>
  <c r="AC51" i="1" s="1"/>
  <c r="BI51" i="1"/>
  <c r="Z49" i="1"/>
  <c r="AA49" i="1" s="1"/>
  <c r="AB49" i="1" s="1"/>
  <c r="AC49" i="1" s="1"/>
  <c r="BI49" i="1"/>
  <c r="Z47" i="1"/>
  <c r="AA47" i="1" s="1"/>
  <c r="AB47" i="1" s="1"/>
  <c r="AC47" i="1" s="1"/>
  <c r="BI47" i="1"/>
  <c r="Z45" i="1"/>
  <c r="AA45" i="1" s="1"/>
  <c r="AB45" i="1" s="1"/>
  <c r="AC45" i="1" s="1"/>
  <c r="BI45" i="1"/>
  <c r="Z43" i="1"/>
  <c r="AA43" i="1" s="1"/>
  <c r="AB43" i="1" s="1"/>
  <c r="AC43" i="1" s="1"/>
  <c r="BI43" i="1"/>
  <c r="Z18" i="1"/>
  <c r="AA18" i="1" s="1"/>
  <c r="AB18" i="1" s="1"/>
  <c r="AC18" i="1" s="1"/>
  <c r="BI18" i="1"/>
  <c r="Z24" i="1"/>
  <c r="AA24" i="1" s="1"/>
  <c r="AB24" i="1" s="1"/>
  <c r="AC24" i="1" s="1"/>
  <c r="BI24" i="1"/>
  <c r="Z30" i="1"/>
  <c r="AA30" i="1" s="1"/>
  <c r="AB30" i="1" s="1"/>
  <c r="AC30" i="1" s="1"/>
  <c r="Z36" i="1"/>
  <c r="AA36" i="1" s="1"/>
  <c r="AB36" i="1" s="1"/>
  <c r="AC36" i="1" s="1"/>
  <c r="BI36" i="1"/>
  <c r="Z13" i="1"/>
  <c r="AA13" i="1" s="1"/>
  <c r="AB13" i="1" s="1"/>
  <c r="AC13" i="1" s="1"/>
  <c r="BI13" i="1"/>
  <c r="Z19" i="1"/>
  <c r="AA19" i="1" s="1"/>
  <c r="AB19" i="1" s="1"/>
  <c r="AC19" i="1" s="1"/>
  <c r="BI19" i="1"/>
  <c r="Z25" i="1"/>
  <c r="AA25" i="1" s="1"/>
  <c r="AB25" i="1" s="1"/>
  <c r="AC25" i="1" s="1"/>
  <c r="BI25" i="1"/>
  <c r="Z31" i="1"/>
  <c r="AA31" i="1" s="1"/>
  <c r="AB31" i="1" s="1"/>
  <c r="AC31" i="1" s="1"/>
  <c r="BI31" i="1"/>
  <c r="Z37" i="1"/>
  <c r="AA37" i="1" s="1"/>
  <c r="AB37" i="1" s="1"/>
  <c r="AC37" i="1" s="1"/>
  <c r="BI37" i="1"/>
  <c r="Z14" i="1"/>
  <c r="AA14" i="1" s="1"/>
  <c r="AB14" i="1" s="1"/>
  <c r="AC14" i="1" s="1"/>
  <c r="BI14" i="1"/>
  <c r="Z20" i="1"/>
  <c r="AA20" i="1" s="1"/>
  <c r="AB20" i="1" s="1"/>
  <c r="AC20" i="1" s="1"/>
  <c r="BI20" i="1"/>
  <c r="Z26" i="1"/>
  <c r="AA26" i="1" s="1"/>
  <c r="AB26" i="1" s="1"/>
  <c r="AC26" i="1" s="1"/>
  <c r="BI26" i="1"/>
  <c r="Z32" i="1"/>
  <c r="AA32" i="1" s="1"/>
  <c r="AB32" i="1" s="1"/>
  <c r="AC32" i="1" s="1"/>
  <c r="BI32" i="1"/>
  <c r="Z38" i="1"/>
  <c r="AA38" i="1" s="1"/>
  <c r="AB38" i="1" s="1"/>
  <c r="AC38" i="1" s="1"/>
  <c r="BI38" i="1"/>
  <c r="Z102" i="1"/>
  <c r="AA102" i="1" s="1"/>
  <c r="AB102" i="1" s="1"/>
  <c r="AC102" i="1" s="1"/>
  <c r="BI102" i="1"/>
  <c r="Z78" i="1"/>
  <c r="AA78" i="1" s="1"/>
  <c r="AB78" i="1" s="1"/>
  <c r="AC78" i="1" s="1"/>
  <c r="BI78" i="1"/>
  <c r="Z50" i="1"/>
  <c r="AA50" i="1" s="1"/>
  <c r="AB50" i="1" s="1"/>
  <c r="AC50" i="1" s="1"/>
  <c r="BI50" i="1"/>
  <c r="Z48" i="1"/>
  <c r="AA48" i="1" s="1"/>
  <c r="AB48" i="1" s="1"/>
  <c r="AC48" i="1" s="1"/>
  <c r="BI48" i="1"/>
  <c r="Z46" i="1"/>
  <c r="AA46" i="1" s="1"/>
  <c r="AB46" i="1" s="1"/>
  <c r="AC46" i="1" s="1"/>
  <c r="BI46" i="1"/>
  <c r="Z44" i="1"/>
  <c r="AA44" i="1" s="1"/>
  <c r="AB44" i="1" s="1"/>
  <c r="AC44" i="1" s="1"/>
  <c r="BI44" i="1"/>
  <c r="Z42" i="1"/>
  <c r="AA42" i="1" s="1"/>
  <c r="AB42" i="1" s="1"/>
  <c r="AC42" i="1" s="1"/>
  <c r="BI42" i="1"/>
  <c r="Z15" i="1"/>
  <c r="AA15" i="1" s="1"/>
  <c r="AB15" i="1" s="1"/>
  <c r="AC15" i="1" s="1"/>
  <c r="BI15" i="1"/>
  <c r="Z21" i="1"/>
  <c r="AA21" i="1" s="1"/>
  <c r="AB21" i="1" s="1"/>
  <c r="AC21" i="1" s="1"/>
  <c r="BI21" i="1"/>
  <c r="Z27" i="1"/>
  <c r="AA27" i="1" s="1"/>
  <c r="AB27" i="1" s="1"/>
  <c r="AC27" i="1" s="1"/>
  <c r="BI27" i="1"/>
  <c r="Z33" i="1"/>
  <c r="AA33" i="1" s="1"/>
  <c r="AB33" i="1" s="1"/>
  <c r="AC33" i="1" s="1"/>
  <c r="BI33" i="1"/>
  <c r="Z39" i="1"/>
  <c r="AA39" i="1" s="1"/>
  <c r="AB39" i="1" s="1"/>
  <c r="AC39" i="1" s="1"/>
  <c r="BI39" i="1"/>
  <c r="Z101" i="1"/>
  <c r="AA101" i="1" s="1"/>
  <c r="AB101" i="1" s="1"/>
  <c r="AC101" i="1" s="1"/>
  <c r="Z99" i="1"/>
  <c r="AA99" i="1" s="1"/>
  <c r="AB99" i="1" s="1"/>
  <c r="AC99" i="1" s="1"/>
  <c r="Z97" i="1"/>
  <c r="AA97" i="1" s="1"/>
  <c r="AB97" i="1" s="1"/>
  <c r="AC97" i="1" s="1"/>
  <c r="Z95" i="1"/>
  <c r="AA95" i="1" s="1"/>
  <c r="AB95" i="1" s="1"/>
  <c r="AC95" i="1" s="1"/>
  <c r="Z93" i="1"/>
  <c r="AA93" i="1" s="1"/>
  <c r="AB93" i="1" s="1"/>
  <c r="AC93" i="1" s="1"/>
  <c r="Z91" i="1"/>
  <c r="AA91" i="1" s="1"/>
  <c r="AB91" i="1" s="1"/>
  <c r="AC91" i="1" s="1"/>
  <c r="Z89" i="1"/>
  <c r="AA89" i="1" s="1"/>
  <c r="AB89" i="1" s="1"/>
  <c r="AC89" i="1" s="1"/>
  <c r="Z87" i="1"/>
  <c r="AA87" i="1" s="1"/>
  <c r="AB87" i="1" s="1"/>
  <c r="AC87" i="1" s="1"/>
  <c r="Z85" i="1"/>
  <c r="AA85" i="1" s="1"/>
  <c r="AB85" i="1" s="1"/>
  <c r="AC85" i="1" s="1"/>
  <c r="Z81" i="1"/>
  <c r="AA81" i="1" s="1"/>
  <c r="AB81" i="1" s="1"/>
  <c r="AC81" i="1" s="1"/>
  <c r="Z75" i="1"/>
  <c r="AA75" i="1" s="1"/>
  <c r="AB75" i="1" s="1"/>
  <c r="AC75" i="1" s="1"/>
  <c r="Z73" i="1"/>
  <c r="AA73" i="1" s="1"/>
  <c r="AB73" i="1" s="1"/>
  <c r="AC73" i="1" s="1"/>
  <c r="Z71" i="1"/>
  <c r="AA71" i="1" s="1"/>
  <c r="AB71" i="1" s="1"/>
  <c r="AC71" i="1" s="1"/>
  <c r="Z69" i="1"/>
  <c r="AA69" i="1" s="1"/>
  <c r="AB69" i="1" s="1"/>
  <c r="AC69" i="1" s="1"/>
  <c r="Z67" i="1"/>
  <c r="AA67" i="1" s="1"/>
  <c r="AB67" i="1" s="1"/>
  <c r="AC67" i="1" s="1"/>
  <c r="Z65" i="1"/>
  <c r="AA65" i="1" s="1"/>
  <c r="AB65" i="1" s="1"/>
  <c r="AC65" i="1" s="1"/>
  <c r="Z63" i="1"/>
  <c r="AA63" i="1" s="1"/>
  <c r="AB63" i="1" s="1"/>
  <c r="AC63" i="1" s="1"/>
  <c r="Z61" i="1"/>
  <c r="AA61" i="1" s="1"/>
  <c r="AB61" i="1" s="1"/>
  <c r="AC61" i="1" s="1"/>
  <c r="Z59" i="1"/>
  <c r="AA59" i="1" s="1"/>
  <c r="AB59" i="1" s="1"/>
  <c r="AC59" i="1" s="1"/>
  <c r="Z57" i="1"/>
  <c r="AA57" i="1" s="1"/>
  <c r="AB57" i="1" s="1"/>
  <c r="AC57" i="1" s="1"/>
  <c r="Z55" i="1"/>
  <c r="AA55" i="1" s="1"/>
  <c r="AB55" i="1" s="1"/>
  <c r="AC55" i="1" s="1"/>
  <c r="Z100" i="1"/>
  <c r="AA100" i="1" s="1"/>
  <c r="AB100" i="1" s="1"/>
  <c r="AC100" i="1" s="1"/>
  <c r="Z98" i="1"/>
  <c r="AA98" i="1" s="1"/>
  <c r="AB98" i="1" s="1"/>
  <c r="AC98" i="1" s="1"/>
  <c r="Z96" i="1"/>
  <c r="AA96" i="1" s="1"/>
  <c r="AB96" i="1" s="1"/>
  <c r="AC96" i="1" s="1"/>
  <c r="Z94" i="1"/>
  <c r="AA94" i="1" s="1"/>
  <c r="AB94" i="1" s="1"/>
  <c r="AC94" i="1" s="1"/>
  <c r="Z92" i="1"/>
  <c r="AA92" i="1" s="1"/>
  <c r="AB92" i="1" s="1"/>
  <c r="AC92" i="1" s="1"/>
  <c r="Z90" i="1"/>
  <c r="AA90" i="1" s="1"/>
  <c r="AB90" i="1" s="1"/>
  <c r="AC90" i="1" s="1"/>
  <c r="Z88" i="1"/>
  <c r="AA88" i="1" s="1"/>
  <c r="AB88" i="1" s="1"/>
  <c r="AC88" i="1" s="1"/>
  <c r="Z86" i="1"/>
  <c r="AA86" i="1" s="1"/>
  <c r="AB86" i="1" s="1"/>
  <c r="AC86" i="1" s="1"/>
  <c r="Z84" i="1"/>
  <c r="AA84" i="1" s="1"/>
  <c r="AB84" i="1" s="1"/>
  <c r="AC84" i="1" s="1"/>
  <c r="Z82" i="1"/>
  <c r="AA82" i="1" s="1"/>
  <c r="AB82" i="1" s="1"/>
  <c r="AC82" i="1" s="1"/>
  <c r="Z80" i="1"/>
  <c r="AA80" i="1" s="1"/>
  <c r="AB80" i="1" s="1"/>
  <c r="AC80" i="1" s="1"/>
  <c r="Z76" i="1"/>
  <c r="AA76" i="1" s="1"/>
  <c r="AB76" i="1" s="1"/>
  <c r="AC76" i="1" s="1"/>
  <c r="Z74" i="1"/>
  <c r="AA74" i="1" s="1"/>
  <c r="AB74" i="1" s="1"/>
  <c r="AC74" i="1" s="1"/>
  <c r="Z72" i="1"/>
  <c r="AA72" i="1" s="1"/>
  <c r="AB72" i="1" s="1"/>
  <c r="AC72" i="1" s="1"/>
  <c r="Z70" i="1"/>
  <c r="AA70" i="1" s="1"/>
  <c r="AB70" i="1" s="1"/>
  <c r="AC70" i="1" s="1"/>
  <c r="Z68" i="1"/>
  <c r="AA68" i="1" s="1"/>
  <c r="AB68" i="1" s="1"/>
  <c r="AC68" i="1" s="1"/>
  <c r="Z66" i="1"/>
  <c r="AA66" i="1" s="1"/>
  <c r="AB66" i="1" s="1"/>
  <c r="AC66" i="1" s="1"/>
  <c r="Z64" i="1"/>
  <c r="AA64" i="1" s="1"/>
  <c r="AB64" i="1" s="1"/>
  <c r="AC64" i="1" s="1"/>
  <c r="Z62" i="1"/>
  <c r="AA62" i="1" s="1"/>
  <c r="AB62" i="1" s="1"/>
  <c r="AC62" i="1" s="1"/>
  <c r="Z60" i="1"/>
  <c r="AA60" i="1" s="1"/>
  <c r="AB60" i="1" s="1"/>
  <c r="AC60" i="1" s="1"/>
  <c r="Z58" i="1"/>
  <c r="AA58" i="1" s="1"/>
  <c r="AB58" i="1" s="1"/>
  <c r="AC58" i="1" s="1"/>
  <c r="Z56" i="1"/>
  <c r="AA56" i="1" s="1"/>
  <c r="AB56" i="1" s="1"/>
  <c r="AC56" i="1" s="1"/>
  <c r="Z54" i="1"/>
  <c r="AA54" i="1" s="1"/>
  <c r="AB54" i="1" s="1"/>
  <c r="AC54" i="1" s="1"/>
  <c r="Z52" i="1"/>
  <c r="AA52" i="1" s="1"/>
  <c r="AB52" i="1" s="1"/>
  <c r="AC52" i="1" s="1"/>
  <c r="Z12" i="1"/>
  <c r="AA12" i="1" s="1"/>
  <c r="AB12" i="1" s="1"/>
  <c r="AC12" i="1" s="1"/>
  <c r="U12" i="1"/>
  <c r="H8" i="9" a="1"/>
  <c r="H8" i="9" s="1"/>
  <c r="H9" i="9" s="1"/>
  <c r="H10" i="9" s="1"/>
  <c r="H5" i="9" a="1"/>
  <c r="H5" i="9" s="1"/>
  <c r="H6" i="9" s="1"/>
  <c r="H7" i="9" s="1"/>
  <c r="C8" i="9" a="1"/>
  <c r="C8" i="9" s="1"/>
  <c r="C9" i="9" s="1"/>
  <c r="C10" i="9" s="1"/>
  <c r="GV112" i="6"/>
  <c r="GR112" i="6"/>
  <c r="GN112" i="6"/>
  <c r="GJ112" i="6"/>
  <c r="GF112" i="6"/>
  <c r="GB112" i="6"/>
  <c r="FX112" i="6"/>
  <c r="FT112" i="6"/>
  <c r="FP112" i="6"/>
  <c r="FL112" i="6"/>
  <c r="FH112" i="6"/>
  <c r="FD112" i="6"/>
  <c r="EZ112" i="6"/>
  <c r="EV112" i="6"/>
  <c r="ER112" i="6"/>
  <c r="EP2" i="6"/>
  <c r="EP109" i="6"/>
  <c r="EP111" i="6"/>
  <c r="ER2" i="6"/>
  <c r="ER109" i="6"/>
  <c r="ER111" i="6"/>
  <c r="ET2" i="6"/>
  <c r="ET109" i="6"/>
  <c r="ET111" i="6"/>
  <c r="EV2" i="6"/>
  <c r="EV109" i="6"/>
  <c r="EV111" i="6"/>
  <c r="EX2" i="6"/>
  <c r="EX109" i="6"/>
  <c r="EX111" i="6"/>
  <c r="EZ2" i="6"/>
  <c r="EZ109" i="6"/>
  <c r="EZ111" i="6"/>
  <c r="FB2" i="6"/>
  <c r="FB109" i="6"/>
  <c r="FB111" i="6"/>
  <c r="FD2" i="6"/>
  <c r="FD109" i="6"/>
  <c r="FD111" i="6"/>
  <c r="FF2" i="6"/>
  <c r="FF109" i="6"/>
  <c r="FF111" i="6"/>
  <c r="FH2" i="6"/>
  <c r="FH109" i="6"/>
  <c r="FH111" i="6"/>
  <c r="FJ2" i="6"/>
  <c r="FJ109" i="6"/>
  <c r="FJ111" i="6"/>
  <c r="FL2" i="6"/>
  <c r="FL109" i="6"/>
  <c r="FL111" i="6"/>
  <c r="FN2" i="6"/>
  <c r="FN109" i="6"/>
  <c r="FN111" i="6"/>
  <c r="FP2" i="6"/>
  <c r="FP109" i="6"/>
  <c r="FP111" i="6"/>
  <c r="FR2" i="6"/>
  <c r="FR109" i="6"/>
  <c r="FR111" i="6"/>
  <c r="FT2" i="6"/>
  <c r="FT109" i="6"/>
  <c r="FT111" i="6"/>
  <c r="FV2" i="6"/>
  <c r="FV109" i="6"/>
  <c r="FV111" i="6"/>
  <c r="FX2" i="6"/>
  <c r="FX109" i="6"/>
  <c r="FX111" i="6"/>
  <c r="FZ2" i="6"/>
  <c r="FZ109" i="6"/>
  <c r="FZ111" i="6"/>
  <c r="GB2" i="6"/>
  <c r="GB109" i="6"/>
  <c r="GB111" i="6"/>
  <c r="GD2" i="6"/>
  <c r="GD109" i="6"/>
  <c r="GD111" i="6"/>
  <c r="GF2" i="6"/>
  <c r="GF109" i="6"/>
  <c r="GF111" i="6"/>
  <c r="GH2" i="6"/>
  <c r="GH109" i="6"/>
  <c r="GH111" i="6"/>
  <c r="GJ2" i="6"/>
  <c r="GJ109" i="6"/>
  <c r="GJ111" i="6"/>
  <c r="GL2" i="6"/>
  <c r="GL109" i="6"/>
  <c r="GL111" i="6"/>
  <c r="GN2" i="6"/>
  <c r="GN109" i="6"/>
  <c r="GN111" i="6"/>
  <c r="GP2" i="6"/>
  <c r="GP109" i="6"/>
  <c r="GP111" i="6"/>
  <c r="GR2" i="6"/>
  <c r="GR109" i="6"/>
  <c r="GR111" i="6"/>
  <c r="GT2" i="6"/>
  <c r="GT109" i="6"/>
  <c r="GT111" i="6"/>
  <c r="GV2" i="6"/>
  <c r="GV109" i="6"/>
  <c r="GV111" i="6"/>
  <c r="EO2" i="6"/>
  <c r="EO109" i="6"/>
  <c r="EO111" i="6"/>
  <c r="EO112" i="6"/>
  <c r="EQ2" i="6"/>
  <c r="EQ109" i="6"/>
  <c r="EQ111" i="6"/>
  <c r="EQ112" i="6"/>
  <c r="ES2" i="6"/>
  <c r="ES109" i="6"/>
  <c r="ES111" i="6"/>
  <c r="ES112" i="6"/>
  <c r="EU2" i="6"/>
  <c r="EU109" i="6"/>
  <c r="EU111" i="6"/>
  <c r="EU112" i="6"/>
  <c r="EW2" i="6"/>
  <c r="EW109" i="6"/>
  <c r="EW111" i="6"/>
  <c r="EW112" i="6"/>
  <c r="EY2" i="6"/>
  <c r="EY109" i="6"/>
  <c r="EY111" i="6"/>
  <c r="EY112" i="6"/>
  <c r="FA2" i="6"/>
  <c r="FA109" i="6"/>
  <c r="FA111" i="6"/>
  <c r="FA112" i="6"/>
  <c r="FC2" i="6"/>
  <c r="FC109" i="6"/>
  <c r="FC111" i="6"/>
  <c r="FC112" i="6"/>
  <c r="FE2" i="6"/>
  <c r="FE109" i="6"/>
  <c r="FE111" i="6"/>
  <c r="FE112" i="6"/>
  <c r="FG2" i="6"/>
  <c r="FG109" i="6"/>
  <c r="FG111" i="6"/>
  <c r="FG112" i="6"/>
  <c r="FI2" i="6"/>
  <c r="FI109" i="6"/>
  <c r="FI111" i="6"/>
  <c r="FI112" i="6"/>
  <c r="FK2" i="6"/>
  <c r="FK109" i="6"/>
  <c r="FK111" i="6"/>
  <c r="FK112" i="6"/>
  <c r="FM2" i="6"/>
  <c r="FM109" i="6"/>
  <c r="FM111" i="6"/>
  <c r="FM112" i="6"/>
  <c r="FO2" i="6"/>
  <c r="FO109" i="6"/>
  <c r="FO111" i="6"/>
  <c r="FO112" i="6"/>
  <c r="FQ2" i="6"/>
  <c r="FQ109" i="6"/>
  <c r="FQ111" i="6"/>
  <c r="FQ112" i="6"/>
  <c r="FS2" i="6"/>
  <c r="FS109" i="6"/>
  <c r="FS111" i="6"/>
  <c r="FS112" i="6"/>
  <c r="FU2" i="6"/>
  <c r="FU109" i="6"/>
  <c r="FU111" i="6"/>
  <c r="FU112" i="6"/>
  <c r="FW2" i="6"/>
  <c r="FW109" i="6"/>
  <c r="FW111" i="6"/>
  <c r="FW112" i="6"/>
  <c r="FY2" i="6"/>
  <c r="FY109" i="6"/>
  <c r="FY111" i="6"/>
  <c r="FY112" i="6"/>
  <c r="GA2" i="6"/>
  <c r="GA109" i="6"/>
  <c r="GA111" i="6"/>
  <c r="GA112" i="6"/>
  <c r="GC2" i="6"/>
  <c r="GC109" i="6"/>
  <c r="GC111" i="6"/>
  <c r="GC112" i="6"/>
  <c r="GE2" i="6"/>
  <c r="GE109" i="6"/>
  <c r="GE111" i="6"/>
  <c r="GE112" i="6"/>
  <c r="GG2" i="6"/>
  <c r="GG109" i="6"/>
  <c r="GG111" i="6"/>
  <c r="GG112" i="6"/>
  <c r="GI2" i="6"/>
  <c r="GI109" i="6"/>
  <c r="GI111" i="6"/>
  <c r="GI112" i="6"/>
  <c r="GK2" i="6"/>
  <c r="GK109" i="6"/>
  <c r="GK111" i="6"/>
  <c r="GK112" i="6"/>
  <c r="GM2" i="6"/>
  <c r="GM109" i="6"/>
  <c r="GM111" i="6"/>
  <c r="GM112" i="6"/>
  <c r="GO2" i="6"/>
  <c r="GO109" i="6"/>
  <c r="GO111" i="6"/>
  <c r="GO112" i="6"/>
  <c r="GQ2" i="6"/>
  <c r="GQ109" i="6"/>
  <c r="GQ111" i="6"/>
  <c r="GQ112" i="6"/>
  <c r="GS2" i="6"/>
  <c r="GS109" i="6"/>
  <c r="GS111" i="6"/>
  <c r="GS112" i="6"/>
  <c r="GU2" i="6"/>
  <c r="GU109" i="6"/>
  <c r="GU111" i="6"/>
  <c r="GU112" i="6"/>
  <c r="GW2" i="6"/>
  <c r="GW109" i="6"/>
  <c r="GW111" i="6"/>
  <c r="GW112" i="6"/>
  <c r="GT112" i="6"/>
  <c r="GP112" i="6"/>
  <c r="GL112" i="6"/>
  <c r="GH112" i="6"/>
  <c r="GD112" i="6"/>
  <c r="FZ112" i="6"/>
  <c r="FV112" i="6"/>
  <c r="FR112" i="6"/>
  <c r="FN112" i="6"/>
  <c r="FJ112" i="6"/>
  <c r="FF112" i="6"/>
  <c r="FB112" i="6"/>
  <c r="EX112" i="6"/>
  <c r="ET112" i="6"/>
  <c r="EP112" i="6"/>
  <c r="GD107" i="6"/>
  <c r="FJ107" i="6"/>
  <c r="FB107" i="6"/>
  <c r="GO108" i="6"/>
  <c r="GK108" i="6"/>
  <c r="GG108" i="6"/>
  <c r="GC108" i="6"/>
  <c r="FY108" i="6"/>
  <c r="FU108" i="6"/>
  <c r="FQ108" i="6"/>
  <c r="FM108" i="6"/>
  <c r="FI108" i="6"/>
  <c r="FE108" i="6"/>
  <c r="FA108" i="6"/>
  <c r="EW108" i="6"/>
  <c r="ES108" i="6"/>
  <c r="GO106" i="6"/>
  <c r="GK106" i="6"/>
  <c r="GG106" i="6"/>
  <c r="GC106" i="6"/>
  <c r="FY106" i="6"/>
  <c r="FU106" i="6"/>
  <c r="FQ106" i="6"/>
  <c r="FM106" i="6"/>
  <c r="FI106" i="6"/>
  <c r="FE106" i="6"/>
  <c r="FA106" i="6"/>
  <c r="EW106" i="6"/>
  <c r="ES106" i="6"/>
  <c r="GO104" i="6"/>
  <c r="GK104" i="6"/>
  <c r="GG104" i="6"/>
  <c r="GC104" i="6"/>
  <c r="FY104" i="6"/>
  <c r="FU104" i="6"/>
  <c r="FQ104" i="6"/>
  <c r="FM104" i="6"/>
  <c r="FI104" i="6"/>
  <c r="FE104" i="6"/>
  <c r="FA104" i="6"/>
  <c r="EW104" i="6"/>
  <c r="ES104" i="6"/>
  <c r="GO102" i="6"/>
  <c r="GK102" i="6"/>
  <c r="GG102" i="6"/>
  <c r="GC102" i="6"/>
  <c r="FY102" i="6"/>
  <c r="FU102" i="6"/>
  <c r="FQ102" i="6"/>
  <c r="FM102" i="6"/>
  <c r="FI102" i="6"/>
  <c r="FE102" i="6"/>
  <c r="FA102" i="6"/>
  <c r="EW102" i="6"/>
  <c r="ES102" i="6"/>
  <c r="GO100" i="6"/>
  <c r="GK100" i="6"/>
  <c r="GG100" i="6"/>
  <c r="GC100" i="6"/>
  <c r="FY100" i="6"/>
  <c r="FU100" i="6"/>
  <c r="FQ100" i="6"/>
  <c r="FM100" i="6"/>
  <c r="FI100" i="6"/>
  <c r="FE100" i="6"/>
  <c r="EW100" i="6"/>
  <c r="ES100" i="6"/>
  <c r="GH107" i="6"/>
  <c r="FF107" i="6"/>
  <c r="ET107" i="6"/>
  <c r="GL107" i="6"/>
  <c r="FR107" i="6"/>
  <c r="FN107" i="6"/>
  <c r="EX107" i="6"/>
  <c r="GP107" i="6"/>
  <c r="GW108" i="6"/>
  <c r="GW106" i="6"/>
  <c r="GW104" i="6"/>
  <c r="GS104" i="6"/>
  <c r="GW102" i="6"/>
  <c r="GW100" i="6"/>
  <c r="F8" i="9" a="1"/>
  <c r="F8" i="9" s="1"/>
  <c r="F9" i="9" s="1"/>
  <c r="F10" i="9" s="1"/>
  <c r="E8" i="9" a="1"/>
  <c r="E8" i="9" s="1"/>
  <c r="E9" i="9" s="1"/>
  <c r="E10" i="9" s="1"/>
  <c r="FZ107" i="6"/>
  <c r="D8" i="9" a="1"/>
  <c r="D8" i="9" s="1"/>
  <c r="D9" i="9" s="1"/>
  <c r="D10" i="9" s="1"/>
  <c r="Q8" i="9" a="1"/>
  <c r="Q8" i="9" s="1"/>
  <c r="P8" i="9" a="1"/>
  <c r="P8" i="9" s="1"/>
  <c r="P9" i="9" s="1"/>
  <c r="P10" i="9" s="1"/>
  <c r="N8" i="9" a="1"/>
  <c r="N8" i="9" s="1"/>
  <c r="N9" i="9" s="1"/>
  <c r="N10" i="9" s="1"/>
  <c r="N5" i="9" a="1"/>
  <c r="N5" i="9" s="1"/>
  <c r="N6" i="9" s="1"/>
  <c r="N7" i="9" s="1"/>
  <c r="J5" i="9" a="1"/>
  <c r="J5" i="9" s="1"/>
  <c r="J6" i="9" s="1"/>
  <c r="J7" i="9" s="1"/>
  <c r="J8" i="9" a="1"/>
  <c r="J8" i="9" s="1"/>
  <c r="J9" i="9" s="1"/>
  <c r="J10" i="9" s="1"/>
  <c r="D5" i="9" a="1"/>
  <c r="D5" i="9" s="1"/>
  <c r="D6" i="9" s="1"/>
  <c r="D7" i="9" s="1"/>
  <c r="E5" i="9" a="1"/>
  <c r="E5" i="9" s="1"/>
  <c r="E6" i="9" s="1"/>
  <c r="E7" i="9" s="1"/>
  <c r="F5" i="9" a="1"/>
  <c r="F5" i="9" s="1"/>
  <c r="F6" i="9" s="1"/>
  <c r="F7" i="9" s="1"/>
  <c r="C5" i="9" a="1"/>
  <c r="C5" i="9" s="1"/>
  <c r="C6" i="9" s="1"/>
  <c r="C7" i="9" s="1"/>
  <c r="GT107" i="6"/>
  <c r="GS108" i="6"/>
  <c r="GS106" i="6"/>
  <c r="GS102" i="6"/>
  <c r="GS100" i="6"/>
  <c r="FV107" i="6"/>
  <c r="FA100" i="6"/>
  <c r="EP107" i="6"/>
  <c r="EO3" i="6"/>
  <c r="GT105" i="6"/>
  <c r="GP105" i="6"/>
  <c r="GL105" i="6"/>
  <c r="GH105" i="6"/>
  <c r="GD105" i="6"/>
  <c r="FZ105" i="6"/>
  <c r="FV105" i="6"/>
  <c r="FR105" i="6"/>
  <c r="FN105" i="6"/>
  <c r="FJ105" i="6"/>
  <c r="FF105" i="6"/>
  <c r="FB105" i="6"/>
  <c r="EX105" i="6"/>
  <c r="ET105" i="6"/>
  <c r="EP105" i="6"/>
  <c r="GT103" i="6"/>
  <c r="GP103" i="6"/>
  <c r="GL103" i="6"/>
  <c r="GH103" i="6"/>
  <c r="GD103" i="6"/>
  <c r="FZ103" i="6"/>
  <c r="FV103" i="6"/>
  <c r="FR103" i="6"/>
  <c r="FN103" i="6"/>
  <c r="FJ103" i="6"/>
  <c r="FF103" i="6"/>
  <c r="FB103" i="6"/>
  <c r="EX103" i="6"/>
  <c r="ET103" i="6"/>
  <c r="GT101" i="6"/>
  <c r="GP101" i="6"/>
  <c r="GL101" i="6"/>
  <c r="GH101" i="6"/>
  <c r="GD101" i="6"/>
  <c r="FZ101" i="6"/>
  <c r="FV101" i="6"/>
  <c r="FR101" i="6"/>
  <c r="FN101" i="6"/>
  <c r="FJ101" i="6"/>
  <c r="FF101" i="6"/>
  <c r="FB101" i="6"/>
  <c r="EX101" i="6"/>
  <c r="ET101" i="6"/>
  <c r="GT99" i="6"/>
  <c r="GP99" i="6"/>
  <c r="GL99" i="6"/>
  <c r="GH99" i="6"/>
  <c r="GD99" i="6"/>
  <c r="FZ99" i="6"/>
  <c r="FV99" i="6"/>
  <c r="FR99" i="6"/>
  <c r="FN99" i="6"/>
  <c r="FJ99" i="6"/>
  <c r="FF99" i="6"/>
  <c r="FB99" i="6"/>
  <c r="EX99" i="6"/>
  <c r="ET99" i="6"/>
  <c r="GT97" i="6"/>
  <c r="GP97" i="6"/>
  <c r="GL97" i="6"/>
  <c r="GH97" i="6"/>
  <c r="GD97" i="6"/>
  <c r="FZ97" i="6"/>
  <c r="FV97" i="6"/>
  <c r="FR97" i="6"/>
  <c r="FN97" i="6"/>
  <c r="FJ97" i="6"/>
  <c r="FF97" i="6"/>
  <c r="FB97" i="6"/>
  <c r="EX97" i="6"/>
  <c r="ET97" i="6"/>
  <c r="GT95" i="6"/>
  <c r="GP95" i="6"/>
  <c r="GL95" i="6"/>
  <c r="GH95" i="6"/>
  <c r="GD95" i="6"/>
  <c r="FZ95" i="6"/>
  <c r="FV95" i="6"/>
  <c r="FR95" i="6"/>
  <c r="FN95" i="6"/>
  <c r="FJ95" i="6"/>
  <c r="FF95" i="6"/>
  <c r="FB95" i="6"/>
  <c r="EX95" i="6"/>
  <c r="ET95" i="6"/>
  <c r="GT93" i="6"/>
  <c r="GP93" i="6"/>
  <c r="GL93" i="6"/>
  <c r="GH93" i="6"/>
  <c r="GD93" i="6"/>
  <c r="FZ93" i="6"/>
  <c r="FV93" i="6"/>
  <c r="FR93" i="6"/>
  <c r="FN93" i="6"/>
  <c r="FJ93" i="6"/>
  <c r="FF93" i="6"/>
  <c r="FB93" i="6"/>
  <c r="EX93" i="6"/>
  <c r="ET93" i="6"/>
  <c r="GT91" i="6"/>
  <c r="GP91" i="6"/>
  <c r="GL91" i="6"/>
  <c r="GH91" i="6"/>
  <c r="GD91" i="6"/>
  <c r="FZ91" i="6"/>
  <c r="FV91" i="6"/>
  <c r="FR91" i="6"/>
  <c r="FN91" i="6"/>
  <c r="FJ91" i="6"/>
  <c r="FF91" i="6"/>
  <c r="FB91" i="6"/>
  <c r="EX91" i="6"/>
  <c r="ET91" i="6"/>
  <c r="GT89" i="6"/>
  <c r="GP89" i="6"/>
  <c r="GL89" i="6"/>
  <c r="GH89" i="6"/>
  <c r="GD89" i="6"/>
  <c r="FZ89" i="6"/>
  <c r="FV89" i="6"/>
  <c r="FR89" i="6"/>
  <c r="FN89" i="6"/>
  <c r="FJ89" i="6"/>
  <c r="FF89" i="6"/>
  <c r="FB89" i="6"/>
  <c r="EX89" i="6"/>
  <c r="ET89" i="6"/>
  <c r="GT87" i="6"/>
  <c r="GP87" i="6"/>
  <c r="GL87" i="6"/>
  <c r="GH87" i="6"/>
  <c r="GD87" i="6"/>
  <c r="FZ87" i="6"/>
  <c r="FV87" i="6"/>
  <c r="FR87" i="6"/>
  <c r="FN87" i="6"/>
  <c r="FJ87" i="6"/>
  <c r="FF87" i="6"/>
  <c r="FB87" i="6"/>
  <c r="EX87" i="6"/>
  <c r="ET87" i="6"/>
  <c r="GT85" i="6"/>
  <c r="GP85" i="6"/>
  <c r="GL85" i="6"/>
  <c r="GH85" i="6"/>
  <c r="GD85" i="6"/>
  <c r="FZ85" i="6"/>
  <c r="FV85" i="6"/>
  <c r="FR85" i="6"/>
  <c r="FN85" i="6"/>
  <c r="FJ85" i="6"/>
  <c r="FF85" i="6"/>
  <c r="FB85" i="6"/>
  <c r="EX85" i="6"/>
  <c r="ET85" i="6"/>
  <c r="EO107" i="6"/>
  <c r="EO103" i="6"/>
  <c r="EO99" i="6"/>
  <c r="EO95" i="6"/>
  <c r="EO91" i="6"/>
  <c r="EO87" i="6"/>
  <c r="EO83" i="6"/>
  <c r="EO78" i="6"/>
  <c r="EO74" i="6"/>
  <c r="EO70" i="6"/>
  <c r="EO66" i="6"/>
  <c r="EO60" i="6"/>
  <c r="EO56" i="6"/>
  <c r="EO52" i="6"/>
  <c r="EO48" i="6"/>
  <c r="EO44" i="6"/>
  <c r="EO40" i="6"/>
  <c r="EO36" i="6"/>
  <c r="EO32" i="6"/>
  <c r="EO28" i="6"/>
  <c r="EO24" i="6"/>
  <c r="EO20" i="6"/>
  <c r="EO16" i="6"/>
  <c r="EO12" i="6"/>
  <c r="EO8" i="6"/>
  <c r="EO4" i="6"/>
  <c r="GW98" i="6"/>
  <c r="GS98" i="6"/>
  <c r="GO98" i="6"/>
  <c r="GK98" i="6"/>
  <c r="GG98" i="6"/>
  <c r="GC98" i="6"/>
  <c r="FY98" i="6"/>
  <c r="FU98" i="6"/>
  <c r="FQ98" i="6"/>
  <c r="FM98" i="6"/>
  <c r="FI98" i="6"/>
  <c r="FE98" i="6"/>
  <c r="FA98" i="6"/>
  <c r="EW98" i="6"/>
  <c r="ES98" i="6"/>
  <c r="GW96" i="6"/>
  <c r="GS96" i="6"/>
  <c r="GO96" i="6"/>
  <c r="GK96" i="6"/>
  <c r="GG96" i="6"/>
  <c r="GC96" i="6"/>
  <c r="FY96" i="6"/>
  <c r="FU96" i="6"/>
  <c r="FQ96" i="6"/>
  <c r="FM96" i="6"/>
  <c r="FI96" i="6"/>
  <c r="FE96" i="6"/>
  <c r="FA96" i="6"/>
  <c r="EW96" i="6"/>
  <c r="ES96" i="6"/>
  <c r="GW94" i="6"/>
  <c r="GS94" i="6"/>
  <c r="GO94" i="6"/>
  <c r="GK94" i="6"/>
  <c r="GG94" i="6"/>
  <c r="GC94" i="6"/>
  <c r="FY94" i="6"/>
  <c r="FU94" i="6"/>
  <c r="FQ94" i="6"/>
  <c r="FM94" i="6"/>
  <c r="FI94" i="6"/>
  <c r="FE94" i="6"/>
  <c r="FA94" i="6"/>
  <c r="EW94" i="6"/>
  <c r="ES94" i="6"/>
  <c r="GW92" i="6"/>
  <c r="GS92" i="6"/>
  <c r="GO92" i="6"/>
  <c r="GK92" i="6"/>
  <c r="GG92" i="6"/>
  <c r="GC92" i="6"/>
  <c r="FY92" i="6"/>
  <c r="FU92" i="6"/>
  <c r="FQ92" i="6"/>
  <c r="FM92" i="6"/>
  <c r="FI92" i="6"/>
  <c r="FE92" i="6"/>
  <c r="FA92" i="6"/>
  <c r="EW92" i="6"/>
  <c r="ES92" i="6"/>
  <c r="GW90" i="6"/>
  <c r="GS90" i="6"/>
  <c r="GO90" i="6"/>
  <c r="GK90" i="6"/>
  <c r="GG90" i="6"/>
  <c r="GC90" i="6"/>
  <c r="FY90" i="6"/>
  <c r="FU90" i="6"/>
  <c r="FQ90" i="6"/>
  <c r="FM90" i="6"/>
  <c r="FI90" i="6"/>
  <c r="FE90" i="6"/>
  <c r="FA90" i="6"/>
  <c r="EW90" i="6"/>
  <c r="ES90" i="6"/>
  <c r="GW88" i="6"/>
  <c r="GS88" i="6"/>
  <c r="GO88" i="6"/>
  <c r="GK88" i="6"/>
  <c r="GG88" i="6"/>
  <c r="GC88" i="6"/>
  <c r="FY88" i="6"/>
  <c r="FU88" i="6"/>
  <c r="FQ88" i="6"/>
  <c r="FM88" i="6"/>
  <c r="FI88" i="6"/>
  <c r="FE88" i="6"/>
  <c r="FA88" i="6"/>
  <c r="EW88" i="6"/>
  <c r="ES88" i="6"/>
  <c r="GW86" i="6"/>
  <c r="GS86" i="6"/>
  <c r="GO86" i="6"/>
  <c r="GK86" i="6"/>
  <c r="GG86" i="6"/>
  <c r="GC86" i="6"/>
  <c r="FY86" i="6"/>
  <c r="FU86" i="6"/>
  <c r="FQ86" i="6"/>
  <c r="FM86" i="6"/>
  <c r="FI86" i="6"/>
  <c r="FE86" i="6"/>
  <c r="FA86" i="6"/>
  <c r="EW86" i="6"/>
  <c r="ES86" i="6"/>
  <c r="GW84" i="6"/>
  <c r="GS84" i="6"/>
  <c r="GO84" i="6"/>
  <c r="GK84" i="6"/>
  <c r="GG84" i="6"/>
  <c r="GC84" i="6"/>
  <c r="FY84" i="6"/>
  <c r="FU84" i="6"/>
  <c r="FQ84" i="6"/>
  <c r="FM84" i="6"/>
  <c r="FI84" i="6"/>
  <c r="FE84" i="6"/>
  <c r="FA84" i="6"/>
  <c r="EW84" i="6"/>
  <c r="ES84" i="6"/>
  <c r="GW82" i="6"/>
  <c r="GS82" i="6"/>
  <c r="GO82" i="6"/>
  <c r="GK82" i="6"/>
  <c r="GG82" i="6"/>
  <c r="GC82" i="6"/>
  <c r="FY82" i="6"/>
  <c r="FU82" i="6"/>
  <c r="FQ82" i="6"/>
  <c r="FM82" i="6"/>
  <c r="FI82" i="6"/>
  <c r="FE82" i="6"/>
  <c r="FA82" i="6"/>
  <c r="EW82" i="6"/>
  <c r="ES82" i="6"/>
  <c r="GW79" i="6"/>
  <c r="GS79" i="6"/>
  <c r="GO79" i="6"/>
  <c r="GK79" i="6"/>
  <c r="GG79" i="6"/>
  <c r="GC79" i="6"/>
  <c r="FY79" i="6"/>
  <c r="FU79" i="6"/>
  <c r="FQ79" i="6"/>
  <c r="FM79" i="6"/>
  <c r="FI79" i="6"/>
  <c r="FE79" i="6"/>
  <c r="FA79" i="6"/>
  <c r="EW79" i="6"/>
  <c r="ES79" i="6"/>
  <c r="GW77" i="6"/>
  <c r="GS77" i="6"/>
  <c r="GO77" i="6"/>
  <c r="GK77" i="6"/>
  <c r="GG77" i="6"/>
  <c r="GC77" i="6"/>
  <c r="FY77" i="6"/>
  <c r="FU77" i="6"/>
  <c r="FQ77" i="6"/>
  <c r="FM77" i="6"/>
  <c r="FI77" i="6"/>
  <c r="FE77" i="6"/>
  <c r="FA77" i="6"/>
  <c r="EW77" i="6"/>
  <c r="ES77" i="6"/>
  <c r="GU107" i="6"/>
  <c r="GE107" i="6"/>
  <c r="FK107" i="6"/>
  <c r="EY107" i="6"/>
  <c r="GI105" i="6"/>
  <c r="FO105" i="6"/>
  <c r="GI103" i="6"/>
  <c r="FS103" i="6"/>
  <c r="FK103" i="6"/>
  <c r="EO106" i="6"/>
  <c r="EO94" i="6"/>
  <c r="EO86" i="6"/>
  <c r="EO77" i="6"/>
  <c r="EO59" i="6"/>
  <c r="EO43" i="6"/>
  <c r="EO31" i="6"/>
  <c r="EO23" i="6"/>
  <c r="EO11" i="6"/>
  <c r="GV108" i="6"/>
  <c r="GJ108" i="6"/>
  <c r="FT108" i="6"/>
  <c r="GR106" i="6"/>
  <c r="GF106" i="6"/>
  <c r="FP106" i="6"/>
  <c r="GV104" i="6"/>
  <c r="GJ104" i="6"/>
  <c r="FT104" i="6"/>
  <c r="FH104" i="6"/>
  <c r="EV104" i="6"/>
  <c r="GR102" i="6"/>
  <c r="GF102" i="6"/>
  <c r="FT102" i="6"/>
  <c r="FH102" i="6"/>
  <c r="GV100" i="6"/>
  <c r="GN100" i="6"/>
  <c r="GJ100" i="6"/>
  <c r="GB100" i="6"/>
  <c r="FT100" i="6"/>
  <c r="FL100" i="6"/>
  <c r="FD100" i="6"/>
  <c r="EV100" i="6"/>
  <c r="ER100" i="6"/>
  <c r="GV98" i="6"/>
  <c r="GN98" i="6"/>
  <c r="GF98" i="6"/>
  <c r="FX98" i="6"/>
  <c r="FP98" i="6"/>
  <c r="FH98" i="6"/>
  <c r="EZ98" i="6"/>
  <c r="GR96" i="6"/>
  <c r="GJ96" i="6"/>
  <c r="GB96" i="6"/>
  <c r="FT96" i="6"/>
  <c r="FL96" i="6"/>
  <c r="FD96" i="6"/>
  <c r="GV94" i="6"/>
  <c r="GN94" i="6"/>
  <c r="GJ94" i="6"/>
  <c r="GB94" i="6"/>
  <c r="FT94" i="6"/>
  <c r="FL94" i="6"/>
  <c r="FD94" i="6"/>
  <c r="GR92" i="6"/>
  <c r="GJ92" i="6"/>
  <c r="GB92" i="6"/>
  <c r="FT92" i="6"/>
  <c r="FL92" i="6"/>
  <c r="FD92" i="6"/>
  <c r="GR90" i="6"/>
  <c r="GJ90" i="6"/>
  <c r="GB90" i="6"/>
  <c r="FT90" i="6"/>
  <c r="FL90" i="6"/>
  <c r="FD90" i="6"/>
  <c r="EV90" i="6"/>
  <c r="GV88" i="6"/>
  <c r="GN88" i="6"/>
  <c r="GF88" i="6"/>
  <c r="FX88" i="6"/>
  <c r="FP88" i="6"/>
  <c r="FL88" i="6"/>
  <c r="FD88" i="6"/>
  <c r="EZ88" i="6"/>
  <c r="ER88" i="6"/>
  <c r="GV86" i="6"/>
  <c r="GR86" i="6"/>
  <c r="GN86" i="6"/>
  <c r="GJ86" i="6"/>
  <c r="GF86" i="6"/>
  <c r="GB86" i="6"/>
  <c r="FX86" i="6"/>
  <c r="FT86" i="6"/>
  <c r="FP86" i="6"/>
  <c r="FL86" i="6"/>
  <c r="FH86" i="6"/>
  <c r="FD86" i="6"/>
  <c r="EZ86" i="6"/>
  <c r="EV86" i="6"/>
  <c r="ER86" i="6"/>
  <c r="GV84" i="6"/>
  <c r="GR84" i="6"/>
  <c r="GN84" i="6"/>
  <c r="GJ84" i="6"/>
  <c r="GF84" i="6"/>
  <c r="GB84" i="6"/>
  <c r="FX84" i="6"/>
  <c r="FT84" i="6"/>
  <c r="FP84" i="6"/>
  <c r="FL84" i="6"/>
  <c r="FH84" i="6"/>
  <c r="FD84" i="6"/>
  <c r="EZ84" i="6"/>
  <c r="EV84" i="6"/>
  <c r="ER84" i="6"/>
  <c r="GT83" i="6"/>
  <c r="GP83" i="6"/>
  <c r="GL83" i="6"/>
  <c r="GH83" i="6"/>
  <c r="GD83" i="6"/>
  <c r="FZ83" i="6"/>
  <c r="FV83" i="6"/>
  <c r="FR83" i="6"/>
  <c r="FN83" i="6"/>
  <c r="FJ83" i="6"/>
  <c r="FF83" i="6"/>
  <c r="FB83" i="6"/>
  <c r="EX83" i="6"/>
  <c r="ET83" i="6"/>
  <c r="GV82" i="6"/>
  <c r="GR82" i="6"/>
  <c r="GN82" i="6"/>
  <c r="GJ82" i="6"/>
  <c r="GF82" i="6"/>
  <c r="GB82" i="6"/>
  <c r="FX82" i="6"/>
  <c r="FT82" i="6"/>
  <c r="FP82" i="6"/>
  <c r="FL82" i="6"/>
  <c r="FH82" i="6"/>
  <c r="FD82" i="6"/>
  <c r="EZ82" i="6"/>
  <c r="EV82" i="6"/>
  <c r="ER82" i="6"/>
  <c r="GT81" i="6"/>
  <c r="GP81" i="6"/>
  <c r="GL81" i="6"/>
  <c r="GH81" i="6"/>
  <c r="GD81" i="6"/>
  <c r="FZ81" i="6"/>
  <c r="FV81" i="6"/>
  <c r="FR81" i="6"/>
  <c r="FN81" i="6"/>
  <c r="FJ81" i="6"/>
  <c r="FF81" i="6"/>
  <c r="FB81" i="6"/>
  <c r="EX81" i="6"/>
  <c r="ET81" i="6"/>
  <c r="GV79" i="6"/>
  <c r="GR79" i="6"/>
  <c r="GN79" i="6"/>
  <c r="GJ79" i="6"/>
  <c r="GF79" i="6"/>
  <c r="GB79" i="6"/>
  <c r="FX79" i="6"/>
  <c r="FT79" i="6"/>
  <c r="FP79" i="6"/>
  <c r="FL79" i="6"/>
  <c r="FH79" i="6"/>
  <c r="FD79" i="6"/>
  <c r="EZ79" i="6"/>
  <c r="EV79" i="6"/>
  <c r="ER79" i="6"/>
  <c r="GT78" i="6"/>
  <c r="GP78" i="6"/>
  <c r="GL78" i="6"/>
  <c r="GH78" i="6"/>
  <c r="GD78" i="6"/>
  <c r="FZ78" i="6"/>
  <c r="FV78" i="6"/>
  <c r="FR78" i="6"/>
  <c r="FN78" i="6"/>
  <c r="FJ78" i="6"/>
  <c r="FF78" i="6"/>
  <c r="FB78" i="6"/>
  <c r="EX78" i="6"/>
  <c r="ET78" i="6"/>
  <c r="GV77" i="6"/>
  <c r="GR77" i="6"/>
  <c r="GN77" i="6"/>
  <c r="GJ77" i="6"/>
  <c r="GF77" i="6"/>
  <c r="GB77" i="6"/>
  <c r="FX77" i="6"/>
  <c r="FT77" i="6"/>
  <c r="FP77" i="6"/>
  <c r="FL77" i="6"/>
  <c r="FH77" i="6"/>
  <c r="FD77" i="6"/>
  <c r="EZ77" i="6"/>
  <c r="EV77" i="6"/>
  <c r="ER77" i="6"/>
  <c r="GT76" i="6"/>
  <c r="GP76" i="6"/>
  <c r="GL76" i="6"/>
  <c r="GH76" i="6"/>
  <c r="GD76" i="6"/>
  <c r="FZ76" i="6"/>
  <c r="FV76" i="6"/>
  <c r="FR76" i="6"/>
  <c r="FN76" i="6"/>
  <c r="FJ76" i="6"/>
  <c r="FF76" i="6"/>
  <c r="FB76" i="6"/>
  <c r="EX76" i="6"/>
  <c r="ET76" i="6"/>
  <c r="GV75" i="6"/>
  <c r="GR75" i="6"/>
  <c r="GN75" i="6"/>
  <c r="GJ75" i="6"/>
  <c r="GF75" i="6"/>
  <c r="GB75" i="6"/>
  <c r="FX75" i="6"/>
  <c r="FT75" i="6"/>
  <c r="FP75" i="6"/>
  <c r="FL75" i="6"/>
  <c r="FH75" i="6"/>
  <c r="FD75" i="6"/>
  <c r="EZ75" i="6"/>
  <c r="EV75" i="6"/>
  <c r="ER75" i="6"/>
  <c r="GT74" i="6"/>
  <c r="GP74" i="6"/>
  <c r="GL74" i="6"/>
  <c r="GH74" i="6"/>
  <c r="GD74" i="6"/>
  <c r="FZ74" i="6"/>
  <c r="FV74" i="6"/>
  <c r="FR74" i="6"/>
  <c r="FN74" i="6"/>
  <c r="FJ74" i="6"/>
  <c r="FF74" i="6"/>
  <c r="FB74" i="6"/>
  <c r="EX74" i="6"/>
  <c r="ET74" i="6"/>
  <c r="GV73" i="6"/>
  <c r="GR73" i="6"/>
  <c r="GN73" i="6"/>
  <c r="GJ73" i="6"/>
  <c r="GF73" i="6"/>
  <c r="GB73" i="6"/>
  <c r="FX73" i="6"/>
  <c r="FT73" i="6"/>
  <c r="FP73" i="6"/>
  <c r="FL73" i="6"/>
  <c r="FH73" i="6"/>
  <c r="FD73" i="6"/>
  <c r="EZ73" i="6"/>
  <c r="EV73" i="6"/>
  <c r="ER73" i="6"/>
  <c r="GT72" i="6"/>
  <c r="GP72" i="6"/>
  <c r="GL72" i="6"/>
  <c r="GH72" i="6"/>
  <c r="GD72" i="6"/>
  <c r="FZ72" i="6"/>
  <c r="FV72" i="6"/>
  <c r="FR72" i="6"/>
  <c r="FN72" i="6"/>
  <c r="FJ72" i="6"/>
  <c r="FF72" i="6"/>
  <c r="FB72" i="6"/>
  <c r="EX72" i="6"/>
  <c r="ET72" i="6"/>
  <c r="GV71" i="6"/>
  <c r="GR71" i="6"/>
  <c r="GN71" i="6"/>
  <c r="GJ71" i="6"/>
  <c r="GF71" i="6"/>
  <c r="GB71" i="6"/>
  <c r="FX71" i="6"/>
  <c r="FT71" i="6"/>
  <c r="FP71" i="6"/>
  <c r="FL71" i="6"/>
  <c r="FH71" i="6"/>
  <c r="FD71" i="6"/>
  <c r="EZ71" i="6"/>
  <c r="EV71" i="6"/>
  <c r="ER71" i="6"/>
  <c r="GM107" i="6"/>
  <c r="GA107" i="6"/>
  <c r="FO107" i="6"/>
  <c r="FC107" i="6"/>
  <c r="EU107" i="6"/>
  <c r="GU105" i="6"/>
  <c r="GA105" i="6"/>
  <c r="GU103" i="6"/>
  <c r="GA103" i="6"/>
  <c r="FC103" i="6"/>
  <c r="EU103" i="6"/>
  <c r="EO98" i="6"/>
  <c r="EO82" i="6"/>
  <c r="EO69" i="6"/>
  <c r="EO55" i="6"/>
  <c r="EO47" i="6"/>
  <c r="EO35" i="6"/>
  <c r="EO15" i="6"/>
  <c r="GN108" i="6"/>
  <c r="GF108" i="6"/>
  <c r="FX108" i="6"/>
  <c r="FL108" i="6"/>
  <c r="FD108" i="6"/>
  <c r="EV108" i="6"/>
  <c r="GN106" i="6"/>
  <c r="GB106" i="6"/>
  <c r="FT106" i="6"/>
  <c r="FH106" i="6"/>
  <c r="EZ106" i="6"/>
  <c r="EV106" i="6"/>
  <c r="ER106" i="6"/>
  <c r="GR104" i="6"/>
  <c r="GF104" i="6"/>
  <c r="FX104" i="6"/>
  <c r="FL104" i="6"/>
  <c r="EZ104" i="6"/>
  <c r="ER104" i="6"/>
  <c r="GV102" i="6"/>
  <c r="GJ102" i="6"/>
  <c r="GB102" i="6"/>
  <c r="FP102" i="6"/>
  <c r="FD102" i="6"/>
  <c r="EZ102" i="6"/>
  <c r="ER102" i="6"/>
  <c r="GR100" i="6"/>
  <c r="GF100" i="6"/>
  <c r="FX100" i="6"/>
  <c r="FP100" i="6"/>
  <c r="FH100" i="6"/>
  <c r="EZ100" i="6"/>
  <c r="GR98" i="6"/>
  <c r="GJ98" i="6"/>
  <c r="GB98" i="6"/>
  <c r="FT98" i="6"/>
  <c r="FL98" i="6"/>
  <c r="FD98" i="6"/>
  <c r="EV98" i="6"/>
  <c r="ER98" i="6"/>
  <c r="GV96" i="6"/>
  <c r="GN96" i="6"/>
  <c r="GF96" i="6"/>
  <c r="FX96" i="6"/>
  <c r="FP96" i="6"/>
  <c r="FH96" i="6"/>
  <c r="EZ96" i="6"/>
  <c r="EV96" i="6"/>
  <c r="ER96" i="6"/>
  <c r="GR94" i="6"/>
  <c r="GF94" i="6"/>
  <c r="FX94" i="6"/>
  <c r="FP94" i="6"/>
  <c r="FH94" i="6"/>
  <c r="EZ94" i="6"/>
  <c r="EV94" i="6"/>
  <c r="ER94" i="6"/>
  <c r="GV92" i="6"/>
  <c r="GN92" i="6"/>
  <c r="GF92" i="6"/>
  <c r="FX92" i="6"/>
  <c r="FP92" i="6"/>
  <c r="FH92" i="6"/>
  <c r="EZ92" i="6"/>
  <c r="EV92" i="6"/>
  <c r="ER92" i="6"/>
  <c r="GV90" i="6"/>
  <c r="GN90" i="6"/>
  <c r="GF90" i="6"/>
  <c r="FX90" i="6"/>
  <c r="FP90" i="6"/>
  <c r="FH90" i="6"/>
  <c r="EZ90" i="6"/>
  <c r="ER90" i="6"/>
  <c r="GR88" i="6"/>
  <c r="GJ88" i="6"/>
  <c r="GB88" i="6"/>
  <c r="FT88" i="6"/>
  <c r="FH88" i="6"/>
  <c r="EV88" i="6"/>
  <c r="GQ107" i="6"/>
  <c r="GM105" i="6"/>
  <c r="FW105" i="6"/>
  <c r="FG105" i="6"/>
  <c r="EY105" i="6"/>
  <c r="EQ105" i="6"/>
  <c r="GM103" i="6"/>
  <c r="FW103" i="6"/>
  <c r="FG103" i="6"/>
  <c r="EO102" i="6"/>
  <c r="EO90" i="6"/>
  <c r="EO73" i="6"/>
  <c r="EO65" i="6"/>
  <c r="EO51" i="6"/>
  <c r="EO39" i="6"/>
  <c r="EO27" i="6"/>
  <c r="EO19" i="6"/>
  <c r="EO7" i="6"/>
  <c r="GR108" i="6"/>
  <c r="GB108" i="6"/>
  <c r="FP108" i="6"/>
  <c r="FH108" i="6"/>
  <c r="EZ108" i="6"/>
  <c r="ER108" i="6"/>
  <c r="GV106" i="6"/>
  <c r="GJ106" i="6"/>
  <c r="FX106" i="6"/>
  <c r="FL106" i="6"/>
  <c r="FD106" i="6"/>
  <c r="GN104" i="6"/>
  <c r="GB104" i="6"/>
  <c r="FP104" i="6"/>
  <c r="FD104" i="6"/>
  <c r="GN102" i="6"/>
  <c r="FX102" i="6"/>
  <c r="FL102" i="6"/>
  <c r="EV102" i="6"/>
  <c r="EO108" i="6"/>
  <c r="EO104" i="6"/>
  <c r="EO100" i="6"/>
  <c r="EO96" i="6"/>
  <c r="EO92" i="6"/>
  <c r="EO88" i="6"/>
  <c r="EO84" i="6"/>
  <c r="EO79" i="6"/>
  <c r="EO75" i="6"/>
  <c r="EO71" i="6"/>
  <c r="EO67" i="6"/>
  <c r="EO62" i="6"/>
  <c r="EO57" i="6"/>
  <c r="EO53" i="6"/>
  <c r="EO49" i="6"/>
  <c r="EO45" i="6"/>
  <c r="EO41" i="6"/>
  <c r="EO37" i="6"/>
  <c r="EO33" i="6"/>
  <c r="EO29" i="6"/>
  <c r="EO25" i="6"/>
  <c r="EO21" i="6"/>
  <c r="EO17" i="6"/>
  <c r="EO13" i="6"/>
  <c r="EO9" i="6"/>
  <c r="EO5" i="6"/>
  <c r="GT108" i="6"/>
  <c r="GP108" i="6"/>
  <c r="GL108" i="6"/>
  <c r="GH108" i="6"/>
  <c r="GD108" i="6"/>
  <c r="FZ108" i="6"/>
  <c r="FV108" i="6"/>
  <c r="FR108" i="6"/>
  <c r="FN108" i="6"/>
  <c r="FJ108" i="6"/>
  <c r="FF108" i="6"/>
  <c r="FB108" i="6"/>
  <c r="EX108" i="6"/>
  <c r="ET108" i="6"/>
  <c r="GV107" i="6"/>
  <c r="GR107" i="6"/>
  <c r="GN107" i="6"/>
  <c r="GJ107" i="6"/>
  <c r="GF107" i="6"/>
  <c r="GB107" i="6"/>
  <c r="FX107" i="6"/>
  <c r="FT107" i="6"/>
  <c r="FP107" i="6"/>
  <c r="FL107" i="6"/>
  <c r="FH107" i="6"/>
  <c r="FD107" i="6"/>
  <c r="EZ107" i="6"/>
  <c r="EV107" i="6"/>
  <c r="ER107" i="6"/>
  <c r="GT106" i="6"/>
  <c r="GP106" i="6"/>
  <c r="GL106" i="6"/>
  <c r="GH106" i="6"/>
  <c r="GD106" i="6"/>
  <c r="FZ106" i="6"/>
  <c r="FV106" i="6"/>
  <c r="FR106" i="6"/>
  <c r="FN106" i="6"/>
  <c r="FJ106" i="6"/>
  <c r="FF106" i="6"/>
  <c r="FB106" i="6"/>
  <c r="EX106" i="6"/>
  <c r="ET106" i="6"/>
  <c r="GV105" i="6"/>
  <c r="GR105" i="6"/>
  <c r="GN105" i="6"/>
  <c r="GJ105" i="6"/>
  <c r="GF105" i="6"/>
  <c r="GB105" i="6"/>
  <c r="FX105" i="6"/>
  <c r="FT105" i="6"/>
  <c r="FP105" i="6"/>
  <c r="FL105" i="6"/>
  <c r="FH105" i="6"/>
  <c r="FD105" i="6"/>
  <c r="EZ105" i="6"/>
  <c r="EV105" i="6"/>
  <c r="ER105" i="6"/>
  <c r="GT104" i="6"/>
  <c r="GP104" i="6"/>
  <c r="GL104" i="6"/>
  <c r="GH104" i="6"/>
  <c r="GD104" i="6"/>
  <c r="FZ104" i="6"/>
  <c r="FV104" i="6"/>
  <c r="FR104" i="6"/>
  <c r="FN104" i="6"/>
  <c r="FJ104" i="6"/>
  <c r="FF104" i="6"/>
  <c r="FB104" i="6"/>
  <c r="EX104" i="6"/>
  <c r="ET104" i="6"/>
  <c r="GV103" i="6"/>
  <c r="GR103" i="6"/>
  <c r="GN103" i="6"/>
  <c r="GJ103" i="6"/>
  <c r="GF103" i="6"/>
  <c r="GB103" i="6"/>
  <c r="FX103" i="6"/>
  <c r="FT103" i="6"/>
  <c r="FP103" i="6"/>
  <c r="FL103" i="6"/>
  <c r="FH103" i="6"/>
  <c r="FD103" i="6"/>
  <c r="EZ103" i="6"/>
  <c r="EV103" i="6"/>
  <c r="GI107" i="6"/>
  <c r="FW107" i="6"/>
  <c r="FS107" i="6"/>
  <c r="FG107" i="6"/>
  <c r="EQ107" i="6"/>
  <c r="GQ105" i="6"/>
  <c r="GE105" i="6"/>
  <c r="FS105" i="6"/>
  <c r="FK105" i="6"/>
  <c r="FC105" i="6"/>
  <c r="EU105" i="6"/>
  <c r="GQ103" i="6"/>
  <c r="GE103" i="6"/>
  <c r="FO103" i="6"/>
  <c r="EY103" i="6"/>
  <c r="EQ103" i="6"/>
  <c r="GU101" i="6"/>
  <c r="GQ101" i="6"/>
  <c r="GM101" i="6"/>
  <c r="GI101" i="6"/>
  <c r="GE101" i="6"/>
  <c r="GA101" i="6"/>
  <c r="FW101" i="6"/>
  <c r="FS101" i="6"/>
  <c r="FO101" i="6"/>
  <c r="FK101" i="6"/>
  <c r="FG101" i="6"/>
  <c r="FC101" i="6"/>
  <c r="EY101" i="6"/>
  <c r="EU101" i="6"/>
  <c r="EQ101" i="6"/>
  <c r="GU99" i="6"/>
  <c r="GQ99" i="6"/>
  <c r="GM99" i="6"/>
  <c r="GI99" i="6"/>
  <c r="GE99" i="6"/>
  <c r="GA99" i="6"/>
  <c r="FW99" i="6"/>
  <c r="FS99" i="6"/>
  <c r="FO99" i="6"/>
  <c r="FK99" i="6"/>
  <c r="FG99" i="6"/>
  <c r="FC99" i="6"/>
  <c r="EY99" i="6"/>
  <c r="EU99" i="6"/>
  <c r="EQ99" i="6"/>
  <c r="GU97" i="6"/>
  <c r="GQ97" i="6"/>
  <c r="GM97" i="6"/>
  <c r="GI97" i="6"/>
  <c r="GE97" i="6"/>
  <c r="GA97" i="6"/>
  <c r="FW97" i="6"/>
  <c r="FS97" i="6"/>
  <c r="FO97" i="6"/>
  <c r="FK97" i="6"/>
  <c r="FG97" i="6"/>
  <c r="FC97" i="6"/>
  <c r="EY97" i="6"/>
  <c r="EU97" i="6"/>
  <c r="EQ97" i="6"/>
  <c r="GU95" i="6"/>
  <c r="GQ95" i="6"/>
  <c r="GM95" i="6"/>
  <c r="GI95" i="6"/>
  <c r="GE95" i="6"/>
  <c r="GA95" i="6"/>
  <c r="FW95" i="6"/>
  <c r="FS95" i="6"/>
  <c r="FO95" i="6"/>
  <c r="FK95" i="6"/>
  <c r="FG95" i="6"/>
  <c r="FC95" i="6"/>
  <c r="EY95" i="6"/>
  <c r="EU95" i="6"/>
  <c r="EQ95" i="6"/>
  <c r="GU93" i="6"/>
  <c r="GQ93" i="6"/>
  <c r="GM93" i="6"/>
  <c r="GI93" i="6"/>
  <c r="GE93" i="6"/>
  <c r="GA93" i="6"/>
  <c r="FW93" i="6"/>
  <c r="FS93" i="6"/>
  <c r="FO93" i="6"/>
  <c r="FK93" i="6"/>
  <c r="FG93" i="6"/>
  <c r="FC93" i="6"/>
  <c r="EY93" i="6"/>
  <c r="EU93" i="6"/>
  <c r="EQ93" i="6"/>
  <c r="GU91" i="6"/>
  <c r="GQ91" i="6"/>
  <c r="GM91" i="6"/>
  <c r="GI91" i="6"/>
  <c r="GE91" i="6"/>
  <c r="GA91" i="6"/>
  <c r="FW91" i="6"/>
  <c r="FS91" i="6"/>
  <c r="FO91" i="6"/>
  <c r="FK91" i="6"/>
  <c r="FG91" i="6"/>
  <c r="FC91" i="6"/>
  <c r="EY91" i="6"/>
  <c r="EU91" i="6"/>
  <c r="EQ91" i="6"/>
  <c r="GU89" i="6"/>
  <c r="GQ89" i="6"/>
  <c r="GM89" i="6"/>
  <c r="GI89" i="6"/>
  <c r="GE89" i="6"/>
  <c r="GA89" i="6"/>
  <c r="FW89" i="6"/>
  <c r="FS89" i="6"/>
  <c r="FO89" i="6"/>
  <c r="FK89" i="6"/>
  <c r="FG89" i="6"/>
  <c r="FC89" i="6"/>
  <c r="EY89" i="6"/>
  <c r="EU89" i="6"/>
  <c r="EQ89" i="6"/>
  <c r="GU87" i="6"/>
  <c r="GQ87" i="6"/>
  <c r="GM87" i="6"/>
  <c r="GI87" i="6"/>
  <c r="GE87" i="6"/>
  <c r="GA87" i="6"/>
  <c r="FW87" i="6"/>
  <c r="FS87" i="6"/>
  <c r="FO87" i="6"/>
  <c r="FK87" i="6"/>
  <c r="FG87" i="6"/>
  <c r="FC87" i="6"/>
  <c r="EY87" i="6"/>
  <c r="EU87" i="6"/>
  <c r="EQ87" i="6"/>
  <c r="GU85" i="6"/>
  <c r="GQ85" i="6"/>
  <c r="GM85" i="6"/>
  <c r="GI85" i="6"/>
  <c r="GE85" i="6"/>
  <c r="GA85" i="6"/>
  <c r="FW85" i="6"/>
  <c r="FS85" i="6"/>
  <c r="FO85" i="6"/>
  <c r="FK85" i="6"/>
  <c r="FG85" i="6"/>
  <c r="FC85" i="6"/>
  <c r="EY85" i="6"/>
  <c r="EU85" i="6"/>
  <c r="EQ85" i="6"/>
  <c r="GU83" i="6"/>
  <c r="GQ83" i="6"/>
  <c r="GM83" i="6"/>
  <c r="GI83" i="6"/>
  <c r="GE83" i="6"/>
  <c r="GA83" i="6"/>
  <c r="FW83" i="6"/>
  <c r="FS83" i="6"/>
  <c r="FO83" i="6"/>
  <c r="FK83" i="6"/>
  <c r="FG83" i="6"/>
  <c r="FC83" i="6"/>
  <c r="EY83" i="6"/>
  <c r="EU83" i="6"/>
  <c r="EQ83" i="6"/>
  <c r="GU81" i="6"/>
  <c r="GQ81" i="6"/>
  <c r="GM81" i="6"/>
  <c r="GI81" i="6"/>
  <c r="GE81" i="6"/>
  <c r="GA81" i="6"/>
  <c r="FW81" i="6"/>
  <c r="FS81" i="6"/>
  <c r="FO81" i="6"/>
  <c r="FK81" i="6"/>
  <c r="FG81" i="6"/>
  <c r="FC81" i="6"/>
  <c r="EY81" i="6"/>
  <c r="EU81" i="6"/>
  <c r="EQ81" i="6"/>
  <c r="GU78" i="6"/>
  <c r="GQ78" i="6"/>
  <c r="GM78" i="6"/>
  <c r="GI78" i="6"/>
  <c r="GE78" i="6"/>
  <c r="GA78" i="6"/>
  <c r="FW78" i="6"/>
  <c r="FS78" i="6"/>
  <c r="FO78" i="6"/>
  <c r="FK78" i="6"/>
  <c r="FG78" i="6"/>
  <c r="FC78" i="6"/>
  <c r="EY78" i="6"/>
  <c r="EU78" i="6"/>
  <c r="EQ78" i="6"/>
  <c r="GU76" i="6"/>
  <c r="GQ76" i="6"/>
  <c r="GM76" i="6"/>
  <c r="GI76" i="6"/>
  <c r="GE76" i="6"/>
  <c r="GA76" i="6"/>
  <c r="FW76" i="6"/>
  <c r="FS76" i="6"/>
  <c r="FO76" i="6"/>
  <c r="FK76" i="6"/>
  <c r="FG76" i="6"/>
  <c r="FC76" i="6"/>
  <c r="EY76" i="6"/>
  <c r="EU76" i="6"/>
  <c r="EQ76" i="6"/>
  <c r="GW75" i="6"/>
  <c r="GS75" i="6"/>
  <c r="GO75" i="6"/>
  <c r="GK75" i="6"/>
  <c r="GG75" i="6"/>
  <c r="GC75" i="6"/>
  <c r="FY75" i="6"/>
  <c r="FU75" i="6"/>
  <c r="FQ75" i="6"/>
  <c r="FM75" i="6"/>
  <c r="FI75" i="6"/>
  <c r="FE75" i="6"/>
  <c r="FA75" i="6"/>
  <c r="EW75" i="6"/>
  <c r="ES75" i="6"/>
  <c r="GU74" i="6"/>
  <c r="GQ74" i="6"/>
  <c r="GM74" i="6"/>
  <c r="GI74" i="6"/>
  <c r="GE74" i="6"/>
  <c r="GA74" i="6"/>
  <c r="FW74" i="6"/>
  <c r="FS74" i="6"/>
  <c r="FO74" i="6"/>
  <c r="FK74" i="6"/>
  <c r="FG74" i="6"/>
  <c r="FC74" i="6"/>
  <c r="EY74" i="6"/>
  <c r="EU74" i="6"/>
  <c r="EQ74" i="6"/>
  <c r="GW73" i="6"/>
  <c r="GS73" i="6"/>
  <c r="GO73" i="6"/>
  <c r="GK73" i="6"/>
  <c r="GG73" i="6"/>
  <c r="GC73" i="6"/>
  <c r="FY73" i="6"/>
  <c r="FU73" i="6"/>
  <c r="FQ73" i="6"/>
  <c r="FM73" i="6"/>
  <c r="FI73" i="6"/>
  <c r="FE73" i="6"/>
  <c r="FA73" i="6"/>
  <c r="EW73" i="6"/>
  <c r="ES73" i="6"/>
  <c r="GU72" i="6"/>
  <c r="GQ72" i="6"/>
  <c r="GM72" i="6"/>
  <c r="GI72" i="6"/>
  <c r="GE72" i="6"/>
  <c r="GA72" i="6"/>
  <c r="FW72" i="6"/>
  <c r="FS72" i="6"/>
  <c r="FO72" i="6"/>
  <c r="FK72" i="6"/>
  <c r="FG72" i="6"/>
  <c r="FC72" i="6"/>
  <c r="EY72" i="6"/>
  <c r="EU72" i="6"/>
  <c r="EQ72" i="6"/>
  <c r="GW71" i="6"/>
  <c r="GS71" i="6"/>
  <c r="GO71" i="6"/>
  <c r="GK71" i="6"/>
  <c r="GG71" i="6"/>
  <c r="GC71" i="6"/>
  <c r="FY71" i="6"/>
  <c r="FU71" i="6"/>
  <c r="FQ71" i="6"/>
  <c r="FM71" i="6"/>
  <c r="FI71" i="6"/>
  <c r="FE71" i="6"/>
  <c r="FA71" i="6"/>
  <c r="EW71" i="6"/>
  <c r="ES71" i="6"/>
  <c r="GU70" i="6"/>
  <c r="GQ70" i="6"/>
  <c r="GM70" i="6"/>
  <c r="GI70" i="6"/>
  <c r="GE70" i="6"/>
  <c r="GA70" i="6"/>
  <c r="FW70" i="6"/>
  <c r="FS70" i="6"/>
  <c r="FO70" i="6"/>
  <c r="FK70" i="6"/>
  <c r="FG70" i="6"/>
  <c r="FC70" i="6"/>
  <c r="EY70" i="6"/>
  <c r="EU70" i="6"/>
  <c r="EQ70" i="6"/>
  <c r="GW69" i="6"/>
  <c r="GS69" i="6"/>
  <c r="GO69" i="6"/>
  <c r="GK69" i="6"/>
  <c r="GG69" i="6"/>
  <c r="GC69" i="6"/>
  <c r="FY69" i="6"/>
  <c r="FU69" i="6"/>
  <c r="FQ69" i="6"/>
  <c r="FM69" i="6"/>
  <c r="FI69" i="6"/>
  <c r="FE69" i="6"/>
  <c r="FA69" i="6"/>
  <c r="EW69" i="6"/>
  <c r="ES69" i="6"/>
  <c r="GU68" i="6"/>
  <c r="GQ68" i="6"/>
  <c r="GM68" i="6"/>
  <c r="GI68" i="6"/>
  <c r="GE68" i="6"/>
  <c r="GA68" i="6"/>
  <c r="FW68" i="6"/>
  <c r="FS68" i="6"/>
  <c r="FO68" i="6"/>
  <c r="FK68" i="6"/>
  <c r="FG68" i="6"/>
  <c r="FC68" i="6"/>
  <c r="EY68" i="6"/>
  <c r="EU68" i="6"/>
  <c r="EQ68" i="6"/>
  <c r="GW67" i="6"/>
  <c r="GS67" i="6"/>
  <c r="GO67" i="6"/>
  <c r="GK67" i="6"/>
  <c r="GG67" i="6"/>
  <c r="GC67" i="6"/>
  <c r="FY67" i="6"/>
  <c r="FU67" i="6"/>
  <c r="FQ67" i="6"/>
  <c r="FM67" i="6"/>
  <c r="FI67" i="6"/>
  <c r="FE67" i="6"/>
  <c r="FA67" i="6"/>
  <c r="EW67" i="6"/>
  <c r="ES67" i="6"/>
  <c r="GU66" i="6"/>
  <c r="GQ66" i="6"/>
  <c r="GM66" i="6"/>
  <c r="GI66" i="6"/>
  <c r="GE66" i="6"/>
  <c r="GA66" i="6"/>
  <c r="FW66" i="6"/>
  <c r="FS66" i="6"/>
  <c r="FO66" i="6"/>
  <c r="FK66" i="6"/>
  <c r="FG66" i="6"/>
  <c r="FC66" i="6"/>
  <c r="EY66" i="6"/>
  <c r="EU66" i="6"/>
  <c r="EQ66" i="6"/>
  <c r="GW65" i="6"/>
  <c r="GS65" i="6"/>
  <c r="GO65" i="6"/>
  <c r="GK65" i="6"/>
  <c r="GG65" i="6"/>
  <c r="GC65" i="6"/>
  <c r="FY65" i="6"/>
  <c r="FU65" i="6"/>
  <c r="FQ65" i="6"/>
  <c r="FM65" i="6"/>
  <c r="FI65" i="6"/>
  <c r="FE65" i="6"/>
  <c r="FA65" i="6"/>
  <c r="EW65" i="6"/>
  <c r="ES65" i="6"/>
  <c r="GU64" i="6"/>
  <c r="GQ64" i="6"/>
  <c r="GM64" i="6"/>
  <c r="GI64" i="6"/>
  <c r="GE64" i="6"/>
  <c r="GA64" i="6"/>
  <c r="FW64" i="6"/>
  <c r="FS64" i="6"/>
  <c r="FO64" i="6"/>
  <c r="FK64" i="6"/>
  <c r="FG64" i="6"/>
  <c r="FC64" i="6"/>
  <c r="EY64" i="6"/>
  <c r="EU64" i="6"/>
  <c r="EQ64" i="6"/>
  <c r="GW62" i="6"/>
  <c r="GS62" i="6"/>
  <c r="GO62" i="6"/>
  <c r="GK62" i="6"/>
  <c r="GG62" i="6"/>
  <c r="GC62" i="6"/>
  <c r="FY62" i="6"/>
  <c r="FU62" i="6"/>
  <c r="FQ62" i="6"/>
  <c r="FM62" i="6"/>
  <c r="FI62" i="6"/>
  <c r="FE62" i="6"/>
  <c r="FA62" i="6"/>
  <c r="EW62" i="6"/>
  <c r="ES62" i="6"/>
  <c r="GU60" i="6"/>
  <c r="GQ60" i="6"/>
  <c r="GM60" i="6"/>
  <c r="GI60" i="6"/>
  <c r="GE60" i="6"/>
  <c r="GA60" i="6"/>
  <c r="FW60" i="6"/>
  <c r="FS60" i="6"/>
  <c r="FO60" i="6"/>
  <c r="FK60" i="6"/>
  <c r="FG60" i="6"/>
  <c r="FC60" i="6"/>
  <c r="EY60" i="6"/>
  <c r="EU60" i="6"/>
  <c r="EQ60" i="6"/>
  <c r="GW59" i="6"/>
  <c r="GS59" i="6"/>
  <c r="GO59" i="6"/>
  <c r="GK59" i="6"/>
  <c r="GG59" i="6"/>
  <c r="GC59" i="6"/>
  <c r="FY59" i="6"/>
  <c r="FU59" i="6"/>
  <c r="FQ59" i="6"/>
  <c r="FM59" i="6"/>
  <c r="FI59" i="6"/>
  <c r="FE59" i="6"/>
  <c r="FA59" i="6"/>
  <c r="EW59" i="6"/>
  <c r="ES59" i="6"/>
  <c r="GU58" i="6"/>
  <c r="GQ58" i="6"/>
  <c r="GM58" i="6"/>
  <c r="GI58" i="6"/>
  <c r="GE58" i="6"/>
  <c r="GA58" i="6"/>
  <c r="FW58" i="6"/>
  <c r="FS58" i="6"/>
  <c r="FO58" i="6"/>
  <c r="FK58" i="6"/>
  <c r="FG58" i="6"/>
  <c r="FC58" i="6"/>
  <c r="EY58" i="6"/>
  <c r="EU58" i="6"/>
  <c r="EQ58" i="6"/>
  <c r="GW57" i="6"/>
  <c r="GS57" i="6"/>
  <c r="GO57" i="6"/>
  <c r="GK57" i="6"/>
  <c r="GG57" i="6"/>
  <c r="GC57" i="6"/>
  <c r="FY57" i="6"/>
  <c r="FU57" i="6"/>
  <c r="FQ57" i="6"/>
  <c r="FM57" i="6"/>
  <c r="FI57" i="6"/>
  <c r="FE57" i="6"/>
  <c r="FA57" i="6"/>
  <c r="EW57" i="6"/>
  <c r="ES57" i="6"/>
  <c r="GU56" i="6"/>
  <c r="GQ56" i="6"/>
  <c r="GM56" i="6"/>
  <c r="GI56" i="6"/>
  <c r="GE56" i="6"/>
  <c r="GA56" i="6"/>
  <c r="FW56" i="6"/>
  <c r="FS56" i="6"/>
  <c r="FO56" i="6"/>
  <c r="FK56" i="6"/>
  <c r="FG56" i="6"/>
  <c r="FC56" i="6"/>
  <c r="EY56" i="6"/>
  <c r="EU56" i="6"/>
  <c r="EQ56" i="6"/>
  <c r="GW55" i="6"/>
  <c r="GS55" i="6"/>
  <c r="GO55" i="6"/>
  <c r="GK55" i="6"/>
  <c r="GG55" i="6"/>
  <c r="GC55" i="6"/>
  <c r="FY55" i="6"/>
  <c r="FU55" i="6"/>
  <c r="FQ55" i="6"/>
  <c r="FM55" i="6"/>
  <c r="FI55" i="6"/>
  <c r="FE55" i="6"/>
  <c r="FA55" i="6"/>
  <c r="EW55" i="6"/>
  <c r="ES55" i="6"/>
  <c r="GU54" i="6"/>
  <c r="GQ54" i="6"/>
  <c r="GM54" i="6"/>
  <c r="GI54" i="6"/>
  <c r="GE54" i="6"/>
  <c r="GA54" i="6"/>
  <c r="FW54" i="6"/>
  <c r="FS54" i="6"/>
  <c r="FO54" i="6"/>
  <c r="FK54" i="6"/>
  <c r="FG54" i="6"/>
  <c r="FC54" i="6"/>
  <c r="EY54" i="6"/>
  <c r="EU54" i="6"/>
  <c r="EQ54" i="6"/>
  <c r="GW53" i="6"/>
  <c r="GS53" i="6"/>
  <c r="GO53" i="6"/>
  <c r="GK53" i="6"/>
  <c r="GG53" i="6"/>
  <c r="GC53" i="6"/>
  <c r="FY53" i="6"/>
  <c r="FU53" i="6"/>
  <c r="FQ53" i="6"/>
  <c r="FM53" i="6"/>
  <c r="FI53" i="6"/>
  <c r="FE53" i="6"/>
  <c r="FA53" i="6"/>
  <c r="EW53" i="6"/>
  <c r="ES53" i="6"/>
  <c r="GU52" i="6"/>
  <c r="GQ52" i="6"/>
  <c r="GM52" i="6"/>
  <c r="GI52" i="6"/>
  <c r="GT70" i="6"/>
  <c r="GP70" i="6"/>
  <c r="GL70" i="6"/>
  <c r="GH70" i="6"/>
  <c r="GD70" i="6"/>
  <c r="FZ70" i="6"/>
  <c r="FV70" i="6"/>
  <c r="FR70" i="6"/>
  <c r="FN70" i="6"/>
  <c r="FJ70" i="6"/>
  <c r="FF70" i="6"/>
  <c r="FB70" i="6"/>
  <c r="EX70" i="6"/>
  <c r="ET70" i="6"/>
  <c r="GV69" i="6"/>
  <c r="GR69" i="6"/>
  <c r="GN69" i="6"/>
  <c r="GJ69" i="6"/>
  <c r="GF69" i="6"/>
  <c r="GB69" i="6"/>
  <c r="FX69" i="6"/>
  <c r="FT69" i="6"/>
  <c r="FP69" i="6"/>
  <c r="FL69" i="6"/>
  <c r="FH69" i="6"/>
  <c r="FD69" i="6"/>
  <c r="EZ69" i="6"/>
  <c r="EV69" i="6"/>
  <c r="ER69" i="6"/>
  <c r="GT68" i="6"/>
  <c r="GP68" i="6"/>
  <c r="GL68" i="6"/>
  <c r="GH68" i="6"/>
  <c r="GD68" i="6"/>
  <c r="FZ68" i="6"/>
  <c r="FV68" i="6"/>
  <c r="FR68" i="6"/>
  <c r="FN68" i="6"/>
  <c r="FJ68" i="6"/>
  <c r="FF68" i="6"/>
  <c r="FB68" i="6"/>
  <c r="EX68" i="6"/>
  <c r="ET68" i="6"/>
  <c r="GV67" i="6"/>
  <c r="GR67" i="6"/>
  <c r="GN67" i="6"/>
  <c r="GJ67" i="6"/>
  <c r="GF67" i="6"/>
  <c r="GB67" i="6"/>
  <c r="FX67" i="6"/>
  <c r="FT67" i="6"/>
  <c r="FP67" i="6"/>
  <c r="FL67" i="6"/>
  <c r="FH67" i="6"/>
  <c r="FD67" i="6"/>
  <c r="EZ67" i="6"/>
  <c r="EV67" i="6"/>
  <c r="ER67" i="6"/>
  <c r="GT66" i="6"/>
  <c r="GP66" i="6"/>
  <c r="GL66" i="6"/>
  <c r="GH66" i="6"/>
  <c r="GD66" i="6"/>
  <c r="FZ66" i="6"/>
  <c r="FV66" i="6"/>
  <c r="FR66" i="6"/>
  <c r="FN66" i="6"/>
  <c r="FJ66" i="6"/>
  <c r="FF66" i="6"/>
  <c r="FB66" i="6"/>
  <c r="EX66" i="6"/>
  <c r="ET66" i="6"/>
  <c r="GV65" i="6"/>
  <c r="GR65" i="6"/>
  <c r="GN65" i="6"/>
  <c r="GJ65" i="6"/>
  <c r="GF65" i="6"/>
  <c r="GB65" i="6"/>
  <c r="FX65" i="6"/>
  <c r="FT65" i="6"/>
  <c r="FP65" i="6"/>
  <c r="FL65" i="6"/>
  <c r="FH65" i="6"/>
  <c r="FD65" i="6"/>
  <c r="EZ65" i="6"/>
  <c r="EV65" i="6"/>
  <c r="ER65" i="6"/>
  <c r="GT64" i="6"/>
  <c r="GP64" i="6"/>
  <c r="GL64" i="6"/>
  <c r="GH64" i="6"/>
  <c r="GD64" i="6"/>
  <c r="FZ64" i="6"/>
  <c r="FV64" i="6"/>
  <c r="FR64" i="6"/>
  <c r="FN64" i="6"/>
  <c r="FJ64" i="6"/>
  <c r="FF64" i="6"/>
  <c r="FB64" i="6"/>
  <c r="EX64" i="6"/>
  <c r="ET64" i="6"/>
  <c r="GV62" i="6"/>
  <c r="GR62" i="6"/>
  <c r="GN62" i="6"/>
  <c r="GJ62" i="6"/>
  <c r="GF62" i="6"/>
  <c r="GB62" i="6"/>
  <c r="FX62" i="6"/>
  <c r="FT62" i="6"/>
  <c r="FP62" i="6"/>
  <c r="FL62" i="6"/>
  <c r="FH62" i="6"/>
  <c r="FD62" i="6"/>
  <c r="EZ62" i="6"/>
  <c r="EV62" i="6"/>
  <c r="ER62" i="6"/>
  <c r="GT60" i="6"/>
  <c r="GP60" i="6"/>
  <c r="GL60" i="6"/>
  <c r="GH60" i="6"/>
  <c r="GD60" i="6"/>
  <c r="FZ60" i="6"/>
  <c r="FV60" i="6"/>
  <c r="FR60" i="6"/>
  <c r="FN60" i="6"/>
  <c r="FJ60" i="6"/>
  <c r="FF60" i="6"/>
  <c r="FB60" i="6"/>
  <c r="EX60" i="6"/>
  <c r="ET60" i="6"/>
  <c r="GV59" i="6"/>
  <c r="GR59" i="6"/>
  <c r="GN59" i="6"/>
  <c r="GJ59" i="6"/>
  <c r="GF59" i="6"/>
  <c r="GB59" i="6"/>
  <c r="FX59" i="6"/>
  <c r="FT59" i="6"/>
  <c r="FP59" i="6"/>
  <c r="FL59" i="6"/>
  <c r="FH59" i="6"/>
  <c r="FD59" i="6"/>
  <c r="EZ59" i="6"/>
  <c r="EV59" i="6"/>
  <c r="ER59" i="6"/>
  <c r="GT58" i="6"/>
  <c r="GP58" i="6"/>
  <c r="GL58" i="6"/>
  <c r="GH58" i="6"/>
  <c r="GD58" i="6"/>
  <c r="FZ58" i="6"/>
  <c r="FV58" i="6"/>
  <c r="FR58" i="6"/>
  <c r="FN58" i="6"/>
  <c r="FJ58" i="6"/>
  <c r="FF58" i="6"/>
  <c r="FB58" i="6"/>
  <c r="EX58" i="6"/>
  <c r="ET58" i="6"/>
  <c r="GV57" i="6"/>
  <c r="GR57" i="6"/>
  <c r="GN57" i="6"/>
  <c r="GJ57" i="6"/>
  <c r="GF57" i="6"/>
  <c r="GB57" i="6"/>
  <c r="FX57" i="6"/>
  <c r="FT57" i="6"/>
  <c r="FP57" i="6"/>
  <c r="FL57" i="6"/>
  <c r="FH57" i="6"/>
  <c r="FD57" i="6"/>
  <c r="EZ57" i="6"/>
  <c r="EV57" i="6"/>
  <c r="ER57" i="6"/>
  <c r="GT56" i="6"/>
  <c r="GP56" i="6"/>
  <c r="GL56" i="6"/>
  <c r="GH56" i="6"/>
  <c r="GD56" i="6"/>
  <c r="FZ56" i="6"/>
  <c r="FV56" i="6"/>
  <c r="FR56" i="6"/>
  <c r="FN56" i="6"/>
  <c r="FJ56" i="6"/>
  <c r="FF56" i="6"/>
  <c r="FB56" i="6"/>
  <c r="EX56" i="6"/>
  <c r="ET56" i="6"/>
  <c r="GV55" i="6"/>
  <c r="GR55" i="6"/>
  <c r="GN55" i="6"/>
  <c r="GJ55" i="6"/>
  <c r="GF55" i="6"/>
  <c r="GB55" i="6"/>
  <c r="FX55" i="6"/>
  <c r="FT55" i="6"/>
  <c r="FP55" i="6"/>
  <c r="FL55" i="6"/>
  <c r="FH55" i="6"/>
  <c r="FD55" i="6"/>
  <c r="EZ55" i="6"/>
  <c r="EV55" i="6"/>
  <c r="ER55" i="6"/>
  <c r="GT54" i="6"/>
  <c r="GP54" i="6"/>
  <c r="GL54" i="6"/>
  <c r="GH54" i="6"/>
  <c r="GD54" i="6"/>
  <c r="FZ54" i="6"/>
  <c r="FV54" i="6"/>
  <c r="FR54" i="6"/>
  <c r="FN54" i="6"/>
  <c r="FJ54" i="6"/>
  <c r="FF54" i="6"/>
  <c r="FB54" i="6"/>
  <c r="EX54" i="6"/>
  <c r="ET54" i="6"/>
  <c r="GV53" i="6"/>
  <c r="GR53" i="6"/>
  <c r="GN53" i="6"/>
  <c r="GJ53" i="6"/>
  <c r="GF53" i="6"/>
  <c r="GB53" i="6"/>
  <c r="FX53" i="6"/>
  <c r="FT53" i="6"/>
  <c r="FP53" i="6"/>
  <c r="FL53" i="6"/>
  <c r="FH53" i="6"/>
  <c r="FD53" i="6"/>
  <c r="EZ53" i="6"/>
  <c r="EV53" i="6"/>
  <c r="ER53" i="6"/>
  <c r="GT52" i="6"/>
  <c r="GP52" i="6"/>
  <c r="GL52" i="6"/>
  <c r="GH52" i="6"/>
  <c r="GD52" i="6"/>
  <c r="FZ52" i="6"/>
  <c r="FV52" i="6"/>
  <c r="FR52" i="6"/>
  <c r="FN52" i="6"/>
  <c r="FJ52" i="6"/>
  <c r="FF52" i="6"/>
  <c r="FB52" i="6"/>
  <c r="EX52" i="6"/>
  <c r="ET52" i="6"/>
  <c r="GV51" i="6"/>
  <c r="GR51" i="6"/>
  <c r="GN51" i="6"/>
  <c r="GJ51" i="6"/>
  <c r="GF51" i="6"/>
  <c r="GB51" i="6"/>
  <c r="FX51" i="6"/>
  <c r="FT51" i="6"/>
  <c r="FP51" i="6"/>
  <c r="FL51" i="6"/>
  <c r="FH51" i="6"/>
  <c r="FD51" i="6"/>
  <c r="EZ51" i="6"/>
  <c r="EV51" i="6"/>
  <c r="ER51" i="6"/>
  <c r="GT50" i="6"/>
  <c r="GP50" i="6"/>
  <c r="GL50" i="6"/>
  <c r="GH50" i="6"/>
  <c r="GD50" i="6"/>
  <c r="FZ50" i="6"/>
  <c r="FV50" i="6"/>
  <c r="FR50" i="6"/>
  <c r="FN50" i="6"/>
  <c r="FJ50" i="6"/>
  <c r="FF50" i="6"/>
  <c r="FB50" i="6"/>
  <c r="EX50" i="6"/>
  <c r="ET50" i="6"/>
  <c r="GV49" i="6"/>
  <c r="GR49" i="6"/>
  <c r="GN49" i="6"/>
  <c r="GJ49" i="6"/>
  <c r="GF49" i="6"/>
  <c r="GB49" i="6"/>
  <c r="FX49" i="6"/>
  <c r="FT49" i="6"/>
  <c r="FP49" i="6"/>
  <c r="FL49" i="6"/>
  <c r="FH49" i="6"/>
  <c r="FD49" i="6"/>
  <c r="EZ49" i="6"/>
  <c r="EV49" i="6"/>
  <c r="ER49" i="6"/>
  <c r="GT48" i="6"/>
  <c r="GP48" i="6"/>
  <c r="GL48" i="6"/>
  <c r="GH48" i="6"/>
  <c r="GD48" i="6"/>
  <c r="FZ48" i="6"/>
  <c r="FV48" i="6"/>
  <c r="FR48" i="6"/>
  <c r="FN48" i="6"/>
  <c r="FJ48" i="6"/>
  <c r="FF48" i="6"/>
  <c r="FB48" i="6"/>
  <c r="EX48" i="6"/>
  <c r="ET48" i="6"/>
  <c r="GV47" i="6"/>
  <c r="GR47" i="6"/>
  <c r="GN47" i="6"/>
  <c r="GJ47" i="6"/>
  <c r="GF47" i="6"/>
  <c r="GB47" i="6"/>
  <c r="FX47" i="6"/>
  <c r="FT47" i="6"/>
  <c r="FP47" i="6"/>
  <c r="FL47" i="6"/>
  <c r="FH47" i="6"/>
  <c r="FD47" i="6"/>
  <c r="EZ47" i="6"/>
  <c r="EV47" i="6"/>
  <c r="ER47" i="6"/>
  <c r="GT46" i="6"/>
  <c r="GP46" i="6"/>
  <c r="GL46" i="6"/>
  <c r="GH46" i="6"/>
  <c r="GD46" i="6"/>
  <c r="FZ46" i="6"/>
  <c r="FV46" i="6"/>
  <c r="FR46" i="6"/>
  <c r="FN46" i="6"/>
  <c r="FJ46" i="6"/>
  <c r="FF46" i="6"/>
  <c r="FB46" i="6"/>
  <c r="EX46" i="6"/>
  <c r="ET46" i="6"/>
  <c r="GV45" i="6"/>
  <c r="GR45" i="6"/>
  <c r="GN45" i="6"/>
  <c r="GJ45" i="6"/>
  <c r="GF45" i="6"/>
  <c r="GB45" i="6"/>
  <c r="FX45" i="6"/>
  <c r="FT45" i="6"/>
  <c r="FP45" i="6"/>
  <c r="FL45" i="6"/>
  <c r="FH45" i="6"/>
  <c r="FD45" i="6"/>
  <c r="EZ45" i="6"/>
  <c r="EV45" i="6"/>
  <c r="ER45" i="6"/>
  <c r="GT44" i="6"/>
  <c r="GP44" i="6"/>
  <c r="GL44" i="6"/>
  <c r="GH44" i="6"/>
  <c r="GD44" i="6"/>
  <c r="FZ44" i="6"/>
  <c r="FV44" i="6"/>
  <c r="FR44" i="6"/>
  <c r="FN44" i="6"/>
  <c r="FJ44" i="6"/>
  <c r="FF44" i="6"/>
  <c r="FB44" i="6"/>
  <c r="EX44" i="6"/>
  <c r="ET44" i="6"/>
  <c r="GV43" i="6"/>
  <c r="GR43" i="6"/>
  <c r="GN43" i="6"/>
  <c r="GJ43" i="6"/>
  <c r="GF43" i="6"/>
  <c r="GB43" i="6"/>
  <c r="FX43" i="6"/>
  <c r="FT43" i="6"/>
  <c r="FP43" i="6"/>
  <c r="FL43" i="6"/>
  <c r="FH43" i="6"/>
  <c r="FD43" i="6"/>
  <c r="EZ43" i="6"/>
  <c r="EV43" i="6"/>
  <c r="ER43" i="6"/>
  <c r="GT42" i="6"/>
  <c r="GP42" i="6"/>
  <c r="GL42" i="6"/>
  <c r="GH42" i="6"/>
  <c r="GD42" i="6"/>
  <c r="FZ42" i="6"/>
  <c r="FV42" i="6"/>
  <c r="FR42" i="6"/>
  <c r="FN42" i="6"/>
  <c r="FJ42" i="6"/>
  <c r="FF42" i="6"/>
  <c r="FB42" i="6"/>
  <c r="EX42" i="6"/>
  <c r="ET42" i="6"/>
  <c r="GV41" i="6"/>
  <c r="GR41" i="6"/>
  <c r="GN41" i="6"/>
  <c r="GJ41" i="6"/>
  <c r="GF41" i="6"/>
  <c r="GB41" i="6"/>
  <c r="FX41" i="6"/>
  <c r="FT41" i="6"/>
  <c r="FP41" i="6"/>
  <c r="FL41" i="6"/>
  <c r="FH41" i="6"/>
  <c r="FD41" i="6"/>
  <c r="EZ41" i="6"/>
  <c r="EV41" i="6"/>
  <c r="ER41" i="6"/>
  <c r="GT40" i="6"/>
  <c r="GP40" i="6"/>
  <c r="GL40" i="6"/>
  <c r="GH40" i="6"/>
  <c r="GD40" i="6"/>
  <c r="FZ40" i="6"/>
  <c r="FV40" i="6"/>
  <c r="FR40" i="6"/>
  <c r="FN40" i="6"/>
  <c r="FJ40" i="6"/>
  <c r="FF40" i="6"/>
  <c r="FB40" i="6"/>
  <c r="EX40" i="6"/>
  <c r="ET40" i="6"/>
  <c r="GV39" i="6"/>
  <c r="GR39" i="6"/>
  <c r="GN39" i="6"/>
  <c r="GJ39" i="6"/>
  <c r="GF39" i="6"/>
  <c r="GB39" i="6"/>
  <c r="FX39" i="6"/>
  <c r="FT39" i="6"/>
  <c r="FP39" i="6"/>
  <c r="FL39" i="6"/>
  <c r="FH39" i="6"/>
  <c r="FD39" i="6"/>
  <c r="EZ39" i="6"/>
  <c r="EV39" i="6"/>
  <c r="ER39" i="6"/>
  <c r="GT38" i="6"/>
  <c r="GP38" i="6"/>
  <c r="GL38" i="6"/>
  <c r="GH38" i="6"/>
  <c r="GD38" i="6"/>
  <c r="FZ38" i="6"/>
  <c r="FV38" i="6"/>
  <c r="FR38" i="6"/>
  <c r="FN38" i="6"/>
  <c r="FJ38" i="6"/>
  <c r="FF38" i="6"/>
  <c r="FB38" i="6"/>
  <c r="EX38" i="6"/>
  <c r="ET38" i="6"/>
  <c r="GV37" i="6"/>
  <c r="GR37" i="6"/>
  <c r="GN37" i="6"/>
  <c r="GJ37" i="6"/>
  <c r="GF37" i="6"/>
  <c r="GB37" i="6"/>
  <c r="FX37" i="6"/>
  <c r="FT37" i="6"/>
  <c r="FP37" i="6"/>
  <c r="FL37" i="6"/>
  <c r="FH37" i="6"/>
  <c r="FD37" i="6"/>
  <c r="EZ37" i="6"/>
  <c r="EV37" i="6"/>
  <c r="ER37" i="6"/>
  <c r="GT36" i="6"/>
  <c r="GP36" i="6"/>
  <c r="GL36" i="6"/>
  <c r="GH36" i="6"/>
  <c r="GD36" i="6"/>
  <c r="FZ36" i="6"/>
  <c r="FV36" i="6"/>
  <c r="FR36" i="6"/>
  <c r="FN36" i="6"/>
  <c r="FJ36" i="6"/>
  <c r="FF36" i="6"/>
  <c r="FB36" i="6"/>
  <c r="EX36" i="6"/>
  <c r="ET36" i="6"/>
  <c r="GV35" i="6"/>
  <c r="GR35" i="6"/>
  <c r="GN35" i="6"/>
  <c r="GJ35" i="6"/>
  <c r="GF35" i="6"/>
  <c r="GB35" i="6"/>
  <c r="FX35" i="6"/>
  <c r="FT35" i="6"/>
  <c r="FP35" i="6"/>
  <c r="FL35" i="6"/>
  <c r="FH35" i="6"/>
  <c r="FD35" i="6"/>
  <c r="EZ35" i="6"/>
  <c r="EV35" i="6"/>
  <c r="ER35" i="6"/>
  <c r="GT34" i="6"/>
  <c r="GP34" i="6"/>
  <c r="GL34" i="6"/>
  <c r="GH34" i="6"/>
  <c r="GD34" i="6"/>
  <c r="FZ34" i="6"/>
  <c r="FV34" i="6"/>
  <c r="FR34" i="6"/>
  <c r="FN34" i="6"/>
  <c r="FJ34" i="6"/>
  <c r="FF34" i="6"/>
  <c r="FB34" i="6"/>
  <c r="EX34" i="6"/>
  <c r="ET34" i="6"/>
  <c r="GV33" i="6"/>
  <c r="GR33" i="6"/>
  <c r="GN33" i="6"/>
  <c r="GJ33" i="6"/>
  <c r="GF33" i="6"/>
  <c r="GB33" i="6"/>
  <c r="FX33" i="6"/>
  <c r="FT33" i="6"/>
  <c r="FP33" i="6"/>
  <c r="FL33" i="6"/>
  <c r="FH33" i="6"/>
  <c r="FD33" i="6"/>
  <c r="EZ33" i="6"/>
  <c r="EV33" i="6"/>
  <c r="ER33" i="6"/>
  <c r="GT32" i="6"/>
  <c r="GP32" i="6"/>
  <c r="GL32" i="6"/>
  <c r="GH32" i="6"/>
  <c r="GD32" i="6"/>
  <c r="FZ32" i="6"/>
  <c r="FV32" i="6"/>
  <c r="FR32" i="6"/>
  <c r="FN32" i="6"/>
  <c r="FJ32" i="6"/>
  <c r="FF32" i="6"/>
  <c r="FB32" i="6"/>
  <c r="EX32" i="6"/>
  <c r="ET32" i="6"/>
  <c r="GV31" i="6"/>
  <c r="GR31" i="6"/>
  <c r="GN31" i="6"/>
  <c r="GJ31" i="6"/>
  <c r="GF31" i="6"/>
  <c r="GB31" i="6"/>
  <c r="FX31" i="6"/>
  <c r="FT31" i="6"/>
  <c r="FP31" i="6"/>
  <c r="FL31" i="6"/>
  <c r="FH31" i="6"/>
  <c r="FD31" i="6"/>
  <c r="EZ31" i="6"/>
  <c r="EV31" i="6"/>
  <c r="ER31" i="6"/>
  <c r="GT30" i="6"/>
  <c r="GP30" i="6"/>
  <c r="GL30" i="6"/>
  <c r="GH30" i="6"/>
  <c r="GD30" i="6"/>
  <c r="FZ30" i="6"/>
  <c r="FV30" i="6"/>
  <c r="FR30" i="6"/>
  <c r="FN30" i="6"/>
  <c r="FJ30" i="6"/>
  <c r="FF30" i="6"/>
  <c r="FB30" i="6"/>
  <c r="EX30" i="6"/>
  <c r="ET30" i="6"/>
  <c r="GV29" i="6"/>
  <c r="GR29" i="6"/>
  <c r="GN29" i="6"/>
  <c r="GJ29" i="6"/>
  <c r="GF29" i="6"/>
  <c r="GB29" i="6"/>
  <c r="FX29" i="6"/>
  <c r="FT29" i="6"/>
  <c r="FP29" i="6"/>
  <c r="FL29" i="6"/>
  <c r="FH29" i="6"/>
  <c r="FD29" i="6"/>
  <c r="EZ29" i="6"/>
  <c r="EV29" i="6"/>
  <c r="ER29" i="6"/>
  <c r="GT28" i="6"/>
  <c r="GP28" i="6"/>
  <c r="GL28" i="6"/>
  <c r="GH28" i="6"/>
  <c r="GD28" i="6"/>
  <c r="FZ28" i="6"/>
  <c r="FV28" i="6"/>
  <c r="FR28" i="6"/>
  <c r="FN28" i="6"/>
  <c r="FJ28" i="6"/>
  <c r="FF28" i="6"/>
  <c r="FB28" i="6"/>
  <c r="EX28" i="6"/>
  <c r="ET28" i="6"/>
  <c r="GV27" i="6"/>
  <c r="GR27" i="6"/>
  <c r="GN27" i="6"/>
  <c r="GJ27" i="6"/>
  <c r="GF27" i="6"/>
  <c r="GB27" i="6"/>
  <c r="FX27" i="6"/>
  <c r="FT27" i="6"/>
  <c r="FP27" i="6"/>
  <c r="FL27" i="6"/>
  <c r="FH27" i="6"/>
  <c r="FD27" i="6"/>
  <c r="EZ27" i="6"/>
  <c r="EV27" i="6"/>
  <c r="ER27" i="6"/>
  <c r="GT26" i="6"/>
  <c r="GP26" i="6"/>
  <c r="GL26" i="6"/>
  <c r="GH26" i="6"/>
  <c r="GD26" i="6"/>
  <c r="FZ26" i="6"/>
  <c r="FV26" i="6"/>
  <c r="FR26" i="6"/>
  <c r="FN26" i="6"/>
  <c r="FJ26" i="6"/>
  <c r="FF26" i="6"/>
  <c r="FB26" i="6"/>
  <c r="EX26" i="6"/>
  <c r="ET26" i="6"/>
  <c r="GV25" i="6"/>
  <c r="GR25" i="6"/>
  <c r="GN25" i="6"/>
  <c r="GJ25" i="6"/>
  <c r="GF25" i="6"/>
  <c r="GB25" i="6"/>
  <c r="FX25" i="6"/>
  <c r="FT25" i="6"/>
  <c r="FP25" i="6"/>
  <c r="FL25" i="6"/>
  <c r="FH25" i="6"/>
  <c r="FD25" i="6"/>
  <c r="EZ25" i="6"/>
  <c r="EV25" i="6"/>
  <c r="ER25" i="6"/>
  <c r="GT24" i="6"/>
  <c r="GP24" i="6"/>
  <c r="GL24" i="6"/>
  <c r="GH24" i="6"/>
  <c r="GD24" i="6"/>
  <c r="FZ24" i="6"/>
  <c r="FV24" i="6"/>
  <c r="FR24" i="6"/>
  <c r="FN24" i="6"/>
  <c r="FJ24" i="6"/>
  <c r="FF24" i="6"/>
  <c r="FB24" i="6"/>
  <c r="EX24" i="6"/>
  <c r="ET24" i="6"/>
  <c r="GV23" i="6"/>
  <c r="GR23" i="6"/>
  <c r="GN23" i="6"/>
  <c r="GJ23" i="6"/>
  <c r="GF23" i="6"/>
  <c r="GB23" i="6"/>
  <c r="FX23" i="6"/>
  <c r="FT23" i="6"/>
  <c r="FP23" i="6"/>
  <c r="FL23" i="6"/>
  <c r="FH23" i="6"/>
  <c r="FD23" i="6"/>
  <c r="EZ23" i="6"/>
  <c r="EV23" i="6"/>
  <c r="ER23" i="6"/>
  <c r="GT22" i="6"/>
  <c r="GP22" i="6"/>
  <c r="GL22" i="6"/>
  <c r="GH22" i="6"/>
  <c r="GD22" i="6"/>
  <c r="FZ22" i="6"/>
  <c r="FV22" i="6"/>
  <c r="FR22" i="6"/>
  <c r="FN22" i="6"/>
  <c r="FJ22" i="6"/>
  <c r="FF22" i="6"/>
  <c r="FB22" i="6"/>
  <c r="EX22" i="6"/>
  <c r="ET22" i="6"/>
  <c r="GV21" i="6"/>
  <c r="GR21" i="6"/>
  <c r="GN21" i="6"/>
  <c r="GJ21" i="6"/>
  <c r="GF21" i="6"/>
  <c r="GB21" i="6"/>
  <c r="FX21" i="6"/>
  <c r="FT21" i="6"/>
  <c r="FP21" i="6"/>
  <c r="FL21" i="6"/>
  <c r="FH21" i="6"/>
  <c r="FD21" i="6"/>
  <c r="EZ21" i="6"/>
  <c r="EV21" i="6"/>
  <c r="ER21" i="6"/>
  <c r="GT20" i="6"/>
  <c r="GP20" i="6"/>
  <c r="GL20" i="6"/>
  <c r="GH20" i="6"/>
  <c r="GD20" i="6"/>
  <c r="FZ20" i="6"/>
  <c r="FV20" i="6"/>
  <c r="FR20" i="6"/>
  <c r="FN20" i="6"/>
  <c r="FJ20" i="6"/>
  <c r="FF20" i="6"/>
  <c r="FB20" i="6"/>
  <c r="EX20" i="6"/>
  <c r="ET20" i="6"/>
  <c r="GV19" i="6"/>
  <c r="GR19" i="6"/>
  <c r="GN19" i="6"/>
  <c r="GJ19" i="6"/>
  <c r="GF19" i="6"/>
  <c r="GB19" i="6"/>
  <c r="FX19" i="6"/>
  <c r="FT19" i="6"/>
  <c r="FP19" i="6"/>
  <c r="FL19" i="6"/>
  <c r="FH19" i="6"/>
  <c r="FD19" i="6"/>
  <c r="EZ19" i="6"/>
  <c r="EV19" i="6"/>
  <c r="ER19" i="6"/>
  <c r="GT18" i="6"/>
  <c r="GP18" i="6"/>
  <c r="GL18" i="6"/>
  <c r="GH18" i="6"/>
  <c r="GD18" i="6"/>
  <c r="FZ18" i="6"/>
  <c r="FV18" i="6"/>
  <c r="FR18" i="6"/>
  <c r="EO105" i="6"/>
  <c r="EO101" i="6"/>
  <c r="EO97" i="6"/>
  <c r="EO93" i="6"/>
  <c r="EO89" i="6"/>
  <c r="EO85" i="6"/>
  <c r="EO81" i="6"/>
  <c r="EO76" i="6"/>
  <c r="EO72" i="6"/>
  <c r="EO68" i="6"/>
  <c r="EO64" i="6"/>
  <c r="EO58" i="6"/>
  <c r="EO54" i="6"/>
  <c r="EO50" i="6"/>
  <c r="EO46" i="6"/>
  <c r="EO42" i="6"/>
  <c r="EO38" i="6"/>
  <c r="EO34" i="6"/>
  <c r="EO30" i="6"/>
  <c r="EO26" i="6"/>
  <c r="EO22" i="6"/>
  <c r="EO18" i="6"/>
  <c r="EO14" i="6"/>
  <c r="EO10" i="6"/>
  <c r="EO6" i="6"/>
  <c r="GU108" i="6"/>
  <c r="GQ108" i="6"/>
  <c r="GM108" i="6"/>
  <c r="GI108" i="6"/>
  <c r="GE108" i="6"/>
  <c r="GA108" i="6"/>
  <c r="FW108" i="6"/>
  <c r="FS108" i="6"/>
  <c r="FO108" i="6"/>
  <c r="FK108" i="6"/>
  <c r="FG108" i="6"/>
  <c r="FC108" i="6"/>
  <c r="EY108" i="6"/>
  <c r="EU108" i="6"/>
  <c r="EQ108" i="6"/>
  <c r="GW107" i="6"/>
  <c r="GS107" i="6"/>
  <c r="GO107" i="6"/>
  <c r="GK107" i="6"/>
  <c r="GG107" i="6"/>
  <c r="GC107" i="6"/>
  <c r="FY107" i="6"/>
  <c r="FU107" i="6"/>
  <c r="FQ107" i="6"/>
  <c r="FM107" i="6"/>
  <c r="FI107" i="6"/>
  <c r="FE107" i="6"/>
  <c r="FA107" i="6"/>
  <c r="EW107" i="6"/>
  <c r="ES107" i="6"/>
  <c r="GU106" i="6"/>
  <c r="GQ106" i="6"/>
  <c r="GM106" i="6"/>
  <c r="GI106" i="6"/>
  <c r="GE106" i="6"/>
  <c r="GA106" i="6"/>
  <c r="FW106" i="6"/>
  <c r="FS106" i="6"/>
  <c r="FO106" i="6"/>
  <c r="FK106" i="6"/>
  <c r="FG106" i="6"/>
  <c r="FC106" i="6"/>
  <c r="EY106" i="6"/>
  <c r="EU106" i="6"/>
  <c r="EQ106" i="6"/>
  <c r="GW105" i="6"/>
  <c r="GS105" i="6"/>
  <c r="GO105" i="6"/>
  <c r="GK105" i="6"/>
  <c r="GG105" i="6"/>
  <c r="GC105" i="6"/>
  <c r="FY105" i="6"/>
  <c r="FU105" i="6"/>
  <c r="FQ105" i="6"/>
  <c r="FM105" i="6"/>
  <c r="FI105" i="6"/>
  <c r="FE105" i="6"/>
  <c r="FA105" i="6"/>
  <c r="EW105" i="6"/>
  <c r="ES105" i="6"/>
  <c r="GU104" i="6"/>
  <c r="GQ104" i="6"/>
  <c r="GM104" i="6"/>
  <c r="GI104" i="6"/>
  <c r="GE104" i="6"/>
  <c r="GA104" i="6"/>
  <c r="FW104" i="6"/>
  <c r="FS104" i="6"/>
  <c r="FO104" i="6"/>
  <c r="FK104" i="6"/>
  <c r="FG104" i="6"/>
  <c r="FC104" i="6"/>
  <c r="EY104" i="6"/>
  <c r="EU104" i="6"/>
  <c r="EQ104" i="6"/>
  <c r="GW103" i="6"/>
  <c r="GS103" i="6"/>
  <c r="GO103" i="6"/>
  <c r="GK103" i="6"/>
  <c r="GG103" i="6"/>
  <c r="GC103" i="6"/>
  <c r="FY103" i="6"/>
  <c r="FU103" i="6"/>
  <c r="FQ103" i="6"/>
  <c r="FM103" i="6"/>
  <c r="FI103" i="6"/>
  <c r="FE103" i="6"/>
  <c r="FA103" i="6"/>
  <c r="EW103" i="6"/>
  <c r="ES103" i="6"/>
  <c r="GU102" i="6"/>
  <c r="GQ102" i="6"/>
  <c r="GM102" i="6"/>
  <c r="GI102" i="6"/>
  <c r="GE102" i="6"/>
  <c r="GA102" i="6"/>
  <c r="FW102" i="6"/>
  <c r="FS102" i="6"/>
  <c r="FO102" i="6"/>
  <c r="FK102" i="6"/>
  <c r="FG102" i="6"/>
  <c r="FC102" i="6"/>
  <c r="EY102" i="6"/>
  <c r="EU102" i="6"/>
  <c r="EQ102" i="6"/>
  <c r="GW101" i="6"/>
  <c r="GS101" i="6"/>
  <c r="GO101" i="6"/>
  <c r="GK101" i="6"/>
  <c r="GG101" i="6"/>
  <c r="GC101" i="6"/>
  <c r="FY101" i="6"/>
  <c r="FU101" i="6"/>
  <c r="FQ101" i="6"/>
  <c r="FM101" i="6"/>
  <c r="FI101" i="6"/>
  <c r="FE101" i="6"/>
  <c r="FA101" i="6"/>
  <c r="EW101" i="6"/>
  <c r="ES101" i="6"/>
  <c r="GU100" i="6"/>
  <c r="GQ100" i="6"/>
  <c r="GM100" i="6"/>
  <c r="GI100" i="6"/>
  <c r="GE100" i="6"/>
  <c r="GA100" i="6"/>
  <c r="FW100" i="6"/>
  <c r="FS100" i="6"/>
  <c r="FO100" i="6"/>
  <c r="FK100" i="6"/>
  <c r="FG100" i="6"/>
  <c r="FC100" i="6"/>
  <c r="EY100" i="6"/>
  <c r="EU100" i="6"/>
  <c r="EQ100" i="6"/>
  <c r="GW99" i="6"/>
  <c r="GS99" i="6"/>
  <c r="GO99" i="6"/>
  <c r="GK99" i="6"/>
  <c r="GG99" i="6"/>
  <c r="GC99" i="6"/>
  <c r="FY99" i="6"/>
  <c r="FU99" i="6"/>
  <c r="FQ99" i="6"/>
  <c r="FM99" i="6"/>
  <c r="FI99" i="6"/>
  <c r="FE99" i="6"/>
  <c r="FA99" i="6"/>
  <c r="EW99" i="6"/>
  <c r="ES99" i="6"/>
  <c r="GU98" i="6"/>
  <c r="GQ98" i="6"/>
  <c r="GM98" i="6"/>
  <c r="GI98" i="6"/>
  <c r="GE98" i="6"/>
  <c r="GA98" i="6"/>
  <c r="FW98" i="6"/>
  <c r="FS98" i="6"/>
  <c r="FO98" i="6"/>
  <c r="FK98" i="6"/>
  <c r="FG98" i="6"/>
  <c r="FC98" i="6"/>
  <c r="EY98" i="6"/>
  <c r="EU98" i="6"/>
  <c r="EQ98" i="6"/>
  <c r="GW97" i="6"/>
  <c r="GS97" i="6"/>
  <c r="GO97" i="6"/>
  <c r="GK97" i="6"/>
  <c r="GG97" i="6"/>
  <c r="GC97" i="6"/>
  <c r="FY97" i="6"/>
  <c r="FU97" i="6"/>
  <c r="FQ97" i="6"/>
  <c r="FM97" i="6"/>
  <c r="FI97" i="6"/>
  <c r="FE97" i="6"/>
  <c r="FA97" i="6"/>
  <c r="EW97" i="6"/>
  <c r="ES97" i="6"/>
  <c r="GU96" i="6"/>
  <c r="GQ96" i="6"/>
  <c r="GM96" i="6"/>
  <c r="GI96" i="6"/>
  <c r="GE96" i="6"/>
  <c r="GA96" i="6"/>
  <c r="FW96" i="6"/>
  <c r="FS96" i="6"/>
  <c r="FO96" i="6"/>
  <c r="FK96" i="6"/>
  <c r="FG96" i="6"/>
  <c r="FC96" i="6"/>
  <c r="EY96" i="6"/>
  <c r="EU96" i="6"/>
  <c r="EQ96" i="6"/>
  <c r="GW95" i="6"/>
  <c r="GS95" i="6"/>
  <c r="GO95" i="6"/>
  <c r="GK95" i="6"/>
  <c r="GG95" i="6"/>
  <c r="GC95" i="6"/>
  <c r="FY95" i="6"/>
  <c r="FU95" i="6"/>
  <c r="FQ95" i="6"/>
  <c r="FM95" i="6"/>
  <c r="FI95" i="6"/>
  <c r="FE95" i="6"/>
  <c r="FA95" i="6"/>
  <c r="EW95" i="6"/>
  <c r="ES95" i="6"/>
  <c r="GU94" i="6"/>
  <c r="GQ94" i="6"/>
  <c r="GM94" i="6"/>
  <c r="GI94" i="6"/>
  <c r="GE94" i="6"/>
  <c r="GA94" i="6"/>
  <c r="FW94" i="6"/>
  <c r="FS94" i="6"/>
  <c r="FO94" i="6"/>
  <c r="FK94" i="6"/>
  <c r="FG94" i="6"/>
  <c r="FC94" i="6"/>
  <c r="EY94" i="6"/>
  <c r="EU94" i="6"/>
  <c r="EQ94" i="6"/>
  <c r="GW93" i="6"/>
  <c r="GS93" i="6"/>
  <c r="GO93" i="6"/>
  <c r="GK93" i="6"/>
  <c r="GG93" i="6"/>
  <c r="GC93" i="6"/>
  <c r="FY93" i="6"/>
  <c r="FU93" i="6"/>
  <c r="FQ93" i="6"/>
  <c r="FM93" i="6"/>
  <c r="FI93" i="6"/>
  <c r="FE93" i="6"/>
  <c r="FA93" i="6"/>
  <c r="EW93" i="6"/>
  <c r="ES93" i="6"/>
  <c r="GU92" i="6"/>
  <c r="GQ92" i="6"/>
  <c r="GM92" i="6"/>
  <c r="GI92" i="6"/>
  <c r="GE92" i="6"/>
  <c r="GA92" i="6"/>
  <c r="FW92" i="6"/>
  <c r="FS92" i="6"/>
  <c r="FO92" i="6"/>
  <c r="FK92" i="6"/>
  <c r="FG92" i="6"/>
  <c r="FC92" i="6"/>
  <c r="EY92" i="6"/>
  <c r="EU92" i="6"/>
  <c r="EQ92" i="6"/>
  <c r="GW91" i="6"/>
  <c r="GS91" i="6"/>
  <c r="GO91" i="6"/>
  <c r="GK91" i="6"/>
  <c r="GG91" i="6"/>
  <c r="GC91" i="6"/>
  <c r="FY91" i="6"/>
  <c r="FU91" i="6"/>
  <c r="FQ91" i="6"/>
  <c r="FM91" i="6"/>
  <c r="FI91" i="6"/>
  <c r="FE91" i="6"/>
  <c r="FA91" i="6"/>
  <c r="EW91" i="6"/>
  <c r="ES91" i="6"/>
  <c r="GU90" i="6"/>
  <c r="GQ90" i="6"/>
  <c r="GM90" i="6"/>
  <c r="GI90" i="6"/>
  <c r="GE90" i="6"/>
  <c r="GA90" i="6"/>
  <c r="FW90" i="6"/>
  <c r="FS90" i="6"/>
  <c r="FO90" i="6"/>
  <c r="FK90" i="6"/>
  <c r="FG90" i="6"/>
  <c r="FC90" i="6"/>
  <c r="EY90" i="6"/>
  <c r="EU90" i="6"/>
  <c r="EQ90" i="6"/>
  <c r="GW89" i="6"/>
  <c r="GS89" i="6"/>
  <c r="GO89" i="6"/>
  <c r="GK89" i="6"/>
  <c r="GG89" i="6"/>
  <c r="GC89" i="6"/>
  <c r="FY89" i="6"/>
  <c r="FU89" i="6"/>
  <c r="FQ89" i="6"/>
  <c r="FM89" i="6"/>
  <c r="FI89" i="6"/>
  <c r="FE89" i="6"/>
  <c r="FA89" i="6"/>
  <c r="EW89" i="6"/>
  <c r="ES89" i="6"/>
  <c r="GU88" i="6"/>
  <c r="GQ88" i="6"/>
  <c r="GM88" i="6"/>
  <c r="GI88" i="6"/>
  <c r="GE88" i="6"/>
  <c r="GA88" i="6"/>
  <c r="FW88" i="6"/>
  <c r="FS88" i="6"/>
  <c r="FO88" i="6"/>
  <c r="FK88" i="6"/>
  <c r="FG88" i="6"/>
  <c r="FC88" i="6"/>
  <c r="EY88" i="6"/>
  <c r="EU88" i="6"/>
  <c r="EQ88" i="6"/>
  <c r="GW87" i="6"/>
  <c r="GS87" i="6"/>
  <c r="GO87" i="6"/>
  <c r="GK87" i="6"/>
  <c r="GG87" i="6"/>
  <c r="GC87" i="6"/>
  <c r="FY87" i="6"/>
  <c r="FU87" i="6"/>
  <c r="FQ87" i="6"/>
  <c r="FM87" i="6"/>
  <c r="FI87" i="6"/>
  <c r="FE87" i="6"/>
  <c r="FA87" i="6"/>
  <c r="EW87" i="6"/>
  <c r="ES87" i="6"/>
  <c r="GU86" i="6"/>
  <c r="GQ86" i="6"/>
  <c r="GM86" i="6"/>
  <c r="GI86" i="6"/>
  <c r="GE86" i="6"/>
  <c r="GA86" i="6"/>
  <c r="FW86" i="6"/>
  <c r="FS86" i="6"/>
  <c r="FO86" i="6"/>
  <c r="FK86" i="6"/>
  <c r="FG86" i="6"/>
  <c r="FC86" i="6"/>
  <c r="EY86" i="6"/>
  <c r="EU86" i="6"/>
  <c r="EQ86" i="6"/>
  <c r="GW85" i="6"/>
  <c r="GS85" i="6"/>
  <c r="GO85" i="6"/>
  <c r="GK85" i="6"/>
  <c r="GG85" i="6"/>
  <c r="GC85" i="6"/>
  <c r="FY85" i="6"/>
  <c r="FU85" i="6"/>
  <c r="FQ85" i="6"/>
  <c r="FM85" i="6"/>
  <c r="FI85" i="6"/>
  <c r="FE85" i="6"/>
  <c r="FA85" i="6"/>
  <c r="EW85" i="6"/>
  <c r="ES85" i="6"/>
  <c r="GU84" i="6"/>
  <c r="GQ84" i="6"/>
  <c r="GM84" i="6"/>
  <c r="GI84" i="6"/>
  <c r="GE84" i="6"/>
  <c r="GA84" i="6"/>
  <c r="FW84" i="6"/>
  <c r="FS84" i="6"/>
  <c r="FO84" i="6"/>
  <c r="FK84" i="6"/>
  <c r="FG84" i="6"/>
  <c r="FC84" i="6"/>
  <c r="EY84" i="6"/>
  <c r="EU84" i="6"/>
  <c r="EQ84" i="6"/>
  <c r="GW83" i="6"/>
  <c r="GS83" i="6"/>
  <c r="GO83" i="6"/>
  <c r="GK83" i="6"/>
  <c r="GG83" i="6"/>
  <c r="GC83" i="6"/>
  <c r="FY83" i="6"/>
  <c r="FU83" i="6"/>
  <c r="FQ83" i="6"/>
  <c r="FM83" i="6"/>
  <c r="FI83" i="6"/>
  <c r="FE83" i="6"/>
  <c r="FA83" i="6"/>
  <c r="EW83" i="6"/>
  <c r="ES83" i="6"/>
  <c r="GU82" i="6"/>
  <c r="GQ82" i="6"/>
  <c r="GM82" i="6"/>
  <c r="GI82" i="6"/>
  <c r="GE82" i="6"/>
  <c r="GA82" i="6"/>
  <c r="FW82" i="6"/>
  <c r="FS82" i="6"/>
  <c r="FO82" i="6"/>
  <c r="FK82" i="6"/>
  <c r="FG82" i="6"/>
  <c r="FC82" i="6"/>
  <c r="EY82" i="6"/>
  <c r="EU82" i="6"/>
  <c r="EQ82" i="6"/>
  <c r="GW81" i="6"/>
  <c r="GS81" i="6"/>
  <c r="GO81" i="6"/>
  <c r="GK81" i="6"/>
  <c r="GG81" i="6"/>
  <c r="GC81" i="6"/>
  <c r="FY81" i="6"/>
  <c r="FU81" i="6"/>
  <c r="FQ81" i="6"/>
  <c r="FM81" i="6"/>
  <c r="FI81" i="6"/>
  <c r="FE81" i="6"/>
  <c r="FA81" i="6"/>
  <c r="EW81" i="6"/>
  <c r="ES81" i="6"/>
  <c r="GU79" i="6"/>
  <c r="GQ79" i="6"/>
  <c r="GM79" i="6"/>
  <c r="GI79" i="6"/>
  <c r="GE79" i="6"/>
  <c r="GA79" i="6"/>
  <c r="FW79" i="6"/>
  <c r="FS79" i="6"/>
  <c r="FO79" i="6"/>
  <c r="FK79" i="6"/>
  <c r="FG79" i="6"/>
  <c r="FC79" i="6"/>
  <c r="EY79" i="6"/>
  <c r="EU79" i="6"/>
  <c r="EQ79" i="6"/>
  <c r="GW78" i="6"/>
  <c r="GS78" i="6"/>
  <c r="GO78" i="6"/>
  <c r="GK78" i="6"/>
  <c r="GG78" i="6"/>
  <c r="GC78" i="6"/>
  <c r="FY78" i="6"/>
  <c r="FU78" i="6"/>
  <c r="FQ78" i="6"/>
  <c r="FM78" i="6"/>
  <c r="FI78" i="6"/>
  <c r="FE78" i="6"/>
  <c r="FA78" i="6"/>
  <c r="EW78" i="6"/>
  <c r="ES78" i="6"/>
  <c r="GU77" i="6"/>
  <c r="GQ77" i="6"/>
  <c r="GM77" i="6"/>
  <c r="GI77" i="6"/>
  <c r="GE77" i="6"/>
  <c r="GA77" i="6"/>
  <c r="FW77" i="6"/>
  <c r="FS77" i="6"/>
  <c r="FO77" i="6"/>
  <c r="FK77" i="6"/>
  <c r="FG77" i="6"/>
  <c r="FC77" i="6"/>
  <c r="EY77" i="6"/>
  <c r="EU77" i="6"/>
  <c r="EQ77" i="6"/>
  <c r="GW76" i="6"/>
  <c r="GS76" i="6"/>
  <c r="GO76" i="6"/>
  <c r="GK76" i="6"/>
  <c r="GG76" i="6"/>
  <c r="GC76" i="6"/>
  <c r="FY76" i="6"/>
  <c r="FU76" i="6"/>
  <c r="FQ76" i="6"/>
  <c r="FM76" i="6"/>
  <c r="FI76" i="6"/>
  <c r="FE76" i="6"/>
  <c r="FA76" i="6"/>
  <c r="EW76" i="6"/>
  <c r="ES76" i="6"/>
  <c r="GU75" i="6"/>
  <c r="GQ75" i="6"/>
  <c r="GM75" i="6"/>
  <c r="GI75" i="6"/>
  <c r="GE75" i="6"/>
  <c r="GA75" i="6"/>
  <c r="FW75" i="6"/>
  <c r="FS75" i="6"/>
  <c r="FO75" i="6"/>
  <c r="FK75" i="6"/>
  <c r="FG75" i="6"/>
  <c r="FC75" i="6"/>
  <c r="EY75" i="6"/>
  <c r="EU75" i="6"/>
  <c r="EQ75" i="6"/>
  <c r="GW74" i="6"/>
  <c r="GS74" i="6"/>
  <c r="GO74" i="6"/>
  <c r="GK74" i="6"/>
  <c r="GG74" i="6"/>
  <c r="GC74" i="6"/>
  <c r="FY74" i="6"/>
  <c r="FU74" i="6"/>
  <c r="FQ74" i="6"/>
  <c r="FM74" i="6"/>
  <c r="FI74" i="6"/>
  <c r="FE74" i="6"/>
  <c r="FA74" i="6"/>
  <c r="EW74" i="6"/>
  <c r="ES74" i="6"/>
  <c r="GU73" i="6"/>
  <c r="GQ73" i="6"/>
  <c r="GM73" i="6"/>
  <c r="GI73" i="6"/>
  <c r="GE73" i="6"/>
  <c r="GA73" i="6"/>
  <c r="FW73" i="6"/>
  <c r="FS73" i="6"/>
  <c r="FO73" i="6"/>
  <c r="FK73" i="6"/>
  <c r="FG73" i="6"/>
  <c r="FC73" i="6"/>
  <c r="EY73" i="6"/>
  <c r="EU73" i="6"/>
  <c r="EQ73" i="6"/>
  <c r="GW72" i="6"/>
  <c r="GS72" i="6"/>
  <c r="GO72" i="6"/>
  <c r="GK72" i="6"/>
  <c r="GG72" i="6"/>
  <c r="GC72" i="6"/>
  <c r="FY72" i="6"/>
  <c r="FU72" i="6"/>
  <c r="FQ72" i="6"/>
  <c r="FM72" i="6"/>
  <c r="FI72" i="6"/>
  <c r="FE72" i="6"/>
  <c r="FA72" i="6"/>
  <c r="EW72" i="6"/>
  <c r="ES72" i="6"/>
  <c r="GU71" i="6"/>
  <c r="GQ71" i="6"/>
  <c r="GM71" i="6"/>
  <c r="GI71" i="6"/>
  <c r="GE71" i="6"/>
  <c r="GA71" i="6"/>
  <c r="FW71" i="6"/>
  <c r="FS71" i="6"/>
  <c r="FO71" i="6"/>
  <c r="FK71" i="6"/>
  <c r="FG71" i="6"/>
  <c r="FC71" i="6"/>
  <c r="EY71" i="6"/>
  <c r="EU71" i="6"/>
  <c r="EQ71" i="6"/>
  <c r="GW70" i="6"/>
  <c r="GS70" i="6"/>
  <c r="GO70" i="6"/>
  <c r="GK70" i="6"/>
  <c r="GG70" i="6"/>
  <c r="GC70" i="6"/>
  <c r="FY70" i="6"/>
  <c r="FU70" i="6"/>
  <c r="FQ70" i="6"/>
  <c r="FM70" i="6"/>
  <c r="FI70" i="6"/>
  <c r="FE70" i="6"/>
  <c r="FA70" i="6"/>
  <c r="EW70" i="6"/>
  <c r="ES70" i="6"/>
  <c r="GU69" i="6"/>
  <c r="GQ69" i="6"/>
  <c r="GM69" i="6"/>
  <c r="GI69" i="6"/>
  <c r="GE69" i="6"/>
  <c r="GA69" i="6"/>
  <c r="FW69" i="6"/>
  <c r="FS69" i="6"/>
  <c r="FO69" i="6"/>
  <c r="FK69" i="6"/>
  <c r="FG69" i="6"/>
  <c r="FC69" i="6"/>
  <c r="EY69" i="6"/>
  <c r="EU69" i="6"/>
  <c r="EQ69" i="6"/>
  <c r="GW68" i="6"/>
  <c r="GS68" i="6"/>
  <c r="GO68" i="6"/>
  <c r="GK68" i="6"/>
  <c r="GG68" i="6"/>
  <c r="GC68" i="6"/>
  <c r="FY68" i="6"/>
  <c r="FU68" i="6"/>
  <c r="FQ68" i="6"/>
  <c r="FM68" i="6"/>
  <c r="FI68" i="6"/>
  <c r="FE68" i="6"/>
  <c r="FA68" i="6"/>
  <c r="EW68" i="6"/>
  <c r="ES68" i="6"/>
  <c r="GU67" i="6"/>
  <c r="GQ67" i="6"/>
  <c r="GM67" i="6"/>
  <c r="GI67" i="6"/>
  <c r="GE67" i="6"/>
  <c r="GA67" i="6"/>
  <c r="FW67" i="6"/>
  <c r="FS67" i="6"/>
  <c r="FO67" i="6"/>
  <c r="FK67" i="6"/>
  <c r="FG67" i="6"/>
  <c r="FC67" i="6"/>
  <c r="EY67" i="6"/>
  <c r="EU67" i="6"/>
  <c r="EQ67" i="6"/>
  <c r="ER103" i="6"/>
  <c r="GT102" i="6"/>
  <c r="GP102" i="6"/>
  <c r="GL102" i="6"/>
  <c r="GH102" i="6"/>
  <c r="GD102" i="6"/>
  <c r="FZ102" i="6"/>
  <c r="FV102" i="6"/>
  <c r="FR102" i="6"/>
  <c r="FN102" i="6"/>
  <c r="FJ102" i="6"/>
  <c r="FF102" i="6"/>
  <c r="FB102" i="6"/>
  <c r="EX102" i="6"/>
  <c r="ET102" i="6"/>
  <c r="GV101" i="6"/>
  <c r="GR101" i="6"/>
  <c r="GN101" i="6"/>
  <c r="GJ101" i="6"/>
  <c r="GF101" i="6"/>
  <c r="GB101" i="6"/>
  <c r="FX101" i="6"/>
  <c r="FT101" i="6"/>
  <c r="FP101" i="6"/>
  <c r="FL101" i="6"/>
  <c r="FH101" i="6"/>
  <c r="FD101" i="6"/>
  <c r="EZ101" i="6"/>
  <c r="EV101" i="6"/>
  <c r="ER101" i="6"/>
  <c r="GT100" i="6"/>
  <c r="GP100" i="6"/>
  <c r="GL100" i="6"/>
  <c r="GH100" i="6"/>
  <c r="GD100" i="6"/>
  <c r="FZ100" i="6"/>
  <c r="FV100" i="6"/>
  <c r="FR100" i="6"/>
  <c r="FN100" i="6"/>
  <c r="FJ100" i="6"/>
  <c r="FF100" i="6"/>
  <c r="FB100" i="6"/>
  <c r="EX100" i="6"/>
  <c r="ET100" i="6"/>
  <c r="GV99" i="6"/>
  <c r="GR99" i="6"/>
  <c r="GN99" i="6"/>
  <c r="GJ99" i="6"/>
  <c r="GF99" i="6"/>
  <c r="GB99" i="6"/>
  <c r="FX99" i="6"/>
  <c r="FT99" i="6"/>
  <c r="FP99" i="6"/>
  <c r="FL99" i="6"/>
  <c r="FH99" i="6"/>
  <c r="FD99" i="6"/>
  <c r="EZ99" i="6"/>
  <c r="EV99" i="6"/>
  <c r="ER99" i="6"/>
  <c r="GT98" i="6"/>
  <c r="GP98" i="6"/>
  <c r="GL98" i="6"/>
  <c r="GH98" i="6"/>
  <c r="GD98" i="6"/>
  <c r="FZ98" i="6"/>
  <c r="FV98" i="6"/>
  <c r="FR98" i="6"/>
  <c r="FN98" i="6"/>
  <c r="FJ98" i="6"/>
  <c r="FF98" i="6"/>
  <c r="FB98" i="6"/>
  <c r="EX98" i="6"/>
  <c r="ET98" i="6"/>
  <c r="GV97" i="6"/>
  <c r="GR97" i="6"/>
  <c r="GN97" i="6"/>
  <c r="GJ97" i="6"/>
  <c r="GF97" i="6"/>
  <c r="GB97" i="6"/>
  <c r="FX97" i="6"/>
  <c r="FT97" i="6"/>
  <c r="FP97" i="6"/>
  <c r="FL97" i="6"/>
  <c r="FH97" i="6"/>
  <c r="FD97" i="6"/>
  <c r="EZ97" i="6"/>
  <c r="EV97" i="6"/>
  <c r="ER97" i="6"/>
  <c r="GT96" i="6"/>
  <c r="GP96" i="6"/>
  <c r="GL96" i="6"/>
  <c r="GH96" i="6"/>
  <c r="GD96" i="6"/>
  <c r="FZ96" i="6"/>
  <c r="FV96" i="6"/>
  <c r="FR96" i="6"/>
  <c r="FN96" i="6"/>
  <c r="FJ96" i="6"/>
  <c r="FF96" i="6"/>
  <c r="FB96" i="6"/>
  <c r="EX96" i="6"/>
  <c r="ET96" i="6"/>
  <c r="GV95" i="6"/>
  <c r="GR95" i="6"/>
  <c r="GN95" i="6"/>
  <c r="GJ95" i="6"/>
  <c r="GF95" i="6"/>
  <c r="GB95" i="6"/>
  <c r="FX95" i="6"/>
  <c r="FT95" i="6"/>
  <c r="FP95" i="6"/>
  <c r="FL95" i="6"/>
  <c r="FH95" i="6"/>
  <c r="FD95" i="6"/>
  <c r="EZ95" i="6"/>
  <c r="EV95" i="6"/>
  <c r="ER95" i="6"/>
  <c r="GT94" i="6"/>
  <c r="GP94" i="6"/>
  <c r="GL94" i="6"/>
  <c r="GH94" i="6"/>
  <c r="GD94" i="6"/>
  <c r="FZ94" i="6"/>
  <c r="FV94" i="6"/>
  <c r="FR94" i="6"/>
  <c r="FN94" i="6"/>
  <c r="FJ94" i="6"/>
  <c r="FF94" i="6"/>
  <c r="FB94" i="6"/>
  <c r="EX94" i="6"/>
  <c r="ET94" i="6"/>
  <c r="GV93" i="6"/>
  <c r="GR93" i="6"/>
  <c r="GN93" i="6"/>
  <c r="GJ93" i="6"/>
  <c r="GF93" i="6"/>
  <c r="GB93" i="6"/>
  <c r="FX93" i="6"/>
  <c r="FT93" i="6"/>
  <c r="FP93" i="6"/>
  <c r="FL93" i="6"/>
  <c r="FH93" i="6"/>
  <c r="FD93" i="6"/>
  <c r="EZ93" i="6"/>
  <c r="EV93" i="6"/>
  <c r="ER93" i="6"/>
  <c r="GT92" i="6"/>
  <c r="GP92" i="6"/>
  <c r="GL92" i="6"/>
  <c r="GH92" i="6"/>
  <c r="GD92" i="6"/>
  <c r="FZ92" i="6"/>
  <c r="FV92" i="6"/>
  <c r="FR92" i="6"/>
  <c r="FN92" i="6"/>
  <c r="FJ92" i="6"/>
  <c r="FF92" i="6"/>
  <c r="FB92" i="6"/>
  <c r="EX92" i="6"/>
  <c r="ET92" i="6"/>
  <c r="GV91" i="6"/>
  <c r="GR91" i="6"/>
  <c r="GN91" i="6"/>
  <c r="GJ91" i="6"/>
  <c r="GF91" i="6"/>
  <c r="GB91" i="6"/>
  <c r="FX91" i="6"/>
  <c r="FT91" i="6"/>
  <c r="FP91" i="6"/>
  <c r="FL91" i="6"/>
  <c r="FH91" i="6"/>
  <c r="FD91" i="6"/>
  <c r="EZ91" i="6"/>
  <c r="EV91" i="6"/>
  <c r="ER91" i="6"/>
  <c r="GT90" i="6"/>
  <c r="GP90" i="6"/>
  <c r="GL90" i="6"/>
  <c r="GH90" i="6"/>
  <c r="GD90" i="6"/>
  <c r="FZ90" i="6"/>
  <c r="FV90" i="6"/>
  <c r="FR90" i="6"/>
  <c r="FN90" i="6"/>
  <c r="FJ90" i="6"/>
  <c r="FF90" i="6"/>
  <c r="FB90" i="6"/>
  <c r="EX90" i="6"/>
  <c r="ET90" i="6"/>
  <c r="GV89" i="6"/>
  <c r="GR89" i="6"/>
  <c r="GN89" i="6"/>
  <c r="GJ89" i="6"/>
  <c r="GF89" i="6"/>
  <c r="GB89" i="6"/>
  <c r="FX89" i="6"/>
  <c r="FT89" i="6"/>
  <c r="FP89" i="6"/>
  <c r="FL89" i="6"/>
  <c r="FH89" i="6"/>
  <c r="FD89" i="6"/>
  <c r="EZ89" i="6"/>
  <c r="EV89" i="6"/>
  <c r="ER89" i="6"/>
  <c r="GT88" i="6"/>
  <c r="GP88" i="6"/>
  <c r="GL88" i="6"/>
  <c r="GH88" i="6"/>
  <c r="GD88" i="6"/>
  <c r="FZ88" i="6"/>
  <c r="FV88" i="6"/>
  <c r="FR88" i="6"/>
  <c r="FN88" i="6"/>
  <c r="FJ88" i="6"/>
  <c r="FF88" i="6"/>
  <c r="FB88" i="6"/>
  <c r="EX88" i="6"/>
  <c r="ET88" i="6"/>
  <c r="GV87" i="6"/>
  <c r="GR87" i="6"/>
  <c r="GN87" i="6"/>
  <c r="GJ87" i="6"/>
  <c r="GF87" i="6"/>
  <c r="GB87" i="6"/>
  <c r="FX87" i="6"/>
  <c r="FT87" i="6"/>
  <c r="FP87" i="6"/>
  <c r="FL87" i="6"/>
  <c r="FH87" i="6"/>
  <c r="FD87" i="6"/>
  <c r="EZ87" i="6"/>
  <c r="EV87" i="6"/>
  <c r="ER87" i="6"/>
  <c r="GT86" i="6"/>
  <c r="GP86" i="6"/>
  <c r="GL86" i="6"/>
  <c r="GH86" i="6"/>
  <c r="GD86" i="6"/>
  <c r="FZ86" i="6"/>
  <c r="FV86" i="6"/>
  <c r="FR86" i="6"/>
  <c r="FN86" i="6"/>
  <c r="FJ86" i="6"/>
  <c r="FF86" i="6"/>
  <c r="FB86" i="6"/>
  <c r="EX86" i="6"/>
  <c r="ET86" i="6"/>
  <c r="GV85" i="6"/>
  <c r="GR85" i="6"/>
  <c r="GN85" i="6"/>
  <c r="GJ85" i="6"/>
  <c r="GF85" i="6"/>
  <c r="GB85" i="6"/>
  <c r="FX85" i="6"/>
  <c r="FT85" i="6"/>
  <c r="FP85" i="6"/>
  <c r="FL85" i="6"/>
  <c r="FH85" i="6"/>
  <c r="FD85" i="6"/>
  <c r="EZ85" i="6"/>
  <c r="EV85" i="6"/>
  <c r="ER85" i="6"/>
  <c r="GT84" i="6"/>
  <c r="GP84" i="6"/>
  <c r="GL84" i="6"/>
  <c r="GH84" i="6"/>
  <c r="GD84" i="6"/>
  <c r="FZ84" i="6"/>
  <c r="FV84" i="6"/>
  <c r="FR84" i="6"/>
  <c r="FN84" i="6"/>
  <c r="FJ84" i="6"/>
  <c r="FF84" i="6"/>
  <c r="FB84" i="6"/>
  <c r="EX84" i="6"/>
  <c r="ET84" i="6"/>
  <c r="GV83" i="6"/>
  <c r="GR83" i="6"/>
  <c r="GN83" i="6"/>
  <c r="GJ83" i="6"/>
  <c r="GF83" i="6"/>
  <c r="GB83" i="6"/>
  <c r="FX83" i="6"/>
  <c r="FT83" i="6"/>
  <c r="FP83" i="6"/>
  <c r="FL83" i="6"/>
  <c r="FH83" i="6"/>
  <c r="FD83" i="6"/>
  <c r="EZ83" i="6"/>
  <c r="EV83" i="6"/>
  <c r="ER83" i="6"/>
  <c r="GT82" i="6"/>
  <c r="GP82" i="6"/>
  <c r="GL82" i="6"/>
  <c r="GH82" i="6"/>
  <c r="GD82" i="6"/>
  <c r="FZ82" i="6"/>
  <c r="FV82" i="6"/>
  <c r="FR82" i="6"/>
  <c r="FN82" i="6"/>
  <c r="FJ82" i="6"/>
  <c r="FF82" i="6"/>
  <c r="FB82" i="6"/>
  <c r="EX82" i="6"/>
  <c r="ET82" i="6"/>
  <c r="GV81" i="6"/>
  <c r="GR81" i="6"/>
  <c r="GN81" i="6"/>
  <c r="GJ81" i="6"/>
  <c r="GF81" i="6"/>
  <c r="GB81" i="6"/>
  <c r="FX81" i="6"/>
  <c r="FT81" i="6"/>
  <c r="FP81" i="6"/>
  <c r="FL81" i="6"/>
  <c r="FH81" i="6"/>
  <c r="FD81" i="6"/>
  <c r="EZ81" i="6"/>
  <c r="EV81" i="6"/>
  <c r="ER81" i="6"/>
  <c r="GT79" i="6"/>
  <c r="GP79" i="6"/>
  <c r="GL79" i="6"/>
  <c r="GH79" i="6"/>
  <c r="GD79" i="6"/>
  <c r="FZ79" i="6"/>
  <c r="FV79" i="6"/>
  <c r="FR79" i="6"/>
  <c r="FN79" i="6"/>
  <c r="FJ79" i="6"/>
  <c r="FF79" i="6"/>
  <c r="FB79" i="6"/>
  <c r="EX79" i="6"/>
  <c r="ET79" i="6"/>
  <c r="GV78" i="6"/>
  <c r="GR78" i="6"/>
  <c r="GN78" i="6"/>
  <c r="GJ78" i="6"/>
  <c r="GF78" i="6"/>
  <c r="GB78" i="6"/>
  <c r="FX78" i="6"/>
  <c r="FT78" i="6"/>
  <c r="FP78" i="6"/>
  <c r="FL78" i="6"/>
  <c r="FH78" i="6"/>
  <c r="FD78" i="6"/>
  <c r="EZ78" i="6"/>
  <c r="EV78" i="6"/>
  <c r="ER78" i="6"/>
  <c r="GT77" i="6"/>
  <c r="GP77" i="6"/>
  <c r="GL77" i="6"/>
  <c r="GH77" i="6"/>
  <c r="GD77" i="6"/>
  <c r="FZ77" i="6"/>
  <c r="FV77" i="6"/>
  <c r="FR77" i="6"/>
  <c r="FN77" i="6"/>
  <c r="FJ77" i="6"/>
  <c r="FF77" i="6"/>
  <c r="FB77" i="6"/>
  <c r="EX77" i="6"/>
  <c r="ET77" i="6"/>
  <c r="GV76" i="6"/>
  <c r="GR76" i="6"/>
  <c r="GN76" i="6"/>
  <c r="GJ76" i="6"/>
  <c r="GF76" i="6"/>
  <c r="GB76" i="6"/>
  <c r="FX76" i="6"/>
  <c r="FT76" i="6"/>
  <c r="FP76" i="6"/>
  <c r="FL76" i="6"/>
  <c r="FH76" i="6"/>
  <c r="FD76" i="6"/>
  <c r="EZ76" i="6"/>
  <c r="EV76" i="6"/>
  <c r="ER76" i="6"/>
  <c r="GT75" i="6"/>
  <c r="GP75" i="6"/>
  <c r="GL75" i="6"/>
  <c r="GH75" i="6"/>
  <c r="GD75" i="6"/>
  <c r="FZ75" i="6"/>
  <c r="FV75" i="6"/>
  <c r="FR75" i="6"/>
  <c r="FN75" i="6"/>
  <c r="FJ75" i="6"/>
  <c r="FF75" i="6"/>
  <c r="FB75" i="6"/>
  <c r="EX75" i="6"/>
  <c r="ET75" i="6"/>
  <c r="GV74" i="6"/>
  <c r="GR74" i="6"/>
  <c r="GN74" i="6"/>
  <c r="GJ74" i="6"/>
  <c r="GF74" i="6"/>
  <c r="GB74" i="6"/>
  <c r="FX74" i="6"/>
  <c r="FT74" i="6"/>
  <c r="FP74" i="6"/>
  <c r="FL74" i="6"/>
  <c r="FH74" i="6"/>
  <c r="FD74" i="6"/>
  <c r="EZ74" i="6"/>
  <c r="EV74" i="6"/>
  <c r="ER74" i="6"/>
  <c r="GT73" i="6"/>
  <c r="GP73" i="6"/>
  <c r="GL73" i="6"/>
  <c r="GH73" i="6"/>
  <c r="GD73" i="6"/>
  <c r="FZ73" i="6"/>
  <c r="FV73" i="6"/>
  <c r="FR73" i="6"/>
  <c r="FN73" i="6"/>
  <c r="FJ73" i="6"/>
  <c r="FF73" i="6"/>
  <c r="FB73" i="6"/>
  <c r="EX73" i="6"/>
  <c r="ET73" i="6"/>
  <c r="GV72" i="6"/>
  <c r="GR72" i="6"/>
  <c r="GN72" i="6"/>
  <c r="GJ72" i="6"/>
  <c r="GF72" i="6"/>
  <c r="GB72" i="6"/>
  <c r="FX72" i="6"/>
  <c r="FT72" i="6"/>
  <c r="FP72" i="6"/>
  <c r="FL72" i="6"/>
  <c r="FH72" i="6"/>
  <c r="FD72" i="6"/>
  <c r="EZ72" i="6"/>
  <c r="EV72" i="6"/>
  <c r="ER72" i="6"/>
  <c r="GT71" i="6"/>
  <c r="GP71" i="6"/>
  <c r="GL71" i="6"/>
  <c r="GH71" i="6"/>
  <c r="GD71" i="6"/>
  <c r="FZ71" i="6"/>
  <c r="FV71" i="6"/>
  <c r="FR71" i="6"/>
  <c r="FN71" i="6"/>
  <c r="FJ71" i="6"/>
  <c r="FF71" i="6"/>
  <c r="FB71" i="6"/>
  <c r="EX71" i="6"/>
  <c r="ET71" i="6"/>
  <c r="GV70" i="6"/>
  <c r="GR70" i="6"/>
  <c r="GN70" i="6"/>
  <c r="GJ70" i="6"/>
  <c r="GF70" i="6"/>
  <c r="GB70" i="6"/>
  <c r="FX70" i="6"/>
  <c r="FT70" i="6"/>
  <c r="FP70" i="6"/>
  <c r="FL70" i="6"/>
  <c r="FH70" i="6"/>
  <c r="FD70" i="6"/>
  <c r="EZ70" i="6"/>
  <c r="EV70" i="6"/>
  <c r="ER70" i="6"/>
  <c r="GT69" i="6"/>
  <c r="GP69" i="6"/>
  <c r="GL69" i="6"/>
  <c r="GH69" i="6"/>
  <c r="GD69" i="6"/>
  <c r="FZ69" i="6"/>
  <c r="FV69" i="6"/>
  <c r="FR69" i="6"/>
  <c r="FN69" i="6"/>
  <c r="FJ69" i="6"/>
  <c r="FF69" i="6"/>
  <c r="FB69" i="6"/>
  <c r="EX69" i="6"/>
  <c r="ET69" i="6"/>
  <c r="GV68" i="6"/>
  <c r="GR68" i="6"/>
  <c r="GN68" i="6"/>
  <c r="GJ68" i="6"/>
  <c r="GF68" i="6"/>
  <c r="GB68" i="6"/>
  <c r="FX68" i="6"/>
  <c r="FT68" i="6"/>
  <c r="FP68" i="6"/>
  <c r="FL68" i="6"/>
  <c r="FH68" i="6"/>
  <c r="FD68" i="6"/>
  <c r="EZ68" i="6"/>
  <c r="EV68" i="6"/>
  <c r="ER68" i="6"/>
  <c r="GT67" i="6"/>
  <c r="GP67" i="6"/>
  <c r="GL67" i="6"/>
  <c r="GH67" i="6"/>
  <c r="GD67" i="6"/>
  <c r="FZ67" i="6"/>
  <c r="FV67" i="6"/>
  <c r="FR67" i="6"/>
  <c r="FN67" i="6"/>
  <c r="FJ67" i="6"/>
  <c r="FF67" i="6"/>
  <c r="FB67" i="6"/>
  <c r="EX67" i="6"/>
  <c r="ET67" i="6"/>
  <c r="GV66" i="6"/>
  <c r="GR66" i="6"/>
  <c r="GN66" i="6"/>
  <c r="GJ66" i="6"/>
  <c r="GF66" i="6"/>
  <c r="GB66" i="6"/>
  <c r="FX66" i="6"/>
  <c r="FT66" i="6"/>
  <c r="FP66" i="6"/>
  <c r="FL66" i="6"/>
  <c r="FH66" i="6"/>
  <c r="FD66" i="6"/>
  <c r="EZ66" i="6"/>
  <c r="EV66" i="6"/>
  <c r="ER66" i="6"/>
  <c r="GT65" i="6"/>
  <c r="GP65" i="6"/>
  <c r="GL65" i="6"/>
  <c r="GH65" i="6"/>
  <c r="GD65" i="6"/>
  <c r="FZ65" i="6"/>
  <c r="FV65" i="6"/>
  <c r="FR65" i="6"/>
  <c r="FN65" i="6"/>
  <c r="FJ65" i="6"/>
  <c r="FF65" i="6"/>
  <c r="FB65" i="6"/>
  <c r="EX65" i="6"/>
  <c r="ET65" i="6"/>
  <c r="GV64" i="6"/>
  <c r="GR64" i="6"/>
  <c r="GN64" i="6"/>
  <c r="GJ64" i="6"/>
  <c r="GF64" i="6"/>
  <c r="GB64" i="6"/>
  <c r="FX64" i="6"/>
  <c r="FT64" i="6"/>
  <c r="FP64" i="6"/>
  <c r="FL64" i="6"/>
  <c r="FH64" i="6"/>
  <c r="FD64" i="6"/>
  <c r="EZ64" i="6"/>
  <c r="EV64" i="6"/>
  <c r="ER64" i="6"/>
  <c r="GT62" i="6"/>
  <c r="GP62" i="6"/>
  <c r="GL62" i="6"/>
  <c r="GH62" i="6"/>
  <c r="GD62" i="6"/>
  <c r="FZ62" i="6"/>
  <c r="FV62" i="6"/>
  <c r="FR62" i="6"/>
  <c r="FN62" i="6"/>
  <c r="FJ62" i="6"/>
  <c r="FF62" i="6"/>
  <c r="FB62" i="6"/>
  <c r="EX62" i="6"/>
  <c r="ET62" i="6"/>
  <c r="GV60" i="6"/>
  <c r="GR60" i="6"/>
  <c r="GN60" i="6"/>
  <c r="GJ60" i="6"/>
  <c r="GF60" i="6"/>
  <c r="GB60" i="6"/>
  <c r="FX60" i="6"/>
  <c r="FT60" i="6"/>
  <c r="FP60" i="6"/>
  <c r="FL60" i="6"/>
  <c r="FH60" i="6"/>
  <c r="FD60" i="6"/>
  <c r="EZ60" i="6"/>
  <c r="EV60" i="6"/>
  <c r="ER60" i="6"/>
  <c r="GT59" i="6"/>
  <c r="GP59" i="6"/>
  <c r="GL59" i="6"/>
  <c r="GH59" i="6"/>
  <c r="GD59" i="6"/>
  <c r="FZ59" i="6"/>
  <c r="FV59" i="6"/>
  <c r="FR59" i="6"/>
  <c r="FN59" i="6"/>
  <c r="FJ59" i="6"/>
  <c r="FF59" i="6"/>
  <c r="FB59" i="6"/>
  <c r="EX59" i="6"/>
  <c r="ET59" i="6"/>
  <c r="GV58" i="6"/>
  <c r="GR58" i="6"/>
  <c r="GN58" i="6"/>
  <c r="GJ58" i="6"/>
  <c r="GF58" i="6"/>
  <c r="GB58" i="6"/>
  <c r="FX58" i="6"/>
  <c r="FT58" i="6"/>
  <c r="FP58" i="6"/>
  <c r="FL58" i="6"/>
  <c r="FH58" i="6"/>
  <c r="FD58" i="6"/>
  <c r="EZ58" i="6"/>
  <c r="EV58" i="6"/>
  <c r="ER58" i="6"/>
  <c r="GT57" i="6"/>
  <c r="GP57" i="6"/>
  <c r="GL57" i="6"/>
  <c r="GH57" i="6"/>
  <c r="GD57" i="6"/>
  <c r="FZ57" i="6"/>
  <c r="FV57" i="6"/>
  <c r="FR57" i="6"/>
  <c r="FN57" i="6"/>
  <c r="FJ57" i="6"/>
  <c r="FF57" i="6"/>
  <c r="FB57" i="6"/>
  <c r="EX57" i="6"/>
  <c r="ET57" i="6"/>
  <c r="GV56" i="6"/>
  <c r="GR56" i="6"/>
  <c r="GN56" i="6"/>
  <c r="GJ56" i="6"/>
  <c r="GF56" i="6"/>
  <c r="GB56" i="6"/>
  <c r="FX56" i="6"/>
  <c r="FT56" i="6"/>
  <c r="FP56" i="6"/>
  <c r="FL56" i="6"/>
  <c r="FH56" i="6"/>
  <c r="FD56" i="6"/>
  <c r="EZ56" i="6"/>
  <c r="EV56" i="6"/>
  <c r="ER56" i="6"/>
  <c r="GT55" i="6"/>
  <c r="GP55" i="6"/>
  <c r="GL55" i="6"/>
  <c r="GH55" i="6"/>
  <c r="GD55" i="6"/>
  <c r="FZ55" i="6"/>
  <c r="FV55" i="6"/>
  <c r="FR55" i="6"/>
  <c r="FN55" i="6"/>
  <c r="FJ55" i="6"/>
  <c r="FF55" i="6"/>
  <c r="FB55" i="6"/>
  <c r="EX55" i="6"/>
  <c r="ET55" i="6"/>
  <c r="GV54" i="6"/>
  <c r="GR54" i="6"/>
  <c r="GN54" i="6"/>
  <c r="GJ54" i="6"/>
  <c r="GF54" i="6"/>
  <c r="GB54" i="6"/>
  <c r="FX54" i="6"/>
  <c r="FT54" i="6"/>
  <c r="FP54" i="6"/>
  <c r="FL54" i="6"/>
  <c r="FH54" i="6"/>
  <c r="FD54" i="6"/>
  <c r="EZ54" i="6"/>
  <c r="EV54" i="6"/>
  <c r="ER54" i="6"/>
  <c r="GT53" i="6"/>
  <c r="GP53" i="6"/>
  <c r="GL53" i="6"/>
  <c r="GH53" i="6"/>
  <c r="GD53" i="6"/>
  <c r="FZ53" i="6"/>
  <c r="FV53" i="6"/>
  <c r="FR53" i="6"/>
  <c r="FN53" i="6"/>
  <c r="FJ53" i="6"/>
  <c r="FF53" i="6"/>
  <c r="FB53" i="6"/>
  <c r="EX53" i="6"/>
  <c r="ET53" i="6"/>
  <c r="GV52" i="6"/>
  <c r="GR52" i="6"/>
  <c r="GN52" i="6"/>
  <c r="GJ52" i="6"/>
  <c r="GF52" i="6"/>
  <c r="GB52" i="6"/>
  <c r="FX52" i="6"/>
  <c r="FT52" i="6"/>
  <c r="FP52" i="6"/>
  <c r="FL52" i="6"/>
  <c r="FH52" i="6"/>
  <c r="FD52" i="6"/>
  <c r="EZ52" i="6"/>
  <c r="EV52" i="6"/>
  <c r="ER52" i="6"/>
  <c r="GT51" i="6"/>
  <c r="GP51" i="6"/>
  <c r="GL51" i="6"/>
  <c r="GH51" i="6"/>
  <c r="GD51" i="6"/>
  <c r="FZ51" i="6"/>
  <c r="FV51" i="6"/>
  <c r="FR51" i="6"/>
  <c r="FN51" i="6"/>
  <c r="FJ51" i="6"/>
  <c r="FF51" i="6"/>
  <c r="FB51" i="6"/>
  <c r="EX51" i="6"/>
  <c r="ET51" i="6"/>
  <c r="GV50" i="6"/>
  <c r="GR50" i="6"/>
  <c r="GN50" i="6"/>
  <c r="GJ50" i="6"/>
  <c r="GF50" i="6"/>
  <c r="GB50" i="6"/>
  <c r="FX50" i="6"/>
  <c r="FT50" i="6"/>
  <c r="FP50" i="6"/>
  <c r="FL50" i="6"/>
  <c r="FH50" i="6"/>
  <c r="FD50" i="6"/>
  <c r="EZ50" i="6"/>
  <c r="EV50" i="6"/>
  <c r="ER50" i="6"/>
  <c r="GT49" i="6"/>
  <c r="GP49" i="6"/>
  <c r="GL49" i="6"/>
  <c r="GH49" i="6"/>
  <c r="GD49" i="6"/>
  <c r="FZ49" i="6"/>
  <c r="FV49" i="6"/>
  <c r="FR49" i="6"/>
  <c r="FN49" i="6"/>
  <c r="FJ49" i="6"/>
  <c r="FF49" i="6"/>
  <c r="FB49" i="6"/>
  <c r="EX49" i="6"/>
  <c r="ET49" i="6"/>
  <c r="GV48" i="6"/>
  <c r="GR48" i="6"/>
  <c r="GN48" i="6"/>
  <c r="GJ48" i="6"/>
  <c r="GF48" i="6"/>
  <c r="GB48" i="6"/>
  <c r="FX48" i="6"/>
  <c r="FT48" i="6"/>
  <c r="FP48" i="6"/>
  <c r="FL48" i="6"/>
  <c r="FH48" i="6"/>
  <c r="FD48" i="6"/>
  <c r="EZ48" i="6"/>
  <c r="EV48" i="6"/>
  <c r="ER48" i="6"/>
  <c r="GT47" i="6"/>
  <c r="GP47" i="6"/>
  <c r="GL47" i="6"/>
  <c r="GH47" i="6"/>
  <c r="GD47" i="6"/>
  <c r="FZ47" i="6"/>
  <c r="FV47" i="6"/>
  <c r="FR47" i="6"/>
  <c r="FN47" i="6"/>
  <c r="FJ47" i="6"/>
  <c r="FF47" i="6"/>
  <c r="FB47" i="6"/>
  <c r="EX47" i="6"/>
  <c r="ET47" i="6"/>
  <c r="GV46" i="6"/>
  <c r="GR46" i="6"/>
  <c r="GN46" i="6"/>
  <c r="GJ46" i="6"/>
  <c r="GF46" i="6"/>
  <c r="GB46" i="6"/>
  <c r="FX46" i="6"/>
  <c r="FT46" i="6"/>
  <c r="FP46" i="6"/>
  <c r="FL46" i="6"/>
  <c r="FH46" i="6"/>
  <c r="FD46" i="6"/>
  <c r="EZ46" i="6"/>
  <c r="EV46" i="6"/>
  <c r="ER46" i="6"/>
  <c r="GT45" i="6"/>
  <c r="GP45" i="6"/>
  <c r="GL45" i="6"/>
  <c r="GH45" i="6"/>
  <c r="GD45" i="6"/>
  <c r="FZ45" i="6"/>
  <c r="FV45" i="6"/>
  <c r="FR45" i="6"/>
  <c r="FN45" i="6"/>
  <c r="FJ45" i="6"/>
  <c r="FF45" i="6"/>
  <c r="FB45" i="6"/>
  <c r="EX45" i="6"/>
  <c r="ET45" i="6"/>
  <c r="GV44" i="6"/>
  <c r="GR44" i="6"/>
  <c r="GN44" i="6"/>
  <c r="GJ44" i="6"/>
  <c r="GF44" i="6"/>
  <c r="GB44" i="6"/>
  <c r="FX44" i="6"/>
  <c r="FT44" i="6"/>
  <c r="FP44" i="6"/>
  <c r="FL44" i="6"/>
  <c r="FH44" i="6"/>
  <c r="FD44" i="6"/>
  <c r="EZ44" i="6"/>
  <c r="EV44" i="6"/>
  <c r="ER44" i="6"/>
  <c r="GT43" i="6"/>
  <c r="GP43" i="6"/>
  <c r="GL43" i="6"/>
  <c r="GH43" i="6"/>
  <c r="GD43" i="6"/>
  <c r="FZ43" i="6"/>
  <c r="FV43" i="6"/>
  <c r="FR43" i="6"/>
  <c r="FN43" i="6"/>
  <c r="FJ43" i="6"/>
  <c r="FF43" i="6"/>
  <c r="FB43" i="6"/>
  <c r="EX43" i="6"/>
  <c r="ET43" i="6"/>
  <c r="GV42" i="6"/>
  <c r="GR42" i="6"/>
  <c r="GN42" i="6"/>
  <c r="GJ42" i="6"/>
  <c r="GF42" i="6"/>
  <c r="GB42" i="6"/>
  <c r="FX42" i="6"/>
  <c r="FT42" i="6"/>
  <c r="FP42" i="6"/>
  <c r="FL42" i="6"/>
  <c r="FH42" i="6"/>
  <c r="FD42" i="6"/>
  <c r="EZ42" i="6"/>
  <c r="EV42" i="6"/>
  <c r="ER42" i="6"/>
  <c r="GT41" i="6"/>
  <c r="GP41" i="6"/>
  <c r="GL41" i="6"/>
  <c r="GH41" i="6"/>
  <c r="GD41" i="6"/>
  <c r="FZ41" i="6"/>
  <c r="FV41" i="6"/>
  <c r="FR41" i="6"/>
  <c r="FN41" i="6"/>
  <c r="FJ41" i="6"/>
  <c r="FF41" i="6"/>
  <c r="FB41" i="6"/>
  <c r="EX41" i="6"/>
  <c r="ET41" i="6"/>
  <c r="GV40" i="6"/>
  <c r="GR40" i="6"/>
  <c r="GN40" i="6"/>
  <c r="GJ40" i="6"/>
  <c r="GF40" i="6"/>
  <c r="GB40" i="6"/>
  <c r="FX40" i="6"/>
  <c r="FT40" i="6"/>
  <c r="FP40" i="6"/>
  <c r="FL40" i="6"/>
  <c r="FH40" i="6"/>
  <c r="FD40" i="6"/>
  <c r="EZ40" i="6"/>
  <c r="EV40" i="6"/>
  <c r="ER40" i="6"/>
  <c r="GT39" i="6"/>
  <c r="GP39" i="6"/>
  <c r="GL39" i="6"/>
  <c r="GH39" i="6"/>
  <c r="GD39" i="6"/>
  <c r="FZ39" i="6"/>
  <c r="FV39" i="6"/>
  <c r="FR39" i="6"/>
  <c r="FN39" i="6"/>
  <c r="FJ39" i="6"/>
  <c r="FF39" i="6"/>
  <c r="FB39" i="6"/>
  <c r="EX39" i="6"/>
  <c r="ET39" i="6"/>
  <c r="GV38" i="6"/>
  <c r="GR38" i="6"/>
  <c r="GN38" i="6"/>
  <c r="GJ38" i="6"/>
  <c r="GF38" i="6"/>
  <c r="GB38" i="6"/>
  <c r="FX38" i="6"/>
  <c r="FT38" i="6"/>
  <c r="FP38" i="6"/>
  <c r="FL38" i="6"/>
  <c r="FH38" i="6"/>
  <c r="FD38" i="6"/>
  <c r="EZ38" i="6"/>
  <c r="EV38" i="6"/>
  <c r="ER38" i="6"/>
  <c r="GT37" i="6"/>
  <c r="GP37" i="6"/>
  <c r="GW66" i="6"/>
  <c r="GS66" i="6"/>
  <c r="GO66" i="6"/>
  <c r="GK66" i="6"/>
  <c r="GG66" i="6"/>
  <c r="GC66" i="6"/>
  <c r="FY66" i="6"/>
  <c r="FU66" i="6"/>
  <c r="FQ66" i="6"/>
  <c r="FM66" i="6"/>
  <c r="FI66" i="6"/>
  <c r="FE66" i="6"/>
  <c r="FA66" i="6"/>
  <c r="EW66" i="6"/>
  <c r="ES66" i="6"/>
  <c r="GU65" i="6"/>
  <c r="GQ65" i="6"/>
  <c r="GM65" i="6"/>
  <c r="GI65" i="6"/>
  <c r="GE65" i="6"/>
  <c r="GA65" i="6"/>
  <c r="FW65" i="6"/>
  <c r="FS65" i="6"/>
  <c r="FO65" i="6"/>
  <c r="FK65" i="6"/>
  <c r="FG65" i="6"/>
  <c r="FC65" i="6"/>
  <c r="EY65" i="6"/>
  <c r="EU65" i="6"/>
  <c r="EQ65" i="6"/>
  <c r="GW64" i="6"/>
  <c r="GS64" i="6"/>
  <c r="GO64" i="6"/>
  <c r="GK64" i="6"/>
  <c r="GG64" i="6"/>
  <c r="GC64" i="6"/>
  <c r="FY64" i="6"/>
  <c r="FU64" i="6"/>
  <c r="FQ64" i="6"/>
  <c r="FM64" i="6"/>
  <c r="FI64" i="6"/>
  <c r="FE64" i="6"/>
  <c r="FA64" i="6"/>
  <c r="EW64" i="6"/>
  <c r="ES64" i="6"/>
  <c r="GU62" i="6"/>
  <c r="GQ62" i="6"/>
  <c r="GM62" i="6"/>
  <c r="GI62" i="6"/>
  <c r="GE62" i="6"/>
  <c r="GA62" i="6"/>
  <c r="FW62" i="6"/>
  <c r="FS62" i="6"/>
  <c r="FO62" i="6"/>
  <c r="FK62" i="6"/>
  <c r="FG62" i="6"/>
  <c r="FC62" i="6"/>
  <c r="EY62" i="6"/>
  <c r="EU62" i="6"/>
  <c r="EQ62" i="6"/>
  <c r="GW60" i="6"/>
  <c r="GS60" i="6"/>
  <c r="GO60" i="6"/>
  <c r="GK60" i="6"/>
  <c r="GG60" i="6"/>
  <c r="GC60" i="6"/>
  <c r="FY60" i="6"/>
  <c r="FU60" i="6"/>
  <c r="FQ60" i="6"/>
  <c r="FM60" i="6"/>
  <c r="FI60" i="6"/>
  <c r="FE60" i="6"/>
  <c r="FA60" i="6"/>
  <c r="EW60" i="6"/>
  <c r="ES60" i="6"/>
  <c r="GU59" i="6"/>
  <c r="GQ59" i="6"/>
  <c r="GM59" i="6"/>
  <c r="GI59" i="6"/>
  <c r="GE59" i="6"/>
  <c r="GA59" i="6"/>
  <c r="FW59" i="6"/>
  <c r="FS59" i="6"/>
  <c r="FO59" i="6"/>
  <c r="FK59" i="6"/>
  <c r="FG59" i="6"/>
  <c r="FC59" i="6"/>
  <c r="EY59" i="6"/>
  <c r="EU59" i="6"/>
  <c r="EQ59" i="6"/>
  <c r="GW58" i="6"/>
  <c r="GS58" i="6"/>
  <c r="GO58" i="6"/>
  <c r="GK58" i="6"/>
  <c r="GG58" i="6"/>
  <c r="GC58" i="6"/>
  <c r="FY58" i="6"/>
  <c r="FU58" i="6"/>
  <c r="FQ58" i="6"/>
  <c r="FM58" i="6"/>
  <c r="FI58" i="6"/>
  <c r="FE58" i="6"/>
  <c r="FA58" i="6"/>
  <c r="EW58" i="6"/>
  <c r="ES58" i="6"/>
  <c r="GU57" i="6"/>
  <c r="GQ57" i="6"/>
  <c r="GM57" i="6"/>
  <c r="GI57" i="6"/>
  <c r="GE57" i="6"/>
  <c r="GA57" i="6"/>
  <c r="FW57" i="6"/>
  <c r="FS57" i="6"/>
  <c r="FO57" i="6"/>
  <c r="FK57" i="6"/>
  <c r="FG57" i="6"/>
  <c r="FC57" i="6"/>
  <c r="EY57" i="6"/>
  <c r="EU57" i="6"/>
  <c r="EQ57" i="6"/>
  <c r="GW56" i="6"/>
  <c r="GS56" i="6"/>
  <c r="GO56" i="6"/>
  <c r="GK56" i="6"/>
  <c r="GG56" i="6"/>
  <c r="GC56" i="6"/>
  <c r="FY56" i="6"/>
  <c r="FU56" i="6"/>
  <c r="FQ56" i="6"/>
  <c r="FM56" i="6"/>
  <c r="FI56" i="6"/>
  <c r="FE56" i="6"/>
  <c r="FA56" i="6"/>
  <c r="EW56" i="6"/>
  <c r="ES56" i="6"/>
  <c r="GU55" i="6"/>
  <c r="GQ55" i="6"/>
  <c r="GM55" i="6"/>
  <c r="GI55" i="6"/>
  <c r="GE55" i="6"/>
  <c r="GA55" i="6"/>
  <c r="FW55" i="6"/>
  <c r="FS55" i="6"/>
  <c r="FO55" i="6"/>
  <c r="FK55" i="6"/>
  <c r="FG55" i="6"/>
  <c r="FC55" i="6"/>
  <c r="EY55" i="6"/>
  <c r="EU55" i="6"/>
  <c r="EQ55" i="6"/>
  <c r="GW54" i="6"/>
  <c r="GS54" i="6"/>
  <c r="GO54" i="6"/>
  <c r="GK54" i="6"/>
  <c r="GG54" i="6"/>
  <c r="GC54" i="6"/>
  <c r="FY54" i="6"/>
  <c r="FU54" i="6"/>
  <c r="FQ54" i="6"/>
  <c r="FM54" i="6"/>
  <c r="FI54" i="6"/>
  <c r="FE54" i="6"/>
  <c r="FA54" i="6"/>
  <c r="EW54" i="6"/>
  <c r="ES54" i="6"/>
  <c r="GU53" i="6"/>
  <c r="GQ53" i="6"/>
  <c r="GM53" i="6"/>
  <c r="GI53" i="6"/>
  <c r="GE53" i="6"/>
  <c r="GA53" i="6"/>
  <c r="FW53" i="6"/>
  <c r="FS53" i="6"/>
  <c r="FO53" i="6"/>
  <c r="FK53" i="6"/>
  <c r="FG53" i="6"/>
  <c r="FC53" i="6"/>
  <c r="EY53" i="6"/>
  <c r="EU53" i="6"/>
  <c r="EQ53" i="6"/>
  <c r="GW52" i="6"/>
  <c r="GS52" i="6"/>
  <c r="GO52" i="6"/>
  <c r="GK52" i="6"/>
  <c r="GG52" i="6"/>
  <c r="GC52" i="6"/>
  <c r="FY52" i="6"/>
  <c r="FU52" i="6"/>
  <c r="FQ52" i="6"/>
  <c r="FM52" i="6"/>
  <c r="FI52" i="6"/>
  <c r="FE52" i="6"/>
  <c r="FA52" i="6"/>
  <c r="EW52" i="6"/>
  <c r="ES52" i="6"/>
  <c r="GU51" i="6"/>
  <c r="GQ51" i="6"/>
  <c r="GM51" i="6"/>
  <c r="GI51" i="6"/>
  <c r="GE51" i="6"/>
  <c r="GA51" i="6"/>
  <c r="FW51" i="6"/>
  <c r="FS51" i="6"/>
  <c r="FO51" i="6"/>
  <c r="FK51" i="6"/>
  <c r="FG51" i="6"/>
  <c r="FC51" i="6"/>
  <c r="EY51" i="6"/>
  <c r="EU51" i="6"/>
  <c r="EQ51" i="6"/>
  <c r="GW50" i="6"/>
  <c r="GS50" i="6"/>
  <c r="GO50" i="6"/>
  <c r="GK50" i="6"/>
  <c r="GG50" i="6"/>
  <c r="GC50" i="6"/>
  <c r="FY50" i="6"/>
  <c r="FU50" i="6"/>
  <c r="FQ50" i="6"/>
  <c r="FM50" i="6"/>
  <c r="FI50" i="6"/>
  <c r="FE50" i="6"/>
  <c r="FA50" i="6"/>
  <c r="EW50" i="6"/>
  <c r="ES50" i="6"/>
  <c r="GU49" i="6"/>
  <c r="GQ49" i="6"/>
  <c r="GM49" i="6"/>
  <c r="GI49" i="6"/>
  <c r="GE49" i="6"/>
  <c r="GA49" i="6"/>
  <c r="FW49" i="6"/>
  <c r="FS49" i="6"/>
  <c r="FO49" i="6"/>
  <c r="FK49" i="6"/>
  <c r="FG49" i="6"/>
  <c r="FC49" i="6"/>
  <c r="EY49" i="6"/>
  <c r="EU49" i="6"/>
  <c r="EQ49" i="6"/>
  <c r="GW48" i="6"/>
  <c r="GS48" i="6"/>
  <c r="GO48" i="6"/>
  <c r="GK48" i="6"/>
  <c r="GG48" i="6"/>
  <c r="GC48" i="6"/>
  <c r="FY48" i="6"/>
  <c r="FU48" i="6"/>
  <c r="FQ48" i="6"/>
  <c r="FM48" i="6"/>
  <c r="FI48" i="6"/>
  <c r="FE48" i="6"/>
  <c r="FA48" i="6"/>
  <c r="EW48" i="6"/>
  <c r="ES48" i="6"/>
  <c r="GU47" i="6"/>
  <c r="GQ47" i="6"/>
  <c r="GM47" i="6"/>
  <c r="GI47" i="6"/>
  <c r="GE47" i="6"/>
  <c r="GA47" i="6"/>
  <c r="FW47" i="6"/>
  <c r="FS47" i="6"/>
  <c r="FO47" i="6"/>
  <c r="FK47" i="6"/>
  <c r="FG47" i="6"/>
  <c r="FC47" i="6"/>
  <c r="EY47" i="6"/>
  <c r="EU47" i="6"/>
  <c r="EQ47" i="6"/>
  <c r="GW46" i="6"/>
  <c r="GS46" i="6"/>
  <c r="GO46" i="6"/>
  <c r="GK46" i="6"/>
  <c r="GG46" i="6"/>
  <c r="GC46" i="6"/>
  <c r="FY46" i="6"/>
  <c r="FU46" i="6"/>
  <c r="FQ46" i="6"/>
  <c r="FM46" i="6"/>
  <c r="FI46" i="6"/>
  <c r="FE46" i="6"/>
  <c r="FA46" i="6"/>
  <c r="EW46" i="6"/>
  <c r="ES46" i="6"/>
  <c r="GU45" i="6"/>
  <c r="GQ45" i="6"/>
  <c r="GM45" i="6"/>
  <c r="GI45" i="6"/>
  <c r="GE45" i="6"/>
  <c r="GA45" i="6"/>
  <c r="FW45" i="6"/>
  <c r="FS45" i="6"/>
  <c r="FO45" i="6"/>
  <c r="FK45" i="6"/>
  <c r="FG45" i="6"/>
  <c r="FC45" i="6"/>
  <c r="EY45" i="6"/>
  <c r="EU45" i="6"/>
  <c r="EQ45" i="6"/>
  <c r="GW44" i="6"/>
  <c r="GS44" i="6"/>
  <c r="GO44" i="6"/>
  <c r="GK44" i="6"/>
  <c r="GG44" i="6"/>
  <c r="GC44" i="6"/>
  <c r="FY44" i="6"/>
  <c r="FU44" i="6"/>
  <c r="FQ44" i="6"/>
  <c r="FM44" i="6"/>
  <c r="FI44" i="6"/>
  <c r="FE44" i="6"/>
  <c r="FA44" i="6"/>
  <c r="EW44" i="6"/>
  <c r="ES44" i="6"/>
  <c r="GU43" i="6"/>
  <c r="GQ43" i="6"/>
  <c r="GM43" i="6"/>
  <c r="GI43" i="6"/>
  <c r="GE43" i="6"/>
  <c r="GA43" i="6"/>
  <c r="FW43" i="6"/>
  <c r="FS43" i="6"/>
  <c r="FO43" i="6"/>
  <c r="FK43" i="6"/>
  <c r="FG43" i="6"/>
  <c r="FC43" i="6"/>
  <c r="EY43" i="6"/>
  <c r="EU43" i="6"/>
  <c r="EQ43" i="6"/>
  <c r="GW42" i="6"/>
  <c r="GS42" i="6"/>
  <c r="GO42" i="6"/>
  <c r="GK42" i="6"/>
  <c r="GG42" i="6"/>
  <c r="GC42" i="6"/>
  <c r="FY42" i="6"/>
  <c r="FU42" i="6"/>
  <c r="FQ42" i="6"/>
  <c r="FM42" i="6"/>
  <c r="FI42" i="6"/>
  <c r="FE42" i="6"/>
  <c r="FA42" i="6"/>
  <c r="EW42" i="6"/>
  <c r="ES42" i="6"/>
  <c r="GU41" i="6"/>
  <c r="GQ41" i="6"/>
  <c r="GM41" i="6"/>
  <c r="GI41" i="6"/>
  <c r="GE41" i="6"/>
  <c r="GA41" i="6"/>
  <c r="FW41" i="6"/>
  <c r="FS41" i="6"/>
  <c r="FO41" i="6"/>
  <c r="FK41" i="6"/>
  <c r="FG41" i="6"/>
  <c r="FC41" i="6"/>
  <c r="EY41" i="6"/>
  <c r="EU41" i="6"/>
  <c r="EQ41" i="6"/>
  <c r="GW40" i="6"/>
  <c r="GS40" i="6"/>
  <c r="GO40" i="6"/>
  <c r="GK40" i="6"/>
  <c r="GG40" i="6"/>
  <c r="GC40" i="6"/>
  <c r="FY40" i="6"/>
  <c r="FU40" i="6"/>
  <c r="FQ40" i="6"/>
  <c r="FM40" i="6"/>
  <c r="FI40" i="6"/>
  <c r="FE40" i="6"/>
  <c r="FA40" i="6"/>
  <c r="EW40" i="6"/>
  <c r="ES40" i="6"/>
  <c r="GU39" i="6"/>
  <c r="GQ39" i="6"/>
  <c r="GM39" i="6"/>
  <c r="GI39" i="6"/>
  <c r="GE39" i="6"/>
  <c r="GA39" i="6"/>
  <c r="FW39" i="6"/>
  <c r="FS39" i="6"/>
  <c r="FO39" i="6"/>
  <c r="FK39" i="6"/>
  <c r="FG39" i="6"/>
  <c r="FC39" i="6"/>
  <c r="EY39" i="6"/>
  <c r="EU39" i="6"/>
  <c r="EQ39" i="6"/>
  <c r="GW38" i="6"/>
  <c r="GS38" i="6"/>
  <c r="GO38" i="6"/>
  <c r="GK38" i="6"/>
  <c r="GG38" i="6"/>
  <c r="GC38" i="6"/>
  <c r="FY38" i="6"/>
  <c r="FU38" i="6"/>
  <c r="FQ38" i="6"/>
  <c r="FM38" i="6"/>
  <c r="FI38" i="6"/>
  <c r="FE38" i="6"/>
  <c r="FA38" i="6"/>
  <c r="EW38" i="6"/>
  <c r="ES38" i="6"/>
  <c r="GU37" i="6"/>
  <c r="GQ37" i="6"/>
  <c r="GM37" i="6"/>
  <c r="GI37" i="6"/>
  <c r="GE37" i="6"/>
  <c r="GA37" i="6"/>
  <c r="FW37" i="6"/>
  <c r="FS37" i="6"/>
  <c r="FO37" i="6"/>
  <c r="FK37" i="6"/>
  <c r="FG37" i="6"/>
  <c r="FC37" i="6"/>
  <c r="EY37" i="6"/>
  <c r="EU37" i="6"/>
  <c r="EQ37" i="6"/>
  <c r="GW36" i="6"/>
  <c r="GS36" i="6"/>
  <c r="GO36" i="6"/>
  <c r="GK36" i="6"/>
  <c r="GG36" i="6"/>
  <c r="GC36" i="6"/>
  <c r="FY36" i="6"/>
  <c r="FU36" i="6"/>
  <c r="FQ36" i="6"/>
  <c r="FM36" i="6"/>
  <c r="FI36" i="6"/>
  <c r="FE36" i="6"/>
  <c r="FA36" i="6"/>
  <c r="EW36" i="6"/>
  <c r="ES36" i="6"/>
  <c r="GU35" i="6"/>
  <c r="GQ35" i="6"/>
  <c r="GM35" i="6"/>
  <c r="GI35" i="6"/>
  <c r="GE35" i="6"/>
  <c r="GA35" i="6"/>
  <c r="FW35" i="6"/>
  <c r="FS35" i="6"/>
  <c r="FO35" i="6"/>
  <c r="FK35" i="6"/>
  <c r="FG35" i="6"/>
  <c r="FC35" i="6"/>
  <c r="EY35" i="6"/>
  <c r="EU35" i="6"/>
  <c r="EQ35" i="6"/>
  <c r="GW34" i="6"/>
  <c r="GS34" i="6"/>
  <c r="GO34" i="6"/>
  <c r="GK34" i="6"/>
  <c r="GG34" i="6"/>
  <c r="GC34" i="6"/>
  <c r="FY34" i="6"/>
  <c r="FU34" i="6"/>
  <c r="FQ34" i="6"/>
  <c r="FM34" i="6"/>
  <c r="FI34" i="6"/>
  <c r="FE34" i="6"/>
  <c r="FA34" i="6"/>
  <c r="EW34" i="6"/>
  <c r="ES34" i="6"/>
  <c r="GU33" i="6"/>
  <c r="GQ33" i="6"/>
  <c r="GM33" i="6"/>
  <c r="GI33" i="6"/>
  <c r="GE33" i="6"/>
  <c r="GA33" i="6"/>
  <c r="FW33" i="6"/>
  <c r="FS33" i="6"/>
  <c r="FO33" i="6"/>
  <c r="FK33" i="6"/>
  <c r="FG33" i="6"/>
  <c r="FC33" i="6"/>
  <c r="EY33" i="6"/>
  <c r="EU33" i="6"/>
  <c r="EQ33" i="6"/>
  <c r="GW32" i="6"/>
  <c r="GS32" i="6"/>
  <c r="GO32" i="6"/>
  <c r="GK32" i="6"/>
  <c r="GG32" i="6"/>
  <c r="GC32" i="6"/>
  <c r="FY32" i="6"/>
  <c r="FU32" i="6"/>
  <c r="FQ32" i="6"/>
  <c r="FM32" i="6"/>
  <c r="FI32" i="6"/>
  <c r="FE32" i="6"/>
  <c r="FA32" i="6"/>
  <c r="EW32" i="6"/>
  <c r="ES32" i="6"/>
  <c r="GU31" i="6"/>
  <c r="GQ31" i="6"/>
  <c r="GM31" i="6"/>
  <c r="GI31" i="6"/>
  <c r="GE31" i="6"/>
  <c r="GA31" i="6"/>
  <c r="FW31" i="6"/>
  <c r="FS31" i="6"/>
  <c r="FO31" i="6"/>
  <c r="FK31" i="6"/>
  <c r="FG31" i="6"/>
  <c r="FC31" i="6"/>
  <c r="EY31" i="6"/>
  <c r="EU31" i="6"/>
  <c r="EQ31" i="6"/>
  <c r="GW30" i="6"/>
  <c r="GS30" i="6"/>
  <c r="GO30" i="6"/>
  <c r="GK30" i="6"/>
  <c r="GG30" i="6"/>
  <c r="GC30" i="6"/>
  <c r="FY30" i="6"/>
  <c r="FU30" i="6"/>
  <c r="FQ30" i="6"/>
  <c r="FM30" i="6"/>
  <c r="FI30" i="6"/>
  <c r="FE30" i="6"/>
  <c r="FA30" i="6"/>
  <c r="EW30" i="6"/>
  <c r="ES30" i="6"/>
  <c r="GU29" i="6"/>
  <c r="GQ29" i="6"/>
  <c r="GM29" i="6"/>
  <c r="GI29" i="6"/>
  <c r="GE29" i="6"/>
  <c r="GA29" i="6"/>
  <c r="FW29" i="6"/>
  <c r="FS29" i="6"/>
  <c r="FO29" i="6"/>
  <c r="FK29" i="6"/>
  <c r="FG29" i="6"/>
  <c r="FC29" i="6"/>
  <c r="EY29" i="6"/>
  <c r="EU29" i="6"/>
  <c r="EQ29" i="6"/>
  <c r="GW28" i="6"/>
  <c r="GS28" i="6"/>
  <c r="GO28" i="6"/>
  <c r="GK28" i="6"/>
  <c r="GG28" i="6"/>
  <c r="GC28" i="6"/>
  <c r="FY28" i="6"/>
  <c r="FU28" i="6"/>
  <c r="FQ28" i="6"/>
  <c r="FM28" i="6"/>
  <c r="FI28" i="6"/>
  <c r="FE28" i="6"/>
  <c r="FA28" i="6"/>
  <c r="EW28" i="6"/>
  <c r="ES28" i="6"/>
  <c r="GU27" i="6"/>
  <c r="GQ27" i="6"/>
  <c r="GM27" i="6"/>
  <c r="GI27" i="6"/>
  <c r="GE27" i="6"/>
  <c r="GA27" i="6"/>
  <c r="FW27" i="6"/>
  <c r="FS27" i="6"/>
  <c r="FO27" i="6"/>
  <c r="FK27" i="6"/>
  <c r="FG27" i="6"/>
  <c r="FC27" i="6"/>
  <c r="EY27" i="6"/>
  <c r="EU27" i="6"/>
  <c r="EQ27" i="6"/>
  <c r="GW26" i="6"/>
  <c r="GS26" i="6"/>
  <c r="GO26" i="6"/>
  <c r="GK26" i="6"/>
  <c r="GG26" i="6"/>
  <c r="GC26" i="6"/>
  <c r="FY26" i="6"/>
  <c r="FU26" i="6"/>
  <c r="FQ26" i="6"/>
  <c r="FM26" i="6"/>
  <c r="FI26" i="6"/>
  <c r="FE26" i="6"/>
  <c r="FA26" i="6"/>
  <c r="EW26" i="6"/>
  <c r="ES26" i="6"/>
  <c r="GU25" i="6"/>
  <c r="GQ25" i="6"/>
  <c r="GM25" i="6"/>
  <c r="GI25" i="6"/>
  <c r="GE25" i="6"/>
  <c r="GA25" i="6"/>
  <c r="FW25" i="6"/>
  <c r="FS25" i="6"/>
  <c r="FO25" i="6"/>
  <c r="FK25" i="6"/>
  <c r="FG25" i="6"/>
  <c r="FC25" i="6"/>
  <c r="EY25" i="6"/>
  <c r="EU25" i="6"/>
  <c r="EQ25" i="6"/>
  <c r="GW24" i="6"/>
  <c r="GS24" i="6"/>
  <c r="GO24" i="6"/>
  <c r="GK24" i="6"/>
  <c r="GG24" i="6"/>
  <c r="GC24" i="6"/>
  <c r="FY24" i="6"/>
  <c r="FU24" i="6"/>
  <c r="FQ24" i="6"/>
  <c r="FM24" i="6"/>
  <c r="FI24" i="6"/>
  <c r="FE24" i="6"/>
  <c r="FA24" i="6"/>
  <c r="EW24" i="6"/>
  <c r="ES24" i="6"/>
  <c r="GU23" i="6"/>
  <c r="GQ23" i="6"/>
  <c r="GM23" i="6"/>
  <c r="GI23" i="6"/>
  <c r="GE23" i="6"/>
  <c r="GA23" i="6"/>
  <c r="FW23" i="6"/>
  <c r="FS23" i="6"/>
  <c r="FO23" i="6"/>
  <c r="FK23" i="6"/>
  <c r="FG23" i="6"/>
  <c r="FC23" i="6"/>
  <c r="EY23" i="6"/>
  <c r="EU23" i="6"/>
  <c r="EQ23" i="6"/>
  <c r="GW22" i="6"/>
  <c r="GS22" i="6"/>
  <c r="GO22" i="6"/>
  <c r="GK22" i="6"/>
  <c r="GG22" i="6"/>
  <c r="GC22" i="6"/>
  <c r="FY22" i="6"/>
  <c r="FU22" i="6"/>
  <c r="FQ22" i="6"/>
  <c r="FM22" i="6"/>
  <c r="FI22" i="6"/>
  <c r="FE22" i="6"/>
  <c r="FA22" i="6"/>
  <c r="EW22" i="6"/>
  <c r="ES22" i="6"/>
  <c r="GU21" i="6"/>
  <c r="GQ21" i="6"/>
  <c r="GM21" i="6"/>
  <c r="GI21" i="6"/>
  <c r="GE21" i="6"/>
  <c r="GA21" i="6"/>
  <c r="FW21" i="6"/>
  <c r="FS21" i="6"/>
  <c r="FO21" i="6"/>
  <c r="FK21" i="6"/>
  <c r="FG21" i="6"/>
  <c r="FC21" i="6"/>
  <c r="EY21" i="6"/>
  <c r="EU21" i="6"/>
  <c r="EQ21" i="6"/>
  <c r="GW20" i="6"/>
  <c r="GS20" i="6"/>
  <c r="GO20" i="6"/>
  <c r="GK20" i="6"/>
  <c r="GG20" i="6"/>
  <c r="GC20" i="6"/>
  <c r="FY20" i="6"/>
  <c r="FU20" i="6"/>
  <c r="FQ20" i="6"/>
  <c r="FM20" i="6"/>
  <c r="FI20" i="6"/>
  <c r="FE20" i="6"/>
  <c r="FA20" i="6"/>
  <c r="EW20" i="6"/>
  <c r="ES20" i="6"/>
  <c r="GU19" i="6"/>
  <c r="GQ19" i="6"/>
  <c r="GM19" i="6"/>
  <c r="GI19" i="6"/>
  <c r="GE19" i="6"/>
  <c r="GA19" i="6"/>
  <c r="FW19" i="6"/>
  <c r="FS19" i="6"/>
  <c r="FO19" i="6"/>
  <c r="FK19" i="6"/>
  <c r="FG19" i="6"/>
  <c r="FC19" i="6"/>
  <c r="EY19" i="6"/>
  <c r="EU19" i="6"/>
  <c r="EQ19" i="6"/>
  <c r="GW18" i="6"/>
  <c r="GS18" i="6"/>
  <c r="GO18" i="6"/>
  <c r="GK18" i="6"/>
  <c r="GG18" i="6"/>
  <c r="GC18" i="6"/>
  <c r="FY18" i="6"/>
  <c r="GL37" i="6"/>
  <c r="GH37" i="6"/>
  <c r="GD37" i="6"/>
  <c r="FZ37" i="6"/>
  <c r="FV37" i="6"/>
  <c r="FR37" i="6"/>
  <c r="FN37" i="6"/>
  <c r="FJ37" i="6"/>
  <c r="FF37" i="6"/>
  <c r="FB37" i="6"/>
  <c r="EX37" i="6"/>
  <c r="ET37" i="6"/>
  <c r="GV36" i="6"/>
  <c r="GR36" i="6"/>
  <c r="GN36" i="6"/>
  <c r="GJ36" i="6"/>
  <c r="GF36" i="6"/>
  <c r="GB36" i="6"/>
  <c r="FX36" i="6"/>
  <c r="FT36" i="6"/>
  <c r="FP36" i="6"/>
  <c r="FL36" i="6"/>
  <c r="FH36" i="6"/>
  <c r="FD36" i="6"/>
  <c r="EZ36" i="6"/>
  <c r="EV36" i="6"/>
  <c r="ER36" i="6"/>
  <c r="GT35" i="6"/>
  <c r="GP35" i="6"/>
  <c r="GL35" i="6"/>
  <c r="GH35" i="6"/>
  <c r="GD35" i="6"/>
  <c r="FZ35" i="6"/>
  <c r="FV35" i="6"/>
  <c r="FR35" i="6"/>
  <c r="FN35" i="6"/>
  <c r="FJ35" i="6"/>
  <c r="FF35" i="6"/>
  <c r="FB35" i="6"/>
  <c r="EX35" i="6"/>
  <c r="ET35" i="6"/>
  <c r="GV34" i="6"/>
  <c r="GR34" i="6"/>
  <c r="GN34" i="6"/>
  <c r="GJ34" i="6"/>
  <c r="GF34" i="6"/>
  <c r="GB34" i="6"/>
  <c r="FX34" i="6"/>
  <c r="FT34" i="6"/>
  <c r="FP34" i="6"/>
  <c r="FL34" i="6"/>
  <c r="FH34" i="6"/>
  <c r="FD34" i="6"/>
  <c r="EZ34" i="6"/>
  <c r="EV34" i="6"/>
  <c r="ER34" i="6"/>
  <c r="GT33" i="6"/>
  <c r="GP33" i="6"/>
  <c r="GL33" i="6"/>
  <c r="GH33" i="6"/>
  <c r="GD33" i="6"/>
  <c r="FZ33" i="6"/>
  <c r="FV33" i="6"/>
  <c r="FR33" i="6"/>
  <c r="FN33" i="6"/>
  <c r="FJ33" i="6"/>
  <c r="FF33" i="6"/>
  <c r="FB33" i="6"/>
  <c r="EX33" i="6"/>
  <c r="ET33" i="6"/>
  <c r="GV32" i="6"/>
  <c r="GR32" i="6"/>
  <c r="GN32" i="6"/>
  <c r="GJ32" i="6"/>
  <c r="GF32" i="6"/>
  <c r="GB32" i="6"/>
  <c r="FX32" i="6"/>
  <c r="FT32" i="6"/>
  <c r="FP32" i="6"/>
  <c r="FL32" i="6"/>
  <c r="FH32" i="6"/>
  <c r="FD32" i="6"/>
  <c r="EZ32" i="6"/>
  <c r="EV32" i="6"/>
  <c r="ER32" i="6"/>
  <c r="GT31" i="6"/>
  <c r="GP31" i="6"/>
  <c r="GL31" i="6"/>
  <c r="GH31" i="6"/>
  <c r="GD31" i="6"/>
  <c r="FZ31" i="6"/>
  <c r="FV31" i="6"/>
  <c r="FR31" i="6"/>
  <c r="FN31" i="6"/>
  <c r="FJ31" i="6"/>
  <c r="FF31" i="6"/>
  <c r="FB31" i="6"/>
  <c r="EX31" i="6"/>
  <c r="ET31" i="6"/>
  <c r="GV30" i="6"/>
  <c r="GR30" i="6"/>
  <c r="GN30" i="6"/>
  <c r="GJ30" i="6"/>
  <c r="GF30" i="6"/>
  <c r="GB30" i="6"/>
  <c r="FX30" i="6"/>
  <c r="FT30" i="6"/>
  <c r="FP30" i="6"/>
  <c r="FL30" i="6"/>
  <c r="FH30" i="6"/>
  <c r="FD30" i="6"/>
  <c r="EZ30" i="6"/>
  <c r="EV30" i="6"/>
  <c r="ER30" i="6"/>
  <c r="GT29" i="6"/>
  <c r="GP29" i="6"/>
  <c r="GL29" i="6"/>
  <c r="GH29" i="6"/>
  <c r="GD29" i="6"/>
  <c r="FZ29" i="6"/>
  <c r="FV29" i="6"/>
  <c r="FR29" i="6"/>
  <c r="FN29" i="6"/>
  <c r="FJ29" i="6"/>
  <c r="FF29" i="6"/>
  <c r="FB29" i="6"/>
  <c r="EX29" i="6"/>
  <c r="ET29" i="6"/>
  <c r="GV28" i="6"/>
  <c r="GR28" i="6"/>
  <c r="GN28" i="6"/>
  <c r="GJ28" i="6"/>
  <c r="GF28" i="6"/>
  <c r="GB28" i="6"/>
  <c r="FX28" i="6"/>
  <c r="FT28" i="6"/>
  <c r="FP28" i="6"/>
  <c r="FL28" i="6"/>
  <c r="FH28" i="6"/>
  <c r="FD28" i="6"/>
  <c r="EZ28" i="6"/>
  <c r="EV28" i="6"/>
  <c r="ER28" i="6"/>
  <c r="GT27" i="6"/>
  <c r="GP27" i="6"/>
  <c r="GL27" i="6"/>
  <c r="GH27" i="6"/>
  <c r="GD27" i="6"/>
  <c r="FZ27" i="6"/>
  <c r="FV27" i="6"/>
  <c r="FR27" i="6"/>
  <c r="FN27" i="6"/>
  <c r="FJ27" i="6"/>
  <c r="FF27" i="6"/>
  <c r="FB27" i="6"/>
  <c r="EX27" i="6"/>
  <c r="ET27" i="6"/>
  <c r="GV26" i="6"/>
  <c r="GR26" i="6"/>
  <c r="GN26" i="6"/>
  <c r="GJ26" i="6"/>
  <c r="GF26" i="6"/>
  <c r="GB26" i="6"/>
  <c r="FX26" i="6"/>
  <c r="FT26" i="6"/>
  <c r="FP26" i="6"/>
  <c r="FL26" i="6"/>
  <c r="FH26" i="6"/>
  <c r="FD26" i="6"/>
  <c r="EZ26" i="6"/>
  <c r="EV26" i="6"/>
  <c r="ER26" i="6"/>
  <c r="GT25" i="6"/>
  <c r="GP25" i="6"/>
  <c r="GL25" i="6"/>
  <c r="GH25" i="6"/>
  <c r="GD25" i="6"/>
  <c r="FZ25" i="6"/>
  <c r="FV25" i="6"/>
  <c r="FR25" i="6"/>
  <c r="FN25" i="6"/>
  <c r="FJ25" i="6"/>
  <c r="FF25" i="6"/>
  <c r="FB25" i="6"/>
  <c r="EX25" i="6"/>
  <c r="ET25" i="6"/>
  <c r="GV24" i="6"/>
  <c r="GR24" i="6"/>
  <c r="GN24" i="6"/>
  <c r="GJ24" i="6"/>
  <c r="GF24" i="6"/>
  <c r="GB24" i="6"/>
  <c r="FX24" i="6"/>
  <c r="FT24" i="6"/>
  <c r="FP24" i="6"/>
  <c r="FL24" i="6"/>
  <c r="FH24" i="6"/>
  <c r="FD24" i="6"/>
  <c r="EZ24" i="6"/>
  <c r="EV24" i="6"/>
  <c r="ER24" i="6"/>
  <c r="GT23" i="6"/>
  <c r="GP23" i="6"/>
  <c r="GL23" i="6"/>
  <c r="GH23" i="6"/>
  <c r="GD23" i="6"/>
  <c r="FZ23" i="6"/>
  <c r="FV23" i="6"/>
  <c r="FR23" i="6"/>
  <c r="FN23" i="6"/>
  <c r="FJ23" i="6"/>
  <c r="FF23" i="6"/>
  <c r="FB23" i="6"/>
  <c r="EX23" i="6"/>
  <c r="ET23" i="6"/>
  <c r="GV22" i="6"/>
  <c r="GR22" i="6"/>
  <c r="GN22" i="6"/>
  <c r="GJ22" i="6"/>
  <c r="GF22" i="6"/>
  <c r="GB22" i="6"/>
  <c r="FX22" i="6"/>
  <c r="FT22" i="6"/>
  <c r="FP22" i="6"/>
  <c r="FL22" i="6"/>
  <c r="FH22" i="6"/>
  <c r="FD22" i="6"/>
  <c r="EZ22" i="6"/>
  <c r="EV22" i="6"/>
  <c r="ER22" i="6"/>
  <c r="GT21" i="6"/>
  <c r="GP21" i="6"/>
  <c r="GL21" i="6"/>
  <c r="GH21" i="6"/>
  <c r="GD21" i="6"/>
  <c r="FZ21" i="6"/>
  <c r="FV21" i="6"/>
  <c r="FR21" i="6"/>
  <c r="FN21" i="6"/>
  <c r="FJ21" i="6"/>
  <c r="FF21" i="6"/>
  <c r="FB21" i="6"/>
  <c r="EX21" i="6"/>
  <c r="ET21" i="6"/>
  <c r="GV20" i="6"/>
  <c r="GR20" i="6"/>
  <c r="GN20" i="6"/>
  <c r="GJ20" i="6"/>
  <c r="GF20" i="6"/>
  <c r="GB20" i="6"/>
  <c r="FX20" i="6"/>
  <c r="FT20" i="6"/>
  <c r="FP20" i="6"/>
  <c r="FL20" i="6"/>
  <c r="FH20" i="6"/>
  <c r="FD20" i="6"/>
  <c r="EZ20" i="6"/>
  <c r="EV20" i="6"/>
  <c r="ER20" i="6"/>
  <c r="GT19" i="6"/>
  <c r="GP19" i="6"/>
  <c r="GL19" i="6"/>
  <c r="GH19" i="6"/>
  <c r="GD19" i="6"/>
  <c r="FZ19" i="6"/>
  <c r="FV19" i="6"/>
  <c r="FR19" i="6"/>
  <c r="FN19" i="6"/>
  <c r="FJ19" i="6"/>
  <c r="FF19" i="6"/>
  <c r="FB19" i="6"/>
  <c r="EX19" i="6"/>
  <c r="ET19" i="6"/>
  <c r="GV18" i="6"/>
  <c r="GR18" i="6"/>
  <c r="GN18" i="6"/>
  <c r="GJ18" i="6"/>
  <c r="GF18" i="6"/>
  <c r="GB18" i="6"/>
  <c r="FX18" i="6"/>
  <c r="FT18" i="6"/>
  <c r="FP18" i="6"/>
  <c r="FL18" i="6"/>
  <c r="GE52" i="6"/>
  <c r="GA52" i="6"/>
  <c r="FW52" i="6"/>
  <c r="FS52" i="6"/>
  <c r="FO52" i="6"/>
  <c r="FK52" i="6"/>
  <c r="FG52" i="6"/>
  <c r="FC52" i="6"/>
  <c r="EY52" i="6"/>
  <c r="EU52" i="6"/>
  <c r="EQ52" i="6"/>
  <c r="GW51" i="6"/>
  <c r="GS51" i="6"/>
  <c r="GO51" i="6"/>
  <c r="GK51" i="6"/>
  <c r="GG51" i="6"/>
  <c r="GC51" i="6"/>
  <c r="FY51" i="6"/>
  <c r="FU51" i="6"/>
  <c r="FQ51" i="6"/>
  <c r="FM51" i="6"/>
  <c r="FI51" i="6"/>
  <c r="FE51" i="6"/>
  <c r="FA51" i="6"/>
  <c r="EW51" i="6"/>
  <c r="ES51" i="6"/>
  <c r="GU50" i="6"/>
  <c r="GQ50" i="6"/>
  <c r="GM50" i="6"/>
  <c r="GI50" i="6"/>
  <c r="GE50" i="6"/>
  <c r="GA50" i="6"/>
  <c r="FW50" i="6"/>
  <c r="FS50" i="6"/>
  <c r="FO50" i="6"/>
  <c r="FK50" i="6"/>
  <c r="FG50" i="6"/>
  <c r="FC50" i="6"/>
  <c r="EY50" i="6"/>
  <c r="EU50" i="6"/>
  <c r="EQ50" i="6"/>
  <c r="GW49" i="6"/>
  <c r="GS49" i="6"/>
  <c r="GO49" i="6"/>
  <c r="GK49" i="6"/>
  <c r="GG49" i="6"/>
  <c r="GC49" i="6"/>
  <c r="FY49" i="6"/>
  <c r="FU49" i="6"/>
  <c r="FQ49" i="6"/>
  <c r="FM49" i="6"/>
  <c r="FI49" i="6"/>
  <c r="FE49" i="6"/>
  <c r="FA49" i="6"/>
  <c r="EW49" i="6"/>
  <c r="ES49" i="6"/>
  <c r="GU48" i="6"/>
  <c r="GQ48" i="6"/>
  <c r="GM48" i="6"/>
  <c r="GI48" i="6"/>
  <c r="GE48" i="6"/>
  <c r="GA48" i="6"/>
  <c r="FW48" i="6"/>
  <c r="FS48" i="6"/>
  <c r="FO48" i="6"/>
  <c r="FK48" i="6"/>
  <c r="FG48" i="6"/>
  <c r="FC48" i="6"/>
  <c r="EY48" i="6"/>
  <c r="EU48" i="6"/>
  <c r="EQ48" i="6"/>
  <c r="GW47" i="6"/>
  <c r="GS47" i="6"/>
  <c r="GO47" i="6"/>
  <c r="GK47" i="6"/>
  <c r="GG47" i="6"/>
  <c r="GC47" i="6"/>
  <c r="FY47" i="6"/>
  <c r="FU47" i="6"/>
  <c r="FQ47" i="6"/>
  <c r="FM47" i="6"/>
  <c r="FI47" i="6"/>
  <c r="FE47" i="6"/>
  <c r="FA47" i="6"/>
  <c r="EW47" i="6"/>
  <c r="ES47" i="6"/>
  <c r="GU46" i="6"/>
  <c r="GQ46" i="6"/>
  <c r="GM46" i="6"/>
  <c r="GI46" i="6"/>
  <c r="GE46" i="6"/>
  <c r="GA46" i="6"/>
  <c r="FW46" i="6"/>
  <c r="FS46" i="6"/>
  <c r="FO46" i="6"/>
  <c r="FK46" i="6"/>
  <c r="FG46" i="6"/>
  <c r="FC46" i="6"/>
  <c r="EY46" i="6"/>
  <c r="EU46" i="6"/>
  <c r="EQ46" i="6"/>
  <c r="GW45" i="6"/>
  <c r="GS45" i="6"/>
  <c r="GO45" i="6"/>
  <c r="GK45" i="6"/>
  <c r="GG45" i="6"/>
  <c r="GC45" i="6"/>
  <c r="FY45" i="6"/>
  <c r="FU45" i="6"/>
  <c r="FQ45" i="6"/>
  <c r="FM45" i="6"/>
  <c r="FI45" i="6"/>
  <c r="FE45" i="6"/>
  <c r="FA45" i="6"/>
  <c r="EW45" i="6"/>
  <c r="ES45" i="6"/>
  <c r="GU44" i="6"/>
  <c r="GQ44" i="6"/>
  <c r="GM44" i="6"/>
  <c r="GI44" i="6"/>
  <c r="GE44" i="6"/>
  <c r="GA44" i="6"/>
  <c r="FW44" i="6"/>
  <c r="FS44" i="6"/>
  <c r="FO44" i="6"/>
  <c r="FK44" i="6"/>
  <c r="FG44" i="6"/>
  <c r="FC44" i="6"/>
  <c r="EY44" i="6"/>
  <c r="EU44" i="6"/>
  <c r="EQ44" i="6"/>
  <c r="GW43" i="6"/>
  <c r="GS43" i="6"/>
  <c r="GO43" i="6"/>
  <c r="GK43" i="6"/>
  <c r="GG43" i="6"/>
  <c r="GC43" i="6"/>
  <c r="FY43" i="6"/>
  <c r="FU43" i="6"/>
  <c r="FQ43" i="6"/>
  <c r="FM43" i="6"/>
  <c r="FI43" i="6"/>
  <c r="FE43" i="6"/>
  <c r="FA43" i="6"/>
  <c r="EW43" i="6"/>
  <c r="ES43" i="6"/>
  <c r="GU42" i="6"/>
  <c r="GQ42" i="6"/>
  <c r="GM42" i="6"/>
  <c r="GI42" i="6"/>
  <c r="GE42" i="6"/>
  <c r="GA42" i="6"/>
  <c r="FW42" i="6"/>
  <c r="FS42" i="6"/>
  <c r="FO42" i="6"/>
  <c r="FK42" i="6"/>
  <c r="FG42" i="6"/>
  <c r="FC42" i="6"/>
  <c r="EY42" i="6"/>
  <c r="EU42" i="6"/>
  <c r="EQ42" i="6"/>
  <c r="GW41" i="6"/>
  <c r="GS41" i="6"/>
  <c r="GO41" i="6"/>
  <c r="GK41" i="6"/>
  <c r="GG41" i="6"/>
  <c r="GC41" i="6"/>
  <c r="FY41" i="6"/>
  <c r="FU41" i="6"/>
  <c r="FQ41" i="6"/>
  <c r="FM41" i="6"/>
  <c r="FI41" i="6"/>
  <c r="FE41" i="6"/>
  <c r="FA41" i="6"/>
  <c r="EW41" i="6"/>
  <c r="ES41" i="6"/>
  <c r="GU40" i="6"/>
  <c r="GQ40" i="6"/>
  <c r="GM40" i="6"/>
  <c r="GI40" i="6"/>
  <c r="GE40" i="6"/>
  <c r="GA40" i="6"/>
  <c r="FW40" i="6"/>
  <c r="FS40" i="6"/>
  <c r="FO40" i="6"/>
  <c r="FK40" i="6"/>
  <c r="FG40" i="6"/>
  <c r="FC40" i="6"/>
  <c r="EY40" i="6"/>
  <c r="EU40" i="6"/>
  <c r="EQ40" i="6"/>
  <c r="GW39" i="6"/>
  <c r="GS39" i="6"/>
  <c r="GO39" i="6"/>
  <c r="GK39" i="6"/>
  <c r="GG39" i="6"/>
  <c r="GC39" i="6"/>
  <c r="FY39" i="6"/>
  <c r="FU39" i="6"/>
  <c r="FQ39" i="6"/>
  <c r="FM39" i="6"/>
  <c r="FI39" i="6"/>
  <c r="FE39" i="6"/>
  <c r="FA39" i="6"/>
  <c r="EW39" i="6"/>
  <c r="ES39" i="6"/>
  <c r="GU38" i="6"/>
  <c r="GQ38" i="6"/>
  <c r="GM38" i="6"/>
  <c r="GI38" i="6"/>
  <c r="GE38" i="6"/>
  <c r="GA38" i="6"/>
  <c r="FW38" i="6"/>
  <c r="FS38" i="6"/>
  <c r="FO38" i="6"/>
  <c r="FK38" i="6"/>
  <c r="FG38" i="6"/>
  <c r="FC38" i="6"/>
  <c r="EY38" i="6"/>
  <c r="EU38" i="6"/>
  <c r="EQ38" i="6"/>
  <c r="GW37" i="6"/>
  <c r="GS37" i="6"/>
  <c r="GO37" i="6"/>
  <c r="GK37" i="6"/>
  <c r="GG37" i="6"/>
  <c r="GC37" i="6"/>
  <c r="FY37" i="6"/>
  <c r="FU37" i="6"/>
  <c r="FQ37" i="6"/>
  <c r="FM37" i="6"/>
  <c r="FI37" i="6"/>
  <c r="FE37" i="6"/>
  <c r="FA37" i="6"/>
  <c r="EW37" i="6"/>
  <c r="ES37" i="6"/>
  <c r="GU36" i="6"/>
  <c r="GQ36" i="6"/>
  <c r="GM36" i="6"/>
  <c r="GI36" i="6"/>
  <c r="GE36" i="6"/>
  <c r="GA36" i="6"/>
  <c r="FW36" i="6"/>
  <c r="FS36" i="6"/>
  <c r="FO36" i="6"/>
  <c r="FK36" i="6"/>
  <c r="FG36" i="6"/>
  <c r="FC36" i="6"/>
  <c r="EY36" i="6"/>
  <c r="EU36" i="6"/>
  <c r="EQ36" i="6"/>
  <c r="GW35" i="6"/>
  <c r="GS35" i="6"/>
  <c r="GO35" i="6"/>
  <c r="GK35" i="6"/>
  <c r="GG35" i="6"/>
  <c r="GC35" i="6"/>
  <c r="FY35" i="6"/>
  <c r="FU35" i="6"/>
  <c r="FQ35" i="6"/>
  <c r="FM35" i="6"/>
  <c r="FI35" i="6"/>
  <c r="FE35" i="6"/>
  <c r="FA35" i="6"/>
  <c r="EW35" i="6"/>
  <c r="ES35" i="6"/>
  <c r="GU34" i="6"/>
  <c r="GQ34" i="6"/>
  <c r="GM34" i="6"/>
  <c r="GI34" i="6"/>
  <c r="GE34" i="6"/>
  <c r="GA34" i="6"/>
  <c r="FW34" i="6"/>
  <c r="FS34" i="6"/>
  <c r="FO34" i="6"/>
  <c r="FK34" i="6"/>
  <c r="FG34" i="6"/>
  <c r="FC34" i="6"/>
  <c r="EY34" i="6"/>
  <c r="EU34" i="6"/>
  <c r="EQ34" i="6"/>
  <c r="GW33" i="6"/>
  <c r="GS33" i="6"/>
  <c r="GO33" i="6"/>
  <c r="GK33" i="6"/>
  <c r="GG33" i="6"/>
  <c r="GC33" i="6"/>
  <c r="FY33" i="6"/>
  <c r="FU33" i="6"/>
  <c r="FQ33" i="6"/>
  <c r="FM33" i="6"/>
  <c r="FI33" i="6"/>
  <c r="FE33" i="6"/>
  <c r="FA33" i="6"/>
  <c r="EW33" i="6"/>
  <c r="ES33" i="6"/>
  <c r="GU32" i="6"/>
  <c r="GQ32" i="6"/>
  <c r="GM32" i="6"/>
  <c r="GI32" i="6"/>
  <c r="GE32" i="6"/>
  <c r="GA32" i="6"/>
  <c r="FW32" i="6"/>
  <c r="FS32" i="6"/>
  <c r="FO32" i="6"/>
  <c r="FK32" i="6"/>
  <c r="FG32" i="6"/>
  <c r="FC32" i="6"/>
  <c r="EY32" i="6"/>
  <c r="EU32" i="6"/>
  <c r="EQ32" i="6"/>
  <c r="GW31" i="6"/>
  <c r="GS31" i="6"/>
  <c r="GO31" i="6"/>
  <c r="GK31" i="6"/>
  <c r="GG31" i="6"/>
  <c r="GC31" i="6"/>
  <c r="FY31" i="6"/>
  <c r="FU31" i="6"/>
  <c r="FQ31" i="6"/>
  <c r="FM31" i="6"/>
  <c r="FI31" i="6"/>
  <c r="FE31" i="6"/>
  <c r="FA31" i="6"/>
  <c r="EW31" i="6"/>
  <c r="ES31" i="6"/>
  <c r="GU30" i="6"/>
  <c r="GQ30" i="6"/>
  <c r="GM30" i="6"/>
  <c r="GI30" i="6"/>
  <c r="GE30" i="6"/>
  <c r="GA30" i="6"/>
  <c r="FW30" i="6"/>
  <c r="FS30" i="6"/>
  <c r="FO30" i="6"/>
  <c r="FK30" i="6"/>
  <c r="FG30" i="6"/>
  <c r="FC30" i="6"/>
  <c r="EY30" i="6"/>
  <c r="EU30" i="6"/>
  <c r="EQ30" i="6"/>
  <c r="GW29" i="6"/>
  <c r="GS29" i="6"/>
  <c r="GO29" i="6"/>
  <c r="GK29" i="6"/>
  <c r="GG29" i="6"/>
  <c r="GC29" i="6"/>
  <c r="FY29" i="6"/>
  <c r="FU29" i="6"/>
  <c r="FQ29" i="6"/>
  <c r="FM29" i="6"/>
  <c r="FI29" i="6"/>
  <c r="FE29" i="6"/>
  <c r="FA29" i="6"/>
  <c r="EW29" i="6"/>
  <c r="ES29" i="6"/>
  <c r="GU28" i="6"/>
  <c r="GQ28" i="6"/>
  <c r="GM28" i="6"/>
  <c r="GI28" i="6"/>
  <c r="GE28" i="6"/>
  <c r="GA28" i="6"/>
  <c r="FW28" i="6"/>
  <c r="FS28" i="6"/>
  <c r="FO28" i="6"/>
  <c r="FK28" i="6"/>
  <c r="FG28" i="6"/>
  <c r="FC28" i="6"/>
  <c r="EY28" i="6"/>
  <c r="EU28" i="6"/>
  <c r="EQ28" i="6"/>
  <c r="GW27" i="6"/>
  <c r="GS27" i="6"/>
  <c r="GO27" i="6"/>
  <c r="GK27" i="6"/>
  <c r="GG27" i="6"/>
  <c r="GC27" i="6"/>
  <c r="FY27" i="6"/>
  <c r="FU27" i="6"/>
  <c r="FQ27" i="6"/>
  <c r="FM27" i="6"/>
  <c r="FI27" i="6"/>
  <c r="FE27" i="6"/>
  <c r="FA27" i="6"/>
  <c r="EW27" i="6"/>
  <c r="ES27" i="6"/>
  <c r="GU26" i="6"/>
  <c r="GQ26" i="6"/>
  <c r="GM26" i="6"/>
  <c r="GI26" i="6"/>
  <c r="GE26" i="6"/>
  <c r="GA26" i="6"/>
  <c r="FW26" i="6"/>
  <c r="FS26" i="6"/>
  <c r="FO26" i="6"/>
  <c r="FK26" i="6"/>
  <c r="FG26" i="6"/>
  <c r="FC26" i="6"/>
  <c r="EY26" i="6"/>
  <c r="EU26" i="6"/>
  <c r="EQ26" i="6"/>
  <c r="GW25" i="6"/>
  <c r="GS25" i="6"/>
  <c r="GO25" i="6"/>
  <c r="GK25" i="6"/>
  <c r="GG25" i="6"/>
  <c r="GC25" i="6"/>
  <c r="FY25" i="6"/>
  <c r="FU25" i="6"/>
  <c r="FQ25" i="6"/>
  <c r="FM25" i="6"/>
  <c r="FI25" i="6"/>
  <c r="FE25" i="6"/>
  <c r="FA25" i="6"/>
  <c r="EW25" i="6"/>
  <c r="ES25" i="6"/>
  <c r="GU24" i="6"/>
  <c r="GQ24" i="6"/>
  <c r="GM24" i="6"/>
  <c r="GI24" i="6"/>
  <c r="GE24" i="6"/>
  <c r="GA24" i="6"/>
  <c r="FW24" i="6"/>
  <c r="FS24" i="6"/>
  <c r="FO24" i="6"/>
  <c r="FK24" i="6"/>
  <c r="FG24" i="6"/>
  <c r="FC24" i="6"/>
  <c r="EY24" i="6"/>
  <c r="EU24" i="6"/>
  <c r="EQ24" i="6"/>
  <c r="GW23" i="6"/>
  <c r="GS23" i="6"/>
  <c r="GO23" i="6"/>
  <c r="GK23" i="6"/>
  <c r="GG23" i="6"/>
  <c r="GC23" i="6"/>
  <c r="FY23" i="6"/>
  <c r="FU23" i="6"/>
  <c r="FQ23" i="6"/>
  <c r="FM23" i="6"/>
  <c r="FI23" i="6"/>
  <c r="FE23" i="6"/>
  <c r="FA23" i="6"/>
  <c r="EW23" i="6"/>
  <c r="ES23" i="6"/>
  <c r="GU22" i="6"/>
  <c r="GQ22" i="6"/>
  <c r="GM22" i="6"/>
  <c r="GI22" i="6"/>
  <c r="GE22" i="6"/>
  <c r="GA22" i="6"/>
  <c r="FW22" i="6"/>
  <c r="FS22" i="6"/>
  <c r="FO22" i="6"/>
  <c r="FK22" i="6"/>
  <c r="FG22" i="6"/>
  <c r="FC22" i="6"/>
  <c r="EY22" i="6"/>
  <c r="EU22" i="6"/>
  <c r="EQ22" i="6"/>
  <c r="GW21" i="6"/>
  <c r="GS21" i="6"/>
  <c r="GO21" i="6"/>
  <c r="GK21" i="6"/>
  <c r="GG21" i="6"/>
  <c r="GC21" i="6"/>
  <c r="FY21" i="6"/>
  <c r="FU21" i="6"/>
  <c r="FQ21" i="6"/>
  <c r="FM21" i="6"/>
  <c r="FI21" i="6"/>
  <c r="FE21" i="6"/>
  <c r="FA21" i="6"/>
  <c r="EW21" i="6"/>
  <c r="ES21" i="6"/>
  <c r="GU20" i="6"/>
  <c r="GQ20" i="6"/>
  <c r="GM20" i="6"/>
  <c r="GI20" i="6"/>
  <c r="GE20" i="6"/>
  <c r="GA20" i="6"/>
  <c r="FW20" i="6"/>
  <c r="FS20" i="6"/>
  <c r="FO20" i="6"/>
  <c r="FK20" i="6"/>
  <c r="FG20" i="6"/>
  <c r="FC20" i="6"/>
  <c r="EY20" i="6"/>
  <c r="EU20" i="6"/>
  <c r="EQ20" i="6"/>
  <c r="GW19" i="6"/>
  <c r="GS19" i="6"/>
  <c r="GO19" i="6"/>
  <c r="GK19" i="6"/>
  <c r="GG19" i="6"/>
  <c r="GC19" i="6"/>
  <c r="FY19" i="6"/>
  <c r="FU19" i="6"/>
  <c r="FQ19" i="6"/>
  <c r="FM19" i="6"/>
  <c r="FI19" i="6"/>
  <c r="FE19" i="6"/>
  <c r="FA19" i="6"/>
  <c r="EW19" i="6"/>
  <c r="ES19" i="6"/>
  <c r="GU18" i="6"/>
  <c r="GQ18" i="6"/>
  <c r="GM18" i="6"/>
  <c r="GI18" i="6"/>
  <c r="GE18" i="6"/>
  <c r="GA18" i="6"/>
  <c r="FW18" i="6"/>
  <c r="FS18" i="6"/>
  <c r="FO18" i="6"/>
  <c r="FK18" i="6"/>
  <c r="FG18" i="6"/>
  <c r="FC18" i="6"/>
  <c r="EY18" i="6"/>
  <c r="EU18" i="6"/>
  <c r="EQ18" i="6"/>
  <c r="GW17" i="6"/>
  <c r="GS17" i="6"/>
  <c r="GO17" i="6"/>
  <c r="GK17" i="6"/>
  <c r="GG17" i="6"/>
  <c r="GC17" i="6"/>
  <c r="FY17" i="6"/>
  <c r="FU17" i="6"/>
  <c r="FQ17" i="6"/>
  <c r="FM17" i="6"/>
  <c r="FI17" i="6"/>
  <c r="FE17" i="6"/>
  <c r="FA17" i="6"/>
  <c r="EW17" i="6"/>
  <c r="ES17" i="6"/>
  <c r="GU16" i="6"/>
  <c r="GQ16" i="6"/>
  <c r="GM16" i="6"/>
  <c r="GI16" i="6"/>
  <c r="GE16" i="6"/>
  <c r="GA16" i="6"/>
  <c r="FW16" i="6"/>
  <c r="FS16" i="6"/>
  <c r="FO16" i="6"/>
  <c r="FK16" i="6"/>
  <c r="FG16" i="6"/>
  <c r="FC16" i="6"/>
  <c r="EY16" i="6"/>
  <c r="EU16" i="6"/>
  <c r="EQ16" i="6"/>
  <c r="GW15" i="6"/>
  <c r="GS15" i="6"/>
  <c r="GO15" i="6"/>
  <c r="GK15" i="6"/>
  <c r="GG15" i="6"/>
  <c r="GC15" i="6"/>
  <c r="FY15" i="6"/>
  <c r="FU15" i="6"/>
  <c r="FQ15" i="6"/>
  <c r="FM15" i="6"/>
  <c r="FI15" i="6"/>
  <c r="FE15" i="6"/>
  <c r="FA15" i="6"/>
  <c r="EW15" i="6"/>
  <c r="ES15" i="6"/>
  <c r="GU14" i="6"/>
  <c r="GQ14" i="6"/>
  <c r="GM14" i="6"/>
  <c r="GI14" i="6"/>
  <c r="GE14" i="6"/>
  <c r="GA14" i="6"/>
  <c r="FW14" i="6"/>
  <c r="FS14" i="6"/>
  <c r="FO14" i="6"/>
  <c r="FK14" i="6"/>
  <c r="FG14" i="6"/>
  <c r="FC14" i="6"/>
  <c r="EY14" i="6"/>
  <c r="EU14" i="6"/>
  <c r="EQ14" i="6"/>
  <c r="GW13" i="6"/>
  <c r="GS13" i="6"/>
  <c r="GO13" i="6"/>
  <c r="GK13" i="6"/>
  <c r="GG13" i="6"/>
  <c r="GC13" i="6"/>
  <c r="FY13" i="6"/>
  <c r="FU13" i="6"/>
  <c r="FQ13" i="6"/>
  <c r="FM13" i="6"/>
  <c r="FI13" i="6"/>
  <c r="FE13" i="6"/>
  <c r="FA13" i="6"/>
  <c r="EW13" i="6"/>
  <c r="ES13" i="6"/>
  <c r="GU12" i="6"/>
  <c r="GQ12" i="6"/>
  <c r="GM12" i="6"/>
  <c r="GI12" i="6"/>
  <c r="GE12" i="6"/>
  <c r="GA12" i="6"/>
  <c r="FW12" i="6"/>
  <c r="FS12" i="6"/>
  <c r="FO12" i="6"/>
  <c r="FK12" i="6"/>
  <c r="FG12" i="6"/>
  <c r="FC12" i="6"/>
  <c r="EY12" i="6"/>
  <c r="EU12" i="6"/>
  <c r="EQ12" i="6"/>
  <c r="GW11" i="6"/>
  <c r="GS11" i="6"/>
  <c r="GO11" i="6"/>
  <c r="GK11" i="6"/>
  <c r="GG11" i="6"/>
  <c r="GC11" i="6"/>
  <c r="FY11" i="6"/>
  <c r="FU11" i="6"/>
  <c r="FQ11" i="6"/>
  <c r="FM11" i="6"/>
  <c r="FI11" i="6"/>
  <c r="FE11" i="6"/>
  <c r="FA11" i="6"/>
  <c r="EW11" i="6"/>
  <c r="ES11" i="6"/>
  <c r="GU10" i="6"/>
  <c r="GQ10" i="6"/>
  <c r="GM10" i="6"/>
  <c r="GI10" i="6"/>
  <c r="GE10" i="6"/>
  <c r="GA10" i="6"/>
  <c r="FW10" i="6"/>
  <c r="FS10" i="6"/>
  <c r="FO10" i="6"/>
  <c r="FK10" i="6"/>
  <c r="FG10" i="6"/>
  <c r="FC10" i="6"/>
  <c r="EY10" i="6"/>
  <c r="EU10" i="6"/>
  <c r="EQ10" i="6"/>
  <c r="GW9" i="6"/>
  <c r="GS9" i="6"/>
  <c r="GO9" i="6"/>
  <c r="GK9" i="6"/>
  <c r="GG9" i="6"/>
  <c r="GC9" i="6"/>
  <c r="FY9" i="6"/>
  <c r="FU9" i="6"/>
  <c r="FQ9" i="6"/>
  <c r="FM9" i="6"/>
  <c r="FI9" i="6"/>
  <c r="FE9" i="6"/>
  <c r="FA9" i="6"/>
  <c r="EW9" i="6"/>
  <c r="ES9" i="6"/>
  <c r="GU8" i="6"/>
  <c r="GQ8" i="6"/>
  <c r="GM8" i="6"/>
  <c r="GI8" i="6"/>
  <c r="GE8" i="6"/>
  <c r="GA8" i="6"/>
  <c r="FW8" i="6"/>
  <c r="FS8" i="6"/>
  <c r="FO8" i="6"/>
  <c r="FK8" i="6"/>
  <c r="FG8" i="6"/>
  <c r="FC8" i="6"/>
  <c r="EY8" i="6"/>
  <c r="EU8" i="6"/>
  <c r="EQ8" i="6"/>
  <c r="GW7" i="6"/>
  <c r="GS7" i="6"/>
  <c r="GO7" i="6"/>
  <c r="GK7" i="6"/>
  <c r="GG7" i="6"/>
  <c r="GC7" i="6"/>
  <c r="FY7" i="6"/>
  <c r="FU7" i="6"/>
  <c r="FQ7" i="6"/>
  <c r="FM7" i="6"/>
  <c r="FI7" i="6"/>
  <c r="FE7" i="6"/>
  <c r="FA7" i="6"/>
  <c r="EW7" i="6"/>
  <c r="ES7" i="6"/>
  <c r="GU6" i="6"/>
  <c r="GQ6" i="6"/>
  <c r="GM6" i="6"/>
  <c r="GI6" i="6"/>
  <c r="GE6" i="6"/>
  <c r="GA6" i="6"/>
  <c r="FW6" i="6"/>
  <c r="FS6" i="6"/>
  <c r="FO6" i="6"/>
  <c r="FK6" i="6"/>
  <c r="FG6" i="6"/>
  <c r="FC6" i="6"/>
  <c r="EY6" i="6"/>
  <c r="EU6" i="6"/>
  <c r="EQ6" i="6"/>
  <c r="GW5" i="6"/>
  <c r="GS5" i="6"/>
  <c r="GO5" i="6"/>
  <c r="GK5" i="6"/>
  <c r="GG5" i="6"/>
  <c r="GC5" i="6"/>
  <c r="FY5" i="6"/>
  <c r="FU5" i="6"/>
  <c r="FQ5" i="6"/>
  <c r="FM5" i="6"/>
  <c r="FI5" i="6"/>
  <c r="FE5" i="6"/>
  <c r="FA5" i="6"/>
  <c r="EW5" i="6"/>
  <c r="ES5" i="6"/>
  <c r="GU4" i="6"/>
  <c r="GQ4" i="6"/>
  <c r="GM4" i="6"/>
  <c r="GI4" i="6"/>
  <c r="GE4" i="6"/>
  <c r="GA4" i="6"/>
  <c r="FW4" i="6"/>
  <c r="FS4" i="6"/>
  <c r="FO4" i="6"/>
  <c r="FK4" i="6"/>
  <c r="FG4" i="6"/>
  <c r="FC4" i="6"/>
  <c r="EY4" i="6"/>
  <c r="EU4" i="6"/>
  <c r="EQ4" i="6"/>
  <c r="GW3" i="6"/>
  <c r="GS3" i="6"/>
  <c r="GO3" i="6"/>
  <c r="GK3" i="6"/>
  <c r="GG3" i="6"/>
  <c r="GC3" i="6"/>
  <c r="FY3" i="6"/>
  <c r="FU3" i="6"/>
  <c r="FQ3" i="6"/>
  <c r="FM3" i="6"/>
  <c r="FI3" i="6"/>
  <c r="FE3" i="6"/>
  <c r="FA3" i="6"/>
  <c r="EW3" i="6"/>
  <c r="ES3" i="6"/>
  <c r="FN18" i="6"/>
  <c r="FJ18" i="6"/>
  <c r="FF18" i="6"/>
  <c r="FB18" i="6"/>
  <c r="EX18" i="6"/>
  <c r="ET18" i="6"/>
  <c r="GV17" i="6"/>
  <c r="GR17" i="6"/>
  <c r="GN17" i="6"/>
  <c r="GJ17" i="6"/>
  <c r="GF17" i="6"/>
  <c r="GB17" i="6"/>
  <c r="FX17" i="6"/>
  <c r="FT17" i="6"/>
  <c r="FP17" i="6"/>
  <c r="FL17" i="6"/>
  <c r="FH17" i="6"/>
  <c r="FD17" i="6"/>
  <c r="EZ17" i="6"/>
  <c r="EV17" i="6"/>
  <c r="ER17" i="6"/>
  <c r="GT16" i="6"/>
  <c r="GP16" i="6"/>
  <c r="GL16" i="6"/>
  <c r="GH16" i="6"/>
  <c r="GD16" i="6"/>
  <c r="FZ16" i="6"/>
  <c r="FV16" i="6"/>
  <c r="FR16" i="6"/>
  <c r="FN16" i="6"/>
  <c r="FJ16" i="6"/>
  <c r="FF16" i="6"/>
  <c r="FB16" i="6"/>
  <c r="EX16" i="6"/>
  <c r="ET16" i="6"/>
  <c r="GV15" i="6"/>
  <c r="GR15" i="6"/>
  <c r="GN15" i="6"/>
  <c r="GJ15" i="6"/>
  <c r="GF15" i="6"/>
  <c r="GB15" i="6"/>
  <c r="FX15" i="6"/>
  <c r="FT15" i="6"/>
  <c r="FP15" i="6"/>
  <c r="FL15" i="6"/>
  <c r="FH15" i="6"/>
  <c r="FD15" i="6"/>
  <c r="EZ15" i="6"/>
  <c r="EV15" i="6"/>
  <c r="ER15" i="6"/>
  <c r="GT14" i="6"/>
  <c r="GP14" i="6"/>
  <c r="GL14" i="6"/>
  <c r="GH14" i="6"/>
  <c r="GD14" i="6"/>
  <c r="FZ14" i="6"/>
  <c r="FV14" i="6"/>
  <c r="FR14" i="6"/>
  <c r="FN14" i="6"/>
  <c r="FJ14" i="6"/>
  <c r="FF14" i="6"/>
  <c r="FB14" i="6"/>
  <c r="EX14" i="6"/>
  <c r="ET14" i="6"/>
  <c r="GV13" i="6"/>
  <c r="GR13" i="6"/>
  <c r="GN13" i="6"/>
  <c r="GJ13" i="6"/>
  <c r="GF13" i="6"/>
  <c r="GB13" i="6"/>
  <c r="FX13" i="6"/>
  <c r="FT13" i="6"/>
  <c r="FP13" i="6"/>
  <c r="FL13" i="6"/>
  <c r="FH13" i="6"/>
  <c r="FD13" i="6"/>
  <c r="EZ13" i="6"/>
  <c r="EV13" i="6"/>
  <c r="ER13" i="6"/>
  <c r="GT12" i="6"/>
  <c r="GP12" i="6"/>
  <c r="GL12" i="6"/>
  <c r="GH12" i="6"/>
  <c r="GD12" i="6"/>
  <c r="FZ12" i="6"/>
  <c r="FV12" i="6"/>
  <c r="FR12" i="6"/>
  <c r="FN12" i="6"/>
  <c r="FJ12" i="6"/>
  <c r="FF12" i="6"/>
  <c r="FB12" i="6"/>
  <c r="EX12" i="6"/>
  <c r="ET12" i="6"/>
  <c r="GV11" i="6"/>
  <c r="GR11" i="6"/>
  <c r="GN11" i="6"/>
  <c r="GJ11" i="6"/>
  <c r="GF11" i="6"/>
  <c r="GB11" i="6"/>
  <c r="FX11" i="6"/>
  <c r="FT11" i="6"/>
  <c r="FP11" i="6"/>
  <c r="FL11" i="6"/>
  <c r="FH11" i="6"/>
  <c r="FD11" i="6"/>
  <c r="EZ11" i="6"/>
  <c r="EV11" i="6"/>
  <c r="ER11" i="6"/>
  <c r="GT10" i="6"/>
  <c r="GP10" i="6"/>
  <c r="GL10" i="6"/>
  <c r="GH10" i="6"/>
  <c r="GD10" i="6"/>
  <c r="FZ10" i="6"/>
  <c r="FV10" i="6"/>
  <c r="FR10" i="6"/>
  <c r="FN10" i="6"/>
  <c r="FJ10" i="6"/>
  <c r="FF10" i="6"/>
  <c r="FB10" i="6"/>
  <c r="EX10" i="6"/>
  <c r="ET10" i="6"/>
  <c r="GV9" i="6"/>
  <c r="GR9" i="6"/>
  <c r="GN9" i="6"/>
  <c r="GJ9" i="6"/>
  <c r="GF9" i="6"/>
  <c r="GB9" i="6"/>
  <c r="FX9" i="6"/>
  <c r="FT9" i="6"/>
  <c r="FP9" i="6"/>
  <c r="FL9" i="6"/>
  <c r="FH9" i="6"/>
  <c r="FD9" i="6"/>
  <c r="EZ9" i="6"/>
  <c r="EV9" i="6"/>
  <c r="ER9" i="6"/>
  <c r="GT8" i="6"/>
  <c r="GP8" i="6"/>
  <c r="GL8" i="6"/>
  <c r="GH8" i="6"/>
  <c r="GD8" i="6"/>
  <c r="FZ8" i="6"/>
  <c r="FV8" i="6"/>
  <c r="FR8" i="6"/>
  <c r="FN8" i="6"/>
  <c r="FJ8" i="6"/>
  <c r="FF8" i="6"/>
  <c r="FB8" i="6"/>
  <c r="EX8" i="6"/>
  <c r="ET8" i="6"/>
  <c r="GV7" i="6"/>
  <c r="GR7" i="6"/>
  <c r="GN7" i="6"/>
  <c r="GJ7" i="6"/>
  <c r="GF7" i="6"/>
  <c r="GB7" i="6"/>
  <c r="FX7" i="6"/>
  <c r="FT7" i="6"/>
  <c r="FP7" i="6"/>
  <c r="FL7" i="6"/>
  <c r="FH7" i="6"/>
  <c r="FD7" i="6"/>
  <c r="EZ7" i="6"/>
  <c r="EV7" i="6"/>
  <c r="ER7" i="6"/>
  <c r="GT6" i="6"/>
  <c r="GP6" i="6"/>
  <c r="GL6" i="6"/>
  <c r="GH6" i="6"/>
  <c r="GD6" i="6"/>
  <c r="FZ6" i="6"/>
  <c r="FV6" i="6"/>
  <c r="FR6" i="6"/>
  <c r="FN6" i="6"/>
  <c r="FJ6" i="6"/>
  <c r="FF6" i="6"/>
  <c r="FB6" i="6"/>
  <c r="EX6" i="6"/>
  <c r="ET6" i="6"/>
  <c r="GV5" i="6"/>
  <c r="GR5" i="6"/>
  <c r="GN5" i="6"/>
  <c r="GJ5" i="6"/>
  <c r="GF5" i="6"/>
  <c r="GB5" i="6"/>
  <c r="FX5" i="6"/>
  <c r="FT5" i="6"/>
  <c r="FP5" i="6"/>
  <c r="FL5" i="6"/>
  <c r="FH5" i="6"/>
  <c r="FD5" i="6"/>
  <c r="EZ5" i="6"/>
  <c r="EV5" i="6"/>
  <c r="ER5" i="6"/>
  <c r="GT4" i="6"/>
  <c r="GP4" i="6"/>
  <c r="GL4" i="6"/>
  <c r="GH4" i="6"/>
  <c r="GD4" i="6"/>
  <c r="FZ4" i="6"/>
  <c r="FV4" i="6"/>
  <c r="FR4" i="6"/>
  <c r="FN4" i="6"/>
  <c r="FJ4" i="6"/>
  <c r="FF4" i="6"/>
  <c r="FB4" i="6"/>
  <c r="EX4" i="6"/>
  <c r="ET4" i="6"/>
  <c r="GV3" i="6"/>
  <c r="GR3" i="6"/>
  <c r="GN3" i="6"/>
  <c r="GJ3" i="6"/>
  <c r="GF3" i="6"/>
  <c r="GB3" i="6"/>
  <c r="FX3" i="6"/>
  <c r="FT3" i="6"/>
  <c r="FP3" i="6"/>
  <c r="FL3" i="6"/>
  <c r="FH3" i="6"/>
  <c r="FD3" i="6"/>
  <c r="EZ3" i="6"/>
  <c r="EV3" i="6"/>
  <c r="ER3" i="6"/>
  <c r="FU18" i="6"/>
  <c r="FQ18" i="6"/>
  <c r="FM18" i="6"/>
  <c r="FI18" i="6"/>
  <c r="FE18" i="6"/>
  <c r="FA18" i="6"/>
  <c r="EW18" i="6"/>
  <c r="ES18" i="6"/>
  <c r="GU17" i="6"/>
  <c r="GQ17" i="6"/>
  <c r="GM17" i="6"/>
  <c r="GI17" i="6"/>
  <c r="GE17" i="6"/>
  <c r="GA17" i="6"/>
  <c r="FW17" i="6"/>
  <c r="FS17" i="6"/>
  <c r="FO17" i="6"/>
  <c r="FK17" i="6"/>
  <c r="FG17" i="6"/>
  <c r="FC17" i="6"/>
  <c r="EY17" i="6"/>
  <c r="EU17" i="6"/>
  <c r="EQ17" i="6"/>
  <c r="GW16" i="6"/>
  <c r="GS16" i="6"/>
  <c r="GO16" i="6"/>
  <c r="GK16" i="6"/>
  <c r="GG16" i="6"/>
  <c r="GC16" i="6"/>
  <c r="FY16" i="6"/>
  <c r="FU16" i="6"/>
  <c r="FQ16" i="6"/>
  <c r="FM16" i="6"/>
  <c r="FI16" i="6"/>
  <c r="FE16" i="6"/>
  <c r="FA16" i="6"/>
  <c r="EW16" i="6"/>
  <c r="ES16" i="6"/>
  <c r="GU15" i="6"/>
  <c r="GQ15" i="6"/>
  <c r="GM15" i="6"/>
  <c r="GI15" i="6"/>
  <c r="GE15" i="6"/>
  <c r="GA15" i="6"/>
  <c r="FW15" i="6"/>
  <c r="FS15" i="6"/>
  <c r="FO15" i="6"/>
  <c r="FK15" i="6"/>
  <c r="FG15" i="6"/>
  <c r="FC15" i="6"/>
  <c r="EY15" i="6"/>
  <c r="EU15" i="6"/>
  <c r="EQ15" i="6"/>
  <c r="GW14" i="6"/>
  <c r="GS14" i="6"/>
  <c r="GO14" i="6"/>
  <c r="GK14" i="6"/>
  <c r="GG14" i="6"/>
  <c r="GC14" i="6"/>
  <c r="FY14" i="6"/>
  <c r="FU14" i="6"/>
  <c r="FQ14" i="6"/>
  <c r="FM14" i="6"/>
  <c r="FI14" i="6"/>
  <c r="FE14" i="6"/>
  <c r="FA14" i="6"/>
  <c r="EW14" i="6"/>
  <c r="ES14" i="6"/>
  <c r="GU13" i="6"/>
  <c r="GQ13" i="6"/>
  <c r="GM13" i="6"/>
  <c r="GI13" i="6"/>
  <c r="GE13" i="6"/>
  <c r="GA13" i="6"/>
  <c r="FW13" i="6"/>
  <c r="FS13" i="6"/>
  <c r="FO13" i="6"/>
  <c r="FK13" i="6"/>
  <c r="FG13" i="6"/>
  <c r="FC13" i="6"/>
  <c r="EY13" i="6"/>
  <c r="EU13" i="6"/>
  <c r="EQ13" i="6"/>
  <c r="GW12" i="6"/>
  <c r="GS12" i="6"/>
  <c r="GO12" i="6"/>
  <c r="GK12" i="6"/>
  <c r="GG12" i="6"/>
  <c r="GC12" i="6"/>
  <c r="FY12" i="6"/>
  <c r="FU12" i="6"/>
  <c r="FQ12" i="6"/>
  <c r="FM12" i="6"/>
  <c r="FI12" i="6"/>
  <c r="FE12" i="6"/>
  <c r="FA12" i="6"/>
  <c r="EW12" i="6"/>
  <c r="ES12" i="6"/>
  <c r="GU11" i="6"/>
  <c r="GQ11" i="6"/>
  <c r="GM11" i="6"/>
  <c r="GI11" i="6"/>
  <c r="GE11" i="6"/>
  <c r="GA11" i="6"/>
  <c r="FW11" i="6"/>
  <c r="FS11" i="6"/>
  <c r="FO11" i="6"/>
  <c r="FK11" i="6"/>
  <c r="FG11" i="6"/>
  <c r="FC11" i="6"/>
  <c r="EY11" i="6"/>
  <c r="EU11" i="6"/>
  <c r="EQ11" i="6"/>
  <c r="GW10" i="6"/>
  <c r="GS10" i="6"/>
  <c r="GO10" i="6"/>
  <c r="GK10" i="6"/>
  <c r="GG10" i="6"/>
  <c r="GC10" i="6"/>
  <c r="FY10" i="6"/>
  <c r="FU10" i="6"/>
  <c r="FQ10" i="6"/>
  <c r="FM10" i="6"/>
  <c r="FI10" i="6"/>
  <c r="FE10" i="6"/>
  <c r="FA10" i="6"/>
  <c r="EW10" i="6"/>
  <c r="ES10" i="6"/>
  <c r="GU9" i="6"/>
  <c r="GQ9" i="6"/>
  <c r="GM9" i="6"/>
  <c r="GI9" i="6"/>
  <c r="GE9" i="6"/>
  <c r="GA9" i="6"/>
  <c r="FW9" i="6"/>
  <c r="FS9" i="6"/>
  <c r="FO9" i="6"/>
  <c r="FK9" i="6"/>
  <c r="FG9" i="6"/>
  <c r="FC9" i="6"/>
  <c r="EY9" i="6"/>
  <c r="EU9" i="6"/>
  <c r="EQ9" i="6"/>
  <c r="GW8" i="6"/>
  <c r="GS8" i="6"/>
  <c r="GO8" i="6"/>
  <c r="GK8" i="6"/>
  <c r="GG8" i="6"/>
  <c r="GC8" i="6"/>
  <c r="FY8" i="6"/>
  <c r="FU8" i="6"/>
  <c r="FQ8" i="6"/>
  <c r="FM8" i="6"/>
  <c r="FI8" i="6"/>
  <c r="FE8" i="6"/>
  <c r="FA8" i="6"/>
  <c r="EW8" i="6"/>
  <c r="ES8" i="6"/>
  <c r="GU7" i="6"/>
  <c r="GQ7" i="6"/>
  <c r="GM7" i="6"/>
  <c r="GI7" i="6"/>
  <c r="GE7" i="6"/>
  <c r="GA7" i="6"/>
  <c r="FW7" i="6"/>
  <c r="FS7" i="6"/>
  <c r="FO7" i="6"/>
  <c r="FK7" i="6"/>
  <c r="FG7" i="6"/>
  <c r="FC7" i="6"/>
  <c r="EY7" i="6"/>
  <c r="EU7" i="6"/>
  <c r="EQ7" i="6"/>
  <c r="GW6" i="6"/>
  <c r="GS6" i="6"/>
  <c r="GO6" i="6"/>
  <c r="GK6" i="6"/>
  <c r="GG6" i="6"/>
  <c r="GC6" i="6"/>
  <c r="FY6" i="6"/>
  <c r="FU6" i="6"/>
  <c r="FQ6" i="6"/>
  <c r="FM6" i="6"/>
  <c r="FI6" i="6"/>
  <c r="FE6" i="6"/>
  <c r="FA6" i="6"/>
  <c r="EW6" i="6"/>
  <c r="ES6" i="6"/>
  <c r="GU5" i="6"/>
  <c r="GQ5" i="6"/>
  <c r="GM5" i="6"/>
  <c r="GI5" i="6"/>
  <c r="GE5" i="6"/>
  <c r="GA5" i="6"/>
  <c r="FW5" i="6"/>
  <c r="FS5" i="6"/>
  <c r="FO5" i="6"/>
  <c r="FK5" i="6"/>
  <c r="FG5" i="6"/>
  <c r="FC5" i="6"/>
  <c r="EY5" i="6"/>
  <c r="EU5" i="6"/>
  <c r="EQ5" i="6"/>
  <c r="GW4" i="6"/>
  <c r="GS4" i="6"/>
  <c r="GO4" i="6"/>
  <c r="GK4" i="6"/>
  <c r="GG4" i="6"/>
  <c r="GC4" i="6"/>
  <c r="FY4" i="6"/>
  <c r="FU4" i="6"/>
  <c r="FQ4" i="6"/>
  <c r="FM4" i="6"/>
  <c r="FI4" i="6"/>
  <c r="FE4" i="6"/>
  <c r="FA4" i="6"/>
  <c r="EW4" i="6"/>
  <c r="ES4" i="6"/>
  <c r="GU3" i="6"/>
  <c r="GQ3" i="6"/>
  <c r="GM3" i="6"/>
  <c r="GI3" i="6"/>
  <c r="GE3" i="6"/>
  <c r="GA3" i="6"/>
  <c r="FW3" i="6"/>
  <c r="FS3" i="6"/>
  <c r="FO3" i="6"/>
  <c r="FK3" i="6"/>
  <c r="FG3" i="6"/>
  <c r="FC3" i="6"/>
  <c r="EY3" i="6"/>
  <c r="EU3" i="6"/>
  <c r="EQ3" i="6"/>
  <c r="FH18" i="6"/>
  <c r="FD18" i="6"/>
  <c r="EZ18" i="6"/>
  <c r="EV18" i="6"/>
  <c r="ER18" i="6"/>
  <c r="GT17" i="6"/>
  <c r="GP17" i="6"/>
  <c r="GL17" i="6"/>
  <c r="GH17" i="6"/>
  <c r="GD17" i="6"/>
  <c r="FZ17" i="6"/>
  <c r="FV17" i="6"/>
  <c r="FR17" i="6"/>
  <c r="FN17" i="6"/>
  <c r="FJ17" i="6"/>
  <c r="FF17" i="6"/>
  <c r="FB17" i="6"/>
  <c r="EX17" i="6"/>
  <c r="ET17" i="6"/>
  <c r="GV16" i="6"/>
  <c r="GR16" i="6"/>
  <c r="GN16" i="6"/>
  <c r="GJ16" i="6"/>
  <c r="GF16" i="6"/>
  <c r="GB16" i="6"/>
  <c r="FX16" i="6"/>
  <c r="FT16" i="6"/>
  <c r="FP16" i="6"/>
  <c r="FL16" i="6"/>
  <c r="FH16" i="6"/>
  <c r="FD16" i="6"/>
  <c r="EZ16" i="6"/>
  <c r="EV16" i="6"/>
  <c r="ER16" i="6"/>
  <c r="GT15" i="6"/>
  <c r="GP15" i="6"/>
  <c r="GL15" i="6"/>
  <c r="GH15" i="6"/>
  <c r="GD15" i="6"/>
  <c r="FZ15" i="6"/>
  <c r="FV15" i="6"/>
  <c r="FR15" i="6"/>
  <c r="FN15" i="6"/>
  <c r="FJ15" i="6"/>
  <c r="FF15" i="6"/>
  <c r="FB15" i="6"/>
  <c r="EX15" i="6"/>
  <c r="ET15" i="6"/>
  <c r="GV14" i="6"/>
  <c r="GR14" i="6"/>
  <c r="GN14" i="6"/>
  <c r="GJ14" i="6"/>
  <c r="GF14" i="6"/>
  <c r="GB14" i="6"/>
  <c r="FX14" i="6"/>
  <c r="FT14" i="6"/>
  <c r="FP14" i="6"/>
  <c r="FL14" i="6"/>
  <c r="FH14" i="6"/>
  <c r="FD14" i="6"/>
  <c r="EZ14" i="6"/>
  <c r="EV14" i="6"/>
  <c r="ER14" i="6"/>
  <c r="GT13" i="6"/>
  <c r="GP13" i="6"/>
  <c r="GL13" i="6"/>
  <c r="GH13" i="6"/>
  <c r="GD13" i="6"/>
  <c r="FZ13" i="6"/>
  <c r="FV13" i="6"/>
  <c r="FR13" i="6"/>
  <c r="FN13" i="6"/>
  <c r="FJ13" i="6"/>
  <c r="FF13" i="6"/>
  <c r="FB13" i="6"/>
  <c r="EX13" i="6"/>
  <c r="ET13" i="6"/>
  <c r="GV12" i="6"/>
  <c r="GR12" i="6"/>
  <c r="GN12" i="6"/>
  <c r="GJ12" i="6"/>
  <c r="GF12" i="6"/>
  <c r="GB12" i="6"/>
  <c r="FX12" i="6"/>
  <c r="FT12" i="6"/>
  <c r="FP12" i="6"/>
  <c r="FL12" i="6"/>
  <c r="FH12" i="6"/>
  <c r="FD12" i="6"/>
  <c r="EZ12" i="6"/>
  <c r="EV12" i="6"/>
  <c r="ER12" i="6"/>
  <c r="GT11" i="6"/>
  <c r="GP11" i="6"/>
  <c r="GL11" i="6"/>
  <c r="GH11" i="6"/>
  <c r="GD11" i="6"/>
  <c r="FZ11" i="6"/>
  <c r="FV11" i="6"/>
  <c r="FR11" i="6"/>
  <c r="FN11" i="6"/>
  <c r="FJ11" i="6"/>
  <c r="FF11" i="6"/>
  <c r="FB11" i="6"/>
  <c r="EX11" i="6"/>
  <c r="ET11" i="6"/>
  <c r="GV10" i="6"/>
  <c r="GR10" i="6"/>
  <c r="GN10" i="6"/>
  <c r="GJ10" i="6"/>
  <c r="GF10" i="6"/>
  <c r="GB10" i="6"/>
  <c r="FX10" i="6"/>
  <c r="FT10" i="6"/>
  <c r="FP10" i="6"/>
  <c r="FL10" i="6"/>
  <c r="FH10" i="6"/>
  <c r="FD10" i="6"/>
  <c r="EZ10" i="6"/>
  <c r="EV10" i="6"/>
  <c r="ER10" i="6"/>
  <c r="GT9" i="6"/>
  <c r="GP9" i="6"/>
  <c r="GL9" i="6"/>
  <c r="GH9" i="6"/>
  <c r="GD9" i="6"/>
  <c r="FZ9" i="6"/>
  <c r="FV9" i="6"/>
  <c r="FR9" i="6"/>
  <c r="FN9" i="6"/>
  <c r="FJ9" i="6"/>
  <c r="FF9" i="6"/>
  <c r="FB9" i="6"/>
  <c r="EX9" i="6"/>
  <c r="ET9" i="6"/>
  <c r="GV8" i="6"/>
  <c r="GR8" i="6"/>
  <c r="GN8" i="6"/>
  <c r="GJ8" i="6"/>
  <c r="GF8" i="6"/>
  <c r="GB8" i="6"/>
  <c r="FX8" i="6"/>
  <c r="FT8" i="6"/>
  <c r="FP8" i="6"/>
  <c r="FL8" i="6"/>
  <c r="FH8" i="6"/>
  <c r="FD8" i="6"/>
  <c r="EZ8" i="6"/>
  <c r="EV8" i="6"/>
  <c r="ER8" i="6"/>
  <c r="GT7" i="6"/>
  <c r="GP7" i="6"/>
  <c r="GL7" i="6"/>
  <c r="GH7" i="6"/>
  <c r="GD7" i="6"/>
  <c r="FZ7" i="6"/>
  <c r="FV7" i="6"/>
  <c r="FR7" i="6"/>
  <c r="FN7" i="6"/>
  <c r="FJ7" i="6"/>
  <c r="FF7" i="6"/>
  <c r="FB7" i="6"/>
  <c r="EX7" i="6"/>
  <c r="ET7" i="6"/>
  <c r="GV6" i="6"/>
  <c r="GR6" i="6"/>
  <c r="GN6" i="6"/>
  <c r="GJ6" i="6"/>
  <c r="GF6" i="6"/>
  <c r="GB6" i="6"/>
  <c r="FX6" i="6"/>
  <c r="FT6" i="6"/>
  <c r="FP6" i="6"/>
  <c r="FL6" i="6"/>
  <c r="FH6" i="6"/>
  <c r="FD6" i="6"/>
  <c r="EZ6" i="6"/>
  <c r="EV6" i="6"/>
  <c r="ER6" i="6"/>
  <c r="GT5" i="6"/>
  <c r="GP5" i="6"/>
  <c r="GL5" i="6"/>
  <c r="GH5" i="6"/>
  <c r="GD5" i="6"/>
  <c r="FZ5" i="6"/>
  <c r="FV5" i="6"/>
  <c r="FR5" i="6"/>
  <c r="FN5" i="6"/>
  <c r="FJ5" i="6"/>
  <c r="FF5" i="6"/>
  <c r="FB5" i="6"/>
  <c r="EX5" i="6"/>
  <c r="ET5" i="6"/>
  <c r="GV4" i="6"/>
  <c r="GR4" i="6"/>
  <c r="GN4" i="6"/>
  <c r="GJ4" i="6"/>
  <c r="GF4" i="6"/>
  <c r="GB4" i="6"/>
  <c r="FX4" i="6"/>
  <c r="FT4" i="6"/>
  <c r="FP4" i="6"/>
  <c r="FL4" i="6"/>
  <c r="FH4" i="6"/>
  <c r="FD4" i="6"/>
  <c r="EZ4" i="6"/>
  <c r="EV4" i="6"/>
  <c r="ER4" i="6"/>
  <c r="GT3" i="6"/>
  <c r="GP3" i="6"/>
  <c r="GL3" i="6"/>
  <c r="GH3" i="6"/>
  <c r="GD3" i="6"/>
  <c r="FZ3" i="6"/>
  <c r="FV3" i="6"/>
  <c r="FR3" i="6"/>
  <c r="FN3" i="6"/>
  <c r="FJ3" i="6"/>
  <c r="FF3" i="6"/>
  <c r="FB3" i="6"/>
  <c r="EX3" i="6"/>
  <c r="ET3" i="6"/>
  <c r="EP108" i="6"/>
  <c r="EP104" i="6"/>
  <c r="EP100" i="6"/>
  <c r="EP96" i="6"/>
  <c r="EP92" i="6"/>
  <c r="EP88" i="6"/>
  <c r="EP84" i="6"/>
  <c r="EP79" i="6"/>
  <c r="EP75" i="6"/>
  <c r="EP71" i="6"/>
  <c r="EP67" i="6"/>
  <c r="EP62" i="6"/>
  <c r="EP57" i="6"/>
  <c r="EP53" i="6"/>
  <c r="EP45" i="6"/>
  <c r="EP41" i="6"/>
  <c r="EP37" i="6"/>
  <c r="EP33" i="6"/>
  <c r="EP29" i="6"/>
  <c r="EP25" i="6"/>
  <c r="EP21" i="6"/>
  <c r="EP17" i="6"/>
  <c r="EP13" i="6"/>
  <c r="EP9" i="6"/>
  <c r="EP5" i="6"/>
  <c r="EP49" i="6"/>
  <c r="EP103" i="6"/>
  <c r="EP101" i="6"/>
  <c r="EP99" i="6"/>
  <c r="EP97" i="6"/>
  <c r="EP95" i="6"/>
  <c r="EP93" i="6"/>
  <c r="EP91" i="6"/>
  <c r="EP89" i="6"/>
  <c r="EP87" i="6"/>
  <c r="EP85" i="6"/>
  <c r="EP83" i="6"/>
  <c r="EP81" i="6"/>
  <c r="EP78" i="6"/>
  <c r="EP76" i="6"/>
  <c r="EP74" i="6"/>
  <c r="EP72" i="6"/>
  <c r="EP70" i="6"/>
  <c r="EP68" i="6"/>
  <c r="EP66" i="6"/>
  <c r="EP64" i="6"/>
  <c r="EP60" i="6"/>
  <c r="EP58" i="6"/>
  <c r="EP56" i="6"/>
  <c r="EP54" i="6"/>
  <c r="EP52" i="6"/>
  <c r="EP50" i="6"/>
  <c r="EP48" i="6"/>
  <c r="EP46" i="6"/>
  <c r="EP44" i="6"/>
  <c r="EP42" i="6"/>
  <c r="EP40" i="6"/>
  <c r="EP38" i="6"/>
  <c r="EP36" i="6"/>
  <c r="EP34" i="6"/>
  <c r="EP32" i="6"/>
  <c r="EP30" i="6"/>
  <c r="EP28" i="6"/>
  <c r="EP26" i="6"/>
  <c r="EP24" i="6"/>
  <c r="EP22" i="6"/>
  <c r="EP20" i="6"/>
  <c r="EP18" i="6"/>
  <c r="EP16" i="6"/>
  <c r="EP14" i="6"/>
  <c r="EP12" i="6"/>
  <c r="EP10" i="6"/>
  <c r="EP8" i="6"/>
  <c r="EP6" i="6"/>
  <c r="EP4" i="6"/>
  <c r="EP106" i="6"/>
  <c r="EP102" i="6"/>
  <c r="EP98" i="6"/>
  <c r="EP94" i="6"/>
  <c r="EP90" i="6"/>
  <c r="EP86" i="6"/>
  <c r="EP82" i="6"/>
  <c r="EP77" i="6"/>
  <c r="EP73" i="6"/>
  <c r="EP69" i="6"/>
  <c r="EP65" i="6"/>
  <c r="EP59" i="6"/>
  <c r="EP55" i="6"/>
  <c r="EP51" i="6"/>
  <c r="EP47" i="6"/>
  <c r="EP43" i="6"/>
  <c r="EP39" i="6"/>
  <c r="EP35" i="6"/>
  <c r="EP31" i="6"/>
  <c r="EP27" i="6"/>
  <c r="EP23" i="6"/>
  <c r="EP19" i="6"/>
  <c r="EP15" i="6"/>
  <c r="EP11" i="6"/>
  <c r="EP7" i="6"/>
  <c r="EP3" i="6"/>
  <c r="AR108" i="6"/>
  <c r="AQ108" i="6"/>
  <c r="AP108" i="6"/>
  <c r="AO108" i="6"/>
  <c r="AN108" i="6"/>
  <c r="AM108" i="6"/>
  <c r="AL108" i="6"/>
  <c r="AK108" i="6"/>
  <c r="AJ108" i="6"/>
  <c r="AI108" i="6"/>
  <c r="AH108" i="6"/>
  <c r="AG108" i="6"/>
  <c r="AF108" i="6"/>
  <c r="AE108" i="6"/>
  <c r="AD108" i="6"/>
  <c r="AC108" i="6"/>
  <c r="AB108" i="6"/>
  <c r="AA108" i="6"/>
  <c r="Z108" i="6"/>
  <c r="Y108" i="6"/>
  <c r="X108" i="6"/>
  <c r="W108" i="6"/>
  <c r="V108" i="6"/>
  <c r="U108" i="6"/>
  <c r="T108" i="6"/>
  <c r="S108" i="6"/>
  <c r="R108" i="6"/>
  <c r="Q108" i="6"/>
  <c r="P108" i="6"/>
  <c r="O108" i="6"/>
  <c r="N108" i="6"/>
  <c r="AR107" i="6"/>
  <c r="AQ107" i="6"/>
  <c r="AP107" i="6"/>
  <c r="AO107" i="6"/>
  <c r="AN107" i="6"/>
  <c r="AM107" i="6"/>
  <c r="AL107" i="6"/>
  <c r="AK107" i="6"/>
  <c r="AJ107" i="6"/>
  <c r="AI107" i="6"/>
  <c r="AH107" i="6"/>
  <c r="AG107" i="6"/>
  <c r="AF107" i="6"/>
  <c r="AE107" i="6"/>
  <c r="AD107" i="6"/>
  <c r="AC107" i="6"/>
  <c r="AB107" i="6"/>
  <c r="AA107" i="6"/>
  <c r="Z107" i="6"/>
  <c r="Y107" i="6"/>
  <c r="X107" i="6"/>
  <c r="W107" i="6"/>
  <c r="V107" i="6"/>
  <c r="U107" i="6"/>
  <c r="T107" i="6"/>
  <c r="S107" i="6"/>
  <c r="R107" i="6"/>
  <c r="Q107" i="6"/>
  <c r="P107" i="6"/>
  <c r="O107" i="6"/>
  <c r="N107" i="6"/>
  <c r="AR106" i="6"/>
  <c r="AQ106" i="6"/>
  <c r="AP106" i="6"/>
  <c r="AO106" i="6"/>
  <c r="AN106" i="6"/>
  <c r="AM106" i="6"/>
  <c r="AL106" i="6"/>
  <c r="AK106" i="6"/>
  <c r="AJ106" i="6"/>
  <c r="AI106" i="6"/>
  <c r="AH106" i="6"/>
  <c r="AG106" i="6"/>
  <c r="AF106" i="6"/>
  <c r="AE106" i="6"/>
  <c r="AD106" i="6"/>
  <c r="AC106" i="6"/>
  <c r="AB106" i="6"/>
  <c r="AA106" i="6"/>
  <c r="Z106" i="6"/>
  <c r="Y106" i="6"/>
  <c r="X106" i="6"/>
  <c r="W106" i="6"/>
  <c r="V106" i="6"/>
  <c r="U106" i="6"/>
  <c r="T106" i="6"/>
  <c r="S106" i="6"/>
  <c r="R106" i="6"/>
  <c r="Q106" i="6"/>
  <c r="P106" i="6"/>
  <c r="O106" i="6"/>
  <c r="N106" i="6"/>
  <c r="AR105" i="6"/>
  <c r="AQ105" i="6"/>
  <c r="AP105" i="6"/>
  <c r="AO105" i="6"/>
  <c r="AN105" i="6"/>
  <c r="AM105" i="6"/>
  <c r="AL105" i="6"/>
  <c r="AK105" i="6"/>
  <c r="AJ105" i="6"/>
  <c r="AI105" i="6"/>
  <c r="AH105" i="6"/>
  <c r="AG105" i="6"/>
  <c r="AF105" i="6"/>
  <c r="AE105" i="6"/>
  <c r="AD105" i="6"/>
  <c r="AC105" i="6"/>
  <c r="AB105" i="6"/>
  <c r="AA105" i="6"/>
  <c r="Z105" i="6"/>
  <c r="Y105" i="6"/>
  <c r="X105" i="6"/>
  <c r="W105" i="6"/>
  <c r="V105" i="6"/>
  <c r="U105" i="6"/>
  <c r="T105" i="6"/>
  <c r="S105" i="6"/>
  <c r="R105" i="6"/>
  <c r="Q105" i="6"/>
  <c r="P105" i="6"/>
  <c r="O105" i="6"/>
  <c r="N105" i="6"/>
  <c r="AR104" i="6"/>
  <c r="AQ104" i="6"/>
  <c r="AP104" i="6"/>
  <c r="AO104" i="6"/>
  <c r="AN104" i="6"/>
  <c r="AM104" i="6"/>
  <c r="AL104" i="6"/>
  <c r="AK104" i="6"/>
  <c r="AJ104" i="6"/>
  <c r="AI104" i="6"/>
  <c r="AH104" i="6"/>
  <c r="AG104" i="6"/>
  <c r="AF104" i="6"/>
  <c r="AE104" i="6"/>
  <c r="AD104" i="6"/>
  <c r="AC104" i="6"/>
  <c r="AB104" i="6"/>
  <c r="AA104" i="6"/>
  <c r="Z104" i="6"/>
  <c r="Y104" i="6"/>
  <c r="X104" i="6"/>
  <c r="W104" i="6"/>
  <c r="V104" i="6"/>
  <c r="U104" i="6"/>
  <c r="T104" i="6"/>
  <c r="S104" i="6"/>
  <c r="R104" i="6"/>
  <c r="Q104" i="6"/>
  <c r="P104" i="6"/>
  <c r="O104" i="6"/>
  <c r="N104" i="6"/>
  <c r="AR103" i="6"/>
  <c r="AQ103" i="6"/>
  <c r="AP103" i="6"/>
  <c r="AO103" i="6"/>
  <c r="AN103" i="6"/>
  <c r="AM103" i="6"/>
  <c r="AL103" i="6"/>
  <c r="AK103" i="6"/>
  <c r="AJ103" i="6"/>
  <c r="AI103" i="6"/>
  <c r="AH103" i="6"/>
  <c r="AG103" i="6"/>
  <c r="AF103" i="6"/>
  <c r="AE103" i="6"/>
  <c r="AD103" i="6"/>
  <c r="AC103" i="6"/>
  <c r="AB103" i="6"/>
  <c r="AA103" i="6"/>
  <c r="Z103" i="6"/>
  <c r="Y103" i="6"/>
  <c r="X103" i="6"/>
  <c r="W103" i="6"/>
  <c r="V103" i="6"/>
  <c r="U103" i="6"/>
  <c r="T103" i="6"/>
  <c r="S103" i="6"/>
  <c r="R103" i="6"/>
  <c r="Q103" i="6"/>
  <c r="P103" i="6"/>
  <c r="O103" i="6"/>
  <c r="N103" i="6"/>
  <c r="AR102" i="6"/>
  <c r="AQ102" i="6"/>
  <c r="AP102" i="6"/>
  <c r="AO102" i="6"/>
  <c r="AN102" i="6"/>
  <c r="AM102" i="6"/>
  <c r="AL102" i="6"/>
  <c r="AK102" i="6"/>
  <c r="AJ102" i="6"/>
  <c r="AI102" i="6"/>
  <c r="AH102" i="6"/>
  <c r="AG102" i="6"/>
  <c r="AF102" i="6"/>
  <c r="AE102" i="6"/>
  <c r="AD102" i="6"/>
  <c r="AC102" i="6"/>
  <c r="AB102" i="6"/>
  <c r="AA102" i="6"/>
  <c r="Z102" i="6"/>
  <c r="Y102" i="6"/>
  <c r="X102" i="6"/>
  <c r="W102" i="6"/>
  <c r="V102" i="6"/>
  <c r="U102" i="6"/>
  <c r="T102" i="6"/>
  <c r="S102" i="6"/>
  <c r="R102" i="6"/>
  <c r="Q102" i="6"/>
  <c r="P102" i="6"/>
  <c r="O102" i="6"/>
  <c r="N102" i="6"/>
  <c r="AR101" i="6"/>
  <c r="AQ101" i="6"/>
  <c r="AP101" i="6"/>
  <c r="AO101" i="6"/>
  <c r="AN101" i="6"/>
  <c r="AM101" i="6"/>
  <c r="AL101" i="6"/>
  <c r="AK101" i="6"/>
  <c r="AJ101" i="6"/>
  <c r="AI101" i="6"/>
  <c r="AH101" i="6"/>
  <c r="AG101" i="6"/>
  <c r="AF101" i="6"/>
  <c r="AE101" i="6"/>
  <c r="AD101" i="6"/>
  <c r="AC101" i="6"/>
  <c r="AB101" i="6"/>
  <c r="AA101" i="6"/>
  <c r="Z101" i="6"/>
  <c r="Y101" i="6"/>
  <c r="X101" i="6"/>
  <c r="W101" i="6"/>
  <c r="V101" i="6"/>
  <c r="U101" i="6"/>
  <c r="T101" i="6"/>
  <c r="S101" i="6"/>
  <c r="R101" i="6"/>
  <c r="Q101" i="6"/>
  <c r="P101" i="6"/>
  <c r="O101" i="6"/>
  <c r="N101" i="6"/>
  <c r="AR100" i="6"/>
  <c r="AQ100" i="6"/>
  <c r="AP100" i="6"/>
  <c r="AO100" i="6"/>
  <c r="AN100" i="6"/>
  <c r="AM100" i="6"/>
  <c r="AL100" i="6"/>
  <c r="AK100" i="6"/>
  <c r="AJ100" i="6"/>
  <c r="AI100" i="6"/>
  <c r="AH100" i="6"/>
  <c r="AG100" i="6"/>
  <c r="AF100" i="6"/>
  <c r="AE100" i="6"/>
  <c r="AD100" i="6"/>
  <c r="AC100" i="6"/>
  <c r="AB100" i="6"/>
  <c r="AA100" i="6"/>
  <c r="Z100" i="6"/>
  <c r="Y100" i="6"/>
  <c r="X100" i="6"/>
  <c r="W100" i="6"/>
  <c r="V100" i="6"/>
  <c r="U100" i="6"/>
  <c r="T100" i="6"/>
  <c r="S100" i="6"/>
  <c r="R100" i="6"/>
  <c r="Q100" i="6"/>
  <c r="P100" i="6"/>
  <c r="O100" i="6"/>
  <c r="N100" i="6"/>
  <c r="AR99" i="6"/>
  <c r="AQ99" i="6"/>
  <c r="AP99" i="6"/>
  <c r="AO99" i="6"/>
  <c r="AN99" i="6"/>
  <c r="AM99" i="6"/>
  <c r="AL99" i="6"/>
  <c r="AK99" i="6"/>
  <c r="AJ99" i="6"/>
  <c r="AI99" i="6"/>
  <c r="AH99" i="6"/>
  <c r="AG99" i="6"/>
  <c r="AF99" i="6"/>
  <c r="AE99" i="6"/>
  <c r="AD99" i="6"/>
  <c r="AC99" i="6"/>
  <c r="AB99" i="6"/>
  <c r="AA99" i="6"/>
  <c r="Z99" i="6"/>
  <c r="Y99" i="6"/>
  <c r="X99" i="6"/>
  <c r="W99" i="6"/>
  <c r="V99" i="6"/>
  <c r="U99" i="6"/>
  <c r="T99" i="6"/>
  <c r="S99" i="6"/>
  <c r="R99" i="6"/>
  <c r="Q99" i="6"/>
  <c r="P99" i="6"/>
  <c r="O99" i="6"/>
  <c r="N99" i="6"/>
  <c r="AR98" i="6"/>
  <c r="AQ98" i="6"/>
  <c r="AP98" i="6"/>
  <c r="AO98" i="6"/>
  <c r="AN98" i="6"/>
  <c r="AM98" i="6"/>
  <c r="AL98" i="6"/>
  <c r="AK98" i="6"/>
  <c r="AJ98" i="6"/>
  <c r="AI98" i="6"/>
  <c r="AH98" i="6"/>
  <c r="AG98" i="6"/>
  <c r="AF98" i="6"/>
  <c r="AE98" i="6"/>
  <c r="AD98" i="6"/>
  <c r="AC98" i="6"/>
  <c r="AB98" i="6"/>
  <c r="AA98" i="6"/>
  <c r="Z98" i="6"/>
  <c r="Y98" i="6"/>
  <c r="X98" i="6"/>
  <c r="W98" i="6"/>
  <c r="V98" i="6"/>
  <c r="U98" i="6"/>
  <c r="T98" i="6"/>
  <c r="S98" i="6"/>
  <c r="R98" i="6"/>
  <c r="Q98" i="6"/>
  <c r="P98" i="6"/>
  <c r="O98" i="6"/>
  <c r="N98" i="6"/>
  <c r="AR97" i="6"/>
  <c r="AQ97" i="6"/>
  <c r="AP97" i="6"/>
  <c r="AO97" i="6"/>
  <c r="AN97" i="6"/>
  <c r="AM97" i="6"/>
  <c r="AL97" i="6"/>
  <c r="AK97" i="6"/>
  <c r="AJ97" i="6"/>
  <c r="AI97" i="6"/>
  <c r="AH97" i="6"/>
  <c r="AG97" i="6"/>
  <c r="AF97" i="6"/>
  <c r="AE97" i="6"/>
  <c r="AD97" i="6"/>
  <c r="AC97" i="6"/>
  <c r="AB97" i="6"/>
  <c r="AA97" i="6"/>
  <c r="Z97" i="6"/>
  <c r="Y97" i="6"/>
  <c r="X97" i="6"/>
  <c r="W97" i="6"/>
  <c r="V97" i="6"/>
  <c r="U97" i="6"/>
  <c r="T97" i="6"/>
  <c r="S97" i="6"/>
  <c r="R97" i="6"/>
  <c r="Q97" i="6"/>
  <c r="P97" i="6"/>
  <c r="O97" i="6"/>
  <c r="N97" i="6"/>
  <c r="AR96" i="6"/>
  <c r="AQ96" i="6"/>
  <c r="AP96" i="6"/>
  <c r="AO96" i="6"/>
  <c r="AN96" i="6"/>
  <c r="AM96" i="6"/>
  <c r="AL96" i="6"/>
  <c r="AK96" i="6"/>
  <c r="AJ96" i="6"/>
  <c r="AI96" i="6"/>
  <c r="AH96" i="6"/>
  <c r="AG96" i="6"/>
  <c r="AF96" i="6"/>
  <c r="AE96" i="6"/>
  <c r="AD96" i="6"/>
  <c r="AC96" i="6"/>
  <c r="AB96" i="6"/>
  <c r="AA96" i="6"/>
  <c r="Z96" i="6"/>
  <c r="Y96" i="6"/>
  <c r="X96" i="6"/>
  <c r="W96" i="6"/>
  <c r="V96" i="6"/>
  <c r="U96" i="6"/>
  <c r="T96" i="6"/>
  <c r="S96" i="6"/>
  <c r="R96" i="6"/>
  <c r="Q96" i="6"/>
  <c r="P96" i="6"/>
  <c r="O96" i="6"/>
  <c r="N96" i="6"/>
  <c r="AR95" i="6"/>
  <c r="AQ95" i="6"/>
  <c r="AP95" i="6"/>
  <c r="AO95" i="6"/>
  <c r="AN95" i="6"/>
  <c r="AM95" i="6"/>
  <c r="AL95" i="6"/>
  <c r="AK95" i="6"/>
  <c r="AJ95" i="6"/>
  <c r="AI95" i="6"/>
  <c r="AH95" i="6"/>
  <c r="AG95" i="6"/>
  <c r="AF95" i="6"/>
  <c r="AE95" i="6"/>
  <c r="AD95" i="6"/>
  <c r="AC95" i="6"/>
  <c r="AB95" i="6"/>
  <c r="AA95" i="6"/>
  <c r="Z95" i="6"/>
  <c r="Y95" i="6"/>
  <c r="X95" i="6"/>
  <c r="W95" i="6"/>
  <c r="V95" i="6"/>
  <c r="U95" i="6"/>
  <c r="T95" i="6"/>
  <c r="S95" i="6"/>
  <c r="R95" i="6"/>
  <c r="Q95" i="6"/>
  <c r="P95" i="6"/>
  <c r="O95" i="6"/>
  <c r="N95" i="6"/>
  <c r="AR94" i="6"/>
  <c r="AQ94" i="6"/>
  <c r="AP94" i="6"/>
  <c r="AO94" i="6"/>
  <c r="AN94" i="6"/>
  <c r="AM94" i="6"/>
  <c r="AL94" i="6"/>
  <c r="AK94" i="6"/>
  <c r="AJ94" i="6"/>
  <c r="AI94" i="6"/>
  <c r="AH94" i="6"/>
  <c r="AG94" i="6"/>
  <c r="AF94" i="6"/>
  <c r="AE94" i="6"/>
  <c r="AD94" i="6"/>
  <c r="AC94" i="6"/>
  <c r="AB94" i="6"/>
  <c r="AA94" i="6"/>
  <c r="Z94" i="6"/>
  <c r="Y94" i="6"/>
  <c r="X94" i="6"/>
  <c r="W94" i="6"/>
  <c r="V94" i="6"/>
  <c r="U94" i="6"/>
  <c r="T94" i="6"/>
  <c r="S94" i="6"/>
  <c r="R94" i="6"/>
  <c r="Q94" i="6"/>
  <c r="P94" i="6"/>
  <c r="O94" i="6"/>
  <c r="N94" i="6"/>
  <c r="AR93" i="6"/>
  <c r="AQ93" i="6"/>
  <c r="AP93" i="6"/>
  <c r="AO93" i="6"/>
  <c r="AN93" i="6"/>
  <c r="AM93" i="6"/>
  <c r="AL93" i="6"/>
  <c r="AK93" i="6"/>
  <c r="AJ93" i="6"/>
  <c r="AI93" i="6"/>
  <c r="AH93" i="6"/>
  <c r="AG93" i="6"/>
  <c r="AF93" i="6"/>
  <c r="AE93" i="6"/>
  <c r="AD93" i="6"/>
  <c r="AC93" i="6"/>
  <c r="AB93" i="6"/>
  <c r="AA93" i="6"/>
  <c r="Z93" i="6"/>
  <c r="Y93" i="6"/>
  <c r="X93" i="6"/>
  <c r="W93" i="6"/>
  <c r="V93" i="6"/>
  <c r="U93" i="6"/>
  <c r="T93" i="6"/>
  <c r="S93" i="6"/>
  <c r="R93" i="6"/>
  <c r="Q93" i="6"/>
  <c r="P93" i="6"/>
  <c r="O93" i="6"/>
  <c r="N93" i="6"/>
  <c r="AR92" i="6"/>
  <c r="AQ92" i="6"/>
  <c r="AP92" i="6"/>
  <c r="AO92" i="6"/>
  <c r="AN92" i="6"/>
  <c r="AM92" i="6"/>
  <c r="AL92" i="6"/>
  <c r="AK92" i="6"/>
  <c r="AJ92" i="6"/>
  <c r="AI92" i="6"/>
  <c r="AH92" i="6"/>
  <c r="AG92" i="6"/>
  <c r="AF92" i="6"/>
  <c r="AE92" i="6"/>
  <c r="AD92" i="6"/>
  <c r="AC92" i="6"/>
  <c r="AB92" i="6"/>
  <c r="AA92" i="6"/>
  <c r="Z92" i="6"/>
  <c r="Y92" i="6"/>
  <c r="X92" i="6"/>
  <c r="W92" i="6"/>
  <c r="V92" i="6"/>
  <c r="U92" i="6"/>
  <c r="T92" i="6"/>
  <c r="S92" i="6"/>
  <c r="R92" i="6"/>
  <c r="Q92" i="6"/>
  <c r="P92" i="6"/>
  <c r="O92" i="6"/>
  <c r="N92" i="6"/>
  <c r="AR91" i="6"/>
  <c r="AQ91" i="6"/>
  <c r="AP91" i="6"/>
  <c r="AO91" i="6"/>
  <c r="AN91" i="6"/>
  <c r="AM91" i="6"/>
  <c r="AL91" i="6"/>
  <c r="AK91" i="6"/>
  <c r="AJ91" i="6"/>
  <c r="AI91" i="6"/>
  <c r="AH91" i="6"/>
  <c r="AG91" i="6"/>
  <c r="AF91" i="6"/>
  <c r="AE91" i="6"/>
  <c r="AD91" i="6"/>
  <c r="AC91" i="6"/>
  <c r="AB91" i="6"/>
  <c r="AA91" i="6"/>
  <c r="Z91" i="6"/>
  <c r="Y91" i="6"/>
  <c r="X91" i="6"/>
  <c r="W91" i="6"/>
  <c r="V91" i="6"/>
  <c r="U91" i="6"/>
  <c r="T91" i="6"/>
  <c r="S91" i="6"/>
  <c r="R91" i="6"/>
  <c r="Q91" i="6"/>
  <c r="P91" i="6"/>
  <c r="O91" i="6"/>
  <c r="N91" i="6"/>
  <c r="AR90" i="6"/>
  <c r="AQ90" i="6"/>
  <c r="AP90" i="6"/>
  <c r="AO90" i="6"/>
  <c r="AN90" i="6"/>
  <c r="AM90" i="6"/>
  <c r="AL90" i="6"/>
  <c r="AK90" i="6"/>
  <c r="AJ90" i="6"/>
  <c r="AI90" i="6"/>
  <c r="AH90" i="6"/>
  <c r="AG90" i="6"/>
  <c r="AF90" i="6"/>
  <c r="AE90" i="6"/>
  <c r="AD90" i="6"/>
  <c r="AC90" i="6"/>
  <c r="AB90" i="6"/>
  <c r="AA90" i="6"/>
  <c r="Z90" i="6"/>
  <c r="Y90" i="6"/>
  <c r="X90" i="6"/>
  <c r="W90" i="6"/>
  <c r="V90" i="6"/>
  <c r="U90" i="6"/>
  <c r="T90" i="6"/>
  <c r="S90" i="6"/>
  <c r="R90" i="6"/>
  <c r="Q90" i="6"/>
  <c r="P90" i="6"/>
  <c r="O90" i="6"/>
  <c r="N90" i="6"/>
  <c r="AR89" i="6"/>
  <c r="AQ89" i="6"/>
  <c r="AP89" i="6"/>
  <c r="AO89" i="6"/>
  <c r="AN89" i="6"/>
  <c r="AM89" i="6"/>
  <c r="AL89" i="6"/>
  <c r="AK89" i="6"/>
  <c r="AJ89" i="6"/>
  <c r="AI89" i="6"/>
  <c r="AH89" i="6"/>
  <c r="AG89" i="6"/>
  <c r="AF89" i="6"/>
  <c r="AE89" i="6"/>
  <c r="AD89" i="6"/>
  <c r="AC89" i="6"/>
  <c r="AB89" i="6"/>
  <c r="AA89" i="6"/>
  <c r="Z89" i="6"/>
  <c r="Y89" i="6"/>
  <c r="X89" i="6"/>
  <c r="W89" i="6"/>
  <c r="V89" i="6"/>
  <c r="U89" i="6"/>
  <c r="T89" i="6"/>
  <c r="S89" i="6"/>
  <c r="R89" i="6"/>
  <c r="Q89" i="6"/>
  <c r="P89" i="6"/>
  <c r="O89" i="6"/>
  <c r="N89" i="6"/>
  <c r="AR88" i="6"/>
  <c r="AQ88" i="6"/>
  <c r="AP88" i="6"/>
  <c r="AO88" i="6"/>
  <c r="AN88" i="6"/>
  <c r="AM88" i="6"/>
  <c r="AL88" i="6"/>
  <c r="AK88" i="6"/>
  <c r="AJ88" i="6"/>
  <c r="AI88" i="6"/>
  <c r="AH88" i="6"/>
  <c r="AG88" i="6"/>
  <c r="AF88" i="6"/>
  <c r="AE88" i="6"/>
  <c r="AD88" i="6"/>
  <c r="AC88" i="6"/>
  <c r="AB88" i="6"/>
  <c r="AA88" i="6"/>
  <c r="Z88" i="6"/>
  <c r="Y88" i="6"/>
  <c r="X88" i="6"/>
  <c r="W88" i="6"/>
  <c r="V88" i="6"/>
  <c r="U88" i="6"/>
  <c r="T88" i="6"/>
  <c r="S88" i="6"/>
  <c r="R88" i="6"/>
  <c r="Q88" i="6"/>
  <c r="P88" i="6"/>
  <c r="O88" i="6"/>
  <c r="N88" i="6"/>
  <c r="AR87" i="6"/>
  <c r="AQ87" i="6"/>
  <c r="AP87" i="6"/>
  <c r="AO87" i="6"/>
  <c r="AN87" i="6"/>
  <c r="AM87" i="6"/>
  <c r="AL87" i="6"/>
  <c r="AK87" i="6"/>
  <c r="AJ87" i="6"/>
  <c r="AI87" i="6"/>
  <c r="AH87" i="6"/>
  <c r="AG87" i="6"/>
  <c r="AF87" i="6"/>
  <c r="AE87" i="6"/>
  <c r="AD87" i="6"/>
  <c r="AC87" i="6"/>
  <c r="AB87" i="6"/>
  <c r="AA87" i="6"/>
  <c r="Z87" i="6"/>
  <c r="Y87" i="6"/>
  <c r="X87" i="6"/>
  <c r="W87" i="6"/>
  <c r="V87" i="6"/>
  <c r="U87" i="6"/>
  <c r="T87" i="6"/>
  <c r="S87" i="6"/>
  <c r="R87" i="6"/>
  <c r="Q87" i="6"/>
  <c r="P87" i="6"/>
  <c r="O87" i="6"/>
  <c r="N87" i="6"/>
  <c r="AR86" i="6"/>
  <c r="AQ86" i="6"/>
  <c r="AP86" i="6"/>
  <c r="AO86" i="6"/>
  <c r="AN86" i="6"/>
  <c r="AM86" i="6"/>
  <c r="AL86" i="6"/>
  <c r="AK86" i="6"/>
  <c r="AJ86" i="6"/>
  <c r="AI86" i="6"/>
  <c r="AH86" i="6"/>
  <c r="AG86" i="6"/>
  <c r="AF86" i="6"/>
  <c r="AE86" i="6"/>
  <c r="AD86" i="6"/>
  <c r="AC86" i="6"/>
  <c r="AB86" i="6"/>
  <c r="AA86" i="6"/>
  <c r="Z86" i="6"/>
  <c r="Y86" i="6"/>
  <c r="X86" i="6"/>
  <c r="W86" i="6"/>
  <c r="V86" i="6"/>
  <c r="U86" i="6"/>
  <c r="T86" i="6"/>
  <c r="S86" i="6"/>
  <c r="R86" i="6"/>
  <c r="Q86" i="6"/>
  <c r="P86" i="6"/>
  <c r="O86" i="6"/>
  <c r="N86" i="6"/>
  <c r="AR85" i="6"/>
  <c r="AQ85" i="6"/>
  <c r="AP85" i="6"/>
  <c r="AO85" i="6"/>
  <c r="AN85" i="6"/>
  <c r="AM85" i="6"/>
  <c r="AL85" i="6"/>
  <c r="AK85" i="6"/>
  <c r="AJ85" i="6"/>
  <c r="AI85" i="6"/>
  <c r="AH85" i="6"/>
  <c r="AG85" i="6"/>
  <c r="AF85" i="6"/>
  <c r="AE85" i="6"/>
  <c r="AD85" i="6"/>
  <c r="AC85" i="6"/>
  <c r="AB85" i="6"/>
  <c r="AA85" i="6"/>
  <c r="Z85" i="6"/>
  <c r="Y85" i="6"/>
  <c r="X85" i="6"/>
  <c r="W85" i="6"/>
  <c r="V85" i="6"/>
  <c r="U85" i="6"/>
  <c r="T85" i="6"/>
  <c r="S85" i="6"/>
  <c r="R85" i="6"/>
  <c r="Q85" i="6"/>
  <c r="P85" i="6"/>
  <c r="O85" i="6"/>
  <c r="N85" i="6"/>
  <c r="AR84" i="6"/>
  <c r="AQ84" i="6"/>
  <c r="AP84" i="6"/>
  <c r="AO84" i="6"/>
  <c r="AN84" i="6"/>
  <c r="AM84" i="6"/>
  <c r="AL84" i="6"/>
  <c r="AK84" i="6"/>
  <c r="AJ84" i="6"/>
  <c r="AI84" i="6"/>
  <c r="AH84" i="6"/>
  <c r="AG84" i="6"/>
  <c r="AF84" i="6"/>
  <c r="AE84" i="6"/>
  <c r="AD84" i="6"/>
  <c r="AC84" i="6"/>
  <c r="AB84" i="6"/>
  <c r="AA84" i="6"/>
  <c r="Z84" i="6"/>
  <c r="Y84" i="6"/>
  <c r="X84" i="6"/>
  <c r="W84" i="6"/>
  <c r="V84" i="6"/>
  <c r="U84" i="6"/>
  <c r="T84" i="6"/>
  <c r="S84" i="6"/>
  <c r="R84" i="6"/>
  <c r="Q84" i="6"/>
  <c r="P84" i="6"/>
  <c r="O84" i="6"/>
  <c r="N84" i="6"/>
  <c r="AR83" i="6"/>
  <c r="AQ83" i="6"/>
  <c r="AP83" i="6"/>
  <c r="AO83" i="6"/>
  <c r="AN83" i="6"/>
  <c r="AM83" i="6"/>
  <c r="AL83" i="6"/>
  <c r="AK83" i="6"/>
  <c r="AJ83" i="6"/>
  <c r="AI83" i="6"/>
  <c r="AH83" i="6"/>
  <c r="AG83" i="6"/>
  <c r="AF83" i="6"/>
  <c r="AE83" i="6"/>
  <c r="AD83" i="6"/>
  <c r="AC83" i="6"/>
  <c r="AB83" i="6"/>
  <c r="AA83" i="6"/>
  <c r="Z83" i="6"/>
  <c r="Y83" i="6"/>
  <c r="X83" i="6"/>
  <c r="W83" i="6"/>
  <c r="V83" i="6"/>
  <c r="U83" i="6"/>
  <c r="T83" i="6"/>
  <c r="S83" i="6"/>
  <c r="R83" i="6"/>
  <c r="Q83" i="6"/>
  <c r="P83" i="6"/>
  <c r="O83" i="6"/>
  <c r="N83" i="6"/>
  <c r="AR82" i="6"/>
  <c r="AQ82" i="6"/>
  <c r="AP82" i="6"/>
  <c r="AO82" i="6"/>
  <c r="AN82" i="6"/>
  <c r="AM82" i="6"/>
  <c r="AL82" i="6"/>
  <c r="AK82" i="6"/>
  <c r="AJ82" i="6"/>
  <c r="AI82" i="6"/>
  <c r="AH82" i="6"/>
  <c r="AG82" i="6"/>
  <c r="AF82" i="6"/>
  <c r="AE82" i="6"/>
  <c r="AD82" i="6"/>
  <c r="AC82" i="6"/>
  <c r="AB82" i="6"/>
  <c r="AA82" i="6"/>
  <c r="Z82" i="6"/>
  <c r="Y82" i="6"/>
  <c r="X82" i="6"/>
  <c r="W82" i="6"/>
  <c r="V82" i="6"/>
  <c r="U82" i="6"/>
  <c r="T82" i="6"/>
  <c r="S82" i="6"/>
  <c r="R82" i="6"/>
  <c r="Q82" i="6"/>
  <c r="P82" i="6"/>
  <c r="O82" i="6"/>
  <c r="N82" i="6"/>
  <c r="AR81" i="6"/>
  <c r="AQ81" i="6"/>
  <c r="AP81" i="6"/>
  <c r="AO81" i="6"/>
  <c r="AN81" i="6"/>
  <c r="AM81" i="6"/>
  <c r="AL81" i="6"/>
  <c r="AK81" i="6"/>
  <c r="AJ81" i="6"/>
  <c r="AI81" i="6"/>
  <c r="AH81" i="6"/>
  <c r="AG81" i="6"/>
  <c r="AF81" i="6"/>
  <c r="AE81" i="6"/>
  <c r="AD81" i="6"/>
  <c r="AC81" i="6"/>
  <c r="AB81" i="6"/>
  <c r="AA81" i="6"/>
  <c r="Z81" i="6"/>
  <c r="Y81" i="6"/>
  <c r="X81" i="6"/>
  <c r="W81" i="6"/>
  <c r="V81" i="6"/>
  <c r="U81" i="6"/>
  <c r="T81" i="6"/>
  <c r="S81" i="6"/>
  <c r="R81" i="6"/>
  <c r="Q81" i="6"/>
  <c r="P81" i="6"/>
  <c r="O81" i="6"/>
  <c r="N81" i="6"/>
  <c r="AR79" i="6"/>
  <c r="AQ79" i="6"/>
  <c r="AP79" i="6"/>
  <c r="AO79" i="6"/>
  <c r="AN79" i="6"/>
  <c r="AM79" i="6"/>
  <c r="AL79" i="6"/>
  <c r="AK79" i="6"/>
  <c r="AJ79" i="6"/>
  <c r="AI79" i="6"/>
  <c r="AH79" i="6"/>
  <c r="AG79" i="6"/>
  <c r="AF79" i="6"/>
  <c r="AE79" i="6"/>
  <c r="AD79" i="6"/>
  <c r="AC79" i="6"/>
  <c r="AB79" i="6"/>
  <c r="AA79" i="6"/>
  <c r="Z79" i="6"/>
  <c r="Y79" i="6"/>
  <c r="X79" i="6"/>
  <c r="W79" i="6"/>
  <c r="V79" i="6"/>
  <c r="U79" i="6"/>
  <c r="T79" i="6"/>
  <c r="S79" i="6"/>
  <c r="R79" i="6"/>
  <c r="Q79" i="6"/>
  <c r="P79" i="6"/>
  <c r="O79" i="6"/>
  <c r="N79" i="6"/>
  <c r="AR78" i="6"/>
  <c r="AQ78" i="6"/>
  <c r="AP78" i="6"/>
  <c r="AO78" i="6"/>
  <c r="AN78" i="6"/>
  <c r="AM78" i="6"/>
  <c r="AL78" i="6"/>
  <c r="AK78" i="6"/>
  <c r="AJ78" i="6"/>
  <c r="AI78" i="6"/>
  <c r="AH78" i="6"/>
  <c r="AG78" i="6"/>
  <c r="AF78" i="6"/>
  <c r="AE78" i="6"/>
  <c r="AD78" i="6"/>
  <c r="AC78" i="6"/>
  <c r="AB78" i="6"/>
  <c r="AA78" i="6"/>
  <c r="Z78" i="6"/>
  <c r="Y78" i="6"/>
  <c r="X78" i="6"/>
  <c r="W78" i="6"/>
  <c r="V78" i="6"/>
  <c r="U78" i="6"/>
  <c r="T78" i="6"/>
  <c r="S78" i="6"/>
  <c r="R78" i="6"/>
  <c r="Q78" i="6"/>
  <c r="P78" i="6"/>
  <c r="O78" i="6"/>
  <c r="N78" i="6"/>
  <c r="AR77" i="6"/>
  <c r="AQ77" i="6"/>
  <c r="AP77" i="6"/>
  <c r="AO77" i="6"/>
  <c r="AN77" i="6"/>
  <c r="AM77" i="6"/>
  <c r="AL77" i="6"/>
  <c r="AK77" i="6"/>
  <c r="AJ77" i="6"/>
  <c r="AI77" i="6"/>
  <c r="AH77" i="6"/>
  <c r="AG77" i="6"/>
  <c r="AF77" i="6"/>
  <c r="AE77" i="6"/>
  <c r="AD77" i="6"/>
  <c r="AC77" i="6"/>
  <c r="AB77" i="6"/>
  <c r="AA77" i="6"/>
  <c r="Z77" i="6"/>
  <c r="Y77" i="6"/>
  <c r="X77" i="6"/>
  <c r="W77" i="6"/>
  <c r="V77" i="6"/>
  <c r="U77" i="6"/>
  <c r="T77" i="6"/>
  <c r="S77" i="6"/>
  <c r="R77" i="6"/>
  <c r="Q77" i="6"/>
  <c r="P77" i="6"/>
  <c r="O77" i="6"/>
  <c r="N77" i="6"/>
  <c r="AR76" i="6"/>
  <c r="AQ76" i="6"/>
  <c r="AP76" i="6"/>
  <c r="AO76" i="6"/>
  <c r="AN76" i="6"/>
  <c r="AM76" i="6"/>
  <c r="AL76" i="6"/>
  <c r="AK76" i="6"/>
  <c r="AJ76" i="6"/>
  <c r="AI76" i="6"/>
  <c r="AH76" i="6"/>
  <c r="AG76" i="6"/>
  <c r="AF76" i="6"/>
  <c r="AE76" i="6"/>
  <c r="AD76" i="6"/>
  <c r="AC76" i="6"/>
  <c r="AB76" i="6"/>
  <c r="AA76" i="6"/>
  <c r="Z76" i="6"/>
  <c r="Y76" i="6"/>
  <c r="X76" i="6"/>
  <c r="W76" i="6"/>
  <c r="V76" i="6"/>
  <c r="U76" i="6"/>
  <c r="T76" i="6"/>
  <c r="S76" i="6"/>
  <c r="R76" i="6"/>
  <c r="Q76" i="6"/>
  <c r="P76" i="6"/>
  <c r="O76" i="6"/>
  <c r="N76" i="6"/>
  <c r="AR75" i="6"/>
  <c r="AQ75" i="6"/>
  <c r="AP75" i="6"/>
  <c r="AO75" i="6"/>
  <c r="AN75" i="6"/>
  <c r="AM75" i="6"/>
  <c r="AL75" i="6"/>
  <c r="AK75" i="6"/>
  <c r="AJ75" i="6"/>
  <c r="AI75" i="6"/>
  <c r="AH75" i="6"/>
  <c r="AG75" i="6"/>
  <c r="AF75" i="6"/>
  <c r="AE75" i="6"/>
  <c r="AD75" i="6"/>
  <c r="AC75" i="6"/>
  <c r="AB75" i="6"/>
  <c r="AA75" i="6"/>
  <c r="Z75" i="6"/>
  <c r="Y75" i="6"/>
  <c r="X75" i="6"/>
  <c r="W75" i="6"/>
  <c r="V75" i="6"/>
  <c r="U75" i="6"/>
  <c r="T75" i="6"/>
  <c r="S75" i="6"/>
  <c r="R75" i="6"/>
  <c r="Q75" i="6"/>
  <c r="P75" i="6"/>
  <c r="O75" i="6"/>
  <c r="N75" i="6"/>
  <c r="AR74" i="6"/>
  <c r="AQ74" i="6"/>
  <c r="AP74" i="6"/>
  <c r="AO74" i="6"/>
  <c r="AN74" i="6"/>
  <c r="AM74" i="6"/>
  <c r="AL74" i="6"/>
  <c r="AK74" i="6"/>
  <c r="AJ74" i="6"/>
  <c r="AI74" i="6"/>
  <c r="AH74" i="6"/>
  <c r="AG74" i="6"/>
  <c r="AF74" i="6"/>
  <c r="AE74" i="6"/>
  <c r="AD74" i="6"/>
  <c r="AC74" i="6"/>
  <c r="AB74" i="6"/>
  <c r="AA74" i="6"/>
  <c r="Z74" i="6"/>
  <c r="Y74" i="6"/>
  <c r="X74" i="6"/>
  <c r="W74" i="6"/>
  <c r="V74" i="6"/>
  <c r="U74" i="6"/>
  <c r="T74" i="6"/>
  <c r="S74" i="6"/>
  <c r="R74" i="6"/>
  <c r="Q74" i="6"/>
  <c r="P74" i="6"/>
  <c r="O74" i="6"/>
  <c r="N74" i="6"/>
  <c r="AR73" i="6"/>
  <c r="AQ73" i="6"/>
  <c r="AP73" i="6"/>
  <c r="AO73" i="6"/>
  <c r="AN73" i="6"/>
  <c r="AM73" i="6"/>
  <c r="AL73" i="6"/>
  <c r="AK73" i="6"/>
  <c r="AJ73" i="6"/>
  <c r="AI73" i="6"/>
  <c r="AH73" i="6"/>
  <c r="AG73" i="6"/>
  <c r="AF73" i="6"/>
  <c r="AE73" i="6"/>
  <c r="AD73" i="6"/>
  <c r="AC73" i="6"/>
  <c r="AB73" i="6"/>
  <c r="AA73" i="6"/>
  <c r="Z73" i="6"/>
  <c r="Y73" i="6"/>
  <c r="X73" i="6"/>
  <c r="W73" i="6"/>
  <c r="V73" i="6"/>
  <c r="U73" i="6"/>
  <c r="T73" i="6"/>
  <c r="S73" i="6"/>
  <c r="R73" i="6"/>
  <c r="Q73" i="6"/>
  <c r="P73" i="6"/>
  <c r="O73" i="6"/>
  <c r="N73" i="6"/>
  <c r="AR72" i="6"/>
  <c r="AQ72" i="6"/>
  <c r="AP72" i="6"/>
  <c r="AO72" i="6"/>
  <c r="AN72" i="6"/>
  <c r="AM72" i="6"/>
  <c r="AL72" i="6"/>
  <c r="AK72" i="6"/>
  <c r="AJ72" i="6"/>
  <c r="AI72" i="6"/>
  <c r="AH72" i="6"/>
  <c r="AG72" i="6"/>
  <c r="AF72" i="6"/>
  <c r="AE72" i="6"/>
  <c r="AD72" i="6"/>
  <c r="AC72" i="6"/>
  <c r="AB72" i="6"/>
  <c r="AA72" i="6"/>
  <c r="Z72" i="6"/>
  <c r="Y72" i="6"/>
  <c r="X72" i="6"/>
  <c r="W72" i="6"/>
  <c r="V72" i="6"/>
  <c r="U72" i="6"/>
  <c r="T72" i="6"/>
  <c r="S72" i="6"/>
  <c r="R72" i="6"/>
  <c r="Q72" i="6"/>
  <c r="P72" i="6"/>
  <c r="O72" i="6"/>
  <c r="N72" i="6"/>
  <c r="AR71" i="6"/>
  <c r="AQ71" i="6"/>
  <c r="AP71" i="6"/>
  <c r="AO71" i="6"/>
  <c r="AN71" i="6"/>
  <c r="AM71" i="6"/>
  <c r="AL71" i="6"/>
  <c r="AK71" i="6"/>
  <c r="AJ71" i="6"/>
  <c r="AI71" i="6"/>
  <c r="AH71" i="6"/>
  <c r="AG71" i="6"/>
  <c r="AF71" i="6"/>
  <c r="AE71" i="6"/>
  <c r="AD71" i="6"/>
  <c r="AC71" i="6"/>
  <c r="AB71" i="6"/>
  <c r="AA71" i="6"/>
  <c r="Z71" i="6"/>
  <c r="Y71" i="6"/>
  <c r="X71" i="6"/>
  <c r="W71" i="6"/>
  <c r="V71" i="6"/>
  <c r="U71" i="6"/>
  <c r="T71" i="6"/>
  <c r="S71" i="6"/>
  <c r="R71" i="6"/>
  <c r="Q71" i="6"/>
  <c r="P71" i="6"/>
  <c r="O71" i="6"/>
  <c r="N71" i="6"/>
  <c r="AR70" i="6"/>
  <c r="AQ70" i="6"/>
  <c r="AP70" i="6"/>
  <c r="AO70" i="6"/>
  <c r="AN70" i="6"/>
  <c r="AM70" i="6"/>
  <c r="AL70" i="6"/>
  <c r="AK70" i="6"/>
  <c r="AJ70" i="6"/>
  <c r="AI70" i="6"/>
  <c r="AH70" i="6"/>
  <c r="AG70" i="6"/>
  <c r="AF70" i="6"/>
  <c r="AE70" i="6"/>
  <c r="AD70" i="6"/>
  <c r="AC70" i="6"/>
  <c r="AB70" i="6"/>
  <c r="AA70" i="6"/>
  <c r="Z70" i="6"/>
  <c r="Y70" i="6"/>
  <c r="X70" i="6"/>
  <c r="W70" i="6"/>
  <c r="V70" i="6"/>
  <c r="U70" i="6"/>
  <c r="T70" i="6"/>
  <c r="S70" i="6"/>
  <c r="R70" i="6"/>
  <c r="Q70" i="6"/>
  <c r="P70" i="6"/>
  <c r="O70" i="6"/>
  <c r="N70" i="6"/>
  <c r="AR69" i="6"/>
  <c r="AQ69" i="6"/>
  <c r="AP69" i="6"/>
  <c r="AO69" i="6"/>
  <c r="AN69" i="6"/>
  <c r="AM69" i="6"/>
  <c r="AL69" i="6"/>
  <c r="AK69" i="6"/>
  <c r="AJ69" i="6"/>
  <c r="AI69" i="6"/>
  <c r="AH69" i="6"/>
  <c r="AG69" i="6"/>
  <c r="AF69" i="6"/>
  <c r="AE69" i="6"/>
  <c r="AD69" i="6"/>
  <c r="AC69" i="6"/>
  <c r="AB69" i="6"/>
  <c r="AA69" i="6"/>
  <c r="Z69" i="6"/>
  <c r="Y69" i="6"/>
  <c r="X69" i="6"/>
  <c r="W69" i="6"/>
  <c r="V69" i="6"/>
  <c r="U69" i="6"/>
  <c r="T69" i="6"/>
  <c r="S69" i="6"/>
  <c r="R69" i="6"/>
  <c r="Q69" i="6"/>
  <c r="P69" i="6"/>
  <c r="O69" i="6"/>
  <c r="N69" i="6"/>
  <c r="AR68" i="6"/>
  <c r="AQ68" i="6"/>
  <c r="AP68" i="6"/>
  <c r="AO68" i="6"/>
  <c r="AN68" i="6"/>
  <c r="AM68" i="6"/>
  <c r="AL68" i="6"/>
  <c r="AK68" i="6"/>
  <c r="AJ68" i="6"/>
  <c r="AI68" i="6"/>
  <c r="AH68" i="6"/>
  <c r="AG68" i="6"/>
  <c r="AF68" i="6"/>
  <c r="AE68" i="6"/>
  <c r="AD68" i="6"/>
  <c r="AC68" i="6"/>
  <c r="AB68" i="6"/>
  <c r="AA68" i="6"/>
  <c r="Z68" i="6"/>
  <c r="Y68" i="6"/>
  <c r="X68" i="6"/>
  <c r="W68" i="6"/>
  <c r="V68" i="6"/>
  <c r="U68" i="6"/>
  <c r="T68" i="6"/>
  <c r="S68" i="6"/>
  <c r="R68" i="6"/>
  <c r="Q68" i="6"/>
  <c r="P68" i="6"/>
  <c r="O68" i="6"/>
  <c r="N68" i="6"/>
  <c r="AR67" i="6"/>
  <c r="AQ67" i="6"/>
  <c r="AP67" i="6"/>
  <c r="AO67" i="6"/>
  <c r="AN67" i="6"/>
  <c r="AM67" i="6"/>
  <c r="AL67" i="6"/>
  <c r="AK67" i="6"/>
  <c r="AJ67" i="6"/>
  <c r="AI67" i="6"/>
  <c r="AH67" i="6"/>
  <c r="AG67" i="6"/>
  <c r="AF67" i="6"/>
  <c r="AE67" i="6"/>
  <c r="AD67" i="6"/>
  <c r="AC67" i="6"/>
  <c r="AB67" i="6"/>
  <c r="AA67" i="6"/>
  <c r="Z67" i="6"/>
  <c r="Y67" i="6"/>
  <c r="X67" i="6"/>
  <c r="W67" i="6"/>
  <c r="V67" i="6"/>
  <c r="U67" i="6"/>
  <c r="T67" i="6"/>
  <c r="S67" i="6"/>
  <c r="R67" i="6"/>
  <c r="Q67" i="6"/>
  <c r="P67" i="6"/>
  <c r="O67" i="6"/>
  <c r="N67" i="6"/>
  <c r="AR66" i="6"/>
  <c r="AQ66" i="6"/>
  <c r="AP66" i="6"/>
  <c r="AO66" i="6"/>
  <c r="AN66" i="6"/>
  <c r="AM66" i="6"/>
  <c r="AL66" i="6"/>
  <c r="AK66" i="6"/>
  <c r="AJ66" i="6"/>
  <c r="AI66" i="6"/>
  <c r="AH66" i="6"/>
  <c r="AG66" i="6"/>
  <c r="AF66" i="6"/>
  <c r="AE66" i="6"/>
  <c r="AD66" i="6"/>
  <c r="AC66" i="6"/>
  <c r="AB66" i="6"/>
  <c r="AA66" i="6"/>
  <c r="Z66" i="6"/>
  <c r="Y66" i="6"/>
  <c r="X66" i="6"/>
  <c r="W66" i="6"/>
  <c r="V66" i="6"/>
  <c r="U66" i="6"/>
  <c r="T66" i="6"/>
  <c r="S66" i="6"/>
  <c r="R66" i="6"/>
  <c r="Q66" i="6"/>
  <c r="P66" i="6"/>
  <c r="O66" i="6"/>
  <c r="N66" i="6"/>
  <c r="AR65" i="6"/>
  <c r="AQ65" i="6"/>
  <c r="AP65" i="6"/>
  <c r="AO65" i="6"/>
  <c r="AN65" i="6"/>
  <c r="AM65" i="6"/>
  <c r="AL65" i="6"/>
  <c r="AK65" i="6"/>
  <c r="AJ65" i="6"/>
  <c r="AI65" i="6"/>
  <c r="AH65" i="6"/>
  <c r="AG65" i="6"/>
  <c r="AF65" i="6"/>
  <c r="AE65" i="6"/>
  <c r="AD65" i="6"/>
  <c r="AC65" i="6"/>
  <c r="AB65" i="6"/>
  <c r="AA65" i="6"/>
  <c r="Z65" i="6"/>
  <c r="Y65" i="6"/>
  <c r="X65" i="6"/>
  <c r="W65" i="6"/>
  <c r="V65" i="6"/>
  <c r="U65" i="6"/>
  <c r="T65" i="6"/>
  <c r="S65" i="6"/>
  <c r="R65" i="6"/>
  <c r="Q65" i="6"/>
  <c r="P65" i="6"/>
  <c r="O65" i="6"/>
  <c r="N65" i="6"/>
  <c r="AR64" i="6"/>
  <c r="AQ64" i="6"/>
  <c r="AP64" i="6"/>
  <c r="AO64" i="6"/>
  <c r="AN64" i="6"/>
  <c r="AM64" i="6"/>
  <c r="AL64" i="6"/>
  <c r="AK64" i="6"/>
  <c r="AJ64" i="6"/>
  <c r="AI64" i="6"/>
  <c r="AH64" i="6"/>
  <c r="AG64" i="6"/>
  <c r="AF64" i="6"/>
  <c r="AE64" i="6"/>
  <c r="AD64" i="6"/>
  <c r="AC64" i="6"/>
  <c r="AB64" i="6"/>
  <c r="AA64" i="6"/>
  <c r="Z64" i="6"/>
  <c r="Y64" i="6"/>
  <c r="X64" i="6"/>
  <c r="W64" i="6"/>
  <c r="V64" i="6"/>
  <c r="U64" i="6"/>
  <c r="T64" i="6"/>
  <c r="S64" i="6"/>
  <c r="R64" i="6"/>
  <c r="Q64" i="6"/>
  <c r="P64" i="6"/>
  <c r="O64" i="6"/>
  <c r="N64" i="6"/>
  <c r="AR62" i="6"/>
  <c r="AQ62" i="6"/>
  <c r="AP62" i="6"/>
  <c r="AO62" i="6"/>
  <c r="AN62" i="6"/>
  <c r="AM62" i="6"/>
  <c r="AL62" i="6"/>
  <c r="AK62" i="6"/>
  <c r="AJ62" i="6"/>
  <c r="AI62" i="6"/>
  <c r="AH62" i="6"/>
  <c r="AG62" i="6"/>
  <c r="AF62" i="6"/>
  <c r="AE62" i="6"/>
  <c r="AD62" i="6"/>
  <c r="AC62" i="6"/>
  <c r="AB62" i="6"/>
  <c r="AA62" i="6"/>
  <c r="Z62" i="6"/>
  <c r="Y62" i="6"/>
  <c r="X62" i="6"/>
  <c r="W62" i="6"/>
  <c r="V62" i="6"/>
  <c r="U62" i="6"/>
  <c r="T62" i="6"/>
  <c r="S62" i="6"/>
  <c r="R62" i="6"/>
  <c r="Q62" i="6"/>
  <c r="P62" i="6"/>
  <c r="O62" i="6"/>
  <c r="N62" i="6"/>
  <c r="AR60" i="6"/>
  <c r="AQ60" i="6"/>
  <c r="AP60" i="6"/>
  <c r="AO60" i="6"/>
  <c r="AN60" i="6"/>
  <c r="AM60" i="6"/>
  <c r="AL60" i="6"/>
  <c r="AK60" i="6"/>
  <c r="AJ60" i="6"/>
  <c r="AI60" i="6"/>
  <c r="AH60" i="6"/>
  <c r="AG60" i="6"/>
  <c r="AF60" i="6"/>
  <c r="AE60" i="6"/>
  <c r="AD60" i="6"/>
  <c r="AC60" i="6"/>
  <c r="AB60" i="6"/>
  <c r="AA60" i="6"/>
  <c r="Z60" i="6"/>
  <c r="Y60" i="6"/>
  <c r="X60" i="6"/>
  <c r="W60" i="6"/>
  <c r="V60" i="6"/>
  <c r="U60" i="6"/>
  <c r="T60" i="6"/>
  <c r="S60" i="6"/>
  <c r="R60" i="6"/>
  <c r="Q60" i="6"/>
  <c r="P60" i="6"/>
  <c r="O60" i="6"/>
  <c r="N60" i="6"/>
  <c r="AR59" i="6"/>
  <c r="AQ59" i="6"/>
  <c r="AP59" i="6"/>
  <c r="AO59" i="6"/>
  <c r="AN59" i="6"/>
  <c r="AM59" i="6"/>
  <c r="AL59" i="6"/>
  <c r="AK59" i="6"/>
  <c r="AJ59" i="6"/>
  <c r="AI59" i="6"/>
  <c r="AH59" i="6"/>
  <c r="AG59" i="6"/>
  <c r="AF59" i="6"/>
  <c r="AE59" i="6"/>
  <c r="AD59" i="6"/>
  <c r="AC59" i="6"/>
  <c r="AB59" i="6"/>
  <c r="AA59" i="6"/>
  <c r="Z59" i="6"/>
  <c r="Y59" i="6"/>
  <c r="X59" i="6"/>
  <c r="W59" i="6"/>
  <c r="V59" i="6"/>
  <c r="U59" i="6"/>
  <c r="T59" i="6"/>
  <c r="S59" i="6"/>
  <c r="R59" i="6"/>
  <c r="Q59" i="6"/>
  <c r="P59" i="6"/>
  <c r="O59" i="6"/>
  <c r="N59" i="6"/>
  <c r="AR58" i="6"/>
  <c r="AQ58" i="6"/>
  <c r="AP58" i="6"/>
  <c r="AO58" i="6"/>
  <c r="AN58" i="6"/>
  <c r="AM58" i="6"/>
  <c r="AL58" i="6"/>
  <c r="AK58" i="6"/>
  <c r="AJ58" i="6"/>
  <c r="AI58" i="6"/>
  <c r="AH58" i="6"/>
  <c r="AG58" i="6"/>
  <c r="AF58" i="6"/>
  <c r="AE58" i="6"/>
  <c r="AD58" i="6"/>
  <c r="AC58" i="6"/>
  <c r="AB58" i="6"/>
  <c r="AA58" i="6"/>
  <c r="Z58" i="6"/>
  <c r="Y58" i="6"/>
  <c r="X58" i="6"/>
  <c r="W58" i="6"/>
  <c r="V58" i="6"/>
  <c r="U58" i="6"/>
  <c r="T58" i="6"/>
  <c r="S58" i="6"/>
  <c r="R58" i="6"/>
  <c r="Q58" i="6"/>
  <c r="P58" i="6"/>
  <c r="O58" i="6"/>
  <c r="N58" i="6"/>
  <c r="AR57" i="6"/>
  <c r="AQ57" i="6"/>
  <c r="AP57" i="6"/>
  <c r="AO57" i="6"/>
  <c r="AN57" i="6"/>
  <c r="AM57" i="6"/>
  <c r="AL57" i="6"/>
  <c r="AK57" i="6"/>
  <c r="AJ57" i="6"/>
  <c r="AI57" i="6"/>
  <c r="AH57" i="6"/>
  <c r="AG57" i="6"/>
  <c r="AF57" i="6"/>
  <c r="AE57" i="6"/>
  <c r="AD57" i="6"/>
  <c r="AC57" i="6"/>
  <c r="AB57" i="6"/>
  <c r="AA57" i="6"/>
  <c r="Z57" i="6"/>
  <c r="Y57" i="6"/>
  <c r="X57" i="6"/>
  <c r="W57" i="6"/>
  <c r="V57" i="6"/>
  <c r="U57" i="6"/>
  <c r="T57" i="6"/>
  <c r="S57" i="6"/>
  <c r="R57" i="6"/>
  <c r="Q57" i="6"/>
  <c r="P57" i="6"/>
  <c r="O57" i="6"/>
  <c r="N57" i="6"/>
  <c r="AR56" i="6"/>
  <c r="AQ56" i="6"/>
  <c r="AP56" i="6"/>
  <c r="AO56" i="6"/>
  <c r="AN56" i="6"/>
  <c r="AM56" i="6"/>
  <c r="AL56" i="6"/>
  <c r="AK56" i="6"/>
  <c r="AJ56" i="6"/>
  <c r="AI56" i="6"/>
  <c r="AH56" i="6"/>
  <c r="AG56" i="6"/>
  <c r="AF56" i="6"/>
  <c r="AE56" i="6"/>
  <c r="AD56" i="6"/>
  <c r="AC56" i="6"/>
  <c r="AB56" i="6"/>
  <c r="AA56" i="6"/>
  <c r="Z56" i="6"/>
  <c r="Y56" i="6"/>
  <c r="X56" i="6"/>
  <c r="W56" i="6"/>
  <c r="V56" i="6"/>
  <c r="U56" i="6"/>
  <c r="T56" i="6"/>
  <c r="S56" i="6"/>
  <c r="R56" i="6"/>
  <c r="Q56" i="6"/>
  <c r="P56" i="6"/>
  <c r="O56" i="6"/>
  <c r="N56" i="6"/>
  <c r="AR55" i="6"/>
  <c r="AQ55" i="6"/>
  <c r="AP55" i="6"/>
  <c r="AO55" i="6"/>
  <c r="AN55" i="6"/>
  <c r="AM55" i="6"/>
  <c r="AL55" i="6"/>
  <c r="AK55" i="6"/>
  <c r="AJ55" i="6"/>
  <c r="AI55" i="6"/>
  <c r="AH55" i="6"/>
  <c r="AG55" i="6"/>
  <c r="AF55" i="6"/>
  <c r="AE55" i="6"/>
  <c r="AD55" i="6"/>
  <c r="AC55" i="6"/>
  <c r="AB55" i="6"/>
  <c r="AA55" i="6"/>
  <c r="Z55" i="6"/>
  <c r="Y55" i="6"/>
  <c r="X55" i="6"/>
  <c r="W55" i="6"/>
  <c r="V55" i="6"/>
  <c r="U55" i="6"/>
  <c r="T55" i="6"/>
  <c r="S55" i="6"/>
  <c r="R55" i="6"/>
  <c r="Q55" i="6"/>
  <c r="P55" i="6"/>
  <c r="O55" i="6"/>
  <c r="N55" i="6"/>
  <c r="AR54" i="6"/>
  <c r="AQ54" i="6"/>
  <c r="AP54" i="6"/>
  <c r="AO54" i="6"/>
  <c r="AN54" i="6"/>
  <c r="AM54" i="6"/>
  <c r="AL54" i="6"/>
  <c r="AK54" i="6"/>
  <c r="AJ54" i="6"/>
  <c r="AI54" i="6"/>
  <c r="AH54" i="6"/>
  <c r="AG54" i="6"/>
  <c r="AF54" i="6"/>
  <c r="AE54" i="6"/>
  <c r="AD54" i="6"/>
  <c r="AC54" i="6"/>
  <c r="AB54" i="6"/>
  <c r="AA54" i="6"/>
  <c r="Z54" i="6"/>
  <c r="Y54" i="6"/>
  <c r="X54" i="6"/>
  <c r="W54" i="6"/>
  <c r="V54" i="6"/>
  <c r="U54" i="6"/>
  <c r="T54" i="6"/>
  <c r="S54" i="6"/>
  <c r="R54" i="6"/>
  <c r="Q54" i="6"/>
  <c r="P54" i="6"/>
  <c r="O54" i="6"/>
  <c r="N54" i="6"/>
  <c r="AR53" i="6"/>
  <c r="AQ53" i="6"/>
  <c r="AP53" i="6"/>
  <c r="AO53" i="6"/>
  <c r="AN53" i="6"/>
  <c r="AM53" i="6"/>
  <c r="AL53" i="6"/>
  <c r="AK53" i="6"/>
  <c r="AJ53" i="6"/>
  <c r="AI53" i="6"/>
  <c r="AH53" i="6"/>
  <c r="AG53" i="6"/>
  <c r="AF53" i="6"/>
  <c r="AE53" i="6"/>
  <c r="AD53" i="6"/>
  <c r="AC53" i="6"/>
  <c r="AB53" i="6"/>
  <c r="AA53" i="6"/>
  <c r="Z53" i="6"/>
  <c r="Y53" i="6"/>
  <c r="X53" i="6"/>
  <c r="W53" i="6"/>
  <c r="V53" i="6"/>
  <c r="U53" i="6"/>
  <c r="T53" i="6"/>
  <c r="S53" i="6"/>
  <c r="R53" i="6"/>
  <c r="Q53" i="6"/>
  <c r="P53" i="6"/>
  <c r="O53" i="6"/>
  <c r="N53" i="6"/>
  <c r="AR52" i="6"/>
  <c r="AQ52" i="6"/>
  <c r="AP52" i="6"/>
  <c r="AO52" i="6"/>
  <c r="AN52" i="6"/>
  <c r="AM52" i="6"/>
  <c r="AL52" i="6"/>
  <c r="AK52" i="6"/>
  <c r="AJ52" i="6"/>
  <c r="AI52" i="6"/>
  <c r="AH52" i="6"/>
  <c r="AG52" i="6"/>
  <c r="AF52" i="6"/>
  <c r="AE52" i="6"/>
  <c r="AD52" i="6"/>
  <c r="AC52" i="6"/>
  <c r="AB52" i="6"/>
  <c r="AA52" i="6"/>
  <c r="Z52" i="6"/>
  <c r="Y52" i="6"/>
  <c r="X52" i="6"/>
  <c r="W52" i="6"/>
  <c r="V52" i="6"/>
  <c r="U52" i="6"/>
  <c r="T52" i="6"/>
  <c r="S52" i="6"/>
  <c r="R52" i="6"/>
  <c r="Q52" i="6"/>
  <c r="P52" i="6"/>
  <c r="O52" i="6"/>
  <c r="N52" i="6"/>
  <c r="AR51" i="6"/>
  <c r="AQ51" i="6"/>
  <c r="AP51" i="6"/>
  <c r="AO51" i="6"/>
  <c r="AN51" i="6"/>
  <c r="AM51" i="6"/>
  <c r="AL51" i="6"/>
  <c r="AK51" i="6"/>
  <c r="AJ51" i="6"/>
  <c r="AI51" i="6"/>
  <c r="AH51" i="6"/>
  <c r="AG51" i="6"/>
  <c r="AF51" i="6"/>
  <c r="AE51" i="6"/>
  <c r="AD51" i="6"/>
  <c r="AC51" i="6"/>
  <c r="AB51" i="6"/>
  <c r="AA51" i="6"/>
  <c r="Z51" i="6"/>
  <c r="Y51" i="6"/>
  <c r="X51" i="6"/>
  <c r="W51" i="6"/>
  <c r="V51" i="6"/>
  <c r="U51" i="6"/>
  <c r="T51" i="6"/>
  <c r="S51" i="6"/>
  <c r="R51" i="6"/>
  <c r="Q51" i="6"/>
  <c r="P51" i="6"/>
  <c r="O51" i="6"/>
  <c r="N51" i="6"/>
  <c r="AR50" i="6"/>
  <c r="AQ50" i="6"/>
  <c r="AP50" i="6"/>
  <c r="AO50" i="6"/>
  <c r="AN50" i="6"/>
  <c r="AM50" i="6"/>
  <c r="AL50" i="6"/>
  <c r="AK50" i="6"/>
  <c r="AJ50" i="6"/>
  <c r="AI50" i="6"/>
  <c r="AH50" i="6"/>
  <c r="AG50" i="6"/>
  <c r="AF50" i="6"/>
  <c r="AE50" i="6"/>
  <c r="AD50" i="6"/>
  <c r="AC50" i="6"/>
  <c r="AB50" i="6"/>
  <c r="AA50" i="6"/>
  <c r="Z50" i="6"/>
  <c r="Y50" i="6"/>
  <c r="X50" i="6"/>
  <c r="W50" i="6"/>
  <c r="V50" i="6"/>
  <c r="U50" i="6"/>
  <c r="T50" i="6"/>
  <c r="S50" i="6"/>
  <c r="R50" i="6"/>
  <c r="Q50" i="6"/>
  <c r="P50" i="6"/>
  <c r="O50" i="6"/>
  <c r="N50" i="6"/>
  <c r="AR49" i="6"/>
  <c r="AQ49" i="6"/>
  <c r="AP49" i="6"/>
  <c r="AO49" i="6"/>
  <c r="AN49" i="6"/>
  <c r="AM49" i="6"/>
  <c r="AL49" i="6"/>
  <c r="AK49" i="6"/>
  <c r="AJ49" i="6"/>
  <c r="AI49" i="6"/>
  <c r="AH49" i="6"/>
  <c r="AG49" i="6"/>
  <c r="AF49" i="6"/>
  <c r="AE49" i="6"/>
  <c r="AD49" i="6"/>
  <c r="AC49" i="6"/>
  <c r="AB49" i="6"/>
  <c r="AA49" i="6"/>
  <c r="Z49" i="6"/>
  <c r="Y49" i="6"/>
  <c r="X49" i="6"/>
  <c r="W49" i="6"/>
  <c r="V49" i="6"/>
  <c r="U49" i="6"/>
  <c r="T49" i="6"/>
  <c r="S49" i="6"/>
  <c r="R49" i="6"/>
  <c r="Q49" i="6"/>
  <c r="P49" i="6"/>
  <c r="O49" i="6"/>
  <c r="N49" i="6"/>
  <c r="AR48" i="6"/>
  <c r="AQ48" i="6"/>
  <c r="AP48" i="6"/>
  <c r="AO48" i="6"/>
  <c r="AN48" i="6"/>
  <c r="AM48" i="6"/>
  <c r="AL48" i="6"/>
  <c r="AK48" i="6"/>
  <c r="AJ48" i="6"/>
  <c r="AI48" i="6"/>
  <c r="AH48" i="6"/>
  <c r="AG48" i="6"/>
  <c r="AF48" i="6"/>
  <c r="AE48" i="6"/>
  <c r="AD48" i="6"/>
  <c r="AC48" i="6"/>
  <c r="AB48" i="6"/>
  <c r="AA48" i="6"/>
  <c r="Z48" i="6"/>
  <c r="Y48" i="6"/>
  <c r="X48" i="6"/>
  <c r="W48" i="6"/>
  <c r="V48" i="6"/>
  <c r="U48" i="6"/>
  <c r="T48" i="6"/>
  <c r="S48" i="6"/>
  <c r="R48" i="6"/>
  <c r="Q48" i="6"/>
  <c r="P48" i="6"/>
  <c r="O48" i="6"/>
  <c r="N48" i="6"/>
  <c r="AR47" i="6"/>
  <c r="AQ47" i="6"/>
  <c r="AP47" i="6"/>
  <c r="AO47" i="6"/>
  <c r="AN47" i="6"/>
  <c r="AM47" i="6"/>
  <c r="AL47" i="6"/>
  <c r="AK47" i="6"/>
  <c r="AJ47" i="6"/>
  <c r="AI47" i="6"/>
  <c r="AH47" i="6"/>
  <c r="AG47" i="6"/>
  <c r="AF47" i="6"/>
  <c r="AE47" i="6"/>
  <c r="AD47" i="6"/>
  <c r="AC47" i="6"/>
  <c r="AB47" i="6"/>
  <c r="AA47" i="6"/>
  <c r="Z47" i="6"/>
  <c r="Y47" i="6"/>
  <c r="X47" i="6"/>
  <c r="W47" i="6"/>
  <c r="V47" i="6"/>
  <c r="U47" i="6"/>
  <c r="T47" i="6"/>
  <c r="S47" i="6"/>
  <c r="R47" i="6"/>
  <c r="Q47" i="6"/>
  <c r="P47" i="6"/>
  <c r="O47" i="6"/>
  <c r="N47"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AR43" i="6"/>
  <c r="AQ43" i="6"/>
  <c r="AP43" i="6"/>
  <c r="AO43" i="6"/>
  <c r="AN43" i="6"/>
  <c r="AM43" i="6"/>
  <c r="AL43" i="6"/>
  <c r="AK43" i="6"/>
  <c r="AJ43" i="6"/>
  <c r="AI43" i="6"/>
  <c r="AH43" i="6"/>
  <c r="AG43" i="6"/>
  <c r="AF43" i="6"/>
  <c r="AE43" i="6"/>
  <c r="AD43" i="6"/>
  <c r="AC43" i="6"/>
  <c r="AB43" i="6"/>
  <c r="AA43" i="6"/>
  <c r="Z43" i="6"/>
  <c r="Y43" i="6"/>
  <c r="X43" i="6"/>
  <c r="W43" i="6"/>
  <c r="V43" i="6"/>
  <c r="U43" i="6"/>
  <c r="T43" i="6"/>
  <c r="S43" i="6"/>
  <c r="R43" i="6"/>
  <c r="Q43" i="6"/>
  <c r="P43" i="6"/>
  <c r="O43" i="6"/>
  <c r="N43" i="6"/>
  <c r="AR42" i="6"/>
  <c r="AQ42" i="6"/>
  <c r="AP42" i="6"/>
  <c r="AO42" i="6"/>
  <c r="AN42" i="6"/>
  <c r="AM42" i="6"/>
  <c r="AL42" i="6"/>
  <c r="AK42" i="6"/>
  <c r="AJ42" i="6"/>
  <c r="AI42" i="6"/>
  <c r="AH42" i="6"/>
  <c r="AG42" i="6"/>
  <c r="AF42" i="6"/>
  <c r="AE42" i="6"/>
  <c r="AD42" i="6"/>
  <c r="AC42" i="6"/>
  <c r="AB42" i="6"/>
  <c r="AA42" i="6"/>
  <c r="Z42" i="6"/>
  <c r="Y42" i="6"/>
  <c r="X42" i="6"/>
  <c r="W42" i="6"/>
  <c r="V42" i="6"/>
  <c r="U42" i="6"/>
  <c r="T42" i="6"/>
  <c r="S42" i="6"/>
  <c r="R42" i="6"/>
  <c r="Q42" i="6"/>
  <c r="P42" i="6"/>
  <c r="O42" i="6"/>
  <c r="N42" i="6"/>
  <c r="AR41" i="6"/>
  <c r="AQ41" i="6"/>
  <c r="AP41" i="6"/>
  <c r="AO41" i="6"/>
  <c r="AN41" i="6"/>
  <c r="AM41" i="6"/>
  <c r="AL41" i="6"/>
  <c r="AK41" i="6"/>
  <c r="AJ41" i="6"/>
  <c r="AI41" i="6"/>
  <c r="AH41" i="6"/>
  <c r="AG41" i="6"/>
  <c r="AF41" i="6"/>
  <c r="AE41" i="6"/>
  <c r="AD41" i="6"/>
  <c r="AC41" i="6"/>
  <c r="AB41" i="6"/>
  <c r="AA41" i="6"/>
  <c r="Z41" i="6"/>
  <c r="Y41" i="6"/>
  <c r="X41" i="6"/>
  <c r="W41" i="6"/>
  <c r="V41" i="6"/>
  <c r="U41" i="6"/>
  <c r="T41" i="6"/>
  <c r="S41" i="6"/>
  <c r="R41" i="6"/>
  <c r="Q41" i="6"/>
  <c r="P41" i="6"/>
  <c r="O41" i="6"/>
  <c r="N41"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AR39" i="6"/>
  <c r="AQ39" i="6"/>
  <c r="AP39" i="6"/>
  <c r="AO39" i="6"/>
  <c r="AN39" i="6"/>
  <c r="AM39" i="6"/>
  <c r="AL39" i="6"/>
  <c r="AK39" i="6"/>
  <c r="AJ39" i="6"/>
  <c r="AI39" i="6"/>
  <c r="AH39" i="6"/>
  <c r="AG39" i="6"/>
  <c r="AF39" i="6"/>
  <c r="AE39" i="6"/>
  <c r="AD39" i="6"/>
  <c r="AC39" i="6"/>
  <c r="AB39" i="6"/>
  <c r="AA39" i="6"/>
  <c r="Z39" i="6"/>
  <c r="Y39" i="6"/>
  <c r="X39" i="6"/>
  <c r="W39" i="6"/>
  <c r="V39" i="6"/>
  <c r="U39" i="6"/>
  <c r="T39" i="6"/>
  <c r="S39" i="6"/>
  <c r="R39" i="6"/>
  <c r="Q39" i="6"/>
  <c r="P39" i="6"/>
  <c r="O39" i="6"/>
  <c r="N39" i="6"/>
  <c r="AR38" i="6"/>
  <c r="AQ38" i="6"/>
  <c r="AP38" i="6"/>
  <c r="AO38" i="6"/>
  <c r="AN38" i="6"/>
  <c r="AM38" i="6"/>
  <c r="AL38" i="6"/>
  <c r="AK38" i="6"/>
  <c r="AJ38" i="6"/>
  <c r="AI38" i="6"/>
  <c r="AH38" i="6"/>
  <c r="AG38" i="6"/>
  <c r="AF38" i="6"/>
  <c r="AE38" i="6"/>
  <c r="AD38" i="6"/>
  <c r="AC38" i="6"/>
  <c r="AB38" i="6"/>
  <c r="AA38" i="6"/>
  <c r="Z38" i="6"/>
  <c r="Y38" i="6"/>
  <c r="X38" i="6"/>
  <c r="W38" i="6"/>
  <c r="V38" i="6"/>
  <c r="U38" i="6"/>
  <c r="T38" i="6"/>
  <c r="S38" i="6"/>
  <c r="R38" i="6"/>
  <c r="Q38" i="6"/>
  <c r="P38" i="6"/>
  <c r="O38" i="6"/>
  <c r="N38" i="6"/>
  <c r="AR37" i="6"/>
  <c r="AQ37" i="6"/>
  <c r="AP37" i="6"/>
  <c r="AO37" i="6"/>
  <c r="AN37" i="6"/>
  <c r="AM37" i="6"/>
  <c r="AL37" i="6"/>
  <c r="AK37" i="6"/>
  <c r="AJ37" i="6"/>
  <c r="AI37" i="6"/>
  <c r="AH37" i="6"/>
  <c r="AG37" i="6"/>
  <c r="AF37" i="6"/>
  <c r="AE37" i="6"/>
  <c r="AD37" i="6"/>
  <c r="AC37" i="6"/>
  <c r="AB37" i="6"/>
  <c r="AA37" i="6"/>
  <c r="Z37" i="6"/>
  <c r="Y37" i="6"/>
  <c r="X37" i="6"/>
  <c r="W37" i="6"/>
  <c r="V37" i="6"/>
  <c r="U37" i="6"/>
  <c r="T37" i="6"/>
  <c r="S37" i="6"/>
  <c r="R37" i="6"/>
  <c r="Q37" i="6"/>
  <c r="P37" i="6"/>
  <c r="O37" i="6"/>
  <c r="N37" i="6"/>
  <c r="AR36" i="6"/>
  <c r="AQ36" i="6"/>
  <c r="AP36" i="6"/>
  <c r="AO36" i="6"/>
  <c r="AN36" i="6"/>
  <c r="AM36" i="6"/>
  <c r="AL36" i="6"/>
  <c r="AK36" i="6"/>
  <c r="AJ36" i="6"/>
  <c r="AI36" i="6"/>
  <c r="AH36" i="6"/>
  <c r="AG36" i="6"/>
  <c r="AF36" i="6"/>
  <c r="AE36" i="6"/>
  <c r="AD36" i="6"/>
  <c r="AC36" i="6"/>
  <c r="AB36" i="6"/>
  <c r="AA36" i="6"/>
  <c r="Z36" i="6"/>
  <c r="Y36" i="6"/>
  <c r="X36" i="6"/>
  <c r="W36" i="6"/>
  <c r="V36" i="6"/>
  <c r="U36" i="6"/>
  <c r="T36" i="6"/>
  <c r="S36" i="6"/>
  <c r="R36" i="6"/>
  <c r="Q36" i="6"/>
  <c r="P36" i="6"/>
  <c r="O36" i="6"/>
  <c r="N36" i="6"/>
  <c r="AR35" i="6"/>
  <c r="AQ35" i="6"/>
  <c r="AP35" i="6"/>
  <c r="AO35" i="6"/>
  <c r="AN35" i="6"/>
  <c r="AM35" i="6"/>
  <c r="AL35" i="6"/>
  <c r="AK35" i="6"/>
  <c r="AJ35" i="6"/>
  <c r="AI35" i="6"/>
  <c r="AH35" i="6"/>
  <c r="AG35" i="6"/>
  <c r="AF35" i="6"/>
  <c r="AE35" i="6"/>
  <c r="AD35" i="6"/>
  <c r="AC35" i="6"/>
  <c r="AB35" i="6"/>
  <c r="AA35" i="6"/>
  <c r="Z35" i="6"/>
  <c r="Y35" i="6"/>
  <c r="X35" i="6"/>
  <c r="W35" i="6"/>
  <c r="V35" i="6"/>
  <c r="U35" i="6"/>
  <c r="T35" i="6"/>
  <c r="S35" i="6"/>
  <c r="R35" i="6"/>
  <c r="Q35" i="6"/>
  <c r="P35" i="6"/>
  <c r="O35" i="6"/>
  <c r="N35" i="6"/>
  <c r="AR34" i="6"/>
  <c r="AQ34" i="6"/>
  <c r="AP34" i="6"/>
  <c r="AO34" i="6"/>
  <c r="AN34" i="6"/>
  <c r="AM34" i="6"/>
  <c r="AL34" i="6"/>
  <c r="AK34" i="6"/>
  <c r="AJ34" i="6"/>
  <c r="AI34" i="6"/>
  <c r="AH34" i="6"/>
  <c r="AG34" i="6"/>
  <c r="AF34" i="6"/>
  <c r="AE34" i="6"/>
  <c r="AD34" i="6"/>
  <c r="AC34" i="6"/>
  <c r="AB34" i="6"/>
  <c r="AA34" i="6"/>
  <c r="Z34" i="6"/>
  <c r="Y34" i="6"/>
  <c r="X34" i="6"/>
  <c r="W34" i="6"/>
  <c r="V34" i="6"/>
  <c r="U34" i="6"/>
  <c r="T34" i="6"/>
  <c r="S34" i="6"/>
  <c r="R34" i="6"/>
  <c r="Q34" i="6"/>
  <c r="P34" i="6"/>
  <c r="O34" i="6"/>
  <c r="N34" i="6"/>
  <c r="AR33" i="6"/>
  <c r="AQ33" i="6"/>
  <c r="AP33" i="6"/>
  <c r="AO33" i="6"/>
  <c r="AN33" i="6"/>
  <c r="AM33" i="6"/>
  <c r="AL33" i="6"/>
  <c r="AK33" i="6"/>
  <c r="AJ33" i="6"/>
  <c r="AI33" i="6"/>
  <c r="AH33" i="6"/>
  <c r="AG33" i="6"/>
  <c r="AF33" i="6"/>
  <c r="AE33" i="6"/>
  <c r="AD33" i="6"/>
  <c r="AC33" i="6"/>
  <c r="AB33" i="6"/>
  <c r="AA33" i="6"/>
  <c r="Z33" i="6"/>
  <c r="Y33" i="6"/>
  <c r="X33" i="6"/>
  <c r="W33" i="6"/>
  <c r="V33" i="6"/>
  <c r="U33" i="6"/>
  <c r="T33" i="6"/>
  <c r="S33" i="6"/>
  <c r="R33" i="6"/>
  <c r="Q33" i="6"/>
  <c r="P33" i="6"/>
  <c r="O33" i="6"/>
  <c r="N33" i="6"/>
  <c r="AR32" i="6"/>
  <c r="AQ32" i="6"/>
  <c r="AP32" i="6"/>
  <c r="AO32" i="6"/>
  <c r="AN32" i="6"/>
  <c r="AM32" i="6"/>
  <c r="AL32" i="6"/>
  <c r="AK32" i="6"/>
  <c r="AJ32" i="6"/>
  <c r="AI32" i="6"/>
  <c r="AH32" i="6"/>
  <c r="AG32" i="6"/>
  <c r="AF32" i="6"/>
  <c r="AE32" i="6"/>
  <c r="AD32" i="6"/>
  <c r="AC32" i="6"/>
  <c r="AB32" i="6"/>
  <c r="AA32" i="6"/>
  <c r="Z32" i="6"/>
  <c r="Y32" i="6"/>
  <c r="X32" i="6"/>
  <c r="W32" i="6"/>
  <c r="V32" i="6"/>
  <c r="U32" i="6"/>
  <c r="T32" i="6"/>
  <c r="S32" i="6"/>
  <c r="R32" i="6"/>
  <c r="Q32" i="6"/>
  <c r="P32" i="6"/>
  <c r="O32" i="6"/>
  <c r="N32" i="6"/>
  <c r="AR31" i="6"/>
  <c r="AQ31" i="6"/>
  <c r="AP31" i="6"/>
  <c r="AO31" i="6"/>
  <c r="AN31" i="6"/>
  <c r="AM31" i="6"/>
  <c r="AL31" i="6"/>
  <c r="AK31" i="6"/>
  <c r="AJ31" i="6"/>
  <c r="AI31" i="6"/>
  <c r="AH31" i="6"/>
  <c r="AG31" i="6"/>
  <c r="AF31" i="6"/>
  <c r="AE31" i="6"/>
  <c r="AD31" i="6"/>
  <c r="AC31" i="6"/>
  <c r="AB31" i="6"/>
  <c r="AA31" i="6"/>
  <c r="Z31" i="6"/>
  <c r="Y31" i="6"/>
  <c r="X31" i="6"/>
  <c r="W31" i="6"/>
  <c r="V31" i="6"/>
  <c r="U31" i="6"/>
  <c r="T31" i="6"/>
  <c r="S31" i="6"/>
  <c r="R31" i="6"/>
  <c r="Q31" i="6"/>
  <c r="P31" i="6"/>
  <c r="O31" i="6"/>
  <c r="N31" i="6"/>
  <c r="AR30" i="6"/>
  <c r="AQ30" i="6"/>
  <c r="AP30" i="6"/>
  <c r="AO30" i="6"/>
  <c r="AN30" i="6"/>
  <c r="AM30" i="6"/>
  <c r="AL30" i="6"/>
  <c r="AK30" i="6"/>
  <c r="AJ30" i="6"/>
  <c r="AI30" i="6"/>
  <c r="AH30" i="6"/>
  <c r="AG30" i="6"/>
  <c r="AF30" i="6"/>
  <c r="AE30" i="6"/>
  <c r="AD30" i="6"/>
  <c r="AC30" i="6"/>
  <c r="AB30" i="6"/>
  <c r="AA30" i="6"/>
  <c r="Z30" i="6"/>
  <c r="Y30" i="6"/>
  <c r="X30" i="6"/>
  <c r="W30" i="6"/>
  <c r="V30" i="6"/>
  <c r="U30" i="6"/>
  <c r="T30" i="6"/>
  <c r="S30" i="6"/>
  <c r="R30" i="6"/>
  <c r="Q30" i="6"/>
  <c r="P30" i="6"/>
  <c r="O30" i="6"/>
  <c r="N30" i="6"/>
  <c r="AR29" i="6"/>
  <c r="AQ29" i="6"/>
  <c r="AP29" i="6"/>
  <c r="AO29" i="6"/>
  <c r="AN29" i="6"/>
  <c r="AM29" i="6"/>
  <c r="AL29" i="6"/>
  <c r="AK29" i="6"/>
  <c r="AJ29" i="6"/>
  <c r="AI29" i="6"/>
  <c r="AH29" i="6"/>
  <c r="AG29" i="6"/>
  <c r="AF29" i="6"/>
  <c r="AE29" i="6"/>
  <c r="AD29" i="6"/>
  <c r="AC29" i="6"/>
  <c r="AB29" i="6"/>
  <c r="AA29" i="6"/>
  <c r="Z29" i="6"/>
  <c r="Y29" i="6"/>
  <c r="X29" i="6"/>
  <c r="W29" i="6"/>
  <c r="V29" i="6"/>
  <c r="U29" i="6"/>
  <c r="T29" i="6"/>
  <c r="S29" i="6"/>
  <c r="R29" i="6"/>
  <c r="Q29" i="6"/>
  <c r="P29" i="6"/>
  <c r="O29" i="6"/>
  <c r="N29" i="6"/>
  <c r="AR28" i="6"/>
  <c r="AQ28" i="6"/>
  <c r="AP28" i="6"/>
  <c r="AO28" i="6"/>
  <c r="AN28" i="6"/>
  <c r="AM28" i="6"/>
  <c r="AL28" i="6"/>
  <c r="AK28" i="6"/>
  <c r="AJ28" i="6"/>
  <c r="AI28" i="6"/>
  <c r="AH28" i="6"/>
  <c r="AG28" i="6"/>
  <c r="AF28" i="6"/>
  <c r="AE28" i="6"/>
  <c r="AD28" i="6"/>
  <c r="AC28" i="6"/>
  <c r="AB28" i="6"/>
  <c r="AA28" i="6"/>
  <c r="Z28" i="6"/>
  <c r="Y28" i="6"/>
  <c r="X28" i="6"/>
  <c r="W28" i="6"/>
  <c r="V28" i="6"/>
  <c r="U28" i="6"/>
  <c r="T28" i="6"/>
  <c r="S28" i="6"/>
  <c r="R28" i="6"/>
  <c r="Q28" i="6"/>
  <c r="P28" i="6"/>
  <c r="O28" i="6"/>
  <c r="N28" i="6"/>
  <c r="AR27" i="6"/>
  <c r="AQ27" i="6"/>
  <c r="AP27" i="6"/>
  <c r="AO27" i="6"/>
  <c r="AN27" i="6"/>
  <c r="AM27" i="6"/>
  <c r="AL27" i="6"/>
  <c r="AK27" i="6"/>
  <c r="AJ27" i="6"/>
  <c r="AI27" i="6"/>
  <c r="AH27" i="6"/>
  <c r="AG27" i="6"/>
  <c r="AF27" i="6"/>
  <c r="AE27" i="6"/>
  <c r="AD27" i="6"/>
  <c r="AC27" i="6"/>
  <c r="AB27" i="6"/>
  <c r="AA27" i="6"/>
  <c r="Z27" i="6"/>
  <c r="Y27" i="6"/>
  <c r="X27" i="6"/>
  <c r="W27" i="6"/>
  <c r="V27" i="6"/>
  <c r="U27" i="6"/>
  <c r="T27" i="6"/>
  <c r="S27" i="6"/>
  <c r="R27" i="6"/>
  <c r="Q27" i="6"/>
  <c r="P27" i="6"/>
  <c r="O27" i="6"/>
  <c r="N27" i="6"/>
  <c r="AR26" i="6"/>
  <c r="AQ26" i="6"/>
  <c r="AP26" i="6"/>
  <c r="AO26" i="6"/>
  <c r="AN26" i="6"/>
  <c r="AM26" i="6"/>
  <c r="AL26" i="6"/>
  <c r="AK26" i="6"/>
  <c r="AJ26" i="6"/>
  <c r="AI26" i="6"/>
  <c r="AH26" i="6"/>
  <c r="AG26" i="6"/>
  <c r="AF26" i="6"/>
  <c r="AE26" i="6"/>
  <c r="AD26" i="6"/>
  <c r="AC26" i="6"/>
  <c r="AB26" i="6"/>
  <c r="AA26" i="6"/>
  <c r="Z26" i="6"/>
  <c r="Y26" i="6"/>
  <c r="X26" i="6"/>
  <c r="W26" i="6"/>
  <c r="V26" i="6"/>
  <c r="U26" i="6"/>
  <c r="T26" i="6"/>
  <c r="S26" i="6"/>
  <c r="R26" i="6"/>
  <c r="Q26" i="6"/>
  <c r="P26" i="6"/>
  <c r="O26" i="6"/>
  <c r="N26"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AR24" i="6"/>
  <c r="AQ24" i="6"/>
  <c r="AP24" i="6"/>
  <c r="AO24" i="6"/>
  <c r="AN24" i="6"/>
  <c r="AM24" i="6"/>
  <c r="AL24" i="6"/>
  <c r="AK24" i="6"/>
  <c r="AJ24" i="6"/>
  <c r="AI24" i="6"/>
  <c r="AH24" i="6"/>
  <c r="AG24" i="6"/>
  <c r="AF24" i="6"/>
  <c r="AE24" i="6"/>
  <c r="AD24" i="6"/>
  <c r="AC24" i="6"/>
  <c r="AB24" i="6"/>
  <c r="AA24" i="6"/>
  <c r="Z24" i="6"/>
  <c r="Y24" i="6"/>
  <c r="X24" i="6"/>
  <c r="W24" i="6"/>
  <c r="V24" i="6"/>
  <c r="U24" i="6"/>
  <c r="T24" i="6"/>
  <c r="S24" i="6"/>
  <c r="R24" i="6"/>
  <c r="Q24" i="6"/>
  <c r="P24" i="6"/>
  <c r="O24" i="6"/>
  <c r="N24" i="6"/>
  <c r="AR23" i="6"/>
  <c r="AQ23" i="6"/>
  <c r="AP23" i="6"/>
  <c r="AO23" i="6"/>
  <c r="AN23" i="6"/>
  <c r="AM23" i="6"/>
  <c r="AL23" i="6"/>
  <c r="AK23" i="6"/>
  <c r="AJ23" i="6"/>
  <c r="AI23" i="6"/>
  <c r="AH23" i="6"/>
  <c r="AG23" i="6"/>
  <c r="AF23" i="6"/>
  <c r="AE23" i="6"/>
  <c r="AD23" i="6"/>
  <c r="AC23" i="6"/>
  <c r="AB23" i="6"/>
  <c r="AA23" i="6"/>
  <c r="Z23" i="6"/>
  <c r="Y23" i="6"/>
  <c r="X23" i="6"/>
  <c r="W23" i="6"/>
  <c r="V23" i="6"/>
  <c r="U23" i="6"/>
  <c r="T23" i="6"/>
  <c r="S23" i="6"/>
  <c r="R23" i="6"/>
  <c r="Q23" i="6"/>
  <c r="P23" i="6"/>
  <c r="O23" i="6"/>
  <c r="N23" i="6"/>
  <c r="AR22" i="6"/>
  <c r="AQ22" i="6"/>
  <c r="AP22" i="6"/>
  <c r="AO22" i="6"/>
  <c r="AN22" i="6"/>
  <c r="AM22" i="6"/>
  <c r="AL22" i="6"/>
  <c r="AK22" i="6"/>
  <c r="AJ22" i="6"/>
  <c r="AI22" i="6"/>
  <c r="AH22" i="6"/>
  <c r="AG22" i="6"/>
  <c r="AF22" i="6"/>
  <c r="AE22" i="6"/>
  <c r="AD22" i="6"/>
  <c r="AC22" i="6"/>
  <c r="AB22" i="6"/>
  <c r="AA22" i="6"/>
  <c r="Z22" i="6"/>
  <c r="Y22" i="6"/>
  <c r="X22" i="6"/>
  <c r="W22" i="6"/>
  <c r="V22" i="6"/>
  <c r="U22" i="6"/>
  <c r="T22" i="6"/>
  <c r="S22" i="6"/>
  <c r="R22" i="6"/>
  <c r="Q22" i="6"/>
  <c r="P22" i="6"/>
  <c r="O22" i="6"/>
  <c r="N22" i="6"/>
  <c r="AR21" i="6"/>
  <c r="AQ21" i="6"/>
  <c r="AP21" i="6"/>
  <c r="AO21" i="6"/>
  <c r="AN21" i="6"/>
  <c r="AM21" i="6"/>
  <c r="AL21" i="6"/>
  <c r="AK21" i="6"/>
  <c r="AJ21" i="6"/>
  <c r="AI21" i="6"/>
  <c r="AH21" i="6"/>
  <c r="AG21" i="6"/>
  <c r="AF21" i="6"/>
  <c r="AE21" i="6"/>
  <c r="AD21" i="6"/>
  <c r="AC21" i="6"/>
  <c r="AB21" i="6"/>
  <c r="AA21" i="6"/>
  <c r="Z21" i="6"/>
  <c r="Y21" i="6"/>
  <c r="X21" i="6"/>
  <c r="W21" i="6"/>
  <c r="V21" i="6"/>
  <c r="U21" i="6"/>
  <c r="T21" i="6"/>
  <c r="S21" i="6"/>
  <c r="R21" i="6"/>
  <c r="Q21" i="6"/>
  <c r="P21" i="6"/>
  <c r="O21" i="6"/>
  <c r="N21" i="6"/>
  <c r="AR20" i="6"/>
  <c r="AQ20" i="6"/>
  <c r="AP20" i="6"/>
  <c r="AO20" i="6"/>
  <c r="AN20" i="6"/>
  <c r="AM20" i="6"/>
  <c r="AL20" i="6"/>
  <c r="AK20" i="6"/>
  <c r="AJ20" i="6"/>
  <c r="AI20" i="6"/>
  <c r="AH20" i="6"/>
  <c r="AG20" i="6"/>
  <c r="AF20" i="6"/>
  <c r="AE20" i="6"/>
  <c r="AD20" i="6"/>
  <c r="AC20" i="6"/>
  <c r="AB20" i="6"/>
  <c r="AA20" i="6"/>
  <c r="Z20" i="6"/>
  <c r="Y20" i="6"/>
  <c r="X20" i="6"/>
  <c r="W20" i="6"/>
  <c r="V20" i="6"/>
  <c r="U20" i="6"/>
  <c r="T20" i="6"/>
  <c r="S20" i="6"/>
  <c r="R20" i="6"/>
  <c r="Q20" i="6"/>
  <c r="P20" i="6"/>
  <c r="O20" i="6"/>
  <c r="N20" i="6"/>
  <c r="AR19" i="6"/>
  <c r="AQ19" i="6"/>
  <c r="AP19" i="6"/>
  <c r="AO19" i="6"/>
  <c r="AN19" i="6"/>
  <c r="AM19" i="6"/>
  <c r="AL19" i="6"/>
  <c r="AK19" i="6"/>
  <c r="AJ19" i="6"/>
  <c r="AI19" i="6"/>
  <c r="AH19" i="6"/>
  <c r="AG19" i="6"/>
  <c r="AF19" i="6"/>
  <c r="AE19" i="6"/>
  <c r="AD19" i="6"/>
  <c r="AC19" i="6"/>
  <c r="AB19" i="6"/>
  <c r="AA19" i="6"/>
  <c r="Z19" i="6"/>
  <c r="Y19" i="6"/>
  <c r="X19" i="6"/>
  <c r="W19" i="6"/>
  <c r="V19" i="6"/>
  <c r="U19" i="6"/>
  <c r="T19" i="6"/>
  <c r="S19" i="6"/>
  <c r="R19" i="6"/>
  <c r="Q19" i="6"/>
  <c r="P19" i="6"/>
  <c r="O19" i="6"/>
  <c r="N19" i="6"/>
  <c r="AR18" i="6"/>
  <c r="AQ18" i="6"/>
  <c r="AP18" i="6"/>
  <c r="AO18" i="6"/>
  <c r="AN18" i="6"/>
  <c r="AM18" i="6"/>
  <c r="AL18" i="6"/>
  <c r="AK18" i="6"/>
  <c r="AJ18" i="6"/>
  <c r="AI18" i="6"/>
  <c r="AH18" i="6"/>
  <c r="AG18" i="6"/>
  <c r="AF18" i="6"/>
  <c r="AE18" i="6"/>
  <c r="AD18" i="6"/>
  <c r="AC18" i="6"/>
  <c r="AB18" i="6"/>
  <c r="AA18" i="6"/>
  <c r="Z18" i="6"/>
  <c r="Y18" i="6"/>
  <c r="X18" i="6"/>
  <c r="W18" i="6"/>
  <c r="V18" i="6"/>
  <c r="U18" i="6"/>
  <c r="T18" i="6"/>
  <c r="S18" i="6"/>
  <c r="R18" i="6"/>
  <c r="Q18" i="6"/>
  <c r="P18" i="6"/>
  <c r="O18" i="6"/>
  <c r="N18" i="6"/>
  <c r="AR17" i="6"/>
  <c r="AQ17" i="6"/>
  <c r="AP17" i="6"/>
  <c r="AO17" i="6"/>
  <c r="AN17" i="6"/>
  <c r="AM17" i="6"/>
  <c r="AL17" i="6"/>
  <c r="AK17" i="6"/>
  <c r="AJ17" i="6"/>
  <c r="AI17" i="6"/>
  <c r="AH17" i="6"/>
  <c r="AG17" i="6"/>
  <c r="AF17" i="6"/>
  <c r="AE17" i="6"/>
  <c r="AD17" i="6"/>
  <c r="AC17" i="6"/>
  <c r="AB17" i="6"/>
  <c r="AA17" i="6"/>
  <c r="Z17" i="6"/>
  <c r="Y17" i="6"/>
  <c r="X17" i="6"/>
  <c r="W17" i="6"/>
  <c r="V17" i="6"/>
  <c r="U17" i="6"/>
  <c r="T17" i="6"/>
  <c r="S17" i="6"/>
  <c r="R17" i="6"/>
  <c r="Q17" i="6"/>
  <c r="P17" i="6"/>
  <c r="O17" i="6"/>
  <c r="N17" i="6"/>
  <c r="AR16" i="6"/>
  <c r="AQ16" i="6"/>
  <c r="AP16" i="6"/>
  <c r="AO16" i="6"/>
  <c r="AN16" i="6"/>
  <c r="AM16" i="6"/>
  <c r="AL16" i="6"/>
  <c r="AK16" i="6"/>
  <c r="AJ16" i="6"/>
  <c r="AI16" i="6"/>
  <c r="AH16" i="6"/>
  <c r="AG16" i="6"/>
  <c r="AF16" i="6"/>
  <c r="AE16" i="6"/>
  <c r="AD16" i="6"/>
  <c r="AC16" i="6"/>
  <c r="AB16" i="6"/>
  <c r="AA16" i="6"/>
  <c r="Z16" i="6"/>
  <c r="Y16" i="6"/>
  <c r="X16" i="6"/>
  <c r="W16" i="6"/>
  <c r="V16" i="6"/>
  <c r="U16" i="6"/>
  <c r="T16" i="6"/>
  <c r="S16" i="6"/>
  <c r="R16" i="6"/>
  <c r="Q16" i="6"/>
  <c r="P16" i="6"/>
  <c r="O16" i="6"/>
  <c r="N16" i="6"/>
  <c r="AR15" i="6"/>
  <c r="AQ15" i="6"/>
  <c r="AP15" i="6"/>
  <c r="AO15" i="6"/>
  <c r="AN15" i="6"/>
  <c r="AM15" i="6"/>
  <c r="AL15" i="6"/>
  <c r="AK15" i="6"/>
  <c r="AJ15" i="6"/>
  <c r="AI15" i="6"/>
  <c r="AH15" i="6"/>
  <c r="AG15" i="6"/>
  <c r="AF15" i="6"/>
  <c r="AE15" i="6"/>
  <c r="AD15" i="6"/>
  <c r="AC15" i="6"/>
  <c r="AB15" i="6"/>
  <c r="AA15" i="6"/>
  <c r="Z15" i="6"/>
  <c r="Y15" i="6"/>
  <c r="X15" i="6"/>
  <c r="W15" i="6"/>
  <c r="V15" i="6"/>
  <c r="U15" i="6"/>
  <c r="T15" i="6"/>
  <c r="S15" i="6"/>
  <c r="R15" i="6"/>
  <c r="Q15" i="6"/>
  <c r="P15" i="6"/>
  <c r="O15" i="6"/>
  <c r="N15" i="6"/>
  <c r="AR14" i="6"/>
  <c r="AQ14" i="6"/>
  <c r="AP14" i="6"/>
  <c r="AO14" i="6"/>
  <c r="AN14" i="6"/>
  <c r="AM14" i="6"/>
  <c r="AL14" i="6"/>
  <c r="AK14" i="6"/>
  <c r="AJ14" i="6"/>
  <c r="AI14" i="6"/>
  <c r="AH14" i="6"/>
  <c r="AG14" i="6"/>
  <c r="AF14" i="6"/>
  <c r="AE14" i="6"/>
  <c r="AD14" i="6"/>
  <c r="AC14" i="6"/>
  <c r="AB14" i="6"/>
  <c r="AA14" i="6"/>
  <c r="Z14" i="6"/>
  <c r="Y14" i="6"/>
  <c r="X14" i="6"/>
  <c r="W14" i="6"/>
  <c r="V14" i="6"/>
  <c r="U14" i="6"/>
  <c r="T14" i="6"/>
  <c r="S14" i="6"/>
  <c r="R14" i="6"/>
  <c r="Q14" i="6"/>
  <c r="P14" i="6"/>
  <c r="O14" i="6"/>
  <c r="N14" i="6"/>
  <c r="AR13" i="6"/>
  <c r="AQ13" i="6"/>
  <c r="AP13" i="6"/>
  <c r="AO13" i="6"/>
  <c r="AN13" i="6"/>
  <c r="AM13" i="6"/>
  <c r="AL13" i="6"/>
  <c r="AK13" i="6"/>
  <c r="AJ13" i="6"/>
  <c r="AI13" i="6"/>
  <c r="AH13" i="6"/>
  <c r="AG13" i="6"/>
  <c r="AF13" i="6"/>
  <c r="AE13" i="6"/>
  <c r="AD13" i="6"/>
  <c r="AC13" i="6"/>
  <c r="AB13" i="6"/>
  <c r="AA13" i="6"/>
  <c r="Z13" i="6"/>
  <c r="Y13" i="6"/>
  <c r="X13" i="6"/>
  <c r="W13" i="6"/>
  <c r="V13" i="6"/>
  <c r="U13" i="6"/>
  <c r="T13" i="6"/>
  <c r="S13" i="6"/>
  <c r="R13" i="6"/>
  <c r="Q13" i="6"/>
  <c r="P13" i="6"/>
  <c r="O13" i="6"/>
  <c r="N13" i="6"/>
  <c r="AR12" i="6"/>
  <c r="AQ12" i="6"/>
  <c r="AP12" i="6"/>
  <c r="AO12" i="6"/>
  <c r="AN12" i="6"/>
  <c r="AM12" i="6"/>
  <c r="AL12" i="6"/>
  <c r="AK12" i="6"/>
  <c r="AJ12" i="6"/>
  <c r="AI12" i="6"/>
  <c r="AH12" i="6"/>
  <c r="AG12" i="6"/>
  <c r="AF12" i="6"/>
  <c r="AE12" i="6"/>
  <c r="AD12" i="6"/>
  <c r="AC12" i="6"/>
  <c r="AB12" i="6"/>
  <c r="AA12" i="6"/>
  <c r="Z12" i="6"/>
  <c r="Y12" i="6"/>
  <c r="X12" i="6"/>
  <c r="W12" i="6"/>
  <c r="V12" i="6"/>
  <c r="U12" i="6"/>
  <c r="T12" i="6"/>
  <c r="S12" i="6"/>
  <c r="R12" i="6"/>
  <c r="Q12" i="6"/>
  <c r="P12" i="6"/>
  <c r="O12" i="6"/>
  <c r="N12" i="6"/>
  <c r="AR11" i="6"/>
  <c r="AQ11" i="6"/>
  <c r="AP11" i="6"/>
  <c r="AO11" i="6"/>
  <c r="AN11" i="6"/>
  <c r="AM11" i="6"/>
  <c r="AL11" i="6"/>
  <c r="AK11" i="6"/>
  <c r="AJ11" i="6"/>
  <c r="AI11" i="6"/>
  <c r="AH11" i="6"/>
  <c r="AG11" i="6"/>
  <c r="AF11" i="6"/>
  <c r="AE11" i="6"/>
  <c r="AD11" i="6"/>
  <c r="AC11" i="6"/>
  <c r="AB11" i="6"/>
  <c r="AA11" i="6"/>
  <c r="Z11" i="6"/>
  <c r="Y11" i="6"/>
  <c r="X11" i="6"/>
  <c r="W11" i="6"/>
  <c r="V11" i="6"/>
  <c r="U11" i="6"/>
  <c r="T11" i="6"/>
  <c r="S11" i="6"/>
  <c r="R11" i="6"/>
  <c r="Q11" i="6"/>
  <c r="P11" i="6"/>
  <c r="O11" i="6"/>
  <c r="N11" i="6"/>
  <c r="AR10" i="6"/>
  <c r="AQ10" i="6"/>
  <c r="AP10" i="6"/>
  <c r="AO10" i="6"/>
  <c r="AN10" i="6"/>
  <c r="AM10" i="6"/>
  <c r="AL10" i="6"/>
  <c r="AK10" i="6"/>
  <c r="AJ10" i="6"/>
  <c r="AI10" i="6"/>
  <c r="AH10" i="6"/>
  <c r="AG10" i="6"/>
  <c r="AF10" i="6"/>
  <c r="AE10" i="6"/>
  <c r="AD10" i="6"/>
  <c r="AC10" i="6"/>
  <c r="AB10" i="6"/>
  <c r="AA10" i="6"/>
  <c r="Z10" i="6"/>
  <c r="Y10" i="6"/>
  <c r="X10" i="6"/>
  <c r="W10" i="6"/>
  <c r="V10" i="6"/>
  <c r="U10" i="6"/>
  <c r="T10" i="6"/>
  <c r="S10" i="6"/>
  <c r="R10" i="6"/>
  <c r="Q10" i="6"/>
  <c r="P10" i="6"/>
  <c r="O10" i="6"/>
  <c r="N10" i="6"/>
  <c r="AR9" i="6"/>
  <c r="AQ9" i="6"/>
  <c r="AP9" i="6"/>
  <c r="AO9" i="6"/>
  <c r="AN9" i="6"/>
  <c r="AM9" i="6"/>
  <c r="AL9" i="6"/>
  <c r="AK9" i="6"/>
  <c r="AJ9" i="6"/>
  <c r="AI9" i="6"/>
  <c r="AH9" i="6"/>
  <c r="AG9" i="6"/>
  <c r="AF9" i="6"/>
  <c r="AE9" i="6"/>
  <c r="AD9" i="6"/>
  <c r="AC9" i="6"/>
  <c r="AB9" i="6"/>
  <c r="AA9" i="6"/>
  <c r="Z9" i="6"/>
  <c r="Y9" i="6"/>
  <c r="X9" i="6"/>
  <c r="W9" i="6"/>
  <c r="V9" i="6"/>
  <c r="U9" i="6"/>
  <c r="T9" i="6"/>
  <c r="S9" i="6"/>
  <c r="R9" i="6"/>
  <c r="Q9" i="6"/>
  <c r="P9" i="6"/>
  <c r="O9" i="6"/>
  <c r="N9" i="6"/>
  <c r="AR8" i="6"/>
  <c r="AQ8" i="6"/>
  <c r="AP8" i="6"/>
  <c r="AO8" i="6"/>
  <c r="AN8" i="6"/>
  <c r="AM8" i="6"/>
  <c r="AL8" i="6"/>
  <c r="AK8" i="6"/>
  <c r="AJ8" i="6"/>
  <c r="AI8" i="6"/>
  <c r="AH8" i="6"/>
  <c r="AG8" i="6"/>
  <c r="AF8" i="6"/>
  <c r="AE8" i="6"/>
  <c r="AD8" i="6"/>
  <c r="AC8" i="6"/>
  <c r="AB8" i="6"/>
  <c r="AA8" i="6"/>
  <c r="Z8" i="6"/>
  <c r="Y8" i="6"/>
  <c r="X8" i="6"/>
  <c r="W8" i="6"/>
  <c r="V8" i="6"/>
  <c r="U8" i="6"/>
  <c r="T8" i="6"/>
  <c r="S8" i="6"/>
  <c r="R8" i="6"/>
  <c r="Q8" i="6"/>
  <c r="P8" i="6"/>
  <c r="O8" i="6"/>
  <c r="N8" i="6"/>
  <c r="AR7" i="6"/>
  <c r="AQ7" i="6"/>
  <c r="AP7" i="6"/>
  <c r="AO7" i="6"/>
  <c r="AN7" i="6"/>
  <c r="AM7" i="6"/>
  <c r="AL7" i="6"/>
  <c r="AK7" i="6"/>
  <c r="AJ7" i="6"/>
  <c r="AI7" i="6"/>
  <c r="AH7" i="6"/>
  <c r="AG7" i="6"/>
  <c r="AF7" i="6"/>
  <c r="AE7" i="6"/>
  <c r="AD7" i="6"/>
  <c r="AC7" i="6"/>
  <c r="AB7" i="6"/>
  <c r="AA7" i="6"/>
  <c r="Z7" i="6"/>
  <c r="Y7" i="6"/>
  <c r="X7" i="6"/>
  <c r="W7" i="6"/>
  <c r="V7" i="6"/>
  <c r="U7" i="6"/>
  <c r="T7" i="6"/>
  <c r="S7" i="6"/>
  <c r="R7" i="6"/>
  <c r="Q7" i="6"/>
  <c r="P7" i="6"/>
  <c r="O7" i="6"/>
  <c r="N7"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AR5" i="6"/>
  <c r="AQ5" i="6"/>
  <c r="AP5" i="6"/>
  <c r="AO5" i="6"/>
  <c r="AN5" i="6"/>
  <c r="AM5" i="6"/>
  <c r="AL5" i="6"/>
  <c r="AK5" i="6"/>
  <c r="AJ5" i="6"/>
  <c r="AI5" i="6"/>
  <c r="AH5" i="6"/>
  <c r="AG5" i="6"/>
  <c r="AF5" i="6"/>
  <c r="AE5" i="6"/>
  <c r="AD5" i="6"/>
  <c r="AC5" i="6"/>
  <c r="AB5" i="6"/>
  <c r="AA5" i="6"/>
  <c r="Z5" i="6"/>
  <c r="Y5" i="6"/>
  <c r="X5" i="6"/>
  <c r="W5" i="6"/>
  <c r="V5" i="6"/>
  <c r="U5" i="6"/>
  <c r="T5" i="6"/>
  <c r="S5" i="6"/>
  <c r="R5" i="6"/>
  <c r="Q5" i="6"/>
  <c r="P5" i="6"/>
  <c r="O5" i="6"/>
  <c r="N5" i="6"/>
  <c r="AR4" i="6"/>
  <c r="AQ4" i="6"/>
  <c r="AP4" i="6"/>
  <c r="AO4" i="6"/>
  <c r="AN4" i="6"/>
  <c r="AM4" i="6"/>
  <c r="AL4" i="6"/>
  <c r="AK4" i="6"/>
  <c r="AJ4" i="6"/>
  <c r="AI4" i="6"/>
  <c r="AH4" i="6"/>
  <c r="AG4" i="6"/>
  <c r="AF4" i="6"/>
  <c r="AE4" i="6"/>
  <c r="AD4" i="6"/>
  <c r="AC4" i="6"/>
  <c r="AB4" i="6"/>
  <c r="AA4" i="6"/>
  <c r="Z4" i="6"/>
  <c r="Y4" i="6"/>
  <c r="X4" i="6"/>
  <c r="W4" i="6"/>
  <c r="V4" i="6"/>
  <c r="U4" i="6"/>
  <c r="T4" i="6"/>
  <c r="S4" i="6"/>
  <c r="R4" i="6"/>
  <c r="Q4" i="6"/>
  <c r="P4" i="6"/>
  <c r="O4" i="6"/>
  <c r="N4" i="6"/>
  <c r="AR3" i="6"/>
  <c r="AQ3" i="6"/>
  <c r="AP3" i="6"/>
  <c r="AO3" i="6"/>
  <c r="AN3" i="6"/>
  <c r="AM3" i="6"/>
  <c r="AL3" i="6"/>
  <c r="AK3" i="6"/>
  <c r="AJ3" i="6"/>
  <c r="AI3" i="6"/>
  <c r="AH3" i="6"/>
  <c r="AG3" i="6"/>
  <c r="AF3" i="6"/>
  <c r="AE3" i="6"/>
  <c r="AD3" i="6"/>
  <c r="AC3" i="6"/>
  <c r="AB3" i="6"/>
  <c r="AA3" i="6"/>
  <c r="Z3" i="6"/>
  <c r="Y3" i="6"/>
  <c r="X3" i="6"/>
  <c r="W3" i="6"/>
  <c r="V3" i="6"/>
  <c r="U3" i="6"/>
  <c r="T3" i="6"/>
  <c r="S3" i="6"/>
  <c r="R3" i="6"/>
  <c r="Q3" i="6"/>
  <c r="P3" i="6"/>
  <c r="O3" i="6"/>
  <c r="N3" i="6"/>
  <c r="AR2" i="6"/>
  <c r="AQ2" i="6"/>
  <c r="AP2" i="6"/>
  <c r="AO2" i="6"/>
  <c r="AN2" i="6"/>
  <c r="AM2" i="6"/>
  <c r="AL2" i="6"/>
  <c r="AK2" i="6"/>
  <c r="AJ2" i="6"/>
  <c r="AI2" i="6"/>
  <c r="AH2" i="6"/>
  <c r="AG2" i="6"/>
  <c r="AF2" i="6"/>
  <c r="AE2" i="6"/>
  <c r="AD2" i="6"/>
  <c r="AC2" i="6"/>
  <c r="AB2" i="6"/>
  <c r="AA2" i="6"/>
  <c r="Z2" i="6"/>
  <c r="Y2" i="6"/>
  <c r="X2" i="6"/>
  <c r="W2" i="6"/>
  <c r="V2" i="6"/>
  <c r="U2" i="6"/>
  <c r="T2" i="6"/>
  <c r="S2" i="6"/>
  <c r="R2" i="6"/>
  <c r="Q2" i="6"/>
  <c r="P2" i="6"/>
  <c r="O2" i="6"/>
  <c r="N2" i="6"/>
  <c r="EG110" i="6" l="1"/>
  <c r="EK110" i="6"/>
  <c r="DS110" i="6"/>
  <c r="DT110" i="6"/>
  <c r="DY110" i="6"/>
  <c r="DV110" i="6"/>
  <c r="EH110" i="6"/>
  <c r="EL110" i="6"/>
  <c r="EE110" i="6"/>
  <c r="EM110" i="6"/>
  <c r="EB110" i="6"/>
  <c r="EF110" i="6"/>
  <c r="EN110" i="6"/>
  <c r="A28" i="11"/>
  <c r="A27" i="11"/>
  <c r="A26" i="11"/>
  <c r="A24" i="11"/>
  <c r="A23" i="11"/>
  <c r="A20" i="11"/>
  <c r="A21" i="11"/>
  <c r="EA110" i="6"/>
  <c r="DZ110" i="6"/>
  <c r="A32" i="10"/>
  <c r="A31" i="10"/>
  <c r="A30" i="10"/>
  <c r="A26" i="10"/>
  <c r="A27" i="10"/>
  <c r="A28" i="10"/>
  <c r="A24" i="10"/>
  <c r="A22" i="10"/>
  <c r="A23" i="10"/>
  <c r="DU110" i="6"/>
  <c r="DP110" i="6"/>
  <c r="DO110" i="6"/>
  <c r="DN110" i="6"/>
  <c r="DM110" i="6"/>
  <c r="DJ110" i="6"/>
  <c r="DQ63" i="6"/>
  <c r="DQ110" i="6"/>
  <c r="EC63" i="6"/>
  <c r="EC110" i="6"/>
  <c r="DK63" i="6"/>
  <c r="DK110" i="6"/>
  <c r="DW63" i="6"/>
  <c r="DW110" i="6"/>
  <c r="EI63" i="6"/>
  <c r="EI110" i="6"/>
  <c r="DL110" i="6"/>
  <c r="DR110" i="6"/>
  <c r="DX110" i="6"/>
  <c r="ED110" i="6"/>
  <c r="EJ110" i="6"/>
  <c r="KS110" i="6"/>
  <c r="KM110" i="6"/>
  <c r="KG110" i="6"/>
  <c r="KA110" i="6"/>
  <c r="JU110" i="6"/>
  <c r="JO110" i="6"/>
  <c r="JI110" i="6"/>
  <c r="JC110" i="6"/>
  <c r="IW110" i="6"/>
  <c r="IQ110" i="6"/>
  <c r="IK110" i="6"/>
  <c r="KP110" i="6"/>
  <c r="KL110" i="6"/>
  <c r="KH110" i="6"/>
  <c r="KD110" i="6"/>
  <c r="JZ110" i="6"/>
  <c r="JV110" i="6"/>
  <c r="JR110" i="6"/>
  <c r="JN110" i="6"/>
  <c r="JJ110" i="6"/>
  <c r="JF110" i="6"/>
  <c r="JB110" i="6"/>
  <c r="IX110" i="6"/>
  <c r="IT110" i="6"/>
  <c r="IP110" i="6"/>
  <c r="IL110" i="6"/>
  <c r="KO110" i="6"/>
  <c r="KI110" i="6"/>
  <c r="KC110" i="6"/>
  <c r="JW110" i="6"/>
  <c r="JQ110" i="6"/>
  <c r="JK110" i="6"/>
  <c r="JE110" i="6"/>
  <c r="IY110" i="6"/>
  <c r="IS110" i="6"/>
  <c r="IM110" i="6"/>
  <c r="KR110" i="6"/>
  <c r="KN110" i="6"/>
  <c r="KJ110" i="6"/>
  <c r="KF110" i="6"/>
  <c r="KB110" i="6"/>
  <c r="JX110" i="6"/>
  <c r="JT110" i="6"/>
  <c r="JP110" i="6"/>
  <c r="JL110" i="6"/>
  <c r="JH110" i="6"/>
  <c r="JD110" i="6"/>
  <c r="IZ110" i="6"/>
  <c r="IV110" i="6"/>
  <c r="IR110" i="6"/>
  <c r="IN110" i="6"/>
  <c r="KQ110" i="6"/>
  <c r="KK110" i="6"/>
  <c r="KE110" i="6"/>
  <c r="JY110" i="6"/>
  <c r="JS110" i="6"/>
  <c r="JM110" i="6"/>
  <c r="JG110" i="6"/>
  <c r="JA110" i="6"/>
  <c r="IU110" i="6"/>
  <c r="IO110" i="6"/>
  <c r="KS63" i="6"/>
  <c r="KM63" i="6"/>
  <c r="KG63" i="6"/>
  <c r="KA63" i="6"/>
  <c r="JU63" i="6"/>
  <c r="JO63" i="6"/>
  <c r="JI63" i="6"/>
  <c r="JC63" i="6"/>
  <c r="IW63" i="6"/>
  <c r="IQ63" i="6"/>
  <c r="IK63" i="6"/>
  <c r="KP63" i="6"/>
  <c r="KL63" i="6"/>
  <c r="KH63" i="6"/>
  <c r="KD63" i="6"/>
  <c r="JZ63" i="6"/>
  <c r="JV63" i="6"/>
  <c r="JR63" i="6"/>
  <c r="JN63" i="6"/>
  <c r="JJ63" i="6"/>
  <c r="JF63" i="6"/>
  <c r="JB63" i="6"/>
  <c r="IX63" i="6"/>
  <c r="IT63" i="6"/>
  <c r="IP63" i="6"/>
  <c r="IL63" i="6"/>
  <c r="DL63" i="6"/>
  <c r="DR63" i="6"/>
  <c r="DX63" i="6"/>
  <c r="ED63" i="6"/>
  <c r="EJ63" i="6"/>
  <c r="DM63" i="6"/>
  <c r="DS63" i="6"/>
  <c r="DY63" i="6"/>
  <c r="EE63" i="6"/>
  <c r="EK63" i="6"/>
  <c r="KO63" i="6"/>
  <c r="KI63" i="6"/>
  <c r="KC63" i="6"/>
  <c r="JW63" i="6"/>
  <c r="JQ63" i="6"/>
  <c r="JK63" i="6"/>
  <c r="JE63" i="6"/>
  <c r="IY63" i="6"/>
  <c r="IS63" i="6"/>
  <c r="IM63" i="6"/>
  <c r="DN63" i="6"/>
  <c r="DT63" i="6"/>
  <c r="DZ63" i="6"/>
  <c r="EF63" i="6"/>
  <c r="EL63" i="6"/>
  <c r="KR63" i="6"/>
  <c r="KN63" i="6"/>
  <c r="KJ63" i="6"/>
  <c r="KF63" i="6"/>
  <c r="KB63" i="6"/>
  <c r="JX63" i="6"/>
  <c r="JT63" i="6"/>
  <c r="JP63" i="6"/>
  <c r="JL63" i="6"/>
  <c r="JH63" i="6"/>
  <c r="JD63" i="6"/>
  <c r="IZ63" i="6"/>
  <c r="IV63" i="6"/>
  <c r="IR63" i="6"/>
  <c r="IN63" i="6"/>
  <c r="DO63" i="6"/>
  <c r="DU63" i="6"/>
  <c r="EA63" i="6"/>
  <c r="EG63" i="6"/>
  <c r="EM63" i="6"/>
  <c r="KQ63" i="6"/>
  <c r="KK63" i="6"/>
  <c r="KE63" i="6"/>
  <c r="JY63" i="6"/>
  <c r="JS63" i="6"/>
  <c r="JM63" i="6"/>
  <c r="JG63" i="6"/>
  <c r="JA63" i="6"/>
  <c r="IU63" i="6"/>
  <c r="IO63" i="6"/>
  <c r="DJ63" i="6"/>
  <c r="DP63" i="6"/>
  <c r="DV63" i="6"/>
  <c r="EB63" i="6"/>
  <c r="EH63" i="6"/>
  <c r="EN63" i="6"/>
  <c r="DP61" i="6"/>
  <c r="DJ61" i="6"/>
  <c r="DV61" i="6"/>
  <c r="EC61" i="6"/>
  <c r="DQ61" i="6"/>
  <c r="DW61" i="6"/>
  <c r="DN61" i="6"/>
  <c r="DT61" i="6"/>
  <c r="EI61" i="6"/>
  <c r="DZ61" i="6"/>
  <c r="DK61" i="6"/>
  <c r="EB61" i="6"/>
  <c r="EH61" i="6"/>
  <c r="EN61" i="6"/>
  <c r="EL61" i="6"/>
  <c r="EF61" i="6"/>
  <c r="DL61" i="6"/>
  <c r="DR61" i="6"/>
  <c r="DX61" i="6"/>
  <c r="ED61" i="6"/>
  <c r="EJ61" i="6"/>
  <c r="KS61" i="6"/>
  <c r="KM61" i="6"/>
  <c r="KG61" i="6"/>
  <c r="KA61" i="6"/>
  <c r="JU61" i="6"/>
  <c r="JO61" i="6"/>
  <c r="JI61" i="6"/>
  <c r="JC61" i="6"/>
  <c r="IW61" i="6"/>
  <c r="IQ61" i="6"/>
  <c r="IK61" i="6"/>
  <c r="KP61" i="6"/>
  <c r="KL61" i="6"/>
  <c r="KH61" i="6"/>
  <c r="KD61" i="6"/>
  <c r="JZ61" i="6"/>
  <c r="JV61" i="6"/>
  <c r="JR61" i="6"/>
  <c r="JN61" i="6"/>
  <c r="JJ61" i="6"/>
  <c r="JF61" i="6"/>
  <c r="JB61" i="6"/>
  <c r="IX61" i="6"/>
  <c r="IT61" i="6"/>
  <c r="IP61" i="6"/>
  <c r="IL61" i="6"/>
  <c r="DM61" i="6"/>
  <c r="DS61" i="6"/>
  <c r="DY61" i="6"/>
  <c r="EE61" i="6"/>
  <c r="EK61" i="6"/>
  <c r="KO61" i="6"/>
  <c r="KI61" i="6"/>
  <c r="KC61" i="6"/>
  <c r="JW61" i="6"/>
  <c r="JQ61" i="6"/>
  <c r="JK61" i="6"/>
  <c r="JE61" i="6"/>
  <c r="IY61" i="6"/>
  <c r="IS61" i="6"/>
  <c r="IM61" i="6"/>
  <c r="DO61" i="6"/>
  <c r="DU61" i="6"/>
  <c r="EA61" i="6"/>
  <c r="EG61" i="6"/>
  <c r="EM61" i="6"/>
  <c r="KR61" i="6"/>
  <c r="KN61" i="6"/>
  <c r="KJ61" i="6"/>
  <c r="KF61" i="6"/>
  <c r="KB61" i="6"/>
  <c r="JX61" i="6"/>
  <c r="JT61" i="6"/>
  <c r="JP61" i="6"/>
  <c r="JL61" i="6"/>
  <c r="JH61" i="6"/>
  <c r="JD61" i="6"/>
  <c r="IZ61" i="6"/>
  <c r="IV61" i="6"/>
  <c r="IR61" i="6"/>
  <c r="IN61" i="6"/>
  <c r="KQ61" i="6"/>
  <c r="KK61" i="6"/>
  <c r="KE61" i="6"/>
  <c r="JY61" i="6"/>
  <c r="JS61" i="6"/>
  <c r="JM61" i="6"/>
  <c r="JG61" i="6"/>
  <c r="JA61" i="6"/>
  <c r="IU61" i="6"/>
  <c r="IO61" i="6"/>
  <c r="DP80" i="6"/>
  <c r="EB80" i="6"/>
  <c r="EN80" i="6"/>
  <c r="KJ2" i="6"/>
  <c r="EJ80" i="6"/>
  <c r="DX80" i="6"/>
  <c r="EF80" i="6"/>
  <c r="DL80" i="6"/>
  <c r="DT80" i="6"/>
  <c r="DM80" i="6"/>
  <c r="DQ80" i="6"/>
  <c r="DU80" i="6"/>
  <c r="DY80" i="6"/>
  <c r="EC80" i="6"/>
  <c r="EG80" i="6"/>
  <c r="EK80" i="6"/>
  <c r="KN80" i="6"/>
  <c r="KF80" i="6"/>
  <c r="JX80" i="6"/>
  <c r="JP80" i="6"/>
  <c r="JH80" i="6"/>
  <c r="IZ80" i="6"/>
  <c r="IR80" i="6"/>
  <c r="DJ80" i="6"/>
  <c r="DR80" i="6"/>
  <c r="DZ80" i="6"/>
  <c r="EH80" i="6"/>
  <c r="KP80" i="6"/>
  <c r="KH80" i="6"/>
  <c r="JZ80" i="6"/>
  <c r="JR80" i="6"/>
  <c r="JJ80" i="6"/>
  <c r="JB80" i="6"/>
  <c r="IT80" i="6"/>
  <c r="IL80" i="6"/>
  <c r="DN80" i="6"/>
  <c r="DV80" i="6"/>
  <c r="ED80" i="6"/>
  <c r="EL80" i="6"/>
  <c r="DK80" i="6"/>
  <c r="DO80" i="6"/>
  <c r="DS80" i="6"/>
  <c r="DW80" i="6"/>
  <c r="EA80" i="6"/>
  <c r="EE80" i="6"/>
  <c r="EI80" i="6"/>
  <c r="EM80" i="6"/>
  <c r="KR80" i="6"/>
  <c r="KJ80" i="6"/>
  <c r="KB80" i="6"/>
  <c r="JT80" i="6"/>
  <c r="JL80" i="6"/>
  <c r="JD80" i="6"/>
  <c r="IV80" i="6"/>
  <c r="IN80" i="6"/>
  <c r="KS80" i="6"/>
  <c r="KQ80" i="6"/>
  <c r="KO80" i="6"/>
  <c r="KM80" i="6"/>
  <c r="KK80" i="6"/>
  <c r="KI80" i="6"/>
  <c r="KG80" i="6"/>
  <c r="KE80" i="6"/>
  <c r="KC80" i="6"/>
  <c r="KA80" i="6"/>
  <c r="JY80" i="6"/>
  <c r="JW80" i="6"/>
  <c r="JU80" i="6"/>
  <c r="JS80" i="6"/>
  <c r="JQ80" i="6"/>
  <c r="JO80" i="6"/>
  <c r="JM80" i="6"/>
  <c r="JK80" i="6"/>
  <c r="JI80" i="6"/>
  <c r="JG80" i="6"/>
  <c r="JE80" i="6"/>
  <c r="JC80" i="6"/>
  <c r="JA80" i="6"/>
  <c r="IY80" i="6"/>
  <c r="IW80" i="6"/>
  <c r="IU80" i="6"/>
  <c r="IS80" i="6"/>
  <c r="IQ80" i="6"/>
  <c r="IO80" i="6"/>
  <c r="IM80" i="6"/>
  <c r="IK80" i="6"/>
  <c r="KL2" i="6"/>
  <c r="KL80" i="6"/>
  <c r="KD80" i="6"/>
  <c r="JV80" i="6"/>
  <c r="JN2" i="6"/>
  <c r="JN80" i="6"/>
  <c r="JF80" i="6"/>
  <c r="IX80" i="6"/>
  <c r="IP80" i="6"/>
  <c r="A8" i="9"/>
  <c r="A5" i="9"/>
  <c r="E22" i="10"/>
  <c r="B20" i="11"/>
  <c r="JM2" i="6"/>
  <c r="KG2" i="6"/>
  <c r="IK2" i="6"/>
  <c r="IO2" i="6"/>
  <c r="B9" i="9"/>
  <c r="DJ109" i="6"/>
  <c r="DJ111" i="6"/>
  <c r="DJ112" i="6"/>
  <c r="DL2" i="6"/>
  <c r="DL109" i="6"/>
  <c r="DL111" i="6"/>
  <c r="DN109" i="6"/>
  <c r="DN111" i="6"/>
  <c r="DN112" i="6"/>
  <c r="DP2" i="6"/>
  <c r="DP109" i="6"/>
  <c r="DP111" i="6"/>
  <c r="DR2" i="6"/>
  <c r="DR109" i="6"/>
  <c r="DR111" i="6"/>
  <c r="DR112" i="6"/>
  <c r="DT109" i="6"/>
  <c r="DT111" i="6"/>
  <c r="DV2" i="6"/>
  <c r="DV109" i="6"/>
  <c r="DV111" i="6"/>
  <c r="DV112" i="6"/>
  <c r="DX2" i="6"/>
  <c r="DX109" i="6"/>
  <c r="DX111" i="6"/>
  <c r="DZ109" i="6"/>
  <c r="DZ111" i="6"/>
  <c r="DZ112" i="6"/>
  <c r="EB2" i="6"/>
  <c r="EB109" i="6"/>
  <c r="EB111" i="6"/>
  <c r="ED2" i="6"/>
  <c r="ED109" i="6"/>
  <c r="ED111" i="6"/>
  <c r="ED112" i="6"/>
  <c r="EF109" i="6"/>
  <c r="EF111" i="6"/>
  <c r="EH2" i="6"/>
  <c r="EH109" i="6"/>
  <c r="EH111" i="6"/>
  <c r="EH112" i="6"/>
  <c r="EJ2" i="6"/>
  <c r="EJ109" i="6"/>
  <c r="EJ111" i="6"/>
  <c r="EL109" i="6"/>
  <c r="EL111" i="6"/>
  <c r="EL112" i="6"/>
  <c r="EN2" i="6"/>
  <c r="EN109" i="6"/>
  <c r="EN111" i="6"/>
  <c r="KR109" i="6"/>
  <c r="KR111" i="6"/>
  <c r="KR112" i="6"/>
  <c r="KN109" i="6"/>
  <c r="KN111" i="6"/>
  <c r="KN112" i="6"/>
  <c r="KJ109" i="6"/>
  <c r="KJ111" i="6"/>
  <c r="KJ112" i="6"/>
  <c r="KF109" i="6"/>
  <c r="KF111" i="6"/>
  <c r="KF112" i="6"/>
  <c r="KB109" i="6"/>
  <c r="KB111" i="6"/>
  <c r="KB112" i="6"/>
  <c r="JX109" i="6"/>
  <c r="JX111" i="6"/>
  <c r="JX112" i="6"/>
  <c r="JT109" i="6"/>
  <c r="JT111" i="6"/>
  <c r="JT112" i="6"/>
  <c r="JP109" i="6"/>
  <c r="JP111" i="6"/>
  <c r="JP112" i="6"/>
  <c r="JL109" i="6"/>
  <c r="JL111" i="6"/>
  <c r="JL112" i="6"/>
  <c r="JH109" i="6"/>
  <c r="JH111" i="6"/>
  <c r="JH112" i="6"/>
  <c r="JD109" i="6"/>
  <c r="JD111" i="6"/>
  <c r="JD112" i="6"/>
  <c r="IZ109" i="6"/>
  <c r="IZ111" i="6"/>
  <c r="IZ112" i="6"/>
  <c r="IV109" i="6"/>
  <c r="IV111" i="6"/>
  <c r="IV112" i="6"/>
  <c r="IR109" i="6"/>
  <c r="IR111" i="6"/>
  <c r="IR112" i="6"/>
  <c r="IN109" i="6"/>
  <c r="IN111" i="6"/>
  <c r="IN112" i="6"/>
  <c r="DP112" i="6"/>
  <c r="DX112" i="6"/>
  <c r="EF112" i="6"/>
  <c r="EN112" i="6"/>
  <c r="DK109" i="6"/>
  <c r="DK111" i="6"/>
  <c r="DK112" i="6"/>
  <c r="DM2" i="6"/>
  <c r="DM109" i="6"/>
  <c r="DM111" i="6"/>
  <c r="DM112" i="6"/>
  <c r="DO109" i="6"/>
  <c r="DO111" i="6"/>
  <c r="DO112" i="6"/>
  <c r="DQ2" i="6"/>
  <c r="DQ109" i="6"/>
  <c r="DQ111" i="6"/>
  <c r="DQ112" i="6"/>
  <c r="DS109" i="6"/>
  <c r="DS111" i="6"/>
  <c r="DS112" i="6"/>
  <c r="DU109" i="6"/>
  <c r="DU111" i="6"/>
  <c r="DU112" i="6"/>
  <c r="DW2" i="6"/>
  <c r="DW109" i="6"/>
  <c r="DW111" i="6"/>
  <c r="DW112" i="6"/>
  <c r="DY2" i="6"/>
  <c r="DY109" i="6"/>
  <c r="DY111" i="6"/>
  <c r="DY112" i="6"/>
  <c r="EA109" i="6"/>
  <c r="EA111" i="6"/>
  <c r="EA112" i="6"/>
  <c r="EC2" i="6"/>
  <c r="EC109" i="6"/>
  <c r="EC111" i="6"/>
  <c r="EC112" i="6"/>
  <c r="EE2" i="6"/>
  <c r="EE109" i="6"/>
  <c r="EE111" i="6"/>
  <c r="EE112" i="6"/>
  <c r="EG109" i="6"/>
  <c r="EG111" i="6"/>
  <c r="EG112" i="6"/>
  <c r="EI2" i="6"/>
  <c r="EI109" i="6"/>
  <c r="EI111" i="6"/>
  <c r="EI112" i="6"/>
  <c r="EK2" i="6"/>
  <c r="EK109" i="6"/>
  <c r="EK111" i="6"/>
  <c r="EK112" i="6"/>
  <c r="EM109" i="6"/>
  <c r="EM111" i="6"/>
  <c r="EM112" i="6"/>
  <c r="KS109" i="6"/>
  <c r="KS111" i="6"/>
  <c r="KS112" i="6"/>
  <c r="KQ109" i="6"/>
  <c r="KQ111" i="6"/>
  <c r="KQ112" i="6"/>
  <c r="KO109" i="6"/>
  <c r="KO111" i="6"/>
  <c r="KO112" i="6"/>
  <c r="KM109" i="6"/>
  <c r="KM111" i="6"/>
  <c r="KM112" i="6"/>
  <c r="KK109" i="6"/>
  <c r="KK111" i="6"/>
  <c r="KK112" i="6"/>
  <c r="KI109" i="6"/>
  <c r="KI111" i="6"/>
  <c r="KI112" i="6"/>
  <c r="KG109" i="6"/>
  <c r="KG111" i="6"/>
  <c r="KG112" i="6"/>
  <c r="KE109" i="6"/>
  <c r="KE111" i="6"/>
  <c r="KE112" i="6"/>
  <c r="KC109" i="6"/>
  <c r="KC111" i="6"/>
  <c r="KC112" i="6"/>
  <c r="KA109" i="6"/>
  <c r="KA111" i="6"/>
  <c r="KA112" i="6"/>
  <c r="JY109" i="6"/>
  <c r="JY111" i="6"/>
  <c r="JY112" i="6"/>
  <c r="JW109" i="6"/>
  <c r="JW111" i="6"/>
  <c r="JW112" i="6"/>
  <c r="JU109" i="6"/>
  <c r="JU111" i="6"/>
  <c r="JU112" i="6"/>
  <c r="JS109" i="6"/>
  <c r="JS111" i="6"/>
  <c r="JS112" i="6"/>
  <c r="JQ109" i="6"/>
  <c r="JQ111" i="6"/>
  <c r="JQ112" i="6"/>
  <c r="JO109" i="6"/>
  <c r="JO111" i="6"/>
  <c r="JO112" i="6"/>
  <c r="JM109" i="6"/>
  <c r="JM111" i="6"/>
  <c r="JM112" i="6"/>
  <c r="JK109" i="6"/>
  <c r="JK111" i="6"/>
  <c r="JK112" i="6"/>
  <c r="JI109" i="6"/>
  <c r="JI111" i="6"/>
  <c r="JI112" i="6"/>
  <c r="JG109" i="6"/>
  <c r="JG111" i="6"/>
  <c r="JG112" i="6"/>
  <c r="JE109" i="6"/>
  <c r="JE111" i="6"/>
  <c r="JE112" i="6"/>
  <c r="JC109" i="6"/>
  <c r="JC111" i="6"/>
  <c r="JC112" i="6"/>
  <c r="JA109" i="6"/>
  <c r="JA111" i="6"/>
  <c r="JA112" i="6"/>
  <c r="IY109" i="6"/>
  <c r="IY111" i="6"/>
  <c r="IY112" i="6"/>
  <c r="IW109" i="6"/>
  <c r="IW111" i="6"/>
  <c r="IW112" i="6"/>
  <c r="IU109" i="6"/>
  <c r="IU111" i="6"/>
  <c r="IU112" i="6"/>
  <c r="IS109" i="6"/>
  <c r="IS111" i="6"/>
  <c r="IS112" i="6"/>
  <c r="IQ109" i="6"/>
  <c r="IQ111" i="6"/>
  <c r="IQ112" i="6"/>
  <c r="IO109" i="6"/>
  <c r="IO111" i="6"/>
  <c r="IO112" i="6"/>
  <c r="IM109" i="6"/>
  <c r="IM111" i="6"/>
  <c r="IM112" i="6"/>
  <c r="IK109" i="6"/>
  <c r="IK111" i="6"/>
  <c r="IK112" i="6"/>
  <c r="KP109" i="6"/>
  <c r="KP111" i="6"/>
  <c r="KP112" i="6"/>
  <c r="KL109" i="6"/>
  <c r="KL111" i="6"/>
  <c r="KL112" i="6"/>
  <c r="KH109" i="6"/>
  <c r="KH111" i="6"/>
  <c r="KH112" i="6"/>
  <c r="KD109" i="6"/>
  <c r="KD111" i="6"/>
  <c r="KD112" i="6"/>
  <c r="JZ109" i="6"/>
  <c r="JZ111" i="6"/>
  <c r="JZ112" i="6"/>
  <c r="JV109" i="6"/>
  <c r="JV111" i="6"/>
  <c r="JV112" i="6"/>
  <c r="JR109" i="6"/>
  <c r="JR111" i="6"/>
  <c r="JR112" i="6"/>
  <c r="JN109" i="6"/>
  <c r="JN111" i="6"/>
  <c r="JN112" i="6"/>
  <c r="JJ109" i="6"/>
  <c r="JJ111" i="6"/>
  <c r="JJ112" i="6"/>
  <c r="JF109" i="6"/>
  <c r="JF111" i="6"/>
  <c r="JF112" i="6"/>
  <c r="JB109" i="6"/>
  <c r="JB111" i="6"/>
  <c r="JB112" i="6"/>
  <c r="IX109" i="6"/>
  <c r="IX111" i="6"/>
  <c r="IX112" i="6"/>
  <c r="IT109" i="6"/>
  <c r="IT111" i="6"/>
  <c r="IT112" i="6"/>
  <c r="IP109" i="6"/>
  <c r="IP111" i="6"/>
  <c r="IP112" i="6"/>
  <c r="IL109" i="6"/>
  <c r="IL111" i="6"/>
  <c r="IL112" i="6"/>
  <c r="DL112" i="6"/>
  <c r="DT112" i="6"/>
  <c r="EB112" i="6"/>
  <c r="EJ112" i="6"/>
  <c r="KD2" i="6"/>
  <c r="KS2" i="6"/>
  <c r="KR2" i="6"/>
  <c r="KQ2" i="6"/>
  <c r="KP3" i="6"/>
  <c r="KP2" i="6"/>
  <c r="KO2" i="6"/>
  <c r="KN2" i="6"/>
  <c r="KM3" i="6"/>
  <c r="KM2" i="6"/>
  <c r="KK2" i="6"/>
  <c r="KI2" i="6"/>
  <c r="KH2" i="6"/>
  <c r="KE2" i="6"/>
  <c r="KF2" i="6"/>
  <c r="KA2" i="6"/>
  <c r="KC2" i="6"/>
  <c r="KD5" i="6"/>
  <c r="JZ2" i="6"/>
  <c r="KB2" i="6"/>
  <c r="KC3" i="6"/>
  <c r="JY2" i="6"/>
  <c r="JZ3" i="6"/>
  <c r="JV2" i="6"/>
  <c r="JW2" i="6"/>
  <c r="JX2" i="6"/>
  <c r="JU2" i="6"/>
  <c r="JT2" i="6"/>
  <c r="JS2" i="6"/>
  <c r="JR2" i="6"/>
  <c r="JQ2" i="6"/>
  <c r="JO2" i="6"/>
  <c r="JP2" i="6"/>
  <c r="JK2" i="6"/>
  <c r="JN5" i="6"/>
  <c r="JJ3" i="6"/>
  <c r="JL2" i="6"/>
  <c r="JJ2" i="6"/>
  <c r="JG2" i="6"/>
  <c r="JH2" i="6"/>
  <c r="JI3" i="6"/>
  <c r="JI2" i="6"/>
  <c r="JF2" i="6"/>
  <c r="JE2" i="6"/>
  <c r="JD2" i="6"/>
  <c r="JB2" i="6"/>
  <c r="JC2" i="6"/>
  <c r="JA2" i="6"/>
  <c r="IZ2" i="6"/>
  <c r="IY2" i="6"/>
  <c r="IX5" i="6"/>
  <c r="IX2" i="6"/>
  <c r="IU2" i="6"/>
  <c r="IW2" i="6"/>
  <c r="IV2" i="6"/>
  <c r="IT3" i="6"/>
  <c r="IT2" i="6"/>
  <c r="IQ2" i="6"/>
  <c r="IS2" i="6"/>
  <c r="IR2" i="6"/>
  <c r="IP2" i="6"/>
  <c r="IN2" i="6"/>
  <c r="IL2" i="6"/>
  <c r="IM2" i="6"/>
  <c r="IK6" i="6"/>
  <c r="IK5" i="6"/>
  <c r="IK3" i="6"/>
  <c r="IK4" i="6"/>
  <c r="IP6" i="6"/>
  <c r="JF6" i="6"/>
  <c r="JV6" i="6"/>
  <c r="KL6" i="6"/>
  <c r="IW6" i="6"/>
  <c r="JM4" i="6"/>
  <c r="KS5" i="6"/>
  <c r="KB103" i="6"/>
  <c r="KR15" i="6"/>
  <c r="JA8" i="6"/>
  <c r="JQ6" i="6"/>
  <c r="KG4" i="6"/>
  <c r="JB4" i="6"/>
  <c r="JR4" i="6"/>
  <c r="KH4" i="6"/>
  <c r="IQ5" i="6"/>
  <c r="JG4" i="6"/>
  <c r="JW7" i="6"/>
  <c r="IS4" i="6"/>
  <c r="JY6" i="6"/>
  <c r="KO5" i="6"/>
  <c r="IN6" i="6"/>
  <c r="IN8" i="6"/>
  <c r="IN13" i="6"/>
  <c r="IN16" i="6"/>
  <c r="IN22" i="6"/>
  <c r="IN24" i="6"/>
  <c r="IN27" i="6"/>
  <c r="IN33" i="6"/>
  <c r="IN36" i="6"/>
  <c r="IN44" i="6"/>
  <c r="IN39" i="6"/>
  <c r="IN47" i="6"/>
  <c r="IN54" i="6"/>
  <c r="IN53" i="6"/>
  <c r="IN62" i="6"/>
  <c r="IN68" i="6"/>
  <c r="IN67" i="6"/>
  <c r="IN75" i="6"/>
  <c r="IN81" i="6"/>
  <c r="IN82" i="6"/>
  <c r="IN90" i="6"/>
  <c r="IN98" i="6"/>
  <c r="IN106" i="6"/>
  <c r="IN86" i="6"/>
  <c r="IN95" i="6"/>
  <c r="IN103" i="6"/>
  <c r="IN3" i="6"/>
  <c r="IN9" i="6"/>
  <c r="IN15" i="6"/>
  <c r="IN18" i="6"/>
  <c r="IN19" i="6"/>
  <c r="IN26" i="6"/>
  <c r="IN29" i="6"/>
  <c r="IN35" i="6"/>
  <c r="IN38" i="6"/>
  <c r="IN46" i="6"/>
  <c r="IN41" i="6"/>
  <c r="IN49" i="6"/>
  <c r="IN56" i="6"/>
  <c r="IN55" i="6"/>
  <c r="IN60" i="6"/>
  <c r="IN70" i="6"/>
  <c r="IN69" i="6"/>
  <c r="IN74" i="6"/>
  <c r="IN83" i="6"/>
  <c r="IN89" i="6"/>
  <c r="IN92" i="6"/>
  <c r="IN100" i="6"/>
  <c r="IN108" i="6"/>
  <c r="IN84" i="6"/>
  <c r="IN97" i="6"/>
  <c r="IN105" i="6"/>
  <c r="IN5" i="6"/>
  <c r="IN10" i="6"/>
  <c r="IN17" i="6"/>
  <c r="IN12" i="6"/>
  <c r="IN21" i="6"/>
  <c r="IN28" i="6"/>
  <c r="IN31" i="6"/>
  <c r="IN32" i="6"/>
  <c r="IN40" i="6"/>
  <c r="IN48" i="6"/>
  <c r="IN43" i="6"/>
  <c r="IN50" i="6"/>
  <c r="IN58" i="6"/>
  <c r="IN57" i="6"/>
  <c r="IN64" i="6"/>
  <c r="IN72" i="6"/>
  <c r="IN71" i="6"/>
  <c r="IN76" i="6"/>
  <c r="IN85" i="6"/>
  <c r="IN79" i="6"/>
  <c r="IN94" i="6"/>
  <c r="IN102" i="6"/>
  <c r="IN91" i="6"/>
  <c r="IN99" i="6"/>
  <c r="IN107" i="6"/>
  <c r="IN4" i="6"/>
  <c r="IN7" i="6"/>
  <c r="IN11" i="6"/>
  <c r="IN14" i="6"/>
  <c r="IN20" i="6"/>
  <c r="IN23" i="6"/>
  <c r="IN25" i="6"/>
  <c r="IN30" i="6"/>
  <c r="IN34" i="6"/>
  <c r="IN42" i="6"/>
  <c r="IN37" i="6"/>
  <c r="IN45" i="6"/>
  <c r="IN52" i="6"/>
  <c r="IN51" i="6"/>
  <c r="IN59" i="6"/>
  <c r="IN66" i="6"/>
  <c r="IN65" i="6"/>
  <c r="IN73" i="6"/>
  <c r="IN78" i="6"/>
  <c r="IN87" i="6"/>
  <c r="IN88" i="6"/>
  <c r="IN96" i="6"/>
  <c r="IN104" i="6"/>
  <c r="IN77" i="6"/>
  <c r="IN93" i="6"/>
  <c r="IN101" i="6"/>
  <c r="JD7" i="6"/>
  <c r="JD10" i="6"/>
  <c r="JD17" i="6"/>
  <c r="JD12" i="6"/>
  <c r="JD21" i="6"/>
  <c r="JD28" i="6"/>
  <c r="JD30" i="6"/>
  <c r="JD32" i="6"/>
  <c r="JD40" i="6"/>
  <c r="JD48" i="6"/>
  <c r="JD43" i="6"/>
  <c r="JD52" i="6"/>
  <c r="JD49" i="6"/>
  <c r="JD57" i="6"/>
  <c r="JD64" i="6"/>
  <c r="JD72" i="6"/>
  <c r="JD71" i="6"/>
  <c r="JD76" i="6"/>
  <c r="JD85" i="6"/>
  <c r="JD79" i="6"/>
  <c r="JD96" i="6"/>
  <c r="JD104" i="6"/>
  <c r="JD77" i="6"/>
  <c r="JD91" i="6"/>
  <c r="JD99" i="6"/>
  <c r="JD107" i="6"/>
  <c r="JD4" i="6"/>
  <c r="JD8" i="6"/>
  <c r="JD11" i="6"/>
  <c r="JD14" i="6"/>
  <c r="JD20" i="6"/>
  <c r="JD23" i="6"/>
  <c r="JD25" i="6"/>
  <c r="JD31" i="6"/>
  <c r="JD34" i="6"/>
  <c r="JD42" i="6"/>
  <c r="JD37" i="6"/>
  <c r="JD45" i="6"/>
  <c r="JD54" i="6"/>
  <c r="JD51" i="6"/>
  <c r="JD59" i="6"/>
  <c r="JD66" i="6"/>
  <c r="JD65" i="6"/>
  <c r="JD73" i="6"/>
  <c r="JD78" i="6"/>
  <c r="JD87" i="6"/>
  <c r="JD90" i="6"/>
  <c r="JD98" i="6"/>
  <c r="JD106" i="6"/>
  <c r="JD86" i="6"/>
  <c r="JD93" i="6"/>
  <c r="JD101" i="6"/>
  <c r="JD3" i="6"/>
  <c r="JD6" i="6"/>
  <c r="JD13" i="6"/>
  <c r="JD16" i="6"/>
  <c r="JD22" i="6"/>
  <c r="JD24" i="6"/>
  <c r="JD27" i="6"/>
  <c r="JD33" i="6"/>
  <c r="JD36" i="6"/>
  <c r="JD44" i="6"/>
  <c r="JD39" i="6"/>
  <c r="JD47" i="6"/>
  <c r="JD56" i="6"/>
  <c r="JD53" i="6"/>
  <c r="JD62" i="6"/>
  <c r="JD68" i="6"/>
  <c r="JD67" i="6"/>
  <c r="JD75" i="6"/>
  <c r="JD81" i="6"/>
  <c r="JD82" i="6"/>
  <c r="JD92" i="6"/>
  <c r="JD100" i="6"/>
  <c r="JD108" i="6"/>
  <c r="JD88" i="6"/>
  <c r="JD95" i="6"/>
  <c r="JD103" i="6"/>
  <c r="JD5" i="6"/>
  <c r="JD9" i="6"/>
  <c r="JD15" i="6"/>
  <c r="JD18" i="6"/>
  <c r="JD19" i="6"/>
  <c r="JD26" i="6"/>
  <c r="JD29" i="6"/>
  <c r="JD35" i="6"/>
  <c r="JD38" i="6"/>
  <c r="JD46" i="6"/>
  <c r="JD41" i="6"/>
  <c r="JD50" i="6"/>
  <c r="JD58" i="6"/>
  <c r="JD55" i="6"/>
  <c r="JD60" i="6"/>
  <c r="JD70" i="6"/>
  <c r="JD69" i="6"/>
  <c r="JD74" i="6"/>
  <c r="JD83" i="6"/>
  <c r="JD89" i="6"/>
  <c r="JD94" i="6"/>
  <c r="JD102" i="6"/>
  <c r="JD84" i="6"/>
  <c r="JD97" i="6"/>
  <c r="JD105" i="6"/>
  <c r="JT5" i="6"/>
  <c r="JT9" i="6"/>
  <c r="JT15" i="6"/>
  <c r="JT18" i="6"/>
  <c r="JT19" i="6"/>
  <c r="JT26" i="6"/>
  <c r="JT29" i="6"/>
  <c r="JT35" i="6"/>
  <c r="JT38" i="6"/>
  <c r="JT46" i="6"/>
  <c r="JT41" i="6"/>
  <c r="JT50" i="6"/>
  <c r="JT58" i="6"/>
  <c r="JT55" i="6"/>
  <c r="JT60" i="6"/>
  <c r="JT70" i="6"/>
  <c r="JT69" i="6"/>
  <c r="JT76" i="6"/>
  <c r="JT85" i="6"/>
  <c r="JT79" i="6"/>
  <c r="JT96" i="6"/>
  <c r="JT104" i="6"/>
  <c r="JT77" i="6"/>
  <c r="JT84" i="6"/>
  <c r="JT97" i="6"/>
  <c r="JT105" i="6"/>
  <c r="JT7" i="6"/>
  <c r="JT10" i="6"/>
  <c r="JT17" i="6"/>
  <c r="JT12" i="6"/>
  <c r="JT21" i="6"/>
  <c r="JT28" i="6"/>
  <c r="JT30" i="6"/>
  <c r="JT32" i="6"/>
  <c r="JT40" i="6"/>
  <c r="JT48" i="6"/>
  <c r="JT43" i="6"/>
  <c r="JT52" i="6"/>
  <c r="JT49" i="6"/>
  <c r="JT57" i="6"/>
  <c r="JT64" i="6"/>
  <c r="JT72" i="6"/>
  <c r="JT71" i="6"/>
  <c r="JT78" i="6"/>
  <c r="JT87" i="6"/>
  <c r="JT90" i="6"/>
  <c r="JT98" i="6"/>
  <c r="JT106" i="6"/>
  <c r="JT86" i="6"/>
  <c r="JT91" i="6"/>
  <c r="JT99" i="6"/>
  <c r="JT107" i="6"/>
  <c r="JT4" i="6"/>
  <c r="JT8" i="6"/>
  <c r="JT11" i="6"/>
  <c r="JT14" i="6"/>
  <c r="JT20" i="6"/>
  <c r="JT23" i="6"/>
  <c r="JT25" i="6"/>
  <c r="JT31" i="6"/>
  <c r="JT34" i="6"/>
  <c r="JT42" i="6"/>
  <c r="JT37" i="6"/>
  <c r="JT45" i="6"/>
  <c r="JT54" i="6"/>
  <c r="JT51" i="6"/>
  <c r="JT59" i="6"/>
  <c r="JT66" i="6"/>
  <c r="JT65" i="6"/>
  <c r="JT73" i="6"/>
  <c r="JT81" i="6"/>
  <c r="JT82" i="6"/>
  <c r="JT92" i="6"/>
  <c r="JT100" i="6"/>
  <c r="JT108" i="6"/>
  <c r="JT88" i="6"/>
  <c r="JT93" i="6"/>
  <c r="JT101" i="6"/>
  <c r="JT3" i="6"/>
  <c r="JT6" i="6"/>
  <c r="JT13" i="6"/>
  <c r="JT16" i="6"/>
  <c r="JT22" i="6"/>
  <c r="JT24" i="6"/>
  <c r="JT27" i="6"/>
  <c r="JT33" i="6"/>
  <c r="JT36" i="6"/>
  <c r="JT44" i="6"/>
  <c r="JT39" i="6"/>
  <c r="JT47" i="6"/>
  <c r="JT56" i="6"/>
  <c r="JT53" i="6"/>
  <c r="JT62" i="6"/>
  <c r="JT68" i="6"/>
  <c r="JT67" i="6"/>
  <c r="JT74" i="6"/>
  <c r="JT83" i="6"/>
  <c r="JT89" i="6"/>
  <c r="JT94" i="6"/>
  <c r="JT102" i="6"/>
  <c r="JT75" i="6"/>
  <c r="JT95" i="6"/>
  <c r="JT103" i="6"/>
  <c r="KJ5" i="6"/>
  <c r="KJ9" i="6"/>
  <c r="KJ15" i="6"/>
  <c r="KJ18" i="6"/>
  <c r="KJ19" i="6"/>
  <c r="KJ26" i="6"/>
  <c r="KJ29" i="6"/>
  <c r="KJ35" i="6"/>
  <c r="KJ38" i="6"/>
  <c r="KJ46" i="6"/>
  <c r="KJ41" i="6"/>
  <c r="KJ50" i="6"/>
  <c r="KJ58" i="6"/>
  <c r="KJ55" i="6"/>
  <c r="KJ60" i="6"/>
  <c r="KJ70" i="6"/>
  <c r="KJ69" i="6"/>
  <c r="KJ76" i="6"/>
  <c r="KJ85" i="6"/>
  <c r="KJ79" i="6"/>
  <c r="KJ96" i="6"/>
  <c r="KJ104" i="6"/>
  <c r="KJ86" i="6"/>
  <c r="KJ91" i="6"/>
  <c r="KJ99" i="6"/>
  <c r="KJ107" i="6"/>
  <c r="KJ7" i="6"/>
  <c r="KJ10" i="6"/>
  <c r="KJ17" i="6"/>
  <c r="KJ12" i="6"/>
  <c r="KJ21" i="6"/>
  <c r="KJ28" i="6"/>
  <c r="KJ30" i="6"/>
  <c r="KJ32" i="6"/>
  <c r="KJ40" i="6"/>
  <c r="KJ48" i="6"/>
  <c r="KJ43" i="6"/>
  <c r="KJ52" i="6"/>
  <c r="KJ49" i="6"/>
  <c r="KJ57" i="6"/>
  <c r="KJ64" i="6"/>
  <c r="KJ72" i="6"/>
  <c r="KJ71" i="6"/>
  <c r="KJ78" i="6"/>
  <c r="KJ87" i="6"/>
  <c r="KJ90" i="6"/>
  <c r="KJ98" i="6"/>
  <c r="KJ106" i="6"/>
  <c r="KJ88" i="6"/>
  <c r="KJ93" i="6"/>
  <c r="KJ101" i="6"/>
  <c r="KJ4" i="6"/>
  <c r="KJ8" i="6"/>
  <c r="KJ11" i="6"/>
  <c r="KJ14" i="6"/>
  <c r="KJ20" i="6"/>
  <c r="KJ23" i="6"/>
  <c r="KJ25" i="6"/>
  <c r="KJ31" i="6"/>
  <c r="KJ34" i="6"/>
  <c r="KJ42" i="6"/>
  <c r="KJ37" i="6"/>
  <c r="KJ45" i="6"/>
  <c r="KJ54" i="6"/>
  <c r="KJ51" i="6"/>
  <c r="KJ59" i="6"/>
  <c r="KJ66" i="6"/>
  <c r="KJ65" i="6"/>
  <c r="KJ73" i="6"/>
  <c r="KJ81" i="6"/>
  <c r="KJ82" i="6"/>
  <c r="KJ92" i="6"/>
  <c r="KJ100" i="6"/>
  <c r="KJ108" i="6"/>
  <c r="KJ75" i="6"/>
  <c r="KJ95" i="6"/>
  <c r="KJ103" i="6"/>
  <c r="KS104" i="6"/>
  <c r="KS96" i="6"/>
  <c r="KS101" i="6"/>
  <c r="KS93" i="6"/>
  <c r="KS85" i="6"/>
  <c r="KS76" i="6"/>
  <c r="KS82" i="6"/>
  <c r="KS74" i="6"/>
  <c r="KS66" i="6"/>
  <c r="KS71" i="6"/>
  <c r="KS62" i="6"/>
  <c r="KS53" i="6"/>
  <c r="KS56" i="6"/>
  <c r="KS47" i="6"/>
  <c r="KS39" i="6"/>
  <c r="KS44" i="6"/>
  <c r="KS35" i="6"/>
  <c r="KS34" i="6"/>
  <c r="KS26" i="6"/>
  <c r="KS27" i="6"/>
  <c r="KS21" i="6"/>
  <c r="KS16" i="6"/>
  <c r="KS12" i="6"/>
  <c r="KS9" i="6"/>
  <c r="KS6" i="6"/>
  <c r="KO102" i="6"/>
  <c r="KO94" i="6"/>
  <c r="KO107" i="6"/>
  <c r="KO99" i="6"/>
  <c r="KO91" i="6"/>
  <c r="KO83" i="6"/>
  <c r="KO88" i="6"/>
  <c r="KO79" i="6"/>
  <c r="KO72" i="6"/>
  <c r="KO64" i="6"/>
  <c r="KO67" i="6"/>
  <c r="KO59" i="6"/>
  <c r="KO51" i="6"/>
  <c r="KO54" i="6"/>
  <c r="KO45" i="6"/>
  <c r="KO37" i="6"/>
  <c r="KO42" i="6"/>
  <c r="KO33" i="6"/>
  <c r="KO32" i="6"/>
  <c r="KO24" i="6"/>
  <c r="KO25" i="6"/>
  <c r="KO21" i="6"/>
  <c r="KO14" i="6"/>
  <c r="KO11" i="6"/>
  <c r="KO7" i="6"/>
  <c r="KO4" i="6"/>
  <c r="KG108" i="6"/>
  <c r="KG100" i="6"/>
  <c r="KG92" i="6"/>
  <c r="KG105" i="6"/>
  <c r="KG97" i="6"/>
  <c r="KG89" i="6"/>
  <c r="KG81" i="6"/>
  <c r="KG86" i="6"/>
  <c r="KG77" i="6"/>
  <c r="KG70" i="6"/>
  <c r="KG73" i="6"/>
  <c r="KG65" i="6"/>
  <c r="KG57" i="6"/>
  <c r="KG49" i="6"/>
  <c r="KG52" i="6"/>
  <c r="KG43" i="6"/>
  <c r="KG48" i="6"/>
  <c r="KG40" i="6"/>
  <c r="KG31" i="6"/>
  <c r="KG23" i="6"/>
  <c r="KG24" i="6"/>
  <c r="KG22" i="6"/>
  <c r="KG19" i="6"/>
  <c r="KG13" i="6"/>
  <c r="KG10" i="6"/>
  <c r="KG7" i="6"/>
  <c r="KC106" i="6"/>
  <c r="KC98" i="6"/>
  <c r="KC90" i="6"/>
  <c r="KC103" i="6"/>
  <c r="KC95" i="6"/>
  <c r="KC87" i="6"/>
  <c r="KC78" i="6"/>
  <c r="KC84" i="6"/>
  <c r="KC75" i="6"/>
  <c r="KC68" i="6"/>
  <c r="KC73" i="6"/>
  <c r="KC65" i="6"/>
  <c r="KC55" i="6"/>
  <c r="KC58" i="6"/>
  <c r="KC50" i="6"/>
  <c r="KC41" i="6"/>
  <c r="KC46" i="6"/>
  <c r="KC38" i="6"/>
  <c r="KC36" i="6"/>
  <c r="KC28" i="6"/>
  <c r="KC29" i="6"/>
  <c r="KC20" i="6"/>
  <c r="KC18" i="6"/>
  <c r="KC13" i="6"/>
  <c r="KC8" i="6"/>
  <c r="KC5" i="6"/>
  <c r="JY104" i="6"/>
  <c r="JY96" i="6"/>
  <c r="JY101" i="6"/>
  <c r="JY93" i="6"/>
  <c r="JY85" i="6"/>
  <c r="JY76" i="6"/>
  <c r="JY82" i="6"/>
  <c r="JY74" i="6"/>
  <c r="JY66" i="6"/>
  <c r="JY69" i="6"/>
  <c r="JY62" i="6"/>
  <c r="JY53" i="6"/>
  <c r="JY56" i="6"/>
  <c r="JY47" i="6"/>
  <c r="JY39" i="6"/>
  <c r="JY44" i="6"/>
  <c r="JY35" i="6"/>
  <c r="JY34" i="6"/>
  <c r="JY26" i="6"/>
  <c r="JY27" i="6"/>
  <c r="JY20" i="6"/>
  <c r="JY16" i="6"/>
  <c r="JY12" i="6"/>
  <c r="JY8" i="6"/>
  <c r="JY5" i="6"/>
  <c r="JQ102" i="6"/>
  <c r="JQ94" i="6"/>
  <c r="JQ107" i="6"/>
  <c r="JQ99" i="6"/>
  <c r="JQ91" i="6"/>
  <c r="JQ83" i="6"/>
  <c r="JQ88" i="6"/>
  <c r="JQ79" i="6"/>
  <c r="JQ72" i="6"/>
  <c r="JQ64" i="6"/>
  <c r="JQ67" i="6"/>
  <c r="JQ59" i="6"/>
  <c r="JQ51" i="6"/>
  <c r="JQ54" i="6"/>
  <c r="JQ45" i="6"/>
  <c r="JQ37" i="6"/>
  <c r="JQ42" i="6"/>
  <c r="JQ33" i="6"/>
  <c r="JQ32" i="6"/>
  <c r="JQ26" i="6"/>
  <c r="JQ24" i="6"/>
  <c r="JQ21" i="6"/>
  <c r="JQ14" i="6"/>
  <c r="JQ11" i="6"/>
  <c r="JQ3" i="6"/>
  <c r="JQ4" i="6"/>
  <c r="JM108" i="6"/>
  <c r="JM100" i="6"/>
  <c r="JM92" i="6"/>
  <c r="JM105" i="6"/>
  <c r="JM97" i="6"/>
  <c r="JM89" i="6"/>
  <c r="JM81" i="6"/>
  <c r="JM86" i="6"/>
  <c r="JM77" i="6"/>
  <c r="JM70" i="6"/>
  <c r="JM60" i="6"/>
  <c r="JM67" i="6"/>
  <c r="JM57" i="6"/>
  <c r="JM49" i="6"/>
  <c r="JM52" i="6"/>
  <c r="JM43" i="6"/>
  <c r="JM48" i="6"/>
  <c r="JM40" i="6"/>
  <c r="JM31" i="6"/>
  <c r="JM30" i="6"/>
  <c r="JM29" i="6"/>
  <c r="JM22" i="6"/>
  <c r="JM17" i="6"/>
  <c r="JM15" i="6"/>
  <c r="JM10" i="6"/>
  <c r="JM3" i="6"/>
  <c r="JI106" i="6"/>
  <c r="JI98" i="6"/>
  <c r="JI90" i="6"/>
  <c r="JI103" i="6"/>
  <c r="JI95" i="6"/>
  <c r="JI87" i="6"/>
  <c r="JI78" i="6"/>
  <c r="JI84" i="6"/>
  <c r="JI75" i="6"/>
  <c r="JI68" i="6"/>
  <c r="JI71" i="6"/>
  <c r="JI60" i="6"/>
  <c r="JI55" i="6"/>
  <c r="JI58" i="6"/>
  <c r="JI50" i="6"/>
  <c r="JI41" i="6"/>
  <c r="JI46" i="6"/>
  <c r="JI38" i="6"/>
  <c r="JI36" i="6"/>
  <c r="JI28" i="6"/>
  <c r="JI27" i="6"/>
  <c r="JI22" i="6"/>
  <c r="JI18" i="6"/>
  <c r="JI15" i="6"/>
  <c r="JI9" i="6"/>
  <c r="JI6" i="6"/>
  <c r="JA104" i="6"/>
  <c r="JA96" i="6"/>
  <c r="JA101" i="6"/>
  <c r="JA93" i="6"/>
  <c r="JA85" i="6"/>
  <c r="JA76" i="6"/>
  <c r="JA82" i="6"/>
  <c r="JA74" i="6"/>
  <c r="JA66" i="6"/>
  <c r="JA69" i="6"/>
  <c r="JA62" i="6"/>
  <c r="JA53" i="6"/>
  <c r="JA54" i="6"/>
  <c r="JA47" i="6"/>
  <c r="JA39" i="6"/>
  <c r="JA44" i="6"/>
  <c r="JA35" i="6"/>
  <c r="JA34" i="6"/>
  <c r="JA28" i="6"/>
  <c r="JA25" i="6"/>
  <c r="JA17" i="6"/>
  <c r="JA16" i="6"/>
  <c r="JA12" i="6"/>
  <c r="JA3" i="6"/>
  <c r="JA6" i="6"/>
  <c r="IW102" i="6"/>
  <c r="IW94" i="6"/>
  <c r="IW107" i="6"/>
  <c r="IW99" i="6"/>
  <c r="IW91" i="6"/>
  <c r="IW83" i="6"/>
  <c r="IW75" i="6"/>
  <c r="IW82" i="6"/>
  <c r="IW72" i="6"/>
  <c r="IW64" i="6"/>
  <c r="IW67" i="6"/>
  <c r="IW57" i="6"/>
  <c r="IW60" i="6"/>
  <c r="IW52" i="6"/>
  <c r="IW45" i="6"/>
  <c r="IW37" i="6"/>
  <c r="IW42" i="6"/>
  <c r="IW35" i="6"/>
  <c r="IW32" i="6"/>
  <c r="IW23" i="6"/>
  <c r="IW24" i="6"/>
  <c r="IW21" i="6"/>
  <c r="IW14" i="6"/>
  <c r="IW11" i="6"/>
  <c r="IW3" i="6"/>
  <c r="IW4" i="6"/>
  <c r="IS108" i="6"/>
  <c r="IS100" i="6"/>
  <c r="IS92" i="6"/>
  <c r="IS105" i="6"/>
  <c r="IS97" i="6"/>
  <c r="IS89" i="6"/>
  <c r="IS81" i="6"/>
  <c r="IS86" i="6"/>
  <c r="IS77" i="6"/>
  <c r="IS70" i="6"/>
  <c r="IS73" i="6"/>
  <c r="IS65" i="6"/>
  <c r="IS55" i="6"/>
  <c r="IS58" i="6"/>
  <c r="IS50" i="6"/>
  <c r="IS43" i="6"/>
  <c r="IS48" i="6"/>
  <c r="IS40" i="6"/>
  <c r="IS31" i="6"/>
  <c r="IS30" i="6"/>
  <c r="IS29" i="6"/>
  <c r="IS24" i="6"/>
  <c r="IS21" i="6"/>
  <c r="IS13" i="6"/>
  <c r="IS10" i="6"/>
  <c r="IS8" i="6"/>
  <c r="IK106" i="6"/>
  <c r="IK98" i="6"/>
  <c r="IK90" i="6"/>
  <c r="IK76" i="6"/>
  <c r="IK103" i="6"/>
  <c r="IK95" i="6"/>
  <c r="IK78" i="6"/>
  <c r="IK84" i="6"/>
  <c r="IK75" i="6"/>
  <c r="IK68" i="6"/>
  <c r="IK73" i="6"/>
  <c r="IK65" i="6"/>
  <c r="IK54" i="6"/>
  <c r="IK57" i="6"/>
  <c r="IK48" i="6"/>
  <c r="IK40" i="6"/>
  <c r="IK45" i="6"/>
  <c r="IK37" i="6"/>
  <c r="IK36" i="6"/>
  <c r="IK28" i="6"/>
  <c r="IK25" i="6"/>
  <c r="IK18" i="6"/>
  <c r="IK17" i="6"/>
  <c r="IK13" i="6"/>
  <c r="IK9" i="6"/>
  <c r="KM101" i="6"/>
  <c r="KM93" i="6"/>
  <c r="KM106" i="6"/>
  <c r="KM98" i="6"/>
  <c r="KM90" i="6"/>
  <c r="KM82" i="6"/>
  <c r="KM87" i="6"/>
  <c r="KM78" i="6"/>
  <c r="KM69" i="6"/>
  <c r="KM74" i="6"/>
  <c r="KM66" i="6"/>
  <c r="KM56" i="6"/>
  <c r="KM59" i="6"/>
  <c r="KM51" i="6"/>
  <c r="KM44" i="6"/>
  <c r="KM47" i="6"/>
  <c r="KM39" i="6"/>
  <c r="KM32" i="6"/>
  <c r="KM31" i="6"/>
  <c r="KM28" i="6"/>
  <c r="KM21" i="6"/>
  <c r="KM20" i="6"/>
  <c r="KM14" i="6"/>
  <c r="KM9" i="6"/>
  <c r="KM7" i="6"/>
  <c r="JW107" i="6"/>
  <c r="JW99" i="6"/>
  <c r="JW91" i="6"/>
  <c r="JW104" i="6"/>
  <c r="JW96" i="6"/>
  <c r="JW88" i="6"/>
  <c r="JW79" i="6"/>
  <c r="JW85" i="6"/>
  <c r="JW76" i="6"/>
  <c r="JW67" i="6"/>
  <c r="JW72" i="6"/>
  <c r="JW64" i="6"/>
  <c r="JW54" i="6"/>
  <c r="JW57" i="6"/>
  <c r="JW49" i="6"/>
  <c r="JW42" i="6"/>
  <c r="JW45" i="6"/>
  <c r="JW37" i="6"/>
  <c r="JW30" i="6"/>
  <c r="JW29" i="6"/>
  <c r="JW26" i="6"/>
  <c r="JW19" i="6"/>
  <c r="JW17" i="6"/>
  <c r="JW13" i="6"/>
  <c r="JW10" i="6"/>
  <c r="JW4" i="6"/>
  <c r="JG103" i="6"/>
  <c r="JG95" i="6"/>
  <c r="JG102" i="6"/>
  <c r="JG94" i="6"/>
  <c r="JG86" i="6"/>
  <c r="JG77" i="6"/>
  <c r="JG81" i="6"/>
  <c r="JG73" i="6"/>
  <c r="JG65" i="6"/>
  <c r="JG70" i="6"/>
  <c r="JG60" i="6"/>
  <c r="JG52" i="6"/>
  <c r="JG55" i="6"/>
  <c r="JG48" i="6"/>
  <c r="JG40" i="6"/>
  <c r="JG43" i="6"/>
  <c r="JG36" i="6"/>
  <c r="JG35" i="6"/>
  <c r="JG27" i="6"/>
  <c r="JG26" i="6"/>
  <c r="JG18" i="6"/>
  <c r="JG15" i="6"/>
  <c r="JG11" i="6"/>
  <c r="JG8" i="6"/>
  <c r="JG5" i="6"/>
  <c r="IQ101" i="6"/>
  <c r="IQ93" i="6"/>
  <c r="IQ108" i="6"/>
  <c r="IQ100" i="6"/>
  <c r="IQ92" i="6"/>
  <c r="IQ84" i="6"/>
  <c r="IQ87" i="6"/>
  <c r="IQ78" i="6"/>
  <c r="IQ71" i="6"/>
  <c r="IQ62" i="6"/>
  <c r="IQ68" i="6"/>
  <c r="IQ58" i="6"/>
  <c r="IQ50" i="6"/>
  <c r="IQ53" i="6"/>
  <c r="IQ44" i="6"/>
  <c r="IQ49" i="6"/>
  <c r="IQ41" i="6"/>
  <c r="IQ34" i="6"/>
  <c r="IQ33" i="6"/>
  <c r="IQ25" i="6"/>
  <c r="IQ23" i="6"/>
  <c r="IQ20" i="6"/>
  <c r="IQ16" i="6"/>
  <c r="IQ12" i="6"/>
  <c r="IQ8" i="6"/>
  <c r="IQ3" i="6"/>
  <c r="KP108" i="6"/>
  <c r="KP100" i="6"/>
  <c r="KP92" i="6"/>
  <c r="KP81" i="6"/>
  <c r="KP103" i="6"/>
  <c r="KP95" i="6"/>
  <c r="KP83" i="6"/>
  <c r="KP86" i="6"/>
  <c r="KP77" i="6"/>
  <c r="KP70" i="6"/>
  <c r="KP62" i="6"/>
  <c r="KP67" i="6"/>
  <c r="KP56" i="6"/>
  <c r="KP59" i="6"/>
  <c r="KP51" i="6"/>
  <c r="KP44" i="6"/>
  <c r="KP47" i="6"/>
  <c r="KP39" i="6"/>
  <c r="KP31" i="6"/>
  <c r="KP29" i="6"/>
  <c r="KP24" i="6"/>
  <c r="KP20" i="6"/>
  <c r="KP19" i="6"/>
  <c r="KP14" i="6"/>
  <c r="KP9" i="6"/>
  <c r="KP6" i="6"/>
  <c r="KL106" i="6"/>
  <c r="KL98" i="6"/>
  <c r="KL90" i="6"/>
  <c r="KL87" i="6"/>
  <c r="KL105" i="6"/>
  <c r="KL97" i="6"/>
  <c r="KL89" i="6"/>
  <c r="KL84" i="6"/>
  <c r="KL75" i="6"/>
  <c r="KL68" i="6"/>
  <c r="KL71" i="6"/>
  <c r="KL62" i="6"/>
  <c r="KL54" i="6"/>
  <c r="KL57" i="6"/>
  <c r="KL49" i="6"/>
  <c r="KL42" i="6"/>
  <c r="KL45" i="6"/>
  <c r="KL37" i="6"/>
  <c r="KL36" i="6"/>
  <c r="KL30" i="6"/>
  <c r="KL27" i="6"/>
  <c r="KL23" i="6"/>
  <c r="KL17" i="6"/>
  <c r="KL14" i="6"/>
  <c r="KL10" i="6"/>
  <c r="KL4" i="6"/>
  <c r="KH104" i="6"/>
  <c r="KH96" i="6"/>
  <c r="KH83" i="6"/>
  <c r="KH101" i="6"/>
  <c r="KH93" i="6"/>
  <c r="KH78" i="6"/>
  <c r="KH82" i="6"/>
  <c r="KH74" i="6"/>
  <c r="KH66" i="6"/>
  <c r="KH71" i="6"/>
  <c r="KH60" i="6"/>
  <c r="KH52" i="6"/>
  <c r="KH55" i="6"/>
  <c r="KH48" i="6"/>
  <c r="KH40" i="6"/>
  <c r="KH43" i="6"/>
  <c r="KH35" i="6"/>
  <c r="KH36" i="6"/>
  <c r="KH28" i="6"/>
  <c r="KH25" i="6"/>
  <c r="KH23" i="6"/>
  <c r="KH15" i="6"/>
  <c r="KH12" i="6"/>
  <c r="KH8" i="6"/>
  <c r="KH5" i="6"/>
  <c r="KD102" i="6"/>
  <c r="KD94" i="6"/>
  <c r="KD88" i="6"/>
  <c r="KD107" i="6"/>
  <c r="KD99" i="6"/>
  <c r="KD91" i="6"/>
  <c r="KD78" i="6"/>
  <c r="KD79" i="6"/>
  <c r="KD72" i="6"/>
  <c r="KD64" i="6"/>
  <c r="KD67" i="6"/>
  <c r="KD58" i="6"/>
  <c r="KD50" i="6"/>
  <c r="KD53" i="6"/>
  <c r="KD46" i="6"/>
  <c r="KD38" i="6"/>
  <c r="KD41" i="6"/>
  <c r="KD33" i="6"/>
  <c r="KD34" i="6"/>
  <c r="KD26" i="6"/>
  <c r="KD22" i="6"/>
  <c r="KD19" i="6"/>
  <c r="KD13" i="6"/>
  <c r="KD9" i="6"/>
  <c r="KD7" i="6"/>
  <c r="KD3" i="6"/>
  <c r="JZ108" i="6"/>
  <c r="JZ100" i="6"/>
  <c r="JZ92" i="6"/>
  <c r="JZ81" i="6"/>
  <c r="JZ103" i="6"/>
  <c r="JZ95" i="6"/>
  <c r="JZ83" i="6"/>
  <c r="JZ86" i="6"/>
  <c r="JZ77" i="6"/>
  <c r="JZ70" i="6"/>
  <c r="JZ62" i="6"/>
  <c r="JZ67" i="6"/>
  <c r="JZ56" i="6"/>
  <c r="JZ59" i="6"/>
  <c r="JZ51" i="6"/>
  <c r="JZ44" i="6"/>
  <c r="JZ47" i="6"/>
  <c r="JZ39" i="6"/>
  <c r="JZ31" i="6"/>
  <c r="JZ29" i="6"/>
  <c r="JZ24" i="6"/>
  <c r="JZ20" i="6"/>
  <c r="JZ19" i="6"/>
  <c r="JZ14" i="6"/>
  <c r="JZ9" i="6"/>
  <c r="JZ6" i="6"/>
  <c r="JV106" i="6"/>
  <c r="JV98" i="6"/>
  <c r="JV90" i="6"/>
  <c r="JV87" i="6"/>
  <c r="JV105" i="6"/>
  <c r="JV97" i="6"/>
  <c r="JV89" i="6"/>
  <c r="JV84" i="6"/>
  <c r="JV75" i="6"/>
  <c r="JV68" i="6"/>
  <c r="JV71" i="6"/>
  <c r="JV62" i="6"/>
  <c r="JV54" i="6"/>
  <c r="JV57" i="6"/>
  <c r="JV49" i="6"/>
  <c r="JV42" i="6"/>
  <c r="JV45" i="6"/>
  <c r="JV37" i="6"/>
  <c r="JV36" i="6"/>
  <c r="JV30" i="6"/>
  <c r="JV27" i="6"/>
  <c r="JV23" i="6"/>
  <c r="JV17" i="6"/>
  <c r="JV14" i="6"/>
  <c r="JV10" i="6"/>
  <c r="JV4" i="6"/>
  <c r="JR104" i="6"/>
  <c r="JR96" i="6"/>
  <c r="JR83" i="6"/>
  <c r="JR101" i="6"/>
  <c r="JR93" i="6"/>
  <c r="JR78" i="6"/>
  <c r="JR82" i="6"/>
  <c r="JR74" i="6"/>
  <c r="JR66" i="6"/>
  <c r="JR71" i="6"/>
  <c r="JR60" i="6"/>
  <c r="JR52" i="6"/>
  <c r="JR55" i="6"/>
  <c r="JR48" i="6"/>
  <c r="JR40" i="6"/>
  <c r="JR43" i="6"/>
  <c r="JR35" i="6"/>
  <c r="JR36" i="6"/>
  <c r="JR28" i="6"/>
  <c r="JR24" i="6"/>
  <c r="JR23" i="6"/>
  <c r="JR15" i="6"/>
  <c r="JR12" i="6"/>
  <c r="JR7" i="6"/>
  <c r="JR5" i="6"/>
  <c r="JN102" i="6"/>
  <c r="JN94" i="6"/>
  <c r="JN88" i="6"/>
  <c r="JN107" i="6"/>
  <c r="JN99" i="6"/>
  <c r="JN91" i="6"/>
  <c r="JN78" i="6"/>
  <c r="JN79" i="6"/>
  <c r="JN72" i="6"/>
  <c r="JN64" i="6"/>
  <c r="JN67" i="6"/>
  <c r="JN58" i="6"/>
  <c r="JN50" i="6"/>
  <c r="JN53" i="6"/>
  <c r="JN46" i="6"/>
  <c r="JN38" i="6"/>
  <c r="JN41" i="6"/>
  <c r="JN33" i="6"/>
  <c r="JN34" i="6"/>
  <c r="JN26" i="6"/>
  <c r="JN22" i="6"/>
  <c r="JN19" i="6"/>
  <c r="JN13" i="6"/>
  <c r="JN9" i="6"/>
  <c r="JN8" i="6"/>
  <c r="JN3" i="6"/>
  <c r="JJ108" i="6"/>
  <c r="JJ100" i="6"/>
  <c r="JJ92" i="6"/>
  <c r="JJ81" i="6"/>
  <c r="JJ103" i="6"/>
  <c r="JJ95" i="6"/>
  <c r="JJ83" i="6"/>
  <c r="JJ86" i="6"/>
  <c r="JJ77" i="6"/>
  <c r="JJ70" i="6"/>
  <c r="JJ62" i="6"/>
  <c r="JJ67" i="6"/>
  <c r="JJ56" i="6"/>
  <c r="JJ59" i="6"/>
  <c r="JJ51" i="6"/>
  <c r="JJ44" i="6"/>
  <c r="JJ47" i="6"/>
  <c r="JJ39" i="6"/>
  <c r="JJ31" i="6"/>
  <c r="JJ29" i="6"/>
  <c r="JJ27" i="6"/>
  <c r="JJ20" i="6"/>
  <c r="JJ19" i="6"/>
  <c r="JJ14" i="6"/>
  <c r="JJ9" i="6"/>
  <c r="JJ6" i="6"/>
  <c r="JF106" i="6"/>
  <c r="JF98" i="6"/>
  <c r="JF90" i="6"/>
  <c r="JF87" i="6"/>
  <c r="JF105" i="6"/>
  <c r="JF97" i="6"/>
  <c r="JF89" i="6"/>
  <c r="JF86" i="6"/>
  <c r="JF77" i="6"/>
  <c r="JF68" i="6"/>
  <c r="JF71" i="6"/>
  <c r="JF62" i="6"/>
  <c r="JF54" i="6"/>
  <c r="JF57" i="6"/>
  <c r="JF49" i="6"/>
  <c r="JF42" i="6"/>
  <c r="JF45" i="6"/>
  <c r="JF37" i="6"/>
  <c r="JF36" i="6"/>
  <c r="JF30" i="6"/>
  <c r="JF25" i="6"/>
  <c r="JF23" i="6"/>
  <c r="JF17" i="6"/>
  <c r="JF14" i="6"/>
  <c r="JF10" i="6"/>
  <c r="JF4" i="6"/>
  <c r="JB104" i="6"/>
  <c r="JB96" i="6"/>
  <c r="JB83" i="6"/>
  <c r="JB101" i="6"/>
  <c r="JB93" i="6"/>
  <c r="JB78" i="6"/>
  <c r="JB82" i="6"/>
  <c r="JB74" i="6"/>
  <c r="JB66" i="6"/>
  <c r="JB71" i="6"/>
  <c r="JB60" i="6"/>
  <c r="JB52" i="6"/>
  <c r="JB55" i="6"/>
  <c r="JB48" i="6"/>
  <c r="JB40" i="6"/>
  <c r="JB43" i="6"/>
  <c r="JB35" i="6"/>
  <c r="JB34" i="6"/>
  <c r="JB26" i="6"/>
  <c r="JB24" i="6"/>
  <c r="JB23" i="6"/>
  <c r="JB15" i="6"/>
  <c r="JB12" i="6"/>
  <c r="JB7" i="6"/>
  <c r="JB5" i="6"/>
  <c r="IX102" i="6"/>
  <c r="IX94" i="6"/>
  <c r="IX81" i="6"/>
  <c r="IX107" i="6"/>
  <c r="IX99" i="6"/>
  <c r="IX91" i="6"/>
  <c r="IX78" i="6"/>
  <c r="IX82" i="6"/>
  <c r="IX72" i="6"/>
  <c r="IX64" i="6"/>
  <c r="IX67" i="6"/>
  <c r="IX58" i="6"/>
  <c r="IX50" i="6"/>
  <c r="IX53" i="6"/>
  <c r="IX44" i="6"/>
  <c r="IX49" i="6"/>
  <c r="IX41" i="6"/>
  <c r="IX33" i="6"/>
  <c r="IX31" i="6"/>
  <c r="IX29" i="6"/>
  <c r="IX22" i="6"/>
  <c r="IX21" i="6"/>
  <c r="IX13" i="6"/>
  <c r="IX11" i="6"/>
  <c r="IX8" i="6"/>
  <c r="IX3" i="6"/>
  <c r="IT108" i="6"/>
  <c r="IT100" i="6"/>
  <c r="IT92" i="6"/>
  <c r="IT81" i="6"/>
  <c r="IT103" i="6"/>
  <c r="IT95" i="6"/>
  <c r="IT89" i="6"/>
  <c r="IT86" i="6"/>
  <c r="IT77" i="6"/>
  <c r="IT70" i="6"/>
  <c r="IT62" i="6"/>
  <c r="IT67" i="6"/>
  <c r="IT56" i="6"/>
  <c r="IT59" i="6"/>
  <c r="IT51" i="6"/>
  <c r="IT42" i="6"/>
  <c r="IT47" i="6"/>
  <c r="IT39" i="6"/>
  <c r="IT31" i="6"/>
  <c r="IT30" i="6"/>
  <c r="IT27" i="6"/>
  <c r="IT20" i="6"/>
  <c r="IT21" i="6"/>
  <c r="IT14" i="6"/>
  <c r="IT10" i="6"/>
  <c r="IT6" i="6"/>
  <c r="IP106" i="6"/>
  <c r="IP98" i="6"/>
  <c r="IP90" i="6"/>
  <c r="IP78" i="6"/>
  <c r="IP105" i="6"/>
  <c r="IP97" i="6"/>
  <c r="IP89" i="6"/>
  <c r="IP86" i="6"/>
  <c r="IP77" i="6"/>
  <c r="IP68" i="6"/>
  <c r="IP71" i="6"/>
  <c r="IP62" i="6"/>
  <c r="IP54" i="6"/>
  <c r="IP57" i="6"/>
  <c r="IP48" i="6"/>
  <c r="IP40" i="6"/>
  <c r="IP45" i="6"/>
  <c r="IP37" i="6"/>
  <c r="IP34" i="6"/>
  <c r="IP28" i="6"/>
  <c r="IP25" i="6"/>
  <c r="IP23" i="6"/>
  <c r="IP17" i="6"/>
  <c r="IP14" i="6"/>
  <c r="IP7" i="6"/>
  <c r="IP4" i="6"/>
  <c r="KR107" i="6"/>
  <c r="KR95" i="6"/>
  <c r="KR88" i="6"/>
  <c r="KR102" i="6"/>
  <c r="KR90" i="6"/>
  <c r="KR74" i="6"/>
  <c r="KR78" i="6"/>
  <c r="KR65" i="6"/>
  <c r="KR64" i="6"/>
  <c r="KR55" i="6"/>
  <c r="KR54" i="6"/>
  <c r="KR43" i="6"/>
  <c r="KR46" i="6"/>
  <c r="KR35" i="6"/>
  <c r="KR16" i="6"/>
  <c r="KJ84" i="6"/>
  <c r="KJ89" i="6"/>
  <c r="KJ68" i="6"/>
  <c r="KJ47" i="6"/>
  <c r="KJ33" i="6"/>
  <c r="KJ16" i="6"/>
  <c r="IU7" i="6"/>
  <c r="IU10" i="6"/>
  <c r="IU13" i="6"/>
  <c r="IU17" i="6"/>
  <c r="IU22" i="6"/>
  <c r="IU26" i="6"/>
  <c r="IU29" i="6"/>
  <c r="IU32" i="6"/>
  <c r="IU37" i="6"/>
  <c r="IU45" i="6"/>
  <c r="IU40" i="6"/>
  <c r="IU48" i="6"/>
  <c r="IU57" i="6"/>
  <c r="IU54" i="6"/>
  <c r="IU62" i="6"/>
  <c r="IU70" i="6"/>
  <c r="IU67" i="6"/>
  <c r="IU75" i="6"/>
  <c r="IU83" i="6"/>
  <c r="IU79" i="6"/>
  <c r="IU88" i="6"/>
  <c r="IU96" i="6"/>
  <c r="IU104" i="6"/>
  <c r="IU89" i="6"/>
  <c r="IU97" i="6"/>
  <c r="IU105" i="6"/>
  <c r="IU4" i="6"/>
  <c r="IU9" i="6"/>
  <c r="IU14" i="6"/>
  <c r="IU19" i="6"/>
  <c r="IU21" i="6"/>
  <c r="IU28" i="6"/>
  <c r="IU31" i="6"/>
  <c r="IU34" i="6"/>
  <c r="IU39" i="6"/>
  <c r="IU47" i="6"/>
  <c r="IU42" i="6"/>
  <c r="IU51" i="6"/>
  <c r="IU59" i="6"/>
  <c r="IU56" i="6"/>
  <c r="IU64" i="6"/>
  <c r="IU72" i="6"/>
  <c r="IU69" i="6"/>
  <c r="IU76" i="6"/>
  <c r="IU85" i="6"/>
  <c r="IU82" i="6"/>
  <c r="IU90" i="6"/>
  <c r="IU98" i="6"/>
  <c r="IU106" i="6"/>
  <c r="IU91" i="6"/>
  <c r="IU99" i="6"/>
  <c r="IU107" i="6"/>
  <c r="IU3" i="6"/>
  <c r="IU6" i="6"/>
  <c r="IU12" i="6"/>
  <c r="IU16" i="6"/>
  <c r="IU18" i="6"/>
  <c r="IU23" i="6"/>
  <c r="IU25" i="6"/>
  <c r="IU33" i="6"/>
  <c r="IU36" i="6"/>
  <c r="IU41" i="6"/>
  <c r="IU49" i="6"/>
  <c r="IU44" i="6"/>
  <c r="IU53" i="6"/>
  <c r="IU50" i="6"/>
  <c r="IU58" i="6"/>
  <c r="IU66" i="6"/>
  <c r="IU74" i="6"/>
  <c r="IU71" i="6"/>
  <c r="IU78" i="6"/>
  <c r="IU87" i="6"/>
  <c r="IU84" i="6"/>
  <c r="IU92" i="6"/>
  <c r="IU100" i="6"/>
  <c r="IU108" i="6"/>
  <c r="IU93" i="6"/>
  <c r="IU101" i="6"/>
  <c r="IU5" i="6"/>
  <c r="IU8" i="6"/>
  <c r="IU11" i="6"/>
  <c r="IU15" i="6"/>
  <c r="IU20" i="6"/>
  <c r="IU24" i="6"/>
  <c r="IU27" i="6"/>
  <c r="IU35" i="6"/>
  <c r="IU30" i="6"/>
  <c r="IU43" i="6"/>
  <c r="IU38" i="6"/>
  <c r="IU46" i="6"/>
  <c r="IU55" i="6"/>
  <c r="IU52" i="6"/>
  <c r="IU60" i="6"/>
  <c r="IU68" i="6"/>
  <c r="IU65" i="6"/>
  <c r="IU73" i="6"/>
  <c r="IU81" i="6"/>
  <c r="IU77" i="6"/>
  <c r="IU86" i="6"/>
  <c r="IU94" i="6"/>
  <c r="IU102" i="6"/>
  <c r="IU95" i="6"/>
  <c r="IU103" i="6"/>
  <c r="JK4" i="6"/>
  <c r="JK9" i="6"/>
  <c r="JK14" i="6"/>
  <c r="JK18" i="6"/>
  <c r="JK21" i="6"/>
  <c r="JK28" i="6"/>
  <c r="JK31" i="6"/>
  <c r="JK34" i="6"/>
  <c r="JK39" i="6"/>
  <c r="JK47" i="6"/>
  <c r="JK44" i="6"/>
  <c r="JK51" i="6"/>
  <c r="JK59" i="6"/>
  <c r="JK56" i="6"/>
  <c r="JK64" i="6"/>
  <c r="JK72" i="6"/>
  <c r="JK69" i="6"/>
  <c r="JK78" i="6"/>
  <c r="JK87" i="6"/>
  <c r="JK82" i="6"/>
  <c r="JK90" i="6"/>
  <c r="JK98" i="6"/>
  <c r="JK106" i="6"/>
  <c r="JK91" i="6"/>
  <c r="JK99" i="6"/>
  <c r="JK107" i="6"/>
  <c r="JK3" i="6"/>
  <c r="JK6" i="6"/>
  <c r="JK12" i="6"/>
  <c r="JK16" i="6"/>
  <c r="JK20" i="6"/>
  <c r="JK23" i="6"/>
  <c r="JK25" i="6"/>
  <c r="JK33" i="6"/>
  <c r="JK36" i="6"/>
  <c r="JK41" i="6"/>
  <c r="JK38" i="6"/>
  <c r="JK46" i="6"/>
  <c r="JK53" i="6"/>
  <c r="JK50" i="6"/>
  <c r="JK58" i="6"/>
  <c r="JK66" i="6"/>
  <c r="JK74" i="6"/>
  <c r="JK71" i="6"/>
  <c r="JK81" i="6"/>
  <c r="JK75" i="6"/>
  <c r="JK84" i="6"/>
  <c r="JK92" i="6"/>
  <c r="JK100" i="6"/>
  <c r="JK108" i="6"/>
  <c r="JK93" i="6"/>
  <c r="JK101" i="6"/>
  <c r="JK5" i="6"/>
  <c r="JK8" i="6"/>
  <c r="JK11" i="6"/>
  <c r="JK15" i="6"/>
  <c r="JK22" i="6"/>
  <c r="JK24" i="6"/>
  <c r="JK27" i="6"/>
  <c r="JK35" i="6"/>
  <c r="JK30" i="6"/>
  <c r="JK43" i="6"/>
  <c r="JK40" i="6"/>
  <c r="JK48" i="6"/>
  <c r="JK55" i="6"/>
  <c r="JK52" i="6"/>
  <c r="JK60" i="6"/>
  <c r="JK68" i="6"/>
  <c r="JK65" i="6"/>
  <c r="JK73" i="6"/>
  <c r="JK83" i="6"/>
  <c r="JK77" i="6"/>
  <c r="JK86" i="6"/>
  <c r="JK94" i="6"/>
  <c r="JK102" i="6"/>
  <c r="JK95" i="6"/>
  <c r="JK103" i="6"/>
  <c r="JK7" i="6"/>
  <c r="JK10" i="6"/>
  <c r="JK13" i="6"/>
  <c r="JK17" i="6"/>
  <c r="JK19" i="6"/>
  <c r="JK26" i="6"/>
  <c r="JK29" i="6"/>
  <c r="JK32" i="6"/>
  <c r="JK37" i="6"/>
  <c r="JK45" i="6"/>
  <c r="JK42" i="6"/>
  <c r="JK49" i="6"/>
  <c r="JK57" i="6"/>
  <c r="JK54" i="6"/>
  <c r="JK62" i="6"/>
  <c r="JK70" i="6"/>
  <c r="JK67" i="6"/>
  <c r="JK76" i="6"/>
  <c r="JK85" i="6"/>
  <c r="JK79" i="6"/>
  <c r="JK88" i="6"/>
  <c r="JK96" i="6"/>
  <c r="JK104" i="6"/>
  <c r="JK89" i="6"/>
  <c r="JK97" i="6"/>
  <c r="JK105" i="6"/>
  <c r="KA3" i="6"/>
  <c r="KA6" i="6"/>
  <c r="KA12" i="6"/>
  <c r="KA16" i="6"/>
  <c r="KA20" i="6"/>
  <c r="KA23" i="6"/>
  <c r="KA25" i="6"/>
  <c r="KA33" i="6"/>
  <c r="KA36" i="6"/>
  <c r="KA41" i="6"/>
  <c r="KA38" i="6"/>
  <c r="KA46" i="6"/>
  <c r="KA53" i="6"/>
  <c r="KA50" i="6"/>
  <c r="KA58" i="6"/>
  <c r="KA66" i="6"/>
  <c r="KA74" i="6"/>
  <c r="KA71" i="6"/>
  <c r="KA81" i="6"/>
  <c r="KA75" i="6"/>
  <c r="KA84" i="6"/>
  <c r="KA92" i="6"/>
  <c r="KA100" i="6"/>
  <c r="KA108" i="6"/>
  <c r="KA95" i="6"/>
  <c r="KA103" i="6"/>
  <c r="KA5" i="6"/>
  <c r="KA8" i="6"/>
  <c r="KA11" i="6"/>
  <c r="KA15" i="6"/>
  <c r="KA22" i="6"/>
  <c r="KA24" i="6"/>
  <c r="KA27" i="6"/>
  <c r="KA35" i="6"/>
  <c r="KA30" i="6"/>
  <c r="KA43" i="6"/>
  <c r="KA40" i="6"/>
  <c r="KA48" i="6"/>
  <c r="KA55" i="6"/>
  <c r="KA52" i="6"/>
  <c r="KA60" i="6"/>
  <c r="KA68" i="6"/>
  <c r="KA65" i="6"/>
  <c r="KA73" i="6"/>
  <c r="KA83" i="6"/>
  <c r="KA77" i="6"/>
  <c r="KA86" i="6"/>
  <c r="KA94" i="6"/>
  <c r="KA102" i="6"/>
  <c r="KA89" i="6"/>
  <c r="KA97" i="6"/>
  <c r="KA105" i="6"/>
  <c r="KA7" i="6"/>
  <c r="KA10" i="6"/>
  <c r="KA13" i="6"/>
  <c r="KA17" i="6"/>
  <c r="KA19" i="6"/>
  <c r="KA26" i="6"/>
  <c r="KA29" i="6"/>
  <c r="KA32" i="6"/>
  <c r="KA37" i="6"/>
  <c r="KA45" i="6"/>
  <c r="KA42" i="6"/>
  <c r="KA49" i="6"/>
  <c r="KA57" i="6"/>
  <c r="KA54" i="6"/>
  <c r="KA62" i="6"/>
  <c r="KA70" i="6"/>
  <c r="KA67" i="6"/>
  <c r="KA76" i="6"/>
  <c r="KA85" i="6"/>
  <c r="KA79" i="6"/>
  <c r="KA88" i="6"/>
  <c r="KA96" i="6"/>
  <c r="KA104" i="6"/>
  <c r="KA91" i="6"/>
  <c r="KA99" i="6"/>
  <c r="KA107" i="6"/>
  <c r="KA4" i="6"/>
  <c r="KA9" i="6"/>
  <c r="KA14" i="6"/>
  <c r="KA18" i="6"/>
  <c r="KA21" i="6"/>
  <c r="KA28" i="6"/>
  <c r="KA31" i="6"/>
  <c r="KA34" i="6"/>
  <c r="KA39" i="6"/>
  <c r="KA47" i="6"/>
  <c r="KA44" i="6"/>
  <c r="KA51" i="6"/>
  <c r="KA59" i="6"/>
  <c r="KA56" i="6"/>
  <c r="KA64" i="6"/>
  <c r="KA72" i="6"/>
  <c r="KA69" i="6"/>
  <c r="KA78" i="6"/>
  <c r="KA87" i="6"/>
  <c r="KA82" i="6"/>
  <c r="KA90" i="6"/>
  <c r="KA98" i="6"/>
  <c r="KA106" i="6"/>
  <c r="KA93" i="6"/>
  <c r="KA101" i="6"/>
  <c r="KQ5" i="6"/>
  <c r="KQ8" i="6"/>
  <c r="KQ11" i="6"/>
  <c r="KQ15" i="6"/>
  <c r="KQ22" i="6"/>
  <c r="KQ24" i="6"/>
  <c r="KQ27" i="6"/>
  <c r="KQ35" i="6"/>
  <c r="KQ30" i="6"/>
  <c r="KQ43" i="6"/>
  <c r="KQ40" i="6"/>
  <c r="KQ48" i="6"/>
  <c r="KQ55" i="6"/>
  <c r="KQ52" i="6"/>
  <c r="KQ60" i="6"/>
  <c r="KQ68" i="6"/>
  <c r="KQ65" i="6"/>
  <c r="KQ73" i="6"/>
  <c r="KQ83" i="6"/>
  <c r="KQ77" i="6"/>
  <c r="KQ86" i="6"/>
  <c r="KQ94" i="6"/>
  <c r="KQ102" i="6"/>
  <c r="KQ89" i="6"/>
  <c r="KQ97" i="6"/>
  <c r="KQ105" i="6"/>
  <c r="KQ7" i="6"/>
  <c r="KQ10" i="6"/>
  <c r="KQ13" i="6"/>
  <c r="KQ17" i="6"/>
  <c r="KQ19" i="6"/>
  <c r="KQ26" i="6"/>
  <c r="KQ29" i="6"/>
  <c r="KQ32" i="6"/>
  <c r="KQ37" i="6"/>
  <c r="KQ45" i="6"/>
  <c r="KQ42" i="6"/>
  <c r="KQ49" i="6"/>
  <c r="KQ57" i="6"/>
  <c r="KQ54" i="6"/>
  <c r="KQ62" i="6"/>
  <c r="KQ70" i="6"/>
  <c r="KQ67" i="6"/>
  <c r="KQ76" i="6"/>
  <c r="KQ85" i="6"/>
  <c r="KQ79" i="6"/>
  <c r="KQ88" i="6"/>
  <c r="KQ96" i="6"/>
  <c r="KQ104" i="6"/>
  <c r="KQ91" i="6"/>
  <c r="KQ99" i="6"/>
  <c r="KQ107" i="6"/>
  <c r="KQ4" i="6"/>
  <c r="KQ9" i="6"/>
  <c r="KQ14" i="6"/>
  <c r="KQ18" i="6"/>
  <c r="KQ21" i="6"/>
  <c r="KQ28" i="6"/>
  <c r="KQ31" i="6"/>
  <c r="KQ34" i="6"/>
  <c r="KQ39" i="6"/>
  <c r="KQ47" i="6"/>
  <c r="KQ44" i="6"/>
  <c r="KQ51" i="6"/>
  <c r="KQ59" i="6"/>
  <c r="KQ56" i="6"/>
  <c r="KQ64" i="6"/>
  <c r="KQ72" i="6"/>
  <c r="KQ69" i="6"/>
  <c r="KQ78" i="6"/>
  <c r="KQ87" i="6"/>
  <c r="KQ82" i="6"/>
  <c r="KQ90" i="6"/>
  <c r="KQ98" i="6"/>
  <c r="KQ106" i="6"/>
  <c r="KQ93" i="6"/>
  <c r="KQ101" i="6"/>
  <c r="KQ3" i="6"/>
  <c r="KQ6" i="6"/>
  <c r="KQ12" i="6"/>
  <c r="KQ16" i="6"/>
  <c r="KQ20" i="6"/>
  <c r="KQ23" i="6"/>
  <c r="KQ25" i="6"/>
  <c r="KQ33" i="6"/>
  <c r="KQ36" i="6"/>
  <c r="KQ41" i="6"/>
  <c r="KQ38" i="6"/>
  <c r="KQ46" i="6"/>
  <c r="KQ53" i="6"/>
  <c r="KQ50" i="6"/>
  <c r="KQ58" i="6"/>
  <c r="KQ66" i="6"/>
  <c r="KQ74" i="6"/>
  <c r="KQ71" i="6"/>
  <c r="KQ81" i="6"/>
  <c r="KQ75" i="6"/>
  <c r="KQ84" i="6"/>
  <c r="KQ92" i="6"/>
  <c r="KQ100" i="6"/>
  <c r="KQ108" i="6"/>
  <c r="KQ95" i="6"/>
  <c r="KQ103" i="6"/>
  <c r="IR3" i="6"/>
  <c r="IR9" i="6"/>
  <c r="IR12" i="6"/>
  <c r="IR16" i="6"/>
  <c r="IR22" i="6"/>
  <c r="IR28" i="6"/>
  <c r="IR29" i="6"/>
  <c r="IR30" i="6"/>
  <c r="IR38" i="6"/>
  <c r="IR46" i="6"/>
  <c r="IR41" i="6"/>
  <c r="IR49" i="6"/>
  <c r="IR56" i="6"/>
  <c r="IR55" i="6"/>
  <c r="IR60" i="6"/>
  <c r="IR70" i="6"/>
  <c r="IR69" i="6"/>
  <c r="IR74" i="6"/>
  <c r="IR83" i="6"/>
  <c r="IR82" i="6"/>
  <c r="IR96" i="6"/>
  <c r="IR104" i="6"/>
  <c r="IR79" i="6"/>
  <c r="IR89" i="6"/>
  <c r="IR97" i="6"/>
  <c r="IR105" i="6"/>
  <c r="IR5" i="6"/>
  <c r="IR10" i="6"/>
  <c r="IR15" i="6"/>
  <c r="IR18" i="6"/>
  <c r="IR21" i="6"/>
  <c r="IR24" i="6"/>
  <c r="IR31" i="6"/>
  <c r="IR32" i="6"/>
  <c r="IR40" i="6"/>
  <c r="IR48" i="6"/>
  <c r="IR43" i="6"/>
  <c r="IR50" i="6"/>
  <c r="IR58" i="6"/>
  <c r="IR57" i="6"/>
  <c r="IR64" i="6"/>
  <c r="IR72" i="6"/>
  <c r="IR71" i="6"/>
  <c r="IR76" i="6"/>
  <c r="IR85" i="6"/>
  <c r="IR90" i="6"/>
  <c r="IR98" i="6"/>
  <c r="IR106" i="6"/>
  <c r="IR88" i="6"/>
  <c r="IR91" i="6"/>
  <c r="IR99" i="6"/>
  <c r="IR107" i="6"/>
  <c r="IR4" i="6"/>
  <c r="IR7" i="6"/>
  <c r="IR11" i="6"/>
  <c r="IR17" i="6"/>
  <c r="IR19" i="6"/>
  <c r="IR23" i="6"/>
  <c r="IR25" i="6"/>
  <c r="IR33" i="6"/>
  <c r="IR34" i="6"/>
  <c r="IR42" i="6"/>
  <c r="IR37" i="6"/>
  <c r="IR45" i="6"/>
  <c r="IR52" i="6"/>
  <c r="IR51" i="6"/>
  <c r="IR59" i="6"/>
  <c r="IR66" i="6"/>
  <c r="IR65" i="6"/>
  <c r="IR73" i="6"/>
  <c r="IR78" i="6"/>
  <c r="IR87" i="6"/>
  <c r="IR92" i="6"/>
  <c r="IR100" i="6"/>
  <c r="IR108" i="6"/>
  <c r="IR77" i="6"/>
  <c r="IR93" i="6"/>
  <c r="IR101" i="6"/>
  <c r="IR6" i="6"/>
  <c r="IR8" i="6"/>
  <c r="IR13" i="6"/>
  <c r="IR14" i="6"/>
  <c r="IR20" i="6"/>
  <c r="IR26" i="6"/>
  <c r="IR27" i="6"/>
  <c r="IR35" i="6"/>
  <c r="IR36" i="6"/>
  <c r="IR44" i="6"/>
  <c r="IR39" i="6"/>
  <c r="IR47" i="6"/>
  <c r="IR54" i="6"/>
  <c r="IR53" i="6"/>
  <c r="IR62" i="6"/>
  <c r="IR68" i="6"/>
  <c r="IR67" i="6"/>
  <c r="IR75" i="6"/>
  <c r="IR81" i="6"/>
  <c r="IR84" i="6"/>
  <c r="IR94" i="6"/>
  <c r="IR102" i="6"/>
  <c r="IR86" i="6"/>
  <c r="IR95" i="6"/>
  <c r="IR103" i="6"/>
  <c r="JH3" i="6"/>
  <c r="JH8" i="6"/>
  <c r="JH13" i="6"/>
  <c r="JH14" i="6"/>
  <c r="JH22" i="6"/>
  <c r="JH26" i="6"/>
  <c r="JH27" i="6"/>
  <c r="JH35" i="6"/>
  <c r="JH36" i="6"/>
  <c r="JH44" i="6"/>
  <c r="JH39" i="6"/>
  <c r="JH47" i="6"/>
  <c r="JH56" i="6"/>
  <c r="JH53" i="6"/>
  <c r="JH62" i="6"/>
  <c r="JH70" i="6"/>
  <c r="JH67" i="6"/>
  <c r="JH75" i="6"/>
  <c r="JH81" i="6"/>
  <c r="JH84" i="6"/>
  <c r="JH92" i="6"/>
  <c r="JH100" i="6"/>
  <c r="JH108" i="6"/>
  <c r="JH86" i="6"/>
  <c r="JH95" i="6"/>
  <c r="JH103" i="6"/>
  <c r="JH5" i="6"/>
  <c r="JH9" i="6"/>
  <c r="JH12" i="6"/>
  <c r="JH16" i="6"/>
  <c r="JH19" i="6"/>
  <c r="JH28" i="6"/>
  <c r="JH29" i="6"/>
  <c r="JH30" i="6"/>
  <c r="JH38" i="6"/>
  <c r="JH46" i="6"/>
  <c r="JH41" i="6"/>
  <c r="JH50" i="6"/>
  <c r="JH58" i="6"/>
  <c r="JH55" i="6"/>
  <c r="JH64" i="6"/>
  <c r="JH72" i="6"/>
  <c r="JH69" i="6"/>
  <c r="JH74" i="6"/>
  <c r="JH83" i="6"/>
  <c r="JH88" i="6"/>
  <c r="JH94" i="6"/>
  <c r="JH102" i="6"/>
  <c r="JH89" i="6"/>
  <c r="JH97" i="6"/>
  <c r="JH105" i="6"/>
  <c r="JH7" i="6"/>
  <c r="JH10" i="6"/>
  <c r="JH15" i="6"/>
  <c r="JH18" i="6"/>
  <c r="JH21" i="6"/>
  <c r="JH24" i="6"/>
  <c r="JH31" i="6"/>
  <c r="JH32" i="6"/>
  <c r="JH40" i="6"/>
  <c r="JH48" i="6"/>
  <c r="JH43" i="6"/>
  <c r="JH52" i="6"/>
  <c r="JH49" i="6"/>
  <c r="JH57" i="6"/>
  <c r="JH66" i="6"/>
  <c r="JH60" i="6"/>
  <c r="JH71" i="6"/>
  <c r="JH76" i="6"/>
  <c r="JH85" i="6"/>
  <c r="JH82" i="6"/>
  <c r="JH96" i="6"/>
  <c r="JH104" i="6"/>
  <c r="JH79" i="6"/>
  <c r="JH91" i="6"/>
  <c r="JH99" i="6"/>
  <c r="JH107" i="6"/>
  <c r="JH4" i="6"/>
  <c r="JH6" i="6"/>
  <c r="JH11" i="6"/>
  <c r="JH17" i="6"/>
  <c r="JH20" i="6"/>
  <c r="JH23" i="6"/>
  <c r="JH25" i="6"/>
  <c r="JH33" i="6"/>
  <c r="JH34" i="6"/>
  <c r="JH42" i="6"/>
  <c r="JH37" i="6"/>
  <c r="JH45" i="6"/>
  <c r="JH54" i="6"/>
  <c r="JH51" i="6"/>
  <c r="JH59" i="6"/>
  <c r="JH68" i="6"/>
  <c r="JH65" i="6"/>
  <c r="JH73" i="6"/>
  <c r="JH78" i="6"/>
  <c r="JH87" i="6"/>
  <c r="JH90" i="6"/>
  <c r="JH98" i="6"/>
  <c r="JH106" i="6"/>
  <c r="JH77" i="6"/>
  <c r="JH93" i="6"/>
  <c r="JH101" i="6"/>
  <c r="JX3" i="6"/>
  <c r="JX8" i="6"/>
  <c r="JX13" i="6"/>
  <c r="JX14" i="6"/>
  <c r="JX22" i="6"/>
  <c r="JX24" i="6"/>
  <c r="JX27" i="6"/>
  <c r="JX35" i="6"/>
  <c r="JX36" i="6"/>
  <c r="JX44" i="6"/>
  <c r="JX39" i="6"/>
  <c r="JX47" i="6"/>
  <c r="JX56" i="6"/>
  <c r="JX53" i="6"/>
  <c r="JX62" i="6"/>
  <c r="JX70" i="6"/>
  <c r="JX67" i="6"/>
  <c r="JX74" i="6"/>
  <c r="JX83" i="6"/>
  <c r="JX84" i="6"/>
  <c r="JX92" i="6"/>
  <c r="JX100" i="6"/>
  <c r="JX108" i="6"/>
  <c r="JX89" i="6"/>
  <c r="JX97" i="6"/>
  <c r="JX105" i="6"/>
  <c r="JX5" i="6"/>
  <c r="JX9" i="6"/>
  <c r="JX12" i="6"/>
  <c r="JX16" i="6"/>
  <c r="JX19" i="6"/>
  <c r="JX26" i="6"/>
  <c r="JX29" i="6"/>
  <c r="JX30" i="6"/>
  <c r="JX38" i="6"/>
  <c r="JX46" i="6"/>
  <c r="JX41" i="6"/>
  <c r="JX50" i="6"/>
  <c r="JX58" i="6"/>
  <c r="JX55" i="6"/>
  <c r="JX64" i="6"/>
  <c r="JX72" i="6"/>
  <c r="JX69" i="6"/>
  <c r="JX76" i="6"/>
  <c r="JX85" i="6"/>
  <c r="JX88" i="6"/>
  <c r="JX94" i="6"/>
  <c r="JX102" i="6"/>
  <c r="JX79" i="6"/>
  <c r="JX91" i="6"/>
  <c r="JX99" i="6"/>
  <c r="JX107" i="6"/>
  <c r="JX7" i="6"/>
  <c r="JX10" i="6"/>
  <c r="JX15" i="6"/>
  <c r="JX18" i="6"/>
  <c r="JX21" i="6"/>
  <c r="JX28" i="6"/>
  <c r="JX31" i="6"/>
  <c r="JX32" i="6"/>
  <c r="JX40" i="6"/>
  <c r="JX48" i="6"/>
  <c r="JX43" i="6"/>
  <c r="JX52" i="6"/>
  <c r="JX49" i="6"/>
  <c r="JX57" i="6"/>
  <c r="JX66" i="6"/>
  <c r="JX60" i="6"/>
  <c r="JX71" i="6"/>
  <c r="JX78" i="6"/>
  <c r="JX87" i="6"/>
  <c r="JX82" i="6"/>
  <c r="JX96" i="6"/>
  <c r="JX104" i="6"/>
  <c r="JX77" i="6"/>
  <c r="JX93" i="6"/>
  <c r="JX101" i="6"/>
  <c r="JX4" i="6"/>
  <c r="JX6" i="6"/>
  <c r="JX11" i="6"/>
  <c r="JX17" i="6"/>
  <c r="JX20" i="6"/>
  <c r="JX23" i="6"/>
  <c r="JX25" i="6"/>
  <c r="JX33" i="6"/>
  <c r="JX34" i="6"/>
  <c r="JX42" i="6"/>
  <c r="JX37" i="6"/>
  <c r="JX45" i="6"/>
  <c r="JX54" i="6"/>
  <c r="JX51" i="6"/>
  <c r="JX59" i="6"/>
  <c r="JX68" i="6"/>
  <c r="JX65" i="6"/>
  <c r="JX73" i="6"/>
  <c r="JX81" i="6"/>
  <c r="JX75" i="6"/>
  <c r="JX90" i="6"/>
  <c r="JX98" i="6"/>
  <c r="JX106" i="6"/>
  <c r="JX86" i="6"/>
  <c r="JX95" i="6"/>
  <c r="JX103" i="6"/>
  <c r="KN5" i="6"/>
  <c r="KN9" i="6"/>
  <c r="KN12" i="6"/>
  <c r="KN16" i="6"/>
  <c r="KN19" i="6"/>
  <c r="KN26" i="6"/>
  <c r="KN29" i="6"/>
  <c r="KN30" i="6"/>
  <c r="KN38" i="6"/>
  <c r="KN46" i="6"/>
  <c r="KN41" i="6"/>
  <c r="KN50" i="6"/>
  <c r="KN58" i="6"/>
  <c r="KN55" i="6"/>
  <c r="KN64" i="6"/>
  <c r="KN72" i="6"/>
  <c r="KN69" i="6"/>
  <c r="KN76" i="6"/>
  <c r="KN85" i="6"/>
  <c r="KN88" i="6"/>
  <c r="KN94" i="6"/>
  <c r="KN102" i="6"/>
  <c r="KN79" i="6"/>
  <c r="KN91" i="6"/>
  <c r="KN99" i="6"/>
  <c r="KN107" i="6"/>
  <c r="KN7" i="6"/>
  <c r="KN10" i="6"/>
  <c r="KN15" i="6"/>
  <c r="KN18" i="6"/>
  <c r="KN21" i="6"/>
  <c r="KN28" i="6"/>
  <c r="KN31" i="6"/>
  <c r="KN32" i="6"/>
  <c r="KN40" i="6"/>
  <c r="KN48" i="6"/>
  <c r="KN43" i="6"/>
  <c r="KN52" i="6"/>
  <c r="KN49" i="6"/>
  <c r="KN57" i="6"/>
  <c r="KN66" i="6"/>
  <c r="KN60" i="6"/>
  <c r="KN71" i="6"/>
  <c r="KN78" i="6"/>
  <c r="KN87" i="6"/>
  <c r="KN82" i="6"/>
  <c r="KN96" i="6"/>
  <c r="KN104" i="6"/>
  <c r="KN77" i="6"/>
  <c r="KN93" i="6"/>
  <c r="KN101" i="6"/>
  <c r="KN4" i="6"/>
  <c r="KN8" i="6"/>
  <c r="KN11" i="6"/>
  <c r="KN17" i="6"/>
  <c r="KN20" i="6"/>
  <c r="KN23" i="6"/>
  <c r="KN25" i="6"/>
  <c r="KN33" i="6"/>
  <c r="KN34" i="6"/>
  <c r="KN42" i="6"/>
  <c r="KN37" i="6"/>
  <c r="KN45" i="6"/>
  <c r="KN54" i="6"/>
  <c r="KN51" i="6"/>
  <c r="KN59" i="6"/>
  <c r="KN68" i="6"/>
  <c r="KN65" i="6"/>
  <c r="KN73" i="6"/>
  <c r="KN81" i="6"/>
  <c r="KN75" i="6"/>
  <c r="KN90" i="6"/>
  <c r="KN98" i="6"/>
  <c r="KN106" i="6"/>
  <c r="KN86" i="6"/>
  <c r="KN95" i="6"/>
  <c r="KN103" i="6"/>
  <c r="KN3" i="6"/>
  <c r="KN6" i="6"/>
  <c r="KN13" i="6"/>
  <c r="KN14" i="6"/>
  <c r="KN22" i="6"/>
  <c r="KN24" i="6"/>
  <c r="KN27" i="6"/>
  <c r="KN35" i="6"/>
  <c r="KN36" i="6"/>
  <c r="KN44" i="6"/>
  <c r="KN39" i="6"/>
  <c r="KN47" i="6"/>
  <c r="KN56" i="6"/>
  <c r="KN53" i="6"/>
  <c r="KN62" i="6"/>
  <c r="KN70" i="6"/>
  <c r="KN67" i="6"/>
  <c r="KN74" i="6"/>
  <c r="KN83" i="6"/>
  <c r="KN84" i="6"/>
  <c r="KN92" i="6"/>
  <c r="KN100" i="6"/>
  <c r="KN108" i="6"/>
  <c r="KN89" i="6"/>
  <c r="KN97" i="6"/>
  <c r="KN105" i="6"/>
  <c r="KS102" i="6"/>
  <c r="KS94" i="6"/>
  <c r="KS107" i="6"/>
  <c r="KS99" i="6"/>
  <c r="KS91" i="6"/>
  <c r="KS83" i="6"/>
  <c r="KS88" i="6"/>
  <c r="KS79" i="6"/>
  <c r="KS72" i="6"/>
  <c r="KS64" i="6"/>
  <c r="KS69" i="6"/>
  <c r="KS59" i="6"/>
  <c r="KS51" i="6"/>
  <c r="KS54" i="6"/>
  <c r="KS45" i="6"/>
  <c r="KS37" i="6"/>
  <c r="KS42" i="6"/>
  <c r="KS33" i="6"/>
  <c r="KS32" i="6"/>
  <c r="KS24" i="6"/>
  <c r="KS25" i="6"/>
  <c r="KS19" i="6"/>
  <c r="KS14" i="6"/>
  <c r="KS11" i="6"/>
  <c r="KS7" i="6"/>
  <c r="KS4" i="6"/>
  <c r="KO108" i="6"/>
  <c r="KO100" i="6"/>
  <c r="KO92" i="6"/>
  <c r="KO105" i="6"/>
  <c r="KO97" i="6"/>
  <c r="KO89" i="6"/>
  <c r="KO81" i="6"/>
  <c r="KO86" i="6"/>
  <c r="KO77" i="6"/>
  <c r="KO70" i="6"/>
  <c r="KO73" i="6"/>
  <c r="KO65" i="6"/>
  <c r="KO57" i="6"/>
  <c r="KO49" i="6"/>
  <c r="KO52" i="6"/>
  <c r="KO43" i="6"/>
  <c r="KO48" i="6"/>
  <c r="KO40" i="6"/>
  <c r="KO31" i="6"/>
  <c r="KO30" i="6"/>
  <c r="KO23" i="6"/>
  <c r="KO17" i="6"/>
  <c r="KO19" i="6"/>
  <c r="KO13" i="6"/>
  <c r="KO10" i="6"/>
  <c r="KO3" i="6"/>
  <c r="KG106" i="6"/>
  <c r="KG98" i="6"/>
  <c r="KG90" i="6"/>
  <c r="KG103" i="6"/>
  <c r="KG95" i="6"/>
  <c r="KG87" i="6"/>
  <c r="KG78" i="6"/>
  <c r="KG84" i="6"/>
  <c r="KG75" i="6"/>
  <c r="KG68" i="6"/>
  <c r="KG71" i="6"/>
  <c r="KG60" i="6"/>
  <c r="KG55" i="6"/>
  <c r="KG58" i="6"/>
  <c r="KG50" i="6"/>
  <c r="KG41" i="6"/>
  <c r="KG46" i="6"/>
  <c r="KG38" i="6"/>
  <c r="KG36" i="6"/>
  <c r="KG30" i="6"/>
  <c r="KG29" i="6"/>
  <c r="KG20" i="6"/>
  <c r="KG18" i="6"/>
  <c r="KG15" i="6"/>
  <c r="KG8" i="6"/>
  <c r="KG5" i="6"/>
  <c r="KC104" i="6"/>
  <c r="KC96" i="6"/>
  <c r="KC101" i="6"/>
  <c r="KC93" i="6"/>
  <c r="KC85" i="6"/>
  <c r="KC76" i="6"/>
  <c r="KC82" i="6"/>
  <c r="KC74" i="6"/>
  <c r="KC66" i="6"/>
  <c r="KC71" i="6"/>
  <c r="KC62" i="6"/>
  <c r="KC53" i="6"/>
  <c r="KC56" i="6"/>
  <c r="KC47" i="6"/>
  <c r="KC39" i="6"/>
  <c r="KC44" i="6"/>
  <c r="KC35" i="6"/>
  <c r="KC34" i="6"/>
  <c r="KC26" i="6"/>
  <c r="KC27" i="6"/>
  <c r="KC21" i="6"/>
  <c r="KC16" i="6"/>
  <c r="KC12" i="6"/>
  <c r="KC9" i="6"/>
  <c r="KC6" i="6"/>
  <c r="JY102" i="6"/>
  <c r="JY94" i="6"/>
  <c r="JY107" i="6"/>
  <c r="JY99" i="6"/>
  <c r="JY91" i="6"/>
  <c r="JY83" i="6"/>
  <c r="JY88" i="6"/>
  <c r="JY79" i="6"/>
  <c r="JY72" i="6"/>
  <c r="JY64" i="6"/>
  <c r="JY67" i="6"/>
  <c r="JY59" i="6"/>
  <c r="JY51" i="6"/>
  <c r="JY54" i="6"/>
  <c r="JY45" i="6"/>
  <c r="JY37" i="6"/>
  <c r="JY42" i="6"/>
  <c r="JY33" i="6"/>
  <c r="JY32" i="6"/>
  <c r="JY24" i="6"/>
  <c r="JY25" i="6"/>
  <c r="JY21" i="6"/>
  <c r="JY14" i="6"/>
  <c r="JY11" i="6"/>
  <c r="JY7" i="6"/>
  <c r="JY4" i="6"/>
  <c r="JQ108" i="6"/>
  <c r="JQ100" i="6"/>
  <c r="JQ92" i="6"/>
  <c r="JQ105" i="6"/>
  <c r="JQ97" i="6"/>
  <c r="JQ89" i="6"/>
  <c r="JQ81" i="6"/>
  <c r="JQ86" i="6"/>
  <c r="JQ77" i="6"/>
  <c r="JQ70" i="6"/>
  <c r="JQ73" i="6"/>
  <c r="JQ65" i="6"/>
  <c r="JQ57" i="6"/>
  <c r="JQ49" i="6"/>
  <c r="JQ52" i="6"/>
  <c r="JQ43" i="6"/>
  <c r="JQ48" i="6"/>
  <c r="JQ40" i="6"/>
  <c r="JQ31" i="6"/>
  <c r="JQ23" i="6"/>
  <c r="JQ29" i="6"/>
  <c r="JQ22" i="6"/>
  <c r="JQ19" i="6"/>
  <c r="JQ13" i="6"/>
  <c r="JQ10" i="6"/>
  <c r="JQ7" i="6"/>
  <c r="JM106" i="6"/>
  <c r="JM98" i="6"/>
  <c r="JM90" i="6"/>
  <c r="JM103" i="6"/>
  <c r="JM95" i="6"/>
  <c r="JM87" i="6"/>
  <c r="JM78" i="6"/>
  <c r="JM84" i="6"/>
  <c r="JM75" i="6"/>
  <c r="JM68" i="6"/>
  <c r="JM73" i="6"/>
  <c r="JM65" i="6"/>
  <c r="JM55" i="6"/>
  <c r="JM58" i="6"/>
  <c r="JM50" i="6"/>
  <c r="JM41" i="6"/>
  <c r="JM46" i="6"/>
  <c r="JM38" i="6"/>
  <c r="JM36" i="6"/>
  <c r="JM28" i="6"/>
  <c r="JM27" i="6"/>
  <c r="JM20" i="6"/>
  <c r="JM18" i="6"/>
  <c r="JM13" i="6"/>
  <c r="JM8" i="6"/>
  <c r="JM5" i="6"/>
  <c r="JI104" i="6"/>
  <c r="JI96" i="6"/>
  <c r="JI101" i="6"/>
  <c r="JI93" i="6"/>
  <c r="JI85" i="6"/>
  <c r="JI76" i="6"/>
  <c r="JI82" i="6"/>
  <c r="JI74" i="6"/>
  <c r="JI66" i="6"/>
  <c r="JI69" i="6"/>
  <c r="JI62" i="6"/>
  <c r="JI53" i="6"/>
  <c r="JI56" i="6"/>
  <c r="JI47" i="6"/>
  <c r="JI39" i="6"/>
  <c r="JI44" i="6"/>
  <c r="JI35" i="6"/>
  <c r="JI34" i="6"/>
  <c r="JI26" i="6"/>
  <c r="JI25" i="6"/>
  <c r="JI20" i="6"/>
  <c r="JI16" i="6"/>
  <c r="JI12" i="6"/>
  <c r="JI8" i="6"/>
  <c r="JI5" i="6"/>
  <c r="JA102" i="6"/>
  <c r="JA94" i="6"/>
  <c r="JA107" i="6"/>
  <c r="JA99" i="6"/>
  <c r="JA91" i="6"/>
  <c r="JA83" i="6"/>
  <c r="JA88" i="6"/>
  <c r="JA79" i="6"/>
  <c r="JA72" i="6"/>
  <c r="JA64" i="6"/>
  <c r="JA67" i="6"/>
  <c r="JA59" i="6"/>
  <c r="JA51" i="6"/>
  <c r="JA52" i="6"/>
  <c r="JA45" i="6"/>
  <c r="JA37" i="6"/>
  <c r="JA42" i="6"/>
  <c r="JA33" i="6"/>
  <c r="JA32" i="6"/>
  <c r="JA26" i="6"/>
  <c r="JA24" i="6"/>
  <c r="JA21" i="6"/>
  <c r="JA14" i="6"/>
  <c r="JA11" i="6"/>
  <c r="JA7" i="6"/>
  <c r="JA4" i="6"/>
  <c r="IW108" i="6"/>
  <c r="IW100" i="6"/>
  <c r="IW92" i="6"/>
  <c r="IW105" i="6"/>
  <c r="IW97" i="6"/>
  <c r="IW89" i="6"/>
  <c r="IW81" i="6"/>
  <c r="IW88" i="6"/>
  <c r="IW79" i="6"/>
  <c r="IW70" i="6"/>
  <c r="IW73" i="6"/>
  <c r="IW65" i="6"/>
  <c r="IW55" i="6"/>
  <c r="IW58" i="6"/>
  <c r="IW50" i="6"/>
  <c r="IW43" i="6"/>
  <c r="IW48" i="6"/>
  <c r="IW40" i="6"/>
  <c r="IW33" i="6"/>
  <c r="IW30" i="6"/>
  <c r="IW29" i="6"/>
  <c r="IW22" i="6"/>
  <c r="IW17" i="6"/>
  <c r="IW15" i="6"/>
  <c r="IW10" i="6"/>
  <c r="IW5" i="6"/>
  <c r="IS106" i="6"/>
  <c r="IS98" i="6"/>
  <c r="IS90" i="6"/>
  <c r="IS103" i="6"/>
  <c r="IS95" i="6"/>
  <c r="IS87" i="6"/>
  <c r="IS78" i="6"/>
  <c r="IS84" i="6"/>
  <c r="IS75" i="6"/>
  <c r="IS68" i="6"/>
  <c r="IS71" i="6"/>
  <c r="IS62" i="6"/>
  <c r="IS53" i="6"/>
  <c r="IS56" i="6"/>
  <c r="IS49" i="6"/>
  <c r="IS41" i="6"/>
  <c r="IS46" i="6"/>
  <c r="IS38" i="6"/>
  <c r="IS36" i="6"/>
  <c r="IS28" i="6"/>
  <c r="IS27" i="6"/>
  <c r="IS22" i="6"/>
  <c r="IS18" i="6"/>
  <c r="IS15" i="6"/>
  <c r="IS9" i="6"/>
  <c r="IS6" i="6"/>
  <c r="IK104" i="6"/>
  <c r="IK96" i="6"/>
  <c r="IK83" i="6"/>
  <c r="IK101" i="6"/>
  <c r="IK93" i="6"/>
  <c r="IK81" i="6"/>
  <c r="IK82" i="6"/>
  <c r="IK74" i="6"/>
  <c r="IK66" i="6"/>
  <c r="IK71" i="6"/>
  <c r="IK60" i="6"/>
  <c r="IK52" i="6"/>
  <c r="IK55" i="6"/>
  <c r="IK46" i="6"/>
  <c r="IK38" i="6"/>
  <c r="IK43" i="6"/>
  <c r="IK35" i="6"/>
  <c r="IK34" i="6"/>
  <c r="IK26" i="6"/>
  <c r="IK24" i="6"/>
  <c r="IK23" i="6"/>
  <c r="IK15" i="6"/>
  <c r="IK12" i="6"/>
  <c r="IK7" i="6"/>
  <c r="KM107" i="6"/>
  <c r="KM99" i="6"/>
  <c r="KM91" i="6"/>
  <c r="KM104" i="6"/>
  <c r="KM96" i="6"/>
  <c r="KM88" i="6"/>
  <c r="KM79" i="6"/>
  <c r="KM85" i="6"/>
  <c r="KM76" i="6"/>
  <c r="KM67" i="6"/>
  <c r="KM72" i="6"/>
  <c r="KM64" i="6"/>
  <c r="KM54" i="6"/>
  <c r="KM57" i="6"/>
  <c r="KM49" i="6"/>
  <c r="KM42" i="6"/>
  <c r="KM45" i="6"/>
  <c r="KM37" i="6"/>
  <c r="KM30" i="6"/>
  <c r="KM29" i="6"/>
  <c r="KM26" i="6"/>
  <c r="KM19" i="6"/>
  <c r="KM17" i="6"/>
  <c r="KM13" i="6"/>
  <c r="KM10" i="6"/>
  <c r="KM4" i="6"/>
  <c r="JW105" i="6"/>
  <c r="JW97" i="6"/>
  <c r="JW89" i="6"/>
  <c r="JW102" i="6"/>
  <c r="JW94" i="6"/>
  <c r="JW86" i="6"/>
  <c r="JW77" i="6"/>
  <c r="JW83" i="6"/>
  <c r="JW73" i="6"/>
  <c r="JW65" i="6"/>
  <c r="JW70" i="6"/>
  <c r="JW60" i="6"/>
  <c r="JW52" i="6"/>
  <c r="JW55" i="6"/>
  <c r="JW48" i="6"/>
  <c r="JW40" i="6"/>
  <c r="JW43" i="6"/>
  <c r="JW36" i="6"/>
  <c r="JW35" i="6"/>
  <c r="JW27" i="6"/>
  <c r="JW24" i="6"/>
  <c r="JW18" i="6"/>
  <c r="JW15" i="6"/>
  <c r="JW11" i="6"/>
  <c r="JW8" i="6"/>
  <c r="JW5" i="6"/>
  <c r="JG101" i="6"/>
  <c r="JG93" i="6"/>
  <c r="JG108" i="6"/>
  <c r="JG100" i="6"/>
  <c r="JG92" i="6"/>
  <c r="JG84" i="6"/>
  <c r="JG87" i="6"/>
  <c r="JG78" i="6"/>
  <c r="JG71" i="6"/>
  <c r="JG62" i="6"/>
  <c r="JG68" i="6"/>
  <c r="JG58" i="6"/>
  <c r="JG50" i="6"/>
  <c r="JG53" i="6"/>
  <c r="JG46" i="6"/>
  <c r="JG38" i="6"/>
  <c r="JG41" i="6"/>
  <c r="JG34" i="6"/>
  <c r="JG33" i="6"/>
  <c r="JG25" i="6"/>
  <c r="JG23" i="6"/>
  <c r="JG22" i="6"/>
  <c r="JG16" i="6"/>
  <c r="JG12" i="6"/>
  <c r="JG6" i="6"/>
  <c r="JG3" i="6"/>
  <c r="IQ107" i="6"/>
  <c r="IQ99" i="6"/>
  <c r="IQ91" i="6"/>
  <c r="IQ106" i="6"/>
  <c r="IQ98" i="6"/>
  <c r="IQ90" i="6"/>
  <c r="IQ82" i="6"/>
  <c r="IQ85" i="6"/>
  <c r="IQ76" i="6"/>
  <c r="IQ69" i="6"/>
  <c r="IQ74" i="6"/>
  <c r="IQ66" i="6"/>
  <c r="IQ56" i="6"/>
  <c r="IQ59" i="6"/>
  <c r="IQ51" i="6"/>
  <c r="IQ42" i="6"/>
  <c r="IQ47" i="6"/>
  <c r="IQ39" i="6"/>
  <c r="IQ32" i="6"/>
  <c r="IQ31" i="6"/>
  <c r="IQ24" i="6"/>
  <c r="IQ21" i="6"/>
  <c r="IQ19" i="6"/>
  <c r="IQ14" i="6"/>
  <c r="IQ6" i="6"/>
  <c r="IQ7" i="6"/>
  <c r="KP106" i="6"/>
  <c r="KP98" i="6"/>
  <c r="KP90" i="6"/>
  <c r="KP101" i="6"/>
  <c r="KP93" i="6"/>
  <c r="KP89" i="6"/>
  <c r="KP84" i="6"/>
  <c r="KP75" i="6"/>
  <c r="KP68" i="6"/>
  <c r="KP73" i="6"/>
  <c r="KP65" i="6"/>
  <c r="KP54" i="6"/>
  <c r="KP57" i="6"/>
  <c r="KP49" i="6"/>
  <c r="KP42" i="6"/>
  <c r="KP45" i="6"/>
  <c r="KP37" i="6"/>
  <c r="KP36" i="6"/>
  <c r="KP30" i="6"/>
  <c r="KP27" i="6"/>
  <c r="KP18" i="6"/>
  <c r="KP17" i="6"/>
  <c r="KP13" i="6"/>
  <c r="KP10" i="6"/>
  <c r="KP4" i="6"/>
  <c r="KL104" i="6"/>
  <c r="KL96" i="6"/>
  <c r="KL88" i="6"/>
  <c r="KL78" i="6"/>
  <c r="KL103" i="6"/>
  <c r="KL95" i="6"/>
  <c r="KL81" i="6"/>
  <c r="KL82" i="6"/>
  <c r="KL74" i="6"/>
  <c r="KL66" i="6"/>
  <c r="KL69" i="6"/>
  <c r="KL60" i="6"/>
  <c r="KL52" i="6"/>
  <c r="KL55" i="6"/>
  <c r="KL48" i="6"/>
  <c r="KL40" i="6"/>
  <c r="KL43" i="6"/>
  <c r="KL35" i="6"/>
  <c r="KL34" i="6"/>
  <c r="KL28" i="6"/>
  <c r="KL25" i="6"/>
  <c r="KL21" i="6"/>
  <c r="KL15" i="6"/>
  <c r="KL12" i="6"/>
  <c r="KL8" i="6"/>
  <c r="KL5" i="6"/>
  <c r="KH102" i="6"/>
  <c r="KH94" i="6"/>
  <c r="KH89" i="6"/>
  <c r="KH107" i="6"/>
  <c r="KH99" i="6"/>
  <c r="KH91" i="6"/>
  <c r="KH81" i="6"/>
  <c r="KH79" i="6"/>
  <c r="KH72" i="6"/>
  <c r="KH64" i="6"/>
  <c r="KH69" i="6"/>
  <c r="KH58" i="6"/>
  <c r="KH50" i="6"/>
  <c r="KH53" i="6"/>
  <c r="KH46" i="6"/>
  <c r="KH38" i="6"/>
  <c r="KH41" i="6"/>
  <c r="KH33" i="6"/>
  <c r="KH34" i="6"/>
  <c r="KH26" i="6"/>
  <c r="KH22" i="6"/>
  <c r="KH21" i="6"/>
  <c r="KH16" i="6"/>
  <c r="KH9" i="6"/>
  <c r="KH7" i="6"/>
  <c r="KH3" i="6"/>
  <c r="KD108" i="6"/>
  <c r="KD100" i="6"/>
  <c r="KD92" i="6"/>
  <c r="KD81" i="6"/>
  <c r="KD105" i="6"/>
  <c r="KD97" i="6"/>
  <c r="KD85" i="6"/>
  <c r="KD86" i="6"/>
  <c r="KD77" i="6"/>
  <c r="KD70" i="6"/>
  <c r="KD73" i="6"/>
  <c r="KD65" i="6"/>
  <c r="KD56" i="6"/>
  <c r="KD59" i="6"/>
  <c r="KD51" i="6"/>
  <c r="KD44" i="6"/>
  <c r="KD47" i="6"/>
  <c r="KD39" i="6"/>
  <c r="KD31" i="6"/>
  <c r="KD32" i="6"/>
  <c r="KD24" i="6"/>
  <c r="KD20" i="6"/>
  <c r="KD18" i="6"/>
  <c r="KD16" i="6"/>
  <c r="KD11" i="6"/>
  <c r="KD6" i="6"/>
  <c r="JZ106" i="6"/>
  <c r="JZ98" i="6"/>
  <c r="JZ90" i="6"/>
  <c r="JZ101" i="6"/>
  <c r="JZ93" i="6"/>
  <c r="JZ89" i="6"/>
  <c r="JZ84" i="6"/>
  <c r="JZ75" i="6"/>
  <c r="JZ68" i="6"/>
  <c r="JZ73" i="6"/>
  <c r="JZ65" i="6"/>
  <c r="JZ54" i="6"/>
  <c r="JZ57" i="6"/>
  <c r="JZ49" i="6"/>
  <c r="JZ42" i="6"/>
  <c r="JZ45" i="6"/>
  <c r="JZ37" i="6"/>
  <c r="JZ36" i="6"/>
  <c r="JZ30" i="6"/>
  <c r="JZ27" i="6"/>
  <c r="JZ18" i="6"/>
  <c r="JZ17" i="6"/>
  <c r="JZ13" i="6"/>
  <c r="JZ10" i="6"/>
  <c r="JZ4" i="6"/>
  <c r="JV104" i="6"/>
  <c r="JV96" i="6"/>
  <c r="JV88" i="6"/>
  <c r="JV78" i="6"/>
  <c r="JV103" i="6"/>
  <c r="JV95" i="6"/>
  <c r="JV81" i="6"/>
  <c r="JV82" i="6"/>
  <c r="JV74" i="6"/>
  <c r="JV66" i="6"/>
  <c r="JV69" i="6"/>
  <c r="JV60" i="6"/>
  <c r="JV52" i="6"/>
  <c r="JV55" i="6"/>
  <c r="JV48" i="6"/>
  <c r="JV40" i="6"/>
  <c r="JV43" i="6"/>
  <c r="JV35" i="6"/>
  <c r="JV34" i="6"/>
  <c r="JV28" i="6"/>
  <c r="JV25" i="6"/>
  <c r="JV21" i="6"/>
  <c r="JV15" i="6"/>
  <c r="JV12" i="6"/>
  <c r="JV7" i="6"/>
  <c r="JV5" i="6"/>
  <c r="JR102" i="6"/>
  <c r="JR94" i="6"/>
  <c r="JR89" i="6"/>
  <c r="JR107" i="6"/>
  <c r="JR99" i="6"/>
  <c r="JR91" i="6"/>
  <c r="JR81" i="6"/>
  <c r="JR79" i="6"/>
  <c r="JR72" i="6"/>
  <c r="JR64" i="6"/>
  <c r="JR69" i="6"/>
  <c r="JR58" i="6"/>
  <c r="JR50" i="6"/>
  <c r="JR53" i="6"/>
  <c r="JR46" i="6"/>
  <c r="JR38" i="6"/>
  <c r="JR41" i="6"/>
  <c r="JR33" i="6"/>
  <c r="JR34" i="6"/>
  <c r="JR26" i="6"/>
  <c r="JR22" i="6"/>
  <c r="JR21" i="6"/>
  <c r="JR16" i="6"/>
  <c r="JR9" i="6"/>
  <c r="JR8" i="6"/>
  <c r="JR3" i="6"/>
  <c r="JN108" i="6"/>
  <c r="JN100" i="6"/>
  <c r="JN92" i="6"/>
  <c r="JN81" i="6"/>
  <c r="JN105" i="6"/>
  <c r="JN97" i="6"/>
  <c r="JN85" i="6"/>
  <c r="JN86" i="6"/>
  <c r="JN77" i="6"/>
  <c r="JN70" i="6"/>
  <c r="JN73" i="6"/>
  <c r="JN65" i="6"/>
  <c r="JN56" i="6"/>
  <c r="JN59" i="6"/>
  <c r="JN51" i="6"/>
  <c r="JN44" i="6"/>
  <c r="JN47" i="6"/>
  <c r="JN39" i="6"/>
  <c r="JN31" i="6"/>
  <c r="JN32" i="6"/>
  <c r="JN27" i="6"/>
  <c r="JN20" i="6"/>
  <c r="JN18" i="6"/>
  <c r="JN16" i="6"/>
  <c r="JN11" i="6"/>
  <c r="JN6" i="6"/>
  <c r="JJ106" i="6"/>
  <c r="JJ98" i="6"/>
  <c r="JJ90" i="6"/>
  <c r="JJ101" i="6"/>
  <c r="JJ93" i="6"/>
  <c r="JJ89" i="6"/>
  <c r="JJ84" i="6"/>
  <c r="JJ75" i="6"/>
  <c r="JJ68" i="6"/>
  <c r="JJ73" i="6"/>
  <c r="JJ65" i="6"/>
  <c r="JJ54" i="6"/>
  <c r="JJ57" i="6"/>
  <c r="JJ49" i="6"/>
  <c r="JJ42" i="6"/>
  <c r="JJ45" i="6"/>
  <c r="JJ37" i="6"/>
  <c r="JJ36" i="6"/>
  <c r="JJ30" i="6"/>
  <c r="JJ25" i="6"/>
  <c r="JJ18" i="6"/>
  <c r="JJ17" i="6"/>
  <c r="JJ13" i="6"/>
  <c r="JJ10" i="6"/>
  <c r="JJ4" i="6"/>
  <c r="JF104" i="6"/>
  <c r="JF96" i="6"/>
  <c r="JF88" i="6"/>
  <c r="JF78" i="6"/>
  <c r="JF103" i="6"/>
  <c r="JF95" i="6"/>
  <c r="JF81" i="6"/>
  <c r="JF84" i="6"/>
  <c r="JF74" i="6"/>
  <c r="JF66" i="6"/>
  <c r="JF69" i="6"/>
  <c r="JF60" i="6"/>
  <c r="JF52" i="6"/>
  <c r="JF55" i="6"/>
  <c r="JF48" i="6"/>
  <c r="JF40" i="6"/>
  <c r="JF43" i="6"/>
  <c r="JF35" i="6"/>
  <c r="JF34" i="6"/>
  <c r="JF28" i="6"/>
  <c r="JF24" i="6"/>
  <c r="JF21" i="6"/>
  <c r="JF15" i="6"/>
  <c r="JF12" i="6"/>
  <c r="JF7" i="6"/>
  <c r="JF5" i="6"/>
  <c r="JB102" i="6"/>
  <c r="JB94" i="6"/>
  <c r="JB89" i="6"/>
  <c r="JB107" i="6"/>
  <c r="JB99" i="6"/>
  <c r="JB91" i="6"/>
  <c r="JB81" i="6"/>
  <c r="JB79" i="6"/>
  <c r="JB72" i="6"/>
  <c r="JB64" i="6"/>
  <c r="JB69" i="6"/>
  <c r="JB58" i="6"/>
  <c r="JB50" i="6"/>
  <c r="JB53" i="6"/>
  <c r="JB46" i="6"/>
  <c r="JB38" i="6"/>
  <c r="JB41" i="6"/>
  <c r="JB33" i="6"/>
  <c r="JB32" i="6"/>
  <c r="JB29" i="6"/>
  <c r="JB22" i="6"/>
  <c r="JB21" i="6"/>
  <c r="JB16" i="6"/>
  <c r="JB11" i="6"/>
  <c r="JB8" i="6"/>
  <c r="JB3" i="6"/>
  <c r="IX108" i="6"/>
  <c r="IX100" i="6"/>
  <c r="IX92" i="6"/>
  <c r="IX75" i="6"/>
  <c r="IX105" i="6"/>
  <c r="IX97" i="6"/>
  <c r="IX85" i="6"/>
  <c r="IX88" i="6"/>
  <c r="IX79" i="6"/>
  <c r="IX70" i="6"/>
  <c r="IX73" i="6"/>
  <c r="IX65" i="6"/>
  <c r="IX56" i="6"/>
  <c r="IX59" i="6"/>
  <c r="IX51" i="6"/>
  <c r="IX42" i="6"/>
  <c r="IX47" i="6"/>
  <c r="IX39" i="6"/>
  <c r="IX36" i="6"/>
  <c r="IX30" i="6"/>
  <c r="IX27" i="6"/>
  <c r="IX20" i="6"/>
  <c r="IX18" i="6"/>
  <c r="IX16" i="6"/>
  <c r="IX10" i="6"/>
  <c r="IX6" i="6"/>
  <c r="IT106" i="6"/>
  <c r="IT98" i="6"/>
  <c r="IT90" i="6"/>
  <c r="IT101" i="6"/>
  <c r="IT93" i="6"/>
  <c r="IT85" i="6"/>
  <c r="IT84" i="6"/>
  <c r="IT75" i="6"/>
  <c r="IT68" i="6"/>
  <c r="IT73" i="6"/>
  <c r="IT65" i="6"/>
  <c r="IT54" i="6"/>
  <c r="IT57" i="6"/>
  <c r="IT48" i="6"/>
  <c r="IT40" i="6"/>
  <c r="IT45" i="6"/>
  <c r="IT37" i="6"/>
  <c r="IT36" i="6"/>
  <c r="IT28" i="6"/>
  <c r="IT25" i="6"/>
  <c r="IT19" i="6"/>
  <c r="IT17" i="6"/>
  <c r="IT13" i="6"/>
  <c r="IT7" i="6"/>
  <c r="IT4" i="6"/>
  <c r="IP104" i="6"/>
  <c r="IP96" i="6"/>
  <c r="IP85" i="6"/>
  <c r="IP75" i="6"/>
  <c r="IP103" i="6"/>
  <c r="IP95" i="6"/>
  <c r="IP81" i="6"/>
  <c r="IP84" i="6"/>
  <c r="IP74" i="6"/>
  <c r="IP66" i="6"/>
  <c r="IP69" i="6"/>
  <c r="IP60" i="6"/>
  <c r="IP52" i="6"/>
  <c r="IP55" i="6"/>
  <c r="IP46" i="6"/>
  <c r="IP38" i="6"/>
  <c r="IP43" i="6"/>
  <c r="IP35" i="6"/>
  <c r="IP32" i="6"/>
  <c r="IP26" i="6"/>
  <c r="IP24" i="6"/>
  <c r="IP21" i="6"/>
  <c r="IP15" i="6"/>
  <c r="IP12" i="6"/>
  <c r="IP9" i="6"/>
  <c r="IP5" i="6"/>
  <c r="KR103" i="6"/>
  <c r="KR93" i="6"/>
  <c r="KR82" i="6"/>
  <c r="KR98" i="6"/>
  <c r="KR84" i="6"/>
  <c r="KR87" i="6"/>
  <c r="KR73" i="6"/>
  <c r="KR72" i="6"/>
  <c r="KR60" i="6"/>
  <c r="KR51" i="6"/>
  <c r="KR52" i="6"/>
  <c r="KR41" i="6"/>
  <c r="KR42" i="6"/>
  <c r="KR29" i="6"/>
  <c r="KJ77" i="6"/>
  <c r="KJ83" i="6"/>
  <c r="KJ62" i="6"/>
  <c r="KJ39" i="6"/>
  <c r="KJ27" i="6"/>
  <c r="KJ13" i="6"/>
  <c r="IY5" i="6"/>
  <c r="IY8" i="6"/>
  <c r="IY11" i="6"/>
  <c r="IY15" i="6"/>
  <c r="IY22" i="6"/>
  <c r="IY26" i="6"/>
  <c r="IY27" i="6"/>
  <c r="IY35" i="6"/>
  <c r="IY36" i="6"/>
  <c r="IY43" i="6"/>
  <c r="IY38" i="6"/>
  <c r="IY46" i="6"/>
  <c r="IY55" i="6"/>
  <c r="IY52" i="6"/>
  <c r="IY60" i="6"/>
  <c r="IY70" i="6"/>
  <c r="IY65" i="6"/>
  <c r="IY73" i="6"/>
  <c r="IY81" i="6"/>
  <c r="IY77" i="6"/>
  <c r="IY86" i="6"/>
  <c r="IY92" i="6"/>
  <c r="IY100" i="6"/>
  <c r="IY108" i="6"/>
  <c r="IY95" i="6"/>
  <c r="IY103" i="6"/>
  <c r="IY7" i="6"/>
  <c r="IY10" i="6"/>
  <c r="IY13" i="6"/>
  <c r="IY17" i="6"/>
  <c r="IY18" i="6"/>
  <c r="IY28" i="6"/>
  <c r="IY29" i="6"/>
  <c r="IY30" i="6"/>
  <c r="IY37" i="6"/>
  <c r="IY45" i="6"/>
  <c r="IY40" i="6"/>
  <c r="IY48" i="6"/>
  <c r="IY57" i="6"/>
  <c r="IY54" i="6"/>
  <c r="IY64" i="6"/>
  <c r="IY72" i="6"/>
  <c r="IY67" i="6"/>
  <c r="IY75" i="6"/>
  <c r="IY83" i="6"/>
  <c r="IY79" i="6"/>
  <c r="IY88" i="6"/>
  <c r="IY94" i="6"/>
  <c r="IY102" i="6"/>
  <c r="IY97" i="6"/>
  <c r="IY105" i="6"/>
  <c r="IY4" i="6"/>
  <c r="IY9" i="6"/>
  <c r="IY14" i="6"/>
  <c r="IY19" i="6"/>
  <c r="IY21" i="6"/>
  <c r="IY24" i="6"/>
  <c r="IY31" i="6"/>
  <c r="IY32" i="6"/>
  <c r="IY39" i="6"/>
  <c r="IY47" i="6"/>
  <c r="IY42" i="6"/>
  <c r="IY51" i="6"/>
  <c r="IY59" i="6"/>
  <c r="IY56" i="6"/>
  <c r="IY66" i="6"/>
  <c r="IY74" i="6"/>
  <c r="IY69" i="6"/>
  <c r="IY76" i="6"/>
  <c r="IY85" i="6"/>
  <c r="IY82" i="6"/>
  <c r="IY89" i="6"/>
  <c r="IY96" i="6"/>
  <c r="IY104" i="6"/>
  <c r="IY91" i="6"/>
  <c r="IY99" i="6"/>
  <c r="IY107" i="6"/>
  <c r="IY3" i="6"/>
  <c r="IY6" i="6"/>
  <c r="IY12" i="6"/>
  <c r="IY16" i="6"/>
  <c r="IY20" i="6"/>
  <c r="IY23" i="6"/>
  <c r="IY25" i="6"/>
  <c r="IY33" i="6"/>
  <c r="IY34" i="6"/>
  <c r="IY41" i="6"/>
  <c r="IY49" i="6"/>
  <c r="IY44" i="6"/>
  <c r="IY53" i="6"/>
  <c r="IY50" i="6"/>
  <c r="IY58" i="6"/>
  <c r="IY68" i="6"/>
  <c r="IY62" i="6"/>
  <c r="IY71" i="6"/>
  <c r="IY78" i="6"/>
  <c r="IY87" i="6"/>
  <c r="IY84" i="6"/>
  <c r="IY90" i="6"/>
  <c r="IY98" i="6"/>
  <c r="IY106" i="6"/>
  <c r="IY93" i="6"/>
  <c r="IY101" i="6"/>
  <c r="JO7" i="6"/>
  <c r="JO10" i="6"/>
  <c r="JO13" i="6"/>
  <c r="JO17" i="6"/>
  <c r="JO19" i="6"/>
  <c r="JO28" i="6"/>
  <c r="JO29" i="6"/>
  <c r="JO30" i="6"/>
  <c r="JO37" i="6"/>
  <c r="JO45" i="6"/>
  <c r="JO42" i="6"/>
  <c r="JO49" i="6"/>
  <c r="JO57" i="6"/>
  <c r="JO54" i="6"/>
  <c r="JO64" i="6"/>
  <c r="JO72" i="6"/>
  <c r="JO67" i="6"/>
  <c r="JO76" i="6"/>
  <c r="JO85" i="6"/>
  <c r="JO79" i="6"/>
  <c r="JO88" i="6"/>
  <c r="JO94" i="6"/>
  <c r="JO102" i="6"/>
  <c r="JO97" i="6"/>
  <c r="JO105" i="6"/>
  <c r="JO4" i="6"/>
  <c r="JO9" i="6"/>
  <c r="JO14" i="6"/>
  <c r="JO20" i="6"/>
  <c r="JO21" i="6"/>
  <c r="JO24" i="6"/>
  <c r="JO31" i="6"/>
  <c r="JO32" i="6"/>
  <c r="JO39" i="6"/>
  <c r="JO47" i="6"/>
  <c r="JO44" i="6"/>
  <c r="JO51" i="6"/>
  <c r="JO59" i="6"/>
  <c r="JO56" i="6"/>
  <c r="JO66" i="6"/>
  <c r="JO74" i="6"/>
  <c r="JO69" i="6"/>
  <c r="JO78" i="6"/>
  <c r="JO87" i="6"/>
  <c r="JO82" i="6"/>
  <c r="JO89" i="6"/>
  <c r="JO96" i="6"/>
  <c r="JO104" i="6"/>
  <c r="JO91" i="6"/>
  <c r="JO99" i="6"/>
  <c r="JO107" i="6"/>
  <c r="JO3" i="6"/>
  <c r="JO6" i="6"/>
  <c r="JO12" i="6"/>
  <c r="JO16" i="6"/>
  <c r="JO22" i="6"/>
  <c r="JO23" i="6"/>
  <c r="JO25" i="6"/>
  <c r="JO33" i="6"/>
  <c r="JO34" i="6"/>
  <c r="JO41" i="6"/>
  <c r="JO38" i="6"/>
  <c r="JO46" i="6"/>
  <c r="JO53" i="6"/>
  <c r="JO50" i="6"/>
  <c r="JO58" i="6"/>
  <c r="JO68" i="6"/>
  <c r="JO62" i="6"/>
  <c r="JO71" i="6"/>
  <c r="JO81" i="6"/>
  <c r="JO75" i="6"/>
  <c r="JO84" i="6"/>
  <c r="JO90" i="6"/>
  <c r="JO98" i="6"/>
  <c r="JO106" i="6"/>
  <c r="JO93" i="6"/>
  <c r="JO101" i="6"/>
  <c r="JO5" i="6"/>
  <c r="JO8" i="6"/>
  <c r="JO11" i="6"/>
  <c r="JO15" i="6"/>
  <c r="JO18" i="6"/>
  <c r="JO26" i="6"/>
  <c r="JO27" i="6"/>
  <c r="JO35" i="6"/>
  <c r="JO36" i="6"/>
  <c r="JO43" i="6"/>
  <c r="JO40" i="6"/>
  <c r="JO48" i="6"/>
  <c r="JO55" i="6"/>
  <c r="JO52" i="6"/>
  <c r="JO60" i="6"/>
  <c r="JO70" i="6"/>
  <c r="JO65" i="6"/>
  <c r="JO73" i="6"/>
  <c r="JO83" i="6"/>
  <c r="JO77" i="6"/>
  <c r="JO86" i="6"/>
  <c r="JO92" i="6"/>
  <c r="JO100" i="6"/>
  <c r="JO108" i="6"/>
  <c r="JO95" i="6"/>
  <c r="JO103" i="6"/>
  <c r="KE4" i="6"/>
  <c r="KE9" i="6"/>
  <c r="KE14" i="6"/>
  <c r="KE20" i="6"/>
  <c r="KE21" i="6"/>
  <c r="KE28" i="6"/>
  <c r="KE31" i="6"/>
  <c r="KE32" i="6"/>
  <c r="KE39" i="6"/>
  <c r="KE47" i="6"/>
  <c r="KE44" i="6"/>
  <c r="KE51" i="6"/>
  <c r="KE59" i="6"/>
  <c r="KE56" i="6"/>
  <c r="KE66" i="6"/>
  <c r="KE74" i="6"/>
  <c r="KE69" i="6"/>
  <c r="KE78" i="6"/>
  <c r="KE87" i="6"/>
  <c r="KE82" i="6"/>
  <c r="KE89" i="6"/>
  <c r="KE96" i="6"/>
  <c r="KE104" i="6"/>
  <c r="KE93" i="6"/>
  <c r="KE101" i="6"/>
  <c r="KE3" i="6"/>
  <c r="KE6" i="6"/>
  <c r="KE12" i="6"/>
  <c r="KE16" i="6"/>
  <c r="KE22" i="6"/>
  <c r="KE23" i="6"/>
  <c r="KE25" i="6"/>
  <c r="KE33" i="6"/>
  <c r="KE34" i="6"/>
  <c r="KE41" i="6"/>
  <c r="KE38" i="6"/>
  <c r="KE46" i="6"/>
  <c r="KE53" i="6"/>
  <c r="KE50" i="6"/>
  <c r="KE58" i="6"/>
  <c r="KE68" i="6"/>
  <c r="KE62" i="6"/>
  <c r="KE71" i="6"/>
  <c r="KE81" i="6"/>
  <c r="KE75" i="6"/>
  <c r="KE84" i="6"/>
  <c r="KE90" i="6"/>
  <c r="KE98" i="6"/>
  <c r="KE106" i="6"/>
  <c r="KE95" i="6"/>
  <c r="KE103" i="6"/>
  <c r="KE5" i="6"/>
  <c r="KE8" i="6"/>
  <c r="KE11" i="6"/>
  <c r="KE15" i="6"/>
  <c r="KE18" i="6"/>
  <c r="KE24" i="6"/>
  <c r="KE27" i="6"/>
  <c r="KE35" i="6"/>
  <c r="KE36" i="6"/>
  <c r="KE43" i="6"/>
  <c r="KE40" i="6"/>
  <c r="KE48" i="6"/>
  <c r="KE55" i="6"/>
  <c r="KE52" i="6"/>
  <c r="KE60" i="6"/>
  <c r="KE70" i="6"/>
  <c r="KE65" i="6"/>
  <c r="KE73" i="6"/>
  <c r="KE83" i="6"/>
  <c r="KE77" i="6"/>
  <c r="KE86" i="6"/>
  <c r="KE92" i="6"/>
  <c r="KE100" i="6"/>
  <c r="KE108" i="6"/>
  <c r="KE97" i="6"/>
  <c r="KE105" i="6"/>
  <c r="KE7" i="6"/>
  <c r="KE10" i="6"/>
  <c r="KE13" i="6"/>
  <c r="KE17" i="6"/>
  <c r="KE19" i="6"/>
  <c r="KE26" i="6"/>
  <c r="KE29" i="6"/>
  <c r="KE30" i="6"/>
  <c r="KE37" i="6"/>
  <c r="KE45" i="6"/>
  <c r="KE42" i="6"/>
  <c r="KE49" i="6"/>
  <c r="KE57" i="6"/>
  <c r="KE54" i="6"/>
  <c r="KE64" i="6"/>
  <c r="KE72" i="6"/>
  <c r="KE67" i="6"/>
  <c r="KE76" i="6"/>
  <c r="KE85" i="6"/>
  <c r="KE79" i="6"/>
  <c r="KE88" i="6"/>
  <c r="KE94" i="6"/>
  <c r="KE102" i="6"/>
  <c r="KE91" i="6"/>
  <c r="KE99" i="6"/>
  <c r="KE107" i="6"/>
  <c r="IV4" i="6"/>
  <c r="IV6" i="6"/>
  <c r="IV11" i="6"/>
  <c r="IV12" i="6"/>
  <c r="IV19" i="6"/>
  <c r="IV23" i="6"/>
  <c r="IV25" i="6"/>
  <c r="IV30" i="6"/>
  <c r="IV34" i="6"/>
  <c r="IV42" i="6"/>
  <c r="IV37" i="6"/>
  <c r="IV45" i="6"/>
  <c r="IV52" i="6"/>
  <c r="IV51" i="6"/>
  <c r="IV59" i="6"/>
  <c r="IV68" i="6"/>
  <c r="IV65" i="6"/>
  <c r="IV73" i="6"/>
  <c r="IV81" i="6"/>
  <c r="IV74" i="6"/>
  <c r="IV90" i="6"/>
  <c r="IV98" i="6"/>
  <c r="IV106" i="6"/>
  <c r="IV89" i="6"/>
  <c r="IV93" i="6"/>
  <c r="IV101" i="6"/>
  <c r="IV3" i="6"/>
  <c r="IV8" i="6"/>
  <c r="IV13" i="6"/>
  <c r="IV14" i="6"/>
  <c r="IV20" i="6"/>
  <c r="IV24" i="6"/>
  <c r="IV27" i="6"/>
  <c r="IV33" i="6"/>
  <c r="IV36" i="6"/>
  <c r="IV44" i="6"/>
  <c r="IV39" i="6"/>
  <c r="IV47" i="6"/>
  <c r="IV54" i="6"/>
  <c r="IV53" i="6"/>
  <c r="IV62" i="6"/>
  <c r="IV70" i="6"/>
  <c r="IV67" i="6"/>
  <c r="IV75" i="6"/>
  <c r="IV83" i="6"/>
  <c r="IV77" i="6"/>
  <c r="IV92" i="6"/>
  <c r="IV100" i="6"/>
  <c r="IV108" i="6"/>
  <c r="IV79" i="6"/>
  <c r="IV95" i="6"/>
  <c r="IV103" i="6"/>
  <c r="IV5" i="6"/>
  <c r="IV9" i="6"/>
  <c r="IV15" i="6"/>
  <c r="IV16" i="6"/>
  <c r="IV22" i="6"/>
  <c r="IV26" i="6"/>
  <c r="IV29" i="6"/>
  <c r="IV35" i="6"/>
  <c r="IV38" i="6"/>
  <c r="IV46" i="6"/>
  <c r="IV41" i="6"/>
  <c r="IV49" i="6"/>
  <c r="IV56" i="6"/>
  <c r="IV55" i="6"/>
  <c r="IV64" i="6"/>
  <c r="IV72" i="6"/>
  <c r="IV69" i="6"/>
  <c r="IV76" i="6"/>
  <c r="IV85" i="6"/>
  <c r="IV86" i="6"/>
  <c r="IV94" i="6"/>
  <c r="IV102" i="6"/>
  <c r="IV88" i="6"/>
  <c r="IV97" i="6"/>
  <c r="IV105" i="6"/>
  <c r="IV7" i="6"/>
  <c r="IV10" i="6"/>
  <c r="IV17" i="6"/>
  <c r="IV18" i="6"/>
  <c r="IV21" i="6"/>
  <c r="IV28" i="6"/>
  <c r="IV31" i="6"/>
  <c r="IV32" i="6"/>
  <c r="IV40" i="6"/>
  <c r="IV48" i="6"/>
  <c r="IV43" i="6"/>
  <c r="IV50" i="6"/>
  <c r="IV58" i="6"/>
  <c r="IV57" i="6"/>
  <c r="IV66" i="6"/>
  <c r="IV60" i="6"/>
  <c r="IV71" i="6"/>
  <c r="IV78" i="6"/>
  <c r="IV87" i="6"/>
  <c r="IV84" i="6"/>
  <c r="IV96" i="6"/>
  <c r="IV104" i="6"/>
  <c r="IV82" i="6"/>
  <c r="IV91" i="6"/>
  <c r="IV99" i="6"/>
  <c r="IV107" i="6"/>
  <c r="JL4" i="6"/>
  <c r="JL6" i="6"/>
  <c r="JL11" i="6"/>
  <c r="JL12" i="6"/>
  <c r="JL20" i="6"/>
  <c r="JL23" i="6"/>
  <c r="JL25" i="6"/>
  <c r="JL31" i="6"/>
  <c r="JL34" i="6"/>
  <c r="JL42" i="6"/>
  <c r="JL37" i="6"/>
  <c r="JL45" i="6"/>
  <c r="JL54" i="6"/>
  <c r="JL51" i="6"/>
  <c r="JL59" i="6"/>
  <c r="JL66" i="6"/>
  <c r="JL65" i="6"/>
  <c r="JL73" i="6"/>
  <c r="JL83" i="6"/>
  <c r="JL77" i="6"/>
  <c r="JL90" i="6"/>
  <c r="JL98" i="6"/>
  <c r="JL106" i="6"/>
  <c r="JL88" i="6"/>
  <c r="JL93" i="6"/>
  <c r="JL101" i="6"/>
  <c r="JL3" i="6"/>
  <c r="JL8" i="6"/>
  <c r="JL13" i="6"/>
  <c r="JL14" i="6"/>
  <c r="JL22" i="6"/>
  <c r="JL24" i="6"/>
  <c r="JL27" i="6"/>
  <c r="JL33" i="6"/>
  <c r="JL36" i="6"/>
  <c r="JL44" i="6"/>
  <c r="JL39" i="6"/>
  <c r="JL47" i="6"/>
  <c r="JL56" i="6"/>
  <c r="JL53" i="6"/>
  <c r="JL62" i="6"/>
  <c r="JL68" i="6"/>
  <c r="JL67" i="6"/>
  <c r="JL76" i="6"/>
  <c r="JL85" i="6"/>
  <c r="JL86" i="6"/>
  <c r="JL92" i="6"/>
  <c r="JL100" i="6"/>
  <c r="JL108" i="6"/>
  <c r="JL89" i="6"/>
  <c r="JL95" i="6"/>
  <c r="JL103" i="6"/>
  <c r="JL5" i="6"/>
  <c r="JL9" i="6"/>
  <c r="JL15" i="6"/>
  <c r="JL16" i="6"/>
  <c r="JL19" i="6"/>
  <c r="JL26" i="6"/>
  <c r="JL29" i="6"/>
  <c r="JL35" i="6"/>
  <c r="JL38" i="6"/>
  <c r="JL46" i="6"/>
  <c r="JL41" i="6"/>
  <c r="JL50" i="6"/>
  <c r="JL58" i="6"/>
  <c r="JL55" i="6"/>
  <c r="JL60" i="6"/>
  <c r="JL70" i="6"/>
  <c r="JL69" i="6"/>
  <c r="JL78" i="6"/>
  <c r="JL87" i="6"/>
  <c r="JL75" i="6"/>
  <c r="JL94" i="6"/>
  <c r="JL102" i="6"/>
  <c r="JL79" i="6"/>
  <c r="JL97" i="6"/>
  <c r="JL105" i="6"/>
  <c r="JL7" i="6"/>
  <c r="JL10" i="6"/>
  <c r="JL17" i="6"/>
  <c r="JL18" i="6"/>
  <c r="JL21" i="6"/>
  <c r="JL28" i="6"/>
  <c r="JL30" i="6"/>
  <c r="JL32" i="6"/>
  <c r="JL40" i="6"/>
  <c r="JL48" i="6"/>
  <c r="JL43" i="6"/>
  <c r="JL52" i="6"/>
  <c r="JL49" i="6"/>
  <c r="JL57" i="6"/>
  <c r="JL64" i="6"/>
  <c r="JL72" i="6"/>
  <c r="JL71" i="6"/>
  <c r="JL81" i="6"/>
  <c r="JL74" i="6"/>
  <c r="JL84" i="6"/>
  <c r="JL96" i="6"/>
  <c r="JL104" i="6"/>
  <c r="JL82" i="6"/>
  <c r="JL91" i="6"/>
  <c r="JL99" i="6"/>
  <c r="JL107" i="6"/>
  <c r="KB4" i="6"/>
  <c r="KB6" i="6"/>
  <c r="KB11" i="6"/>
  <c r="KB12" i="6"/>
  <c r="KB20" i="6"/>
  <c r="KB23" i="6"/>
  <c r="KB25" i="6"/>
  <c r="KB31" i="6"/>
  <c r="KB34" i="6"/>
  <c r="KB42" i="6"/>
  <c r="KB37" i="6"/>
  <c r="KB45" i="6"/>
  <c r="KB54" i="6"/>
  <c r="KB51" i="6"/>
  <c r="KB59" i="6"/>
  <c r="KB66" i="6"/>
  <c r="KB65" i="6"/>
  <c r="KB73" i="6"/>
  <c r="KB83" i="6"/>
  <c r="KB77" i="6"/>
  <c r="KB90" i="6"/>
  <c r="KB98" i="6"/>
  <c r="KB106" i="6"/>
  <c r="KB3" i="6"/>
  <c r="KB8" i="6"/>
  <c r="KB13" i="6"/>
  <c r="KB14" i="6"/>
  <c r="KB22" i="6"/>
  <c r="KB24" i="6"/>
  <c r="KB27" i="6"/>
  <c r="KB33" i="6"/>
  <c r="KB36" i="6"/>
  <c r="KB44" i="6"/>
  <c r="KB39" i="6"/>
  <c r="KB47" i="6"/>
  <c r="KB56" i="6"/>
  <c r="KB53" i="6"/>
  <c r="KB62" i="6"/>
  <c r="KB68" i="6"/>
  <c r="KB67" i="6"/>
  <c r="KB76" i="6"/>
  <c r="KB85" i="6"/>
  <c r="KB86" i="6"/>
  <c r="KB92" i="6"/>
  <c r="KB100" i="6"/>
  <c r="KB108" i="6"/>
  <c r="KB79" i="6"/>
  <c r="KB97" i="6"/>
  <c r="KB105" i="6"/>
  <c r="KB5" i="6"/>
  <c r="KB9" i="6"/>
  <c r="KB15" i="6"/>
  <c r="KB16" i="6"/>
  <c r="KB19" i="6"/>
  <c r="KB26" i="6"/>
  <c r="KB29" i="6"/>
  <c r="KB35" i="6"/>
  <c r="KB38" i="6"/>
  <c r="KB46" i="6"/>
  <c r="KB41" i="6"/>
  <c r="KB50" i="6"/>
  <c r="KB58" i="6"/>
  <c r="KB55" i="6"/>
  <c r="KB60" i="6"/>
  <c r="KB70" i="6"/>
  <c r="KB69" i="6"/>
  <c r="KB78" i="6"/>
  <c r="KB87" i="6"/>
  <c r="KB75" i="6"/>
  <c r="KB94" i="6"/>
  <c r="KB102" i="6"/>
  <c r="KB82" i="6"/>
  <c r="KB91" i="6"/>
  <c r="KB99" i="6"/>
  <c r="KB107" i="6"/>
  <c r="KB7" i="6"/>
  <c r="KB10" i="6"/>
  <c r="KB17" i="6"/>
  <c r="KB18" i="6"/>
  <c r="KB21" i="6"/>
  <c r="KB28" i="6"/>
  <c r="KB30" i="6"/>
  <c r="KB32" i="6"/>
  <c r="KB40" i="6"/>
  <c r="KB48" i="6"/>
  <c r="KB43" i="6"/>
  <c r="KB52" i="6"/>
  <c r="KB49" i="6"/>
  <c r="KB57" i="6"/>
  <c r="KB64" i="6"/>
  <c r="KB72" i="6"/>
  <c r="KB71" i="6"/>
  <c r="KB81" i="6"/>
  <c r="KB74" i="6"/>
  <c r="KB84" i="6"/>
  <c r="KB96" i="6"/>
  <c r="KB104" i="6"/>
  <c r="KB88" i="6"/>
  <c r="KB93" i="6"/>
  <c r="KB101" i="6"/>
  <c r="KR7" i="6"/>
  <c r="KR10" i="6"/>
  <c r="KR17" i="6"/>
  <c r="KR18" i="6"/>
  <c r="KR21" i="6"/>
  <c r="KR28" i="6"/>
  <c r="KR30" i="6"/>
  <c r="KR32" i="6"/>
  <c r="KR4" i="6"/>
  <c r="KR6" i="6"/>
  <c r="KR11" i="6"/>
  <c r="KR12" i="6"/>
  <c r="KR20" i="6"/>
  <c r="KR23" i="6"/>
  <c r="KR25" i="6"/>
  <c r="KR31" i="6"/>
  <c r="KR34" i="6"/>
  <c r="KR3" i="6"/>
  <c r="KR8" i="6"/>
  <c r="KR13" i="6"/>
  <c r="KR14" i="6"/>
  <c r="KR22" i="6"/>
  <c r="KR24" i="6"/>
  <c r="KR27" i="6"/>
  <c r="KR33" i="6"/>
  <c r="KR36" i="6"/>
  <c r="KR44" i="6"/>
  <c r="KR39" i="6"/>
  <c r="KR47" i="6"/>
  <c r="KR56" i="6"/>
  <c r="KR53" i="6"/>
  <c r="KR62" i="6"/>
  <c r="KR68" i="6"/>
  <c r="KR67" i="6"/>
  <c r="KR76" i="6"/>
  <c r="KR85" i="6"/>
  <c r="KR86" i="6"/>
  <c r="KR92" i="6"/>
  <c r="KR100" i="6"/>
  <c r="KR108" i="6"/>
  <c r="KR79" i="6"/>
  <c r="KR97" i="6"/>
  <c r="KR105" i="6"/>
  <c r="KS108" i="6"/>
  <c r="KS100" i="6"/>
  <c r="KS92" i="6"/>
  <c r="KS105" i="6"/>
  <c r="KS97" i="6"/>
  <c r="KS89" i="6"/>
  <c r="KS81" i="6"/>
  <c r="KS86" i="6"/>
  <c r="KS77" i="6"/>
  <c r="KS70" i="6"/>
  <c r="KS60" i="6"/>
  <c r="KS67" i="6"/>
  <c r="KS57" i="6"/>
  <c r="KS49" i="6"/>
  <c r="KS52" i="6"/>
  <c r="KS43" i="6"/>
  <c r="KS48" i="6"/>
  <c r="KS40" i="6"/>
  <c r="KS31" i="6"/>
  <c r="KS30" i="6"/>
  <c r="KS23" i="6"/>
  <c r="KS22" i="6"/>
  <c r="KS17" i="6"/>
  <c r="KS15" i="6"/>
  <c r="KS10" i="6"/>
  <c r="KS3" i="6"/>
  <c r="KO106" i="6"/>
  <c r="KO98" i="6"/>
  <c r="KO90" i="6"/>
  <c r="KO103" i="6"/>
  <c r="KO95" i="6"/>
  <c r="KO87" i="6"/>
  <c r="KO78" i="6"/>
  <c r="KO84" i="6"/>
  <c r="KO75" i="6"/>
  <c r="KO68" i="6"/>
  <c r="KO71" i="6"/>
  <c r="KO60" i="6"/>
  <c r="KO55" i="6"/>
  <c r="KO58" i="6"/>
  <c r="KO50" i="6"/>
  <c r="KO41" i="6"/>
  <c r="KO46" i="6"/>
  <c r="KO38" i="6"/>
  <c r="KO36" i="6"/>
  <c r="KO28" i="6"/>
  <c r="KO29" i="6"/>
  <c r="KO22" i="6"/>
  <c r="KO18" i="6"/>
  <c r="KO15" i="6"/>
  <c r="KO8" i="6"/>
  <c r="KO6" i="6"/>
  <c r="KG104" i="6"/>
  <c r="KG96" i="6"/>
  <c r="KG101" i="6"/>
  <c r="KG93" i="6"/>
  <c r="KG85" i="6"/>
  <c r="KG76" i="6"/>
  <c r="KG82" i="6"/>
  <c r="KG74" i="6"/>
  <c r="KG66" i="6"/>
  <c r="KG69" i="6"/>
  <c r="KG62" i="6"/>
  <c r="KG53" i="6"/>
  <c r="KG56" i="6"/>
  <c r="KG47" i="6"/>
  <c r="KG39" i="6"/>
  <c r="KG44" i="6"/>
  <c r="KG35" i="6"/>
  <c r="KG34" i="6"/>
  <c r="KG28" i="6"/>
  <c r="KG27" i="6"/>
  <c r="KG17" i="6"/>
  <c r="KG16" i="6"/>
  <c r="KG12" i="6"/>
  <c r="KG9" i="6"/>
  <c r="KG6" i="6"/>
  <c r="KC102" i="6"/>
  <c r="KC94" i="6"/>
  <c r="KC107" i="6"/>
  <c r="KC99" i="6"/>
  <c r="KC91" i="6"/>
  <c r="KC83" i="6"/>
  <c r="KC88" i="6"/>
  <c r="KC79" i="6"/>
  <c r="KC72" i="6"/>
  <c r="KC64" i="6"/>
  <c r="KC69" i="6"/>
  <c r="KC59" i="6"/>
  <c r="KC51" i="6"/>
  <c r="KC54" i="6"/>
  <c r="KC45" i="6"/>
  <c r="KC37" i="6"/>
  <c r="KC42" i="6"/>
  <c r="KC33" i="6"/>
  <c r="KC32" i="6"/>
  <c r="KC24" i="6"/>
  <c r="KC25" i="6"/>
  <c r="KC19" i="6"/>
  <c r="KC14" i="6"/>
  <c r="KC11" i="6"/>
  <c r="KC7" i="6"/>
  <c r="KC4" i="6"/>
  <c r="JY108" i="6"/>
  <c r="JY100" i="6"/>
  <c r="JY92" i="6"/>
  <c r="JY105" i="6"/>
  <c r="JY97" i="6"/>
  <c r="JY89" i="6"/>
  <c r="JY81" i="6"/>
  <c r="JY86" i="6"/>
  <c r="JY77" i="6"/>
  <c r="JY70" i="6"/>
  <c r="JY73" i="6"/>
  <c r="JY65" i="6"/>
  <c r="JY57" i="6"/>
  <c r="JY49" i="6"/>
  <c r="JY52" i="6"/>
  <c r="JY43" i="6"/>
  <c r="JY48" i="6"/>
  <c r="JY40" i="6"/>
  <c r="JY31" i="6"/>
  <c r="JY30" i="6"/>
  <c r="JY23" i="6"/>
  <c r="JY17" i="6"/>
  <c r="JY19" i="6"/>
  <c r="JY13" i="6"/>
  <c r="JY10" i="6"/>
  <c r="JY3" i="6"/>
  <c r="JQ106" i="6"/>
  <c r="JQ98" i="6"/>
  <c r="JQ90" i="6"/>
  <c r="JQ103" i="6"/>
  <c r="JQ95" i="6"/>
  <c r="JQ87" i="6"/>
  <c r="JQ78" i="6"/>
  <c r="JQ84" i="6"/>
  <c r="JQ75" i="6"/>
  <c r="JQ68" i="6"/>
  <c r="JQ71" i="6"/>
  <c r="JQ60" i="6"/>
  <c r="JQ55" i="6"/>
  <c r="JQ58" i="6"/>
  <c r="JQ50" i="6"/>
  <c r="JQ41" i="6"/>
  <c r="JQ46" i="6"/>
  <c r="JQ38" i="6"/>
  <c r="JQ36" i="6"/>
  <c r="JQ30" i="6"/>
  <c r="JQ27" i="6"/>
  <c r="JQ20" i="6"/>
  <c r="JQ18" i="6"/>
  <c r="JQ15" i="6"/>
  <c r="JQ9" i="6"/>
  <c r="JQ5" i="6"/>
  <c r="JM104" i="6"/>
  <c r="JM96" i="6"/>
  <c r="JM101" i="6"/>
  <c r="JM93" i="6"/>
  <c r="JM85" i="6"/>
  <c r="JM76" i="6"/>
  <c r="JM82" i="6"/>
  <c r="JM74" i="6"/>
  <c r="JM66" i="6"/>
  <c r="JM71" i="6"/>
  <c r="JM62" i="6"/>
  <c r="JM53" i="6"/>
  <c r="JM56" i="6"/>
  <c r="JM47" i="6"/>
  <c r="JM39" i="6"/>
  <c r="JM44" i="6"/>
  <c r="JM35" i="6"/>
  <c r="JM34" i="6"/>
  <c r="JM26" i="6"/>
  <c r="JM25" i="6"/>
  <c r="JM21" i="6"/>
  <c r="JM16" i="6"/>
  <c r="JM12" i="6"/>
  <c r="JM9" i="6"/>
  <c r="JM6" i="6"/>
  <c r="JI102" i="6"/>
  <c r="JI94" i="6"/>
  <c r="JI107" i="6"/>
  <c r="JI99" i="6"/>
  <c r="JI91" i="6"/>
  <c r="JI83" i="6"/>
  <c r="JI88" i="6"/>
  <c r="JI79" i="6"/>
  <c r="JI72" i="6"/>
  <c r="JI64" i="6"/>
  <c r="JI67" i="6"/>
  <c r="JI59" i="6"/>
  <c r="JI51" i="6"/>
  <c r="JI54" i="6"/>
  <c r="JI45" i="6"/>
  <c r="JI37" i="6"/>
  <c r="JI42" i="6"/>
  <c r="JI33" i="6"/>
  <c r="JI32" i="6"/>
  <c r="JI23" i="6"/>
  <c r="JI17" i="6"/>
  <c r="JI21" i="6"/>
  <c r="JI14" i="6"/>
  <c r="JI11" i="6"/>
  <c r="JI7" i="6"/>
  <c r="JI4" i="6"/>
  <c r="JA108" i="6"/>
  <c r="JA100" i="6"/>
  <c r="JA92" i="6"/>
  <c r="JA105" i="6"/>
  <c r="JA97" i="6"/>
  <c r="JA89" i="6"/>
  <c r="JA81" i="6"/>
  <c r="JA86" i="6"/>
  <c r="JA77" i="6"/>
  <c r="JA70" i="6"/>
  <c r="JA73" i="6"/>
  <c r="JA65" i="6"/>
  <c r="JA57" i="6"/>
  <c r="JA58" i="6"/>
  <c r="JA50" i="6"/>
  <c r="JA43" i="6"/>
  <c r="JA48" i="6"/>
  <c r="JA40" i="6"/>
  <c r="JA31" i="6"/>
  <c r="JA23" i="6"/>
  <c r="JA29" i="6"/>
  <c r="JA22" i="6"/>
  <c r="JA19" i="6"/>
  <c r="JA13" i="6"/>
  <c r="JA10" i="6"/>
  <c r="JA5" i="6"/>
  <c r="IW106" i="6"/>
  <c r="IW98" i="6"/>
  <c r="IW90" i="6"/>
  <c r="IW103" i="6"/>
  <c r="IW95" i="6"/>
  <c r="IW87" i="6"/>
  <c r="IW78" i="6"/>
  <c r="IW86" i="6"/>
  <c r="IW77" i="6"/>
  <c r="IW68" i="6"/>
  <c r="IW71" i="6"/>
  <c r="IW62" i="6"/>
  <c r="IW53" i="6"/>
  <c r="IW56" i="6"/>
  <c r="IW49" i="6"/>
  <c r="IW41" i="6"/>
  <c r="IW46" i="6"/>
  <c r="IW38" i="6"/>
  <c r="IW36" i="6"/>
  <c r="IW28" i="6"/>
  <c r="IW27" i="6"/>
  <c r="IW20" i="6"/>
  <c r="IW18" i="6"/>
  <c r="IW13" i="6"/>
  <c r="IW9" i="6"/>
  <c r="IW8" i="6"/>
  <c r="IS104" i="6"/>
  <c r="IS96" i="6"/>
  <c r="IS101" i="6"/>
  <c r="IS93" i="6"/>
  <c r="IS85" i="6"/>
  <c r="IS76" i="6"/>
  <c r="IS82" i="6"/>
  <c r="IS74" i="6"/>
  <c r="IS66" i="6"/>
  <c r="IS69" i="6"/>
  <c r="IS59" i="6"/>
  <c r="IS51" i="6"/>
  <c r="IS54" i="6"/>
  <c r="IS47" i="6"/>
  <c r="IS39" i="6"/>
  <c r="IS44" i="6"/>
  <c r="IS35" i="6"/>
  <c r="IS34" i="6"/>
  <c r="IS26" i="6"/>
  <c r="IS25" i="6"/>
  <c r="IS20" i="6"/>
  <c r="IS16" i="6"/>
  <c r="IS12" i="6"/>
  <c r="IS7" i="6"/>
  <c r="IS5" i="6"/>
  <c r="IK102" i="6"/>
  <c r="IK94" i="6"/>
  <c r="IK89" i="6"/>
  <c r="IK107" i="6"/>
  <c r="IK99" i="6"/>
  <c r="IK91" i="6"/>
  <c r="IK88" i="6"/>
  <c r="IK79" i="6"/>
  <c r="IK72" i="6"/>
  <c r="IK64" i="6"/>
  <c r="IK69" i="6"/>
  <c r="IK58" i="6"/>
  <c r="IK50" i="6"/>
  <c r="IK53" i="6"/>
  <c r="IK44" i="6"/>
  <c r="IK49" i="6"/>
  <c r="IK41" i="6"/>
  <c r="IK33" i="6"/>
  <c r="IK32" i="6"/>
  <c r="IK29" i="6"/>
  <c r="IK22" i="6"/>
  <c r="IK21" i="6"/>
  <c r="IK16" i="6"/>
  <c r="IK11" i="6"/>
  <c r="IK8" i="6"/>
  <c r="KM105" i="6"/>
  <c r="KM97" i="6"/>
  <c r="KM89" i="6"/>
  <c r="KM102" i="6"/>
  <c r="KM94" i="6"/>
  <c r="KM86" i="6"/>
  <c r="KM77" i="6"/>
  <c r="KM83" i="6"/>
  <c r="KM73" i="6"/>
  <c r="KM65" i="6"/>
  <c r="KM70" i="6"/>
  <c r="KM60" i="6"/>
  <c r="KM52" i="6"/>
  <c r="KM55" i="6"/>
  <c r="KM48" i="6"/>
  <c r="KM40" i="6"/>
  <c r="KM43" i="6"/>
  <c r="KM36" i="6"/>
  <c r="KM35" i="6"/>
  <c r="KM27" i="6"/>
  <c r="KM24" i="6"/>
  <c r="KM18" i="6"/>
  <c r="KM15" i="6"/>
  <c r="KM11" i="6"/>
  <c r="KM8" i="6"/>
  <c r="KM5" i="6"/>
  <c r="JW103" i="6"/>
  <c r="JW95" i="6"/>
  <c r="JW108" i="6"/>
  <c r="JW100" i="6"/>
  <c r="JW92" i="6"/>
  <c r="JW84" i="6"/>
  <c r="JW75" i="6"/>
  <c r="JW81" i="6"/>
  <c r="JW71" i="6"/>
  <c r="JW62" i="6"/>
  <c r="JW68" i="6"/>
  <c r="JW58" i="6"/>
  <c r="JW50" i="6"/>
  <c r="JW53" i="6"/>
  <c r="JW46" i="6"/>
  <c r="JW38" i="6"/>
  <c r="JW41" i="6"/>
  <c r="JW34" i="6"/>
  <c r="JW33" i="6"/>
  <c r="JW25" i="6"/>
  <c r="JW23" i="6"/>
  <c r="JW22" i="6"/>
  <c r="JW16" i="6"/>
  <c r="JW12" i="6"/>
  <c r="JW6" i="6"/>
  <c r="JW3" i="6"/>
  <c r="JG107" i="6"/>
  <c r="JG99" i="6"/>
  <c r="JG91" i="6"/>
  <c r="JG106" i="6"/>
  <c r="JG98" i="6"/>
  <c r="JG90" i="6"/>
  <c r="JG82" i="6"/>
  <c r="JG85" i="6"/>
  <c r="JG76" i="6"/>
  <c r="JG69" i="6"/>
  <c r="JG74" i="6"/>
  <c r="JG66" i="6"/>
  <c r="JG56" i="6"/>
  <c r="JG59" i="6"/>
  <c r="JG51" i="6"/>
  <c r="JG44" i="6"/>
  <c r="JG47" i="6"/>
  <c r="JG39" i="6"/>
  <c r="JG32" i="6"/>
  <c r="JG31" i="6"/>
  <c r="JG24" i="6"/>
  <c r="JG21" i="6"/>
  <c r="JG20" i="6"/>
  <c r="JG14" i="6"/>
  <c r="JG9" i="6"/>
  <c r="JG7" i="6"/>
  <c r="IQ105" i="6"/>
  <c r="IQ97" i="6"/>
  <c r="IQ89" i="6"/>
  <c r="IQ104" i="6"/>
  <c r="IQ96" i="6"/>
  <c r="IQ88" i="6"/>
  <c r="IQ79" i="6"/>
  <c r="IQ83" i="6"/>
  <c r="IQ75" i="6"/>
  <c r="IQ67" i="6"/>
  <c r="IQ72" i="6"/>
  <c r="IQ64" i="6"/>
  <c r="IQ54" i="6"/>
  <c r="IQ57" i="6"/>
  <c r="IQ48" i="6"/>
  <c r="IQ40" i="6"/>
  <c r="IQ45" i="6"/>
  <c r="IQ37" i="6"/>
  <c r="IQ30" i="6"/>
  <c r="IQ29" i="6"/>
  <c r="IQ28" i="6"/>
  <c r="IQ18" i="6"/>
  <c r="IQ17" i="6"/>
  <c r="IQ13" i="6"/>
  <c r="IQ9" i="6"/>
  <c r="IQ4" i="6"/>
  <c r="KP104" i="6"/>
  <c r="KP96" i="6"/>
  <c r="KP87" i="6"/>
  <c r="KP107" i="6"/>
  <c r="KP99" i="6"/>
  <c r="KP91" i="6"/>
  <c r="KP85" i="6"/>
  <c r="KP82" i="6"/>
  <c r="KP74" i="6"/>
  <c r="KP66" i="6"/>
  <c r="KP71" i="6"/>
  <c r="KP60" i="6"/>
  <c r="KP52" i="6"/>
  <c r="KP55" i="6"/>
  <c r="KP48" i="6"/>
  <c r="KP40" i="6"/>
  <c r="KP43" i="6"/>
  <c r="KP35" i="6"/>
  <c r="KP34" i="6"/>
  <c r="KP28" i="6"/>
  <c r="KP25" i="6"/>
  <c r="KP23" i="6"/>
  <c r="KP15" i="6"/>
  <c r="KP12" i="6"/>
  <c r="KP8" i="6"/>
  <c r="KP5" i="6"/>
  <c r="KL102" i="6"/>
  <c r="KL94" i="6"/>
  <c r="KL85" i="6"/>
  <c r="KL101" i="6"/>
  <c r="KL93" i="6"/>
  <c r="KL83" i="6"/>
  <c r="KL79" i="6"/>
  <c r="KL72" i="6"/>
  <c r="KL64" i="6"/>
  <c r="KL67" i="6"/>
  <c r="KL58" i="6"/>
  <c r="KL50" i="6"/>
  <c r="KL53" i="6"/>
  <c r="KL46" i="6"/>
  <c r="KL38" i="6"/>
  <c r="KL41" i="6"/>
  <c r="KL33" i="6"/>
  <c r="KL32" i="6"/>
  <c r="KL26" i="6"/>
  <c r="KL22" i="6"/>
  <c r="KL19" i="6"/>
  <c r="KL13" i="6"/>
  <c r="KL11" i="6"/>
  <c r="KL7" i="6"/>
  <c r="KL3" i="6"/>
  <c r="KH108" i="6"/>
  <c r="KH100" i="6"/>
  <c r="KH92" i="6"/>
  <c r="KH85" i="6"/>
  <c r="KH105" i="6"/>
  <c r="KH97" i="6"/>
  <c r="KH88" i="6"/>
  <c r="KH86" i="6"/>
  <c r="KH77" i="6"/>
  <c r="KH70" i="6"/>
  <c r="KH62" i="6"/>
  <c r="KH67" i="6"/>
  <c r="KH56" i="6"/>
  <c r="KH59" i="6"/>
  <c r="KH51" i="6"/>
  <c r="KH44" i="6"/>
  <c r="KH47" i="6"/>
  <c r="KH39" i="6"/>
  <c r="KH31" i="6"/>
  <c r="KH32" i="6"/>
  <c r="KH24" i="6"/>
  <c r="KH20" i="6"/>
  <c r="KH19" i="6"/>
  <c r="KH14" i="6"/>
  <c r="KH11" i="6"/>
  <c r="KH6" i="6"/>
  <c r="KD106" i="6"/>
  <c r="KD98" i="6"/>
  <c r="KD90" i="6"/>
  <c r="KD83" i="6"/>
  <c r="KD103" i="6"/>
  <c r="KD95" i="6"/>
  <c r="KD76" i="6"/>
  <c r="KD84" i="6"/>
  <c r="KD75" i="6"/>
  <c r="KD68" i="6"/>
  <c r="KD71" i="6"/>
  <c r="KD62" i="6"/>
  <c r="KD54" i="6"/>
  <c r="KD57" i="6"/>
  <c r="KD49" i="6"/>
  <c r="KD42" i="6"/>
  <c r="KD45" i="6"/>
  <c r="KD37" i="6"/>
  <c r="KD29" i="6"/>
  <c r="KD30" i="6"/>
  <c r="KD27" i="6"/>
  <c r="KD23" i="6"/>
  <c r="KD17" i="6"/>
  <c r="KD14" i="6"/>
  <c r="KD10" i="6"/>
  <c r="KD4" i="6"/>
  <c r="JZ104" i="6"/>
  <c r="JZ96" i="6"/>
  <c r="JZ87" i="6"/>
  <c r="JZ107" i="6"/>
  <c r="JZ99" i="6"/>
  <c r="JZ91" i="6"/>
  <c r="JZ85" i="6"/>
  <c r="JZ82" i="6"/>
  <c r="JZ74" i="6"/>
  <c r="JZ66" i="6"/>
  <c r="JZ71" i="6"/>
  <c r="JZ60" i="6"/>
  <c r="JZ52" i="6"/>
  <c r="JZ55" i="6"/>
  <c r="JZ48" i="6"/>
  <c r="JZ40" i="6"/>
  <c r="JZ43" i="6"/>
  <c r="JZ35" i="6"/>
  <c r="JZ34" i="6"/>
  <c r="JZ28" i="6"/>
  <c r="JZ25" i="6"/>
  <c r="JZ23" i="6"/>
  <c r="JZ15" i="6"/>
  <c r="JZ12" i="6"/>
  <c r="JZ7" i="6"/>
  <c r="JZ5" i="6"/>
  <c r="JV102" i="6"/>
  <c r="JV94" i="6"/>
  <c r="JV85" i="6"/>
  <c r="JV101" i="6"/>
  <c r="JV93" i="6"/>
  <c r="JV83" i="6"/>
  <c r="JV79" i="6"/>
  <c r="JV72" i="6"/>
  <c r="JV64" i="6"/>
  <c r="JV67" i="6"/>
  <c r="JV58" i="6"/>
  <c r="JV50" i="6"/>
  <c r="JV53" i="6"/>
  <c r="JV46" i="6"/>
  <c r="JV38" i="6"/>
  <c r="JV41" i="6"/>
  <c r="JV33" i="6"/>
  <c r="JV32" i="6"/>
  <c r="JV26" i="6"/>
  <c r="JV22" i="6"/>
  <c r="JV19" i="6"/>
  <c r="JV13" i="6"/>
  <c r="JV11" i="6"/>
  <c r="JV8" i="6"/>
  <c r="JV3" i="6"/>
  <c r="JR108" i="6"/>
  <c r="JR100" i="6"/>
  <c r="JR92" i="6"/>
  <c r="JR85" i="6"/>
  <c r="JR105" i="6"/>
  <c r="JR97" i="6"/>
  <c r="JR88" i="6"/>
  <c r="JR86" i="6"/>
  <c r="JR77" i="6"/>
  <c r="JR70" i="6"/>
  <c r="JR62" i="6"/>
  <c r="JR67" i="6"/>
  <c r="JR56" i="6"/>
  <c r="JR59" i="6"/>
  <c r="JR51" i="6"/>
  <c r="JR44" i="6"/>
  <c r="JR47" i="6"/>
  <c r="JR39" i="6"/>
  <c r="JR31" i="6"/>
  <c r="JR32" i="6"/>
  <c r="JR27" i="6"/>
  <c r="JR20" i="6"/>
  <c r="JR19" i="6"/>
  <c r="JR14" i="6"/>
  <c r="JR11" i="6"/>
  <c r="JR6" i="6"/>
  <c r="JN106" i="6"/>
  <c r="JN98" i="6"/>
  <c r="JN90" i="6"/>
  <c r="JN83" i="6"/>
  <c r="JN103" i="6"/>
  <c r="JN95" i="6"/>
  <c r="JN76" i="6"/>
  <c r="JN84" i="6"/>
  <c r="JN75" i="6"/>
  <c r="JN68" i="6"/>
  <c r="JN71" i="6"/>
  <c r="JN62" i="6"/>
  <c r="JN54" i="6"/>
  <c r="JN57" i="6"/>
  <c r="JN49" i="6"/>
  <c r="JN42" i="6"/>
  <c r="JN45" i="6"/>
  <c r="JN37" i="6"/>
  <c r="JN29" i="6"/>
  <c r="JN30" i="6"/>
  <c r="JN25" i="6"/>
  <c r="JN23" i="6"/>
  <c r="JN17" i="6"/>
  <c r="JN14" i="6"/>
  <c r="JN10" i="6"/>
  <c r="JN4" i="6"/>
  <c r="JJ104" i="6"/>
  <c r="JJ96" i="6"/>
  <c r="JJ87" i="6"/>
  <c r="JJ107" i="6"/>
  <c r="JJ99" i="6"/>
  <c r="JJ91" i="6"/>
  <c r="JJ85" i="6"/>
  <c r="JJ82" i="6"/>
  <c r="JJ74" i="6"/>
  <c r="JJ66" i="6"/>
  <c r="JJ71" i="6"/>
  <c r="JJ60" i="6"/>
  <c r="JJ52" i="6"/>
  <c r="JJ55" i="6"/>
  <c r="JJ48" i="6"/>
  <c r="JJ40" i="6"/>
  <c r="JJ43" i="6"/>
  <c r="JJ35" i="6"/>
  <c r="JJ34" i="6"/>
  <c r="JJ28" i="6"/>
  <c r="JJ24" i="6"/>
  <c r="JJ23" i="6"/>
  <c r="JJ15" i="6"/>
  <c r="JJ12" i="6"/>
  <c r="JJ7" i="6"/>
  <c r="JJ5" i="6"/>
  <c r="JF102" i="6"/>
  <c r="JF94" i="6"/>
  <c r="JF85" i="6"/>
  <c r="JF101" i="6"/>
  <c r="JF93" i="6"/>
  <c r="JF83" i="6"/>
  <c r="JF82" i="6"/>
  <c r="JF72" i="6"/>
  <c r="JF64" i="6"/>
  <c r="JF67" i="6"/>
  <c r="JF58" i="6"/>
  <c r="JF50" i="6"/>
  <c r="JF53" i="6"/>
  <c r="JF46" i="6"/>
  <c r="JF38" i="6"/>
  <c r="JF41" i="6"/>
  <c r="JF33" i="6"/>
  <c r="JF32" i="6"/>
  <c r="JF26" i="6"/>
  <c r="JF22" i="6"/>
  <c r="JF19" i="6"/>
  <c r="JF13" i="6"/>
  <c r="JF11" i="6"/>
  <c r="JF8" i="6"/>
  <c r="JF3" i="6"/>
  <c r="JB108" i="6"/>
  <c r="JB100" i="6"/>
  <c r="JB92" i="6"/>
  <c r="JB85" i="6"/>
  <c r="JB105" i="6"/>
  <c r="JB97" i="6"/>
  <c r="JB88" i="6"/>
  <c r="JB86" i="6"/>
  <c r="JB77" i="6"/>
  <c r="JB70" i="6"/>
  <c r="JB62" i="6"/>
  <c r="JB67" i="6"/>
  <c r="JB56" i="6"/>
  <c r="JB59" i="6"/>
  <c r="JB51" i="6"/>
  <c r="JB44" i="6"/>
  <c r="JB47" i="6"/>
  <c r="JB39" i="6"/>
  <c r="JB31" i="6"/>
  <c r="JB30" i="6"/>
  <c r="JB27" i="6"/>
  <c r="JB20" i="6"/>
  <c r="JB19" i="6"/>
  <c r="JB14" i="6"/>
  <c r="JB10" i="6"/>
  <c r="JB6" i="6"/>
  <c r="IX106" i="6"/>
  <c r="IX98" i="6"/>
  <c r="IX90" i="6"/>
  <c r="IX83" i="6"/>
  <c r="IX103" i="6"/>
  <c r="IX95" i="6"/>
  <c r="IX76" i="6"/>
  <c r="IX86" i="6"/>
  <c r="IX77" i="6"/>
  <c r="IX68" i="6"/>
  <c r="IX71" i="6"/>
  <c r="IX62" i="6"/>
  <c r="IX54" i="6"/>
  <c r="IX57" i="6"/>
  <c r="IX48" i="6"/>
  <c r="IX40" i="6"/>
  <c r="IX45" i="6"/>
  <c r="IX37" i="6"/>
  <c r="IX34" i="6"/>
  <c r="IX28" i="6"/>
  <c r="IX25" i="6"/>
  <c r="IX19" i="6"/>
  <c r="IX17" i="6"/>
  <c r="IX14" i="6"/>
  <c r="IX9" i="6"/>
  <c r="IX4" i="6"/>
  <c r="IT104" i="6"/>
  <c r="IT96" i="6"/>
  <c r="IT87" i="6"/>
  <c r="IT107" i="6"/>
  <c r="IT99" i="6"/>
  <c r="IT91" i="6"/>
  <c r="IT76" i="6"/>
  <c r="IT82" i="6"/>
  <c r="IT74" i="6"/>
  <c r="IT66" i="6"/>
  <c r="IT71" i="6"/>
  <c r="IT60" i="6"/>
  <c r="IT52" i="6"/>
  <c r="IT55" i="6"/>
  <c r="IT46" i="6"/>
  <c r="IT38" i="6"/>
  <c r="IT43" i="6"/>
  <c r="IT35" i="6"/>
  <c r="IT34" i="6"/>
  <c r="IT26" i="6"/>
  <c r="IT24" i="6"/>
  <c r="IT18" i="6"/>
  <c r="IT15" i="6"/>
  <c r="IT12" i="6"/>
  <c r="IT9" i="6"/>
  <c r="IT5" i="6"/>
  <c r="IP102" i="6"/>
  <c r="IP94" i="6"/>
  <c r="IP76" i="6"/>
  <c r="IP101" i="6"/>
  <c r="IP93" i="6"/>
  <c r="IP83" i="6"/>
  <c r="IP82" i="6"/>
  <c r="IP72" i="6"/>
  <c r="IP64" i="6"/>
  <c r="IP67" i="6"/>
  <c r="IP58" i="6"/>
  <c r="IP50" i="6"/>
  <c r="IP53" i="6"/>
  <c r="IP44" i="6"/>
  <c r="IP49" i="6"/>
  <c r="IP41" i="6"/>
  <c r="IP33" i="6"/>
  <c r="IP31" i="6"/>
  <c r="IP29" i="6"/>
  <c r="IP22" i="6"/>
  <c r="IP18" i="6"/>
  <c r="IP13" i="6"/>
  <c r="IP11" i="6"/>
  <c r="IP8" i="6"/>
  <c r="IP3" i="6"/>
  <c r="KR101" i="6"/>
  <c r="KR91" i="6"/>
  <c r="KR106" i="6"/>
  <c r="KR96" i="6"/>
  <c r="KR75" i="6"/>
  <c r="KR83" i="6"/>
  <c r="KR71" i="6"/>
  <c r="KR70" i="6"/>
  <c r="KR59" i="6"/>
  <c r="KR49" i="6"/>
  <c r="KR50" i="6"/>
  <c r="KR37" i="6"/>
  <c r="KR40" i="6"/>
  <c r="KR26" i="6"/>
  <c r="KR9" i="6"/>
  <c r="KJ105" i="6"/>
  <c r="KJ102" i="6"/>
  <c r="KJ74" i="6"/>
  <c r="KJ53" i="6"/>
  <c r="KJ44" i="6"/>
  <c r="KJ24" i="6"/>
  <c r="KJ6" i="6"/>
  <c r="KB95" i="6"/>
  <c r="IM3" i="6"/>
  <c r="IM8" i="6"/>
  <c r="IM12" i="6"/>
  <c r="IM16" i="6"/>
  <c r="IM18" i="6"/>
  <c r="IM23" i="6"/>
  <c r="IM25" i="6"/>
  <c r="IM33" i="6"/>
  <c r="IM36" i="6"/>
  <c r="IM41" i="6"/>
  <c r="IM49" i="6"/>
  <c r="IM44" i="6"/>
  <c r="IM53" i="6"/>
  <c r="IM50" i="6"/>
  <c r="IM58" i="6"/>
  <c r="IM66" i="6"/>
  <c r="IM74" i="6"/>
  <c r="IM71" i="6"/>
  <c r="IM78" i="6"/>
  <c r="IM87" i="6"/>
  <c r="IM84" i="6"/>
  <c r="IM92" i="6"/>
  <c r="IM100" i="6"/>
  <c r="IM108" i="6"/>
  <c r="IM95" i="6"/>
  <c r="IM103" i="6"/>
  <c r="IM89" i="6"/>
  <c r="IM5" i="6"/>
  <c r="IM4" i="6"/>
  <c r="IM11" i="6"/>
  <c r="IM15" i="6"/>
  <c r="IM20" i="6"/>
  <c r="IM24" i="6"/>
  <c r="IM27" i="6"/>
  <c r="IM35" i="6"/>
  <c r="IM30" i="6"/>
  <c r="IM43" i="6"/>
  <c r="IM38" i="6"/>
  <c r="IM46" i="6"/>
  <c r="IM55" i="6"/>
  <c r="IM52" i="6"/>
  <c r="IM60" i="6"/>
  <c r="IM68" i="6"/>
  <c r="IM65" i="6"/>
  <c r="IM73" i="6"/>
  <c r="IM81" i="6"/>
  <c r="IM77" i="6"/>
  <c r="IM86" i="6"/>
  <c r="IM94" i="6"/>
  <c r="IM102" i="6"/>
  <c r="IM97" i="6"/>
  <c r="IM105" i="6"/>
  <c r="IM7" i="6"/>
  <c r="IM10" i="6"/>
  <c r="IM13" i="6"/>
  <c r="IM17" i="6"/>
  <c r="IM22" i="6"/>
  <c r="IM26" i="6"/>
  <c r="IM29" i="6"/>
  <c r="IM32" i="6"/>
  <c r="IM37" i="6"/>
  <c r="IM45" i="6"/>
  <c r="IM40" i="6"/>
  <c r="IM48" i="6"/>
  <c r="IM57" i="6"/>
  <c r="IM54" i="6"/>
  <c r="IM62" i="6"/>
  <c r="IM70" i="6"/>
  <c r="IM67" i="6"/>
  <c r="IM75" i="6"/>
  <c r="IM83" i="6"/>
  <c r="IM79" i="6"/>
  <c r="IM88" i="6"/>
  <c r="IM96" i="6"/>
  <c r="IM104" i="6"/>
  <c r="IM91" i="6"/>
  <c r="IM99" i="6"/>
  <c r="IM107" i="6"/>
  <c r="IM6" i="6"/>
  <c r="IM9" i="6"/>
  <c r="IM14" i="6"/>
  <c r="IM19" i="6"/>
  <c r="IM21" i="6"/>
  <c r="IM28" i="6"/>
  <c r="IM31" i="6"/>
  <c r="IM34" i="6"/>
  <c r="IM39" i="6"/>
  <c r="IM47" i="6"/>
  <c r="IM42" i="6"/>
  <c r="IM51" i="6"/>
  <c r="IM59" i="6"/>
  <c r="IM56" i="6"/>
  <c r="IM64" i="6"/>
  <c r="IM72" i="6"/>
  <c r="IM69" i="6"/>
  <c r="IM76" i="6"/>
  <c r="IM85" i="6"/>
  <c r="IM82" i="6"/>
  <c r="IM90" i="6"/>
  <c r="IM98" i="6"/>
  <c r="IM106" i="6"/>
  <c r="IM93" i="6"/>
  <c r="IM101" i="6"/>
  <c r="JC5" i="6"/>
  <c r="JC4" i="6"/>
  <c r="JC11" i="6"/>
  <c r="JC15" i="6"/>
  <c r="JC22" i="6"/>
  <c r="JC24" i="6"/>
  <c r="JC27" i="6"/>
  <c r="JC35" i="6"/>
  <c r="JC30" i="6"/>
  <c r="JC43" i="6"/>
  <c r="JC40" i="6"/>
  <c r="JC48" i="6"/>
  <c r="JC55" i="6"/>
  <c r="JC52" i="6"/>
  <c r="JC60" i="6"/>
  <c r="JC68" i="6"/>
  <c r="JC65" i="6"/>
  <c r="JC73" i="6"/>
  <c r="JC81" i="6"/>
  <c r="JC77" i="6"/>
  <c r="JC86" i="6"/>
  <c r="JC94" i="6"/>
  <c r="JC102" i="6"/>
  <c r="JC97" i="6"/>
  <c r="JC105" i="6"/>
  <c r="JC7" i="6"/>
  <c r="JC10" i="6"/>
  <c r="JC13" i="6"/>
  <c r="JC17" i="6"/>
  <c r="JC19" i="6"/>
  <c r="JC26" i="6"/>
  <c r="JC29" i="6"/>
  <c r="JC32" i="6"/>
  <c r="JC37" i="6"/>
  <c r="JC45" i="6"/>
  <c r="JC42" i="6"/>
  <c r="JC49" i="6"/>
  <c r="JC57" i="6"/>
  <c r="JC54" i="6"/>
  <c r="JC62" i="6"/>
  <c r="JC70" i="6"/>
  <c r="JC67" i="6"/>
  <c r="JC75" i="6"/>
  <c r="JC83" i="6"/>
  <c r="JC79" i="6"/>
  <c r="JC88" i="6"/>
  <c r="JC96" i="6"/>
  <c r="JC104" i="6"/>
  <c r="JC91" i="6"/>
  <c r="JC99" i="6"/>
  <c r="JC107" i="6"/>
  <c r="JC6" i="6"/>
  <c r="JC9" i="6"/>
  <c r="JC14" i="6"/>
  <c r="JC18" i="6"/>
  <c r="JC21" i="6"/>
  <c r="JC28" i="6"/>
  <c r="JC31" i="6"/>
  <c r="JC34" i="6"/>
  <c r="JC39" i="6"/>
  <c r="JC47" i="6"/>
  <c r="JC44" i="6"/>
  <c r="JC51" i="6"/>
  <c r="JC59" i="6"/>
  <c r="JC56" i="6"/>
  <c r="JC64" i="6"/>
  <c r="JC72" i="6"/>
  <c r="JC69" i="6"/>
  <c r="JC76" i="6"/>
  <c r="JC85" i="6"/>
  <c r="JC82" i="6"/>
  <c r="JC90" i="6"/>
  <c r="JC98" i="6"/>
  <c r="JC106" i="6"/>
  <c r="JC93" i="6"/>
  <c r="JC101" i="6"/>
  <c r="JC3" i="6"/>
  <c r="JC8" i="6"/>
  <c r="JC12" i="6"/>
  <c r="JC16" i="6"/>
  <c r="JC20" i="6"/>
  <c r="JC23" i="6"/>
  <c r="JC25" i="6"/>
  <c r="JC33" i="6"/>
  <c r="JC36" i="6"/>
  <c r="JC41" i="6"/>
  <c r="JC38" i="6"/>
  <c r="JC46" i="6"/>
  <c r="JC53" i="6"/>
  <c r="JC50" i="6"/>
  <c r="JC58" i="6"/>
  <c r="JC66" i="6"/>
  <c r="JC74" i="6"/>
  <c r="JC71" i="6"/>
  <c r="JC78" i="6"/>
  <c r="JC87" i="6"/>
  <c r="JC84" i="6"/>
  <c r="JC92" i="6"/>
  <c r="JC100" i="6"/>
  <c r="JC108" i="6"/>
  <c r="JC95" i="6"/>
  <c r="JC103" i="6"/>
  <c r="JC89" i="6"/>
  <c r="JS7" i="6"/>
  <c r="JS10" i="6"/>
  <c r="JS13" i="6"/>
  <c r="JS17" i="6"/>
  <c r="JS19" i="6"/>
  <c r="JS26" i="6"/>
  <c r="JS29" i="6"/>
  <c r="JS32" i="6"/>
  <c r="JS37" i="6"/>
  <c r="JS45" i="6"/>
  <c r="JS42" i="6"/>
  <c r="JS49" i="6"/>
  <c r="JS57" i="6"/>
  <c r="JS54" i="6"/>
  <c r="JS62" i="6"/>
  <c r="JS70" i="6"/>
  <c r="JS67" i="6"/>
  <c r="JS76" i="6"/>
  <c r="JS85" i="6"/>
  <c r="JS79" i="6"/>
  <c r="JS88" i="6"/>
  <c r="JS96" i="6"/>
  <c r="JS104" i="6"/>
  <c r="JS91" i="6"/>
  <c r="JS99" i="6"/>
  <c r="JS107" i="6"/>
  <c r="JS6" i="6"/>
  <c r="JS9" i="6"/>
  <c r="JS14" i="6"/>
  <c r="JS18" i="6"/>
  <c r="JS21" i="6"/>
  <c r="JS28" i="6"/>
  <c r="JS31" i="6"/>
  <c r="JS34" i="6"/>
  <c r="JS39" i="6"/>
  <c r="JS47" i="6"/>
  <c r="JS44" i="6"/>
  <c r="JS51" i="6"/>
  <c r="JS59" i="6"/>
  <c r="JS56" i="6"/>
  <c r="JS64" i="6"/>
  <c r="JS72" i="6"/>
  <c r="JS69" i="6"/>
  <c r="JS78" i="6"/>
  <c r="JS87" i="6"/>
  <c r="JS82" i="6"/>
  <c r="JS90" i="6"/>
  <c r="JS98" i="6"/>
  <c r="JS106" i="6"/>
  <c r="JS93" i="6"/>
  <c r="JS101" i="6"/>
  <c r="JS3" i="6"/>
  <c r="JS8" i="6"/>
  <c r="JS12" i="6"/>
  <c r="JS16" i="6"/>
  <c r="JS20" i="6"/>
  <c r="JS23" i="6"/>
  <c r="JS25" i="6"/>
  <c r="JS33" i="6"/>
  <c r="JS36" i="6"/>
  <c r="JS41" i="6"/>
  <c r="JS38" i="6"/>
  <c r="JS46" i="6"/>
  <c r="JS53" i="6"/>
  <c r="JS50" i="6"/>
  <c r="JS58" i="6"/>
  <c r="JS66" i="6"/>
  <c r="JS74" i="6"/>
  <c r="JS71" i="6"/>
  <c r="JS81" i="6"/>
  <c r="JS75" i="6"/>
  <c r="JS84" i="6"/>
  <c r="JS92" i="6"/>
  <c r="JS100" i="6"/>
  <c r="JS108" i="6"/>
  <c r="JS95" i="6"/>
  <c r="JS103" i="6"/>
  <c r="JS89" i="6"/>
  <c r="JS5" i="6"/>
  <c r="JS4" i="6"/>
  <c r="JS11" i="6"/>
  <c r="JS15" i="6"/>
  <c r="JS22" i="6"/>
  <c r="JS24" i="6"/>
  <c r="JS27" i="6"/>
  <c r="JS35" i="6"/>
  <c r="JS30" i="6"/>
  <c r="JS43" i="6"/>
  <c r="JS40" i="6"/>
  <c r="JS48" i="6"/>
  <c r="JS55" i="6"/>
  <c r="JS52" i="6"/>
  <c r="JS60" i="6"/>
  <c r="JS68" i="6"/>
  <c r="JS65" i="6"/>
  <c r="JS73" i="6"/>
  <c r="JS83" i="6"/>
  <c r="JS77" i="6"/>
  <c r="JS86" i="6"/>
  <c r="JS94" i="6"/>
  <c r="JS102" i="6"/>
  <c r="JS97" i="6"/>
  <c r="JS105" i="6"/>
  <c r="KI6" i="6"/>
  <c r="KI9" i="6"/>
  <c r="KI14" i="6"/>
  <c r="KI18" i="6"/>
  <c r="KI21" i="6"/>
  <c r="KI28" i="6"/>
  <c r="KI31" i="6"/>
  <c r="KI34" i="6"/>
  <c r="KI39" i="6"/>
  <c r="KI47" i="6"/>
  <c r="KI44" i="6"/>
  <c r="KI51" i="6"/>
  <c r="KI59" i="6"/>
  <c r="KI56" i="6"/>
  <c r="KI64" i="6"/>
  <c r="KI72" i="6"/>
  <c r="KI69" i="6"/>
  <c r="KI78" i="6"/>
  <c r="KI87" i="6"/>
  <c r="KI82" i="6"/>
  <c r="KI90" i="6"/>
  <c r="KI98" i="6"/>
  <c r="KI106" i="6"/>
  <c r="KI95" i="6"/>
  <c r="KI103" i="6"/>
  <c r="KI89" i="6"/>
  <c r="KI3" i="6"/>
  <c r="KI4" i="6"/>
  <c r="KI12" i="6"/>
  <c r="KI16" i="6"/>
  <c r="KI20" i="6"/>
  <c r="KI23" i="6"/>
  <c r="KI25" i="6"/>
  <c r="KI33" i="6"/>
  <c r="KI36" i="6"/>
  <c r="KI41" i="6"/>
  <c r="KI38" i="6"/>
  <c r="KI46" i="6"/>
  <c r="KI53" i="6"/>
  <c r="KI50" i="6"/>
  <c r="KI58" i="6"/>
  <c r="KI66" i="6"/>
  <c r="KI74" i="6"/>
  <c r="KI71" i="6"/>
  <c r="KI81" i="6"/>
  <c r="KI75" i="6"/>
  <c r="KI84" i="6"/>
  <c r="KI92" i="6"/>
  <c r="KI100" i="6"/>
  <c r="KI108" i="6"/>
  <c r="KI97" i="6"/>
  <c r="KI105" i="6"/>
  <c r="KI5" i="6"/>
  <c r="KI8" i="6"/>
  <c r="KI11" i="6"/>
  <c r="KI15" i="6"/>
  <c r="KI22" i="6"/>
  <c r="KI24" i="6"/>
  <c r="KI27" i="6"/>
  <c r="KI35" i="6"/>
  <c r="KI30" i="6"/>
  <c r="KI43" i="6"/>
  <c r="KI40" i="6"/>
  <c r="KI48" i="6"/>
  <c r="KI55" i="6"/>
  <c r="KI52" i="6"/>
  <c r="KI60" i="6"/>
  <c r="KI68" i="6"/>
  <c r="KI65" i="6"/>
  <c r="KI73" i="6"/>
  <c r="KI83" i="6"/>
  <c r="KI77" i="6"/>
  <c r="KI86" i="6"/>
  <c r="KI94" i="6"/>
  <c r="KI102" i="6"/>
  <c r="KI91" i="6"/>
  <c r="KI99" i="6"/>
  <c r="KI107" i="6"/>
  <c r="KI7" i="6"/>
  <c r="KI10" i="6"/>
  <c r="KI13" i="6"/>
  <c r="KI17" i="6"/>
  <c r="KI19" i="6"/>
  <c r="KI26" i="6"/>
  <c r="KI29" i="6"/>
  <c r="KI32" i="6"/>
  <c r="KI37" i="6"/>
  <c r="KI45" i="6"/>
  <c r="KI42" i="6"/>
  <c r="KI49" i="6"/>
  <c r="KI57" i="6"/>
  <c r="KI54" i="6"/>
  <c r="KI62" i="6"/>
  <c r="KI70" i="6"/>
  <c r="KI67" i="6"/>
  <c r="KI76" i="6"/>
  <c r="KI85" i="6"/>
  <c r="KI79" i="6"/>
  <c r="KI88" i="6"/>
  <c r="KI96" i="6"/>
  <c r="KI104" i="6"/>
  <c r="KI93" i="6"/>
  <c r="KI101" i="6"/>
  <c r="IZ5" i="6"/>
  <c r="IZ9" i="6"/>
  <c r="IZ15" i="6"/>
  <c r="IZ16" i="6"/>
  <c r="IZ19" i="6"/>
  <c r="IZ28" i="6"/>
  <c r="IZ29" i="6"/>
  <c r="IZ30" i="6"/>
  <c r="IZ38" i="6"/>
  <c r="IZ46" i="6"/>
  <c r="IZ41" i="6"/>
  <c r="IZ49" i="6"/>
  <c r="IZ56" i="6"/>
  <c r="IZ55" i="6"/>
  <c r="IZ64" i="6"/>
  <c r="IZ72" i="6"/>
  <c r="IZ69" i="6"/>
  <c r="IZ76" i="6"/>
  <c r="IZ85" i="6"/>
  <c r="IZ74" i="6"/>
  <c r="IZ90" i="6"/>
  <c r="IZ98" i="6"/>
  <c r="IZ106" i="6"/>
  <c r="IZ82" i="6"/>
  <c r="IZ97" i="6"/>
  <c r="IZ105" i="6"/>
  <c r="IZ7" i="6"/>
  <c r="IZ10" i="6"/>
  <c r="IZ17" i="6"/>
  <c r="IZ18" i="6"/>
  <c r="IZ21" i="6"/>
  <c r="IZ24" i="6"/>
  <c r="IZ31" i="6"/>
  <c r="IZ32" i="6"/>
  <c r="IZ40" i="6"/>
  <c r="IZ48" i="6"/>
  <c r="IZ43" i="6"/>
  <c r="IZ50" i="6"/>
  <c r="IZ58" i="6"/>
  <c r="IZ57" i="6"/>
  <c r="IZ66" i="6"/>
  <c r="IZ60" i="6"/>
  <c r="IZ71" i="6"/>
  <c r="IZ78" i="6"/>
  <c r="IZ87" i="6"/>
  <c r="IZ77" i="6"/>
  <c r="IZ92" i="6"/>
  <c r="IZ100" i="6"/>
  <c r="IZ108" i="6"/>
  <c r="IZ91" i="6"/>
  <c r="IZ99" i="6"/>
  <c r="IZ107" i="6"/>
  <c r="IZ4" i="6"/>
  <c r="IZ8" i="6"/>
  <c r="IZ11" i="6"/>
  <c r="IZ12" i="6"/>
  <c r="IZ20" i="6"/>
  <c r="IZ23" i="6"/>
  <c r="IZ25" i="6"/>
  <c r="IZ33" i="6"/>
  <c r="IZ34" i="6"/>
  <c r="IZ42" i="6"/>
  <c r="IZ37" i="6"/>
  <c r="IZ45" i="6"/>
  <c r="IZ52" i="6"/>
  <c r="IZ51" i="6"/>
  <c r="IZ59" i="6"/>
  <c r="IZ68" i="6"/>
  <c r="IZ65" i="6"/>
  <c r="IZ73" i="6"/>
  <c r="IZ81" i="6"/>
  <c r="IZ79" i="6"/>
  <c r="IZ86" i="6"/>
  <c r="IZ94" i="6"/>
  <c r="IZ102" i="6"/>
  <c r="IZ93" i="6"/>
  <c r="IZ101" i="6"/>
  <c r="IZ3" i="6"/>
  <c r="IZ6" i="6"/>
  <c r="IZ13" i="6"/>
  <c r="IZ14" i="6"/>
  <c r="IZ22" i="6"/>
  <c r="IZ26" i="6"/>
  <c r="IZ27" i="6"/>
  <c r="IZ35" i="6"/>
  <c r="IZ36" i="6"/>
  <c r="IZ44" i="6"/>
  <c r="IZ39" i="6"/>
  <c r="IZ47" i="6"/>
  <c r="IZ54" i="6"/>
  <c r="IZ53" i="6"/>
  <c r="IZ62" i="6"/>
  <c r="IZ70" i="6"/>
  <c r="IZ67" i="6"/>
  <c r="IZ75" i="6"/>
  <c r="IZ83" i="6"/>
  <c r="IZ88" i="6"/>
  <c r="IZ89" i="6"/>
  <c r="IZ96" i="6"/>
  <c r="IZ104" i="6"/>
  <c r="IZ84" i="6"/>
  <c r="IZ95" i="6"/>
  <c r="IZ103" i="6"/>
  <c r="JP7" i="6"/>
  <c r="JP10" i="6"/>
  <c r="JP17" i="6"/>
  <c r="JP18" i="6"/>
  <c r="JP21" i="6"/>
  <c r="JP24" i="6"/>
  <c r="JP31" i="6"/>
  <c r="JP32" i="6"/>
  <c r="JP40" i="6"/>
  <c r="JP48" i="6"/>
  <c r="JP43" i="6"/>
  <c r="JP52" i="6"/>
  <c r="JP49" i="6"/>
  <c r="JP57" i="6"/>
  <c r="JP66" i="6"/>
  <c r="JP60" i="6"/>
  <c r="JP71" i="6"/>
  <c r="JP81" i="6"/>
  <c r="JP79" i="6"/>
  <c r="JP89" i="6"/>
  <c r="JP96" i="6"/>
  <c r="JP104" i="6"/>
  <c r="JP74" i="6"/>
  <c r="JP91" i="6"/>
  <c r="JP99" i="6"/>
  <c r="JP107" i="6"/>
  <c r="JP4" i="6"/>
  <c r="JP6" i="6"/>
  <c r="JP11" i="6"/>
  <c r="JP12" i="6"/>
  <c r="JP20" i="6"/>
  <c r="JP23" i="6"/>
  <c r="JP25" i="6"/>
  <c r="JP33" i="6"/>
  <c r="JP34" i="6"/>
  <c r="JP42" i="6"/>
  <c r="JP37" i="6"/>
  <c r="JP45" i="6"/>
  <c r="JP54" i="6"/>
  <c r="JP51" i="6"/>
  <c r="JP59" i="6"/>
  <c r="JP68" i="6"/>
  <c r="JP65" i="6"/>
  <c r="JP73" i="6"/>
  <c r="JP83" i="6"/>
  <c r="JP88" i="6"/>
  <c r="JP90" i="6"/>
  <c r="JP98" i="6"/>
  <c r="JP106" i="6"/>
  <c r="JP75" i="6"/>
  <c r="JP93" i="6"/>
  <c r="JP101" i="6"/>
  <c r="JP3" i="6"/>
  <c r="JP8" i="6"/>
  <c r="JP13" i="6"/>
  <c r="JP14" i="6"/>
  <c r="JP22" i="6"/>
  <c r="JP26" i="6"/>
  <c r="JP27" i="6"/>
  <c r="JP35" i="6"/>
  <c r="JP36" i="6"/>
  <c r="JP44" i="6"/>
  <c r="JP39" i="6"/>
  <c r="JP47" i="6"/>
  <c r="JP56" i="6"/>
  <c r="JP53" i="6"/>
  <c r="JP62" i="6"/>
  <c r="JP70" i="6"/>
  <c r="JP67" i="6"/>
  <c r="JP76" i="6"/>
  <c r="JP85" i="6"/>
  <c r="JP77" i="6"/>
  <c r="JP92" i="6"/>
  <c r="JP100" i="6"/>
  <c r="JP108" i="6"/>
  <c r="JP84" i="6"/>
  <c r="JP95" i="6"/>
  <c r="JP103" i="6"/>
  <c r="JP5" i="6"/>
  <c r="JP9" i="6"/>
  <c r="JP15" i="6"/>
  <c r="JP16" i="6"/>
  <c r="JP19" i="6"/>
  <c r="JP28" i="6"/>
  <c r="JP29" i="6"/>
  <c r="JP30" i="6"/>
  <c r="JP38" i="6"/>
  <c r="JP46" i="6"/>
  <c r="JP41" i="6"/>
  <c r="JP50" i="6"/>
  <c r="JP58" i="6"/>
  <c r="JP55" i="6"/>
  <c r="JP64" i="6"/>
  <c r="JP72" i="6"/>
  <c r="JP69" i="6"/>
  <c r="JP78" i="6"/>
  <c r="JP87" i="6"/>
  <c r="JP86" i="6"/>
  <c r="JP94" i="6"/>
  <c r="JP102" i="6"/>
  <c r="JP82" i="6"/>
  <c r="JP97" i="6"/>
  <c r="JP105" i="6"/>
  <c r="KF7" i="6"/>
  <c r="KF10" i="6"/>
  <c r="KF17" i="6"/>
  <c r="KF18" i="6"/>
  <c r="KF21" i="6"/>
  <c r="KF28" i="6"/>
  <c r="KF31" i="6"/>
  <c r="KF32" i="6"/>
  <c r="KF40" i="6"/>
  <c r="KF48" i="6"/>
  <c r="KF43" i="6"/>
  <c r="KF52" i="6"/>
  <c r="KF49" i="6"/>
  <c r="KF57" i="6"/>
  <c r="KF66" i="6"/>
  <c r="KF60" i="6"/>
  <c r="KF71" i="6"/>
  <c r="KF81" i="6"/>
  <c r="KF79" i="6"/>
  <c r="KF89" i="6"/>
  <c r="KF96" i="6"/>
  <c r="KF104" i="6"/>
  <c r="KF84" i="6"/>
  <c r="KF93" i="6"/>
  <c r="KF101" i="6"/>
  <c r="KF4" i="6"/>
  <c r="KF6" i="6"/>
  <c r="KF11" i="6"/>
  <c r="KF12" i="6"/>
  <c r="KF20" i="6"/>
  <c r="KF23" i="6"/>
  <c r="KF25" i="6"/>
  <c r="KF33" i="6"/>
  <c r="KF34" i="6"/>
  <c r="KF42" i="6"/>
  <c r="KF37" i="6"/>
  <c r="KF45" i="6"/>
  <c r="KF54" i="6"/>
  <c r="KF51" i="6"/>
  <c r="KF59" i="6"/>
  <c r="KF68" i="6"/>
  <c r="KF65" i="6"/>
  <c r="KF73" i="6"/>
  <c r="KF83" i="6"/>
  <c r="KF88" i="6"/>
  <c r="KF90" i="6"/>
  <c r="KF98" i="6"/>
  <c r="KF106" i="6"/>
  <c r="KF74" i="6"/>
  <c r="KF95" i="6"/>
  <c r="KF103" i="6"/>
  <c r="KF3" i="6"/>
  <c r="KF8" i="6"/>
  <c r="KF13" i="6"/>
  <c r="KF14" i="6"/>
  <c r="KF22" i="6"/>
  <c r="KF24" i="6"/>
  <c r="KF27" i="6"/>
  <c r="KF35" i="6"/>
  <c r="KF36" i="6"/>
  <c r="KF44" i="6"/>
  <c r="KF39" i="6"/>
  <c r="KF47" i="6"/>
  <c r="KF56" i="6"/>
  <c r="KF53" i="6"/>
  <c r="KF62" i="6"/>
  <c r="KF70" i="6"/>
  <c r="KF67" i="6"/>
  <c r="KF76" i="6"/>
  <c r="KF85" i="6"/>
  <c r="KF77" i="6"/>
  <c r="KF92" i="6"/>
  <c r="KF100" i="6"/>
  <c r="KF108" i="6"/>
  <c r="KF82" i="6"/>
  <c r="KF97" i="6"/>
  <c r="KF105" i="6"/>
  <c r="KF5" i="6"/>
  <c r="KF9" i="6"/>
  <c r="KF15" i="6"/>
  <c r="KF16" i="6"/>
  <c r="KF19" i="6"/>
  <c r="KF26" i="6"/>
  <c r="KF29" i="6"/>
  <c r="KF30" i="6"/>
  <c r="KF38" i="6"/>
  <c r="KF46" i="6"/>
  <c r="KF41" i="6"/>
  <c r="KF50" i="6"/>
  <c r="KF58" i="6"/>
  <c r="KF55" i="6"/>
  <c r="KF64" i="6"/>
  <c r="KF72" i="6"/>
  <c r="KF69" i="6"/>
  <c r="KF78" i="6"/>
  <c r="KF87" i="6"/>
  <c r="KF86" i="6"/>
  <c r="KF94" i="6"/>
  <c r="KF102" i="6"/>
  <c r="KF75" i="6"/>
  <c r="KF91" i="6"/>
  <c r="KF99" i="6"/>
  <c r="KF107" i="6"/>
  <c r="IO8" i="6"/>
  <c r="IO10" i="6"/>
  <c r="IO15" i="6"/>
  <c r="IO19" i="6"/>
  <c r="IO22" i="6"/>
  <c r="IO27" i="6"/>
  <c r="IO30" i="6"/>
  <c r="IO33" i="6"/>
  <c r="IO40" i="6"/>
  <c r="IO48" i="6"/>
  <c r="IO43" i="6"/>
  <c r="IO50" i="6"/>
  <c r="IO58" i="6"/>
  <c r="IO55" i="6"/>
  <c r="IO65" i="6"/>
  <c r="IO73" i="6"/>
  <c r="IO70" i="6"/>
  <c r="IO79" i="6"/>
  <c r="IO88" i="6"/>
  <c r="IO81" i="6"/>
  <c r="IO89" i="6"/>
  <c r="IO97" i="6"/>
  <c r="IO105" i="6"/>
  <c r="IO92" i="6"/>
  <c r="IO100" i="6"/>
  <c r="IO108" i="6"/>
  <c r="IO4" i="6"/>
  <c r="IO7" i="6"/>
  <c r="IO11" i="6"/>
  <c r="IO14" i="6"/>
  <c r="IO21" i="6"/>
  <c r="IO24" i="6"/>
  <c r="IO29" i="6"/>
  <c r="IO32" i="6"/>
  <c r="IO35" i="6"/>
  <c r="IO42" i="6"/>
  <c r="IO37" i="6"/>
  <c r="IO45" i="6"/>
  <c r="IO52" i="6"/>
  <c r="IO60" i="6"/>
  <c r="IO57" i="6"/>
  <c r="IO67" i="6"/>
  <c r="IO64" i="6"/>
  <c r="IO72" i="6"/>
  <c r="IO82" i="6"/>
  <c r="IO75" i="6"/>
  <c r="IO83" i="6"/>
  <c r="IO91" i="6"/>
  <c r="IO99" i="6"/>
  <c r="IO107" i="6"/>
  <c r="IO94" i="6"/>
  <c r="IO102" i="6"/>
  <c r="IO6" i="6"/>
  <c r="IO5" i="6"/>
  <c r="IO12" i="6"/>
  <c r="IO16" i="6"/>
  <c r="IO17" i="6"/>
  <c r="IO23" i="6"/>
  <c r="IO26" i="6"/>
  <c r="IO34" i="6"/>
  <c r="IO31" i="6"/>
  <c r="IO44" i="6"/>
  <c r="IO39" i="6"/>
  <c r="IO47" i="6"/>
  <c r="IO54" i="6"/>
  <c r="IO51" i="6"/>
  <c r="IO59" i="6"/>
  <c r="IO69" i="6"/>
  <c r="IO66" i="6"/>
  <c r="IO74" i="6"/>
  <c r="IO84" i="6"/>
  <c r="IO76" i="6"/>
  <c r="IO85" i="6"/>
  <c r="IO93" i="6"/>
  <c r="IO101" i="6"/>
  <c r="IO96" i="6"/>
  <c r="IO104" i="6"/>
  <c r="IO3" i="6"/>
  <c r="IO9" i="6"/>
  <c r="IO13" i="6"/>
  <c r="IO18" i="6"/>
  <c r="IO20" i="6"/>
  <c r="IO25" i="6"/>
  <c r="IO28" i="6"/>
  <c r="IO36" i="6"/>
  <c r="IO38" i="6"/>
  <c r="IO46" i="6"/>
  <c r="IO41" i="6"/>
  <c r="IO49" i="6"/>
  <c r="IO56" i="6"/>
  <c r="IO53" i="6"/>
  <c r="IO62" i="6"/>
  <c r="IO71" i="6"/>
  <c r="IO68" i="6"/>
  <c r="IO77" i="6"/>
  <c r="IO86" i="6"/>
  <c r="IO78" i="6"/>
  <c r="IO87" i="6"/>
  <c r="IO95" i="6"/>
  <c r="IO103" i="6"/>
  <c r="IO90" i="6"/>
  <c r="IO98" i="6"/>
  <c r="IO106" i="6"/>
  <c r="JE4" i="6"/>
  <c r="JE5" i="6"/>
  <c r="JE11" i="6"/>
  <c r="JE14" i="6"/>
  <c r="JE21" i="6"/>
  <c r="JE24" i="6"/>
  <c r="JE29" i="6"/>
  <c r="JE32" i="6"/>
  <c r="JE33" i="6"/>
  <c r="JE42" i="6"/>
  <c r="JE37" i="6"/>
  <c r="JE45" i="6"/>
  <c r="JE54" i="6"/>
  <c r="JE51" i="6"/>
  <c r="JE59" i="6"/>
  <c r="JE69" i="6"/>
  <c r="JE64" i="6"/>
  <c r="JE72" i="6"/>
  <c r="JE82" i="6"/>
  <c r="JE75" i="6"/>
  <c r="JE83" i="6"/>
  <c r="JE91" i="6"/>
  <c r="JE99" i="6"/>
  <c r="JE107" i="6"/>
  <c r="JE94" i="6"/>
  <c r="JE102" i="6"/>
  <c r="JE3" i="6"/>
  <c r="JE9" i="6"/>
  <c r="JE12" i="6"/>
  <c r="JE16" i="6"/>
  <c r="JE17" i="6"/>
  <c r="JE23" i="6"/>
  <c r="JE26" i="6"/>
  <c r="JE34" i="6"/>
  <c r="JE35" i="6"/>
  <c r="JE44" i="6"/>
  <c r="JE39" i="6"/>
  <c r="JE47" i="6"/>
  <c r="JE56" i="6"/>
  <c r="JE53" i="6"/>
  <c r="JE62" i="6"/>
  <c r="JE71" i="6"/>
  <c r="JE66" i="6"/>
  <c r="JE74" i="6"/>
  <c r="JE84" i="6"/>
  <c r="JE76" i="6"/>
  <c r="JE85" i="6"/>
  <c r="JE93" i="6"/>
  <c r="JE101" i="6"/>
  <c r="JE96" i="6"/>
  <c r="JE104" i="6"/>
  <c r="JE6" i="6"/>
  <c r="JE8" i="6"/>
  <c r="JE13" i="6"/>
  <c r="JE18" i="6"/>
  <c r="JE20" i="6"/>
  <c r="JE25" i="6"/>
  <c r="JE28" i="6"/>
  <c r="JE36" i="6"/>
  <c r="JE38" i="6"/>
  <c r="JE46" i="6"/>
  <c r="JE41" i="6"/>
  <c r="JE50" i="6"/>
  <c r="JE58" i="6"/>
  <c r="JE55" i="6"/>
  <c r="JE65" i="6"/>
  <c r="JE73" i="6"/>
  <c r="JE68" i="6"/>
  <c r="JE77" i="6"/>
  <c r="JE86" i="6"/>
  <c r="JE78" i="6"/>
  <c r="JE87" i="6"/>
  <c r="JE95" i="6"/>
  <c r="JE103" i="6"/>
  <c r="JE90" i="6"/>
  <c r="JE98" i="6"/>
  <c r="JE106" i="6"/>
  <c r="JE7" i="6"/>
  <c r="JE10" i="6"/>
  <c r="JE15" i="6"/>
  <c r="JE19" i="6"/>
  <c r="JE22" i="6"/>
  <c r="JE27" i="6"/>
  <c r="JE30" i="6"/>
  <c r="JE31" i="6"/>
  <c r="JE40" i="6"/>
  <c r="JE48" i="6"/>
  <c r="JE43" i="6"/>
  <c r="JE52" i="6"/>
  <c r="JE49" i="6"/>
  <c r="JE57" i="6"/>
  <c r="JE67" i="6"/>
  <c r="JE60" i="6"/>
  <c r="JE70" i="6"/>
  <c r="JE79" i="6"/>
  <c r="JE88" i="6"/>
  <c r="JE81" i="6"/>
  <c r="JE89" i="6"/>
  <c r="JE97" i="6"/>
  <c r="JE105" i="6"/>
  <c r="JE92" i="6"/>
  <c r="JE100" i="6"/>
  <c r="JE108" i="6"/>
  <c r="JU3" i="6"/>
  <c r="JU9" i="6"/>
  <c r="JU12" i="6"/>
  <c r="JU16" i="6"/>
  <c r="JU17" i="6"/>
  <c r="JU25" i="6"/>
  <c r="JU26" i="6"/>
  <c r="JU34" i="6"/>
  <c r="JU35" i="6"/>
  <c r="JU44" i="6"/>
  <c r="JU39" i="6"/>
  <c r="JU47" i="6"/>
  <c r="JU56" i="6"/>
  <c r="JU53" i="6"/>
  <c r="JU62" i="6"/>
  <c r="JU71" i="6"/>
  <c r="JU66" i="6"/>
  <c r="JU74" i="6"/>
  <c r="JU82" i="6"/>
  <c r="JU76" i="6"/>
  <c r="JU85" i="6"/>
  <c r="JU93" i="6"/>
  <c r="JU101" i="6"/>
  <c r="JU96" i="6"/>
  <c r="JU104" i="6"/>
  <c r="JU6" i="6"/>
  <c r="JU8" i="6"/>
  <c r="JU13" i="6"/>
  <c r="JU18" i="6"/>
  <c r="JU20" i="6"/>
  <c r="JU27" i="6"/>
  <c r="JU28" i="6"/>
  <c r="JU36" i="6"/>
  <c r="JU38" i="6"/>
  <c r="JU46" i="6"/>
  <c r="JU41" i="6"/>
  <c r="JU50" i="6"/>
  <c r="JU58" i="6"/>
  <c r="JU55" i="6"/>
  <c r="JU65" i="6"/>
  <c r="JU73" i="6"/>
  <c r="JU68" i="6"/>
  <c r="JU75" i="6"/>
  <c r="JU84" i="6"/>
  <c r="JU78" i="6"/>
  <c r="JU87" i="6"/>
  <c r="JU95" i="6"/>
  <c r="JU103" i="6"/>
  <c r="JU90" i="6"/>
  <c r="JU98" i="6"/>
  <c r="JU106" i="6"/>
  <c r="JU7" i="6"/>
  <c r="JU10" i="6"/>
  <c r="JU15" i="6"/>
  <c r="JU19" i="6"/>
  <c r="JU22" i="6"/>
  <c r="JU29" i="6"/>
  <c r="JU30" i="6"/>
  <c r="JU31" i="6"/>
  <c r="JU40" i="6"/>
  <c r="JU48" i="6"/>
  <c r="JU43" i="6"/>
  <c r="JU52" i="6"/>
  <c r="JU49" i="6"/>
  <c r="JU57" i="6"/>
  <c r="JU67" i="6"/>
  <c r="JU60" i="6"/>
  <c r="JU70" i="6"/>
  <c r="JU77" i="6"/>
  <c r="JU86" i="6"/>
  <c r="JU81" i="6"/>
  <c r="JU89" i="6"/>
  <c r="JU97" i="6"/>
  <c r="JU105" i="6"/>
  <c r="JU92" i="6"/>
  <c r="JU100" i="6"/>
  <c r="JU108" i="6"/>
  <c r="JU4" i="6"/>
  <c r="JU5" i="6"/>
  <c r="JU11" i="6"/>
  <c r="JU14" i="6"/>
  <c r="JU21" i="6"/>
  <c r="JU23" i="6"/>
  <c r="JU24" i="6"/>
  <c r="JU32" i="6"/>
  <c r="JU33" i="6"/>
  <c r="JU42" i="6"/>
  <c r="JU37" i="6"/>
  <c r="JU45" i="6"/>
  <c r="JU54" i="6"/>
  <c r="JU51" i="6"/>
  <c r="JU59" i="6"/>
  <c r="JU69" i="6"/>
  <c r="JU64" i="6"/>
  <c r="JU72" i="6"/>
  <c r="JU79" i="6"/>
  <c r="JU88" i="6"/>
  <c r="JU83" i="6"/>
  <c r="JU91" i="6"/>
  <c r="JU99" i="6"/>
  <c r="JU107" i="6"/>
  <c r="JU94" i="6"/>
  <c r="JU102" i="6"/>
  <c r="KK6" i="6"/>
  <c r="KK8" i="6"/>
  <c r="KK13" i="6"/>
  <c r="KK18" i="6"/>
  <c r="KK20" i="6"/>
  <c r="KK27" i="6"/>
  <c r="KK28" i="6"/>
  <c r="KK36" i="6"/>
  <c r="KK38" i="6"/>
  <c r="KK46" i="6"/>
  <c r="KK41" i="6"/>
  <c r="KK50" i="6"/>
  <c r="KK58" i="6"/>
  <c r="KK55" i="6"/>
  <c r="KK65" i="6"/>
  <c r="KK73" i="6"/>
  <c r="KK68" i="6"/>
  <c r="KK75" i="6"/>
  <c r="KK84" i="6"/>
  <c r="KK78" i="6"/>
  <c r="KK87" i="6"/>
  <c r="KK95" i="6"/>
  <c r="KK103" i="6"/>
  <c r="KK90" i="6"/>
  <c r="KK98" i="6"/>
  <c r="KK106" i="6"/>
  <c r="KK7" i="6"/>
  <c r="KK10" i="6"/>
  <c r="KK15" i="6"/>
  <c r="KK19" i="6"/>
  <c r="KK22" i="6"/>
  <c r="KK29" i="6"/>
  <c r="KK30" i="6"/>
  <c r="KK31" i="6"/>
  <c r="KK40" i="6"/>
  <c r="KK48" i="6"/>
  <c r="KK43" i="6"/>
  <c r="KK52" i="6"/>
  <c r="KK49" i="6"/>
  <c r="KK57" i="6"/>
  <c r="KK67" i="6"/>
  <c r="KK60" i="6"/>
  <c r="KK70" i="6"/>
  <c r="KK77" i="6"/>
  <c r="KK86" i="6"/>
  <c r="KK81" i="6"/>
  <c r="KK89" i="6"/>
  <c r="KK97" i="6"/>
  <c r="KK105" i="6"/>
  <c r="KK92" i="6"/>
  <c r="KK100" i="6"/>
  <c r="KK108" i="6"/>
  <c r="KK4" i="6"/>
  <c r="KK5" i="6"/>
  <c r="KK11" i="6"/>
  <c r="KK14" i="6"/>
  <c r="KK21" i="6"/>
  <c r="KK23" i="6"/>
  <c r="KK24" i="6"/>
  <c r="KK32" i="6"/>
  <c r="KK33" i="6"/>
  <c r="KK42" i="6"/>
  <c r="KK37" i="6"/>
  <c r="KK45" i="6"/>
  <c r="KK54" i="6"/>
  <c r="KK51" i="6"/>
  <c r="KK59" i="6"/>
  <c r="KK69" i="6"/>
  <c r="KK64" i="6"/>
  <c r="KK72" i="6"/>
  <c r="KK79" i="6"/>
  <c r="KK88" i="6"/>
  <c r="KK83" i="6"/>
  <c r="KK91" i="6"/>
  <c r="KK99" i="6"/>
  <c r="KK107" i="6"/>
  <c r="KK94" i="6"/>
  <c r="KK102" i="6"/>
  <c r="KK3" i="6"/>
  <c r="KK9" i="6"/>
  <c r="KK12" i="6"/>
  <c r="KK16" i="6"/>
  <c r="KK17" i="6"/>
  <c r="KK25" i="6"/>
  <c r="KK26" i="6"/>
  <c r="KK34" i="6"/>
  <c r="KK35" i="6"/>
  <c r="KK44" i="6"/>
  <c r="KK39" i="6"/>
  <c r="KK47" i="6"/>
  <c r="KK56" i="6"/>
  <c r="KK53" i="6"/>
  <c r="KK62" i="6"/>
  <c r="KK71" i="6"/>
  <c r="KK66" i="6"/>
  <c r="KK74" i="6"/>
  <c r="KK82" i="6"/>
  <c r="KK76" i="6"/>
  <c r="KK85" i="6"/>
  <c r="KK93" i="6"/>
  <c r="KK101" i="6"/>
  <c r="KK96" i="6"/>
  <c r="KK104" i="6"/>
  <c r="KS106" i="6"/>
  <c r="KS98" i="6"/>
  <c r="KS90" i="6"/>
  <c r="KS103" i="6"/>
  <c r="KS95" i="6"/>
  <c r="KS87" i="6"/>
  <c r="KS78" i="6"/>
  <c r="KS84" i="6"/>
  <c r="KS75" i="6"/>
  <c r="KS68" i="6"/>
  <c r="KS73" i="6"/>
  <c r="KS65" i="6"/>
  <c r="KS55" i="6"/>
  <c r="KS58" i="6"/>
  <c r="KS50" i="6"/>
  <c r="KS41" i="6"/>
  <c r="KS46" i="6"/>
  <c r="KS38" i="6"/>
  <c r="KS36" i="6"/>
  <c r="KS28" i="6"/>
  <c r="KS29" i="6"/>
  <c r="KS20" i="6"/>
  <c r="KS18" i="6"/>
  <c r="KS13" i="6"/>
  <c r="KS8" i="6"/>
  <c r="KO104" i="6"/>
  <c r="KO96" i="6"/>
  <c r="KO101" i="6"/>
  <c r="KO93" i="6"/>
  <c r="KO85" i="6"/>
  <c r="KO76" i="6"/>
  <c r="KO82" i="6"/>
  <c r="KO74" i="6"/>
  <c r="KO66" i="6"/>
  <c r="KO69" i="6"/>
  <c r="KO62" i="6"/>
  <c r="KO53" i="6"/>
  <c r="KO56" i="6"/>
  <c r="KO47" i="6"/>
  <c r="KO39" i="6"/>
  <c r="KO44" i="6"/>
  <c r="KO35" i="6"/>
  <c r="KO34" i="6"/>
  <c r="KO26" i="6"/>
  <c r="KO27" i="6"/>
  <c r="KO20" i="6"/>
  <c r="KO16" i="6"/>
  <c r="KO12" i="6"/>
  <c r="KO9" i="6"/>
  <c r="KG102" i="6"/>
  <c r="KG94" i="6"/>
  <c r="KG107" i="6"/>
  <c r="KG99" i="6"/>
  <c r="KG91" i="6"/>
  <c r="KG83" i="6"/>
  <c r="KG88" i="6"/>
  <c r="KG79" i="6"/>
  <c r="KG72" i="6"/>
  <c r="KG64" i="6"/>
  <c r="KG67" i="6"/>
  <c r="KG59" i="6"/>
  <c r="KG51" i="6"/>
  <c r="KG54" i="6"/>
  <c r="KG45" i="6"/>
  <c r="KG37" i="6"/>
  <c r="KG42" i="6"/>
  <c r="KG33" i="6"/>
  <c r="KG32" i="6"/>
  <c r="KG26" i="6"/>
  <c r="KG25" i="6"/>
  <c r="KG21" i="6"/>
  <c r="KG14" i="6"/>
  <c r="KG11" i="6"/>
  <c r="KG3" i="6"/>
  <c r="KC108" i="6"/>
  <c r="KC100" i="6"/>
  <c r="KC92" i="6"/>
  <c r="KC105" i="6"/>
  <c r="KC97" i="6"/>
  <c r="KC89" i="6"/>
  <c r="KC81" i="6"/>
  <c r="KC86" i="6"/>
  <c r="KC77" i="6"/>
  <c r="KC70" i="6"/>
  <c r="KC60" i="6"/>
  <c r="KC67" i="6"/>
  <c r="KC57" i="6"/>
  <c r="KC49" i="6"/>
  <c r="KC52" i="6"/>
  <c r="KC43" i="6"/>
  <c r="KC48" i="6"/>
  <c r="KC40" i="6"/>
  <c r="KC31" i="6"/>
  <c r="KC30" i="6"/>
  <c r="KC23" i="6"/>
  <c r="KC22" i="6"/>
  <c r="KC17" i="6"/>
  <c r="KC15" i="6"/>
  <c r="KC10" i="6"/>
  <c r="JY106" i="6"/>
  <c r="JY98" i="6"/>
  <c r="JY90" i="6"/>
  <c r="JY103" i="6"/>
  <c r="JY95" i="6"/>
  <c r="JY87" i="6"/>
  <c r="JY78" i="6"/>
  <c r="JY84" i="6"/>
  <c r="JY75" i="6"/>
  <c r="JY68" i="6"/>
  <c r="JY71" i="6"/>
  <c r="JY60" i="6"/>
  <c r="JY55" i="6"/>
  <c r="JY58" i="6"/>
  <c r="JY50" i="6"/>
  <c r="JY41" i="6"/>
  <c r="JY46" i="6"/>
  <c r="JY38" i="6"/>
  <c r="JY36" i="6"/>
  <c r="JY28" i="6"/>
  <c r="JY29" i="6"/>
  <c r="JY22" i="6"/>
  <c r="JY18" i="6"/>
  <c r="JY15" i="6"/>
  <c r="JY9" i="6"/>
  <c r="JQ104" i="6"/>
  <c r="JQ96" i="6"/>
  <c r="JQ101" i="6"/>
  <c r="JQ93" i="6"/>
  <c r="JQ85" i="6"/>
  <c r="JQ76" i="6"/>
  <c r="JQ82" i="6"/>
  <c r="JQ74" i="6"/>
  <c r="JQ66" i="6"/>
  <c r="JQ69" i="6"/>
  <c r="JQ62" i="6"/>
  <c r="JQ53" i="6"/>
  <c r="JQ56" i="6"/>
  <c r="JQ47" i="6"/>
  <c r="JQ39" i="6"/>
  <c r="JQ44" i="6"/>
  <c r="JQ35" i="6"/>
  <c r="JQ34" i="6"/>
  <c r="JQ28" i="6"/>
  <c r="JQ25" i="6"/>
  <c r="JQ17" i="6"/>
  <c r="JQ16" i="6"/>
  <c r="JQ12" i="6"/>
  <c r="JQ8" i="6"/>
  <c r="JM102" i="6"/>
  <c r="JM94" i="6"/>
  <c r="JM107" i="6"/>
  <c r="JM99" i="6"/>
  <c r="JM91" i="6"/>
  <c r="JM83" i="6"/>
  <c r="JM88" i="6"/>
  <c r="JM79" i="6"/>
  <c r="JM72" i="6"/>
  <c r="JM64" i="6"/>
  <c r="JM69" i="6"/>
  <c r="JM59" i="6"/>
  <c r="JM51" i="6"/>
  <c r="JM54" i="6"/>
  <c r="JM45" i="6"/>
  <c r="JM37" i="6"/>
  <c r="JM42" i="6"/>
  <c r="JM33" i="6"/>
  <c r="JM32" i="6"/>
  <c r="JM23" i="6"/>
  <c r="JM24" i="6"/>
  <c r="JM19" i="6"/>
  <c r="JM14" i="6"/>
  <c r="JM11" i="6"/>
  <c r="JM7" i="6"/>
  <c r="JI108" i="6"/>
  <c r="JI100" i="6"/>
  <c r="JI92" i="6"/>
  <c r="JI105" i="6"/>
  <c r="JI97" i="6"/>
  <c r="JI89" i="6"/>
  <c r="JI81" i="6"/>
  <c r="JI86" i="6"/>
  <c r="JI77" i="6"/>
  <c r="JI70" i="6"/>
  <c r="JI73" i="6"/>
  <c r="JI65" i="6"/>
  <c r="JI57" i="6"/>
  <c r="JI49" i="6"/>
  <c r="JI52" i="6"/>
  <c r="JI43" i="6"/>
  <c r="JI48" i="6"/>
  <c r="JI40" i="6"/>
  <c r="JI31" i="6"/>
  <c r="JI30" i="6"/>
  <c r="JI29" i="6"/>
  <c r="JI24" i="6"/>
  <c r="JI19" i="6"/>
  <c r="JI13" i="6"/>
  <c r="JI10" i="6"/>
  <c r="JA106" i="6"/>
  <c r="JA98" i="6"/>
  <c r="JA90" i="6"/>
  <c r="JA103" i="6"/>
  <c r="JA95" i="6"/>
  <c r="JA87" i="6"/>
  <c r="JA78" i="6"/>
  <c r="JA84" i="6"/>
  <c r="JA75" i="6"/>
  <c r="JA68" i="6"/>
  <c r="JA71" i="6"/>
  <c r="JA60" i="6"/>
  <c r="JA55" i="6"/>
  <c r="JA56" i="6"/>
  <c r="JA49" i="6"/>
  <c r="JA41" i="6"/>
  <c r="JA46" i="6"/>
  <c r="JA38" i="6"/>
  <c r="JA36" i="6"/>
  <c r="JA30" i="6"/>
  <c r="JA27" i="6"/>
  <c r="JA20" i="6"/>
  <c r="JA18" i="6"/>
  <c r="JA15" i="6"/>
  <c r="JA9" i="6"/>
  <c r="IW104" i="6"/>
  <c r="IW96" i="6"/>
  <c r="IW101" i="6"/>
  <c r="IW93" i="6"/>
  <c r="IW85" i="6"/>
  <c r="IW76" i="6"/>
  <c r="IW84" i="6"/>
  <c r="IW74" i="6"/>
  <c r="IW66" i="6"/>
  <c r="IW69" i="6"/>
  <c r="IW59" i="6"/>
  <c r="IW51" i="6"/>
  <c r="IW54" i="6"/>
  <c r="IW47" i="6"/>
  <c r="IW39" i="6"/>
  <c r="IW44" i="6"/>
  <c r="IW31" i="6"/>
  <c r="IW34" i="6"/>
  <c r="IW26" i="6"/>
  <c r="IW25" i="6"/>
  <c r="IW19" i="6"/>
  <c r="IW16" i="6"/>
  <c r="IW12" i="6"/>
  <c r="IW7" i="6"/>
  <c r="IS102" i="6"/>
  <c r="IS94" i="6"/>
  <c r="IS107" i="6"/>
  <c r="IS99" i="6"/>
  <c r="IS91" i="6"/>
  <c r="IS83" i="6"/>
  <c r="IS88" i="6"/>
  <c r="IS79" i="6"/>
  <c r="IS72" i="6"/>
  <c r="IS64" i="6"/>
  <c r="IS67" i="6"/>
  <c r="IS57" i="6"/>
  <c r="IS60" i="6"/>
  <c r="IS52" i="6"/>
  <c r="IS45" i="6"/>
  <c r="IS37" i="6"/>
  <c r="IS42" i="6"/>
  <c r="IS33" i="6"/>
  <c r="IS32" i="6"/>
  <c r="IS23" i="6"/>
  <c r="IS17" i="6"/>
  <c r="IS19" i="6"/>
  <c r="IS14" i="6"/>
  <c r="IS11" i="6"/>
  <c r="IS3" i="6"/>
  <c r="IK108" i="6"/>
  <c r="IK100" i="6"/>
  <c r="IK92" i="6"/>
  <c r="IK85" i="6"/>
  <c r="IK105" i="6"/>
  <c r="IK97" i="6"/>
  <c r="IK87" i="6"/>
  <c r="IK86" i="6"/>
  <c r="IK77" i="6"/>
  <c r="IK70" i="6"/>
  <c r="IK62" i="6"/>
  <c r="IK67" i="6"/>
  <c r="IK56" i="6"/>
  <c r="IK59" i="6"/>
  <c r="IK51" i="6"/>
  <c r="IK42" i="6"/>
  <c r="IK47" i="6"/>
  <c r="IK39" i="6"/>
  <c r="IK31" i="6"/>
  <c r="IK30" i="6"/>
  <c r="IK27" i="6"/>
  <c r="IK20" i="6"/>
  <c r="IK19" i="6"/>
  <c r="IK14" i="6"/>
  <c r="IK10" i="6"/>
  <c r="KM103" i="6"/>
  <c r="KM95" i="6"/>
  <c r="KM108" i="6"/>
  <c r="KM100" i="6"/>
  <c r="KM92" i="6"/>
  <c r="KM84" i="6"/>
  <c r="KM75" i="6"/>
  <c r="KM81" i="6"/>
  <c r="KM71" i="6"/>
  <c r="KM62" i="6"/>
  <c r="KM68" i="6"/>
  <c r="KM58" i="6"/>
  <c r="KM50" i="6"/>
  <c r="KM53" i="6"/>
  <c r="KM46" i="6"/>
  <c r="KM38" i="6"/>
  <c r="KM41" i="6"/>
  <c r="KM34" i="6"/>
  <c r="KM33" i="6"/>
  <c r="KM25" i="6"/>
  <c r="KM23" i="6"/>
  <c r="KM22" i="6"/>
  <c r="KM16" i="6"/>
  <c r="KM12" i="6"/>
  <c r="KM6" i="6"/>
  <c r="JW101" i="6"/>
  <c r="JW93" i="6"/>
  <c r="JW106" i="6"/>
  <c r="JW98" i="6"/>
  <c r="JW90" i="6"/>
  <c r="JW82" i="6"/>
  <c r="JW87" i="6"/>
  <c r="JW78" i="6"/>
  <c r="JW69" i="6"/>
  <c r="JW74" i="6"/>
  <c r="JW66" i="6"/>
  <c r="JW56" i="6"/>
  <c r="JW59" i="6"/>
  <c r="JW51" i="6"/>
  <c r="JW44" i="6"/>
  <c r="JW47" i="6"/>
  <c r="JW39" i="6"/>
  <c r="JW32" i="6"/>
  <c r="JW31" i="6"/>
  <c r="JW28" i="6"/>
  <c r="JW21" i="6"/>
  <c r="JW20" i="6"/>
  <c r="JW14" i="6"/>
  <c r="JW9" i="6"/>
  <c r="JG105" i="6"/>
  <c r="JG97" i="6"/>
  <c r="JG89" i="6"/>
  <c r="JG104" i="6"/>
  <c r="JG96" i="6"/>
  <c r="JG88" i="6"/>
  <c r="JG79" i="6"/>
  <c r="JG83" i="6"/>
  <c r="JG75" i="6"/>
  <c r="JG67" i="6"/>
  <c r="JG72" i="6"/>
  <c r="JG64" i="6"/>
  <c r="JG54" i="6"/>
  <c r="JG57" i="6"/>
  <c r="JG49" i="6"/>
  <c r="JG42" i="6"/>
  <c r="JG45" i="6"/>
  <c r="JG37" i="6"/>
  <c r="JG30" i="6"/>
  <c r="JG29" i="6"/>
  <c r="JG28" i="6"/>
  <c r="JG19" i="6"/>
  <c r="JG17" i="6"/>
  <c r="JG13" i="6"/>
  <c r="JG10" i="6"/>
  <c r="IQ103" i="6"/>
  <c r="IQ95" i="6"/>
  <c r="IQ102" i="6"/>
  <c r="IQ94" i="6"/>
  <c r="IQ86" i="6"/>
  <c r="IQ77" i="6"/>
  <c r="IQ81" i="6"/>
  <c r="IQ73" i="6"/>
  <c r="IQ65" i="6"/>
  <c r="IQ70" i="6"/>
  <c r="IQ60" i="6"/>
  <c r="IQ52" i="6"/>
  <c r="IQ55" i="6"/>
  <c r="IQ46" i="6"/>
  <c r="IQ38" i="6"/>
  <c r="IQ43" i="6"/>
  <c r="IQ36" i="6"/>
  <c r="IQ35" i="6"/>
  <c r="IQ27" i="6"/>
  <c r="IQ26" i="6"/>
  <c r="IQ22" i="6"/>
  <c r="IQ15" i="6"/>
  <c r="IQ11" i="6"/>
  <c r="IQ10" i="6"/>
  <c r="KP102" i="6"/>
  <c r="KP94" i="6"/>
  <c r="KP78" i="6"/>
  <c r="KP105" i="6"/>
  <c r="KP97" i="6"/>
  <c r="KP88" i="6"/>
  <c r="KP76" i="6"/>
  <c r="KP79" i="6"/>
  <c r="KP72" i="6"/>
  <c r="KP64" i="6"/>
  <c r="KP69" i="6"/>
  <c r="KP58" i="6"/>
  <c r="KP50" i="6"/>
  <c r="KP53" i="6"/>
  <c r="KP46" i="6"/>
  <c r="KP38" i="6"/>
  <c r="KP41" i="6"/>
  <c r="KP33" i="6"/>
  <c r="KP32" i="6"/>
  <c r="KP26" i="6"/>
  <c r="KP22" i="6"/>
  <c r="KP21" i="6"/>
  <c r="KP16" i="6"/>
  <c r="KP11" i="6"/>
  <c r="KP7" i="6"/>
  <c r="KL108" i="6"/>
  <c r="KL100" i="6"/>
  <c r="KL92" i="6"/>
  <c r="KL76" i="6"/>
  <c r="KL107" i="6"/>
  <c r="KL99" i="6"/>
  <c r="KL91" i="6"/>
  <c r="KL86" i="6"/>
  <c r="KL77" i="6"/>
  <c r="KL70" i="6"/>
  <c r="KL73" i="6"/>
  <c r="KL65" i="6"/>
  <c r="KL56" i="6"/>
  <c r="KL59" i="6"/>
  <c r="KL51" i="6"/>
  <c r="KL44" i="6"/>
  <c r="KL47" i="6"/>
  <c r="KL39" i="6"/>
  <c r="KL31" i="6"/>
  <c r="KL29" i="6"/>
  <c r="KL24" i="6"/>
  <c r="KL20" i="6"/>
  <c r="KL18" i="6"/>
  <c r="KL16" i="6"/>
  <c r="KL9" i="6"/>
  <c r="KH106" i="6"/>
  <c r="KH98" i="6"/>
  <c r="KH90" i="6"/>
  <c r="KH76" i="6"/>
  <c r="KH103" i="6"/>
  <c r="KH95" i="6"/>
  <c r="KH87" i="6"/>
  <c r="KH84" i="6"/>
  <c r="KH75" i="6"/>
  <c r="KH68" i="6"/>
  <c r="KH73" i="6"/>
  <c r="KH65" i="6"/>
  <c r="KH54" i="6"/>
  <c r="KH57" i="6"/>
  <c r="KH49" i="6"/>
  <c r="KH42" i="6"/>
  <c r="KH45" i="6"/>
  <c r="KH37" i="6"/>
  <c r="KH29" i="6"/>
  <c r="KH30" i="6"/>
  <c r="KH27" i="6"/>
  <c r="KH18" i="6"/>
  <c r="KH17" i="6"/>
  <c r="KH13" i="6"/>
  <c r="KH10" i="6"/>
  <c r="KD104" i="6"/>
  <c r="KD96" i="6"/>
  <c r="KD89" i="6"/>
  <c r="KD101" i="6"/>
  <c r="KD93" i="6"/>
  <c r="KD87" i="6"/>
  <c r="KD82" i="6"/>
  <c r="KD74" i="6"/>
  <c r="KD66" i="6"/>
  <c r="KD69" i="6"/>
  <c r="KD60" i="6"/>
  <c r="KD52" i="6"/>
  <c r="KD55" i="6"/>
  <c r="KD48" i="6"/>
  <c r="KD40" i="6"/>
  <c r="KD43" i="6"/>
  <c r="KD35" i="6"/>
  <c r="KD36" i="6"/>
  <c r="KD28" i="6"/>
  <c r="KD25" i="6"/>
  <c r="KD21" i="6"/>
  <c r="KD15" i="6"/>
  <c r="KD12" i="6"/>
  <c r="KD8" i="6"/>
  <c r="JZ102" i="6"/>
  <c r="JZ94" i="6"/>
  <c r="JZ78" i="6"/>
  <c r="JZ105" i="6"/>
  <c r="JZ97" i="6"/>
  <c r="JZ88" i="6"/>
  <c r="JZ76" i="6"/>
  <c r="JZ79" i="6"/>
  <c r="JZ72" i="6"/>
  <c r="JZ64" i="6"/>
  <c r="JZ69" i="6"/>
  <c r="JZ58" i="6"/>
  <c r="JZ50" i="6"/>
  <c r="JZ53" i="6"/>
  <c r="JZ46" i="6"/>
  <c r="JZ38" i="6"/>
  <c r="JZ41" i="6"/>
  <c r="JZ33" i="6"/>
  <c r="JZ32" i="6"/>
  <c r="JZ26" i="6"/>
  <c r="JZ22" i="6"/>
  <c r="JZ21" i="6"/>
  <c r="JZ16" i="6"/>
  <c r="JZ11" i="6"/>
  <c r="JZ8" i="6"/>
  <c r="JV108" i="6"/>
  <c r="JV100" i="6"/>
  <c r="JV92" i="6"/>
  <c r="JV76" i="6"/>
  <c r="JV107" i="6"/>
  <c r="JV99" i="6"/>
  <c r="JV91" i="6"/>
  <c r="JV86" i="6"/>
  <c r="JV77" i="6"/>
  <c r="JV70" i="6"/>
  <c r="JV73" i="6"/>
  <c r="JV65" i="6"/>
  <c r="JV56" i="6"/>
  <c r="JV59" i="6"/>
  <c r="JV51" i="6"/>
  <c r="JV44" i="6"/>
  <c r="JV47" i="6"/>
  <c r="JV39" i="6"/>
  <c r="JV31" i="6"/>
  <c r="JV29" i="6"/>
  <c r="JV24" i="6"/>
  <c r="JV20" i="6"/>
  <c r="JV18" i="6"/>
  <c r="JV16" i="6"/>
  <c r="JV9" i="6"/>
  <c r="JR106" i="6"/>
  <c r="JR98" i="6"/>
  <c r="JR90" i="6"/>
  <c r="JR76" i="6"/>
  <c r="JR103" i="6"/>
  <c r="JR95" i="6"/>
  <c r="JR87" i="6"/>
  <c r="JR84" i="6"/>
  <c r="JR75" i="6"/>
  <c r="JR68" i="6"/>
  <c r="JR73" i="6"/>
  <c r="JR65" i="6"/>
  <c r="JR54" i="6"/>
  <c r="JR57" i="6"/>
  <c r="JR49" i="6"/>
  <c r="JR42" i="6"/>
  <c r="JR45" i="6"/>
  <c r="JR37" i="6"/>
  <c r="JR29" i="6"/>
  <c r="JR30" i="6"/>
  <c r="JR25" i="6"/>
  <c r="JR18" i="6"/>
  <c r="JR17" i="6"/>
  <c r="JR13" i="6"/>
  <c r="JR10" i="6"/>
  <c r="JN104" i="6"/>
  <c r="JN96" i="6"/>
  <c r="JN89" i="6"/>
  <c r="JN101" i="6"/>
  <c r="JN93" i="6"/>
  <c r="JN87" i="6"/>
  <c r="JN82" i="6"/>
  <c r="JN74" i="6"/>
  <c r="JN66" i="6"/>
  <c r="JN69" i="6"/>
  <c r="JN60" i="6"/>
  <c r="JN52" i="6"/>
  <c r="JN55" i="6"/>
  <c r="JN48" i="6"/>
  <c r="JN40" i="6"/>
  <c r="JN43" i="6"/>
  <c r="JN35" i="6"/>
  <c r="JN36" i="6"/>
  <c r="JN28" i="6"/>
  <c r="JN24" i="6"/>
  <c r="JN21" i="6"/>
  <c r="JN15" i="6"/>
  <c r="JN12" i="6"/>
  <c r="JN7" i="6"/>
  <c r="JJ102" i="6"/>
  <c r="JJ94" i="6"/>
  <c r="JJ78" i="6"/>
  <c r="JJ105" i="6"/>
  <c r="JJ97" i="6"/>
  <c r="JJ88" i="6"/>
  <c r="JJ76" i="6"/>
  <c r="JJ79" i="6"/>
  <c r="JJ72" i="6"/>
  <c r="JJ64" i="6"/>
  <c r="JJ69" i="6"/>
  <c r="JJ58" i="6"/>
  <c r="JJ50" i="6"/>
  <c r="JJ53" i="6"/>
  <c r="JJ46" i="6"/>
  <c r="JJ38" i="6"/>
  <c r="JJ41" i="6"/>
  <c r="JJ33" i="6"/>
  <c r="JJ32" i="6"/>
  <c r="JJ26" i="6"/>
  <c r="JJ22" i="6"/>
  <c r="JJ21" i="6"/>
  <c r="JJ16" i="6"/>
  <c r="JJ11" i="6"/>
  <c r="JJ8" i="6"/>
  <c r="JF108" i="6"/>
  <c r="JF100" i="6"/>
  <c r="JF92" i="6"/>
  <c r="JF76" i="6"/>
  <c r="JF107" i="6"/>
  <c r="JF99" i="6"/>
  <c r="JF91" i="6"/>
  <c r="JF75" i="6"/>
  <c r="JF79" i="6"/>
  <c r="JF70" i="6"/>
  <c r="JF73" i="6"/>
  <c r="JF65" i="6"/>
  <c r="JF56" i="6"/>
  <c r="JF59" i="6"/>
  <c r="JF51" i="6"/>
  <c r="JF44" i="6"/>
  <c r="JF47" i="6"/>
  <c r="JF39" i="6"/>
  <c r="JF31" i="6"/>
  <c r="JF29" i="6"/>
  <c r="JF27" i="6"/>
  <c r="JF20" i="6"/>
  <c r="JF18" i="6"/>
  <c r="JF16" i="6"/>
  <c r="JF9" i="6"/>
  <c r="JB106" i="6"/>
  <c r="JB98" i="6"/>
  <c r="JB90" i="6"/>
  <c r="JB76" i="6"/>
  <c r="JB103" i="6"/>
  <c r="JB95" i="6"/>
  <c r="JB87" i="6"/>
  <c r="JB84" i="6"/>
  <c r="JB75" i="6"/>
  <c r="JB68" i="6"/>
  <c r="JB73" i="6"/>
  <c r="JB65" i="6"/>
  <c r="JB54" i="6"/>
  <c r="JB57" i="6"/>
  <c r="JB49" i="6"/>
  <c r="JB42" i="6"/>
  <c r="JB45" i="6"/>
  <c r="JB37" i="6"/>
  <c r="JB36" i="6"/>
  <c r="JB28" i="6"/>
  <c r="JB25" i="6"/>
  <c r="JB18" i="6"/>
  <c r="JB17" i="6"/>
  <c r="JB13" i="6"/>
  <c r="JB9" i="6"/>
  <c r="IX104" i="6"/>
  <c r="IX96" i="6"/>
  <c r="IX89" i="6"/>
  <c r="IX101" i="6"/>
  <c r="IX93" i="6"/>
  <c r="IX87" i="6"/>
  <c r="IX84" i="6"/>
  <c r="IX74" i="6"/>
  <c r="IX66" i="6"/>
  <c r="IX69" i="6"/>
  <c r="IX60" i="6"/>
  <c r="IX52" i="6"/>
  <c r="IX55" i="6"/>
  <c r="IX46" i="6"/>
  <c r="IX38" i="6"/>
  <c r="IX43" i="6"/>
  <c r="IX35" i="6"/>
  <c r="IX32" i="6"/>
  <c r="IX26" i="6"/>
  <c r="IX24" i="6"/>
  <c r="IX23" i="6"/>
  <c r="IX15" i="6"/>
  <c r="IX12" i="6"/>
  <c r="IX7" i="6"/>
  <c r="IT102" i="6"/>
  <c r="IT94" i="6"/>
  <c r="IT78" i="6"/>
  <c r="IT105" i="6"/>
  <c r="IT97" i="6"/>
  <c r="IT83" i="6"/>
  <c r="IT88" i="6"/>
  <c r="IT79" i="6"/>
  <c r="IT72" i="6"/>
  <c r="IT64" i="6"/>
  <c r="IT69" i="6"/>
  <c r="IT58" i="6"/>
  <c r="IT50" i="6"/>
  <c r="IT53" i="6"/>
  <c r="IT44" i="6"/>
  <c r="IT49" i="6"/>
  <c r="IT41" i="6"/>
  <c r="IT33" i="6"/>
  <c r="IT32" i="6"/>
  <c r="IT29" i="6"/>
  <c r="IT22" i="6"/>
  <c r="IT23" i="6"/>
  <c r="IT16" i="6"/>
  <c r="IT11" i="6"/>
  <c r="IT8" i="6"/>
  <c r="IP108" i="6"/>
  <c r="IP100" i="6"/>
  <c r="IP92" i="6"/>
  <c r="IP87" i="6"/>
  <c r="IP107" i="6"/>
  <c r="IP99" i="6"/>
  <c r="IP91" i="6"/>
  <c r="IP88" i="6"/>
  <c r="IP79" i="6"/>
  <c r="IP70" i="6"/>
  <c r="IP73" i="6"/>
  <c r="IP65" i="6"/>
  <c r="IP56" i="6"/>
  <c r="IP59" i="6"/>
  <c r="IP51" i="6"/>
  <c r="IP42" i="6"/>
  <c r="IP47" i="6"/>
  <c r="IP39" i="6"/>
  <c r="IP36" i="6"/>
  <c r="IP30" i="6"/>
  <c r="IP27" i="6"/>
  <c r="IP20" i="6"/>
  <c r="IP19" i="6"/>
  <c r="IP16" i="6"/>
  <c r="IP10" i="6"/>
  <c r="KR99" i="6"/>
  <c r="KR89" i="6"/>
  <c r="KR104" i="6"/>
  <c r="KR94" i="6"/>
  <c r="KR77" i="6"/>
  <c r="KR81" i="6"/>
  <c r="KR69" i="6"/>
  <c r="KR66" i="6"/>
  <c r="KR57" i="6"/>
  <c r="KR58" i="6"/>
  <c r="KR45" i="6"/>
  <c r="KR48" i="6"/>
  <c r="KR38" i="6"/>
  <c r="KR19" i="6"/>
  <c r="KR5" i="6"/>
  <c r="KJ97" i="6"/>
  <c r="KJ94" i="6"/>
  <c r="KJ67" i="6"/>
  <c r="KJ56" i="6"/>
  <c r="KJ36" i="6"/>
  <c r="KJ22" i="6"/>
  <c r="KJ3" i="6"/>
  <c r="KB89" i="6"/>
  <c r="IL58" i="6"/>
  <c r="IL20" i="6"/>
  <c r="IL106" i="6"/>
  <c r="IL87" i="6"/>
  <c r="IL39" i="6"/>
  <c r="IL29" i="6"/>
  <c r="IL71" i="6"/>
  <c r="IL36" i="6"/>
  <c r="IL103" i="6"/>
  <c r="IL55" i="6"/>
  <c r="IL25" i="6"/>
  <c r="IL10" i="6"/>
  <c r="IL76" i="6"/>
  <c r="IL45" i="6"/>
  <c r="IL52" i="6"/>
  <c r="IL7" i="6"/>
  <c r="IL73" i="6"/>
  <c r="IL79" i="6"/>
  <c r="IL26" i="6"/>
  <c r="IL93" i="6"/>
  <c r="IL70" i="6"/>
  <c r="IL23" i="6"/>
  <c r="IL90" i="6"/>
  <c r="IL100" i="6"/>
  <c r="IL42" i="6"/>
  <c r="IL4" i="6"/>
  <c r="IL8" i="6"/>
  <c r="IL24" i="6"/>
  <c r="IL40" i="6"/>
  <c r="IL56" i="6"/>
  <c r="IL74" i="6"/>
  <c r="IL91" i="6"/>
  <c r="IL107" i="6"/>
  <c r="IL11" i="6"/>
  <c r="IL27" i="6"/>
  <c r="IL43" i="6"/>
  <c r="IL59" i="6"/>
  <c r="IL77" i="6"/>
  <c r="IL94" i="6"/>
  <c r="IL49" i="6"/>
  <c r="IL84" i="6"/>
  <c r="IL104" i="6"/>
  <c r="IL14" i="6"/>
  <c r="IL30" i="6"/>
  <c r="IL46" i="6"/>
  <c r="IL64" i="6"/>
  <c r="IL81" i="6"/>
  <c r="IL97" i="6"/>
  <c r="IL5" i="6"/>
  <c r="IL33" i="6"/>
  <c r="IL57" i="6"/>
  <c r="IL92" i="6"/>
  <c r="IL12" i="6"/>
  <c r="IL28" i="6"/>
  <c r="IL44" i="6"/>
  <c r="IL60" i="6"/>
  <c r="IL78" i="6"/>
  <c r="IL95" i="6"/>
  <c r="IL15" i="6"/>
  <c r="IL31" i="6"/>
  <c r="IL47" i="6"/>
  <c r="IL65" i="6"/>
  <c r="IL82" i="6"/>
  <c r="IL98" i="6"/>
  <c r="IL9" i="6"/>
  <c r="IL53" i="6"/>
  <c r="IL88" i="6"/>
  <c r="IL18" i="6"/>
  <c r="IL34" i="6"/>
  <c r="IL50" i="6"/>
  <c r="IL68" i="6"/>
  <c r="IL85" i="6"/>
  <c r="IL101" i="6"/>
  <c r="IL17" i="6"/>
  <c r="IL37" i="6"/>
  <c r="IL62" i="6"/>
  <c r="IL108" i="6"/>
  <c r="IL16" i="6"/>
  <c r="IL32" i="6"/>
  <c r="IL48" i="6"/>
  <c r="IL66" i="6"/>
  <c r="IL83" i="6"/>
  <c r="IL99" i="6"/>
  <c r="IL3" i="6"/>
  <c r="IL19" i="6"/>
  <c r="IL35" i="6"/>
  <c r="IL51" i="6"/>
  <c r="IL69" i="6"/>
  <c r="IL86" i="6"/>
  <c r="IL102" i="6"/>
  <c r="IL13" i="6"/>
  <c r="IL75" i="6"/>
  <c r="IL96" i="6"/>
  <c r="IL6" i="6"/>
  <c r="IL22" i="6"/>
  <c r="IL38" i="6"/>
  <c r="IL54" i="6"/>
  <c r="IL72" i="6"/>
  <c r="IL89" i="6"/>
  <c r="IL105" i="6"/>
  <c r="IL21" i="6"/>
  <c r="IL41" i="6"/>
  <c r="IL67" i="6"/>
  <c r="DJ44" i="6"/>
  <c r="DK44" i="6"/>
  <c r="DP44" i="6"/>
  <c r="DS44" i="6"/>
  <c r="DR44" i="6"/>
  <c r="DM44" i="6"/>
  <c r="EC44" i="6"/>
  <c r="DL44" i="6"/>
  <c r="EI44" i="6"/>
  <c r="DW44" i="6"/>
  <c r="DN2" i="6"/>
  <c r="DN44" i="6"/>
  <c r="DT2" i="6"/>
  <c r="DT44" i="6"/>
  <c r="DZ2" i="6"/>
  <c r="DZ44" i="6"/>
  <c r="EF44" i="6"/>
  <c r="EL2" i="6"/>
  <c r="EL44" i="6"/>
  <c r="EK44" i="6"/>
  <c r="EJ44" i="6"/>
  <c r="DQ44" i="6"/>
  <c r="EH44" i="6"/>
  <c r="DO2" i="6"/>
  <c r="DO44" i="6"/>
  <c r="DU2" i="6"/>
  <c r="DU44" i="6"/>
  <c r="EA2" i="6"/>
  <c r="EA44" i="6"/>
  <c r="EG2" i="6"/>
  <c r="EG44" i="6"/>
  <c r="EM2" i="6"/>
  <c r="EM44" i="6"/>
  <c r="EE44" i="6"/>
  <c r="ED44" i="6"/>
  <c r="EN44" i="6"/>
  <c r="DV44" i="6"/>
  <c r="DY44" i="6"/>
  <c r="DX44" i="6"/>
  <c r="EB44" i="6"/>
  <c r="EF3" i="6"/>
  <c r="DO3" i="6"/>
  <c r="DU3" i="6"/>
  <c r="EA3" i="6"/>
  <c r="EG3" i="6"/>
  <c r="EM3" i="6"/>
  <c r="DT4" i="6"/>
  <c r="EF4" i="6"/>
  <c r="EF5" i="6"/>
  <c r="EE3" i="6"/>
  <c r="EK3" i="6"/>
  <c r="DR4" i="6"/>
  <c r="EJ4" i="6"/>
  <c r="DQ5" i="6"/>
  <c r="EI5" i="6"/>
  <c r="DP6" i="6"/>
  <c r="DV6" i="6"/>
  <c r="EH6" i="6"/>
  <c r="DO7" i="6"/>
  <c r="DU7" i="6"/>
  <c r="EA7" i="6"/>
  <c r="EG7" i="6"/>
  <c r="EM7" i="6"/>
  <c r="EF8" i="6"/>
  <c r="EE9" i="6"/>
  <c r="EE4" i="6"/>
  <c r="EK4" i="6"/>
  <c r="DR5" i="6"/>
  <c r="EJ5" i="6"/>
  <c r="DQ6" i="6"/>
  <c r="EI6" i="6"/>
  <c r="DP7" i="6"/>
  <c r="DV7" i="6"/>
  <c r="EH7" i="6"/>
  <c r="DO8" i="6"/>
  <c r="DU8" i="6"/>
  <c r="EA8" i="6"/>
  <c r="EG8" i="6"/>
  <c r="EM8" i="6"/>
  <c r="DT9" i="6"/>
  <c r="EE5" i="6"/>
  <c r="EK5" i="6"/>
  <c r="DR6" i="6"/>
  <c r="EJ6" i="6"/>
  <c r="DQ7" i="6"/>
  <c r="EI7" i="6"/>
  <c r="DP8" i="6"/>
  <c r="DV8" i="6"/>
  <c r="EH8" i="6"/>
  <c r="DO9" i="6"/>
  <c r="DU9" i="6"/>
  <c r="EA9" i="6"/>
  <c r="DP3" i="6"/>
  <c r="DV3" i="6"/>
  <c r="EH3" i="6"/>
  <c r="DO4" i="6"/>
  <c r="DU4" i="6"/>
  <c r="EA4" i="6"/>
  <c r="EG4" i="6"/>
  <c r="EM4" i="6"/>
  <c r="DM6" i="6"/>
  <c r="DS6" i="6"/>
  <c r="EE6" i="6"/>
  <c r="EK6" i="6"/>
  <c r="DR7" i="6"/>
  <c r="EJ7" i="6"/>
  <c r="DQ8" i="6"/>
  <c r="EI8" i="6"/>
  <c r="DP9" i="6"/>
  <c r="DV9" i="6"/>
  <c r="EH9" i="6"/>
  <c r="DQ3" i="6"/>
  <c r="EI3" i="6"/>
  <c r="DP4" i="6"/>
  <c r="DV4" i="6"/>
  <c r="EH4" i="6"/>
  <c r="DO5" i="6"/>
  <c r="DU5" i="6"/>
  <c r="EA5" i="6"/>
  <c r="EG5" i="6"/>
  <c r="EM5" i="6"/>
  <c r="EF6" i="6"/>
  <c r="EE7" i="6"/>
  <c r="EK7" i="6"/>
  <c r="DR8" i="6"/>
  <c r="EJ8" i="6"/>
  <c r="DQ9" i="6"/>
  <c r="EI9" i="6"/>
  <c r="DP10" i="6"/>
  <c r="DR3" i="6"/>
  <c r="EJ3" i="6"/>
  <c r="DQ4" i="6"/>
  <c r="EI4" i="6"/>
  <c r="DP5" i="6"/>
  <c r="DV5" i="6"/>
  <c r="EH5" i="6"/>
  <c r="EN5" i="6"/>
  <c r="DO6" i="6"/>
  <c r="DU6" i="6"/>
  <c r="EA6" i="6"/>
  <c r="EG6" i="6"/>
  <c r="EM6" i="6"/>
  <c r="DZ7" i="6"/>
  <c r="EF7" i="6"/>
  <c r="EE8" i="6"/>
  <c r="EK8" i="6"/>
  <c r="DR9" i="6"/>
  <c r="EJ9" i="6"/>
  <c r="EK9" i="6"/>
  <c r="DR10" i="6"/>
  <c r="EJ10" i="6"/>
  <c r="DQ11" i="6"/>
  <c r="EI11" i="6"/>
  <c r="DP12" i="6"/>
  <c r="DV12" i="6"/>
  <c r="EH12" i="6"/>
  <c r="DO13" i="6"/>
  <c r="DU13" i="6"/>
  <c r="EA13" i="6"/>
  <c r="EG13" i="6"/>
  <c r="EM13" i="6"/>
  <c r="EF14" i="6"/>
  <c r="EE15" i="6"/>
  <c r="EK15" i="6"/>
  <c r="DR16" i="6"/>
  <c r="EJ16" i="6"/>
  <c r="DQ17" i="6"/>
  <c r="EI17" i="6"/>
  <c r="DP18" i="6"/>
  <c r="DV18" i="6"/>
  <c r="EH18" i="6"/>
  <c r="DO19" i="6"/>
  <c r="DU19" i="6"/>
  <c r="EA19" i="6"/>
  <c r="EG19" i="6"/>
  <c r="EM19" i="6"/>
  <c r="DT20" i="6"/>
  <c r="EF20" i="6"/>
  <c r="EE21" i="6"/>
  <c r="EK21" i="6"/>
  <c r="DR22" i="6"/>
  <c r="EJ22" i="6"/>
  <c r="DQ23" i="6"/>
  <c r="EI23" i="6"/>
  <c r="DP24" i="6"/>
  <c r="DV24" i="6"/>
  <c r="EH24" i="6"/>
  <c r="DO25" i="6"/>
  <c r="DU25" i="6"/>
  <c r="EA25" i="6"/>
  <c r="EG25" i="6"/>
  <c r="EM25" i="6"/>
  <c r="EF26" i="6"/>
  <c r="DS27" i="6"/>
  <c r="EE27" i="6"/>
  <c r="EK27" i="6"/>
  <c r="DR28" i="6"/>
  <c r="EJ28" i="6"/>
  <c r="DQ29" i="6"/>
  <c r="EI29" i="6"/>
  <c r="DP30" i="6"/>
  <c r="DV30" i="6"/>
  <c r="EH30" i="6"/>
  <c r="DO31" i="6"/>
  <c r="DU31" i="6"/>
  <c r="EA31" i="6"/>
  <c r="EG31" i="6"/>
  <c r="EM31" i="6"/>
  <c r="EF32" i="6"/>
  <c r="EE33" i="6"/>
  <c r="EK33" i="6"/>
  <c r="DR34" i="6"/>
  <c r="EJ34" i="6"/>
  <c r="DQ35" i="6"/>
  <c r="EI35" i="6"/>
  <c r="DP36" i="6"/>
  <c r="DV36" i="6"/>
  <c r="EH36" i="6"/>
  <c r="DO37" i="6"/>
  <c r="DU37" i="6"/>
  <c r="EA37" i="6"/>
  <c r="EG37" i="6"/>
  <c r="EM37" i="6"/>
  <c r="EF38" i="6"/>
  <c r="EE39" i="6"/>
  <c r="EK39" i="6"/>
  <c r="DR40" i="6"/>
  <c r="EJ40" i="6"/>
  <c r="DQ41" i="6"/>
  <c r="EI41" i="6"/>
  <c r="DP42" i="6"/>
  <c r="EF9" i="6"/>
  <c r="EE10" i="6"/>
  <c r="EK10" i="6"/>
  <c r="DR11" i="6"/>
  <c r="EJ11" i="6"/>
  <c r="DQ12" i="6"/>
  <c r="EI12" i="6"/>
  <c r="DP13" i="6"/>
  <c r="DV13" i="6"/>
  <c r="EH13" i="6"/>
  <c r="DO14" i="6"/>
  <c r="DU14" i="6"/>
  <c r="EA14" i="6"/>
  <c r="EG14" i="6"/>
  <c r="EM14" i="6"/>
  <c r="EF15" i="6"/>
  <c r="EE16" i="6"/>
  <c r="EK16" i="6"/>
  <c r="DR17" i="6"/>
  <c r="EJ17" i="6"/>
  <c r="DQ18" i="6"/>
  <c r="EI18" i="6"/>
  <c r="DP19" i="6"/>
  <c r="DV19" i="6"/>
  <c r="EH19" i="6"/>
  <c r="DO20" i="6"/>
  <c r="DU20" i="6"/>
  <c r="EA20" i="6"/>
  <c r="EG20" i="6"/>
  <c r="EM20" i="6"/>
  <c r="EF21" i="6"/>
  <c r="EE22" i="6"/>
  <c r="EK22" i="6"/>
  <c r="DR23" i="6"/>
  <c r="EJ23" i="6"/>
  <c r="DQ24" i="6"/>
  <c r="EI24" i="6"/>
  <c r="DP25" i="6"/>
  <c r="DV25" i="6"/>
  <c r="EH25" i="6"/>
  <c r="DO26" i="6"/>
  <c r="DU26" i="6"/>
  <c r="EA26" i="6"/>
  <c r="EG26" i="6"/>
  <c r="EM26" i="6"/>
  <c r="EF27" i="6"/>
  <c r="EE28" i="6"/>
  <c r="EK28" i="6"/>
  <c r="DR29" i="6"/>
  <c r="EJ29" i="6"/>
  <c r="DQ30" i="6"/>
  <c r="EI30" i="6"/>
  <c r="DP31" i="6"/>
  <c r="DV31" i="6"/>
  <c r="EH31" i="6"/>
  <c r="DO32" i="6"/>
  <c r="EA32" i="6"/>
  <c r="EG32" i="6"/>
  <c r="EM32" i="6"/>
  <c r="EF33" i="6"/>
  <c r="EE34" i="6"/>
  <c r="EK34" i="6"/>
  <c r="DR35" i="6"/>
  <c r="EJ35" i="6"/>
  <c r="DQ36" i="6"/>
  <c r="EI36" i="6"/>
  <c r="DP37" i="6"/>
  <c r="DV37" i="6"/>
  <c r="EH37" i="6"/>
  <c r="DO38" i="6"/>
  <c r="DU38" i="6"/>
  <c r="EA38" i="6"/>
  <c r="EG38" i="6"/>
  <c r="EM38" i="6"/>
  <c r="DT39" i="6"/>
  <c r="EF39" i="6"/>
  <c r="DS40" i="6"/>
  <c r="EE40" i="6"/>
  <c r="EK40" i="6"/>
  <c r="DR41" i="6"/>
  <c r="EJ41" i="6"/>
  <c r="DQ42" i="6"/>
  <c r="EG9" i="6"/>
  <c r="EM9" i="6"/>
  <c r="EF10" i="6"/>
  <c r="EE11" i="6"/>
  <c r="EK11" i="6"/>
  <c r="DR12" i="6"/>
  <c r="EJ12" i="6"/>
  <c r="DQ13" i="6"/>
  <c r="EI13" i="6"/>
  <c r="DP14" i="6"/>
  <c r="DV14" i="6"/>
  <c r="EH14" i="6"/>
  <c r="DO15" i="6"/>
  <c r="DU15" i="6"/>
  <c r="EA15" i="6"/>
  <c r="EG15" i="6"/>
  <c r="EM15" i="6"/>
  <c r="EF16" i="6"/>
  <c r="EE17" i="6"/>
  <c r="EK17" i="6"/>
  <c r="DR18" i="6"/>
  <c r="EJ18" i="6"/>
  <c r="DQ19" i="6"/>
  <c r="EI19" i="6"/>
  <c r="DP20" i="6"/>
  <c r="DV20" i="6"/>
  <c r="EH20" i="6"/>
  <c r="DO21" i="6"/>
  <c r="DU21" i="6"/>
  <c r="EA21" i="6"/>
  <c r="EG21" i="6"/>
  <c r="EM21" i="6"/>
  <c r="EF22" i="6"/>
  <c r="EE23" i="6"/>
  <c r="EK23" i="6"/>
  <c r="DR24" i="6"/>
  <c r="EJ24" i="6"/>
  <c r="DQ25" i="6"/>
  <c r="EI25" i="6"/>
  <c r="DP26" i="6"/>
  <c r="DV26" i="6"/>
  <c r="EH26" i="6"/>
  <c r="DO27" i="6"/>
  <c r="DU27" i="6"/>
  <c r="EA27" i="6"/>
  <c r="EG27" i="6"/>
  <c r="EM27" i="6"/>
  <c r="EF28" i="6"/>
  <c r="EE29" i="6"/>
  <c r="EK29" i="6"/>
  <c r="DR30" i="6"/>
  <c r="EJ30" i="6"/>
  <c r="DQ31" i="6"/>
  <c r="EI31" i="6"/>
  <c r="DP32" i="6"/>
  <c r="DV32" i="6"/>
  <c r="EH32" i="6"/>
  <c r="DO33" i="6"/>
  <c r="DU33" i="6"/>
  <c r="EA33" i="6"/>
  <c r="EG33" i="6"/>
  <c r="EM33" i="6"/>
  <c r="EF34" i="6"/>
  <c r="DS35" i="6"/>
  <c r="EE35" i="6"/>
  <c r="EK35" i="6"/>
  <c r="DR36" i="6"/>
  <c r="EJ36" i="6"/>
  <c r="DQ37" i="6"/>
  <c r="EI37" i="6"/>
  <c r="DP38" i="6"/>
  <c r="DV38" i="6"/>
  <c r="EH38" i="6"/>
  <c r="DO39" i="6"/>
  <c r="DU39" i="6"/>
  <c r="EA39" i="6"/>
  <c r="EG39" i="6"/>
  <c r="EM39" i="6"/>
  <c r="EF40" i="6"/>
  <c r="EE41" i="6"/>
  <c r="EK41" i="6"/>
  <c r="DR42" i="6"/>
  <c r="DO10" i="6"/>
  <c r="DU10" i="6"/>
  <c r="EA10" i="6"/>
  <c r="EG10" i="6"/>
  <c r="EM10" i="6"/>
  <c r="EF11" i="6"/>
  <c r="EE12" i="6"/>
  <c r="EK12" i="6"/>
  <c r="DR13" i="6"/>
  <c r="EJ13" i="6"/>
  <c r="DQ14" i="6"/>
  <c r="EI14" i="6"/>
  <c r="DP15" i="6"/>
  <c r="DV15" i="6"/>
  <c r="EH15" i="6"/>
  <c r="DO16" i="6"/>
  <c r="DU16" i="6"/>
  <c r="EA16" i="6"/>
  <c r="EG16" i="6"/>
  <c r="EM16" i="6"/>
  <c r="EF17" i="6"/>
  <c r="EE18" i="6"/>
  <c r="EK18" i="6"/>
  <c r="DR19" i="6"/>
  <c r="EJ19" i="6"/>
  <c r="DQ20" i="6"/>
  <c r="EI20" i="6"/>
  <c r="DP21" i="6"/>
  <c r="DV21" i="6"/>
  <c r="EH21" i="6"/>
  <c r="DO22" i="6"/>
  <c r="DU22" i="6"/>
  <c r="EA22" i="6"/>
  <c r="EG22" i="6"/>
  <c r="EM22" i="6"/>
  <c r="EF23" i="6"/>
  <c r="EE24" i="6"/>
  <c r="EK24" i="6"/>
  <c r="DR25" i="6"/>
  <c r="EJ25" i="6"/>
  <c r="DQ26" i="6"/>
  <c r="EI26" i="6"/>
  <c r="DP27" i="6"/>
  <c r="DV27" i="6"/>
  <c r="EH27" i="6"/>
  <c r="DO28" i="6"/>
  <c r="DU28" i="6"/>
  <c r="EA28" i="6"/>
  <c r="EG28" i="6"/>
  <c r="EM28" i="6"/>
  <c r="EF29" i="6"/>
  <c r="EE30" i="6"/>
  <c r="EK30" i="6"/>
  <c r="DR31" i="6"/>
  <c r="EJ31" i="6"/>
  <c r="DQ32" i="6"/>
  <c r="EI32" i="6"/>
  <c r="DP33" i="6"/>
  <c r="DV33" i="6"/>
  <c r="EH33" i="6"/>
  <c r="DO34" i="6"/>
  <c r="DU34" i="6"/>
  <c r="EA34" i="6"/>
  <c r="EG34" i="6"/>
  <c r="EM34" i="6"/>
  <c r="EF35" i="6"/>
  <c r="EE36" i="6"/>
  <c r="EK36" i="6"/>
  <c r="DR37" i="6"/>
  <c r="EJ37" i="6"/>
  <c r="DQ38" i="6"/>
  <c r="EI38" i="6"/>
  <c r="DP39" i="6"/>
  <c r="DV39" i="6"/>
  <c r="EH39" i="6"/>
  <c r="DO40" i="6"/>
  <c r="DU40" i="6"/>
  <c r="EA40" i="6"/>
  <c r="EG40" i="6"/>
  <c r="EM40" i="6"/>
  <c r="DT41" i="6"/>
  <c r="EF41" i="6"/>
  <c r="EE42" i="6"/>
  <c r="EK42" i="6"/>
  <c r="DR43" i="6"/>
  <c r="DV10" i="6"/>
  <c r="EH10" i="6"/>
  <c r="DO11" i="6"/>
  <c r="DU11" i="6"/>
  <c r="EA11" i="6"/>
  <c r="EG11" i="6"/>
  <c r="EM11" i="6"/>
  <c r="EF12" i="6"/>
  <c r="EE13" i="6"/>
  <c r="EK13" i="6"/>
  <c r="DR14" i="6"/>
  <c r="EJ14" i="6"/>
  <c r="DQ15" i="6"/>
  <c r="EI15" i="6"/>
  <c r="DP16" i="6"/>
  <c r="DV16" i="6"/>
  <c r="EH16" i="6"/>
  <c r="DO17" i="6"/>
  <c r="DU17" i="6"/>
  <c r="EA17" i="6"/>
  <c r="EG17" i="6"/>
  <c r="EM17" i="6"/>
  <c r="EF18" i="6"/>
  <c r="EE19" i="6"/>
  <c r="EK19" i="6"/>
  <c r="DR20" i="6"/>
  <c r="EJ20" i="6"/>
  <c r="DQ21" i="6"/>
  <c r="EI21" i="6"/>
  <c r="DP22" i="6"/>
  <c r="DV22" i="6"/>
  <c r="EH22" i="6"/>
  <c r="DO23" i="6"/>
  <c r="DU23" i="6"/>
  <c r="EA23" i="6"/>
  <c r="EG23" i="6"/>
  <c r="EM23" i="6"/>
  <c r="DT24" i="6"/>
  <c r="EF24" i="6"/>
  <c r="EE25" i="6"/>
  <c r="EK25" i="6"/>
  <c r="DR26" i="6"/>
  <c r="EJ26" i="6"/>
  <c r="DQ27" i="6"/>
  <c r="EI27" i="6"/>
  <c r="DP28" i="6"/>
  <c r="DV28" i="6"/>
  <c r="EH28" i="6"/>
  <c r="DO29" i="6"/>
  <c r="DU29" i="6"/>
  <c r="EA29" i="6"/>
  <c r="EG29" i="6"/>
  <c r="EM29" i="6"/>
  <c r="EF30" i="6"/>
  <c r="EE31" i="6"/>
  <c r="EK31" i="6"/>
  <c r="DR32" i="6"/>
  <c r="EJ32" i="6"/>
  <c r="DQ33" i="6"/>
  <c r="EI33" i="6"/>
  <c r="DP34" i="6"/>
  <c r="DV34" i="6"/>
  <c r="EH34" i="6"/>
  <c r="DO35" i="6"/>
  <c r="DU35" i="6"/>
  <c r="EA35" i="6"/>
  <c r="EG35" i="6"/>
  <c r="EM35" i="6"/>
  <c r="EF36" i="6"/>
  <c r="EE37" i="6"/>
  <c r="EK37" i="6"/>
  <c r="DR38" i="6"/>
  <c r="EJ38" i="6"/>
  <c r="DQ39" i="6"/>
  <c r="EI39" i="6"/>
  <c r="DP40" i="6"/>
  <c r="DV40" i="6"/>
  <c r="EH40" i="6"/>
  <c r="DO41" i="6"/>
  <c r="DU41" i="6"/>
  <c r="EA41" i="6"/>
  <c r="EG41" i="6"/>
  <c r="EM41" i="6"/>
  <c r="EF42" i="6"/>
  <c r="DQ10" i="6"/>
  <c r="EI10" i="6"/>
  <c r="DP11" i="6"/>
  <c r="DV11" i="6"/>
  <c r="EH11" i="6"/>
  <c r="DO12" i="6"/>
  <c r="DU12" i="6"/>
  <c r="EA12" i="6"/>
  <c r="EG12" i="6"/>
  <c r="EM12" i="6"/>
  <c r="EF13" i="6"/>
  <c r="EE14" i="6"/>
  <c r="EK14" i="6"/>
  <c r="DR15" i="6"/>
  <c r="EJ15" i="6"/>
  <c r="DQ16" i="6"/>
  <c r="EI16" i="6"/>
  <c r="DP17" i="6"/>
  <c r="DV17" i="6"/>
  <c r="EH17" i="6"/>
  <c r="DO18" i="6"/>
  <c r="DU18" i="6"/>
  <c r="EA18" i="6"/>
  <c r="EG18" i="6"/>
  <c r="EM18" i="6"/>
  <c r="EF19" i="6"/>
  <c r="EE20" i="6"/>
  <c r="EK20" i="6"/>
  <c r="DR21" i="6"/>
  <c r="EJ21" i="6"/>
  <c r="DQ22" i="6"/>
  <c r="EI22" i="6"/>
  <c r="DP23" i="6"/>
  <c r="DV23" i="6"/>
  <c r="EH23" i="6"/>
  <c r="DO24" i="6"/>
  <c r="DU24" i="6"/>
  <c r="EA24" i="6"/>
  <c r="EG24" i="6"/>
  <c r="EM24" i="6"/>
  <c r="EF25" i="6"/>
  <c r="EE26" i="6"/>
  <c r="EK26" i="6"/>
  <c r="DR27" i="6"/>
  <c r="EJ27" i="6"/>
  <c r="DQ28" i="6"/>
  <c r="EI28" i="6"/>
  <c r="DP29" i="6"/>
  <c r="DV29" i="6"/>
  <c r="EH29" i="6"/>
  <c r="DO30" i="6"/>
  <c r="DU30" i="6"/>
  <c r="EA30" i="6"/>
  <c r="EG30" i="6"/>
  <c r="EM30" i="6"/>
  <c r="EF31" i="6"/>
  <c r="EE32" i="6"/>
  <c r="EK32" i="6"/>
  <c r="DR33" i="6"/>
  <c r="EJ33" i="6"/>
  <c r="DQ34" i="6"/>
  <c r="EI34" i="6"/>
  <c r="DP35" i="6"/>
  <c r="DV35" i="6"/>
  <c r="EH35" i="6"/>
  <c r="DO36" i="6"/>
  <c r="DU36" i="6"/>
  <c r="EA36" i="6"/>
  <c r="EG36" i="6"/>
  <c r="EM36" i="6"/>
  <c r="EF37" i="6"/>
  <c r="EE38" i="6"/>
  <c r="EK38" i="6"/>
  <c r="DR39" i="6"/>
  <c r="EJ39" i="6"/>
  <c r="DQ40" i="6"/>
  <c r="EI40" i="6"/>
  <c r="DP41" i="6"/>
  <c r="DV41" i="6"/>
  <c r="EH41" i="6"/>
  <c r="DO42" i="6"/>
  <c r="DU42" i="6"/>
  <c r="EA42" i="6"/>
  <c r="EG42" i="6"/>
  <c r="DV42" i="6"/>
  <c r="EH42" i="6"/>
  <c r="DO43" i="6"/>
  <c r="EA43" i="6"/>
  <c r="EG43" i="6"/>
  <c r="EM43" i="6"/>
  <c r="EE45" i="6"/>
  <c r="EK45" i="6"/>
  <c r="DR46" i="6"/>
  <c r="EJ46" i="6"/>
  <c r="DQ47" i="6"/>
  <c r="EI47" i="6"/>
  <c r="DP48" i="6"/>
  <c r="DV48" i="6"/>
  <c r="EH48" i="6"/>
  <c r="DO49" i="6"/>
  <c r="DU49" i="6"/>
  <c r="EA49" i="6"/>
  <c r="EG49" i="6"/>
  <c r="EM49" i="6"/>
  <c r="EF50" i="6"/>
  <c r="EE51" i="6"/>
  <c r="EK51" i="6"/>
  <c r="DR52" i="6"/>
  <c r="EJ52" i="6"/>
  <c r="DQ53" i="6"/>
  <c r="EI53" i="6"/>
  <c r="DP54" i="6"/>
  <c r="DV54" i="6"/>
  <c r="EH54" i="6"/>
  <c r="DO55" i="6"/>
  <c r="DU55" i="6"/>
  <c r="EA55" i="6"/>
  <c r="EG55" i="6"/>
  <c r="EM55" i="6"/>
  <c r="EF56" i="6"/>
  <c r="EE57" i="6"/>
  <c r="EK57" i="6"/>
  <c r="DR58" i="6"/>
  <c r="EJ58" i="6"/>
  <c r="DQ59" i="6"/>
  <c r="EI59" i="6"/>
  <c r="DP60" i="6"/>
  <c r="DV60" i="6"/>
  <c r="EH60" i="6"/>
  <c r="DO62" i="6"/>
  <c r="DU62" i="6"/>
  <c r="EA62" i="6"/>
  <c r="EG62" i="6"/>
  <c r="EM62" i="6"/>
  <c r="DT64" i="6"/>
  <c r="EF64" i="6"/>
  <c r="DS65" i="6"/>
  <c r="EE65" i="6"/>
  <c r="EK65" i="6"/>
  <c r="DR66" i="6"/>
  <c r="EJ66" i="6"/>
  <c r="DQ67" i="6"/>
  <c r="EI67" i="6"/>
  <c r="DP68" i="6"/>
  <c r="DV68" i="6"/>
  <c r="EH68" i="6"/>
  <c r="DO69" i="6"/>
  <c r="DU69" i="6"/>
  <c r="EA69" i="6"/>
  <c r="EG69" i="6"/>
  <c r="EM69" i="6"/>
  <c r="EF70" i="6"/>
  <c r="EE71" i="6"/>
  <c r="EK71" i="6"/>
  <c r="DR72" i="6"/>
  <c r="EJ72" i="6"/>
  <c r="DQ73" i="6"/>
  <c r="EI73" i="6"/>
  <c r="DP74" i="6"/>
  <c r="DV74" i="6"/>
  <c r="EH74" i="6"/>
  <c r="DO75" i="6"/>
  <c r="DU75" i="6"/>
  <c r="EA75" i="6"/>
  <c r="EG75" i="6"/>
  <c r="EM75" i="6"/>
  <c r="DT76" i="6"/>
  <c r="EF76" i="6"/>
  <c r="EI42" i="6"/>
  <c r="DP43" i="6"/>
  <c r="DV43" i="6"/>
  <c r="EH43" i="6"/>
  <c r="EF45" i="6"/>
  <c r="EE46" i="6"/>
  <c r="EK46" i="6"/>
  <c r="DR47" i="6"/>
  <c r="EJ47" i="6"/>
  <c r="DQ48" i="6"/>
  <c r="EI48" i="6"/>
  <c r="DP49" i="6"/>
  <c r="DV49" i="6"/>
  <c r="EH49" i="6"/>
  <c r="DO50" i="6"/>
  <c r="DU50" i="6"/>
  <c r="EA50" i="6"/>
  <c r="EG50" i="6"/>
  <c r="EM50" i="6"/>
  <c r="EF51" i="6"/>
  <c r="EE52" i="6"/>
  <c r="EK52" i="6"/>
  <c r="DR53" i="6"/>
  <c r="EJ53" i="6"/>
  <c r="DQ54" i="6"/>
  <c r="EI54" i="6"/>
  <c r="DP55" i="6"/>
  <c r="DV55" i="6"/>
  <c r="EH55" i="6"/>
  <c r="DO56" i="6"/>
  <c r="DU56" i="6"/>
  <c r="EA56" i="6"/>
  <c r="EG56" i="6"/>
  <c r="EM56" i="6"/>
  <c r="EF57" i="6"/>
  <c r="EE58" i="6"/>
  <c r="EK58" i="6"/>
  <c r="DR59" i="6"/>
  <c r="EJ59" i="6"/>
  <c r="DQ60" i="6"/>
  <c r="EI60" i="6"/>
  <c r="DP62" i="6"/>
  <c r="DV62" i="6"/>
  <c r="EH62" i="6"/>
  <c r="DO64" i="6"/>
  <c r="DU64" i="6"/>
  <c r="EA64" i="6"/>
  <c r="EG64" i="6"/>
  <c r="EM64" i="6"/>
  <c r="EF65" i="6"/>
  <c r="EE66" i="6"/>
  <c r="EK66" i="6"/>
  <c r="DR67" i="6"/>
  <c r="EJ67" i="6"/>
  <c r="DQ68" i="6"/>
  <c r="EI68" i="6"/>
  <c r="DP69" i="6"/>
  <c r="DV69" i="6"/>
  <c r="EH69" i="6"/>
  <c r="DO70" i="6"/>
  <c r="DU70" i="6"/>
  <c r="EA70" i="6"/>
  <c r="EG70" i="6"/>
  <c r="EM70" i="6"/>
  <c r="EF71" i="6"/>
  <c r="EE72" i="6"/>
  <c r="EK72" i="6"/>
  <c r="DR73" i="6"/>
  <c r="EJ73" i="6"/>
  <c r="DQ74" i="6"/>
  <c r="EI74" i="6"/>
  <c r="DP75" i="6"/>
  <c r="DV75" i="6"/>
  <c r="EH75" i="6"/>
  <c r="DO76" i="6"/>
  <c r="DU76" i="6"/>
  <c r="EA76" i="6"/>
  <c r="EG76" i="6"/>
  <c r="EM76" i="6"/>
  <c r="EJ42" i="6"/>
  <c r="DQ43" i="6"/>
  <c r="EI43" i="6"/>
  <c r="DO45" i="6"/>
  <c r="DU45" i="6"/>
  <c r="EA45" i="6"/>
  <c r="EG45" i="6"/>
  <c r="EM45" i="6"/>
  <c r="EF46" i="6"/>
  <c r="EE47" i="6"/>
  <c r="EK47" i="6"/>
  <c r="DR48" i="6"/>
  <c r="EJ48" i="6"/>
  <c r="DQ49" i="6"/>
  <c r="EI49" i="6"/>
  <c r="DP50" i="6"/>
  <c r="DV50" i="6"/>
  <c r="EH50" i="6"/>
  <c r="DO51" i="6"/>
  <c r="DU51" i="6"/>
  <c r="EA51" i="6"/>
  <c r="EG51" i="6"/>
  <c r="EM51" i="6"/>
  <c r="EF52" i="6"/>
  <c r="DS53" i="6"/>
  <c r="EE53" i="6"/>
  <c r="EK53" i="6"/>
  <c r="DR54" i="6"/>
  <c r="EJ54" i="6"/>
  <c r="DQ55" i="6"/>
  <c r="EI55" i="6"/>
  <c r="DP56" i="6"/>
  <c r="DV56" i="6"/>
  <c r="EH56" i="6"/>
  <c r="DO57" i="6"/>
  <c r="DU57" i="6"/>
  <c r="EA57" i="6"/>
  <c r="EG57" i="6"/>
  <c r="EM57" i="6"/>
  <c r="EF58" i="6"/>
  <c r="EE59" i="6"/>
  <c r="EK59" i="6"/>
  <c r="DR60" i="6"/>
  <c r="EJ60" i="6"/>
  <c r="DQ62" i="6"/>
  <c r="EI62" i="6"/>
  <c r="DP64" i="6"/>
  <c r="DV64" i="6"/>
  <c r="EH64" i="6"/>
  <c r="DO65" i="6"/>
  <c r="DU65" i="6"/>
  <c r="EA65" i="6"/>
  <c r="EG65" i="6"/>
  <c r="EM65" i="6"/>
  <c r="EF66" i="6"/>
  <c r="EE67" i="6"/>
  <c r="EK67" i="6"/>
  <c r="DR68" i="6"/>
  <c r="EJ68" i="6"/>
  <c r="DQ69" i="6"/>
  <c r="EI69" i="6"/>
  <c r="DP70" i="6"/>
  <c r="DV70" i="6"/>
  <c r="EH70" i="6"/>
  <c r="DO71" i="6"/>
  <c r="EA71" i="6"/>
  <c r="EG71" i="6"/>
  <c r="EM71" i="6"/>
  <c r="EF72" i="6"/>
  <c r="EE73" i="6"/>
  <c r="EK73" i="6"/>
  <c r="DR74" i="6"/>
  <c r="EJ74" i="6"/>
  <c r="DQ75" i="6"/>
  <c r="EI75" i="6"/>
  <c r="DP76" i="6"/>
  <c r="DV76" i="6"/>
  <c r="EH76" i="6"/>
  <c r="DO77" i="6"/>
  <c r="EJ43" i="6"/>
  <c r="DP45" i="6"/>
  <c r="DV45" i="6"/>
  <c r="EH45" i="6"/>
  <c r="DO46" i="6"/>
  <c r="DU46" i="6"/>
  <c r="EA46" i="6"/>
  <c r="EG46" i="6"/>
  <c r="EM46" i="6"/>
  <c r="EF47" i="6"/>
  <c r="DS48" i="6"/>
  <c r="EE48" i="6"/>
  <c r="EK48" i="6"/>
  <c r="DR49" i="6"/>
  <c r="EJ49" i="6"/>
  <c r="DQ50" i="6"/>
  <c r="EI50" i="6"/>
  <c r="DP51" i="6"/>
  <c r="DV51" i="6"/>
  <c r="EH51" i="6"/>
  <c r="DO52" i="6"/>
  <c r="DU52" i="6"/>
  <c r="EA52" i="6"/>
  <c r="EG52" i="6"/>
  <c r="EM52" i="6"/>
  <c r="EF53" i="6"/>
  <c r="DS54" i="6"/>
  <c r="EE54" i="6"/>
  <c r="EK54" i="6"/>
  <c r="DR55" i="6"/>
  <c r="EJ55" i="6"/>
  <c r="DQ56" i="6"/>
  <c r="EI56" i="6"/>
  <c r="DP57" i="6"/>
  <c r="DV57" i="6"/>
  <c r="EH57" i="6"/>
  <c r="DO58" i="6"/>
  <c r="DU58" i="6"/>
  <c r="EA58" i="6"/>
  <c r="EG58" i="6"/>
  <c r="EM58" i="6"/>
  <c r="EF59" i="6"/>
  <c r="EE60" i="6"/>
  <c r="EK60" i="6"/>
  <c r="DR62" i="6"/>
  <c r="EJ62" i="6"/>
  <c r="DQ64" i="6"/>
  <c r="EI64" i="6"/>
  <c r="DP65" i="6"/>
  <c r="DV65" i="6"/>
  <c r="EH65" i="6"/>
  <c r="DO66" i="6"/>
  <c r="DU66" i="6"/>
  <c r="EA66" i="6"/>
  <c r="EG66" i="6"/>
  <c r="EM66" i="6"/>
  <c r="EF67" i="6"/>
  <c r="EE68" i="6"/>
  <c r="EK68" i="6"/>
  <c r="DR69" i="6"/>
  <c r="EJ69" i="6"/>
  <c r="DQ70" i="6"/>
  <c r="EI70" i="6"/>
  <c r="DP71" i="6"/>
  <c r="DV71" i="6"/>
  <c r="EH71" i="6"/>
  <c r="DO72" i="6"/>
  <c r="DU72" i="6"/>
  <c r="EA72" i="6"/>
  <c r="EG72" i="6"/>
  <c r="EM72" i="6"/>
  <c r="EF73" i="6"/>
  <c r="EE74" i="6"/>
  <c r="EK74" i="6"/>
  <c r="DR75" i="6"/>
  <c r="EJ75" i="6"/>
  <c r="DQ76" i="6"/>
  <c r="EI76" i="6"/>
  <c r="DP77" i="6"/>
  <c r="DV77" i="6"/>
  <c r="EE43" i="6"/>
  <c r="EK43" i="6"/>
  <c r="DQ45" i="6"/>
  <c r="EI45" i="6"/>
  <c r="DP46" i="6"/>
  <c r="DV46" i="6"/>
  <c r="EH46" i="6"/>
  <c r="DO47" i="6"/>
  <c r="DU47" i="6"/>
  <c r="EA47" i="6"/>
  <c r="EG47" i="6"/>
  <c r="EM47" i="6"/>
  <c r="EF48" i="6"/>
  <c r="EE49" i="6"/>
  <c r="EK49" i="6"/>
  <c r="DR50" i="6"/>
  <c r="EJ50" i="6"/>
  <c r="DQ51" i="6"/>
  <c r="EI51" i="6"/>
  <c r="DP52" i="6"/>
  <c r="DV52" i="6"/>
  <c r="EH52" i="6"/>
  <c r="DO53" i="6"/>
  <c r="DU53" i="6"/>
  <c r="EA53" i="6"/>
  <c r="EG53" i="6"/>
  <c r="EM53" i="6"/>
  <c r="EF54" i="6"/>
  <c r="DS55" i="6"/>
  <c r="EE55" i="6"/>
  <c r="EK55" i="6"/>
  <c r="DR56" i="6"/>
  <c r="EJ56" i="6"/>
  <c r="DQ57" i="6"/>
  <c r="EI57" i="6"/>
  <c r="DP58" i="6"/>
  <c r="DV58" i="6"/>
  <c r="EH58" i="6"/>
  <c r="DO59" i="6"/>
  <c r="DU59" i="6"/>
  <c r="EA59" i="6"/>
  <c r="EG59" i="6"/>
  <c r="EM59" i="6"/>
  <c r="EF60" i="6"/>
  <c r="DS62" i="6"/>
  <c r="EE62" i="6"/>
  <c r="EK62" i="6"/>
  <c r="DR64" i="6"/>
  <c r="EJ64" i="6"/>
  <c r="DQ65" i="6"/>
  <c r="EI65" i="6"/>
  <c r="DP66" i="6"/>
  <c r="DV66" i="6"/>
  <c r="EH66" i="6"/>
  <c r="DO67" i="6"/>
  <c r="DU67" i="6"/>
  <c r="EA67" i="6"/>
  <c r="EG67" i="6"/>
  <c r="EM67" i="6"/>
  <c r="EF68" i="6"/>
  <c r="EE69" i="6"/>
  <c r="EK69" i="6"/>
  <c r="DR70" i="6"/>
  <c r="EJ70" i="6"/>
  <c r="DQ71" i="6"/>
  <c r="EI71" i="6"/>
  <c r="DP72" i="6"/>
  <c r="DV72" i="6"/>
  <c r="EH72" i="6"/>
  <c r="DO73" i="6"/>
  <c r="DU73" i="6"/>
  <c r="EA73" i="6"/>
  <c r="EG73" i="6"/>
  <c r="EM73" i="6"/>
  <c r="EF74" i="6"/>
  <c r="EE75" i="6"/>
  <c r="EK75" i="6"/>
  <c r="DR76" i="6"/>
  <c r="EJ76" i="6"/>
  <c r="DQ77" i="6"/>
  <c r="EM42" i="6"/>
  <c r="EF43" i="6"/>
  <c r="DR45" i="6"/>
  <c r="EJ45" i="6"/>
  <c r="DQ46" i="6"/>
  <c r="EI46" i="6"/>
  <c r="DP47" i="6"/>
  <c r="DV47" i="6"/>
  <c r="EH47" i="6"/>
  <c r="DO48" i="6"/>
  <c r="DU48" i="6"/>
  <c r="EA48" i="6"/>
  <c r="EG48" i="6"/>
  <c r="EM48" i="6"/>
  <c r="EF49" i="6"/>
  <c r="EE50" i="6"/>
  <c r="EK50" i="6"/>
  <c r="DR51" i="6"/>
  <c r="EJ51" i="6"/>
  <c r="DQ52" i="6"/>
  <c r="EI52" i="6"/>
  <c r="DP53" i="6"/>
  <c r="DV53" i="6"/>
  <c r="EH53" i="6"/>
  <c r="DO54" i="6"/>
  <c r="DU54" i="6"/>
  <c r="EA54" i="6"/>
  <c r="EG54" i="6"/>
  <c r="EM54" i="6"/>
  <c r="EF55" i="6"/>
  <c r="DS56" i="6"/>
  <c r="EE56" i="6"/>
  <c r="EK56" i="6"/>
  <c r="DR57" i="6"/>
  <c r="EJ57" i="6"/>
  <c r="DQ58" i="6"/>
  <c r="EI58" i="6"/>
  <c r="DP59" i="6"/>
  <c r="DV59" i="6"/>
  <c r="EH59" i="6"/>
  <c r="DO60" i="6"/>
  <c r="DU60" i="6"/>
  <c r="EA60" i="6"/>
  <c r="EG60" i="6"/>
  <c r="EM60" i="6"/>
  <c r="EF62" i="6"/>
  <c r="EE64" i="6"/>
  <c r="EK64" i="6"/>
  <c r="DR65" i="6"/>
  <c r="EJ65" i="6"/>
  <c r="DQ66" i="6"/>
  <c r="EI66" i="6"/>
  <c r="DP67" i="6"/>
  <c r="DV67" i="6"/>
  <c r="EH67" i="6"/>
  <c r="DO68" i="6"/>
  <c r="DU68" i="6"/>
  <c r="EA68" i="6"/>
  <c r="EG68" i="6"/>
  <c r="EM68" i="6"/>
  <c r="EF69" i="6"/>
  <c r="EE70" i="6"/>
  <c r="EK70" i="6"/>
  <c r="DR71" i="6"/>
  <c r="EJ71" i="6"/>
  <c r="DQ72" i="6"/>
  <c r="EI72" i="6"/>
  <c r="DP73" i="6"/>
  <c r="DV73" i="6"/>
  <c r="EH73" i="6"/>
  <c r="DO74" i="6"/>
  <c r="DU74" i="6"/>
  <c r="EA74" i="6"/>
  <c r="EG74" i="6"/>
  <c r="EM74" i="6"/>
  <c r="EF75" i="6"/>
  <c r="EE76" i="6"/>
  <c r="EK76" i="6"/>
  <c r="DR77" i="6"/>
  <c r="EE77" i="6"/>
  <c r="EK77" i="6"/>
  <c r="DR78" i="6"/>
  <c r="EJ78" i="6"/>
  <c r="DQ79" i="6"/>
  <c r="EI79" i="6"/>
  <c r="DP81" i="6"/>
  <c r="DV81" i="6"/>
  <c r="EH81" i="6"/>
  <c r="DO82" i="6"/>
  <c r="DU82" i="6"/>
  <c r="EA82" i="6"/>
  <c r="EG82" i="6"/>
  <c r="EM82" i="6"/>
  <c r="EF83" i="6"/>
  <c r="EE84" i="6"/>
  <c r="EK84" i="6"/>
  <c r="DR85" i="6"/>
  <c r="EJ85" i="6"/>
  <c r="DQ86" i="6"/>
  <c r="EI86" i="6"/>
  <c r="DP87" i="6"/>
  <c r="DV87" i="6"/>
  <c r="EH87" i="6"/>
  <c r="DO88" i="6"/>
  <c r="DU88" i="6"/>
  <c r="EA88" i="6"/>
  <c r="EG88" i="6"/>
  <c r="EM88" i="6"/>
  <c r="EF89" i="6"/>
  <c r="EE90" i="6"/>
  <c r="EK90" i="6"/>
  <c r="DR91" i="6"/>
  <c r="EJ91" i="6"/>
  <c r="DQ92" i="6"/>
  <c r="EI92" i="6"/>
  <c r="DP93" i="6"/>
  <c r="DV93" i="6"/>
  <c r="EH93" i="6"/>
  <c r="DO94" i="6"/>
  <c r="DU94" i="6"/>
  <c r="EA94" i="6"/>
  <c r="EG94" i="6"/>
  <c r="EM94" i="6"/>
  <c r="EF95" i="6"/>
  <c r="DS96" i="6"/>
  <c r="EE96" i="6"/>
  <c r="EK96" i="6"/>
  <c r="DR97" i="6"/>
  <c r="EJ97" i="6"/>
  <c r="DQ98" i="6"/>
  <c r="EI98" i="6"/>
  <c r="DP99" i="6"/>
  <c r="DV99" i="6"/>
  <c r="EH99" i="6"/>
  <c r="DO100" i="6"/>
  <c r="DU100" i="6"/>
  <c r="EA100" i="6"/>
  <c r="EG100" i="6"/>
  <c r="EM100" i="6"/>
  <c r="EF101" i="6"/>
  <c r="EE102" i="6"/>
  <c r="EK102" i="6"/>
  <c r="DR103" i="6"/>
  <c r="EJ103" i="6"/>
  <c r="DP105" i="6"/>
  <c r="DV105" i="6"/>
  <c r="EH105" i="6"/>
  <c r="DO106" i="6"/>
  <c r="DU106" i="6"/>
  <c r="EA106" i="6"/>
  <c r="EG106" i="6"/>
  <c r="EM106" i="6"/>
  <c r="EF107" i="6"/>
  <c r="EE108" i="6"/>
  <c r="EK108" i="6"/>
  <c r="EF77" i="6"/>
  <c r="EE78" i="6"/>
  <c r="EK78" i="6"/>
  <c r="DR79" i="6"/>
  <c r="EJ79" i="6"/>
  <c r="DQ81" i="6"/>
  <c r="EI81" i="6"/>
  <c r="DP82" i="6"/>
  <c r="DV82" i="6"/>
  <c r="EH82" i="6"/>
  <c r="DO83" i="6"/>
  <c r="DU83" i="6"/>
  <c r="EA83" i="6"/>
  <c r="EG83" i="6"/>
  <c r="EM83" i="6"/>
  <c r="EF84" i="6"/>
  <c r="EE85" i="6"/>
  <c r="EK85" i="6"/>
  <c r="DR86" i="6"/>
  <c r="EJ86" i="6"/>
  <c r="DQ87" i="6"/>
  <c r="EI87" i="6"/>
  <c r="DP88" i="6"/>
  <c r="DV88" i="6"/>
  <c r="EH88" i="6"/>
  <c r="DO89" i="6"/>
  <c r="DU89" i="6"/>
  <c r="EA89" i="6"/>
  <c r="EG89" i="6"/>
  <c r="EM89" i="6"/>
  <c r="EF90" i="6"/>
  <c r="DS91" i="6"/>
  <c r="EE91" i="6"/>
  <c r="EK91" i="6"/>
  <c r="DR92" i="6"/>
  <c r="EJ92" i="6"/>
  <c r="DQ93" i="6"/>
  <c r="EI93" i="6"/>
  <c r="DP94" i="6"/>
  <c r="DV94" i="6"/>
  <c r="EH94" i="6"/>
  <c r="DO95" i="6"/>
  <c r="DU95" i="6"/>
  <c r="EA95" i="6"/>
  <c r="EG95" i="6"/>
  <c r="EM95" i="6"/>
  <c r="EF96" i="6"/>
  <c r="EE97" i="6"/>
  <c r="EK97" i="6"/>
  <c r="DR98" i="6"/>
  <c r="EJ98" i="6"/>
  <c r="DQ99" i="6"/>
  <c r="EI99" i="6"/>
  <c r="DP100" i="6"/>
  <c r="DV100" i="6"/>
  <c r="EH100" i="6"/>
  <c r="DO101" i="6"/>
  <c r="DU101" i="6"/>
  <c r="EA101" i="6"/>
  <c r="EG101" i="6"/>
  <c r="EM101" i="6"/>
  <c r="EF102" i="6"/>
  <c r="EE103" i="6"/>
  <c r="EK103" i="6"/>
  <c r="DQ105" i="6"/>
  <c r="EI105" i="6"/>
  <c r="DP106" i="6"/>
  <c r="DV106" i="6"/>
  <c r="EH106" i="6"/>
  <c r="DO107" i="6"/>
  <c r="DU107" i="6"/>
  <c r="EA107" i="6"/>
  <c r="EG107" i="6"/>
  <c r="EM107" i="6"/>
  <c r="EF108" i="6"/>
  <c r="DU77" i="6"/>
  <c r="EA77" i="6"/>
  <c r="EG77" i="6"/>
  <c r="EM77" i="6"/>
  <c r="EF78" i="6"/>
  <c r="EE79" i="6"/>
  <c r="EK79" i="6"/>
  <c r="DR81" i="6"/>
  <c r="EJ81" i="6"/>
  <c r="DQ82" i="6"/>
  <c r="EI82" i="6"/>
  <c r="DP83" i="6"/>
  <c r="DV83" i="6"/>
  <c r="EH83" i="6"/>
  <c r="DO84" i="6"/>
  <c r="DU84" i="6"/>
  <c r="EA84" i="6"/>
  <c r="EG84" i="6"/>
  <c r="EM84" i="6"/>
  <c r="DT85" i="6"/>
  <c r="EF85" i="6"/>
  <c r="EE86" i="6"/>
  <c r="EK86" i="6"/>
  <c r="DR87" i="6"/>
  <c r="EJ87" i="6"/>
  <c r="DQ88" i="6"/>
  <c r="EI88" i="6"/>
  <c r="DP89" i="6"/>
  <c r="DV89" i="6"/>
  <c r="EH89" i="6"/>
  <c r="DO90" i="6"/>
  <c r="DU90" i="6"/>
  <c r="EA90" i="6"/>
  <c r="EG90" i="6"/>
  <c r="EM90" i="6"/>
  <c r="EF91" i="6"/>
  <c r="DS92" i="6"/>
  <c r="EE92" i="6"/>
  <c r="EK92" i="6"/>
  <c r="DR93" i="6"/>
  <c r="EJ93" i="6"/>
  <c r="DQ94" i="6"/>
  <c r="EI94" i="6"/>
  <c r="DP95" i="6"/>
  <c r="DV95" i="6"/>
  <c r="EH95" i="6"/>
  <c r="DO96" i="6"/>
  <c r="DU96" i="6"/>
  <c r="EA96" i="6"/>
  <c r="EG96" i="6"/>
  <c r="EM96" i="6"/>
  <c r="DT97" i="6"/>
  <c r="EF97" i="6"/>
  <c r="EE98" i="6"/>
  <c r="EK98" i="6"/>
  <c r="DR99" i="6"/>
  <c r="EJ99" i="6"/>
  <c r="DQ100" i="6"/>
  <c r="EI100" i="6"/>
  <c r="DP101" i="6"/>
  <c r="DV101" i="6"/>
  <c r="EH101" i="6"/>
  <c r="DO102" i="6"/>
  <c r="DU102" i="6"/>
  <c r="EA102" i="6"/>
  <c r="EG102" i="6"/>
  <c r="EM102" i="6"/>
  <c r="DT103" i="6"/>
  <c r="EF103" i="6"/>
  <c r="DR105" i="6"/>
  <c r="EJ105" i="6"/>
  <c r="DQ106" i="6"/>
  <c r="EI106" i="6"/>
  <c r="DP107" i="6"/>
  <c r="DV107" i="6"/>
  <c r="EH107" i="6"/>
  <c r="DO108" i="6"/>
  <c r="DU108" i="6"/>
  <c r="EA108" i="6"/>
  <c r="EG108" i="6"/>
  <c r="EM108" i="6"/>
  <c r="EH77" i="6"/>
  <c r="DO78" i="6"/>
  <c r="DU78" i="6"/>
  <c r="EA78" i="6"/>
  <c r="EG78" i="6"/>
  <c r="EM78" i="6"/>
  <c r="EF79" i="6"/>
  <c r="EE81" i="6"/>
  <c r="EK81" i="6"/>
  <c r="DR82" i="6"/>
  <c r="EJ82" i="6"/>
  <c r="DQ83" i="6"/>
  <c r="EI83" i="6"/>
  <c r="DP84" i="6"/>
  <c r="DV84" i="6"/>
  <c r="EH84" i="6"/>
  <c r="DO85" i="6"/>
  <c r="DU85" i="6"/>
  <c r="EA85" i="6"/>
  <c r="EG85" i="6"/>
  <c r="EM85" i="6"/>
  <c r="DT86" i="6"/>
  <c r="EF86" i="6"/>
  <c r="DS87" i="6"/>
  <c r="EE87" i="6"/>
  <c r="EK87" i="6"/>
  <c r="DR88" i="6"/>
  <c r="EJ88" i="6"/>
  <c r="DQ89" i="6"/>
  <c r="EI89" i="6"/>
  <c r="DP90" i="6"/>
  <c r="DV90" i="6"/>
  <c r="EH90" i="6"/>
  <c r="DO91" i="6"/>
  <c r="DU91" i="6"/>
  <c r="EA91" i="6"/>
  <c r="EG91" i="6"/>
  <c r="EM91" i="6"/>
  <c r="EF92" i="6"/>
  <c r="EE93" i="6"/>
  <c r="EK93" i="6"/>
  <c r="DR94" i="6"/>
  <c r="EJ94" i="6"/>
  <c r="DQ95" i="6"/>
  <c r="EI95" i="6"/>
  <c r="DP96" i="6"/>
  <c r="DV96" i="6"/>
  <c r="EH96" i="6"/>
  <c r="DO97" i="6"/>
  <c r="DU97" i="6"/>
  <c r="EA97" i="6"/>
  <c r="EG97" i="6"/>
  <c r="EM97" i="6"/>
  <c r="EF98" i="6"/>
  <c r="EE99" i="6"/>
  <c r="EK99" i="6"/>
  <c r="DR100" i="6"/>
  <c r="EJ100" i="6"/>
  <c r="DQ101" i="6"/>
  <c r="EI101" i="6"/>
  <c r="DP102" i="6"/>
  <c r="DV102" i="6"/>
  <c r="EH102" i="6"/>
  <c r="DO103" i="6"/>
  <c r="DU103" i="6"/>
  <c r="EA103" i="6"/>
  <c r="EG103" i="6"/>
  <c r="EM103" i="6"/>
  <c r="EE105" i="6"/>
  <c r="EK105" i="6"/>
  <c r="DR106" i="6"/>
  <c r="EJ106" i="6"/>
  <c r="DQ107" i="6"/>
  <c r="EI107" i="6"/>
  <c r="DP108" i="6"/>
  <c r="DV108" i="6"/>
  <c r="EH108" i="6"/>
  <c r="EI77" i="6"/>
  <c r="DP78" i="6"/>
  <c r="DV78" i="6"/>
  <c r="EH78" i="6"/>
  <c r="DO79" i="6"/>
  <c r="DU79" i="6"/>
  <c r="EA79" i="6"/>
  <c r="EG79" i="6"/>
  <c r="EM79" i="6"/>
  <c r="EF81" i="6"/>
  <c r="EE82" i="6"/>
  <c r="EK82" i="6"/>
  <c r="DR83" i="6"/>
  <c r="EJ83" i="6"/>
  <c r="DQ84" i="6"/>
  <c r="EI84" i="6"/>
  <c r="DP85" i="6"/>
  <c r="DV85" i="6"/>
  <c r="EH85" i="6"/>
  <c r="DO86" i="6"/>
  <c r="DU86" i="6"/>
  <c r="EA86" i="6"/>
  <c r="EG86" i="6"/>
  <c r="EM86" i="6"/>
  <c r="EF87" i="6"/>
  <c r="DS88" i="6"/>
  <c r="EE88" i="6"/>
  <c r="EK88" i="6"/>
  <c r="DR89" i="6"/>
  <c r="EJ89" i="6"/>
  <c r="DQ90" i="6"/>
  <c r="EI90" i="6"/>
  <c r="DP91" i="6"/>
  <c r="DV91" i="6"/>
  <c r="EH91" i="6"/>
  <c r="DO92" i="6"/>
  <c r="DU92" i="6"/>
  <c r="EA92" i="6"/>
  <c r="EG92" i="6"/>
  <c r="EM92" i="6"/>
  <c r="EF93" i="6"/>
  <c r="DS94" i="6"/>
  <c r="EE94" i="6"/>
  <c r="EK94" i="6"/>
  <c r="DR95" i="6"/>
  <c r="EJ95" i="6"/>
  <c r="DQ96" i="6"/>
  <c r="EI96" i="6"/>
  <c r="DP97" i="6"/>
  <c r="DV97" i="6"/>
  <c r="EH97" i="6"/>
  <c r="DO98" i="6"/>
  <c r="DU98" i="6"/>
  <c r="EA98" i="6"/>
  <c r="EG98" i="6"/>
  <c r="EM98" i="6"/>
  <c r="DT99" i="6"/>
  <c r="EF99" i="6"/>
  <c r="DS100" i="6"/>
  <c r="EE100" i="6"/>
  <c r="EK100" i="6"/>
  <c r="DR101" i="6"/>
  <c r="EJ101" i="6"/>
  <c r="DQ102" i="6"/>
  <c r="EI102" i="6"/>
  <c r="DP103" i="6"/>
  <c r="DV103" i="6"/>
  <c r="EH103" i="6"/>
  <c r="EF105" i="6"/>
  <c r="EE106" i="6"/>
  <c r="EK106" i="6"/>
  <c r="DR107" i="6"/>
  <c r="EJ107" i="6"/>
  <c r="DQ108" i="6"/>
  <c r="EI108" i="6"/>
  <c r="EJ77" i="6"/>
  <c r="DQ78" i="6"/>
  <c r="EI78" i="6"/>
  <c r="DP79" i="6"/>
  <c r="DV79" i="6"/>
  <c r="EH79" i="6"/>
  <c r="DO81" i="6"/>
  <c r="DU81" i="6"/>
  <c r="EA81" i="6"/>
  <c r="EG81" i="6"/>
  <c r="EM81" i="6"/>
  <c r="DT82" i="6"/>
  <c r="EF82" i="6"/>
  <c r="EE83" i="6"/>
  <c r="EK83" i="6"/>
  <c r="DR84" i="6"/>
  <c r="EJ84" i="6"/>
  <c r="DQ85" i="6"/>
  <c r="EI85" i="6"/>
  <c r="DP86" i="6"/>
  <c r="DV86" i="6"/>
  <c r="EH86" i="6"/>
  <c r="DO87" i="6"/>
  <c r="DU87" i="6"/>
  <c r="EA87" i="6"/>
  <c r="EG87" i="6"/>
  <c r="EM87" i="6"/>
  <c r="EF88" i="6"/>
  <c r="EE89" i="6"/>
  <c r="EK89" i="6"/>
  <c r="DR90" i="6"/>
  <c r="EJ90" i="6"/>
  <c r="DQ91" i="6"/>
  <c r="EI91" i="6"/>
  <c r="DP92" i="6"/>
  <c r="DV92" i="6"/>
  <c r="EH92" i="6"/>
  <c r="DO93" i="6"/>
  <c r="DU93" i="6"/>
  <c r="EA93" i="6"/>
  <c r="EG93" i="6"/>
  <c r="EM93" i="6"/>
  <c r="EF94" i="6"/>
  <c r="DS95" i="6"/>
  <c r="EE95" i="6"/>
  <c r="EK95" i="6"/>
  <c r="DR96" i="6"/>
  <c r="EJ96" i="6"/>
  <c r="DQ97" i="6"/>
  <c r="EI97" i="6"/>
  <c r="DP98" i="6"/>
  <c r="DV98" i="6"/>
  <c r="EH98" i="6"/>
  <c r="DO99" i="6"/>
  <c r="DU99" i="6"/>
  <c r="EA99" i="6"/>
  <c r="EG99" i="6"/>
  <c r="EM99" i="6"/>
  <c r="EF100" i="6"/>
  <c r="EE101" i="6"/>
  <c r="EK101" i="6"/>
  <c r="DR102" i="6"/>
  <c r="EJ102" i="6"/>
  <c r="DQ103" i="6"/>
  <c r="EI103" i="6"/>
  <c r="DO105" i="6"/>
  <c r="DU105" i="6"/>
  <c r="EA105" i="6"/>
  <c r="EG105" i="6"/>
  <c r="EM105" i="6"/>
  <c r="EF106" i="6"/>
  <c r="EE107" i="6"/>
  <c r="EK107" i="6"/>
  <c r="DR108" i="6"/>
  <c r="EJ108" i="6"/>
  <c r="EB5" i="6"/>
  <c r="EB23" i="6"/>
  <c r="EB67" i="6"/>
  <c r="EB98" i="6"/>
  <c r="EB6" i="6"/>
  <c r="EB12" i="6"/>
  <c r="EB18" i="6"/>
  <c r="EB24" i="6"/>
  <c r="EB30" i="6"/>
  <c r="EB36" i="6"/>
  <c r="EB42" i="6"/>
  <c r="EB48" i="6"/>
  <c r="EB54" i="6"/>
  <c r="EB60" i="6"/>
  <c r="EB68" i="6"/>
  <c r="EB74" i="6"/>
  <c r="EB81" i="6"/>
  <c r="EB87" i="6"/>
  <c r="EB93" i="6"/>
  <c r="EB99" i="6"/>
  <c r="EB105" i="6"/>
  <c r="EB29" i="6"/>
  <c r="EB79" i="6"/>
  <c r="EB7" i="6"/>
  <c r="EB13" i="6"/>
  <c r="EB19" i="6"/>
  <c r="EB25" i="6"/>
  <c r="EB31" i="6"/>
  <c r="EB37" i="6"/>
  <c r="EB43" i="6"/>
  <c r="EB49" i="6"/>
  <c r="EB55" i="6"/>
  <c r="EB62" i="6"/>
  <c r="EB69" i="6"/>
  <c r="EB75" i="6"/>
  <c r="EB82" i="6"/>
  <c r="EB88" i="6"/>
  <c r="EB94" i="6"/>
  <c r="EB100" i="6"/>
  <c r="EB106" i="6"/>
  <c r="EB11" i="6"/>
  <c r="EB47" i="6"/>
  <c r="EB53" i="6"/>
  <c r="EB92" i="6"/>
  <c r="EB8" i="6"/>
  <c r="EB14" i="6"/>
  <c r="EB20" i="6"/>
  <c r="EB26" i="6"/>
  <c r="EB32" i="6"/>
  <c r="EB38" i="6"/>
  <c r="EB50" i="6"/>
  <c r="EB56" i="6"/>
  <c r="EB64" i="6"/>
  <c r="EB70" i="6"/>
  <c r="EB76" i="6"/>
  <c r="EB83" i="6"/>
  <c r="EB89" i="6"/>
  <c r="EB95" i="6"/>
  <c r="EB101" i="6"/>
  <c r="EB107" i="6"/>
  <c r="EB35" i="6"/>
  <c r="EB59" i="6"/>
  <c r="EB86" i="6"/>
  <c r="EB3" i="6"/>
  <c r="EB9" i="6"/>
  <c r="EB15" i="6"/>
  <c r="EB21" i="6"/>
  <c r="EB27" i="6"/>
  <c r="EB33" i="6"/>
  <c r="EB39" i="6"/>
  <c r="EB45" i="6"/>
  <c r="EB51" i="6"/>
  <c r="EB57" i="6"/>
  <c r="EB65" i="6"/>
  <c r="EB71" i="6"/>
  <c r="EB77" i="6"/>
  <c r="EB84" i="6"/>
  <c r="EB90" i="6"/>
  <c r="EB96" i="6"/>
  <c r="EB102" i="6"/>
  <c r="EB108" i="6"/>
  <c r="EB17" i="6"/>
  <c r="EB41" i="6"/>
  <c r="EB73" i="6"/>
  <c r="EB4" i="6"/>
  <c r="EB10" i="6"/>
  <c r="EB16" i="6"/>
  <c r="EB22" i="6"/>
  <c r="EB28" i="6"/>
  <c r="EB34" i="6"/>
  <c r="EB40" i="6"/>
  <c r="EB46" i="6"/>
  <c r="EB52" i="6"/>
  <c r="EB58" i="6"/>
  <c r="EB66" i="6"/>
  <c r="EB72" i="6"/>
  <c r="EB78" i="6"/>
  <c r="EB85" i="6"/>
  <c r="EB91" i="6"/>
  <c r="EB97" i="6"/>
  <c r="EB103" i="6"/>
  <c r="DZ3" i="6"/>
  <c r="DZ6" i="6"/>
  <c r="DZ31" i="6"/>
  <c r="DZ55" i="6"/>
  <c r="DZ100" i="6"/>
  <c r="DZ8" i="6"/>
  <c r="DZ14" i="6"/>
  <c r="DZ20" i="6"/>
  <c r="DZ26" i="6"/>
  <c r="DZ32" i="6"/>
  <c r="DZ38" i="6"/>
  <c r="DZ50" i="6"/>
  <c r="DZ56" i="6"/>
  <c r="DZ64" i="6"/>
  <c r="DZ70" i="6"/>
  <c r="DZ76" i="6"/>
  <c r="DZ83" i="6"/>
  <c r="DZ89" i="6"/>
  <c r="DZ95" i="6"/>
  <c r="DZ101" i="6"/>
  <c r="DZ107" i="6"/>
  <c r="DZ25" i="6"/>
  <c r="DZ62" i="6"/>
  <c r="DZ88" i="6"/>
  <c r="DZ9" i="6"/>
  <c r="DZ15" i="6"/>
  <c r="DZ21" i="6"/>
  <c r="DZ27" i="6"/>
  <c r="DZ33" i="6"/>
  <c r="DZ39" i="6"/>
  <c r="DZ45" i="6"/>
  <c r="DZ51" i="6"/>
  <c r="DZ57" i="6"/>
  <c r="DZ65" i="6"/>
  <c r="DZ71" i="6"/>
  <c r="DZ77" i="6"/>
  <c r="DZ84" i="6"/>
  <c r="DZ90" i="6"/>
  <c r="DZ96" i="6"/>
  <c r="DZ102" i="6"/>
  <c r="DZ108" i="6"/>
  <c r="DZ37" i="6"/>
  <c r="DZ69" i="6"/>
  <c r="DZ94" i="6"/>
  <c r="DZ4" i="6"/>
  <c r="DZ10" i="6"/>
  <c r="DZ16" i="6"/>
  <c r="DZ22" i="6"/>
  <c r="DZ28" i="6"/>
  <c r="DZ34" i="6"/>
  <c r="DZ40" i="6"/>
  <c r="DZ46" i="6"/>
  <c r="DZ52" i="6"/>
  <c r="DZ58" i="6"/>
  <c r="DZ66" i="6"/>
  <c r="DZ72" i="6"/>
  <c r="DZ78" i="6"/>
  <c r="DZ85" i="6"/>
  <c r="DZ91" i="6"/>
  <c r="DZ97" i="6"/>
  <c r="DZ103" i="6"/>
  <c r="DZ19" i="6"/>
  <c r="DZ49" i="6"/>
  <c r="DZ82" i="6"/>
  <c r="DZ106" i="6"/>
  <c r="DZ5" i="6"/>
  <c r="DZ11" i="6"/>
  <c r="DZ17" i="6"/>
  <c r="DZ23" i="6"/>
  <c r="DZ29" i="6"/>
  <c r="DZ35" i="6"/>
  <c r="DZ41" i="6"/>
  <c r="DZ47" i="6"/>
  <c r="DZ53" i="6"/>
  <c r="DZ59" i="6"/>
  <c r="DZ67" i="6"/>
  <c r="DZ73" i="6"/>
  <c r="DZ79" i="6"/>
  <c r="DZ86" i="6"/>
  <c r="DZ92" i="6"/>
  <c r="DZ98" i="6"/>
  <c r="DZ13" i="6"/>
  <c r="DZ43" i="6"/>
  <c r="DZ75" i="6"/>
  <c r="DZ12" i="6"/>
  <c r="DZ18" i="6"/>
  <c r="DZ24" i="6"/>
  <c r="DZ30" i="6"/>
  <c r="DZ36" i="6"/>
  <c r="DZ42" i="6"/>
  <c r="DZ48" i="6"/>
  <c r="DZ54" i="6"/>
  <c r="DZ60" i="6"/>
  <c r="DZ68" i="6"/>
  <c r="DZ74" i="6"/>
  <c r="DZ81" i="6"/>
  <c r="DZ87" i="6"/>
  <c r="DZ93" i="6"/>
  <c r="DZ99" i="6"/>
  <c r="DZ105" i="6"/>
  <c r="DY32" i="6"/>
  <c r="DY70" i="6"/>
  <c r="DY83" i="6"/>
  <c r="DY107" i="6"/>
  <c r="DY3" i="6"/>
  <c r="DY9" i="6"/>
  <c r="DY15" i="6"/>
  <c r="DY21" i="6"/>
  <c r="DY27" i="6"/>
  <c r="DY33" i="6"/>
  <c r="DY39" i="6"/>
  <c r="DY45" i="6"/>
  <c r="DY51" i="6"/>
  <c r="DY57" i="6"/>
  <c r="DY65" i="6"/>
  <c r="DY71" i="6"/>
  <c r="DY77" i="6"/>
  <c r="DY84" i="6"/>
  <c r="DY90" i="6"/>
  <c r="DY96" i="6"/>
  <c r="DY102" i="6"/>
  <c r="DY108" i="6"/>
  <c r="DY26" i="6"/>
  <c r="DY64" i="6"/>
  <c r="DY4" i="6"/>
  <c r="DY10" i="6"/>
  <c r="DY16" i="6"/>
  <c r="DY22" i="6"/>
  <c r="DY28" i="6"/>
  <c r="DY34" i="6"/>
  <c r="DY40" i="6"/>
  <c r="DY46" i="6"/>
  <c r="DY52" i="6"/>
  <c r="DY58" i="6"/>
  <c r="DY66" i="6"/>
  <c r="DY72" i="6"/>
  <c r="DY78" i="6"/>
  <c r="DY85" i="6"/>
  <c r="DY91" i="6"/>
  <c r="DY97" i="6"/>
  <c r="DY103" i="6"/>
  <c r="DY8" i="6"/>
  <c r="DY50" i="6"/>
  <c r="DY76" i="6"/>
  <c r="DY95" i="6"/>
  <c r="DY5" i="6"/>
  <c r="DY11" i="6"/>
  <c r="DY17" i="6"/>
  <c r="DY23" i="6"/>
  <c r="DY29" i="6"/>
  <c r="DY35" i="6"/>
  <c r="DY41" i="6"/>
  <c r="DY47" i="6"/>
  <c r="DY53" i="6"/>
  <c r="DY59" i="6"/>
  <c r="DY67" i="6"/>
  <c r="DY73" i="6"/>
  <c r="DY79" i="6"/>
  <c r="DY86" i="6"/>
  <c r="DY92" i="6"/>
  <c r="DY98" i="6"/>
  <c r="DY14" i="6"/>
  <c r="DY56" i="6"/>
  <c r="DY89" i="6"/>
  <c r="DY6" i="6"/>
  <c r="DY12" i="6"/>
  <c r="DY18" i="6"/>
  <c r="DY24" i="6"/>
  <c r="DY30" i="6"/>
  <c r="DY36" i="6"/>
  <c r="DY42" i="6"/>
  <c r="DY48" i="6"/>
  <c r="DY54" i="6"/>
  <c r="DY60" i="6"/>
  <c r="DY68" i="6"/>
  <c r="DY74" i="6"/>
  <c r="DY81" i="6"/>
  <c r="DY87" i="6"/>
  <c r="DY93" i="6"/>
  <c r="DY99" i="6"/>
  <c r="DY105" i="6"/>
  <c r="DY20" i="6"/>
  <c r="DY38" i="6"/>
  <c r="DY101" i="6"/>
  <c r="DY7" i="6"/>
  <c r="DY13" i="6"/>
  <c r="DY19" i="6"/>
  <c r="DY25" i="6"/>
  <c r="DY31" i="6"/>
  <c r="DY37" i="6"/>
  <c r="DY43" i="6"/>
  <c r="DY49" i="6"/>
  <c r="DY55" i="6"/>
  <c r="DY62" i="6"/>
  <c r="DY69" i="6"/>
  <c r="DY75" i="6"/>
  <c r="DY82" i="6"/>
  <c r="DY88" i="6"/>
  <c r="DY94" i="6"/>
  <c r="DY100" i="6"/>
  <c r="DY106" i="6"/>
  <c r="DX7" i="6"/>
  <c r="EN17" i="6"/>
  <c r="EN35" i="6"/>
  <c r="EN53" i="6"/>
  <c r="EN79" i="6"/>
  <c r="EN6" i="6"/>
  <c r="EN12" i="6"/>
  <c r="EN18" i="6"/>
  <c r="EN24" i="6"/>
  <c r="EN30" i="6"/>
  <c r="EN36" i="6"/>
  <c r="EN42" i="6"/>
  <c r="EN48" i="6"/>
  <c r="EN54" i="6"/>
  <c r="EN60" i="6"/>
  <c r="EN68" i="6"/>
  <c r="EN74" i="6"/>
  <c r="EN81" i="6"/>
  <c r="EN87" i="6"/>
  <c r="EN93" i="6"/>
  <c r="EN99" i="6"/>
  <c r="EN105" i="6"/>
  <c r="EN11" i="6"/>
  <c r="EN47" i="6"/>
  <c r="EN67" i="6"/>
  <c r="EN92" i="6"/>
  <c r="EN7" i="6"/>
  <c r="EN13" i="6"/>
  <c r="EN19" i="6"/>
  <c r="EN25" i="6"/>
  <c r="EN31" i="6"/>
  <c r="EN37" i="6"/>
  <c r="EN43" i="6"/>
  <c r="EN49" i="6"/>
  <c r="EN55" i="6"/>
  <c r="EN62" i="6"/>
  <c r="EN69" i="6"/>
  <c r="EN75" i="6"/>
  <c r="EN82" i="6"/>
  <c r="EN88" i="6"/>
  <c r="EN94" i="6"/>
  <c r="EN100" i="6"/>
  <c r="EN106" i="6"/>
  <c r="EN23" i="6"/>
  <c r="EN41" i="6"/>
  <c r="EN59" i="6"/>
  <c r="EN86" i="6"/>
  <c r="EN8" i="6"/>
  <c r="EN14" i="6"/>
  <c r="EN20" i="6"/>
  <c r="EN26" i="6"/>
  <c r="EN32" i="6"/>
  <c r="EN38" i="6"/>
  <c r="EN50" i="6"/>
  <c r="EN56" i="6"/>
  <c r="EN64" i="6"/>
  <c r="EN70" i="6"/>
  <c r="EN76" i="6"/>
  <c r="EN83" i="6"/>
  <c r="EN89" i="6"/>
  <c r="EN95" i="6"/>
  <c r="EN101" i="6"/>
  <c r="EN107" i="6"/>
  <c r="EN29" i="6"/>
  <c r="EN73" i="6"/>
  <c r="EN98" i="6"/>
  <c r="EN3" i="6"/>
  <c r="EN9" i="6"/>
  <c r="EN15" i="6"/>
  <c r="EN21" i="6"/>
  <c r="EN27" i="6"/>
  <c r="EN33" i="6"/>
  <c r="EN39" i="6"/>
  <c r="EN45" i="6"/>
  <c r="EN51" i="6"/>
  <c r="EN57" i="6"/>
  <c r="EN65" i="6"/>
  <c r="EN71" i="6"/>
  <c r="EN77" i="6"/>
  <c r="EN84" i="6"/>
  <c r="EN90" i="6"/>
  <c r="EN96" i="6"/>
  <c r="EN102" i="6"/>
  <c r="EN108" i="6"/>
  <c r="EN4" i="6"/>
  <c r="EN10" i="6"/>
  <c r="EN16" i="6"/>
  <c r="EN22" i="6"/>
  <c r="EN28" i="6"/>
  <c r="EN34" i="6"/>
  <c r="EN40" i="6"/>
  <c r="EN46" i="6"/>
  <c r="EN52" i="6"/>
  <c r="EN58" i="6"/>
  <c r="EN66" i="6"/>
  <c r="EN72" i="6"/>
  <c r="EN78" i="6"/>
  <c r="EN85" i="6"/>
  <c r="EN91" i="6"/>
  <c r="EN97" i="6"/>
  <c r="EN103" i="6"/>
  <c r="EL5" i="6"/>
  <c r="EL29" i="6"/>
  <c r="EL82" i="6"/>
  <c r="EL76" i="6"/>
  <c r="EL97" i="6"/>
  <c r="EL67" i="6"/>
  <c r="EL73" i="6"/>
  <c r="EL6" i="6"/>
  <c r="EL12" i="6"/>
  <c r="EL18" i="6"/>
  <c r="EL24" i="6"/>
  <c r="EL30" i="6"/>
  <c r="EL36" i="6"/>
  <c r="EL42" i="6"/>
  <c r="EL48" i="6"/>
  <c r="EL54" i="6"/>
  <c r="EL60" i="6"/>
  <c r="EL68" i="6"/>
  <c r="EL74" i="6"/>
  <c r="EL81" i="6"/>
  <c r="EL87" i="6"/>
  <c r="EL93" i="6"/>
  <c r="EL99" i="6"/>
  <c r="EL105" i="6"/>
  <c r="EL17" i="6"/>
  <c r="EL41" i="6"/>
  <c r="EL59" i="6"/>
  <c r="EL86" i="6"/>
  <c r="EL7" i="6"/>
  <c r="EL13" i="6"/>
  <c r="EL19" i="6"/>
  <c r="EL25" i="6"/>
  <c r="EL31" i="6"/>
  <c r="EL37" i="6"/>
  <c r="EL43" i="6"/>
  <c r="EL49" i="6"/>
  <c r="EL55" i="6"/>
  <c r="EL62" i="6"/>
  <c r="EL69" i="6"/>
  <c r="EL75" i="6"/>
  <c r="EL88" i="6"/>
  <c r="EL94" i="6"/>
  <c r="EL100" i="6"/>
  <c r="EL106" i="6"/>
  <c r="EL11" i="6"/>
  <c r="EL35" i="6"/>
  <c r="EL98" i="6"/>
  <c r="EL8" i="6"/>
  <c r="EL14" i="6"/>
  <c r="EL20" i="6"/>
  <c r="EL26" i="6"/>
  <c r="EL32" i="6"/>
  <c r="EL38" i="6"/>
  <c r="EL50" i="6"/>
  <c r="EL56" i="6"/>
  <c r="EL64" i="6"/>
  <c r="EL70" i="6"/>
  <c r="EL83" i="6"/>
  <c r="EL89" i="6"/>
  <c r="EL95" i="6"/>
  <c r="EL101" i="6"/>
  <c r="EL107" i="6"/>
  <c r="EL53" i="6"/>
  <c r="EL92" i="6"/>
  <c r="EL3" i="6"/>
  <c r="EL9" i="6"/>
  <c r="EL15" i="6"/>
  <c r="EL21" i="6"/>
  <c r="EL27" i="6"/>
  <c r="EL33" i="6"/>
  <c r="EL39" i="6"/>
  <c r="EL45" i="6"/>
  <c r="EL51" i="6"/>
  <c r="EL57" i="6"/>
  <c r="EL65" i="6"/>
  <c r="EL71" i="6"/>
  <c r="EL77" i="6"/>
  <c r="EL84" i="6"/>
  <c r="EL90" i="6"/>
  <c r="EL96" i="6"/>
  <c r="EL102" i="6"/>
  <c r="EL108" i="6"/>
  <c r="EL23" i="6"/>
  <c r="EL47" i="6"/>
  <c r="EL79" i="6"/>
  <c r="EL4" i="6"/>
  <c r="EL10" i="6"/>
  <c r="EL16" i="6"/>
  <c r="EL22" i="6"/>
  <c r="EL28" i="6"/>
  <c r="EL34" i="6"/>
  <c r="EL40" i="6"/>
  <c r="EL46" i="6"/>
  <c r="EL52" i="6"/>
  <c r="EL58" i="6"/>
  <c r="EL66" i="6"/>
  <c r="EL72" i="6"/>
  <c r="EL78" i="6"/>
  <c r="EL85" i="6"/>
  <c r="EL91" i="6"/>
  <c r="EL103" i="6"/>
  <c r="ED7" i="6"/>
  <c r="EC9" i="6"/>
  <c r="EC39" i="6"/>
  <c r="EC25" i="6"/>
  <c r="EC10" i="6"/>
  <c r="EC22" i="6"/>
  <c r="EC40" i="6"/>
  <c r="EC46" i="6"/>
  <c r="EC85" i="6"/>
  <c r="EC13" i="6"/>
  <c r="EC49" i="6"/>
  <c r="EC11" i="6"/>
  <c r="EC59" i="6"/>
  <c r="EC86" i="6"/>
  <c r="EC55" i="6"/>
  <c r="EC12" i="6"/>
  <c r="EC18" i="6"/>
  <c r="EC24" i="6"/>
  <c r="EC54" i="6"/>
  <c r="EC87" i="6"/>
  <c r="EC3" i="6"/>
  <c r="EC57" i="6"/>
  <c r="EC65" i="6"/>
  <c r="EC50" i="6"/>
  <c r="EC47" i="6"/>
  <c r="EC53" i="6"/>
  <c r="EC64" i="6"/>
  <c r="EC76" i="6"/>
  <c r="EC81" i="6"/>
  <c r="EC56" i="6"/>
  <c r="EC7" i="6"/>
  <c r="EC19" i="6"/>
  <c r="EC37" i="6"/>
  <c r="EC75" i="6"/>
  <c r="EC106" i="6"/>
  <c r="EC107" i="6"/>
  <c r="EC32" i="6"/>
  <c r="EC70" i="6"/>
  <c r="EC95" i="6"/>
  <c r="EC15" i="6"/>
  <c r="EC21" i="6"/>
  <c r="EC27" i="6"/>
  <c r="EC33" i="6"/>
  <c r="EC51" i="6"/>
  <c r="EC71" i="6"/>
  <c r="EC77" i="6"/>
  <c r="EC84" i="6"/>
  <c r="EC90" i="6"/>
  <c r="EC96" i="6"/>
  <c r="EC102" i="6"/>
  <c r="EC8" i="6"/>
  <c r="EC89" i="6"/>
  <c r="EC4" i="6"/>
  <c r="EC34" i="6"/>
  <c r="EC52" i="6"/>
  <c r="EC58" i="6"/>
  <c r="EC66" i="6"/>
  <c r="EC91" i="6"/>
  <c r="EC97" i="6"/>
  <c r="EC103" i="6"/>
  <c r="EC38" i="6"/>
  <c r="EC5" i="6"/>
  <c r="EC23" i="6"/>
  <c r="EC29" i="6"/>
  <c r="EC35" i="6"/>
  <c r="EC41" i="6"/>
  <c r="EC67" i="6"/>
  <c r="EC92" i="6"/>
  <c r="EC98" i="6"/>
  <c r="EC20" i="6"/>
  <c r="EC83" i="6"/>
  <c r="EC6" i="6"/>
  <c r="EC30" i="6"/>
  <c r="EC42" i="6"/>
  <c r="EC48" i="6"/>
  <c r="EC60" i="6"/>
  <c r="EC68" i="6"/>
  <c r="EC93" i="6"/>
  <c r="EC99" i="6"/>
  <c r="EC14" i="6"/>
  <c r="EC31" i="6"/>
  <c r="EC62" i="6"/>
  <c r="EC69" i="6"/>
  <c r="EC82" i="6"/>
  <c r="EC88" i="6"/>
  <c r="EC94" i="6"/>
  <c r="EC100" i="6"/>
  <c r="EC101" i="6"/>
  <c r="EC45" i="6"/>
  <c r="EC108" i="6"/>
  <c r="EC16" i="6"/>
  <c r="EC28" i="6"/>
  <c r="EC72" i="6"/>
  <c r="EC78" i="6"/>
  <c r="EC26" i="6"/>
  <c r="EC17" i="6"/>
  <c r="EC73" i="6"/>
  <c r="EC79" i="6"/>
  <c r="EC36" i="6"/>
  <c r="EC74" i="6"/>
  <c r="EC105" i="6"/>
  <c r="EC43" i="6"/>
  <c r="ED6" i="6"/>
  <c r="DN5" i="6"/>
  <c r="ED25" i="6"/>
  <c r="ED43" i="6"/>
  <c r="ED75" i="6"/>
  <c r="ED106" i="6"/>
  <c r="ED8" i="6"/>
  <c r="ED14" i="6"/>
  <c r="ED20" i="6"/>
  <c r="ED26" i="6"/>
  <c r="ED32" i="6"/>
  <c r="ED38" i="6"/>
  <c r="ED50" i="6"/>
  <c r="ED56" i="6"/>
  <c r="ED64" i="6"/>
  <c r="ED70" i="6"/>
  <c r="ED76" i="6"/>
  <c r="ED83" i="6"/>
  <c r="ED89" i="6"/>
  <c r="ED95" i="6"/>
  <c r="ED101" i="6"/>
  <c r="ED107" i="6"/>
  <c r="ED13" i="6"/>
  <c r="ED37" i="6"/>
  <c r="ED69" i="6"/>
  <c r="ED88" i="6"/>
  <c r="ED3" i="6"/>
  <c r="ED9" i="6"/>
  <c r="ED15" i="6"/>
  <c r="ED21" i="6"/>
  <c r="ED27" i="6"/>
  <c r="ED33" i="6"/>
  <c r="ED39" i="6"/>
  <c r="ED45" i="6"/>
  <c r="ED51" i="6"/>
  <c r="ED57" i="6"/>
  <c r="ED65" i="6"/>
  <c r="ED71" i="6"/>
  <c r="ED77" i="6"/>
  <c r="ED84" i="6"/>
  <c r="ED90" i="6"/>
  <c r="ED96" i="6"/>
  <c r="ED102" i="6"/>
  <c r="ED108" i="6"/>
  <c r="ED19" i="6"/>
  <c r="ED49" i="6"/>
  <c r="ED62" i="6"/>
  <c r="ED94" i="6"/>
  <c r="ED4" i="6"/>
  <c r="ED10" i="6"/>
  <c r="ED16" i="6"/>
  <c r="ED22" i="6"/>
  <c r="ED28" i="6"/>
  <c r="ED34" i="6"/>
  <c r="ED40" i="6"/>
  <c r="ED46" i="6"/>
  <c r="ED52" i="6"/>
  <c r="ED58" i="6"/>
  <c r="ED66" i="6"/>
  <c r="ED72" i="6"/>
  <c r="ED78" i="6"/>
  <c r="ED85" i="6"/>
  <c r="ED91" i="6"/>
  <c r="ED97" i="6"/>
  <c r="ED103" i="6"/>
  <c r="ED31" i="6"/>
  <c r="ED55" i="6"/>
  <c r="ED82" i="6"/>
  <c r="ED100" i="6"/>
  <c r="ED5" i="6"/>
  <c r="ED11" i="6"/>
  <c r="ED17" i="6"/>
  <c r="ED23" i="6"/>
  <c r="ED29" i="6"/>
  <c r="ED35" i="6"/>
  <c r="ED41" i="6"/>
  <c r="ED47" i="6"/>
  <c r="ED53" i="6"/>
  <c r="ED59" i="6"/>
  <c r="ED67" i="6"/>
  <c r="ED73" i="6"/>
  <c r="ED79" i="6"/>
  <c r="ED86" i="6"/>
  <c r="ED92" i="6"/>
  <c r="ED98" i="6"/>
  <c r="ED12" i="6"/>
  <c r="ED18" i="6"/>
  <c r="ED24" i="6"/>
  <c r="ED30" i="6"/>
  <c r="ED36" i="6"/>
  <c r="ED42" i="6"/>
  <c r="ED48" i="6"/>
  <c r="ED54" i="6"/>
  <c r="ED60" i="6"/>
  <c r="ED68" i="6"/>
  <c r="ED74" i="6"/>
  <c r="ED81" i="6"/>
  <c r="ED87" i="6"/>
  <c r="ED93" i="6"/>
  <c r="ED99" i="6"/>
  <c r="ED105" i="6"/>
  <c r="DX43" i="6"/>
  <c r="DX69" i="6"/>
  <c r="DX88" i="6"/>
  <c r="DX8" i="6"/>
  <c r="DX14" i="6"/>
  <c r="DX20" i="6"/>
  <c r="DX26" i="6"/>
  <c r="DX32" i="6"/>
  <c r="DX38" i="6"/>
  <c r="DX50" i="6"/>
  <c r="DX56" i="6"/>
  <c r="DX64" i="6"/>
  <c r="DX70" i="6"/>
  <c r="DX76" i="6"/>
  <c r="DX83" i="6"/>
  <c r="DX89" i="6"/>
  <c r="DX95" i="6"/>
  <c r="DX101" i="6"/>
  <c r="DX107" i="6"/>
  <c r="DX19" i="6"/>
  <c r="DX37" i="6"/>
  <c r="DX55" i="6"/>
  <c r="DX82" i="6"/>
  <c r="DX100" i="6"/>
  <c r="DX3" i="6"/>
  <c r="DX9" i="6"/>
  <c r="DX15" i="6"/>
  <c r="DX21" i="6"/>
  <c r="DX27" i="6"/>
  <c r="DX33" i="6"/>
  <c r="DX39" i="6"/>
  <c r="DX45" i="6"/>
  <c r="DX51" i="6"/>
  <c r="DX57" i="6"/>
  <c r="DX65" i="6"/>
  <c r="DX71" i="6"/>
  <c r="DX77" i="6"/>
  <c r="DX84" i="6"/>
  <c r="DX90" i="6"/>
  <c r="DX96" i="6"/>
  <c r="DX102" i="6"/>
  <c r="DX108" i="6"/>
  <c r="DX13" i="6"/>
  <c r="DX31" i="6"/>
  <c r="DX49" i="6"/>
  <c r="DX75" i="6"/>
  <c r="DX106" i="6"/>
  <c r="DX4" i="6"/>
  <c r="DX10" i="6"/>
  <c r="DX16" i="6"/>
  <c r="DX22" i="6"/>
  <c r="DX28" i="6"/>
  <c r="DX34" i="6"/>
  <c r="DX40" i="6"/>
  <c r="DX46" i="6"/>
  <c r="DX52" i="6"/>
  <c r="DX58" i="6"/>
  <c r="DX66" i="6"/>
  <c r="DX72" i="6"/>
  <c r="DX78" i="6"/>
  <c r="DX85" i="6"/>
  <c r="DX91" i="6"/>
  <c r="DX97" i="6"/>
  <c r="DX103" i="6"/>
  <c r="DX25" i="6"/>
  <c r="DX62" i="6"/>
  <c r="DX94" i="6"/>
  <c r="DX5" i="6"/>
  <c r="DX11" i="6"/>
  <c r="DX17" i="6"/>
  <c r="DX23" i="6"/>
  <c r="DX29" i="6"/>
  <c r="DX35" i="6"/>
  <c r="DX41" i="6"/>
  <c r="DX47" i="6"/>
  <c r="DX53" i="6"/>
  <c r="DX59" i="6"/>
  <c r="DX67" i="6"/>
  <c r="DX73" i="6"/>
  <c r="DX79" i="6"/>
  <c r="DX86" i="6"/>
  <c r="DX92" i="6"/>
  <c r="DX98" i="6"/>
  <c r="DX6" i="6"/>
  <c r="DX12" i="6"/>
  <c r="DX18" i="6"/>
  <c r="DX24" i="6"/>
  <c r="DX30" i="6"/>
  <c r="DX36" i="6"/>
  <c r="DX42" i="6"/>
  <c r="DX48" i="6"/>
  <c r="DX54" i="6"/>
  <c r="DX60" i="6"/>
  <c r="DX68" i="6"/>
  <c r="DX74" i="6"/>
  <c r="DX81" i="6"/>
  <c r="DX87" i="6"/>
  <c r="DX93" i="6"/>
  <c r="DX99" i="6"/>
  <c r="DX105" i="6"/>
  <c r="DW32" i="6"/>
  <c r="DW56" i="6"/>
  <c r="DW83" i="6"/>
  <c r="DW9" i="6"/>
  <c r="DW15" i="6"/>
  <c r="DW21" i="6"/>
  <c r="DW27" i="6"/>
  <c r="DW33" i="6"/>
  <c r="DW39" i="6"/>
  <c r="DW45" i="6"/>
  <c r="DW51" i="6"/>
  <c r="DW57" i="6"/>
  <c r="DW65" i="6"/>
  <c r="DW71" i="6"/>
  <c r="DW77" i="6"/>
  <c r="DW90" i="6"/>
  <c r="DW96" i="6"/>
  <c r="DW102" i="6"/>
  <c r="DW108" i="6"/>
  <c r="DW50" i="6"/>
  <c r="DW70" i="6"/>
  <c r="DW95" i="6"/>
  <c r="DW10" i="6"/>
  <c r="DW16" i="6"/>
  <c r="DW22" i="6"/>
  <c r="DW28" i="6"/>
  <c r="DW34" i="6"/>
  <c r="DW40" i="6"/>
  <c r="DW52" i="6"/>
  <c r="DW58" i="6"/>
  <c r="DW66" i="6"/>
  <c r="DW72" i="6"/>
  <c r="DW78" i="6"/>
  <c r="DW85" i="6"/>
  <c r="DW97" i="6"/>
  <c r="DW103" i="6"/>
  <c r="DW26" i="6"/>
  <c r="DW89" i="6"/>
  <c r="DW11" i="6"/>
  <c r="DW23" i="6"/>
  <c r="DW29" i="6"/>
  <c r="DW35" i="6"/>
  <c r="DW41" i="6"/>
  <c r="DW59" i="6"/>
  <c r="DW67" i="6"/>
  <c r="DW73" i="6"/>
  <c r="DW79" i="6"/>
  <c r="DW86" i="6"/>
  <c r="DW92" i="6"/>
  <c r="DW98" i="6"/>
  <c r="DW14" i="6"/>
  <c r="DW76" i="6"/>
  <c r="DW107" i="6"/>
  <c r="DW12" i="6"/>
  <c r="DW18" i="6"/>
  <c r="DW30" i="6"/>
  <c r="DW36" i="6"/>
  <c r="DW42" i="6"/>
  <c r="DW54" i="6"/>
  <c r="DW60" i="6"/>
  <c r="DW68" i="6"/>
  <c r="DW74" i="6"/>
  <c r="DW81" i="6"/>
  <c r="DW87" i="6"/>
  <c r="DW93" i="6"/>
  <c r="DW99" i="6"/>
  <c r="DW105" i="6"/>
  <c r="DW38" i="6"/>
  <c r="DW64" i="6"/>
  <c r="DW101" i="6"/>
  <c r="DW19" i="6"/>
  <c r="DW31" i="6"/>
  <c r="DW37" i="6"/>
  <c r="DW43" i="6"/>
  <c r="DW49" i="6"/>
  <c r="DW55" i="6"/>
  <c r="DW62" i="6"/>
  <c r="DW69" i="6"/>
  <c r="DW75" i="6"/>
  <c r="DW82" i="6"/>
  <c r="DW88" i="6"/>
  <c r="DW94" i="6"/>
  <c r="DW100" i="6"/>
  <c r="DW106" i="6"/>
  <c r="DW7" i="6"/>
  <c r="DW3" i="6"/>
  <c r="DW84" i="6"/>
  <c r="DW13" i="6"/>
  <c r="DW4" i="6"/>
  <c r="DW46" i="6"/>
  <c r="DW91" i="6"/>
  <c r="DW20" i="6"/>
  <c r="DW5" i="6"/>
  <c r="DW17" i="6"/>
  <c r="DW47" i="6"/>
  <c r="DW53" i="6"/>
  <c r="DW25" i="6"/>
  <c r="DW8" i="6"/>
  <c r="DW6" i="6"/>
  <c r="DW24" i="6"/>
  <c r="DW48" i="6"/>
  <c r="DU43" i="6"/>
  <c r="DU32" i="6"/>
  <c r="DU71" i="6"/>
  <c r="DT22" i="6"/>
  <c r="DT6" i="6"/>
  <c r="DT12" i="6"/>
  <c r="DT18" i="6"/>
  <c r="DT30" i="6"/>
  <c r="DT36" i="6"/>
  <c r="DT42" i="6"/>
  <c r="DT48" i="6"/>
  <c r="DT54" i="6"/>
  <c r="DT60" i="6"/>
  <c r="DT68" i="6"/>
  <c r="DT74" i="6"/>
  <c r="DT81" i="6"/>
  <c r="DT87" i="6"/>
  <c r="DT93" i="6"/>
  <c r="DT105" i="6"/>
  <c r="DT10" i="6"/>
  <c r="DT28" i="6"/>
  <c r="DT46" i="6"/>
  <c r="DT11" i="6"/>
  <c r="DT29" i="6"/>
  <c r="DT35" i="6"/>
  <c r="DT47" i="6"/>
  <c r="DT59" i="6"/>
  <c r="DT73" i="6"/>
  <c r="DT92" i="6"/>
  <c r="DT98" i="6"/>
  <c r="DT7" i="6"/>
  <c r="DT13" i="6"/>
  <c r="DT19" i="6"/>
  <c r="DT25" i="6"/>
  <c r="DT31" i="6"/>
  <c r="DT37" i="6"/>
  <c r="DT43" i="6"/>
  <c r="DT49" i="6"/>
  <c r="DT55" i="6"/>
  <c r="DT62" i="6"/>
  <c r="DT69" i="6"/>
  <c r="DT75" i="6"/>
  <c r="DT88" i="6"/>
  <c r="DT94" i="6"/>
  <c r="DT100" i="6"/>
  <c r="DT106" i="6"/>
  <c r="DT34" i="6"/>
  <c r="DT52" i="6"/>
  <c r="DT23" i="6"/>
  <c r="DT53" i="6"/>
  <c r="DT14" i="6"/>
  <c r="DT32" i="6"/>
  <c r="DT38" i="6"/>
  <c r="DT50" i="6"/>
  <c r="DT56" i="6"/>
  <c r="DT70" i="6"/>
  <c r="DT83" i="6"/>
  <c r="DT89" i="6"/>
  <c r="DT95" i="6"/>
  <c r="DT101" i="6"/>
  <c r="DT107" i="6"/>
  <c r="DT16" i="6"/>
  <c r="DT40" i="6"/>
  <c r="DT5" i="6"/>
  <c r="DT17" i="6"/>
  <c r="DT67" i="6"/>
  <c r="DT79" i="6"/>
  <c r="DT8" i="6"/>
  <c r="DT26" i="6"/>
  <c r="DT3" i="6"/>
  <c r="DT15" i="6"/>
  <c r="DT21" i="6"/>
  <c r="DT27" i="6"/>
  <c r="DT33" i="6"/>
  <c r="DT45" i="6"/>
  <c r="DT51" i="6"/>
  <c r="DT57" i="6"/>
  <c r="DT65" i="6"/>
  <c r="DT71" i="6"/>
  <c r="DT77" i="6"/>
  <c r="DT84" i="6"/>
  <c r="DT90" i="6"/>
  <c r="DT96" i="6"/>
  <c r="DT102" i="6"/>
  <c r="DT108" i="6"/>
  <c r="DT58" i="6"/>
  <c r="DT66" i="6"/>
  <c r="DT72" i="6"/>
  <c r="DT78" i="6"/>
  <c r="DT91" i="6"/>
  <c r="DS4" i="6"/>
  <c r="DS5" i="6"/>
  <c r="DS12" i="6"/>
  <c r="DS42" i="6"/>
  <c r="DS74" i="6"/>
  <c r="DS99" i="6"/>
  <c r="DS49" i="6"/>
  <c r="DS69" i="6"/>
  <c r="DS75" i="6"/>
  <c r="DS82" i="6"/>
  <c r="DS106" i="6"/>
  <c r="DS18" i="6"/>
  <c r="DS60" i="6"/>
  <c r="DS93" i="6"/>
  <c r="DS13" i="6"/>
  <c r="DS37" i="6"/>
  <c r="DS8" i="6"/>
  <c r="DS14" i="6"/>
  <c r="DS20" i="6"/>
  <c r="DS26" i="6"/>
  <c r="DS32" i="6"/>
  <c r="DS38" i="6"/>
  <c r="DS50" i="6"/>
  <c r="DS64" i="6"/>
  <c r="DS70" i="6"/>
  <c r="DS76" i="6"/>
  <c r="DS83" i="6"/>
  <c r="DS89" i="6"/>
  <c r="DS101" i="6"/>
  <c r="DS107" i="6"/>
  <c r="DS30" i="6"/>
  <c r="DS7" i="6"/>
  <c r="DS25" i="6"/>
  <c r="DS43" i="6"/>
  <c r="DS3" i="6"/>
  <c r="DS9" i="6"/>
  <c r="DS15" i="6"/>
  <c r="DS21" i="6"/>
  <c r="DS33" i="6"/>
  <c r="DS39" i="6"/>
  <c r="DS45" i="6"/>
  <c r="DS51" i="6"/>
  <c r="DS57" i="6"/>
  <c r="DS71" i="6"/>
  <c r="DS77" i="6"/>
  <c r="DS84" i="6"/>
  <c r="DS90" i="6"/>
  <c r="DS102" i="6"/>
  <c r="DS108" i="6"/>
  <c r="DS81" i="6"/>
  <c r="DS105" i="6"/>
  <c r="DS19" i="6"/>
  <c r="DS31" i="6"/>
  <c r="DS10" i="6"/>
  <c r="DS16" i="6"/>
  <c r="DS22" i="6"/>
  <c r="DS28" i="6"/>
  <c r="DS34" i="6"/>
  <c r="DS46" i="6"/>
  <c r="DS52" i="6"/>
  <c r="DS58" i="6"/>
  <c r="DS66" i="6"/>
  <c r="DS72" i="6"/>
  <c r="DS78" i="6"/>
  <c r="DS85" i="6"/>
  <c r="DS97" i="6"/>
  <c r="DS103" i="6"/>
  <c r="DS24" i="6"/>
  <c r="DS36" i="6"/>
  <c r="DS68" i="6"/>
  <c r="DS11" i="6"/>
  <c r="DS17" i="6"/>
  <c r="DS23" i="6"/>
  <c r="DS29" i="6"/>
  <c r="DS41" i="6"/>
  <c r="DS47" i="6"/>
  <c r="DS59" i="6"/>
  <c r="DS67" i="6"/>
  <c r="DS73" i="6"/>
  <c r="DS79" i="6"/>
  <c r="DS86" i="6"/>
  <c r="DS98" i="6"/>
  <c r="DN17" i="6"/>
  <c r="DN29" i="6"/>
  <c r="DN86" i="6"/>
  <c r="DN6" i="6"/>
  <c r="DN12" i="6"/>
  <c r="DN18" i="6"/>
  <c r="DN24" i="6"/>
  <c r="DN30" i="6"/>
  <c r="DN36" i="6"/>
  <c r="DN42" i="6"/>
  <c r="DN48" i="6"/>
  <c r="DN54" i="6"/>
  <c r="DN60" i="6"/>
  <c r="DN68" i="6"/>
  <c r="DN74" i="6"/>
  <c r="DN87" i="6"/>
  <c r="DN99" i="6"/>
  <c r="DN105" i="6"/>
  <c r="DN35" i="6"/>
  <c r="DN73" i="6"/>
  <c r="DN7" i="6"/>
  <c r="DN13" i="6"/>
  <c r="DN19" i="6"/>
  <c r="DN25" i="6"/>
  <c r="DN31" i="6"/>
  <c r="DN37" i="6"/>
  <c r="DN49" i="6"/>
  <c r="DN55" i="6"/>
  <c r="DN75" i="6"/>
  <c r="DN82" i="6"/>
  <c r="DN94" i="6"/>
  <c r="DN100" i="6"/>
  <c r="DN106" i="6"/>
  <c r="DN23" i="6"/>
  <c r="DN67" i="6"/>
  <c r="DN98" i="6"/>
  <c r="DN8" i="6"/>
  <c r="DN14" i="6"/>
  <c r="DN20" i="6"/>
  <c r="DN26" i="6"/>
  <c r="DN32" i="6"/>
  <c r="DN38" i="6"/>
  <c r="DN50" i="6"/>
  <c r="DN56" i="6"/>
  <c r="DN64" i="6"/>
  <c r="DN76" i="6"/>
  <c r="DN95" i="6"/>
  <c r="DN11" i="6"/>
  <c r="DN47" i="6"/>
  <c r="DN59" i="6"/>
  <c r="DN3" i="6"/>
  <c r="DN9" i="6"/>
  <c r="DN15" i="6"/>
  <c r="DN21" i="6"/>
  <c r="DN27" i="6"/>
  <c r="DN33" i="6"/>
  <c r="DN39" i="6"/>
  <c r="DN45" i="6"/>
  <c r="DN51" i="6"/>
  <c r="DN57" i="6"/>
  <c r="DN65" i="6"/>
  <c r="DN77" i="6"/>
  <c r="DN41" i="6"/>
  <c r="DN53" i="6"/>
  <c r="DN4" i="6"/>
  <c r="DN10" i="6"/>
  <c r="DN16" i="6"/>
  <c r="DN22" i="6"/>
  <c r="DN28" i="6"/>
  <c r="DN34" i="6"/>
  <c r="DN40" i="6"/>
  <c r="DN46" i="6"/>
  <c r="DN52" i="6"/>
  <c r="DN58" i="6"/>
  <c r="DN72" i="6"/>
  <c r="DN78" i="6"/>
  <c r="DN85" i="6"/>
  <c r="DN91" i="6"/>
  <c r="DN97" i="6"/>
  <c r="DN81" i="6"/>
  <c r="DN93" i="6"/>
  <c r="DN43" i="6"/>
  <c r="DN62" i="6"/>
  <c r="DN69" i="6"/>
  <c r="DN88" i="6"/>
  <c r="DN70" i="6"/>
  <c r="DN83" i="6"/>
  <c r="DN89" i="6"/>
  <c r="DN101" i="6"/>
  <c r="DN107" i="6"/>
  <c r="DN79" i="6"/>
  <c r="DN71" i="6"/>
  <c r="DN84" i="6"/>
  <c r="DN90" i="6"/>
  <c r="DN96" i="6"/>
  <c r="DN102" i="6"/>
  <c r="DN108" i="6"/>
  <c r="DN92" i="6"/>
  <c r="DN66" i="6"/>
  <c r="DN103" i="6"/>
  <c r="DM12" i="6"/>
  <c r="DM87" i="6"/>
  <c r="DM13" i="6"/>
  <c r="DM25" i="6"/>
  <c r="DM49" i="6"/>
  <c r="DM55" i="6"/>
  <c r="DM18" i="6"/>
  <c r="DM54" i="6"/>
  <c r="DM9" i="6"/>
  <c r="DM39" i="6"/>
  <c r="DM24" i="6"/>
  <c r="DM10" i="6"/>
  <c r="DM22" i="6"/>
  <c r="DM40" i="6"/>
  <c r="DM46" i="6"/>
  <c r="DM85" i="6"/>
  <c r="DM11" i="6"/>
  <c r="DM59" i="6"/>
  <c r="DM86" i="6"/>
  <c r="DM81" i="6"/>
  <c r="DM7" i="6"/>
  <c r="DM19" i="6"/>
  <c r="DM37" i="6"/>
  <c r="DM75" i="6"/>
  <c r="DM106" i="6"/>
  <c r="DM50" i="6"/>
  <c r="DM56" i="6"/>
  <c r="DM64" i="6"/>
  <c r="DM76" i="6"/>
  <c r="DM3" i="6"/>
  <c r="DM57" i="6"/>
  <c r="DM65" i="6"/>
  <c r="DM4" i="6"/>
  <c r="DM47" i="6"/>
  <c r="DM53" i="6"/>
  <c r="DM30" i="6"/>
  <c r="DM42" i="6"/>
  <c r="DM48" i="6"/>
  <c r="DM60" i="6"/>
  <c r="DM68" i="6"/>
  <c r="DM93" i="6"/>
  <c r="DM99" i="6"/>
  <c r="DM31" i="6"/>
  <c r="DM62" i="6"/>
  <c r="DM69" i="6"/>
  <c r="DM82" i="6"/>
  <c r="DM88" i="6"/>
  <c r="DM94" i="6"/>
  <c r="DM100" i="6"/>
  <c r="DM8" i="6"/>
  <c r="DM14" i="6"/>
  <c r="DM20" i="6"/>
  <c r="DM32" i="6"/>
  <c r="DM38" i="6"/>
  <c r="DM70" i="6"/>
  <c r="DM83" i="6"/>
  <c r="DM89" i="6"/>
  <c r="DM95" i="6"/>
  <c r="DM107" i="6"/>
  <c r="DM15" i="6"/>
  <c r="DM21" i="6"/>
  <c r="DM27" i="6"/>
  <c r="DM33" i="6"/>
  <c r="DM51" i="6"/>
  <c r="DM71" i="6"/>
  <c r="DM77" i="6"/>
  <c r="DM84" i="6"/>
  <c r="DM90" i="6"/>
  <c r="DM96" i="6"/>
  <c r="DM102" i="6"/>
  <c r="DM34" i="6"/>
  <c r="DM52" i="6"/>
  <c r="DM58" i="6"/>
  <c r="DM66" i="6"/>
  <c r="DM91" i="6"/>
  <c r="DM97" i="6"/>
  <c r="DM103" i="6"/>
  <c r="DM5" i="6"/>
  <c r="DM23" i="6"/>
  <c r="DM29" i="6"/>
  <c r="DM35" i="6"/>
  <c r="DM41" i="6"/>
  <c r="DM67" i="6"/>
  <c r="DM92" i="6"/>
  <c r="DM98" i="6"/>
  <c r="DM105" i="6"/>
  <c r="DM28" i="6"/>
  <c r="DM74" i="6"/>
  <c r="DM43" i="6"/>
  <c r="DM16" i="6"/>
  <c r="DM26" i="6"/>
  <c r="DM101" i="6"/>
  <c r="DM36" i="6"/>
  <c r="DM45" i="6"/>
  <c r="DM108" i="6"/>
  <c r="DM72" i="6"/>
  <c r="DM78" i="6"/>
  <c r="DM17" i="6"/>
  <c r="DM73" i="6"/>
  <c r="DM79" i="6"/>
  <c r="EC104" i="6"/>
  <c r="DZ104" i="6"/>
  <c r="DY104" i="6"/>
  <c r="DW104" i="6"/>
  <c r="DS104" i="6"/>
  <c r="DQ104" i="6"/>
  <c r="DM104" i="6"/>
  <c r="EF104" i="6"/>
  <c r="EI104" i="6"/>
  <c r="EK104" i="6"/>
  <c r="EL104" i="6"/>
  <c r="DV104" i="6"/>
  <c r="DS2" i="6"/>
  <c r="EE104" i="6"/>
  <c r="EN104" i="6"/>
  <c r="DR104" i="6"/>
  <c r="DX104" i="6"/>
  <c r="ED104" i="6"/>
  <c r="EJ104" i="6"/>
  <c r="DN104" i="6"/>
  <c r="DP104" i="6"/>
  <c r="EF2" i="6"/>
  <c r="EB104" i="6"/>
  <c r="EH104" i="6"/>
  <c r="DO104" i="6"/>
  <c r="DU104" i="6"/>
  <c r="EA104" i="6"/>
  <c r="EG104" i="6"/>
  <c r="EM104" i="6"/>
  <c r="DT104" i="6"/>
  <c r="B20" i="1" l="1"/>
  <c r="B33" i="1"/>
  <c r="B56" i="1"/>
  <c r="B83" i="1"/>
  <c r="B25" i="1"/>
  <c r="B30" i="1"/>
  <c r="B82" i="1"/>
  <c r="B9" i="1"/>
  <c r="B64" i="1"/>
  <c r="B52" i="1"/>
  <c r="B21" i="1"/>
  <c r="B5" i="1"/>
  <c r="B4" i="1"/>
  <c r="B8" i="1"/>
  <c r="B36" i="1"/>
  <c r="B89" i="1"/>
  <c r="B62" i="1"/>
  <c r="B50" i="1"/>
  <c r="B10" i="1"/>
  <c r="B70" i="1"/>
  <c r="B59" i="1"/>
  <c r="B24" i="1"/>
  <c r="B16" i="1"/>
  <c r="B95" i="1"/>
  <c r="B68" i="1"/>
  <c r="B53" i="1"/>
  <c r="B6" i="1"/>
  <c r="B76" i="1"/>
  <c r="B65" i="1"/>
  <c r="B39" i="1"/>
  <c r="B101" i="1"/>
  <c r="B74" i="1"/>
  <c r="B57" i="1"/>
  <c r="B79" i="1"/>
  <c r="B86" i="1"/>
  <c r="B71" i="1"/>
  <c r="B54" i="1"/>
  <c r="B18" i="1"/>
  <c r="B17" i="1"/>
  <c r="B84" i="1"/>
  <c r="B63" i="1"/>
  <c r="B46" i="1"/>
  <c r="B92" i="1"/>
  <c r="B80" i="1"/>
  <c r="B60" i="1"/>
  <c r="B22" i="1"/>
  <c r="B34" i="1"/>
  <c r="B90" i="1"/>
  <c r="B69" i="1"/>
  <c r="B49" i="1"/>
  <c r="B98" i="1"/>
  <c r="B87" i="1"/>
  <c r="B66" i="1"/>
  <c r="B13" i="1"/>
  <c r="B37" i="1"/>
  <c r="B96" i="1"/>
  <c r="B75" i="1"/>
  <c r="B48" i="1"/>
  <c r="B93" i="1"/>
  <c r="B72" i="1"/>
  <c r="B28" i="1"/>
  <c r="B40" i="1"/>
  <c r="B31" i="1"/>
  <c r="B85" i="1"/>
  <c r="B32" i="1"/>
  <c r="B47" i="1"/>
  <c r="B99" i="1"/>
  <c r="B81" i="1"/>
  <c r="B55" i="1"/>
  <c r="B19" i="1"/>
  <c r="B35" i="1"/>
  <c r="B91" i="1"/>
  <c r="B51" i="1"/>
  <c r="B14" i="1"/>
  <c r="B26" i="1"/>
  <c r="B88" i="1"/>
  <c r="B61" i="1"/>
  <c r="B23" i="1"/>
  <c r="B78" i="1"/>
  <c r="B97" i="1"/>
  <c r="B42" i="1"/>
  <c r="B44" i="1"/>
  <c r="B12" i="1"/>
  <c r="B94" i="1"/>
  <c r="B67" i="1"/>
  <c r="B102" i="1"/>
  <c r="B77" i="1"/>
  <c r="B11" i="1"/>
  <c r="B45" i="1"/>
  <c r="B43" i="1"/>
  <c r="B27" i="1"/>
  <c r="B100" i="1"/>
  <c r="B29" i="1"/>
  <c r="B73" i="1"/>
  <c r="B41" i="1"/>
  <c r="B38" i="1"/>
  <c r="B7" i="1"/>
  <c r="B58" i="1"/>
  <c r="B15" i="1"/>
  <c r="B3" i="1"/>
  <c r="HP110" i="6"/>
  <c r="IG110" i="6"/>
  <c r="HM110" i="6"/>
  <c r="ID110" i="6"/>
  <c r="HZ110" i="6"/>
  <c r="IC110" i="6"/>
  <c r="HK110" i="6"/>
  <c r="IH110" i="6"/>
  <c r="HI110" i="6"/>
  <c r="HR110" i="6"/>
  <c r="HN110" i="6"/>
  <c r="HJ110" i="6"/>
  <c r="HS110" i="6"/>
  <c r="IJ110" i="6"/>
  <c r="IF110" i="6"/>
  <c r="II110" i="6"/>
  <c r="IB63" i="6"/>
  <c r="IB110" i="6"/>
  <c r="HW110" i="6"/>
  <c r="HY110" i="6"/>
  <c r="HX110" i="6"/>
  <c r="HT110" i="6"/>
  <c r="HQ110" i="6"/>
  <c r="HO110" i="6"/>
  <c r="HV110" i="6"/>
  <c r="IE110" i="6"/>
  <c r="HU110" i="6"/>
  <c r="HL110" i="6"/>
  <c r="IA110" i="6"/>
  <c r="II63" i="6"/>
  <c r="HQ63" i="6"/>
  <c r="IA63" i="6"/>
  <c r="HP63" i="6"/>
  <c r="IG63" i="6"/>
  <c r="HM63" i="6"/>
  <c r="ID63" i="6"/>
  <c r="HZ63" i="6"/>
  <c r="HO63" i="6"/>
  <c r="IC63" i="6"/>
  <c r="HK63" i="6"/>
  <c r="IH63" i="6"/>
  <c r="HI63" i="6"/>
  <c r="HR63" i="6"/>
  <c r="HN63" i="6"/>
  <c r="HJ63" i="6"/>
  <c r="HS63" i="6"/>
  <c r="IJ63" i="6"/>
  <c r="IF63" i="6"/>
  <c r="HW63" i="6"/>
  <c r="HY63" i="6"/>
  <c r="HX63" i="6"/>
  <c r="HT63" i="6"/>
  <c r="HV63" i="6"/>
  <c r="IE63" i="6"/>
  <c r="HU63" i="6"/>
  <c r="HL63" i="6"/>
  <c r="IB61" i="6"/>
  <c r="HO61" i="6"/>
  <c r="HV61" i="6"/>
  <c r="IE61" i="6"/>
  <c r="HU61" i="6"/>
  <c r="HL61" i="6"/>
  <c r="II61" i="6"/>
  <c r="HQ61" i="6"/>
  <c r="IA61" i="6"/>
  <c r="HP61" i="6"/>
  <c r="IG61" i="6"/>
  <c r="HM61" i="6"/>
  <c r="ID61" i="6"/>
  <c r="HZ61" i="6"/>
  <c r="IC61" i="6"/>
  <c r="HK61" i="6"/>
  <c r="IH61" i="6"/>
  <c r="HI61" i="6"/>
  <c r="HR61" i="6"/>
  <c r="HN61" i="6"/>
  <c r="HJ61" i="6"/>
  <c r="HS61" i="6"/>
  <c r="IJ61" i="6"/>
  <c r="IF61" i="6"/>
  <c r="HW61" i="6"/>
  <c r="HY61" i="6"/>
  <c r="HX61" i="6"/>
  <c r="HT61" i="6"/>
  <c r="IB80" i="6"/>
  <c r="HO80" i="6"/>
  <c r="IC80" i="6"/>
  <c r="HQ80" i="6"/>
  <c r="IH80" i="6"/>
  <c r="HX80" i="6"/>
  <c r="HN80" i="6"/>
  <c r="HP80" i="6"/>
  <c r="HU80" i="6"/>
  <c r="HS80" i="6"/>
  <c r="IJ80" i="6"/>
  <c r="HZ80" i="6"/>
  <c r="II80" i="6"/>
  <c r="HW80" i="6"/>
  <c r="HK80" i="6"/>
  <c r="IA80" i="6"/>
  <c r="HY80" i="6"/>
  <c r="HI80" i="6"/>
  <c r="HT80" i="6"/>
  <c r="HR80" i="6"/>
  <c r="HV80" i="6"/>
  <c r="HJ80" i="6"/>
  <c r="IG80" i="6"/>
  <c r="IE80" i="6"/>
  <c r="HM80" i="6"/>
  <c r="IF80" i="6"/>
  <c r="ID80" i="6"/>
  <c r="HL80" i="6"/>
  <c r="E23" i="10"/>
  <c r="B10" i="9"/>
  <c r="HO109" i="6"/>
  <c r="HO111" i="6"/>
  <c r="HO112" i="6"/>
  <c r="IB109" i="6"/>
  <c r="IB111" i="6"/>
  <c r="IB112" i="6"/>
  <c r="HV109" i="6"/>
  <c r="HV111" i="6"/>
  <c r="HV112" i="6"/>
  <c r="HP109" i="6"/>
  <c r="HP111" i="6"/>
  <c r="HP112" i="6"/>
  <c r="HJ109" i="6"/>
  <c r="HJ111" i="6"/>
  <c r="HJ112" i="6"/>
  <c r="IA109" i="6"/>
  <c r="IA111" i="6"/>
  <c r="IA112" i="6"/>
  <c r="HY109" i="6"/>
  <c r="HY111" i="6"/>
  <c r="HY112" i="6"/>
  <c r="HI109" i="6"/>
  <c r="HI111" i="6"/>
  <c r="HI112" i="6"/>
  <c r="IJ109" i="6"/>
  <c r="IJ111" i="6"/>
  <c r="IJ112" i="6"/>
  <c r="IF109" i="6"/>
  <c r="IF111" i="6"/>
  <c r="IF112" i="6"/>
  <c r="ID109" i="6"/>
  <c r="ID111" i="6"/>
  <c r="ID112" i="6"/>
  <c r="HZ109" i="6"/>
  <c r="HZ111" i="6"/>
  <c r="HZ112" i="6"/>
  <c r="HL109" i="6"/>
  <c r="HL111" i="6"/>
  <c r="HL112" i="6"/>
  <c r="II109" i="6"/>
  <c r="II111" i="6"/>
  <c r="II112" i="6"/>
  <c r="IC109" i="6"/>
  <c r="IC111" i="6"/>
  <c r="IC112" i="6"/>
  <c r="HW109" i="6"/>
  <c r="HW111" i="6"/>
  <c r="HW112" i="6"/>
  <c r="HQ109" i="6"/>
  <c r="HQ111" i="6"/>
  <c r="HQ112" i="6"/>
  <c r="HK109" i="6"/>
  <c r="HK111" i="6"/>
  <c r="HK112" i="6"/>
  <c r="IH109" i="6"/>
  <c r="IH111" i="6"/>
  <c r="IH112" i="6"/>
  <c r="IG109" i="6"/>
  <c r="IG111" i="6"/>
  <c r="IG112" i="6"/>
  <c r="IE109" i="6"/>
  <c r="IE111" i="6"/>
  <c r="IE112" i="6"/>
  <c r="HU109" i="6"/>
  <c r="HU111" i="6"/>
  <c r="HU112" i="6"/>
  <c r="HS109" i="6"/>
  <c r="HS111" i="6"/>
  <c r="HS112" i="6"/>
  <c r="HM109" i="6"/>
  <c r="HM111" i="6"/>
  <c r="HM112" i="6"/>
  <c r="HX109" i="6"/>
  <c r="HX111" i="6"/>
  <c r="HX112" i="6"/>
  <c r="HT109" i="6"/>
  <c r="HT111" i="6"/>
  <c r="HT112" i="6"/>
  <c r="HR109" i="6"/>
  <c r="HR111" i="6"/>
  <c r="HR112" i="6"/>
  <c r="HN109" i="6"/>
  <c r="HN111" i="6"/>
  <c r="HN112" i="6"/>
  <c r="IJ2" i="6"/>
  <c r="HU44" i="6"/>
  <c r="HM44" i="6"/>
  <c r="IF44" i="6"/>
  <c r="IE44" i="6"/>
  <c r="ID44" i="6"/>
  <c r="IJ44" i="6"/>
  <c r="HR44" i="6"/>
  <c r="HS44" i="6"/>
  <c r="HZ44" i="6"/>
  <c r="HL44" i="6"/>
  <c r="IG44" i="6"/>
  <c r="HI44" i="6"/>
  <c r="HT44" i="6"/>
  <c r="HX44" i="6"/>
  <c r="HN44" i="6"/>
  <c r="IA44" i="6"/>
  <c r="HY44" i="6"/>
  <c r="IB44" i="6"/>
  <c r="HW44" i="6"/>
  <c r="HJ44" i="6"/>
  <c r="II44" i="6"/>
  <c r="HQ44" i="6"/>
  <c r="HV44" i="6"/>
  <c r="HO44" i="6"/>
  <c r="IH44" i="6"/>
  <c r="IF3" i="6"/>
  <c r="IC44" i="6"/>
  <c r="HK44" i="6"/>
  <c r="HP44" i="6"/>
  <c r="IE94" i="6"/>
  <c r="IA108" i="6"/>
  <c r="HM105" i="6"/>
  <c r="IC106" i="6"/>
  <c r="HN107" i="6"/>
  <c r="IG106" i="6"/>
  <c r="HV107" i="6"/>
  <c r="IJ107" i="6"/>
  <c r="IH107" i="6"/>
  <c r="HY108" i="6"/>
  <c r="HZ105" i="6"/>
  <c r="HQ108" i="6"/>
  <c r="HP99" i="6"/>
  <c r="HJ98" i="6"/>
  <c r="HI106" i="6"/>
  <c r="HU72" i="6"/>
  <c r="HV7" i="6"/>
  <c r="HV43" i="6"/>
  <c r="IG5" i="6"/>
  <c r="IG27" i="6"/>
  <c r="IG14" i="6"/>
  <c r="HV25" i="6"/>
  <c r="IG24" i="6"/>
  <c r="IG8" i="6"/>
  <c r="IG11" i="6"/>
  <c r="IG17" i="6"/>
  <c r="IG2" i="6"/>
  <c r="IG21" i="6"/>
  <c r="IG3" i="6"/>
  <c r="IG15" i="6"/>
  <c r="IG20" i="6"/>
  <c r="IE37" i="6"/>
  <c r="HV60" i="6"/>
  <c r="HV13" i="6"/>
  <c r="HV31" i="6"/>
  <c r="HV62" i="6"/>
  <c r="HV68" i="6"/>
  <c r="HV4" i="6"/>
  <c r="HV15" i="6"/>
  <c r="HV33" i="6"/>
  <c r="HV50" i="6"/>
  <c r="HV74" i="6"/>
  <c r="HV2" i="6"/>
  <c r="HV19" i="6"/>
  <c r="HV37" i="6"/>
  <c r="HV49" i="6"/>
  <c r="HV83" i="6"/>
  <c r="HV3" i="6"/>
  <c r="HV21" i="6"/>
  <c r="HV39" i="6"/>
  <c r="HV54" i="6"/>
  <c r="HV91" i="6"/>
  <c r="HV9" i="6"/>
  <c r="HV27" i="6"/>
  <c r="HV45" i="6"/>
  <c r="HV70" i="6"/>
  <c r="IG18" i="6"/>
  <c r="IG30" i="6"/>
  <c r="IG10" i="6"/>
  <c r="IG6" i="6"/>
  <c r="IG16" i="6"/>
  <c r="IG7" i="6"/>
  <c r="IG9" i="6"/>
  <c r="IG19" i="6"/>
  <c r="HV76" i="6"/>
  <c r="IG23" i="6"/>
  <c r="IG22" i="6"/>
  <c r="IG26" i="6"/>
  <c r="IG31" i="6"/>
  <c r="IG12" i="6"/>
  <c r="IG29" i="6"/>
  <c r="IG32" i="6"/>
  <c r="IE51" i="6"/>
  <c r="HV89" i="6"/>
  <c r="IG37" i="6"/>
  <c r="IG25" i="6"/>
  <c r="IG35" i="6"/>
  <c r="IG28" i="6"/>
  <c r="IG56" i="6"/>
  <c r="IG13" i="6"/>
  <c r="IG4" i="6"/>
  <c r="IG52" i="6"/>
  <c r="IE23" i="6"/>
  <c r="HV100" i="6"/>
  <c r="HY79" i="6"/>
  <c r="HY30" i="6"/>
  <c r="IG49" i="6"/>
  <c r="IG33" i="6"/>
  <c r="IG50" i="6"/>
  <c r="IG36" i="6"/>
  <c r="IG39" i="6"/>
  <c r="IG34" i="6"/>
  <c r="IG48" i="6"/>
  <c r="IG41" i="6"/>
  <c r="IE7" i="6"/>
  <c r="HS48" i="6"/>
  <c r="HV98" i="6"/>
  <c r="HV106" i="6"/>
  <c r="HY23" i="6"/>
  <c r="HY14" i="6"/>
  <c r="HY17" i="6"/>
  <c r="HY25" i="6"/>
  <c r="IG40" i="6"/>
  <c r="IG53" i="6"/>
  <c r="IG58" i="6"/>
  <c r="IG60" i="6"/>
  <c r="IG67" i="6"/>
  <c r="IG57" i="6"/>
  <c r="IG46" i="6"/>
  <c r="IG73" i="6"/>
  <c r="HS33" i="6"/>
  <c r="HU15" i="6"/>
  <c r="HU8" i="6"/>
  <c r="HV81" i="6"/>
  <c r="IG43" i="6"/>
  <c r="IG74" i="6"/>
  <c r="IG59" i="6"/>
  <c r="IG55" i="6"/>
  <c r="IG38" i="6"/>
  <c r="IG45" i="6"/>
  <c r="IE89" i="6"/>
  <c r="HU18" i="6"/>
  <c r="HU13" i="6"/>
  <c r="HU33" i="6"/>
  <c r="HV95" i="6"/>
  <c r="IG47" i="6"/>
  <c r="IG78" i="6"/>
  <c r="IG51" i="6"/>
  <c r="IG69" i="6"/>
  <c r="IG42" i="6"/>
  <c r="IG54" i="6"/>
  <c r="IG64" i="6"/>
  <c r="IE25" i="6"/>
  <c r="IE72" i="6"/>
  <c r="IE17" i="6"/>
  <c r="IE59" i="6"/>
  <c r="IE41" i="6"/>
  <c r="IE62" i="6"/>
  <c r="IE36" i="6"/>
  <c r="IE106" i="6"/>
  <c r="HS51" i="6"/>
  <c r="HU29" i="6"/>
  <c r="HU2" i="6"/>
  <c r="HU34" i="6"/>
  <c r="HU12" i="6"/>
  <c r="HU49" i="6"/>
  <c r="HY2" i="6"/>
  <c r="HY12" i="6"/>
  <c r="HY26" i="6"/>
  <c r="HY87" i="6"/>
  <c r="HY3" i="6"/>
  <c r="HY18" i="6"/>
  <c r="HY42" i="6"/>
  <c r="HY105" i="6"/>
  <c r="HY5" i="6"/>
  <c r="HY27" i="6"/>
  <c r="HY33" i="6"/>
  <c r="HY50" i="6"/>
  <c r="HY9" i="6"/>
  <c r="HY28" i="6"/>
  <c r="HY10" i="6"/>
  <c r="HY58" i="6"/>
  <c r="IJ3" i="6"/>
  <c r="IJ43" i="6"/>
  <c r="IG90" i="6"/>
  <c r="IG85" i="6"/>
  <c r="IG70" i="6"/>
  <c r="IG71" i="6"/>
  <c r="IG72" i="6"/>
  <c r="IE69" i="6"/>
  <c r="HS50" i="6"/>
  <c r="HS16" i="6"/>
  <c r="HS21" i="6"/>
  <c r="HT57" i="6"/>
  <c r="HU24" i="6"/>
  <c r="HU58" i="6"/>
  <c r="HU20" i="6"/>
  <c r="HU41" i="6"/>
  <c r="HV85" i="6"/>
  <c r="IJ15" i="6"/>
  <c r="IJ32" i="6"/>
  <c r="IG87" i="6"/>
  <c r="IG68" i="6"/>
  <c r="IG65" i="6"/>
  <c r="IG62" i="6"/>
  <c r="IG66" i="6"/>
  <c r="IF92" i="6"/>
  <c r="IE20" i="6"/>
  <c r="IE26" i="6"/>
  <c r="IE16" i="6"/>
  <c r="IE8" i="6"/>
  <c r="IE27" i="6"/>
  <c r="IE35" i="6"/>
  <c r="IE42" i="6"/>
  <c r="IE46" i="6"/>
  <c r="IE49" i="6"/>
  <c r="IE56" i="6"/>
  <c r="IE73" i="6"/>
  <c r="IE66" i="6"/>
  <c r="IE78" i="6"/>
  <c r="IE93" i="6"/>
  <c r="IE84" i="6"/>
  <c r="IE4" i="6"/>
  <c r="IE2" i="6"/>
  <c r="IE19" i="6"/>
  <c r="IE11" i="6"/>
  <c r="IE30" i="6"/>
  <c r="IE31" i="6"/>
  <c r="IE45" i="6"/>
  <c r="IE52" i="6"/>
  <c r="IE57" i="6"/>
  <c r="IE75" i="6"/>
  <c r="IE67" i="6"/>
  <c r="IE86" i="6"/>
  <c r="IE97" i="6"/>
  <c r="IE85" i="6"/>
  <c r="IE29" i="6"/>
  <c r="IE18" i="6"/>
  <c r="IE22" i="6"/>
  <c r="IE14" i="6"/>
  <c r="IE39" i="6"/>
  <c r="IE33" i="6"/>
  <c r="IE34" i="6"/>
  <c r="IE47" i="6"/>
  <c r="IE55" i="6"/>
  <c r="IE58" i="6"/>
  <c r="IE79" i="6"/>
  <c r="IE68" i="6"/>
  <c r="IE81" i="6"/>
  <c r="IE100" i="6"/>
  <c r="IE95" i="6"/>
  <c r="IE12" i="6"/>
  <c r="IE9" i="6"/>
  <c r="IE10" i="6"/>
  <c r="IE28" i="6"/>
  <c r="IE21" i="6"/>
  <c r="IE43" i="6"/>
  <c r="IE38" i="6"/>
  <c r="IE50" i="6"/>
  <c r="IE54" i="6"/>
  <c r="IE74" i="6"/>
  <c r="IE60" i="6"/>
  <c r="IE64" i="6"/>
  <c r="IE70" i="6"/>
  <c r="IE108" i="6"/>
  <c r="IE96" i="6"/>
  <c r="IE107" i="6"/>
  <c r="IE6" i="6"/>
  <c r="IE15" i="6"/>
  <c r="IE13" i="6"/>
  <c r="IE5" i="6"/>
  <c r="IE24" i="6"/>
  <c r="IE32" i="6"/>
  <c r="IE40" i="6"/>
  <c r="IE53" i="6"/>
  <c r="IE48" i="6"/>
  <c r="IE77" i="6"/>
  <c r="IE71" i="6"/>
  <c r="IE65" i="6"/>
  <c r="IE76" i="6"/>
  <c r="IE87" i="6"/>
  <c r="IE101" i="6"/>
  <c r="IE99" i="6"/>
  <c r="HS14" i="6"/>
  <c r="HS6" i="6"/>
  <c r="HU38" i="6"/>
  <c r="HU50" i="6"/>
  <c r="HU74" i="6"/>
  <c r="HV99" i="6"/>
  <c r="HY22" i="6"/>
  <c r="HY19" i="6"/>
  <c r="HY15" i="6"/>
  <c r="HY7" i="6"/>
  <c r="HY40" i="6"/>
  <c r="HY71" i="6"/>
  <c r="HY98" i="6"/>
  <c r="HY6" i="6"/>
  <c r="HY21" i="6"/>
  <c r="HY16" i="6"/>
  <c r="HY62" i="6"/>
  <c r="HY94" i="6"/>
  <c r="HY8" i="6"/>
  <c r="HY4" i="6"/>
  <c r="HY11" i="6"/>
  <c r="HY24" i="6"/>
  <c r="HY20" i="6"/>
  <c r="HY32" i="6"/>
  <c r="HY69" i="6"/>
  <c r="IG91" i="6"/>
  <c r="IG76" i="6"/>
  <c r="IG75" i="6"/>
  <c r="IG89" i="6"/>
  <c r="IF52" i="6"/>
  <c r="HI85" i="6"/>
  <c r="HS59" i="6"/>
  <c r="HS90" i="6"/>
  <c r="HS89" i="6"/>
  <c r="HU79" i="6"/>
  <c r="HU77" i="6"/>
  <c r="HU69" i="6"/>
  <c r="HU11" i="6"/>
  <c r="HU60" i="6"/>
  <c r="HU52" i="6"/>
  <c r="HU90" i="6"/>
  <c r="HU94" i="6"/>
  <c r="HZ8" i="6"/>
  <c r="HV108" i="6"/>
  <c r="HU87" i="6"/>
  <c r="HU75" i="6"/>
  <c r="HU102" i="6"/>
  <c r="HT34" i="6"/>
  <c r="HT20" i="6"/>
  <c r="HT26" i="6"/>
  <c r="HT65" i="6"/>
  <c r="HS68" i="6"/>
  <c r="HS3" i="6"/>
  <c r="HS20" i="6"/>
  <c r="HS28" i="6"/>
  <c r="HS42" i="6"/>
  <c r="HS56" i="6"/>
  <c r="HS70" i="6"/>
  <c r="HS93" i="6"/>
  <c r="HS5" i="6"/>
  <c r="HS22" i="6"/>
  <c r="HS38" i="6"/>
  <c r="HS104" i="6"/>
  <c r="HS4" i="6"/>
  <c r="HS26" i="6"/>
  <c r="HS41" i="6"/>
  <c r="HS32" i="6"/>
  <c r="HS57" i="6"/>
  <c r="HS84" i="6"/>
  <c r="HS83" i="6"/>
  <c r="HS8" i="6"/>
  <c r="HS12" i="6"/>
  <c r="HS45" i="6"/>
  <c r="HS78" i="6"/>
  <c r="HS95" i="6"/>
  <c r="HS94" i="6"/>
  <c r="HS2" i="6"/>
  <c r="HS27" i="6"/>
  <c r="HS18" i="6"/>
  <c r="HS34" i="6"/>
  <c r="HS46" i="6"/>
  <c r="HS64" i="6"/>
  <c r="HS102" i="6"/>
  <c r="HS106" i="6"/>
  <c r="HI28" i="6"/>
  <c r="IF4" i="6"/>
  <c r="IF38" i="6"/>
  <c r="IF27" i="6"/>
  <c r="IF94" i="6"/>
  <c r="IJ4" i="6"/>
  <c r="IJ30" i="6"/>
  <c r="HZ20" i="6"/>
  <c r="HZ26" i="6"/>
  <c r="HZ14" i="6"/>
  <c r="HZ35" i="6"/>
  <c r="HZ43" i="6"/>
  <c r="HZ38" i="6"/>
  <c r="HU88" i="6"/>
  <c r="HT49" i="6"/>
  <c r="HT8" i="6"/>
  <c r="HT55" i="6"/>
  <c r="HT38" i="6"/>
  <c r="HT101" i="6"/>
  <c r="HT39" i="6"/>
  <c r="HT14" i="6"/>
  <c r="HT77" i="6"/>
  <c r="IG82" i="6"/>
  <c r="IG84" i="6"/>
  <c r="IG79" i="6"/>
  <c r="IH92" i="6"/>
  <c r="IJ10" i="6"/>
  <c r="IJ19" i="6"/>
  <c r="IJ13" i="6"/>
  <c r="IJ14" i="6"/>
  <c r="IJ25" i="6"/>
  <c r="IJ60" i="6"/>
  <c r="IJ8" i="6"/>
  <c r="IJ7" i="6"/>
  <c r="IJ17" i="6"/>
  <c r="IJ26" i="6"/>
  <c r="IJ73" i="6"/>
  <c r="IJ9" i="6"/>
  <c r="IJ31" i="6"/>
  <c r="HZ55" i="6"/>
  <c r="HZ53" i="6"/>
  <c r="HZ73" i="6"/>
  <c r="HV10" i="6"/>
  <c r="HV16" i="6"/>
  <c r="HV22" i="6"/>
  <c r="HV28" i="6"/>
  <c r="HV34" i="6"/>
  <c r="HV40" i="6"/>
  <c r="HV46" i="6"/>
  <c r="HV53" i="6"/>
  <c r="HV57" i="6"/>
  <c r="HV65" i="6"/>
  <c r="HV71" i="6"/>
  <c r="HV77" i="6"/>
  <c r="HV101" i="6"/>
  <c r="HV86" i="6"/>
  <c r="HV92" i="6"/>
  <c r="HV102" i="6"/>
  <c r="HV5" i="6"/>
  <c r="HV11" i="6"/>
  <c r="HV17" i="6"/>
  <c r="HV23" i="6"/>
  <c r="HV29" i="6"/>
  <c r="HV35" i="6"/>
  <c r="HV41" i="6"/>
  <c r="HV52" i="6"/>
  <c r="HV56" i="6"/>
  <c r="HV58" i="6"/>
  <c r="HV66" i="6"/>
  <c r="HV72" i="6"/>
  <c r="HV78" i="6"/>
  <c r="HV103" i="6"/>
  <c r="HV87" i="6"/>
  <c r="HV93" i="6"/>
  <c r="HV105" i="6"/>
  <c r="HV6" i="6"/>
  <c r="HV12" i="6"/>
  <c r="HV18" i="6"/>
  <c r="HV24" i="6"/>
  <c r="HV30" i="6"/>
  <c r="HV36" i="6"/>
  <c r="HV42" i="6"/>
  <c r="HV55" i="6"/>
  <c r="HV48" i="6"/>
  <c r="HV59" i="6"/>
  <c r="HV67" i="6"/>
  <c r="HV73" i="6"/>
  <c r="HV79" i="6"/>
  <c r="HV104" i="6"/>
  <c r="HV88" i="6"/>
  <c r="HV94" i="6"/>
  <c r="HV96" i="6"/>
  <c r="HV8" i="6"/>
  <c r="HV14" i="6"/>
  <c r="HV20" i="6"/>
  <c r="HV26" i="6"/>
  <c r="HV32" i="6"/>
  <c r="HV38" i="6"/>
  <c r="HV47" i="6"/>
  <c r="HV51" i="6"/>
  <c r="HV64" i="6"/>
  <c r="HV69" i="6"/>
  <c r="HV75" i="6"/>
  <c r="HV82" i="6"/>
  <c r="HV84" i="6"/>
  <c r="HV90" i="6"/>
  <c r="HV97" i="6"/>
  <c r="HU19" i="6"/>
  <c r="HU25" i="6"/>
  <c r="HU16" i="6"/>
  <c r="HU14" i="6"/>
  <c r="HU32" i="6"/>
  <c r="HU37" i="6"/>
  <c r="HU48" i="6"/>
  <c r="HU57" i="6"/>
  <c r="HU42" i="6"/>
  <c r="HU55" i="6"/>
  <c r="HU81" i="6"/>
  <c r="HU83" i="6"/>
  <c r="HU78" i="6"/>
  <c r="HU85" i="6"/>
  <c r="HU96" i="6"/>
  <c r="HU5" i="6"/>
  <c r="HU28" i="6"/>
  <c r="HU4" i="6"/>
  <c r="HU21" i="6"/>
  <c r="HU17" i="6"/>
  <c r="HU35" i="6"/>
  <c r="HU47" i="6"/>
  <c r="HU59" i="6"/>
  <c r="HU64" i="6"/>
  <c r="HU43" i="6"/>
  <c r="HU65" i="6"/>
  <c r="HU67" i="6"/>
  <c r="HU62" i="6"/>
  <c r="HU82" i="6"/>
  <c r="HU91" i="6"/>
  <c r="HU97" i="6"/>
  <c r="HU22" i="6"/>
  <c r="HU3" i="6"/>
  <c r="HU7" i="6"/>
  <c r="HU27" i="6"/>
  <c r="HU23" i="6"/>
  <c r="HU36" i="6"/>
  <c r="HU53" i="6"/>
  <c r="HU51" i="6"/>
  <c r="HU39" i="6"/>
  <c r="HU45" i="6"/>
  <c r="HU76" i="6"/>
  <c r="HU68" i="6"/>
  <c r="HU71" i="6"/>
  <c r="HU89" i="6"/>
  <c r="HU86" i="6"/>
  <c r="HU6" i="6"/>
  <c r="HU9" i="6"/>
  <c r="HU10" i="6"/>
  <c r="HU30" i="6"/>
  <c r="HU26" i="6"/>
  <c r="HU31" i="6"/>
  <c r="HU56" i="6"/>
  <c r="HU54" i="6"/>
  <c r="HU40" i="6"/>
  <c r="HU46" i="6"/>
  <c r="HU66" i="6"/>
  <c r="HU73" i="6"/>
  <c r="HU70" i="6"/>
  <c r="HU84" i="6"/>
  <c r="HU92" i="6"/>
  <c r="HS10" i="6"/>
  <c r="HS13" i="6"/>
  <c r="HS23" i="6"/>
  <c r="HS15" i="6"/>
  <c r="HS39" i="6"/>
  <c r="HS31" i="6"/>
  <c r="HS54" i="6"/>
  <c r="HS53" i="6"/>
  <c r="HS58" i="6"/>
  <c r="HS62" i="6"/>
  <c r="HS69" i="6"/>
  <c r="HS81" i="6"/>
  <c r="HS98" i="6"/>
  <c r="HS87" i="6"/>
  <c r="HS88" i="6"/>
  <c r="HS103" i="6"/>
  <c r="HS7" i="6"/>
  <c r="HS11" i="6"/>
  <c r="HS29" i="6"/>
  <c r="HS19" i="6"/>
  <c r="HS43" i="6"/>
  <c r="HS37" i="6"/>
  <c r="HS35" i="6"/>
  <c r="HS52" i="6"/>
  <c r="HS75" i="6"/>
  <c r="HS60" i="6"/>
  <c r="HS65" i="6"/>
  <c r="HS74" i="6"/>
  <c r="HS101" i="6"/>
  <c r="HS97" i="6"/>
  <c r="HS96" i="6"/>
  <c r="HS55" i="6"/>
  <c r="HS76" i="6"/>
  <c r="HS66" i="6"/>
  <c r="HS79" i="6"/>
  <c r="HS85" i="6"/>
  <c r="HS86" i="6"/>
  <c r="HS105" i="6"/>
  <c r="HS108" i="6"/>
  <c r="HS71" i="6"/>
  <c r="HS24" i="6"/>
  <c r="HS30" i="6"/>
  <c r="HS17" i="6"/>
  <c r="HS9" i="6"/>
  <c r="HS25" i="6"/>
  <c r="HS36" i="6"/>
  <c r="HS40" i="6"/>
  <c r="HS49" i="6"/>
  <c r="HS47" i="6"/>
  <c r="HS73" i="6"/>
  <c r="HS72" i="6"/>
  <c r="HS67" i="6"/>
  <c r="HS77" i="6"/>
  <c r="HS91" i="6"/>
  <c r="HS92" i="6"/>
  <c r="HS82" i="6"/>
  <c r="HS107" i="6"/>
  <c r="HI15" i="6"/>
  <c r="HI54" i="6"/>
  <c r="HI72" i="6"/>
  <c r="HI90" i="6"/>
  <c r="IF41" i="6"/>
  <c r="IF45" i="6"/>
  <c r="IF9" i="6"/>
  <c r="IF62" i="6"/>
  <c r="IF74" i="6"/>
  <c r="IF15" i="6"/>
  <c r="IF21" i="6"/>
  <c r="IF59" i="6"/>
  <c r="IJ20" i="6"/>
  <c r="IJ34" i="6"/>
  <c r="IJ24" i="6"/>
  <c r="IJ40" i="6"/>
  <c r="IJ49" i="6"/>
  <c r="HZ70" i="6"/>
  <c r="HZ65" i="6"/>
  <c r="HZ94" i="6"/>
  <c r="HU100" i="6"/>
  <c r="HT90" i="6"/>
  <c r="HT87" i="6"/>
  <c r="HT95" i="6"/>
  <c r="HS99" i="6"/>
  <c r="HJ6" i="6"/>
  <c r="HJ23" i="6"/>
  <c r="HI51" i="6"/>
  <c r="HI65" i="6"/>
  <c r="IF78" i="6"/>
  <c r="IG88" i="6"/>
  <c r="IG81" i="6"/>
  <c r="IG83" i="6"/>
  <c r="IJ42" i="6"/>
  <c r="HZ87" i="6"/>
  <c r="HY35" i="6"/>
  <c r="HY36" i="6"/>
  <c r="HY53" i="6"/>
  <c r="HY73" i="6"/>
  <c r="HY59" i="6"/>
  <c r="HY64" i="6"/>
  <c r="HY70" i="6"/>
  <c r="HY99" i="6"/>
  <c r="HY93" i="6"/>
  <c r="HY103" i="6"/>
  <c r="HY84" i="6"/>
  <c r="HY101" i="6"/>
  <c r="HY39" i="6"/>
  <c r="HY49" i="6"/>
  <c r="HY47" i="6"/>
  <c r="HY76" i="6"/>
  <c r="HY60" i="6"/>
  <c r="HY65" i="6"/>
  <c r="HY75" i="6"/>
  <c r="HY86" i="6"/>
  <c r="HY102" i="6"/>
  <c r="HY107" i="6"/>
  <c r="HY90" i="6"/>
  <c r="HY104" i="6"/>
  <c r="HY31" i="6"/>
  <c r="HY41" i="6"/>
  <c r="HY52" i="6"/>
  <c r="HY48" i="6"/>
  <c r="HY78" i="6"/>
  <c r="HY72" i="6"/>
  <c r="HY66" i="6"/>
  <c r="HY81" i="6"/>
  <c r="HY92" i="6"/>
  <c r="HY82" i="6"/>
  <c r="HY97" i="6"/>
  <c r="HY29" i="6"/>
  <c r="HY34" i="6"/>
  <c r="HY43" i="6"/>
  <c r="HY55" i="6"/>
  <c r="HY51" i="6"/>
  <c r="HY56" i="6"/>
  <c r="HY74" i="6"/>
  <c r="HY67" i="6"/>
  <c r="HY85" i="6"/>
  <c r="HY96" i="6"/>
  <c r="HY88" i="6"/>
  <c r="HY83" i="6"/>
  <c r="HY106" i="6"/>
  <c r="HY13" i="6"/>
  <c r="HY38" i="6"/>
  <c r="HY37" i="6"/>
  <c r="HY45" i="6"/>
  <c r="HY46" i="6"/>
  <c r="HY54" i="6"/>
  <c r="HY57" i="6"/>
  <c r="HY77" i="6"/>
  <c r="HY68" i="6"/>
  <c r="HY91" i="6"/>
  <c r="HY100" i="6"/>
  <c r="HY95" i="6"/>
  <c r="HY89" i="6"/>
  <c r="HU93" i="6"/>
  <c r="HU95" i="6"/>
  <c r="HS100" i="6"/>
  <c r="HJ59" i="6"/>
  <c r="HJ66" i="6"/>
  <c r="HI6" i="6"/>
  <c r="HI10" i="6"/>
  <c r="HI49" i="6"/>
  <c r="IG96" i="6"/>
  <c r="IG98" i="6"/>
  <c r="IG93" i="6"/>
  <c r="IG101" i="6"/>
  <c r="IH21" i="6"/>
  <c r="IH24" i="6"/>
  <c r="IH52" i="6"/>
  <c r="IH53" i="6"/>
  <c r="IJ75" i="6"/>
  <c r="HT2" i="6"/>
  <c r="HT31" i="6"/>
  <c r="HT41" i="6"/>
  <c r="HT9" i="6"/>
  <c r="HT15" i="6"/>
  <c r="HT21" i="6"/>
  <c r="HT27" i="6"/>
  <c r="HT47" i="6"/>
  <c r="HT51" i="6"/>
  <c r="HT66" i="6"/>
  <c r="HT68" i="6"/>
  <c r="HT58" i="6"/>
  <c r="HT74" i="6"/>
  <c r="HT85" i="6"/>
  <c r="HT93" i="6"/>
  <c r="HT96" i="6"/>
  <c r="HT102" i="6"/>
  <c r="IJ81" i="6"/>
  <c r="HI2" i="6"/>
  <c r="HI21" i="6"/>
  <c r="HI57" i="6"/>
  <c r="HI56" i="6"/>
  <c r="HI74" i="6"/>
  <c r="HI99" i="6"/>
  <c r="HT3" i="6"/>
  <c r="HT40" i="6"/>
  <c r="HT43" i="6"/>
  <c r="HT10" i="6"/>
  <c r="HT16" i="6"/>
  <c r="HT22" i="6"/>
  <c r="HT28" i="6"/>
  <c r="HT50" i="6"/>
  <c r="HT54" i="6"/>
  <c r="HT72" i="6"/>
  <c r="HT75" i="6"/>
  <c r="HT59" i="6"/>
  <c r="HT76" i="6"/>
  <c r="HT91" i="6"/>
  <c r="HT81" i="6"/>
  <c r="HT97" i="6"/>
  <c r="HT103" i="6"/>
  <c r="HI3" i="6"/>
  <c r="HI8" i="6"/>
  <c r="HI27" i="6"/>
  <c r="HI48" i="6"/>
  <c r="HI69" i="6"/>
  <c r="HI86" i="6"/>
  <c r="HI101" i="6"/>
  <c r="HT4" i="6"/>
  <c r="HT33" i="6"/>
  <c r="HT5" i="6"/>
  <c r="HT11" i="6"/>
  <c r="HT17" i="6"/>
  <c r="HT23" i="6"/>
  <c r="HT29" i="6"/>
  <c r="HT53" i="6"/>
  <c r="HT45" i="6"/>
  <c r="HT78" i="6"/>
  <c r="HT62" i="6"/>
  <c r="HT60" i="6"/>
  <c r="HT73" i="6"/>
  <c r="HT94" i="6"/>
  <c r="HT82" i="6"/>
  <c r="HT98" i="6"/>
  <c r="HT104" i="6"/>
  <c r="HM12" i="6"/>
  <c r="HI19" i="6"/>
  <c r="HI14" i="6"/>
  <c r="HI36" i="6"/>
  <c r="HI62" i="6"/>
  <c r="HI71" i="6"/>
  <c r="HI87" i="6"/>
  <c r="HI103" i="6"/>
  <c r="HT36" i="6"/>
  <c r="HT32" i="6"/>
  <c r="HT6" i="6"/>
  <c r="HT12" i="6"/>
  <c r="HT18" i="6"/>
  <c r="HT24" i="6"/>
  <c r="HT30" i="6"/>
  <c r="HT56" i="6"/>
  <c r="HT46" i="6"/>
  <c r="HT79" i="6"/>
  <c r="HT69" i="6"/>
  <c r="HT64" i="6"/>
  <c r="HT89" i="6"/>
  <c r="HT86" i="6"/>
  <c r="HT83" i="6"/>
  <c r="HT99" i="6"/>
  <c r="HT105" i="6"/>
  <c r="HI23" i="6"/>
  <c r="HI17" i="6"/>
  <c r="HI31" i="6"/>
  <c r="HI43" i="6"/>
  <c r="HI73" i="6"/>
  <c r="HI88" i="6"/>
  <c r="HI107" i="6"/>
  <c r="HT37" i="6"/>
  <c r="HT35" i="6"/>
  <c r="HT7" i="6"/>
  <c r="HT13" i="6"/>
  <c r="HT19" i="6"/>
  <c r="HT25" i="6"/>
  <c r="HT42" i="6"/>
  <c r="HT48" i="6"/>
  <c r="HT52" i="6"/>
  <c r="HT67" i="6"/>
  <c r="HT71" i="6"/>
  <c r="HT70" i="6"/>
  <c r="HT84" i="6"/>
  <c r="HT92" i="6"/>
  <c r="HT88" i="6"/>
  <c r="HT100" i="6"/>
  <c r="HT106" i="6"/>
  <c r="HU98" i="6"/>
  <c r="HU99" i="6"/>
  <c r="HI26" i="6"/>
  <c r="HI16" i="6"/>
  <c r="HI9" i="6"/>
  <c r="HI37" i="6"/>
  <c r="HI40" i="6"/>
  <c r="HI78" i="6"/>
  <c r="HI76" i="6"/>
  <c r="HI96" i="6"/>
  <c r="IF96" i="6"/>
  <c r="IF102" i="6"/>
  <c r="IF108" i="6"/>
  <c r="IG107" i="6"/>
  <c r="IG108" i="6"/>
  <c r="IG86" i="6"/>
  <c r="IG95" i="6"/>
  <c r="IH33" i="6"/>
  <c r="IH59" i="6"/>
  <c r="IH4" i="6"/>
  <c r="IH6" i="6"/>
  <c r="IH36" i="6"/>
  <c r="IH67" i="6"/>
  <c r="IH15" i="6"/>
  <c r="IH39" i="6"/>
  <c r="IH100" i="6"/>
  <c r="IH18" i="6"/>
  <c r="IH42" i="6"/>
  <c r="IH86" i="6"/>
  <c r="HU101" i="6"/>
  <c r="HJ78" i="6"/>
  <c r="HJ13" i="6"/>
  <c r="HJ31" i="6"/>
  <c r="IG97" i="6"/>
  <c r="IH9" i="6"/>
  <c r="IH27" i="6"/>
  <c r="IH45" i="6"/>
  <c r="IH64" i="6"/>
  <c r="IH12" i="6"/>
  <c r="IH30" i="6"/>
  <c r="IH54" i="6"/>
  <c r="IH71" i="6"/>
  <c r="IJ16" i="6"/>
  <c r="IJ11" i="6"/>
  <c r="IJ18" i="6"/>
  <c r="IJ23" i="6"/>
  <c r="IJ29" i="6"/>
  <c r="IJ38" i="6"/>
  <c r="IJ65" i="6"/>
  <c r="IJ55" i="6"/>
  <c r="IJ84" i="6"/>
  <c r="IJ67" i="6"/>
  <c r="IJ92" i="6"/>
  <c r="IJ76" i="6"/>
  <c r="IJ96" i="6"/>
  <c r="IJ6" i="6"/>
  <c r="IJ5" i="6"/>
  <c r="IJ12" i="6"/>
  <c r="IJ21" i="6"/>
  <c r="IJ27" i="6"/>
  <c r="IJ36" i="6"/>
  <c r="IJ51" i="6"/>
  <c r="IJ77" i="6"/>
  <c r="IJ22" i="6"/>
  <c r="IJ28" i="6"/>
  <c r="IJ37" i="6"/>
  <c r="IJ62" i="6"/>
  <c r="IJ54" i="6"/>
  <c r="IJ83" i="6"/>
  <c r="HU104" i="6"/>
  <c r="HU105" i="6"/>
  <c r="HN13" i="6"/>
  <c r="HN25" i="6"/>
  <c r="HM67" i="6"/>
  <c r="HM55" i="6"/>
  <c r="HM99" i="6"/>
  <c r="HM28" i="6"/>
  <c r="HM33" i="6"/>
  <c r="HJ84" i="6"/>
  <c r="HJ41" i="6"/>
  <c r="HJ53" i="6"/>
  <c r="IE83" i="6"/>
  <c r="IE90" i="6"/>
  <c r="IE98" i="6"/>
  <c r="IE102" i="6"/>
  <c r="IE103" i="6"/>
  <c r="IE104" i="6"/>
  <c r="IE105" i="6"/>
  <c r="IE3" i="6"/>
  <c r="IE92" i="6"/>
  <c r="IE88" i="6"/>
  <c r="IE82" i="6"/>
  <c r="IE91" i="6"/>
  <c r="IJ35" i="6"/>
  <c r="IJ41" i="6"/>
  <c r="IJ64" i="6"/>
  <c r="IJ50" i="6"/>
  <c r="IJ66" i="6"/>
  <c r="IJ89" i="6"/>
  <c r="IJ87" i="6"/>
  <c r="IJ79" i="6"/>
  <c r="IJ99" i="6"/>
  <c r="IJ103" i="6"/>
  <c r="IJ33" i="6"/>
  <c r="IJ39" i="6"/>
  <c r="IJ45" i="6"/>
  <c r="IJ48" i="6"/>
  <c r="IJ57" i="6"/>
  <c r="IJ70" i="6"/>
  <c r="IJ85" i="6"/>
  <c r="HU106" i="6"/>
  <c r="HU107" i="6"/>
  <c r="HT107" i="6"/>
  <c r="HT108" i="6"/>
  <c r="HM23" i="6"/>
  <c r="HM8" i="6"/>
  <c r="HM41" i="6"/>
  <c r="HM72" i="6"/>
  <c r="HM70" i="6"/>
  <c r="HM87" i="6"/>
  <c r="HM17" i="6"/>
  <c r="HM34" i="6"/>
  <c r="HM103" i="6"/>
  <c r="HM100" i="6"/>
  <c r="HM57" i="6"/>
  <c r="HM7" i="6"/>
  <c r="HM29" i="6"/>
  <c r="HM27" i="6"/>
  <c r="HM48" i="6"/>
  <c r="HM60" i="6"/>
  <c r="HM97" i="6"/>
  <c r="HM98" i="6"/>
  <c r="HM15" i="6"/>
  <c r="HM10" i="6"/>
  <c r="HM19" i="6"/>
  <c r="HM40" i="6"/>
  <c r="HM56" i="6"/>
  <c r="HM77" i="6"/>
  <c r="HM91" i="6"/>
  <c r="HM94" i="6"/>
  <c r="HM26" i="6"/>
  <c r="HM9" i="6"/>
  <c r="HM22" i="6"/>
  <c r="HM45" i="6"/>
  <c r="HM51" i="6"/>
  <c r="HM64" i="6"/>
  <c r="HM86" i="6"/>
  <c r="HJ7" i="6"/>
  <c r="HJ15" i="6"/>
  <c r="HJ24" i="6"/>
  <c r="HJ33" i="6"/>
  <c r="HJ42" i="6"/>
  <c r="HJ51" i="6"/>
  <c r="HJ60" i="6"/>
  <c r="HJ104" i="6"/>
  <c r="HJ79" i="6"/>
  <c r="HJ86" i="6"/>
  <c r="HJ3" i="6"/>
  <c r="HJ8" i="6"/>
  <c r="HJ17" i="6"/>
  <c r="HJ25" i="6"/>
  <c r="HJ35" i="6"/>
  <c r="HJ43" i="6"/>
  <c r="HJ47" i="6"/>
  <c r="HJ62" i="6"/>
  <c r="HJ72" i="6"/>
  <c r="HJ81" i="6"/>
  <c r="HJ99" i="6"/>
  <c r="HJ2" i="6"/>
  <c r="HJ9" i="6"/>
  <c r="HJ18" i="6"/>
  <c r="HJ27" i="6"/>
  <c r="HJ36" i="6"/>
  <c r="HJ45" i="6"/>
  <c r="HJ52" i="6"/>
  <c r="HJ69" i="6"/>
  <c r="HJ73" i="6"/>
  <c r="HJ83" i="6"/>
  <c r="HJ5" i="6"/>
  <c r="HJ11" i="6"/>
  <c r="HJ19" i="6"/>
  <c r="HJ29" i="6"/>
  <c r="HJ37" i="6"/>
  <c r="HJ49" i="6"/>
  <c r="HJ55" i="6"/>
  <c r="HJ70" i="6"/>
  <c r="HJ74" i="6"/>
  <c r="HJ107" i="6"/>
  <c r="HJ4" i="6"/>
  <c r="HJ12" i="6"/>
  <c r="HJ21" i="6"/>
  <c r="HJ30" i="6"/>
  <c r="HJ39" i="6"/>
  <c r="HJ50" i="6"/>
  <c r="HJ57" i="6"/>
  <c r="HJ65" i="6"/>
  <c r="HJ76" i="6"/>
  <c r="HJ101" i="6"/>
  <c r="HI108" i="6"/>
  <c r="IG99" i="6"/>
  <c r="IH2" i="6"/>
  <c r="IH8" i="6"/>
  <c r="IH14" i="6"/>
  <c r="IH20" i="6"/>
  <c r="IH26" i="6"/>
  <c r="IH32" i="6"/>
  <c r="IH38" i="6"/>
  <c r="IH56" i="6"/>
  <c r="IH58" i="6"/>
  <c r="IH69" i="6"/>
  <c r="IH74" i="6"/>
  <c r="IH83" i="6"/>
  <c r="IH95" i="6"/>
  <c r="IH77" i="6"/>
  <c r="IH104" i="6"/>
  <c r="IH3" i="6"/>
  <c r="IH10" i="6"/>
  <c r="IH16" i="6"/>
  <c r="IH22" i="6"/>
  <c r="IH28" i="6"/>
  <c r="IH34" i="6"/>
  <c r="IH40" i="6"/>
  <c r="IH47" i="6"/>
  <c r="IH55" i="6"/>
  <c r="IH60" i="6"/>
  <c r="IH65" i="6"/>
  <c r="IH79" i="6"/>
  <c r="IH88" i="6"/>
  <c r="IH96" i="6"/>
  <c r="IH5" i="6"/>
  <c r="IH11" i="6"/>
  <c r="IH17" i="6"/>
  <c r="IH23" i="6"/>
  <c r="IH29" i="6"/>
  <c r="IH35" i="6"/>
  <c r="IH41" i="6"/>
  <c r="IH51" i="6"/>
  <c r="IH50" i="6"/>
  <c r="IH66" i="6"/>
  <c r="IH105" i="6"/>
  <c r="IH81" i="6"/>
  <c r="IH89" i="6"/>
  <c r="IH98" i="6"/>
  <c r="IH7" i="6"/>
  <c r="IH13" i="6"/>
  <c r="IH19" i="6"/>
  <c r="IH25" i="6"/>
  <c r="IH31" i="6"/>
  <c r="IH37" i="6"/>
  <c r="IH43" i="6"/>
  <c r="IH48" i="6"/>
  <c r="IH46" i="6"/>
  <c r="IH62" i="6"/>
  <c r="IH73" i="6"/>
  <c r="IH103" i="6"/>
  <c r="IH94" i="6"/>
  <c r="IJ46" i="6"/>
  <c r="IJ52" i="6"/>
  <c r="IJ58" i="6"/>
  <c r="IJ68" i="6"/>
  <c r="IJ72" i="6"/>
  <c r="IJ90" i="6"/>
  <c r="IJ91" i="6"/>
  <c r="IJ97" i="6"/>
  <c r="IJ47" i="6"/>
  <c r="IJ53" i="6"/>
  <c r="IJ59" i="6"/>
  <c r="IJ74" i="6"/>
  <c r="IJ88" i="6"/>
  <c r="IJ78" i="6"/>
  <c r="IJ86" i="6"/>
  <c r="IJ98" i="6"/>
  <c r="IJ56" i="6"/>
  <c r="IJ71" i="6"/>
  <c r="IJ69" i="6"/>
  <c r="IJ94" i="6"/>
  <c r="IJ82" i="6"/>
  <c r="IJ93" i="6"/>
  <c r="IJ106" i="6"/>
  <c r="HU108" i="6"/>
  <c r="HU103" i="6"/>
  <c r="HN36" i="6"/>
  <c r="HN37" i="6"/>
  <c r="HN10" i="6"/>
  <c r="HN22" i="6"/>
  <c r="HN55" i="6"/>
  <c r="HN78" i="6"/>
  <c r="HN38" i="6"/>
  <c r="HN32" i="6"/>
  <c r="HN40" i="6"/>
  <c r="HN14" i="6"/>
  <c r="HN26" i="6"/>
  <c r="HN49" i="6"/>
  <c r="HN82" i="6"/>
  <c r="HN4" i="6"/>
  <c r="HN85" i="6"/>
  <c r="HN2" i="6"/>
  <c r="HN33" i="6"/>
  <c r="HN42" i="6"/>
  <c r="HN16" i="6"/>
  <c r="HN28" i="6"/>
  <c r="HN65" i="6"/>
  <c r="HN97" i="6"/>
  <c r="HN5" i="6"/>
  <c r="HN35" i="6"/>
  <c r="HN7" i="6"/>
  <c r="HN19" i="6"/>
  <c r="HN41" i="6"/>
  <c r="HN57" i="6"/>
  <c r="HN103" i="6"/>
  <c r="HN50" i="6"/>
  <c r="HN3" i="6"/>
  <c r="HN31" i="6"/>
  <c r="HN8" i="6"/>
  <c r="HN20" i="6"/>
  <c r="HN43" i="6"/>
  <c r="HN73" i="6"/>
  <c r="HM2" i="6"/>
  <c r="HM4" i="6"/>
  <c r="HM13" i="6"/>
  <c r="HM11" i="6"/>
  <c r="HM30" i="6"/>
  <c r="HM32" i="6"/>
  <c r="HM43" i="6"/>
  <c r="HM50" i="6"/>
  <c r="HM54" i="6"/>
  <c r="HM89" i="6"/>
  <c r="HM62" i="6"/>
  <c r="HM65" i="6"/>
  <c r="HM73" i="6"/>
  <c r="HM104" i="6"/>
  <c r="HM92" i="6"/>
  <c r="HM93" i="6"/>
  <c r="HM101" i="6"/>
  <c r="HM5" i="6"/>
  <c r="HM6" i="6"/>
  <c r="HM16" i="6"/>
  <c r="HM14" i="6"/>
  <c r="HM38" i="6"/>
  <c r="HM35" i="6"/>
  <c r="HM31" i="6"/>
  <c r="HM53" i="6"/>
  <c r="HM52" i="6"/>
  <c r="HM78" i="6"/>
  <c r="HM75" i="6"/>
  <c r="HM66" i="6"/>
  <c r="HM81" i="6"/>
  <c r="HM85" i="6"/>
  <c r="HM96" i="6"/>
  <c r="HM95" i="6"/>
  <c r="HM18" i="6"/>
  <c r="HM3" i="6"/>
  <c r="HM20" i="6"/>
  <c r="HM25" i="6"/>
  <c r="HM21" i="6"/>
  <c r="HM42" i="6"/>
  <c r="HM36" i="6"/>
  <c r="HM37" i="6"/>
  <c r="HM49" i="6"/>
  <c r="HM74" i="6"/>
  <c r="HM58" i="6"/>
  <c r="HM71" i="6"/>
  <c r="HM68" i="6"/>
  <c r="HM84" i="6"/>
  <c r="HM106" i="6"/>
  <c r="HM82" i="6"/>
  <c r="HM108" i="6"/>
  <c r="HM102" i="6"/>
  <c r="HM24" i="6"/>
  <c r="HM39" i="6"/>
  <c r="HM47" i="6"/>
  <c r="HM46" i="6"/>
  <c r="HM76" i="6"/>
  <c r="HM59" i="6"/>
  <c r="HM79" i="6"/>
  <c r="HM69" i="6"/>
  <c r="HM90" i="6"/>
  <c r="HM107" i="6"/>
  <c r="HM83" i="6"/>
  <c r="HM88" i="6"/>
  <c r="HJ95" i="6"/>
  <c r="HI30" i="6"/>
  <c r="HI32" i="6"/>
  <c r="HI52" i="6"/>
  <c r="HI41" i="6"/>
  <c r="HI50" i="6"/>
  <c r="HI81" i="6"/>
  <c r="HI66" i="6"/>
  <c r="HI83" i="6"/>
  <c r="HI89" i="6"/>
  <c r="HI97" i="6"/>
  <c r="HI104" i="6"/>
  <c r="HI4" i="6"/>
  <c r="HI7" i="6"/>
  <c r="HI11" i="6"/>
  <c r="HI12" i="6"/>
  <c r="HI5" i="6"/>
  <c r="HI59" i="6"/>
  <c r="HI55" i="6"/>
  <c r="HI42" i="6"/>
  <c r="HI53" i="6"/>
  <c r="HI64" i="6"/>
  <c r="HI67" i="6"/>
  <c r="HI82" i="6"/>
  <c r="HI84" i="6"/>
  <c r="HI98" i="6"/>
  <c r="HI105" i="6"/>
  <c r="HI13" i="6"/>
  <c r="HI20" i="6"/>
  <c r="HI25" i="6"/>
  <c r="HI24" i="6"/>
  <c r="HI34" i="6"/>
  <c r="HI58" i="6"/>
  <c r="HI38" i="6"/>
  <c r="HI46" i="6"/>
  <c r="HI77" i="6"/>
  <c r="HI75" i="6"/>
  <c r="HI68" i="6"/>
  <c r="HI93" i="6"/>
  <c r="HI95" i="6"/>
  <c r="HI102" i="6"/>
  <c r="IG102" i="6"/>
  <c r="IG103" i="6"/>
  <c r="IJ100" i="6"/>
  <c r="IJ102" i="6"/>
  <c r="HR36" i="6"/>
  <c r="HR72" i="6"/>
  <c r="HN9" i="6"/>
  <c r="HN15" i="6"/>
  <c r="HN21" i="6"/>
  <c r="HN27" i="6"/>
  <c r="HN52" i="6"/>
  <c r="HN56" i="6"/>
  <c r="HN54" i="6"/>
  <c r="HN68" i="6"/>
  <c r="HN69" i="6"/>
  <c r="HN72" i="6"/>
  <c r="HN90" i="6"/>
  <c r="HN81" i="6"/>
  <c r="HN96" i="6"/>
  <c r="HN102" i="6"/>
  <c r="HN108" i="6"/>
  <c r="HN11" i="6"/>
  <c r="HN17" i="6"/>
  <c r="HN23" i="6"/>
  <c r="HN29" i="6"/>
  <c r="HN47" i="6"/>
  <c r="HN64" i="6"/>
  <c r="HN66" i="6"/>
  <c r="HN58" i="6"/>
  <c r="HN75" i="6"/>
  <c r="HN88" i="6"/>
  <c r="HN91" i="6"/>
  <c r="HN83" i="6"/>
  <c r="HN98" i="6"/>
  <c r="HN104" i="6"/>
  <c r="HN39" i="6"/>
  <c r="HN34" i="6"/>
  <c r="HN6" i="6"/>
  <c r="HN12" i="6"/>
  <c r="HN18" i="6"/>
  <c r="HN24" i="6"/>
  <c r="HN30" i="6"/>
  <c r="HN48" i="6"/>
  <c r="HN45" i="6"/>
  <c r="HN74" i="6"/>
  <c r="HN59" i="6"/>
  <c r="HN77" i="6"/>
  <c r="HN79" i="6"/>
  <c r="HN86" i="6"/>
  <c r="HN87" i="6"/>
  <c r="HN99" i="6"/>
  <c r="HN105" i="6"/>
  <c r="HN46" i="6"/>
  <c r="HN76" i="6"/>
  <c r="HN60" i="6"/>
  <c r="HN70" i="6"/>
  <c r="HN89" i="6"/>
  <c r="HN92" i="6"/>
  <c r="HN93" i="6"/>
  <c r="HN100" i="6"/>
  <c r="HN106" i="6"/>
  <c r="HN53" i="6"/>
  <c r="HN51" i="6"/>
  <c r="HN67" i="6"/>
  <c r="HN62" i="6"/>
  <c r="HN71" i="6"/>
  <c r="HN84" i="6"/>
  <c r="HN94" i="6"/>
  <c r="HN95" i="6"/>
  <c r="HN101" i="6"/>
  <c r="HJ14" i="6"/>
  <c r="HJ20" i="6"/>
  <c r="HJ26" i="6"/>
  <c r="HJ32" i="6"/>
  <c r="HJ38" i="6"/>
  <c r="HJ56" i="6"/>
  <c r="HJ48" i="6"/>
  <c r="HJ68" i="6"/>
  <c r="HJ67" i="6"/>
  <c r="HJ75" i="6"/>
  <c r="HJ82" i="6"/>
  <c r="HJ102" i="6"/>
  <c r="HJ90" i="6"/>
  <c r="HJ91" i="6"/>
  <c r="HJ10" i="6"/>
  <c r="HJ16" i="6"/>
  <c r="HJ22" i="6"/>
  <c r="HJ28" i="6"/>
  <c r="HJ34" i="6"/>
  <c r="HJ40" i="6"/>
  <c r="HJ46" i="6"/>
  <c r="HJ54" i="6"/>
  <c r="HJ58" i="6"/>
  <c r="HJ64" i="6"/>
  <c r="HJ71" i="6"/>
  <c r="HJ77" i="6"/>
  <c r="HJ105" i="6"/>
  <c r="HJ85" i="6"/>
  <c r="HJ92" i="6"/>
  <c r="HJ87" i="6"/>
  <c r="HJ100" i="6"/>
  <c r="HJ89" i="6"/>
  <c r="HJ108" i="6"/>
  <c r="HI29" i="6"/>
  <c r="HI22" i="6"/>
  <c r="HI18" i="6"/>
  <c r="HI33" i="6"/>
  <c r="HI35" i="6"/>
  <c r="HI47" i="6"/>
  <c r="HI39" i="6"/>
  <c r="HI45" i="6"/>
  <c r="HI60" i="6"/>
  <c r="HI70" i="6"/>
  <c r="HI92" i="6"/>
  <c r="HI79" i="6"/>
  <c r="HI94" i="6"/>
  <c r="HI91" i="6"/>
  <c r="HI100" i="6"/>
  <c r="IF2" i="6"/>
  <c r="IF40" i="6"/>
  <c r="IF43" i="6"/>
  <c r="IF10" i="6"/>
  <c r="IF16" i="6"/>
  <c r="IF22" i="6"/>
  <c r="IF28" i="6"/>
  <c r="IF55" i="6"/>
  <c r="IF47" i="6"/>
  <c r="IF69" i="6"/>
  <c r="IF77" i="6"/>
  <c r="IF60" i="6"/>
  <c r="IF75" i="6"/>
  <c r="IF87" i="6"/>
  <c r="IF81" i="6"/>
  <c r="IF97" i="6"/>
  <c r="IF103" i="6"/>
  <c r="IF32" i="6"/>
  <c r="IF5" i="6"/>
  <c r="IF11" i="6"/>
  <c r="IF17" i="6"/>
  <c r="IF23" i="6"/>
  <c r="IF29" i="6"/>
  <c r="IF50" i="6"/>
  <c r="IF51" i="6"/>
  <c r="IF76" i="6"/>
  <c r="IF65" i="6"/>
  <c r="IF66" i="6"/>
  <c r="IF79" i="6"/>
  <c r="IF93" i="6"/>
  <c r="IF82" i="6"/>
  <c r="IF98" i="6"/>
  <c r="IF104" i="6"/>
  <c r="IF31" i="6"/>
  <c r="IF33" i="6"/>
  <c r="IF34" i="6"/>
  <c r="IF6" i="6"/>
  <c r="IF12" i="6"/>
  <c r="IF18" i="6"/>
  <c r="IF24" i="6"/>
  <c r="IF30" i="6"/>
  <c r="IF53" i="6"/>
  <c r="IF54" i="6"/>
  <c r="IF64" i="6"/>
  <c r="IF56" i="6"/>
  <c r="IF67" i="6"/>
  <c r="IF85" i="6"/>
  <c r="IF88" i="6"/>
  <c r="IF84" i="6"/>
  <c r="IF99" i="6"/>
  <c r="IF105" i="6"/>
  <c r="IF35" i="6"/>
  <c r="IF37" i="6"/>
  <c r="IF7" i="6"/>
  <c r="IF13" i="6"/>
  <c r="IF19" i="6"/>
  <c r="IF25" i="6"/>
  <c r="IF42" i="6"/>
  <c r="IF46" i="6"/>
  <c r="IF48" i="6"/>
  <c r="IF70" i="6"/>
  <c r="IF57" i="6"/>
  <c r="IF71" i="6"/>
  <c r="IF91" i="6"/>
  <c r="IF83" i="6"/>
  <c r="IF90" i="6"/>
  <c r="IF100" i="6"/>
  <c r="IF106" i="6"/>
  <c r="IF36" i="6"/>
  <c r="IF39" i="6"/>
  <c r="IF8" i="6"/>
  <c r="IF14" i="6"/>
  <c r="IF20" i="6"/>
  <c r="IF26" i="6"/>
  <c r="IF49" i="6"/>
  <c r="IF68" i="6"/>
  <c r="IF72" i="6"/>
  <c r="IF58" i="6"/>
  <c r="IF73" i="6"/>
  <c r="IF86" i="6"/>
  <c r="IF89" i="6"/>
  <c r="IF95" i="6"/>
  <c r="IF101" i="6"/>
  <c r="IF107" i="6"/>
  <c r="IG104" i="6"/>
  <c r="IG105" i="6"/>
  <c r="IH49" i="6"/>
  <c r="IH57" i="6"/>
  <c r="IH68" i="6"/>
  <c r="IH70" i="6"/>
  <c r="IH76" i="6"/>
  <c r="IH99" i="6"/>
  <c r="IH85" i="6"/>
  <c r="IH91" i="6"/>
  <c r="IH101" i="6"/>
  <c r="IH108" i="6"/>
  <c r="IH72" i="6"/>
  <c r="IH78" i="6"/>
  <c r="IH102" i="6"/>
  <c r="IH87" i="6"/>
  <c r="IH93" i="6"/>
  <c r="IH106" i="6"/>
  <c r="IH75" i="6"/>
  <c r="IH82" i="6"/>
  <c r="IH84" i="6"/>
  <c r="IH90" i="6"/>
  <c r="IH97" i="6"/>
  <c r="IJ104" i="6"/>
  <c r="IJ105" i="6"/>
  <c r="IJ108" i="6"/>
  <c r="HZ89" i="6"/>
  <c r="HZ2" i="6"/>
  <c r="HZ39" i="6"/>
  <c r="HZ40" i="6"/>
  <c r="HZ9" i="6"/>
  <c r="HZ15" i="6"/>
  <c r="HZ21" i="6"/>
  <c r="HZ27" i="6"/>
  <c r="HZ48" i="6"/>
  <c r="HZ56" i="6"/>
  <c r="HZ47" i="6"/>
  <c r="HZ62" i="6"/>
  <c r="HZ76" i="6"/>
  <c r="HZ72" i="6"/>
  <c r="HZ84" i="6"/>
  <c r="HZ93" i="6"/>
  <c r="HZ95" i="6"/>
  <c r="HZ101" i="6"/>
  <c r="HZ107" i="6"/>
  <c r="HZ106" i="6"/>
  <c r="HZ34" i="6"/>
  <c r="HZ37" i="6"/>
  <c r="HZ42" i="6"/>
  <c r="HZ10" i="6"/>
  <c r="HZ16" i="6"/>
  <c r="HZ22" i="6"/>
  <c r="HZ28" i="6"/>
  <c r="HZ51" i="6"/>
  <c r="HZ67" i="6"/>
  <c r="HZ69" i="6"/>
  <c r="HZ57" i="6"/>
  <c r="HZ66" i="6"/>
  <c r="HZ85" i="6"/>
  <c r="HZ88" i="6"/>
  <c r="HZ96" i="6"/>
  <c r="HZ102" i="6"/>
  <c r="HZ108" i="6"/>
  <c r="HZ3" i="6"/>
  <c r="HZ31" i="6"/>
  <c r="HZ5" i="6"/>
  <c r="HZ11" i="6"/>
  <c r="HZ17" i="6"/>
  <c r="HZ23" i="6"/>
  <c r="HZ29" i="6"/>
  <c r="HZ54" i="6"/>
  <c r="HZ45" i="6"/>
  <c r="HZ75" i="6"/>
  <c r="HZ79" i="6"/>
  <c r="HZ58" i="6"/>
  <c r="HZ74" i="6"/>
  <c r="HZ91" i="6"/>
  <c r="HZ81" i="6"/>
  <c r="HZ97" i="6"/>
  <c r="HZ103" i="6"/>
  <c r="HZ100" i="6"/>
  <c r="HZ32" i="6"/>
  <c r="HZ33" i="6"/>
  <c r="HZ6" i="6"/>
  <c r="HZ12" i="6"/>
  <c r="HZ18" i="6"/>
  <c r="HZ24" i="6"/>
  <c r="HZ30" i="6"/>
  <c r="HZ49" i="6"/>
  <c r="HZ46" i="6"/>
  <c r="HZ68" i="6"/>
  <c r="HZ90" i="6"/>
  <c r="HZ59" i="6"/>
  <c r="HZ77" i="6"/>
  <c r="HZ86" i="6"/>
  <c r="HZ82" i="6"/>
  <c r="HZ98" i="6"/>
  <c r="HZ104" i="6"/>
  <c r="HZ4" i="6"/>
  <c r="HZ36" i="6"/>
  <c r="HZ7" i="6"/>
  <c r="HZ13" i="6"/>
  <c r="HZ19" i="6"/>
  <c r="HZ25" i="6"/>
  <c r="HZ41" i="6"/>
  <c r="HZ52" i="6"/>
  <c r="HZ50" i="6"/>
  <c r="HZ71" i="6"/>
  <c r="HZ64" i="6"/>
  <c r="HZ60" i="6"/>
  <c r="HZ78" i="6"/>
  <c r="HZ92" i="6"/>
  <c r="HZ83" i="6"/>
  <c r="HZ99" i="6"/>
  <c r="HR13" i="6"/>
  <c r="HR42" i="6"/>
  <c r="HR78" i="6"/>
  <c r="HR11" i="6"/>
  <c r="HR77" i="6"/>
  <c r="HR79" i="6"/>
  <c r="HR18" i="6"/>
  <c r="HR49" i="6"/>
  <c r="HR84" i="6"/>
  <c r="HR24" i="6"/>
  <c r="HR55" i="6"/>
  <c r="HR98" i="6"/>
  <c r="HR30" i="6"/>
  <c r="HR62" i="6"/>
  <c r="HR104" i="6"/>
  <c r="HJ103" i="6"/>
  <c r="HJ93" i="6"/>
  <c r="HJ106" i="6"/>
  <c r="HJ88" i="6"/>
  <c r="HJ94" i="6"/>
  <c r="HJ96" i="6"/>
  <c r="HJ97" i="6"/>
  <c r="IG77" i="6"/>
  <c r="IG92" i="6"/>
  <c r="IG94" i="6"/>
  <c r="IG100" i="6"/>
  <c r="IJ95" i="6"/>
  <c r="IJ101" i="6"/>
  <c r="HK103" i="6"/>
  <c r="HK90" i="6"/>
  <c r="HK96" i="6"/>
  <c r="HK81" i="6"/>
  <c r="HK85" i="6"/>
  <c r="HK65" i="6"/>
  <c r="HK69" i="6"/>
  <c r="HK58" i="6"/>
  <c r="HK52" i="6"/>
  <c r="HK46" i="6"/>
  <c r="HK38" i="6"/>
  <c r="HK29" i="6"/>
  <c r="HK23" i="6"/>
  <c r="HK36" i="6"/>
  <c r="HK34" i="6"/>
  <c r="HK16" i="6"/>
  <c r="HK5" i="6"/>
  <c r="HK108" i="6"/>
  <c r="HK102" i="6"/>
  <c r="HK84" i="6"/>
  <c r="HK94" i="6"/>
  <c r="HK92" i="6"/>
  <c r="HK75" i="6"/>
  <c r="HK79" i="6"/>
  <c r="HK77" i="6"/>
  <c r="HK57" i="6"/>
  <c r="HK51" i="6"/>
  <c r="HK48" i="6"/>
  <c r="HK43" i="6"/>
  <c r="HK28" i="6"/>
  <c r="HK22" i="6"/>
  <c r="HK18" i="6"/>
  <c r="HK33" i="6"/>
  <c r="HK10" i="6"/>
  <c r="HK2" i="6"/>
  <c r="HK106" i="6"/>
  <c r="HK100" i="6"/>
  <c r="HK89" i="6"/>
  <c r="HK87" i="6"/>
  <c r="HK97" i="6"/>
  <c r="HK72" i="6"/>
  <c r="HK64" i="6"/>
  <c r="HK62" i="6"/>
  <c r="HK55" i="6"/>
  <c r="HK67" i="6"/>
  <c r="HK35" i="6"/>
  <c r="HK26" i="6"/>
  <c r="HK20" i="6"/>
  <c r="HK12" i="6"/>
  <c r="HK14" i="6"/>
  <c r="HK13" i="6"/>
  <c r="HK105" i="6"/>
  <c r="HK88" i="6"/>
  <c r="HK83" i="6"/>
  <c r="HK78" i="6"/>
  <c r="HK66" i="6"/>
  <c r="HK73" i="6"/>
  <c r="HK60" i="6"/>
  <c r="HK54" i="6"/>
  <c r="HK47" i="6"/>
  <c r="HK42" i="6"/>
  <c r="HK32" i="6"/>
  <c r="HK25" i="6"/>
  <c r="HK19" i="6"/>
  <c r="HK9" i="6"/>
  <c r="HK11" i="6"/>
  <c r="HK4" i="6"/>
  <c r="HP3" i="6"/>
  <c r="HP8" i="6"/>
  <c r="HP14" i="6"/>
  <c r="HP20" i="6"/>
  <c r="HP26" i="6"/>
  <c r="HP32" i="6"/>
  <c r="HP38" i="6"/>
  <c r="HP55" i="6"/>
  <c r="HP49" i="6"/>
  <c r="HP69" i="6"/>
  <c r="HP68" i="6"/>
  <c r="HP75" i="6"/>
  <c r="HP82" i="6"/>
  <c r="HP84" i="6"/>
  <c r="HP90" i="6"/>
  <c r="HP98" i="6"/>
  <c r="IC7" i="6"/>
  <c r="IC3" i="6"/>
  <c r="IC14" i="6"/>
  <c r="IC9" i="6"/>
  <c r="IC21" i="6"/>
  <c r="IC27" i="6"/>
  <c r="IC45" i="6"/>
  <c r="IC64" i="6"/>
  <c r="IC53" i="6"/>
  <c r="IC59" i="6"/>
  <c r="IC67" i="6"/>
  <c r="IC74" i="6"/>
  <c r="IC89" i="6"/>
  <c r="IC96" i="6"/>
  <c r="IC98" i="6"/>
  <c r="IC101" i="6"/>
  <c r="IC107" i="6"/>
  <c r="HW3" i="6"/>
  <c r="HW33" i="6"/>
  <c r="HW13" i="6"/>
  <c r="HW17" i="6"/>
  <c r="HW23" i="6"/>
  <c r="HW29" i="6"/>
  <c r="HW43" i="6"/>
  <c r="HW46" i="6"/>
  <c r="HW51" i="6"/>
  <c r="HW58" i="6"/>
  <c r="HW76" i="6"/>
  <c r="HW68" i="6"/>
  <c r="HW81" i="6"/>
  <c r="HW90" i="6"/>
  <c r="HW105" i="6"/>
  <c r="HQ37" i="6"/>
  <c r="HQ12" i="6"/>
  <c r="HQ34" i="6"/>
  <c r="HQ28" i="6"/>
  <c r="HQ49" i="6"/>
  <c r="HQ54" i="6"/>
  <c r="HQ72" i="6"/>
  <c r="HQ98" i="6"/>
  <c r="HQ99" i="6"/>
  <c r="HK3" i="6"/>
  <c r="HK39" i="6"/>
  <c r="HK40" i="6"/>
  <c r="HK59" i="6"/>
  <c r="HK91" i="6"/>
  <c r="HK95" i="6"/>
  <c r="HP4" i="6"/>
  <c r="HP9" i="6"/>
  <c r="HP15" i="6"/>
  <c r="HP21" i="6"/>
  <c r="HP27" i="6"/>
  <c r="HP33" i="6"/>
  <c r="HP39" i="6"/>
  <c r="HP45" i="6"/>
  <c r="HP47" i="6"/>
  <c r="HP57" i="6"/>
  <c r="HP64" i="6"/>
  <c r="HP102" i="6"/>
  <c r="HP76" i="6"/>
  <c r="HP83" i="6"/>
  <c r="HP85" i="6"/>
  <c r="HP91" i="6"/>
  <c r="HP101" i="6"/>
  <c r="HP107" i="6"/>
  <c r="IC13" i="6"/>
  <c r="IC4" i="6"/>
  <c r="IC17" i="6"/>
  <c r="IC12" i="6"/>
  <c r="IC22" i="6"/>
  <c r="IC28" i="6"/>
  <c r="IC40" i="6"/>
  <c r="IC46" i="6"/>
  <c r="IC70" i="6"/>
  <c r="IC54" i="6"/>
  <c r="IC60" i="6"/>
  <c r="IC71" i="6"/>
  <c r="IC76" i="6"/>
  <c r="IC81" i="6"/>
  <c r="IC85" i="6"/>
  <c r="IC87" i="6"/>
  <c r="IC102" i="6"/>
  <c r="IC108" i="6"/>
  <c r="HW6" i="6"/>
  <c r="HW2" i="6"/>
  <c r="HW16" i="6"/>
  <c r="HW32" i="6"/>
  <c r="HW24" i="6"/>
  <c r="HW30" i="6"/>
  <c r="HW45" i="6"/>
  <c r="HW47" i="6"/>
  <c r="HW52" i="6"/>
  <c r="HW59" i="6"/>
  <c r="HW65" i="6"/>
  <c r="HW71" i="6"/>
  <c r="HW82" i="6"/>
  <c r="HW85" i="6"/>
  <c r="HW99" i="6"/>
  <c r="HW107" i="6"/>
  <c r="HQ4" i="6"/>
  <c r="HQ15" i="6"/>
  <c r="HQ19" i="6"/>
  <c r="HQ30" i="6"/>
  <c r="HQ47" i="6"/>
  <c r="HQ56" i="6"/>
  <c r="HQ66" i="6"/>
  <c r="HQ93" i="6"/>
  <c r="HK7" i="6"/>
  <c r="HK21" i="6"/>
  <c r="HK45" i="6"/>
  <c r="HK68" i="6"/>
  <c r="HK86" i="6"/>
  <c r="HK101" i="6"/>
  <c r="ID104" i="6"/>
  <c r="ID98" i="6"/>
  <c r="ID86" i="6"/>
  <c r="ID82" i="6"/>
  <c r="ID88" i="6"/>
  <c r="ID75" i="6"/>
  <c r="ID58" i="6"/>
  <c r="ID52" i="6"/>
  <c r="ID46" i="6"/>
  <c r="ID72" i="6"/>
  <c r="ID42" i="6"/>
  <c r="ID36" i="6"/>
  <c r="ID30" i="6"/>
  <c r="ID24" i="6"/>
  <c r="ID17" i="6"/>
  <c r="ID7" i="6"/>
  <c r="ID8" i="6"/>
  <c r="ID103" i="6"/>
  <c r="ID97" i="6"/>
  <c r="ID91" i="6"/>
  <c r="ID81" i="6"/>
  <c r="ID93" i="6"/>
  <c r="ID73" i="6"/>
  <c r="ID57" i="6"/>
  <c r="ID51" i="6"/>
  <c r="ID70" i="6"/>
  <c r="ID69" i="6"/>
  <c r="ID41" i="6"/>
  <c r="ID35" i="6"/>
  <c r="ID29" i="6"/>
  <c r="ID23" i="6"/>
  <c r="ID14" i="6"/>
  <c r="ID4" i="6"/>
  <c r="ID15" i="6"/>
  <c r="ID108" i="6"/>
  <c r="ID102" i="6"/>
  <c r="ID96" i="6"/>
  <c r="ID85" i="6"/>
  <c r="ID79" i="6"/>
  <c r="ID77" i="6"/>
  <c r="ID66" i="6"/>
  <c r="ID56" i="6"/>
  <c r="ID50" i="6"/>
  <c r="ID64" i="6"/>
  <c r="ID62" i="6"/>
  <c r="ID40" i="6"/>
  <c r="ID34" i="6"/>
  <c r="ID28" i="6"/>
  <c r="ID22" i="6"/>
  <c r="ID11" i="6"/>
  <c r="ID3" i="6"/>
  <c r="ID12" i="6"/>
  <c r="ID107" i="6"/>
  <c r="ID101" i="6"/>
  <c r="ID95" i="6"/>
  <c r="ID94" i="6"/>
  <c r="ID78" i="6"/>
  <c r="ID71" i="6"/>
  <c r="ID65" i="6"/>
  <c r="ID55" i="6"/>
  <c r="ID49" i="6"/>
  <c r="ID87" i="6"/>
  <c r="ID45" i="6"/>
  <c r="ID39" i="6"/>
  <c r="ID33" i="6"/>
  <c r="ID27" i="6"/>
  <c r="ID21" i="6"/>
  <c r="ID16" i="6"/>
  <c r="ID2" i="6"/>
  <c r="ID9" i="6"/>
  <c r="ID106" i="6"/>
  <c r="ID100" i="6"/>
  <c r="ID90" i="6"/>
  <c r="ID89" i="6"/>
  <c r="ID68" i="6"/>
  <c r="ID60" i="6"/>
  <c r="ID54" i="6"/>
  <c r="ID48" i="6"/>
  <c r="ID76" i="6"/>
  <c r="ID38" i="6"/>
  <c r="ID32" i="6"/>
  <c r="ID26" i="6"/>
  <c r="ID20" i="6"/>
  <c r="ID13" i="6"/>
  <c r="ID5" i="6"/>
  <c r="ID6" i="6"/>
  <c r="ID105" i="6"/>
  <c r="ID99" i="6"/>
  <c r="ID92" i="6"/>
  <c r="ID84" i="6"/>
  <c r="ID83" i="6"/>
  <c r="ID67" i="6"/>
  <c r="ID59" i="6"/>
  <c r="ID53" i="6"/>
  <c r="ID47" i="6"/>
  <c r="ID74" i="6"/>
  <c r="ID43" i="6"/>
  <c r="ID37" i="6"/>
  <c r="ID31" i="6"/>
  <c r="ID25" i="6"/>
  <c r="ID19" i="6"/>
  <c r="ID10" i="6"/>
  <c r="ID18" i="6"/>
  <c r="HP5" i="6"/>
  <c r="HP10" i="6"/>
  <c r="HP16" i="6"/>
  <c r="HP22" i="6"/>
  <c r="HP28" i="6"/>
  <c r="HP34" i="6"/>
  <c r="HP40" i="6"/>
  <c r="HP46" i="6"/>
  <c r="HP48" i="6"/>
  <c r="HP58" i="6"/>
  <c r="HP70" i="6"/>
  <c r="HP71" i="6"/>
  <c r="HP77" i="6"/>
  <c r="HP103" i="6"/>
  <c r="HP86" i="6"/>
  <c r="HP92" i="6"/>
  <c r="HP104" i="6"/>
  <c r="HP108" i="6"/>
  <c r="IC8" i="6"/>
  <c r="IC10" i="6"/>
  <c r="IC36" i="6"/>
  <c r="IC15" i="6"/>
  <c r="IC23" i="6"/>
  <c r="IC29" i="6"/>
  <c r="IC42" i="6"/>
  <c r="IC62" i="6"/>
  <c r="IC77" i="6"/>
  <c r="IC55" i="6"/>
  <c r="IC65" i="6"/>
  <c r="IC79" i="6"/>
  <c r="IC72" i="6"/>
  <c r="IC82" i="6"/>
  <c r="IC91" i="6"/>
  <c r="IC93" i="6"/>
  <c r="IC103" i="6"/>
  <c r="HW10" i="6"/>
  <c r="HW9" i="6"/>
  <c r="HW5" i="6"/>
  <c r="HW19" i="6"/>
  <c r="HW25" i="6"/>
  <c r="HW31" i="6"/>
  <c r="HW38" i="6"/>
  <c r="HW48" i="6"/>
  <c r="HW53" i="6"/>
  <c r="HW64" i="6"/>
  <c r="HW66" i="6"/>
  <c r="HW77" i="6"/>
  <c r="HW83" i="6"/>
  <c r="HW91" i="6"/>
  <c r="HW101" i="6"/>
  <c r="HW108" i="6"/>
  <c r="HQ8" i="6"/>
  <c r="HQ31" i="6"/>
  <c r="HQ21" i="6"/>
  <c r="HQ33" i="6"/>
  <c r="HQ48" i="6"/>
  <c r="HQ57" i="6"/>
  <c r="HQ78" i="6"/>
  <c r="HQ81" i="6"/>
  <c r="HQ102" i="6"/>
  <c r="HK31" i="6"/>
  <c r="HK24" i="6"/>
  <c r="HK49" i="6"/>
  <c r="HK71" i="6"/>
  <c r="HK82" i="6"/>
  <c r="HK104" i="6"/>
  <c r="II107" i="6"/>
  <c r="II101" i="6"/>
  <c r="II93" i="6"/>
  <c r="II85" i="6"/>
  <c r="II95" i="6"/>
  <c r="II79" i="6"/>
  <c r="II77" i="6"/>
  <c r="II66" i="6"/>
  <c r="II55" i="6"/>
  <c r="II49" i="6"/>
  <c r="II46" i="6"/>
  <c r="II43" i="6"/>
  <c r="II28" i="6"/>
  <c r="II22" i="6"/>
  <c r="II13" i="6"/>
  <c r="II15" i="6"/>
  <c r="II14" i="6"/>
  <c r="II5" i="6"/>
  <c r="II106" i="6"/>
  <c r="II100" i="6"/>
  <c r="II87" i="6"/>
  <c r="II82" i="6"/>
  <c r="II94" i="6"/>
  <c r="II64" i="6"/>
  <c r="II76" i="6"/>
  <c r="II60" i="6"/>
  <c r="II54" i="6"/>
  <c r="II75" i="6"/>
  <c r="II42" i="6"/>
  <c r="II41" i="6"/>
  <c r="II27" i="6"/>
  <c r="II21" i="6"/>
  <c r="II10" i="6"/>
  <c r="II12" i="6"/>
  <c r="II9" i="6"/>
  <c r="II11" i="6"/>
  <c r="II105" i="6"/>
  <c r="II99" i="6"/>
  <c r="II92" i="6"/>
  <c r="II81" i="6"/>
  <c r="II78" i="6"/>
  <c r="II72" i="6"/>
  <c r="II74" i="6"/>
  <c r="II59" i="6"/>
  <c r="II53" i="6"/>
  <c r="II65" i="6"/>
  <c r="II40" i="6"/>
  <c r="II39" i="6"/>
  <c r="II26" i="6"/>
  <c r="II20" i="6"/>
  <c r="II7" i="6"/>
  <c r="II32" i="6"/>
  <c r="II4" i="6"/>
  <c r="II104" i="6"/>
  <c r="II86" i="6"/>
  <c r="II90" i="6"/>
  <c r="II89" i="6"/>
  <c r="II70" i="6"/>
  <c r="II68" i="6"/>
  <c r="II58" i="6"/>
  <c r="II52" i="6"/>
  <c r="II48" i="6"/>
  <c r="II38" i="6"/>
  <c r="II36" i="6"/>
  <c r="II25" i="6"/>
  <c r="II19" i="6"/>
  <c r="II35" i="6"/>
  <c r="II17" i="6"/>
  <c r="II2" i="6"/>
  <c r="II103" i="6"/>
  <c r="II88" i="6"/>
  <c r="II97" i="6"/>
  <c r="II84" i="6"/>
  <c r="II83" i="6"/>
  <c r="II69" i="6"/>
  <c r="II67" i="6"/>
  <c r="II57" i="6"/>
  <c r="II51" i="6"/>
  <c r="II47" i="6"/>
  <c r="II30" i="6"/>
  <c r="II33" i="6"/>
  <c r="II24" i="6"/>
  <c r="II37" i="6"/>
  <c r="II34" i="6"/>
  <c r="II8" i="6"/>
  <c r="II6" i="6"/>
  <c r="II108" i="6"/>
  <c r="II102" i="6"/>
  <c r="II96" i="6"/>
  <c r="II91" i="6"/>
  <c r="II98" i="6"/>
  <c r="II73" i="6"/>
  <c r="II62" i="6"/>
  <c r="II71" i="6"/>
  <c r="II56" i="6"/>
  <c r="II50" i="6"/>
  <c r="II45" i="6"/>
  <c r="II29" i="6"/>
  <c r="II23" i="6"/>
  <c r="II16" i="6"/>
  <c r="II18" i="6"/>
  <c r="II3" i="6"/>
  <c r="II31" i="6"/>
  <c r="HK8" i="6"/>
  <c r="HX106" i="6"/>
  <c r="HX100" i="6"/>
  <c r="HX89" i="6"/>
  <c r="HX88" i="6"/>
  <c r="HX75" i="6"/>
  <c r="HX65" i="6"/>
  <c r="HX59" i="6"/>
  <c r="HX53" i="6"/>
  <c r="HX47" i="6"/>
  <c r="HX38" i="6"/>
  <c r="HX32" i="6"/>
  <c r="HX26" i="6"/>
  <c r="HX20" i="6"/>
  <c r="HX15" i="6"/>
  <c r="HX2" i="6"/>
  <c r="HX14" i="6"/>
  <c r="HX105" i="6"/>
  <c r="HX99" i="6"/>
  <c r="HX94" i="6"/>
  <c r="HX83" i="6"/>
  <c r="HX93" i="6"/>
  <c r="HX73" i="6"/>
  <c r="HX74" i="6"/>
  <c r="HX58" i="6"/>
  <c r="HX52" i="6"/>
  <c r="HX69" i="6"/>
  <c r="HX43" i="6"/>
  <c r="HX37" i="6"/>
  <c r="HX31" i="6"/>
  <c r="HX25" i="6"/>
  <c r="HX19" i="6"/>
  <c r="HX12" i="6"/>
  <c r="HX7" i="6"/>
  <c r="HX104" i="6"/>
  <c r="HX98" i="6"/>
  <c r="HX91" i="6"/>
  <c r="HX82" i="6"/>
  <c r="HX87" i="6"/>
  <c r="HX71" i="6"/>
  <c r="HX72" i="6"/>
  <c r="HX57" i="6"/>
  <c r="HX51" i="6"/>
  <c r="HX62" i="6"/>
  <c r="HX42" i="6"/>
  <c r="HX36" i="6"/>
  <c r="HX30" i="6"/>
  <c r="HX24" i="6"/>
  <c r="HX16" i="6"/>
  <c r="HX9" i="6"/>
  <c r="HX11" i="6"/>
  <c r="HX103" i="6"/>
  <c r="HX97" i="6"/>
  <c r="HX85" i="6"/>
  <c r="HX81" i="6"/>
  <c r="HX92" i="6"/>
  <c r="HX67" i="6"/>
  <c r="HX70" i="6"/>
  <c r="HX56" i="6"/>
  <c r="HX50" i="6"/>
  <c r="HX68" i="6"/>
  <c r="HX41" i="6"/>
  <c r="HX35" i="6"/>
  <c r="HX29" i="6"/>
  <c r="HX23" i="6"/>
  <c r="HX13" i="6"/>
  <c r="HX6" i="6"/>
  <c r="HX17" i="6"/>
  <c r="HX108" i="6"/>
  <c r="HX102" i="6"/>
  <c r="HX96" i="6"/>
  <c r="HX90" i="6"/>
  <c r="HX79" i="6"/>
  <c r="HX86" i="6"/>
  <c r="HX66" i="6"/>
  <c r="HX64" i="6"/>
  <c r="HX55" i="6"/>
  <c r="HX49" i="6"/>
  <c r="HX46" i="6"/>
  <c r="HX40" i="6"/>
  <c r="HX34" i="6"/>
  <c r="HX28" i="6"/>
  <c r="HX22" i="6"/>
  <c r="HX10" i="6"/>
  <c r="HX4" i="6"/>
  <c r="HX5" i="6"/>
  <c r="HX107" i="6"/>
  <c r="HX101" i="6"/>
  <c r="HX95" i="6"/>
  <c r="HX84" i="6"/>
  <c r="HX78" i="6"/>
  <c r="HX76" i="6"/>
  <c r="HX77" i="6"/>
  <c r="HX60" i="6"/>
  <c r="HX54" i="6"/>
  <c r="HX48" i="6"/>
  <c r="HX45" i="6"/>
  <c r="HX39" i="6"/>
  <c r="HX33" i="6"/>
  <c r="HX27" i="6"/>
  <c r="HX21" i="6"/>
  <c r="HX18" i="6"/>
  <c r="HX3" i="6"/>
  <c r="HX8" i="6"/>
  <c r="HP2" i="6"/>
  <c r="HP11" i="6"/>
  <c r="HP17" i="6"/>
  <c r="HP23" i="6"/>
  <c r="HP29" i="6"/>
  <c r="HP35" i="6"/>
  <c r="HP41" i="6"/>
  <c r="HP51" i="6"/>
  <c r="HP50" i="6"/>
  <c r="HP59" i="6"/>
  <c r="HP65" i="6"/>
  <c r="HP72" i="6"/>
  <c r="HP78" i="6"/>
  <c r="HP105" i="6"/>
  <c r="HP87" i="6"/>
  <c r="HP93" i="6"/>
  <c r="HP95" i="6"/>
  <c r="IC16" i="6"/>
  <c r="IC33" i="6"/>
  <c r="IC38" i="6"/>
  <c r="IC18" i="6"/>
  <c r="IC24" i="6"/>
  <c r="IC30" i="6"/>
  <c r="IC39" i="6"/>
  <c r="IC47" i="6"/>
  <c r="IC50" i="6"/>
  <c r="IC56" i="6"/>
  <c r="IC66" i="6"/>
  <c r="IC68" i="6"/>
  <c r="IC88" i="6"/>
  <c r="IC84" i="6"/>
  <c r="IC86" i="6"/>
  <c r="IC104" i="6"/>
  <c r="HW18" i="6"/>
  <c r="HW12" i="6"/>
  <c r="HW8" i="6"/>
  <c r="HW20" i="6"/>
  <c r="HW26" i="6"/>
  <c r="HW34" i="6"/>
  <c r="HW40" i="6"/>
  <c r="HW49" i="6"/>
  <c r="HW55" i="6"/>
  <c r="HW70" i="6"/>
  <c r="HW67" i="6"/>
  <c r="HW79" i="6"/>
  <c r="HW89" i="6"/>
  <c r="HW97" i="6"/>
  <c r="HW102" i="6"/>
  <c r="HQ9" i="6"/>
  <c r="HQ32" i="6"/>
  <c r="HQ22" i="6"/>
  <c r="HQ40" i="6"/>
  <c r="HQ73" i="6"/>
  <c r="HQ60" i="6"/>
  <c r="HQ79" i="6"/>
  <c r="HQ88" i="6"/>
  <c r="HQ105" i="6"/>
  <c r="HK17" i="6"/>
  <c r="HK27" i="6"/>
  <c r="HK50" i="6"/>
  <c r="HK70" i="6"/>
  <c r="HK93" i="6"/>
  <c r="HK107" i="6"/>
  <c r="HW106" i="6"/>
  <c r="HW100" i="6"/>
  <c r="HW94" i="6"/>
  <c r="HW95" i="6"/>
  <c r="HW96" i="6"/>
  <c r="HW93" i="6"/>
  <c r="HW78" i="6"/>
  <c r="HW60" i="6"/>
  <c r="HW54" i="6"/>
  <c r="HW62" i="6"/>
  <c r="HQ2" i="6"/>
  <c r="HQ17" i="6"/>
  <c r="HP6" i="6"/>
  <c r="HP12" i="6"/>
  <c r="HP18" i="6"/>
  <c r="HP24" i="6"/>
  <c r="HP30" i="6"/>
  <c r="HP36" i="6"/>
  <c r="HP42" i="6"/>
  <c r="HP54" i="6"/>
  <c r="HP53" i="6"/>
  <c r="HP60" i="6"/>
  <c r="HP66" i="6"/>
  <c r="HP73" i="6"/>
  <c r="HP79" i="6"/>
  <c r="HP106" i="6"/>
  <c r="HP88" i="6"/>
  <c r="HP94" i="6"/>
  <c r="HP97" i="6"/>
  <c r="IC2" i="6"/>
  <c r="IC34" i="6"/>
  <c r="IC37" i="6"/>
  <c r="IC19" i="6"/>
  <c r="IC25" i="6"/>
  <c r="IC32" i="6"/>
  <c r="IC41" i="6"/>
  <c r="IC48" i="6"/>
  <c r="IC51" i="6"/>
  <c r="IC57" i="6"/>
  <c r="IC73" i="6"/>
  <c r="IC78" i="6"/>
  <c r="IC97" i="6"/>
  <c r="IC90" i="6"/>
  <c r="IC92" i="6"/>
  <c r="IC99" i="6"/>
  <c r="IC105" i="6"/>
  <c r="HW4" i="6"/>
  <c r="HW35" i="6"/>
  <c r="HW39" i="6"/>
  <c r="HW11" i="6"/>
  <c r="HW21" i="6"/>
  <c r="HW27" i="6"/>
  <c r="HW37" i="6"/>
  <c r="HW42" i="6"/>
  <c r="HW69" i="6"/>
  <c r="HW56" i="6"/>
  <c r="HW72" i="6"/>
  <c r="HW73" i="6"/>
  <c r="HW87" i="6"/>
  <c r="HW98" i="6"/>
  <c r="HW86" i="6"/>
  <c r="HW103" i="6"/>
  <c r="HQ38" i="6"/>
  <c r="HQ10" i="6"/>
  <c r="HQ24" i="6"/>
  <c r="HQ50" i="6"/>
  <c r="HQ69" i="6"/>
  <c r="HQ95" i="6"/>
  <c r="HQ89" i="6"/>
  <c r="HK6" i="6"/>
  <c r="HK30" i="6"/>
  <c r="HK53" i="6"/>
  <c r="HK76" i="6"/>
  <c r="HK99" i="6"/>
  <c r="HQ107" i="6"/>
  <c r="HQ101" i="6"/>
  <c r="HQ96" i="6"/>
  <c r="HQ83" i="6"/>
  <c r="HQ94" i="6"/>
  <c r="HQ77" i="6"/>
  <c r="HQ65" i="6"/>
  <c r="HQ59" i="6"/>
  <c r="HQ53" i="6"/>
  <c r="HQ71" i="6"/>
  <c r="HQ43" i="6"/>
  <c r="HQ45" i="6"/>
  <c r="HQ27" i="6"/>
  <c r="HQ106" i="6"/>
  <c r="HQ100" i="6"/>
  <c r="HQ90" i="6"/>
  <c r="HQ82" i="6"/>
  <c r="HQ92" i="6"/>
  <c r="HQ67" i="6"/>
  <c r="HQ70" i="6"/>
  <c r="HQ58" i="6"/>
  <c r="HQ52" i="6"/>
  <c r="HQ68" i="6"/>
  <c r="HQ41" i="6"/>
  <c r="HQ36" i="6"/>
  <c r="HQ26" i="6"/>
  <c r="HQ20" i="6"/>
  <c r="HQ7" i="6"/>
  <c r="HQ14" i="6"/>
  <c r="HQ35" i="6"/>
  <c r="HQ104" i="6"/>
  <c r="HQ91" i="6"/>
  <c r="HQ103" i="6"/>
  <c r="HQ85" i="6"/>
  <c r="HQ97" i="6"/>
  <c r="HQ87" i="6"/>
  <c r="HQ86" i="6"/>
  <c r="HQ74" i="6"/>
  <c r="HQ62" i="6"/>
  <c r="HQ55" i="6"/>
  <c r="HQ75" i="6"/>
  <c r="HQ46" i="6"/>
  <c r="HQ42" i="6"/>
  <c r="HQ29" i="6"/>
  <c r="HQ23" i="6"/>
  <c r="HQ16" i="6"/>
  <c r="HQ18" i="6"/>
  <c r="HQ11" i="6"/>
  <c r="HQ6" i="6"/>
  <c r="IB108" i="6"/>
  <c r="IB107" i="6"/>
  <c r="IB97" i="6"/>
  <c r="IB95" i="6"/>
  <c r="IB106" i="6"/>
  <c r="IB103" i="6"/>
  <c r="IB100" i="6"/>
  <c r="IB98" i="6"/>
  <c r="IB96" i="6"/>
  <c r="IB94" i="6"/>
  <c r="IB93" i="6"/>
  <c r="IB92" i="6"/>
  <c r="IB91" i="6"/>
  <c r="IB90" i="6"/>
  <c r="IB89" i="6"/>
  <c r="IB88" i="6"/>
  <c r="IB87" i="6"/>
  <c r="IB86" i="6"/>
  <c r="IB85" i="6"/>
  <c r="IB84" i="6"/>
  <c r="IB83" i="6"/>
  <c r="IB105" i="6"/>
  <c r="IB104" i="6"/>
  <c r="IB102" i="6"/>
  <c r="IB101" i="6"/>
  <c r="IB99" i="6"/>
  <c r="IB82" i="6"/>
  <c r="IB81" i="6"/>
  <c r="IB79" i="6"/>
  <c r="IB78" i="6"/>
  <c r="IB77" i="6"/>
  <c r="IB76" i="6"/>
  <c r="IB75" i="6"/>
  <c r="IB74" i="6"/>
  <c r="IB73" i="6"/>
  <c r="IB72" i="6"/>
  <c r="IB71" i="6"/>
  <c r="IB70" i="6"/>
  <c r="IB69" i="6"/>
  <c r="IB62" i="6"/>
  <c r="IB68" i="6"/>
  <c r="IB67" i="6"/>
  <c r="IB66" i="6"/>
  <c r="IB65" i="6"/>
  <c r="IB60" i="6"/>
  <c r="IB59" i="6"/>
  <c r="IB58" i="6"/>
  <c r="IB57" i="6"/>
  <c r="IB64" i="6"/>
  <c r="IB56" i="6"/>
  <c r="IB55" i="6"/>
  <c r="IB52" i="6"/>
  <c r="IB49" i="6"/>
  <c r="IB54" i="6"/>
  <c r="IB51" i="6"/>
  <c r="IB48" i="6"/>
  <c r="IB47" i="6"/>
  <c r="IB53" i="6"/>
  <c r="IB50" i="6"/>
  <c r="IB46" i="6"/>
  <c r="IB45" i="6"/>
  <c r="IB43" i="6"/>
  <c r="IB42" i="6"/>
  <c r="IB41" i="6"/>
  <c r="IB40" i="6"/>
  <c r="IB39" i="6"/>
  <c r="IB38" i="6"/>
  <c r="IB37" i="6"/>
  <c r="IB36" i="6"/>
  <c r="IB35" i="6"/>
  <c r="IB34" i="6"/>
  <c r="IB33" i="6"/>
  <c r="IB32" i="6"/>
  <c r="IB31" i="6"/>
  <c r="IB30" i="6"/>
  <c r="IB29" i="6"/>
  <c r="IB28" i="6"/>
  <c r="IB27" i="6"/>
  <c r="IB26" i="6"/>
  <c r="IB25" i="6"/>
  <c r="IB24" i="6"/>
  <c r="IB23" i="6"/>
  <c r="IB22" i="6"/>
  <c r="IB21" i="6"/>
  <c r="IB20" i="6"/>
  <c r="IB19" i="6"/>
  <c r="IB18" i="6"/>
  <c r="IB17" i="6"/>
  <c r="IB16" i="6"/>
  <c r="IB15" i="6"/>
  <c r="IB14" i="6"/>
  <c r="IB13" i="6"/>
  <c r="IB12" i="6"/>
  <c r="IB11" i="6"/>
  <c r="IB10" i="6"/>
  <c r="IB9" i="6"/>
  <c r="IB8" i="6"/>
  <c r="IB7" i="6"/>
  <c r="IB6" i="6"/>
  <c r="IB5" i="6"/>
  <c r="IB4" i="6"/>
  <c r="IB3" i="6"/>
  <c r="IB2" i="6"/>
  <c r="HP7" i="6"/>
  <c r="HP13" i="6"/>
  <c r="HP19" i="6"/>
  <c r="HP25" i="6"/>
  <c r="HP31" i="6"/>
  <c r="HP37" i="6"/>
  <c r="HP43" i="6"/>
  <c r="HP52" i="6"/>
  <c r="HP56" i="6"/>
  <c r="HP62" i="6"/>
  <c r="HP67" i="6"/>
  <c r="HP74" i="6"/>
  <c r="HP81" i="6"/>
  <c r="HP100" i="6"/>
  <c r="HP89" i="6"/>
  <c r="HP96" i="6"/>
  <c r="HL105" i="6"/>
  <c r="HL99" i="6"/>
  <c r="HL89" i="6"/>
  <c r="HL82" i="6"/>
  <c r="HL85" i="6"/>
  <c r="HL70" i="6"/>
  <c r="HL75" i="6"/>
  <c r="HL57" i="6"/>
  <c r="HL51" i="6"/>
  <c r="HL67" i="6"/>
  <c r="HL43" i="6"/>
  <c r="HL37" i="6"/>
  <c r="HL31" i="6"/>
  <c r="HL25" i="6"/>
  <c r="HL17" i="6"/>
  <c r="HL7" i="6"/>
  <c r="HL6" i="6"/>
  <c r="HL104" i="6"/>
  <c r="HL98" i="6"/>
  <c r="HL88" i="6"/>
  <c r="HL81" i="6"/>
  <c r="HL90" i="6"/>
  <c r="HL64" i="6"/>
  <c r="HL68" i="6"/>
  <c r="HL56" i="6"/>
  <c r="HL50" i="6"/>
  <c r="HL72" i="6"/>
  <c r="HL42" i="6"/>
  <c r="HL36" i="6"/>
  <c r="HL30" i="6"/>
  <c r="HL24" i="6"/>
  <c r="HL14" i="6"/>
  <c r="HL5" i="6"/>
  <c r="HL12" i="6"/>
  <c r="HL103" i="6"/>
  <c r="HL97" i="6"/>
  <c r="HL94" i="6"/>
  <c r="HL79" i="6"/>
  <c r="HL84" i="6"/>
  <c r="HL73" i="6"/>
  <c r="HL62" i="6"/>
  <c r="HL55" i="6"/>
  <c r="HL49" i="6"/>
  <c r="HL66" i="6"/>
  <c r="HL41" i="6"/>
  <c r="HL35" i="6"/>
  <c r="HL29" i="6"/>
  <c r="HL23" i="6"/>
  <c r="HL11" i="6"/>
  <c r="HL4" i="6"/>
  <c r="HL19" i="6"/>
  <c r="HL108" i="6"/>
  <c r="HL102" i="6"/>
  <c r="HL96" i="6"/>
  <c r="HL93" i="6"/>
  <c r="HL92" i="6"/>
  <c r="HL74" i="6"/>
  <c r="HL71" i="6"/>
  <c r="HL60" i="6"/>
  <c r="HL54" i="6"/>
  <c r="HL48" i="6"/>
  <c r="HL46" i="6"/>
  <c r="HL40" i="6"/>
  <c r="HL34" i="6"/>
  <c r="HL28" i="6"/>
  <c r="HL22" i="6"/>
  <c r="HL16" i="6"/>
  <c r="HL3" i="6"/>
  <c r="HL9" i="6"/>
  <c r="HL107" i="6"/>
  <c r="HL101" i="6"/>
  <c r="HL95" i="6"/>
  <c r="HL87" i="6"/>
  <c r="HL86" i="6"/>
  <c r="HL76" i="6"/>
  <c r="HL69" i="6"/>
  <c r="HL59" i="6"/>
  <c r="HL53" i="6"/>
  <c r="HL47" i="6"/>
  <c r="HL45" i="6"/>
  <c r="HL39" i="6"/>
  <c r="HL33" i="6"/>
  <c r="HL27" i="6"/>
  <c r="HL21" i="6"/>
  <c r="HL13" i="6"/>
  <c r="HL2" i="6"/>
  <c r="HL18" i="6"/>
  <c r="HL106" i="6"/>
  <c r="HL100" i="6"/>
  <c r="HL83" i="6"/>
  <c r="HL91" i="6"/>
  <c r="HL65" i="6"/>
  <c r="HL77" i="6"/>
  <c r="HL58" i="6"/>
  <c r="HL52" i="6"/>
  <c r="HL78" i="6"/>
  <c r="HL38" i="6"/>
  <c r="HL32" i="6"/>
  <c r="HL26" i="6"/>
  <c r="HL20" i="6"/>
  <c r="HL10" i="6"/>
  <c r="HL15" i="6"/>
  <c r="HL8" i="6"/>
  <c r="IC31" i="6"/>
  <c r="IC5" i="6"/>
  <c r="IC11" i="6"/>
  <c r="IC6" i="6"/>
  <c r="IC20" i="6"/>
  <c r="IC26" i="6"/>
  <c r="IC35" i="6"/>
  <c r="IC43" i="6"/>
  <c r="IC49" i="6"/>
  <c r="IC52" i="6"/>
  <c r="IC58" i="6"/>
  <c r="IC75" i="6"/>
  <c r="IC69" i="6"/>
  <c r="IC83" i="6"/>
  <c r="IC94" i="6"/>
  <c r="IC95" i="6"/>
  <c r="IC100" i="6"/>
  <c r="HW15" i="6"/>
  <c r="HW7" i="6"/>
  <c r="HW36" i="6"/>
  <c r="HW14" i="6"/>
  <c r="HW22" i="6"/>
  <c r="HW28" i="6"/>
  <c r="HW41" i="6"/>
  <c r="HW50" i="6"/>
  <c r="HW57" i="6"/>
  <c r="HW74" i="6"/>
  <c r="HW75" i="6"/>
  <c r="HW88" i="6"/>
  <c r="HW84" i="6"/>
  <c r="HW92" i="6"/>
  <c r="HW104" i="6"/>
  <c r="HQ3" i="6"/>
  <c r="HQ5" i="6"/>
  <c r="HQ13" i="6"/>
  <c r="HQ25" i="6"/>
  <c r="HQ39" i="6"/>
  <c r="HQ51" i="6"/>
  <c r="HQ64" i="6"/>
  <c r="HQ76" i="6"/>
  <c r="HQ84" i="6"/>
  <c r="HK37" i="6"/>
  <c r="HK15" i="6"/>
  <c r="HK41" i="6"/>
  <c r="HK56" i="6"/>
  <c r="HK74" i="6"/>
  <c r="HK98" i="6"/>
  <c r="HO108" i="6"/>
  <c r="HO107" i="6"/>
  <c r="HO106" i="6"/>
  <c r="HO105" i="6"/>
  <c r="HO104" i="6"/>
  <c r="HO103" i="6"/>
  <c r="HO102" i="6"/>
  <c r="HO101" i="6"/>
  <c r="HO100" i="6"/>
  <c r="HO99" i="6"/>
  <c r="HO98" i="6"/>
  <c r="HO97" i="6"/>
  <c r="HO96" i="6"/>
  <c r="HO95" i="6"/>
  <c r="HO94" i="6"/>
  <c r="HO92" i="6"/>
  <c r="HO86" i="6"/>
  <c r="HO91" i="6"/>
  <c r="HO85" i="6"/>
  <c r="HO90" i="6"/>
  <c r="HO84" i="6"/>
  <c r="HO89" i="6"/>
  <c r="HO88" i="6"/>
  <c r="HO93" i="6"/>
  <c r="HO83" i="6"/>
  <c r="HO79" i="6"/>
  <c r="HO87" i="6"/>
  <c r="HO81" i="6"/>
  <c r="HO77" i="6"/>
  <c r="HO71" i="6"/>
  <c r="HO75" i="6"/>
  <c r="HO73" i="6"/>
  <c r="HO69" i="6"/>
  <c r="HO68" i="6"/>
  <c r="HO78" i="6"/>
  <c r="HO67" i="6"/>
  <c r="HO82" i="6"/>
  <c r="HO76" i="6"/>
  <c r="HO74" i="6"/>
  <c r="HO72" i="6"/>
  <c r="HO66" i="6"/>
  <c r="HO65" i="6"/>
  <c r="HO70" i="6"/>
  <c r="HO64" i="6"/>
  <c r="HO62" i="6"/>
  <c r="HO54" i="6"/>
  <c r="HO51" i="6"/>
  <c r="HO46" i="6"/>
  <c r="HO45" i="6"/>
  <c r="HO43" i="6"/>
  <c r="HO42" i="6"/>
  <c r="HO41" i="6"/>
  <c r="HO40" i="6"/>
  <c r="HO39" i="6"/>
  <c r="HO38" i="6"/>
  <c r="HO49" i="6"/>
  <c r="HO57" i="6"/>
  <c r="HO56" i="6"/>
  <c r="HO53" i="6"/>
  <c r="HO50" i="6"/>
  <c r="HO48" i="6"/>
  <c r="HO58" i="6"/>
  <c r="HO47" i="6"/>
  <c r="HO59" i="6"/>
  <c r="HO55" i="6"/>
  <c r="HO52" i="6"/>
  <c r="HO60" i="6"/>
  <c r="HO36" i="6"/>
  <c r="HO33" i="6"/>
  <c r="HO35" i="6"/>
  <c r="HO32" i="6"/>
  <c r="HO37" i="6"/>
  <c r="HO34" i="6"/>
  <c r="HO31" i="6"/>
  <c r="HO5" i="6"/>
  <c r="HO28" i="6"/>
  <c r="HO25" i="6"/>
  <c r="HO22" i="6"/>
  <c r="HO16" i="6"/>
  <c r="HO13" i="6"/>
  <c r="HO10" i="6"/>
  <c r="HO19" i="6"/>
  <c r="HO29" i="6"/>
  <c r="HO26" i="6"/>
  <c r="HO23" i="6"/>
  <c r="HO20" i="6"/>
  <c r="HO18" i="6"/>
  <c r="HO15" i="6"/>
  <c r="HO12" i="6"/>
  <c r="HO9" i="6"/>
  <c r="HO6" i="6"/>
  <c r="HO3" i="6"/>
  <c r="HO27" i="6"/>
  <c r="HO14" i="6"/>
  <c r="HO2" i="6"/>
  <c r="HO30" i="6"/>
  <c r="HO21" i="6"/>
  <c r="HO11" i="6"/>
  <c r="HO8" i="6"/>
  <c r="HO24" i="6"/>
  <c r="HO4" i="6"/>
  <c r="HO7" i="6"/>
  <c r="HO17" i="6"/>
  <c r="HR2" i="6"/>
  <c r="HR14" i="6"/>
  <c r="HR19" i="6"/>
  <c r="HR25" i="6"/>
  <c r="HR31" i="6"/>
  <c r="HR37" i="6"/>
  <c r="HR43" i="6"/>
  <c r="HR68" i="6"/>
  <c r="HR50" i="6"/>
  <c r="HR56" i="6"/>
  <c r="HR69" i="6"/>
  <c r="HR74" i="6"/>
  <c r="HR86" i="6"/>
  <c r="HR81" i="6"/>
  <c r="HR90" i="6"/>
  <c r="HR99" i="6"/>
  <c r="HR105" i="6"/>
  <c r="IA29" i="6"/>
  <c r="IA23" i="6"/>
  <c r="IA17" i="6"/>
  <c r="IA12" i="6"/>
  <c r="IA30" i="6"/>
  <c r="IA37" i="6"/>
  <c r="IA54" i="6"/>
  <c r="IA56" i="6"/>
  <c r="IA42" i="6"/>
  <c r="IA53" i="6"/>
  <c r="IA71" i="6"/>
  <c r="IA74" i="6"/>
  <c r="IA79" i="6"/>
  <c r="IA90" i="6"/>
  <c r="IA87" i="6"/>
  <c r="IA97" i="6"/>
  <c r="IA103" i="6"/>
  <c r="HR10" i="6"/>
  <c r="HR3" i="6"/>
  <c r="HR17" i="6"/>
  <c r="HR20" i="6"/>
  <c r="HR26" i="6"/>
  <c r="HR32" i="6"/>
  <c r="HR38" i="6"/>
  <c r="HR71" i="6"/>
  <c r="HR51" i="6"/>
  <c r="HR57" i="6"/>
  <c r="HR64" i="6"/>
  <c r="HR66" i="6"/>
  <c r="HR92" i="6"/>
  <c r="HR82" i="6"/>
  <c r="HR100" i="6"/>
  <c r="HR106" i="6"/>
  <c r="IA2" i="6"/>
  <c r="IA6" i="6"/>
  <c r="IA19" i="6"/>
  <c r="IA15" i="6"/>
  <c r="IA4" i="6"/>
  <c r="IA32" i="6"/>
  <c r="IA49" i="6"/>
  <c r="IA58" i="6"/>
  <c r="IA43" i="6"/>
  <c r="IA57" i="6"/>
  <c r="IA62" i="6"/>
  <c r="IA76" i="6"/>
  <c r="IA83" i="6"/>
  <c r="IA94" i="6"/>
  <c r="IA93" i="6"/>
  <c r="IA98" i="6"/>
  <c r="IA104" i="6"/>
  <c r="HR16" i="6"/>
  <c r="HR4" i="6"/>
  <c r="HR9" i="6"/>
  <c r="HR21" i="6"/>
  <c r="HR27" i="6"/>
  <c r="HR33" i="6"/>
  <c r="HR39" i="6"/>
  <c r="HR45" i="6"/>
  <c r="HR73" i="6"/>
  <c r="HR52" i="6"/>
  <c r="HR58" i="6"/>
  <c r="HR70" i="6"/>
  <c r="HR75" i="6"/>
  <c r="HR94" i="6"/>
  <c r="HR83" i="6"/>
  <c r="HR95" i="6"/>
  <c r="HR101" i="6"/>
  <c r="HR107" i="6"/>
  <c r="IA16" i="6"/>
  <c r="IA5" i="6"/>
  <c r="IA22" i="6"/>
  <c r="IA18" i="6"/>
  <c r="IA33" i="6"/>
  <c r="IA35" i="6"/>
  <c r="IA60" i="6"/>
  <c r="IA38" i="6"/>
  <c r="IA66" i="6"/>
  <c r="IA69" i="6"/>
  <c r="IA65" i="6"/>
  <c r="IA81" i="6"/>
  <c r="IA85" i="6"/>
  <c r="IA88" i="6"/>
  <c r="IA99" i="6"/>
  <c r="IA105" i="6"/>
  <c r="HR6" i="6"/>
  <c r="HR5" i="6"/>
  <c r="HR12" i="6"/>
  <c r="HR22" i="6"/>
  <c r="HR28" i="6"/>
  <c r="HR34" i="6"/>
  <c r="HR40" i="6"/>
  <c r="HR46" i="6"/>
  <c r="HR47" i="6"/>
  <c r="HR53" i="6"/>
  <c r="HR59" i="6"/>
  <c r="HR76" i="6"/>
  <c r="HR85" i="6"/>
  <c r="HR87" i="6"/>
  <c r="HR88" i="6"/>
  <c r="HR96" i="6"/>
  <c r="HR102" i="6"/>
  <c r="HR108" i="6"/>
  <c r="IA20" i="6"/>
  <c r="IA26" i="6"/>
  <c r="IA8" i="6"/>
  <c r="IA25" i="6"/>
  <c r="IA21" i="6"/>
  <c r="IA36" i="6"/>
  <c r="IA47" i="6"/>
  <c r="IA52" i="6"/>
  <c r="IA39" i="6"/>
  <c r="IA45" i="6"/>
  <c r="IA67" i="6"/>
  <c r="IA78" i="6"/>
  <c r="IA72" i="6"/>
  <c r="IA82" i="6"/>
  <c r="IA91" i="6"/>
  <c r="IA100" i="6"/>
  <c r="IA106" i="6"/>
  <c r="HR7" i="6"/>
  <c r="HR8" i="6"/>
  <c r="HR15" i="6"/>
  <c r="HR23" i="6"/>
  <c r="HR29" i="6"/>
  <c r="HR35" i="6"/>
  <c r="HR41" i="6"/>
  <c r="HR67" i="6"/>
  <c r="HR48" i="6"/>
  <c r="HR54" i="6"/>
  <c r="HR60" i="6"/>
  <c r="HR65" i="6"/>
  <c r="HR91" i="6"/>
  <c r="HR93" i="6"/>
  <c r="HR89" i="6"/>
  <c r="HR97" i="6"/>
  <c r="HR103" i="6"/>
  <c r="IA7" i="6"/>
  <c r="IA3" i="6"/>
  <c r="IA11" i="6"/>
  <c r="IA28" i="6"/>
  <c r="IA24" i="6"/>
  <c r="IA31" i="6"/>
  <c r="IA48" i="6"/>
  <c r="IA55" i="6"/>
  <c r="IA40" i="6"/>
  <c r="IA46" i="6"/>
  <c r="IA75" i="6"/>
  <c r="IA64" i="6"/>
  <c r="IA77" i="6"/>
  <c r="IA89" i="6"/>
  <c r="IA86" i="6"/>
  <c r="IA95" i="6"/>
  <c r="IA101" i="6"/>
  <c r="IA107" i="6"/>
  <c r="IA13" i="6"/>
  <c r="IA10" i="6"/>
  <c r="IA14" i="6"/>
  <c r="IA9" i="6"/>
  <c r="IA27" i="6"/>
  <c r="IA34" i="6"/>
  <c r="IA51" i="6"/>
  <c r="IA59" i="6"/>
  <c r="IA41" i="6"/>
  <c r="IA50" i="6"/>
  <c r="IA68" i="6"/>
  <c r="IA70" i="6"/>
  <c r="IA73" i="6"/>
  <c r="IA84" i="6"/>
  <c r="IA92" i="6"/>
  <c r="IA96" i="6"/>
  <c r="IA102" i="6"/>
  <c r="DL91" i="6" l="1"/>
  <c r="DL94" i="6"/>
  <c r="DL97" i="6"/>
  <c r="DL100" i="6"/>
  <c r="M108" i="6"/>
  <c r="M107" i="6"/>
  <c r="M106" i="6"/>
  <c r="M105" i="6"/>
  <c r="M104" i="6"/>
  <c r="M103" i="6"/>
  <c r="M102" i="6"/>
  <c r="M101" i="6"/>
  <c r="M100" i="6"/>
  <c r="M99" i="6"/>
  <c r="M98" i="6"/>
  <c r="M97" i="6"/>
  <c r="M96" i="6"/>
  <c r="M95" i="6"/>
  <c r="M94" i="6"/>
  <c r="M93" i="6"/>
  <c r="M92" i="6"/>
  <c r="M91" i="6"/>
  <c r="M90" i="6"/>
  <c r="M89" i="6"/>
  <c r="M88" i="6"/>
  <c r="M87" i="6"/>
  <c r="M86" i="6"/>
  <c r="M85" i="6"/>
  <c r="M84" i="6"/>
  <c r="M83" i="6"/>
  <c r="M82" i="6"/>
  <c r="M81" i="6"/>
  <c r="M79" i="6"/>
  <c r="M78" i="6"/>
  <c r="M77" i="6"/>
  <c r="M76" i="6"/>
  <c r="M75" i="6"/>
  <c r="M74" i="6"/>
  <c r="M73" i="6"/>
  <c r="M72" i="6"/>
  <c r="M71" i="6"/>
  <c r="M70" i="6"/>
  <c r="M69" i="6"/>
  <c r="M68" i="6"/>
  <c r="M67" i="6"/>
  <c r="M66" i="6"/>
  <c r="M65" i="6"/>
  <c r="M64" i="6"/>
  <c r="M62" i="6"/>
  <c r="M60" i="6"/>
  <c r="M59" i="6"/>
  <c r="M58" i="6"/>
  <c r="M57" i="6"/>
  <c r="M56" i="6"/>
  <c r="M55" i="6"/>
  <c r="M54" i="6"/>
  <c r="M53" i="6"/>
  <c r="M52" i="6"/>
  <c r="M51" i="6"/>
  <c r="M50" i="6"/>
  <c r="M49" i="6"/>
  <c r="M48" i="6"/>
  <c r="M47" i="6"/>
  <c r="M46" i="6"/>
  <c r="M45" i="6"/>
  <c r="M43" i="6"/>
  <c r="M42" i="6"/>
  <c r="M41" i="6"/>
  <c r="M40" i="6"/>
  <c r="M39" i="6"/>
  <c r="M38" i="6"/>
  <c r="M37" i="6"/>
  <c r="M36" i="6"/>
  <c r="M35" i="6"/>
  <c r="M34" i="6"/>
  <c r="M33" i="6"/>
  <c r="M32" i="6"/>
  <c r="M31" i="6"/>
  <c r="M30" i="6"/>
  <c r="M29" i="6"/>
  <c r="M28" i="6"/>
  <c r="M27" i="6"/>
  <c r="M26" i="6"/>
  <c r="M25" i="6"/>
  <c r="M24" i="6"/>
  <c r="M23" i="6"/>
  <c r="M22" i="6"/>
  <c r="M21" i="6"/>
  <c r="M20" i="6"/>
  <c r="M19" i="6"/>
  <c r="M18" i="6"/>
  <c r="M17" i="6"/>
  <c r="M16" i="6"/>
  <c r="M15" i="6"/>
  <c r="M14" i="6"/>
  <c r="M13" i="6"/>
  <c r="M12" i="6"/>
  <c r="M11" i="6"/>
  <c r="M10" i="6"/>
  <c r="M9" i="6"/>
  <c r="M8" i="6"/>
  <c r="M7" i="6"/>
  <c r="M6" i="6"/>
  <c r="M5" i="6"/>
  <c r="M4" i="6"/>
  <c r="M3" i="6"/>
  <c r="M2" i="6"/>
  <c r="L108" i="6"/>
  <c r="L107" i="6"/>
  <c r="L106" i="6"/>
  <c r="L105" i="6"/>
  <c r="L104" i="6"/>
  <c r="L103" i="6"/>
  <c r="L102" i="6"/>
  <c r="L101" i="6"/>
  <c r="L100" i="6"/>
  <c r="L99" i="6"/>
  <c r="L98" i="6"/>
  <c r="L97" i="6"/>
  <c r="L96" i="6"/>
  <c r="L95" i="6"/>
  <c r="L94" i="6"/>
  <c r="L93" i="6"/>
  <c r="L92" i="6"/>
  <c r="L91" i="6"/>
  <c r="L90" i="6"/>
  <c r="L89" i="6"/>
  <c r="L88" i="6"/>
  <c r="L87" i="6"/>
  <c r="L86" i="6"/>
  <c r="L85" i="6"/>
  <c r="L84" i="6"/>
  <c r="L83" i="6"/>
  <c r="L82" i="6"/>
  <c r="L81" i="6"/>
  <c r="L79" i="6"/>
  <c r="L78" i="6"/>
  <c r="L77" i="6"/>
  <c r="L76" i="6"/>
  <c r="L75" i="6"/>
  <c r="L74" i="6"/>
  <c r="L73" i="6"/>
  <c r="L72" i="6"/>
  <c r="L71" i="6"/>
  <c r="L70" i="6"/>
  <c r="L69" i="6"/>
  <c r="L68" i="6"/>
  <c r="L67" i="6"/>
  <c r="L66" i="6"/>
  <c r="L65" i="6"/>
  <c r="L64" i="6"/>
  <c r="L62" i="6"/>
  <c r="L60" i="6"/>
  <c r="L59" i="6"/>
  <c r="L58" i="6"/>
  <c r="L57" i="6"/>
  <c r="L56" i="6"/>
  <c r="L55" i="6"/>
  <c r="L54" i="6"/>
  <c r="L53" i="6"/>
  <c r="L52" i="6"/>
  <c r="L51" i="6"/>
  <c r="L50" i="6"/>
  <c r="L49" i="6"/>
  <c r="L48" i="6"/>
  <c r="L47" i="6"/>
  <c r="L46" i="6"/>
  <c r="L45" i="6"/>
  <c r="L43" i="6"/>
  <c r="L42" i="6"/>
  <c r="L41" i="6"/>
  <c r="L40" i="6"/>
  <c r="L39" i="6"/>
  <c r="L38" i="6"/>
  <c r="L37" i="6"/>
  <c r="L36" i="6"/>
  <c r="L35" i="6"/>
  <c r="L34" i="6"/>
  <c r="L33" i="6"/>
  <c r="L32" i="6"/>
  <c r="L31" i="6"/>
  <c r="L30" i="6"/>
  <c r="L29" i="6"/>
  <c r="L28" i="6"/>
  <c r="L27" i="6"/>
  <c r="L26" i="6"/>
  <c r="L25" i="6"/>
  <c r="L24" i="6"/>
  <c r="L23" i="6"/>
  <c r="L22" i="6"/>
  <c r="L21" i="6"/>
  <c r="L20" i="6"/>
  <c r="L19" i="6"/>
  <c r="L18" i="6"/>
  <c r="L17" i="6"/>
  <c r="L16" i="6"/>
  <c r="L15" i="6"/>
  <c r="L14" i="6"/>
  <c r="L13" i="6"/>
  <c r="L12" i="6"/>
  <c r="L11" i="6"/>
  <c r="L10" i="6"/>
  <c r="L9" i="6"/>
  <c r="L8" i="6"/>
  <c r="L7" i="6"/>
  <c r="L6" i="6"/>
  <c r="L5" i="6"/>
  <c r="L4" i="6"/>
  <c r="L3" i="6"/>
  <c r="L2" i="6"/>
  <c r="K108" i="6"/>
  <c r="K107" i="6"/>
  <c r="K106" i="6"/>
  <c r="K105" i="6"/>
  <c r="K104" i="6"/>
  <c r="K103" i="6"/>
  <c r="K102" i="6"/>
  <c r="K101" i="6"/>
  <c r="K100" i="6"/>
  <c r="K99" i="6"/>
  <c r="K98" i="6"/>
  <c r="K97" i="6"/>
  <c r="K96" i="6"/>
  <c r="K95" i="6"/>
  <c r="K94" i="6"/>
  <c r="K93" i="6"/>
  <c r="K92" i="6"/>
  <c r="K91" i="6"/>
  <c r="K90" i="6"/>
  <c r="K89" i="6"/>
  <c r="K88" i="6"/>
  <c r="K87" i="6"/>
  <c r="K86" i="6"/>
  <c r="K85" i="6"/>
  <c r="K84" i="6"/>
  <c r="K83" i="6"/>
  <c r="K82" i="6"/>
  <c r="K81" i="6"/>
  <c r="K79" i="6"/>
  <c r="K78" i="6"/>
  <c r="K77" i="6"/>
  <c r="K76" i="6"/>
  <c r="K75" i="6"/>
  <c r="K74" i="6"/>
  <c r="K73" i="6"/>
  <c r="K72" i="6"/>
  <c r="K71" i="6"/>
  <c r="K70" i="6"/>
  <c r="K69" i="6"/>
  <c r="K68" i="6"/>
  <c r="K67" i="6"/>
  <c r="K66" i="6"/>
  <c r="K65" i="6"/>
  <c r="K64" i="6"/>
  <c r="K62" i="6"/>
  <c r="K60" i="6"/>
  <c r="K59" i="6"/>
  <c r="K58" i="6"/>
  <c r="K57" i="6"/>
  <c r="K56" i="6"/>
  <c r="K55" i="6"/>
  <c r="K54" i="6"/>
  <c r="K53" i="6"/>
  <c r="K52" i="6"/>
  <c r="K51" i="6"/>
  <c r="K50" i="6"/>
  <c r="K49" i="6"/>
  <c r="K48" i="6"/>
  <c r="K47" i="6"/>
  <c r="K46" i="6"/>
  <c r="K45" i="6"/>
  <c r="K43" i="6"/>
  <c r="K42" i="6"/>
  <c r="K41" i="6"/>
  <c r="K40" i="6"/>
  <c r="K39" i="6"/>
  <c r="K38" i="6"/>
  <c r="K37" i="6"/>
  <c r="K36" i="6"/>
  <c r="K35" i="6"/>
  <c r="K34" i="6"/>
  <c r="K33" i="6"/>
  <c r="K32" i="6"/>
  <c r="K31" i="6"/>
  <c r="K30" i="6"/>
  <c r="K29" i="6"/>
  <c r="K28" i="6"/>
  <c r="K27" i="6"/>
  <c r="K26" i="6"/>
  <c r="K25" i="6"/>
  <c r="K24" i="6"/>
  <c r="K23" i="6"/>
  <c r="K22" i="6"/>
  <c r="K21" i="6"/>
  <c r="K20" i="6"/>
  <c r="K19" i="6"/>
  <c r="K18" i="6"/>
  <c r="K17" i="6"/>
  <c r="K16" i="6"/>
  <c r="K15" i="6"/>
  <c r="K14" i="6"/>
  <c r="K13" i="6"/>
  <c r="K12" i="6"/>
  <c r="K11" i="6"/>
  <c r="K10" i="6"/>
  <c r="K9" i="6"/>
  <c r="K8" i="6"/>
  <c r="K7" i="6"/>
  <c r="K6" i="6"/>
  <c r="K5" i="6"/>
  <c r="K4" i="6"/>
  <c r="K3" i="6"/>
  <c r="K2" i="6"/>
  <c r="J108" i="6"/>
  <c r="J107" i="6"/>
  <c r="J106" i="6"/>
  <c r="J105" i="6"/>
  <c r="J104" i="6"/>
  <c r="J103" i="6"/>
  <c r="J102" i="6"/>
  <c r="J101" i="6"/>
  <c r="J100" i="6"/>
  <c r="J99" i="6"/>
  <c r="J98" i="6"/>
  <c r="J97" i="6"/>
  <c r="J96" i="6"/>
  <c r="J95" i="6"/>
  <c r="J94" i="6"/>
  <c r="J93" i="6"/>
  <c r="J92" i="6"/>
  <c r="J91" i="6"/>
  <c r="J90" i="6"/>
  <c r="J89" i="6"/>
  <c r="J88" i="6"/>
  <c r="J87" i="6"/>
  <c r="J86" i="6"/>
  <c r="J85" i="6"/>
  <c r="J84" i="6"/>
  <c r="J83" i="6"/>
  <c r="J82" i="6"/>
  <c r="J81" i="6"/>
  <c r="J79" i="6"/>
  <c r="J78" i="6"/>
  <c r="J77" i="6"/>
  <c r="J76" i="6"/>
  <c r="J75" i="6"/>
  <c r="J74" i="6"/>
  <c r="J73" i="6"/>
  <c r="J72" i="6"/>
  <c r="J71" i="6"/>
  <c r="J70" i="6"/>
  <c r="J69" i="6"/>
  <c r="J68" i="6"/>
  <c r="J67" i="6"/>
  <c r="J66" i="6"/>
  <c r="J65" i="6"/>
  <c r="J64" i="6"/>
  <c r="J62" i="6"/>
  <c r="J60" i="6"/>
  <c r="J59" i="6"/>
  <c r="J58" i="6"/>
  <c r="J57" i="6"/>
  <c r="J56" i="6"/>
  <c r="J55" i="6"/>
  <c r="J54" i="6"/>
  <c r="J53" i="6"/>
  <c r="J52" i="6"/>
  <c r="J51" i="6"/>
  <c r="J50" i="6"/>
  <c r="J49" i="6"/>
  <c r="J48" i="6"/>
  <c r="J47" i="6"/>
  <c r="J46" i="6"/>
  <c r="J45" i="6"/>
  <c r="J43" i="6"/>
  <c r="J42" i="6"/>
  <c r="J41" i="6"/>
  <c r="J40" i="6"/>
  <c r="J39" i="6"/>
  <c r="J38" i="6"/>
  <c r="J37" i="6"/>
  <c r="J36" i="6"/>
  <c r="J35" i="6"/>
  <c r="J34" i="6"/>
  <c r="J33" i="6"/>
  <c r="J32" i="6"/>
  <c r="J31" i="6"/>
  <c r="J30" i="6"/>
  <c r="J29" i="6"/>
  <c r="J28" i="6"/>
  <c r="J27" i="6"/>
  <c r="J26" i="6"/>
  <c r="J25" i="6"/>
  <c r="J24" i="6"/>
  <c r="J23" i="6"/>
  <c r="J22" i="6"/>
  <c r="J21" i="6"/>
  <c r="J20" i="6"/>
  <c r="J19" i="6"/>
  <c r="J18" i="6"/>
  <c r="J17" i="6"/>
  <c r="J16" i="6"/>
  <c r="J15" i="6"/>
  <c r="J14" i="6"/>
  <c r="J13" i="6"/>
  <c r="J12" i="6"/>
  <c r="J11" i="6"/>
  <c r="J10" i="6"/>
  <c r="J9" i="6"/>
  <c r="J8" i="6"/>
  <c r="J7" i="6"/>
  <c r="J6" i="6"/>
  <c r="J5" i="6"/>
  <c r="J4" i="6"/>
  <c r="J3" i="6"/>
  <c r="J2" i="6"/>
  <c r="I108" i="6"/>
  <c r="I107" i="6"/>
  <c r="I106" i="6"/>
  <c r="I105" i="6"/>
  <c r="I104" i="6"/>
  <c r="I103" i="6"/>
  <c r="I102" i="6"/>
  <c r="I101" i="6"/>
  <c r="I100" i="6"/>
  <c r="I99" i="6"/>
  <c r="I98" i="6"/>
  <c r="I97" i="6"/>
  <c r="I96" i="6"/>
  <c r="I95" i="6"/>
  <c r="I94" i="6"/>
  <c r="I93" i="6"/>
  <c r="I92" i="6"/>
  <c r="I91" i="6"/>
  <c r="I90" i="6"/>
  <c r="I89" i="6"/>
  <c r="I88" i="6"/>
  <c r="I87" i="6"/>
  <c r="I86" i="6"/>
  <c r="I85" i="6"/>
  <c r="I84" i="6"/>
  <c r="I83" i="6"/>
  <c r="I82" i="6"/>
  <c r="I81" i="6"/>
  <c r="I79" i="6"/>
  <c r="I78" i="6"/>
  <c r="I77" i="6"/>
  <c r="I76" i="6"/>
  <c r="I75" i="6"/>
  <c r="I74" i="6"/>
  <c r="I73" i="6"/>
  <c r="I72" i="6"/>
  <c r="I71" i="6"/>
  <c r="I70" i="6"/>
  <c r="I69" i="6"/>
  <c r="I68" i="6"/>
  <c r="I67" i="6"/>
  <c r="I66" i="6"/>
  <c r="I65" i="6"/>
  <c r="I64" i="6"/>
  <c r="I62" i="6"/>
  <c r="I60" i="6"/>
  <c r="I59" i="6"/>
  <c r="I58" i="6"/>
  <c r="I57" i="6"/>
  <c r="I56" i="6"/>
  <c r="I55" i="6"/>
  <c r="I54" i="6"/>
  <c r="I53" i="6"/>
  <c r="I52" i="6"/>
  <c r="I51" i="6"/>
  <c r="I50" i="6"/>
  <c r="I49" i="6"/>
  <c r="I48" i="6"/>
  <c r="I47" i="6"/>
  <c r="I46" i="6"/>
  <c r="I45" i="6"/>
  <c r="I43" i="6"/>
  <c r="I42" i="6"/>
  <c r="I41" i="6"/>
  <c r="I40" i="6"/>
  <c r="I39" i="6"/>
  <c r="I38" i="6"/>
  <c r="I37" i="6"/>
  <c r="I36" i="6"/>
  <c r="I35" i="6"/>
  <c r="I34" i="6"/>
  <c r="I33" i="6"/>
  <c r="I32" i="6"/>
  <c r="I31" i="6"/>
  <c r="I30" i="6"/>
  <c r="I29" i="6"/>
  <c r="I28" i="6"/>
  <c r="I27" i="6"/>
  <c r="I26" i="6"/>
  <c r="I25" i="6"/>
  <c r="I24" i="6"/>
  <c r="I23" i="6"/>
  <c r="I22" i="6"/>
  <c r="I21" i="6"/>
  <c r="I20" i="6"/>
  <c r="I19" i="6"/>
  <c r="I18" i="6"/>
  <c r="I17" i="6"/>
  <c r="I16" i="6"/>
  <c r="I15" i="6"/>
  <c r="I14" i="6"/>
  <c r="I13" i="6"/>
  <c r="I12" i="6"/>
  <c r="I11" i="6"/>
  <c r="I10" i="6"/>
  <c r="I9" i="6"/>
  <c r="I8" i="6"/>
  <c r="I7" i="6"/>
  <c r="I6" i="6"/>
  <c r="I5" i="6"/>
  <c r="I4" i="6"/>
  <c r="I3" i="6"/>
  <c r="I2" i="6"/>
  <c r="H3" i="6"/>
  <c r="H4" i="6"/>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5" i="6"/>
  <c r="H46" i="6"/>
  <c r="H47" i="6"/>
  <c r="H48" i="6"/>
  <c r="H49" i="6"/>
  <c r="H50" i="6"/>
  <c r="H51" i="6"/>
  <c r="H52" i="6"/>
  <c r="H53" i="6"/>
  <c r="H54" i="6"/>
  <c r="H55" i="6"/>
  <c r="H56" i="6"/>
  <c r="H57" i="6"/>
  <c r="H58" i="6"/>
  <c r="H59" i="6"/>
  <c r="H60" i="6"/>
  <c r="H62" i="6"/>
  <c r="H64" i="6"/>
  <c r="H65" i="6"/>
  <c r="H66" i="6"/>
  <c r="H67" i="6"/>
  <c r="H68" i="6"/>
  <c r="H69" i="6"/>
  <c r="H70" i="6"/>
  <c r="H71" i="6"/>
  <c r="H72" i="6"/>
  <c r="H73" i="6"/>
  <c r="H74" i="6"/>
  <c r="H75" i="6"/>
  <c r="H76" i="6"/>
  <c r="H77" i="6"/>
  <c r="H78" i="6"/>
  <c r="H79"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2" i="6"/>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5" i="6"/>
  <c r="G46" i="6"/>
  <c r="G47" i="6"/>
  <c r="G48" i="6"/>
  <c r="G49" i="6"/>
  <c r="G50" i="6"/>
  <c r="G51" i="6"/>
  <c r="G52" i="6"/>
  <c r="G53" i="6"/>
  <c r="G54" i="6"/>
  <c r="G55" i="6"/>
  <c r="G56" i="6"/>
  <c r="G57" i="6"/>
  <c r="G58" i="6"/>
  <c r="G59" i="6"/>
  <c r="G60" i="6"/>
  <c r="G62" i="6"/>
  <c r="G64" i="6"/>
  <c r="G65" i="6"/>
  <c r="G66" i="6"/>
  <c r="G67" i="6"/>
  <c r="G68" i="6"/>
  <c r="G69" i="6"/>
  <c r="G70" i="6"/>
  <c r="G71" i="6"/>
  <c r="G72" i="6"/>
  <c r="G73" i="6"/>
  <c r="G74" i="6"/>
  <c r="G75" i="6"/>
  <c r="G76" i="6"/>
  <c r="G77" i="6"/>
  <c r="G78" i="6"/>
  <c r="G79"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2" i="6"/>
  <c r="F3" i="6"/>
  <c r="F4" i="6"/>
  <c r="F5" i="6"/>
  <c r="F6" i="6"/>
  <c r="F7" i="6"/>
  <c r="F8" i="6"/>
  <c r="F9" i="6"/>
  <c r="F10"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F41" i="6"/>
  <c r="F42" i="6"/>
  <c r="F43" i="6"/>
  <c r="F45" i="6"/>
  <c r="F46" i="6"/>
  <c r="F47" i="6"/>
  <c r="F48" i="6"/>
  <c r="F49" i="6"/>
  <c r="F50" i="6"/>
  <c r="F51" i="6"/>
  <c r="F52" i="6"/>
  <c r="F53" i="6"/>
  <c r="F54" i="6"/>
  <c r="F55" i="6"/>
  <c r="F56" i="6"/>
  <c r="F57" i="6"/>
  <c r="F58" i="6"/>
  <c r="F59" i="6"/>
  <c r="F60" i="6"/>
  <c r="F62" i="6"/>
  <c r="F64" i="6"/>
  <c r="F65" i="6"/>
  <c r="F66" i="6"/>
  <c r="F67" i="6"/>
  <c r="F68" i="6"/>
  <c r="F69" i="6"/>
  <c r="F70" i="6"/>
  <c r="F71" i="6"/>
  <c r="F72" i="6"/>
  <c r="F73" i="6"/>
  <c r="F74" i="6"/>
  <c r="F75" i="6"/>
  <c r="F76" i="6"/>
  <c r="F77" i="6"/>
  <c r="F78" i="6"/>
  <c r="F79" i="6"/>
  <c r="F81" i="6"/>
  <c r="F82" i="6"/>
  <c r="F83" i="6"/>
  <c r="F84" i="6"/>
  <c r="F85" i="6"/>
  <c r="F86" i="6"/>
  <c r="F87" i="6"/>
  <c r="F88" i="6"/>
  <c r="F89" i="6"/>
  <c r="F90" i="6"/>
  <c r="F91" i="6"/>
  <c r="F92" i="6"/>
  <c r="F93" i="6"/>
  <c r="F94" i="6"/>
  <c r="F95" i="6"/>
  <c r="F96" i="6"/>
  <c r="F97" i="6"/>
  <c r="F98" i="6"/>
  <c r="F99" i="6"/>
  <c r="F100" i="6"/>
  <c r="F101" i="6"/>
  <c r="F102" i="6"/>
  <c r="F103" i="6"/>
  <c r="F104" i="6"/>
  <c r="F105" i="6"/>
  <c r="F106" i="6"/>
  <c r="F107" i="6"/>
  <c r="F108" i="6"/>
  <c r="F2" i="6"/>
  <c r="DF110" i="6" l="1"/>
  <c r="DB63" i="6"/>
  <c r="DB110" i="6"/>
  <c r="DH110" i="6"/>
  <c r="DC63" i="6"/>
  <c r="DC110" i="6"/>
  <c r="DI110" i="6"/>
  <c r="DD63" i="6"/>
  <c r="DD110" i="6"/>
  <c r="DE63" i="6"/>
  <c r="DE110" i="6"/>
  <c r="DG110" i="6"/>
  <c r="DG63" i="6"/>
  <c r="DH63" i="6"/>
  <c r="DI63" i="6"/>
  <c r="DF63" i="6"/>
  <c r="DF61" i="6"/>
  <c r="DB61" i="6"/>
  <c r="DH61" i="6"/>
  <c r="DC61" i="6"/>
  <c r="DI61" i="6"/>
  <c r="DD61" i="6"/>
  <c r="DG61" i="6"/>
  <c r="DE61" i="6"/>
  <c r="DD80" i="6"/>
  <c r="DB80" i="6"/>
  <c r="DF80" i="6"/>
  <c r="DE80" i="6"/>
  <c r="DC80" i="6"/>
  <c r="DG80" i="6"/>
  <c r="DI80" i="6"/>
  <c r="DH80" i="6"/>
  <c r="DF109" i="6"/>
  <c r="DF111" i="6"/>
  <c r="DF112" i="6"/>
  <c r="DH109" i="6"/>
  <c r="DH111" i="6"/>
  <c r="DH112" i="6"/>
  <c r="DG109" i="6"/>
  <c r="DG111" i="6"/>
  <c r="DG112" i="6"/>
  <c r="DI109" i="6"/>
  <c r="DI111" i="6"/>
  <c r="DI112" i="6"/>
  <c r="DD111" i="6"/>
  <c r="DD109" i="6"/>
  <c r="DD112" i="6"/>
  <c r="DE109" i="6"/>
  <c r="DE112" i="6"/>
  <c r="DE111" i="6"/>
  <c r="DC112" i="6"/>
  <c r="DC109" i="6"/>
  <c r="DC111" i="6"/>
  <c r="DB109" i="6"/>
  <c r="DB111" i="6"/>
  <c r="DB112" i="6"/>
  <c r="DF2" i="6"/>
  <c r="DF44" i="6"/>
  <c r="DE2" i="6"/>
  <c r="DE44" i="6"/>
  <c r="DD2" i="6"/>
  <c r="DD44" i="6"/>
  <c r="DC2" i="6"/>
  <c r="DC44" i="6"/>
  <c r="DB2" i="6"/>
  <c r="DB44" i="6"/>
  <c r="DG2" i="6"/>
  <c r="DG44" i="6"/>
  <c r="DI44" i="6"/>
  <c r="DH2" i="6"/>
  <c r="DH44" i="6"/>
  <c r="DL106" i="6"/>
  <c r="DL103" i="6"/>
  <c r="DL108" i="6"/>
  <c r="DL88" i="6"/>
  <c r="DL85" i="6"/>
  <c r="DL84" i="6"/>
  <c r="DL83" i="6"/>
  <c r="DL81" i="6"/>
  <c r="DL75" i="6"/>
  <c r="DL41" i="6"/>
  <c r="DL31" i="6"/>
  <c r="DL29" i="6"/>
  <c r="DL23" i="6"/>
  <c r="DL20" i="6"/>
  <c r="DL17" i="6"/>
  <c r="DL8" i="6"/>
  <c r="DL6" i="6"/>
  <c r="DL3" i="6"/>
  <c r="DL54" i="6"/>
  <c r="DL51" i="6"/>
  <c r="DL38" i="6"/>
  <c r="DL46" i="6"/>
  <c r="DL16" i="6"/>
  <c r="DL14" i="6"/>
  <c r="DL11" i="6"/>
  <c r="DJ3" i="6"/>
  <c r="DJ65" i="6"/>
  <c r="DE3" i="6"/>
  <c r="DG3" i="6"/>
  <c r="DH5" i="6"/>
  <c r="DJ68" i="6"/>
  <c r="DJ74" i="6"/>
  <c r="DJ87" i="6"/>
  <c r="DJ96" i="6"/>
  <c r="DE5" i="6"/>
  <c r="DG5" i="6"/>
  <c r="DJ101" i="6"/>
  <c r="DJ100" i="6"/>
  <c r="DE7" i="6"/>
  <c r="DE13" i="6"/>
  <c r="DE19" i="6"/>
  <c r="DE25" i="6"/>
  <c r="DE33" i="6"/>
  <c r="DE37" i="6"/>
  <c r="DE50" i="6"/>
  <c r="DE56" i="6"/>
  <c r="DE65" i="6"/>
  <c r="DE71" i="6"/>
  <c r="DE76" i="6"/>
  <c r="DE90" i="6"/>
  <c r="DE93" i="6"/>
  <c r="DE99" i="6"/>
  <c r="DE105" i="6"/>
  <c r="DF5" i="6"/>
  <c r="DF10" i="6"/>
  <c r="DF22" i="6"/>
  <c r="DF27" i="6"/>
  <c r="DF35" i="6"/>
  <c r="DF102" i="6"/>
  <c r="DG76" i="6"/>
  <c r="DK46" i="6"/>
  <c r="DK38" i="6"/>
  <c r="DK31" i="6"/>
  <c r="DK17" i="6"/>
  <c r="DK69" i="6"/>
  <c r="DK60" i="6"/>
  <c r="DK29" i="6"/>
  <c r="DK16" i="6"/>
  <c r="DK8" i="6"/>
  <c r="DK23" i="6"/>
  <c r="DK11" i="6"/>
  <c r="DK54" i="6"/>
  <c r="DK20" i="6"/>
  <c r="DK3" i="6"/>
  <c r="DK2" i="6"/>
  <c r="DK14" i="6"/>
  <c r="DK51" i="6"/>
  <c r="DK6" i="6"/>
  <c r="DE10" i="6"/>
  <c r="DE22" i="6"/>
  <c r="DE27" i="6"/>
  <c r="DE35" i="6"/>
  <c r="DE40" i="6"/>
  <c r="DE43" i="6"/>
  <c r="DE47" i="6"/>
  <c r="DE53" i="6"/>
  <c r="DE59" i="6"/>
  <c r="DE68" i="6"/>
  <c r="DE74" i="6"/>
  <c r="DE78" i="6"/>
  <c r="DE87" i="6"/>
  <c r="DE96" i="6"/>
  <c r="DE102" i="6"/>
  <c r="DE107" i="6"/>
  <c r="DF7" i="6"/>
  <c r="DF13" i="6"/>
  <c r="DF19" i="6"/>
  <c r="DF25" i="6"/>
  <c r="DF33" i="6"/>
  <c r="DF37" i="6"/>
  <c r="DF50" i="6"/>
  <c r="DF56" i="6"/>
  <c r="DF65" i="6"/>
  <c r="DF71" i="6"/>
  <c r="DF76" i="6"/>
  <c r="DF90" i="6"/>
  <c r="DF93" i="6"/>
  <c r="DF99" i="6"/>
  <c r="DF105" i="6"/>
  <c r="DD107" i="6"/>
  <c r="DD102" i="6"/>
  <c r="DD96" i="6"/>
  <c r="DD87" i="6"/>
  <c r="DE98" i="6"/>
  <c r="DL102" i="6"/>
  <c r="DL25" i="6"/>
  <c r="DL13" i="6"/>
  <c r="DL93" i="6"/>
  <c r="DL37" i="6"/>
  <c r="DL87" i="6"/>
  <c r="DL68" i="6"/>
  <c r="DL59" i="6"/>
  <c r="DL7" i="6"/>
  <c r="DL50" i="6"/>
  <c r="DL78" i="6"/>
  <c r="DL19" i="6"/>
  <c r="DL33" i="6"/>
  <c r="DE6" i="6"/>
  <c r="DE11" i="6"/>
  <c r="DE14" i="6"/>
  <c r="DE17" i="6"/>
  <c r="DE23" i="6"/>
  <c r="DE31" i="6"/>
  <c r="DE41" i="6"/>
  <c r="DE48" i="6"/>
  <c r="DE54" i="6"/>
  <c r="DE60" i="6"/>
  <c r="DE64" i="6"/>
  <c r="DE69" i="6"/>
  <c r="DE75" i="6"/>
  <c r="DE83" i="6"/>
  <c r="DE85" i="6"/>
  <c r="DE88" i="6"/>
  <c r="DE91" i="6"/>
  <c r="DE97" i="6"/>
  <c r="DE103" i="6"/>
  <c r="DE108" i="6"/>
  <c r="DF8" i="6"/>
  <c r="DF16" i="6"/>
  <c r="DF20" i="6"/>
  <c r="DF29" i="6"/>
  <c r="DF38" i="6"/>
  <c r="DF46" i="6"/>
  <c r="DF51" i="6"/>
  <c r="DF57" i="6"/>
  <c r="DF66" i="6"/>
  <c r="DF81" i="6"/>
  <c r="DF84" i="6"/>
  <c r="DF94" i="6"/>
  <c r="DF100" i="6"/>
  <c r="DF106" i="6"/>
  <c r="DG6" i="6"/>
  <c r="DG11" i="6"/>
  <c r="DG14" i="6"/>
  <c r="DG17" i="6"/>
  <c r="DG23" i="6"/>
  <c r="DG31" i="6"/>
  <c r="DG41" i="6"/>
  <c r="DG48" i="6"/>
  <c r="DG54" i="6"/>
  <c r="DG60" i="6"/>
  <c r="DG64" i="6"/>
  <c r="DG69" i="6"/>
  <c r="DG75" i="6"/>
  <c r="DG83" i="6"/>
  <c r="DG85" i="6"/>
  <c r="DG88" i="6"/>
  <c r="DG91" i="6"/>
  <c r="DG97" i="6"/>
  <c r="DG103" i="6"/>
  <c r="DG108" i="6"/>
  <c r="DH8" i="6"/>
  <c r="DH16" i="6"/>
  <c r="DH20" i="6"/>
  <c r="DH29" i="6"/>
  <c r="DH38" i="6"/>
  <c r="DI93" i="6"/>
  <c r="DI40" i="6"/>
  <c r="DD78" i="6"/>
  <c r="DD74" i="6"/>
  <c r="DD68" i="6"/>
  <c r="DD59" i="6"/>
  <c r="DD53" i="6"/>
  <c r="DD47" i="6"/>
  <c r="DD43" i="6"/>
  <c r="DD40" i="6"/>
  <c r="DD35" i="6"/>
  <c r="DD27" i="6"/>
  <c r="DD22" i="6"/>
  <c r="DD10" i="6"/>
  <c r="DD5" i="6"/>
  <c r="DE12" i="6"/>
  <c r="DE15" i="6"/>
  <c r="DE18" i="6"/>
  <c r="DE24" i="6"/>
  <c r="DE28" i="6"/>
  <c r="DE32" i="6"/>
  <c r="DE36" i="6"/>
  <c r="DE42" i="6"/>
  <c r="DE45" i="6"/>
  <c r="DE49" i="6"/>
  <c r="DE55" i="6"/>
  <c r="DE62" i="6"/>
  <c r="DE70" i="6"/>
  <c r="DE72" i="6"/>
  <c r="DE79" i="6"/>
  <c r="DE89" i="6"/>
  <c r="DE92" i="6"/>
  <c r="DE104" i="6"/>
  <c r="DF4" i="6"/>
  <c r="DF9" i="6"/>
  <c r="DF21" i="6"/>
  <c r="DF26" i="6"/>
  <c r="DF30" i="6"/>
  <c r="DF34" i="6"/>
  <c r="DF39" i="6"/>
  <c r="DF52" i="6"/>
  <c r="DF58" i="6"/>
  <c r="DF67" i="6"/>
  <c r="DF73" i="6"/>
  <c r="DF77" i="6"/>
  <c r="DF82" i="6"/>
  <c r="DF86" i="6"/>
  <c r="DF95" i="6"/>
  <c r="DF101" i="6"/>
  <c r="DG12" i="6"/>
  <c r="DG15" i="6"/>
  <c r="DG70" i="6"/>
  <c r="DG89" i="6"/>
  <c r="DH21" i="6"/>
  <c r="DI104" i="6"/>
  <c r="DF40" i="6"/>
  <c r="DF43" i="6"/>
  <c r="DF47" i="6"/>
  <c r="DF53" i="6"/>
  <c r="DF59" i="6"/>
  <c r="DF68" i="6"/>
  <c r="DF74" i="6"/>
  <c r="DF78" i="6"/>
  <c r="DF87" i="6"/>
  <c r="DF96" i="6"/>
  <c r="DF107" i="6"/>
  <c r="DG7" i="6"/>
  <c r="DG13" i="6"/>
  <c r="DG19" i="6"/>
  <c r="DG25" i="6"/>
  <c r="DG33" i="6"/>
  <c r="DG37" i="6"/>
  <c r="DG50" i="6"/>
  <c r="DG56" i="6"/>
  <c r="DG65" i="6"/>
  <c r="DG71" i="6"/>
  <c r="DG90" i="6"/>
  <c r="DG93" i="6"/>
  <c r="DG99" i="6"/>
  <c r="DG105" i="6"/>
  <c r="DH10" i="6"/>
  <c r="DH22" i="6"/>
  <c r="DH27" i="6"/>
  <c r="DH35" i="6"/>
  <c r="DH40" i="6"/>
  <c r="DH43" i="6"/>
  <c r="DH47" i="6"/>
  <c r="DH53" i="6"/>
  <c r="DH59" i="6"/>
  <c r="DH68" i="6"/>
  <c r="DH74" i="6"/>
  <c r="DH78" i="6"/>
  <c r="DH87" i="6"/>
  <c r="DH96" i="6"/>
  <c r="DH102" i="6"/>
  <c r="DH107" i="6"/>
  <c r="DI7" i="6"/>
  <c r="DI13" i="6"/>
  <c r="DI19" i="6"/>
  <c r="DI25" i="6"/>
  <c r="DI33" i="6"/>
  <c r="DI71" i="6"/>
  <c r="DI76" i="6"/>
  <c r="DI90" i="6"/>
  <c r="DI99" i="6"/>
  <c r="DD100" i="6"/>
  <c r="DD94" i="6"/>
  <c r="DD84" i="6"/>
  <c r="DD66" i="6"/>
  <c r="DD57" i="6"/>
  <c r="DD51" i="6"/>
  <c r="DD46" i="6"/>
  <c r="DD38" i="6"/>
  <c r="DD29" i="6"/>
  <c r="DD16" i="6"/>
  <c r="DE8" i="6"/>
  <c r="DE16" i="6"/>
  <c r="DE20" i="6"/>
  <c r="DE29" i="6"/>
  <c r="DE38" i="6"/>
  <c r="DE46" i="6"/>
  <c r="DE51" i="6"/>
  <c r="DE57" i="6"/>
  <c r="DE66" i="6"/>
  <c r="DE81" i="6"/>
  <c r="DE84" i="6"/>
  <c r="DE94" i="6"/>
  <c r="DE100" i="6"/>
  <c r="DE106" i="6"/>
  <c r="DF6" i="6"/>
  <c r="DF11" i="6"/>
  <c r="DF14" i="6"/>
  <c r="DF17" i="6"/>
  <c r="DF23" i="6"/>
  <c r="DF85" i="6"/>
  <c r="DF103" i="6"/>
  <c r="DG84" i="6"/>
  <c r="DG100" i="6"/>
  <c r="DI81" i="6"/>
  <c r="DI105" i="6"/>
  <c r="DD7" i="6"/>
  <c r="DE4" i="6"/>
  <c r="DE9" i="6"/>
  <c r="DE21" i="6"/>
  <c r="DE26" i="6"/>
  <c r="DE30" i="6"/>
  <c r="DE34" i="6"/>
  <c r="DE39" i="6"/>
  <c r="DE52" i="6"/>
  <c r="DE58" i="6"/>
  <c r="DE67" i="6"/>
  <c r="DE73" i="6"/>
  <c r="DE77" i="6"/>
  <c r="DE82" i="6"/>
  <c r="DE86" i="6"/>
  <c r="DE95" i="6"/>
  <c r="DE101" i="6"/>
  <c r="DF72" i="6"/>
  <c r="DF92" i="6"/>
  <c r="DF104" i="6"/>
  <c r="DG34" i="6"/>
  <c r="DF31" i="6"/>
  <c r="DF41" i="6"/>
  <c r="DF48" i="6"/>
  <c r="DF54" i="6"/>
  <c r="DF60" i="6"/>
  <c r="DF64" i="6"/>
  <c r="DF69" i="6"/>
  <c r="DF75" i="6"/>
  <c r="DF83" i="6"/>
  <c r="DF88" i="6"/>
  <c r="DF91" i="6"/>
  <c r="DF97" i="6"/>
  <c r="DF108" i="6"/>
  <c r="DG8" i="6"/>
  <c r="DG16" i="6"/>
  <c r="DG20" i="6"/>
  <c r="DG29" i="6"/>
  <c r="DG38" i="6"/>
  <c r="DG46" i="6"/>
  <c r="DG51" i="6"/>
  <c r="DG57" i="6"/>
  <c r="DG66" i="6"/>
  <c r="DG81" i="6"/>
  <c r="DG94" i="6"/>
  <c r="DG106" i="6"/>
  <c r="DH6" i="6"/>
  <c r="DH11" i="6"/>
  <c r="DH14" i="6"/>
  <c r="DH17" i="6"/>
  <c r="DH23" i="6"/>
  <c r="DH31" i="6"/>
  <c r="DH41" i="6"/>
  <c r="DH48" i="6"/>
  <c r="DH54" i="6"/>
  <c r="DH60" i="6"/>
  <c r="DH64" i="6"/>
  <c r="DH69" i="6"/>
  <c r="DH75" i="6"/>
  <c r="DH83" i="6"/>
  <c r="DH85" i="6"/>
  <c r="DH88" i="6"/>
  <c r="DH91" i="6"/>
  <c r="DH97" i="6"/>
  <c r="DH103" i="6"/>
  <c r="DH108" i="6"/>
  <c r="DI8" i="6"/>
  <c r="DI16" i="6"/>
  <c r="DI20" i="6"/>
  <c r="DI29" i="6"/>
  <c r="DI38" i="6"/>
  <c r="DI46" i="6"/>
  <c r="DI51" i="6"/>
  <c r="DI57" i="6"/>
  <c r="DI66" i="6"/>
  <c r="DI84" i="6"/>
  <c r="DI94" i="6"/>
  <c r="DI100" i="6"/>
  <c r="DJ33" i="6"/>
  <c r="DJ37" i="6"/>
  <c r="DJ50" i="6"/>
  <c r="DJ56" i="6"/>
  <c r="DJ2" i="6"/>
  <c r="DJ93" i="6"/>
  <c r="DJ24" i="6"/>
  <c r="DJ76" i="6"/>
  <c r="DJ78" i="6"/>
  <c r="DJ99" i="6"/>
  <c r="DJ102" i="6"/>
  <c r="DJ105" i="6"/>
  <c r="DJ12" i="6"/>
  <c r="DJ6" i="6"/>
  <c r="DJ11" i="6"/>
  <c r="DJ14" i="6"/>
  <c r="DJ17" i="6"/>
  <c r="DJ23" i="6"/>
  <c r="DJ31" i="6"/>
  <c r="DJ41" i="6"/>
  <c r="DJ48" i="6"/>
  <c r="DJ54" i="6"/>
  <c r="DJ60" i="6"/>
  <c r="DJ64" i="6"/>
  <c r="DJ69" i="6"/>
  <c r="DJ75" i="6"/>
  <c r="DJ83" i="6"/>
  <c r="DJ85" i="6"/>
  <c r="DJ88" i="6"/>
  <c r="DJ91" i="6"/>
  <c r="DJ97" i="6"/>
  <c r="DJ108" i="6"/>
  <c r="DI96" i="6"/>
  <c r="DJ90" i="6"/>
  <c r="DF3" i="6"/>
  <c r="DF12" i="6"/>
  <c r="DF15" i="6"/>
  <c r="DF18" i="6"/>
  <c r="DF24" i="6"/>
  <c r="DF28" i="6"/>
  <c r="DF32" i="6"/>
  <c r="DF36" i="6"/>
  <c r="DF42" i="6"/>
  <c r="DF45" i="6"/>
  <c r="DF49" i="6"/>
  <c r="DF55" i="6"/>
  <c r="DF62" i="6"/>
  <c r="DF70" i="6"/>
  <c r="DF79" i="6"/>
  <c r="DF89" i="6"/>
  <c r="DF98" i="6"/>
  <c r="DG4" i="6"/>
  <c r="DG9" i="6"/>
  <c r="DG21" i="6"/>
  <c r="DG26" i="6"/>
  <c r="DG30" i="6"/>
  <c r="DG39" i="6"/>
  <c r="DG52" i="6"/>
  <c r="DG58" i="6"/>
  <c r="DG67" i="6"/>
  <c r="DG73" i="6"/>
  <c r="DG77" i="6"/>
  <c r="DG82" i="6"/>
  <c r="DG86" i="6"/>
  <c r="DG95" i="6"/>
  <c r="DG101" i="6"/>
  <c r="DH3" i="6"/>
  <c r="DH12" i="6"/>
  <c r="DH15" i="6"/>
  <c r="DH18" i="6"/>
  <c r="DH24" i="6"/>
  <c r="DH28" i="6"/>
  <c r="DH32" i="6"/>
  <c r="DH36" i="6"/>
  <c r="DH42" i="6"/>
  <c r="DH45" i="6"/>
  <c r="DI74" i="6"/>
  <c r="DJ71" i="6"/>
  <c r="DG10" i="6"/>
  <c r="DG22" i="6"/>
  <c r="DG27" i="6"/>
  <c r="DG35" i="6"/>
  <c r="DG40" i="6"/>
  <c r="DG43" i="6"/>
  <c r="DG47" i="6"/>
  <c r="DG53" i="6"/>
  <c r="DG59" i="6"/>
  <c r="DG68" i="6"/>
  <c r="DG74" i="6"/>
  <c r="DG78" i="6"/>
  <c r="DG87" i="6"/>
  <c r="DG96" i="6"/>
  <c r="DG102" i="6"/>
  <c r="DG107" i="6"/>
  <c r="DH7" i="6"/>
  <c r="DH13" i="6"/>
  <c r="DH19" i="6"/>
  <c r="DH25" i="6"/>
  <c r="DH33" i="6"/>
  <c r="DH37" i="6"/>
  <c r="DH50" i="6"/>
  <c r="DH56" i="6"/>
  <c r="DH65" i="6"/>
  <c r="DH71" i="6"/>
  <c r="DH76" i="6"/>
  <c r="DH90" i="6"/>
  <c r="DH93" i="6"/>
  <c r="DH99" i="6"/>
  <c r="DH105" i="6"/>
  <c r="DI5" i="6"/>
  <c r="DI10" i="6"/>
  <c r="DI22" i="6"/>
  <c r="DI27" i="6"/>
  <c r="DI35" i="6"/>
  <c r="DI43" i="6"/>
  <c r="DI47" i="6"/>
  <c r="DI53" i="6"/>
  <c r="DI59" i="6"/>
  <c r="DJ7" i="6"/>
  <c r="DJ13" i="6"/>
  <c r="DJ19" i="6"/>
  <c r="DJ25" i="6"/>
  <c r="DH46" i="6"/>
  <c r="DH51" i="6"/>
  <c r="DH57" i="6"/>
  <c r="DH66" i="6"/>
  <c r="DH81" i="6"/>
  <c r="DH84" i="6"/>
  <c r="DH94" i="6"/>
  <c r="DH100" i="6"/>
  <c r="DH106" i="6"/>
  <c r="DI78" i="6"/>
  <c r="DI102" i="6"/>
  <c r="DI73" i="6"/>
  <c r="DI95" i="6"/>
  <c r="DI77" i="6"/>
  <c r="DI101" i="6"/>
  <c r="DI68" i="6"/>
  <c r="DI82" i="6"/>
  <c r="DI87" i="6"/>
  <c r="DI2" i="6"/>
  <c r="DI6" i="6"/>
  <c r="DI11" i="6"/>
  <c r="DI14" i="6"/>
  <c r="DI17" i="6"/>
  <c r="DI23" i="6"/>
  <c r="DI31" i="6"/>
  <c r="DI41" i="6"/>
  <c r="DI48" i="6"/>
  <c r="DI54" i="6"/>
  <c r="DI60" i="6"/>
  <c r="DI64" i="6"/>
  <c r="DI69" i="6"/>
  <c r="DI75" i="6"/>
  <c r="DI83" i="6"/>
  <c r="DI85" i="6"/>
  <c r="DI88" i="6"/>
  <c r="DI91" i="6"/>
  <c r="DI97" i="6"/>
  <c r="DI103" i="6"/>
  <c r="DI108" i="6"/>
  <c r="DJ8" i="6"/>
  <c r="DJ16" i="6"/>
  <c r="DJ20" i="6"/>
  <c r="DJ29" i="6"/>
  <c r="DJ38" i="6"/>
  <c r="DJ46" i="6"/>
  <c r="DJ51" i="6"/>
  <c r="DJ57" i="6"/>
  <c r="DJ66" i="6"/>
  <c r="DJ81" i="6"/>
  <c r="DJ84" i="6"/>
  <c r="DJ94" i="6"/>
  <c r="DJ106" i="6"/>
  <c r="DJ107" i="6"/>
  <c r="DI106" i="6"/>
  <c r="DJ103" i="6"/>
  <c r="DI86" i="6"/>
  <c r="DG18" i="6"/>
  <c r="DG24" i="6"/>
  <c r="DG28" i="6"/>
  <c r="DG32" i="6"/>
  <c r="DG36" i="6"/>
  <c r="DG42" i="6"/>
  <c r="DG45" i="6"/>
  <c r="DG49" i="6"/>
  <c r="DG55" i="6"/>
  <c r="DG62" i="6"/>
  <c r="DG72" i="6"/>
  <c r="DG79" i="6"/>
  <c r="DG92" i="6"/>
  <c r="DG98" i="6"/>
  <c r="DG104" i="6"/>
  <c r="DH4" i="6"/>
  <c r="DH9" i="6"/>
  <c r="DH26" i="6"/>
  <c r="DH30" i="6"/>
  <c r="DH34" i="6"/>
  <c r="DH39" i="6"/>
  <c r="DH52" i="6"/>
  <c r="DH58" i="6"/>
  <c r="DH67" i="6"/>
  <c r="DH73" i="6"/>
  <c r="DH77" i="6"/>
  <c r="DH82" i="6"/>
  <c r="DH86" i="6"/>
  <c r="DH95" i="6"/>
  <c r="DH101" i="6"/>
  <c r="DI3" i="6"/>
  <c r="DI12" i="6"/>
  <c r="DI15" i="6"/>
  <c r="DI18" i="6"/>
  <c r="DI24" i="6"/>
  <c r="DI28" i="6"/>
  <c r="DI32" i="6"/>
  <c r="DI36" i="6"/>
  <c r="DI42" i="6"/>
  <c r="DI45" i="6"/>
  <c r="DI49" i="6"/>
  <c r="DI55" i="6"/>
  <c r="DI62" i="6"/>
  <c r="DI70" i="6"/>
  <c r="DI72" i="6"/>
  <c r="DI79" i="6"/>
  <c r="DI89" i="6"/>
  <c r="DI92" i="6"/>
  <c r="DI98" i="6"/>
  <c r="DJ4" i="6"/>
  <c r="DJ9" i="6"/>
  <c r="DJ21" i="6"/>
  <c r="DJ26" i="6"/>
  <c r="DJ30" i="6"/>
  <c r="DJ34" i="6"/>
  <c r="DJ39" i="6"/>
  <c r="DJ52" i="6"/>
  <c r="DJ58" i="6"/>
  <c r="DJ67" i="6"/>
  <c r="DJ73" i="6"/>
  <c r="DJ77" i="6"/>
  <c r="DJ82" i="6"/>
  <c r="DJ86" i="6"/>
  <c r="DJ95" i="6"/>
  <c r="DI107" i="6"/>
  <c r="DI67" i="6"/>
  <c r="DH49" i="6"/>
  <c r="DH55" i="6"/>
  <c r="DH62" i="6"/>
  <c r="DH70" i="6"/>
  <c r="DH72" i="6"/>
  <c r="DH79" i="6"/>
  <c r="DH89" i="6"/>
  <c r="DH92" i="6"/>
  <c r="DH98" i="6"/>
  <c r="DH104" i="6"/>
  <c r="DI4" i="6"/>
  <c r="DI9" i="6"/>
  <c r="DI21" i="6"/>
  <c r="DI26" i="6"/>
  <c r="DI30" i="6"/>
  <c r="DI34" i="6"/>
  <c r="DI39" i="6"/>
  <c r="DI52" i="6"/>
  <c r="DI58" i="6"/>
  <c r="DJ15" i="6"/>
  <c r="DJ18" i="6"/>
  <c r="DJ28" i="6"/>
  <c r="DJ32" i="6"/>
  <c r="DJ36" i="6"/>
  <c r="DJ42" i="6"/>
  <c r="DJ45" i="6"/>
  <c r="DJ49" i="6"/>
  <c r="DJ55" i="6"/>
  <c r="DJ62" i="6"/>
  <c r="DJ70" i="6"/>
  <c r="DJ72" i="6"/>
  <c r="DJ79" i="6"/>
  <c r="DJ89" i="6"/>
  <c r="DJ92" i="6"/>
  <c r="DJ98" i="6"/>
  <c r="DJ104" i="6"/>
  <c r="DI37" i="6"/>
  <c r="DI50" i="6"/>
  <c r="DI56" i="6"/>
  <c r="DI65" i="6"/>
  <c r="DJ5" i="6"/>
  <c r="DJ10" i="6"/>
  <c r="DJ22" i="6"/>
  <c r="DJ27" i="6"/>
  <c r="DJ35" i="6"/>
  <c r="DJ40" i="6"/>
  <c r="DJ43" i="6"/>
  <c r="DJ47" i="6"/>
  <c r="DJ53" i="6"/>
  <c r="DJ59" i="6"/>
  <c r="DK108" i="6"/>
  <c r="DK104" i="6"/>
  <c r="DK101" i="6"/>
  <c r="DK89" i="6"/>
  <c r="DK86" i="6"/>
  <c r="DK82" i="6"/>
  <c r="DK79" i="6"/>
  <c r="DK77" i="6"/>
  <c r="DK73" i="6"/>
  <c r="DK72" i="6"/>
  <c r="DK70" i="6"/>
  <c r="DK67" i="6"/>
  <c r="DD106" i="6"/>
  <c r="DD101" i="6"/>
  <c r="DD95" i="6"/>
  <c r="DD86" i="6"/>
  <c r="DD82" i="6"/>
  <c r="DD77" i="6"/>
  <c r="DD73" i="6"/>
  <c r="DD67" i="6"/>
  <c r="DD58" i="6"/>
  <c r="DD52" i="6"/>
  <c r="DD39" i="6"/>
  <c r="DD34" i="6"/>
  <c r="DD30" i="6"/>
  <c r="DD26" i="6"/>
  <c r="DD21" i="6"/>
  <c r="DD9" i="6"/>
  <c r="DD4" i="6"/>
  <c r="DD81" i="6"/>
  <c r="DD8" i="6"/>
  <c r="DD105" i="6"/>
  <c r="DD99" i="6"/>
  <c r="DD93" i="6"/>
  <c r="DD90" i="6"/>
  <c r="DD76" i="6"/>
  <c r="DD71" i="6"/>
  <c r="DD65" i="6"/>
  <c r="DD56" i="6"/>
  <c r="DD50" i="6"/>
  <c r="DD37" i="6"/>
  <c r="DD33" i="6"/>
  <c r="DD25" i="6"/>
  <c r="DD19" i="6"/>
  <c r="DD13" i="6"/>
  <c r="DB18" i="6"/>
  <c r="DD104" i="6"/>
  <c r="DD98" i="6"/>
  <c r="DD92" i="6"/>
  <c r="DD89" i="6"/>
  <c r="DD79" i="6"/>
  <c r="DD72" i="6"/>
  <c r="DD70" i="6"/>
  <c r="DD62" i="6"/>
  <c r="DD55" i="6"/>
  <c r="DD49" i="6"/>
  <c r="DD45" i="6"/>
  <c r="DD42" i="6"/>
  <c r="DD36" i="6"/>
  <c r="DD32" i="6"/>
  <c r="DD28" i="6"/>
  <c r="DD24" i="6"/>
  <c r="DD18" i="6"/>
  <c r="DD15" i="6"/>
  <c r="DD12" i="6"/>
  <c r="DD3" i="6"/>
  <c r="DB17" i="6"/>
  <c r="DB14" i="6"/>
  <c r="DB11" i="6"/>
  <c r="DC106" i="6"/>
  <c r="DD108" i="6"/>
  <c r="DD103" i="6"/>
  <c r="DD97" i="6"/>
  <c r="DD91" i="6"/>
  <c r="DD88" i="6"/>
  <c r="DD85" i="6"/>
  <c r="DD83" i="6"/>
  <c r="DD75" i="6"/>
  <c r="DD69" i="6"/>
  <c r="DD64" i="6"/>
  <c r="DD60" i="6"/>
  <c r="DD54" i="6"/>
  <c r="DD48" i="6"/>
  <c r="DD41" i="6"/>
  <c r="DD31" i="6"/>
  <c r="DD23" i="6"/>
  <c r="DD17" i="6"/>
  <c r="DD14" i="6"/>
  <c r="DD11" i="6"/>
  <c r="DD6" i="6"/>
  <c r="DK84" i="6"/>
  <c r="DL69" i="6"/>
  <c r="DL64" i="6"/>
  <c r="DL60" i="6"/>
  <c r="DL57" i="6"/>
  <c r="DL48" i="6"/>
  <c r="DL104" i="6"/>
  <c r="DL101" i="6"/>
  <c r="DL98" i="6"/>
  <c r="DL95" i="6"/>
  <c r="DL92" i="6"/>
  <c r="DL89" i="6"/>
  <c r="DL86" i="6"/>
  <c r="DL82" i="6"/>
  <c r="DL79" i="6"/>
  <c r="DL77" i="6"/>
  <c r="DL73" i="6"/>
  <c r="DL72" i="6"/>
  <c r="DL70" i="6"/>
  <c r="DL67" i="6"/>
  <c r="DL62" i="6"/>
  <c r="DL58" i="6"/>
  <c r="DL55" i="6"/>
  <c r="DL52" i="6"/>
  <c r="DL49" i="6"/>
  <c r="DL45" i="6"/>
  <c r="DL42" i="6"/>
  <c r="DL39" i="6"/>
  <c r="DL36" i="6"/>
  <c r="DL34" i="6"/>
  <c r="DL32" i="6"/>
  <c r="DL30" i="6"/>
  <c r="DL28" i="6"/>
  <c r="DL26" i="6"/>
  <c r="DL24" i="6"/>
  <c r="DL21" i="6"/>
  <c r="DL18" i="6"/>
  <c r="DL15" i="6"/>
  <c r="DL12" i="6"/>
  <c r="DL9" i="6"/>
  <c r="DL4" i="6"/>
  <c r="DL53" i="6"/>
  <c r="DL71" i="6"/>
  <c r="DL74" i="6"/>
  <c r="DL90" i="6"/>
  <c r="DL96" i="6"/>
  <c r="DL105" i="6"/>
  <c r="DK88" i="6"/>
  <c r="DK103" i="6"/>
  <c r="DL66" i="6"/>
  <c r="DK75" i="6"/>
  <c r="DK81" i="6"/>
  <c r="DK85" i="6"/>
  <c r="DK97" i="6"/>
  <c r="DK106" i="6"/>
  <c r="DL5" i="6"/>
  <c r="DL10" i="6"/>
  <c r="DL22" i="6"/>
  <c r="DL27" i="6"/>
  <c r="DL40" i="6"/>
  <c r="DL43" i="6"/>
  <c r="DL47" i="6"/>
  <c r="DL56" i="6"/>
  <c r="DL65" i="6"/>
  <c r="DL76" i="6"/>
  <c r="DL99" i="6"/>
  <c r="DL107" i="6"/>
  <c r="DK94" i="6"/>
  <c r="DL35" i="6"/>
  <c r="DK41" i="6"/>
  <c r="DK48" i="6"/>
  <c r="DK57" i="6"/>
  <c r="DK64" i="6"/>
  <c r="DK66" i="6"/>
  <c r="DK83" i="6"/>
  <c r="DK91" i="6"/>
  <c r="DK100" i="6"/>
  <c r="DK98" i="6"/>
  <c r="DK95" i="6"/>
  <c r="DK92" i="6"/>
  <c r="DK4" i="6"/>
  <c r="DK9" i="6"/>
  <c r="DK12" i="6"/>
  <c r="DK15" i="6"/>
  <c r="DK18" i="6"/>
  <c r="DK21" i="6"/>
  <c r="DK24" i="6"/>
  <c r="DK26" i="6"/>
  <c r="DK28" i="6"/>
  <c r="DK30" i="6"/>
  <c r="DK32" i="6"/>
  <c r="DK34" i="6"/>
  <c r="DK36" i="6"/>
  <c r="DK39" i="6"/>
  <c r="DK42" i="6"/>
  <c r="DK45" i="6"/>
  <c r="DK49" i="6"/>
  <c r="DK52" i="6"/>
  <c r="DK55" i="6"/>
  <c r="DK58" i="6"/>
  <c r="DK62" i="6"/>
  <c r="DK5" i="6"/>
  <c r="DK7" i="6"/>
  <c r="DK10" i="6"/>
  <c r="DK13" i="6"/>
  <c r="DK19" i="6"/>
  <c r="DK22" i="6"/>
  <c r="DK25" i="6"/>
  <c r="DK27" i="6"/>
  <c r="DK33" i="6"/>
  <c r="DK35" i="6"/>
  <c r="DK37" i="6"/>
  <c r="DK40" i="6"/>
  <c r="DK43" i="6"/>
  <c r="DK47" i="6"/>
  <c r="DK50" i="6"/>
  <c r="DK53" i="6"/>
  <c r="DK56" i="6"/>
  <c r="DK59" i="6"/>
  <c r="DK65" i="6"/>
  <c r="DK68" i="6"/>
  <c r="DK71" i="6"/>
  <c r="DK74" i="6"/>
  <c r="DK76" i="6"/>
  <c r="DK78" i="6"/>
  <c r="DK87" i="6"/>
  <c r="DK90" i="6"/>
  <c r="DK93" i="6"/>
  <c r="DK96" i="6"/>
  <c r="DK99" i="6"/>
  <c r="DK102" i="6"/>
  <c r="DK105" i="6"/>
  <c r="DK107" i="6"/>
  <c r="DD20" i="6"/>
  <c r="DB6" i="6"/>
  <c r="DB104" i="6"/>
  <c r="DB72" i="6"/>
  <c r="DB62" i="6"/>
  <c r="DB42" i="6"/>
  <c r="DB24" i="6"/>
  <c r="DB91" i="6"/>
  <c r="DB48" i="6"/>
  <c r="DB31" i="6"/>
  <c r="DC100" i="6"/>
  <c r="DC84" i="6"/>
  <c r="DC57" i="6"/>
  <c r="DC38" i="6"/>
  <c r="DC29" i="6"/>
  <c r="DC16" i="6"/>
  <c r="DC8" i="6"/>
  <c r="DB107" i="6"/>
  <c r="DB102" i="6"/>
  <c r="DB96" i="6"/>
  <c r="DB87" i="6"/>
  <c r="DB78" i="6"/>
  <c r="DB74" i="6"/>
  <c r="DB68" i="6"/>
  <c r="DB59" i="6"/>
  <c r="DB53" i="6"/>
  <c r="DB47" i="6"/>
  <c r="DB43" i="6"/>
  <c r="DB40" i="6"/>
  <c r="DB35" i="6"/>
  <c r="DB27" i="6"/>
  <c r="DB22" i="6"/>
  <c r="DB10" i="6"/>
  <c r="DB5" i="6"/>
  <c r="DC105" i="6"/>
  <c r="DC99" i="6"/>
  <c r="DC93" i="6"/>
  <c r="DC90" i="6"/>
  <c r="DC76" i="6"/>
  <c r="DC71" i="6"/>
  <c r="DC65" i="6"/>
  <c r="DC56" i="6"/>
  <c r="DC50" i="6"/>
  <c r="DC37" i="6"/>
  <c r="DC33" i="6"/>
  <c r="DC25" i="6"/>
  <c r="DC19" i="6"/>
  <c r="DC13" i="6"/>
  <c r="DC7" i="6"/>
  <c r="DB89" i="6"/>
  <c r="DB49" i="6"/>
  <c r="DB32" i="6"/>
  <c r="DB103" i="6"/>
  <c r="DB85" i="6"/>
  <c r="DB60" i="6"/>
  <c r="DC20" i="6"/>
  <c r="DB86" i="6"/>
  <c r="DB82" i="6"/>
  <c r="DB77" i="6"/>
  <c r="DB73" i="6"/>
  <c r="DB67" i="6"/>
  <c r="DB58" i="6"/>
  <c r="DB52" i="6"/>
  <c r="DB39" i="6"/>
  <c r="DB34" i="6"/>
  <c r="DB30" i="6"/>
  <c r="DB26" i="6"/>
  <c r="DB21" i="6"/>
  <c r="DB9" i="6"/>
  <c r="DB4" i="6"/>
  <c r="DC104" i="6"/>
  <c r="DC98" i="6"/>
  <c r="DC92" i="6"/>
  <c r="DC89" i="6"/>
  <c r="DC79" i="6"/>
  <c r="DC72" i="6"/>
  <c r="DC70" i="6"/>
  <c r="DC62" i="6"/>
  <c r="DC55" i="6"/>
  <c r="DC49" i="6"/>
  <c r="DC45" i="6"/>
  <c r="DC42" i="6"/>
  <c r="DC36" i="6"/>
  <c r="DC32" i="6"/>
  <c r="DC28" i="6"/>
  <c r="DC24" i="6"/>
  <c r="DC18" i="6"/>
  <c r="DC15" i="6"/>
  <c r="DC12" i="6"/>
  <c r="DC3" i="6"/>
  <c r="DB92" i="6"/>
  <c r="DB45" i="6"/>
  <c r="DB28" i="6"/>
  <c r="DB97" i="6"/>
  <c r="DB83" i="6"/>
  <c r="DB69" i="6"/>
  <c r="DB54" i="6"/>
  <c r="DB41" i="6"/>
  <c r="DB23" i="6"/>
  <c r="DC94" i="6"/>
  <c r="DC81" i="6"/>
  <c r="DC66" i="6"/>
  <c r="DC46" i="6"/>
  <c r="DB100" i="6"/>
  <c r="DB84" i="6"/>
  <c r="DB57" i="6"/>
  <c r="DB51" i="6"/>
  <c r="DB46" i="6"/>
  <c r="DB38" i="6"/>
  <c r="DB29" i="6"/>
  <c r="DB20" i="6"/>
  <c r="DB16" i="6"/>
  <c r="DB8" i="6"/>
  <c r="DC108" i="6"/>
  <c r="DC103" i="6"/>
  <c r="DC97" i="6"/>
  <c r="DC91" i="6"/>
  <c r="DC88" i="6"/>
  <c r="DC85" i="6"/>
  <c r="DC83" i="6"/>
  <c r="DC75" i="6"/>
  <c r="DC69" i="6"/>
  <c r="DC64" i="6"/>
  <c r="DC60" i="6"/>
  <c r="DC54" i="6"/>
  <c r="DC48" i="6"/>
  <c r="DC41" i="6"/>
  <c r="DC31" i="6"/>
  <c r="DC23" i="6"/>
  <c r="DC17" i="6"/>
  <c r="DC14" i="6"/>
  <c r="DC11" i="6"/>
  <c r="DC6" i="6"/>
  <c r="DB98" i="6"/>
  <c r="DB79" i="6"/>
  <c r="DB70" i="6"/>
  <c r="DB55" i="6"/>
  <c r="DB36" i="6"/>
  <c r="DB108" i="6"/>
  <c r="DB88" i="6"/>
  <c r="DB75" i="6"/>
  <c r="DB64" i="6"/>
  <c r="DC51" i="6"/>
  <c r="DB101" i="6"/>
  <c r="DB95" i="6"/>
  <c r="DB106" i="6"/>
  <c r="DB94" i="6"/>
  <c r="DB81" i="6"/>
  <c r="DB66" i="6"/>
  <c r="DB105" i="6"/>
  <c r="DB99" i="6"/>
  <c r="DB93" i="6"/>
  <c r="DB90" i="6"/>
  <c r="DB76" i="6"/>
  <c r="DB71" i="6"/>
  <c r="DB65" i="6"/>
  <c r="DB56" i="6"/>
  <c r="DB50" i="6"/>
  <c r="DB37" i="6"/>
  <c r="DB33" i="6"/>
  <c r="DB25" i="6"/>
  <c r="DB19" i="6"/>
  <c r="DB13" i="6"/>
  <c r="DB7" i="6"/>
  <c r="DC107" i="6"/>
  <c r="DC102" i="6"/>
  <c r="DC96" i="6"/>
  <c r="DC87" i="6"/>
  <c r="DC78" i="6"/>
  <c r="DC74" i="6"/>
  <c r="DC68" i="6"/>
  <c r="DC59" i="6"/>
  <c r="DC53" i="6"/>
  <c r="DC47" i="6"/>
  <c r="DC43" i="6"/>
  <c r="DC40" i="6"/>
  <c r="DC35" i="6"/>
  <c r="DC27" i="6"/>
  <c r="DC22" i="6"/>
  <c r="DC10" i="6"/>
  <c r="DC5" i="6"/>
  <c r="DB15" i="6"/>
  <c r="DB12" i="6"/>
  <c r="DB3" i="6"/>
  <c r="DC101" i="6"/>
  <c r="DC95" i="6"/>
  <c r="DC86" i="6"/>
  <c r="DC82" i="6"/>
  <c r="DC77" i="6"/>
  <c r="DC73" i="6"/>
  <c r="DC67" i="6"/>
  <c r="DC58" i="6"/>
  <c r="DC52" i="6"/>
  <c r="DC39" i="6"/>
  <c r="DC34" i="6"/>
  <c r="DC30" i="6"/>
  <c r="DC26" i="6"/>
  <c r="DC21" i="6"/>
  <c r="DC9" i="6"/>
  <c r="DC4" i="6"/>
  <c r="HC110" i="6" l="1"/>
  <c r="GZ110" i="6"/>
  <c r="HF110" i="6"/>
  <c r="HH110" i="6"/>
  <c r="GX110" i="6"/>
  <c r="HA110" i="6"/>
  <c r="HE110" i="6"/>
  <c r="HD110" i="6"/>
  <c r="GY110" i="6"/>
  <c r="HB110" i="6"/>
  <c r="HG110" i="6"/>
  <c r="HE63" i="6"/>
  <c r="GX63" i="6"/>
  <c r="HA63" i="6"/>
  <c r="HG63" i="6"/>
  <c r="HD63" i="6"/>
  <c r="GY63" i="6"/>
  <c r="HB63" i="6"/>
  <c r="HF63" i="6"/>
  <c r="HH63" i="6"/>
  <c r="HC63" i="6"/>
  <c r="GZ63" i="6"/>
  <c r="GX61" i="6"/>
  <c r="HA61" i="6"/>
  <c r="HG61" i="6"/>
  <c r="HD61" i="6"/>
  <c r="GY61" i="6"/>
  <c r="HB61" i="6"/>
  <c r="HF61" i="6"/>
  <c r="HH61" i="6"/>
  <c r="HC61" i="6"/>
  <c r="GZ61" i="6"/>
  <c r="HE61" i="6"/>
  <c r="HG80" i="6"/>
  <c r="HD80" i="6"/>
  <c r="HH80" i="6"/>
  <c r="GX80" i="6"/>
  <c r="GZ80" i="6"/>
  <c r="HB80" i="6"/>
  <c r="HE80" i="6"/>
  <c r="HF80" i="6"/>
  <c r="HC80" i="6"/>
  <c r="GY80" i="6"/>
  <c r="HA80" i="6"/>
  <c r="HH109" i="6"/>
  <c r="HH112" i="6"/>
  <c r="HH111" i="6"/>
  <c r="HC109" i="6"/>
  <c r="HC111" i="6"/>
  <c r="HC112" i="6"/>
  <c r="HB109" i="6"/>
  <c r="HB111" i="6"/>
  <c r="HB112" i="6"/>
  <c r="HE109" i="6"/>
  <c r="HE111" i="6"/>
  <c r="HE112" i="6"/>
  <c r="HF109" i="6"/>
  <c r="HF111" i="6"/>
  <c r="HF112" i="6"/>
  <c r="HG109" i="6"/>
  <c r="HG111" i="6"/>
  <c r="HG112" i="6"/>
  <c r="HD109" i="6"/>
  <c r="HD111" i="6"/>
  <c r="HD112" i="6"/>
  <c r="GZ109" i="6"/>
  <c r="GZ112" i="6"/>
  <c r="GZ111" i="6"/>
  <c r="GX111" i="6"/>
  <c r="GX112" i="6"/>
  <c r="GX109" i="6"/>
  <c r="HA112" i="6"/>
  <c r="HA111" i="6"/>
  <c r="HA109" i="6"/>
  <c r="GY112" i="6"/>
  <c r="GY109" i="6"/>
  <c r="GY111" i="6"/>
  <c r="GX44" i="6"/>
  <c r="HB44" i="6"/>
  <c r="HA44" i="6"/>
  <c r="GZ44" i="6"/>
  <c r="GY44" i="6"/>
  <c r="HH44" i="6"/>
  <c r="HG44" i="6"/>
  <c r="HD44" i="6"/>
  <c r="HC44" i="6"/>
  <c r="HE44" i="6"/>
  <c r="HF44" i="6"/>
  <c r="HH104" i="6"/>
  <c r="HH98" i="6"/>
  <c r="HH82" i="6"/>
  <c r="HH84" i="6"/>
  <c r="HH94" i="6"/>
  <c r="HH62" i="6"/>
  <c r="HH74" i="6"/>
  <c r="HH75" i="6"/>
  <c r="HH50" i="6"/>
  <c r="HH52" i="6"/>
  <c r="HH30" i="6"/>
  <c r="HH24" i="6"/>
  <c r="HH18" i="6"/>
  <c r="HH12" i="6"/>
  <c r="HH6" i="6"/>
  <c r="HH37" i="6"/>
  <c r="HH5" i="6"/>
  <c r="HH103" i="6"/>
  <c r="HH97" i="6"/>
  <c r="HH81" i="6"/>
  <c r="HH95" i="6"/>
  <c r="HH77" i="6"/>
  <c r="HH60" i="6"/>
  <c r="HH72" i="6"/>
  <c r="HH73" i="6"/>
  <c r="HH49" i="6"/>
  <c r="HH47" i="6"/>
  <c r="HH29" i="6"/>
  <c r="HH23" i="6"/>
  <c r="HH17" i="6"/>
  <c r="HH11" i="6"/>
  <c r="HH43" i="6"/>
  <c r="HH35" i="6"/>
  <c r="HH3" i="6"/>
  <c r="HH108" i="6"/>
  <c r="HH102" i="6"/>
  <c r="HH96" i="6"/>
  <c r="HH89" i="6"/>
  <c r="HH71" i="6"/>
  <c r="HH59" i="6"/>
  <c r="HH67" i="6"/>
  <c r="HH70" i="6"/>
  <c r="HH46" i="6"/>
  <c r="HH54" i="6"/>
  <c r="HH28" i="6"/>
  <c r="HH22" i="6"/>
  <c r="HH16" i="6"/>
  <c r="HH10" i="6"/>
  <c r="HH41" i="6"/>
  <c r="HH40" i="6"/>
  <c r="HH2" i="6"/>
  <c r="HH107" i="6"/>
  <c r="HH101" i="6"/>
  <c r="HH92" i="6"/>
  <c r="HH91" i="6"/>
  <c r="HH88" i="6"/>
  <c r="HH78" i="6"/>
  <c r="HH58" i="6"/>
  <c r="HH79" i="6"/>
  <c r="HH64" i="6"/>
  <c r="HH45" i="6"/>
  <c r="HH51" i="6"/>
  <c r="HH27" i="6"/>
  <c r="HH21" i="6"/>
  <c r="HH15" i="6"/>
  <c r="HH9" i="6"/>
  <c r="HH39" i="6"/>
  <c r="HH34" i="6"/>
  <c r="HH38" i="6"/>
  <c r="HH106" i="6"/>
  <c r="HH100" i="6"/>
  <c r="HH86" i="6"/>
  <c r="HH85" i="6"/>
  <c r="HH93" i="6"/>
  <c r="HH69" i="6"/>
  <c r="HH57" i="6"/>
  <c r="HH66" i="6"/>
  <c r="HH56" i="6"/>
  <c r="HH48" i="6"/>
  <c r="HH26" i="6"/>
  <c r="HH20" i="6"/>
  <c r="HH14" i="6"/>
  <c r="HH8" i="6"/>
  <c r="HH36" i="6"/>
  <c r="HH32" i="6"/>
  <c r="HH4" i="6"/>
  <c r="HH105" i="6"/>
  <c r="HH99" i="6"/>
  <c r="HH83" i="6"/>
  <c r="HH90" i="6"/>
  <c r="HH87" i="6"/>
  <c r="HH68" i="6"/>
  <c r="HH76" i="6"/>
  <c r="HH65" i="6"/>
  <c r="HH53" i="6"/>
  <c r="HH55" i="6"/>
  <c r="HH42" i="6"/>
  <c r="HH25" i="6"/>
  <c r="HH19" i="6"/>
  <c r="HH13" i="6"/>
  <c r="HH7" i="6"/>
  <c r="HH33" i="6"/>
  <c r="HH31" i="6"/>
  <c r="HG108" i="6"/>
  <c r="HG107" i="6"/>
  <c r="HG104" i="6"/>
  <c r="HG101" i="6"/>
  <c r="HG95" i="6"/>
  <c r="HG94" i="6"/>
  <c r="HG103" i="6"/>
  <c r="HG97" i="6"/>
  <c r="HG93" i="6"/>
  <c r="HG87" i="6"/>
  <c r="HG102" i="6"/>
  <c r="HG92" i="6"/>
  <c r="HG86" i="6"/>
  <c r="HG83" i="6"/>
  <c r="HG82" i="6"/>
  <c r="HG100" i="6"/>
  <c r="HG98" i="6"/>
  <c r="HG91" i="6"/>
  <c r="HG85" i="6"/>
  <c r="HG90" i="6"/>
  <c r="HG84" i="6"/>
  <c r="HG106" i="6"/>
  <c r="HG99" i="6"/>
  <c r="HG96" i="6"/>
  <c r="HG89" i="6"/>
  <c r="HG105" i="6"/>
  <c r="HG88" i="6"/>
  <c r="HG81" i="6"/>
  <c r="HG78" i="6"/>
  <c r="HG72" i="6"/>
  <c r="HG70" i="6"/>
  <c r="HG69" i="6"/>
  <c r="HG68" i="6"/>
  <c r="HG67" i="6"/>
  <c r="HG66" i="6"/>
  <c r="HG65" i="6"/>
  <c r="HG64" i="6"/>
  <c r="HG77" i="6"/>
  <c r="HG75" i="6"/>
  <c r="HG73" i="6"/>
  <c r="HG62" i="6"/>
  <c r="HG60" i="6"/>
  <c r="HG59" i="6"/>
  <c r="HG58" i="6"/>
  <c r="HG57" i="6"/>
  <c r="HG76" i="6"/>
  <c r="HG74" i="6"/>
  <c r="HG79" i="6"/>
  <c r="HG71" i="6"/>
  <c r="HG54" i="6"/>
  <c r="HG51" i="6"/>
  <c r="HG56" i="6"/>
  <c r="HG53" i="6"/>
  <c r="HG50" i="6"/>
  <c r="HG49" i="6"/>
  <c r="HG46" i="6"/>
  <c r="HG48" i="6"/>
  <c r="HG55" i="6"/>
  <c r="HG52" i="6"/>
  <c r="HG47" i="6"/>
  <c r="HG36" i="6"/>
  <c r="HG33" i="6"/>
  <c r="HG45" i="6"/>
  <c r="HG42" i="6"/>
  <c r="HG40" i="6"/>
  <c r="HG38" i="6"/>
  <c r="HG35" i="6"/>
  <c r="HG32" i="6"/>
  <c r="HG37" i="6"/>
  <c r="HG34" i="6"/>
  <c r="HG31" i="6"/>
  <c r="HG43" i="6"/>
  <c r="HG41" i="6"/>
  <c r="HG39" i="6"/>
  <c r="HG29" i="6"/>
  <c r="HG26" i="6"/>
  <c r="HG23" i="6"/>
  <c r="HG20" i="6"/>
  <c r="HG19" i="6"/>
  <c r="HG16" i="6"/>
  <c r="HG13" i="6"/>
  <c r="HG10" i="6"/>
  <c r="HG7" i="6"/>
  <c r="HG30" i="6"/>
  <c r="HG27" i="6"/>
  <c r="HG24" i="6"/>
  <c r="HG21" i="6"/>
  <c r="HG18" i="6"/>
  <c r="HG15" i="6"/>
  <c r="HG12" i="6"/>
  <c r="HG22" i="6"/>
  <c r="HG17" i="6"/>
  <c r="HG8" i="6"/>
  <c r="HG4" i="6"/>
  <c r="HG5" i="6"/>
  <c r="HG3" i="6"/>
  <c r="HG25" i="6"/>
  <c r="HG14" i="6"/>
  <c r="HG2" i="6"/>
  <c r="HG6" i="6"/>
  <c r="HG11" i="6"/>
  <c r="HG9" i="6"/>
  <c r="HG28" i="6"/>
  <c r="HF105" i="6"/>
  <c r="HF99" i="6"/>
  <c r="HF93" i="6"/>
  <c r="HF87" i="6"/>
  <c r="HF81" i="6"/>
  <c r="HF74" i="6"/>
  <c r="HF68" i="6"/>
  <c r="HF60" i="6"/>
  <c r="HF54" i="6"/>
  <c r="HF48" i="6"/>
  <c r="HF42" i="6"/>
  <c r="HF36" i="6"/>
  <c r="HF30" i="6"/>
  <c r="HF24" i="6"/>
  <c r="HF18" i="6"/>
  <c r="HF12" i="6"/>
  <c r="HF6" i="6"/>
  <c r="HF104" i="6"/>
  <c r="HF98" i="6"/>
  <c r="HF92" i="6"/>
  <c r="HF86" i="6"/>
  <c r="HF79" i="6"/>
  <c r="HF73" i="6"/>
  <c r="HF67" i="6"/>
  <c r="HF59" i="6"/>
  <c r="HF53" i="6"/>
  <c r="HF47" i="6"/>
  <c r="HF41" i="6"/>
  <c r="HF35" i="6"/>
  <c r="HF29" i="6"/>
  <c r="HF23" i="6"/>
  <c r="HF17" i="6"/>
  <c r="HF11" i="6"/>
  <c r="HF5" i="6"/>
  <c r="HF88" i="6"/>
  <c r="HF75" i="6"/>
  <c r="HF55" i="6"/>
  <c r="HF25" i="6"/>
  <c r="HF103" i="6"/>
  <c r="HF97" i="6"/>
  <c r="HF91" i="6"/>
  <c r="HF85" i="6"/>
  <c r="HF78" i="6"/>
  <c r="HF72" i="6"/>
  <c r="HF66" i="6"/>
  <c r="HF58" i="6"/>
  <c r="HF52" i="6"/>
  <c r="HF46" i="6"/>
  <c r="HF40" i="6"/>
  <c r="HF34" i="6"/>
  <c r="HF28" i="6"/>
  <c r="HF22" i="6"/>
  <c r="HF16" i="6"/>
  <c r="HF10" i="6"/>
  <c r="HF4" i="6"/>
  <c r="HF94" i="6"/>
  <c r="HF69" i="6"/>
  <c r="HF37" i="6"/>
  <c r="HF19" i="6"/>
  <c r="HF108" i="6"/>
  <c r="HF102" i="6"/>
  <c r="HF96" i="6"/>
  <c r="HF90" i="6"/>
  <c r="HF84" i="6"/>
  <c r="HF77" i="6"/>
  <c r="HF71" i="6"/>
  <c r="HF65" i="6"/>
  <c r="HF57" i="6"/>
  <c r="HF51" i="6"/>
  <c r="HF45" i="6"/>
  <c r="HF39" i="6"/>
  <c r="HF33" i="6"/>
  <c r="HF27" i="6"/>
  <c r="HF21" i="6"/>
  <c r="HF15" i="6"/>
  <c r="HF9" i="6"/>
  <c r="HF3" i="6"/>
  <c r="HF100" i="6"/>
  <c r="HF62" i="6"/>
  <c r="HF43" i="6"/>
  <c r="HF31" i="6"/>
  <c r="HF13" i="6"/>
  <c r="HF107" i="6"/>
  <c r="HF101" i="6"/>
  <c r="HF95" i="6"/>
  <c r="HF89" i="6"/>
  <c r="HF83" i="6"/>
  <c r="HF76" i="6"/>
  <c r="HF70" i="6"/>
  <c r="HF64" i="6"/>
  <c r="HF56" i="6"/>
  <c r="HF50" i="6"/>
  <c r="HF38" i="6"/>
  <c r="HF32" i="6"/>
  <c r="HF26" i="6"/>
  <c r="HF20" i="6"/>
  <c r="HF14" i="6"/>
  <c r="HF8" i="6"/>
  <c r="HF2" i="6"/>
  <c r="HF106" i="6"/>
  <c r="HF82" i="6"/>
  <c r="HF49" i="6"/>
  <c r="HF7" i="6"/>
  <c r="HE2" i="6"/>
  <c r="HE5" i="6"/>
  <c r="HE10" i="6"/>
  <c r="HE22" i="6"/>
  <c r="HE27" i="6"/>
  <c r="HE35" i="6"/>
  <c r="HE40" i="6"/>
  <c r="HE43" i="6"/>
  <c r="HE47" i="6"/>
  <c r="HE53" i="6"/>
  <c r="HE59" i="6"/>
  <c r="HE68" i="6"/>
  <c r="HE74" i="6"/>
  <c r="HE78" i="6"/>
  <c r="HE87" i="6"/>
  <c r="HE96" i="6"/>
  <c r="HE102" i="6"/>
  <c r="HE107" i="6"/>
  <c r="HE39" i="6"/>
  <c r="HE73" i="6"/>
  <c r="HE86" i="6"/>
  <c r="HE6" i="6"/>
  <c r="HE11" i="6"/>
  <c r="HE14" i="6"/>
  <c r="HE17" i="6"/>
  <c r="HE23" i="6"/>
  <c r="HE31" i="6"/>
  <c r="HE41" i="6"/>
  <c r="HE48" i="6"/>
  <c r="HE54" i="6"/>
  <c r="HE60" i="6"/>
  <c r="HE64" i="6"/>
  <c r="HE69" i="6"/>
  <c r="HE75" i="6"/>
  <c r="HE83" i="6"/>
  <c r="HE85" i="6"/>
  <c r="HE88" i="6"/>
  <c r="HE91" i="6"/>
  <c r="HE97" i="6"/>
  <c r="HE103" i="6"/>
  <c r="HE108" i="6"/>
  <c r="HE72" i="6"/>
  <c r="HE79" i="6"/>
  <c r="HE89" i="6"/>
  <c r="HE98" i="6"/>
  <c r="HE93" i="6"/>
  <c r="HE105" i="6"/>
  <c r="HE4" i="6"/>
  <c r="HE26" i="6"/>
  <c r="HE58" i="6"/>
  <c r="HE101" i="6"/>
  <c r="HE3" i="6"/>
  <c r="HE12" i="6"/>
  <c r="HE15" i="6"/>
  <c r="HE18" i="6"/>
  <c r="HE24" i="6"/>
  <c r="HE28" i="6"/>
  <c r="HE32" i="6"/>
  <c r="HE36" i="6"/>
  <c r="HE42" i="6"/>
  <c r="HE45" i="6"/>
  <c r="HE49" i="6"/>
  <c r="HE55" i="6"/>
  <c r="HE62" i="6"/>
  <c r="HE70" i="6"/>
  <c r="HE92" i="6"/>
  <c r="HE104" i="6"/>
  <c r="HE9" i="6"/>
  <c r="HE21" i="6"/>
  <c r="HE34" i="6"/>
  <c r="HE52" i="6"/>
  <c r="HE82" i="6"/>
  <c r="HE7" i="6"/>
  <c r="HE13" i="6"/>
  <c r="HE19" i="6"/>
  <c r="HE25" i="6"/>
  <c r="HE33" i="6"/>
  <c r="HE37" i="6"/>
  <c r="HE50" i="6"/>
  <c r="HE56" i="6"/>
  <c r="HE65" i="6"/>
  <c r="HE71" i="6"/>
  <c r="HE76" i="6"/>
  <c r="HE90" i="6"/>
  <c r="HE99" i="6"/>
  <c r="HE30" i="6"/>
  <c r="HE67" i="6"/>
  <c r="HE77" i="6"/>
  <c r="HE95" i="6"/>
  <c r="HE8" i="6"/>
  <c r="HE16" i="6"/>
  <c r="HE20" i="6"/>
  <c r="HE29" i="6"/>
  <c r="HE38" i="6"/>
  <c r="HE46" i="6"/>
  <c r="HE51" i="6"/>
  <c r="HE57" i="6"/>
  <c r="HE66" i="6"/>
  <c r="HE81" i="6"/>
  <c r="HE84" i="6"/>
  <c r="HE94" i="6"/>
  <c r="HE100" i="6"/>
  <c r="HE106" i="6"/>
  <c r="HD3" i="6"/>
  <c r="HD73" i="6"/>
  <c r="HD55" i="6"/>
  <c r="HD97" i="6"/>
  <c r="HD85" i="6"/>
  <c r="HD75" i="6"/>
  <c r="HD54" i="6"/>
  <c r="HD41" i="6"/>
  <c r="HD14" i="6"/>
  <c r="HD6" i="6"/>
  <c r="HD87" i="6"/>
  <c r="HD37" i="6"/>
  <c r="HD22" i="6"/>
  <c r="HD10" i="6"/>
  <c r="HD107" i="6"/>
  <c r="HD68" i="6"/>
  <c r="HD47" i="6"/>
  <c r="HD98" i="6"/>
  <c r="HD72" i="6"/>
  <c r="HD49" i="6"/>
  <c r="HD34" i="6"/>
  <c r="HD21" i="6"/>
  <c r="HD9" i="6"/>
  <c r="HD89" i="6"/>
  <c r="HD45" i="6"/>
  <c r="HD94" i="6"/>
  <c r="HD84" i="6"/>
  <c r="HD51" i="6"/>
  <c r="HD38" i="6"/>
  <c r="HD35" i="6"/>
  <c r="HD19" i="6"/>
  <c r="HD105" i="6"/>
  <c r="HD65" i="6"/>
  <c r="HD43" i="6"/>
  <c r="HD92" i="6"/>
  <c r="HD70" i="6"/>
  <c r="HD32" i="6"/>
  <c r="HD18" i="6"/>
  <c r="HD67" i="6"/>
  <c r="HD108" i="6"/>
  <c r="HD91" i="6"/>
  <c r="HD83" i="6"/>
  <c r="HD64" i="6"/>
  <c r="HD48" i="6"/>
  <c r="HD23" i="6"/>
  <c r="HD11" i="6"/>
  <c r="HD104" i="6"/>
  <c r="HD59" i="6"/>
  <c r="HD33" i="6"/>
  <c r="HD7" i="6"/>
  <c r="HD99" i="6"/>
  <c r="HD40" i="6"/>
  <c r="HD86" i="6"/>
  <c r="HD30" i="6"/>
  <c r="HD106" i="6"/>
  <c r="HD81" i="6"/>
  <c r="HD46" i="6"/>
  <c r="HD20" i="6"/>
  <c r="HD78" i="6"/>
  <c r="HD53" i="6"/>
  <c r="HD5" i="6"/>
  <c r="HD96" i="6"/>
  <c r="HD76" i="6"/>
  <c r="HD42" i="6"/>
  <c r="HD28" i="6"/>
  <c r="HD15" i="6"/>
  <c r="HD82" i="6"/>
  <c r="HD103" i="6"/>
  <c r="HD88" i="6"/>
  <c r="HD69" i="6"/>
  <c r="HD60" i="6"/>
  <c r="HD31" i="6"/>
  <c r="HD17" i="6"/>
  <c r="HD102" i="6"/>
  <c r="HD74" i="6"/>
  <c r="HD27" i="6"/>
  <c r="HD56" i="6"/>
  <c r="HD79" i="6"/>
  <c r="HD58" i="6"/>
  <c r="HD39" i="6"/>
  <c r="HD26" i="6"/>
  <c r="HD4" i="6"/>
  <c r="HD95" i="6"/>
  <c r="HD77" i="6"/>
  <c r="HD62" i="6"/>
  <c r="HD100" i="6"/>
  <c r="HD66" i="6"/>
  <c r="HD57" i="6"/>
  <c r="HD29" i="6"/>
  <c r="HD16" i="6"/>
  <c r="HD8" i="6"/>
  <c r="HD93" i="6"/>
  <c r="HD71" i="6"/>
  <c r="HD25" i="6"/>
  <c r="HD13" i="6"/>
  <c r="HD101" i="6"/>
  <c r="HD90" i="6"/>
  <c r="HD50" i="6"/>
  <c r="HD52" i="6"/>
  <c r="HD36" i="6"/>
  <c r="HD24" i="6"/>
  <c r="HD12" i="6"/>
  <c r="HC3" i="6"/>
  <c r="HC102" i="6"/>
  <c r="HC75" i="6"/>
  <c r="HC26" i="6"/>
  <c r="HC11" i="6"/>
  <c r="HC100" i="6"/>
  <c r="HC99" i="6"/>
  <c r="HC69" i="6"/>
  <c r="HC54" i="6"/>
  <c r="HC37" i="6"/>
  <c r="HC19" i="6"/>
  <c r="HC7" i="6"/>
  <c r="HC78" i="6"/>
  <c r="HC59" i="6"/>
  <c r="HC47" i="6"/>
  <c r="HC40" i="6"/>
  <c r="HC22" i="6"/>
  <c r="HC92" i="6"/>
  <c r="HC86" i="6"/>
  <c r="HC73" i="6"/>
  <c r="HC25" i="6"/>
  <c r="HC94" i="6"/>
  <c r="HC95" i="6"/>
  <c r="HC82" i="6"/>
  <c r="HC65" i="6"/>
  <c r="HC50" i="6"/>
  <c r="HC34" i="6"/>
  <c r="HC4" i="6"/>
  <c r="HC84" i="6"/>
  <c r="HC57" i="6"/>
  <c r="HC46" i="6"/>
  <c r="HC38" i="6"/>
  <c r="HC29" i="6"/>
  <c r="HC20" i="6"/>
  <c r="HC8" i="6"/>
  <c r="HC88" i="6"/>
  <c r="HC85" i="6"/>
  <c r="HC60" i="6"/>
  <c r="HC39" i="6"/>
  <c r="HC21" i="6"/>
  <c r="HC91" i="6"/>
  <c r="HC31" i="6"/>
  <c r="HC14" i="6"/>
  <c r="HC89" i="6"/>
  <c r="HC70" i="6"/>
  <c r="HC55" i="6"/>
  <c r="HC45" i="6"/>
  <c r="HC36" i="6"/>
  <c r="HC28" i="6"/>
  <c r="HC18" i="6"/>
  <c r="HC12" i="6"/>
  <c r="HC107" i="6"/>
  <c r="HC103" i="6"/>
  <c r="HC83" i="6"/>
  <c r="HC71" i="6"/>
  <c r="HC56" i="6"/>
  <c r="HC17" i="6"/>
  <c r="HC6" i="6"/>
  <c r="HC108" i="6"/>
  <c r="HC90" i="6"/>
  <c r="HC76" i="6"/>
  <c r="HC64" i="6"/>
  <c r="HC30" i="6"/>
  <c r="HC13" i="6"/>
  <c r="HC87" i="6"/>
  <c r="HC74" i="6"/>
  <c r="HC68" i="6"/>
  <c r="HC53" i="6"/>
  <c r="HC43" i="6"/>
  <c r="HC35" i="6"/>
  <c r="HC27" i="6"/>
  <c r="HC10" i="6"/>
  <c r="HC5" i="6"/>
  <c r="HC98" i="6"/>
  <c r="HC104" i="6"/>
  <c r="HC97" i="6"/>
  <c r="HC67" i="6"/>
  <c r="HC52" i="6"/>
  <c r="HC33" i="6"/>
  <c r="HC105" i="6"/>
  <c r="HC9" i="6"/>
  <c r="HC81" i="6"/>
  <c r="HC66" i="6"/>
  <c r="HC51" i="6"/>
  <c r="HC16" i="6"/>
  <c r="HC96" i="6"/>
  <c r="HC93" i="6"/>
  <c r="HC77" i="6"/>
  <c r="HC48" i="6"/>
  <c r="HC106" i="6"/>
  <c r="HC101" i="6"/>
  <c r="HC58" i="6"/>
  <c r="HC41" i="6"/>
  <c r="HC23" i="6"/>
  <c r="HC79" i="6"/>
  <c r="HC72" i="6"/>
  <c r="HC62" i="6"/>
  <c r="HC49" i="6"/>
  <c r="HC42" i="6"/>
  <c r="HC32" i="6"/>
  <c r="HC24" i="6"/>
  <c r="HC15" i="6"/>
  <c r="HB3" i="6"/>
  <c r="HB105" i="6"/>
  <c r="HB90" i="6"/>
  <c r="HB71" i="6"/>
  <c r="HB33" i="6"/>
  <c r="HB19" i="6"/>
  <c r="HB100" i="6"/>
  <c r="HB81" i="6"/>
  <c r="HB60" i="6"/>
  <c r="HB31" i="6"/>
  <c r="HB17" i="6"/>
  <c r="HB97" i="6"/>
  <c r="HB82" i="6"/>
  <c r="HB34" i="6"/>
  <c r="HB21" i="6"/>
  <c r="HB9" i="6"/>
  <c r="HB102" i="6"/>
  <c r="HB87" i="6"/>
  <c r="HB78" i="6"/>
  <c r="HB68" i="6"/>
  <c r="HB59" i="6"/>
  <c r="HB43" i="6"/>
  <c r="HB94" i="6"/>
  <c r="HB69" i="6"/>
  <c r="HB57" i="6"/>
  <c r="HB29" i="6"/>
  <c r="HB16" i="6"/>
  <c r="HB8" i="6"/>
  <c r="HB91" i="6"/>
  <c r="HB104" i="6"/>
  <c r="HB89" i="6"/>
  <c r="HB79" i="6"/>
  <c r="HB70" i="6"/>
  <c r="HB62" i="6"/>
  <c r="HB45" i="6"/>
  <c r="HB32" i="6"/>
  <c r="HB18" i="6"/>
  <c r="HB99" i="6"/>
  <c r="HB76" i="6"/>
  <c r="HB65" i="6"/>
  <c r="HB56" i="6"/>
  <c r="HB7" i="6"/>
  <c r="HB66" i="6"/>
  <c r="HB54" i="6"/>
  <c r="HB41" i="6"/>
  <c r="HB14" i="6"/>
  <c r="HB6" i="6"/>
  <c r="HB88" i="6"/>
  <c r="HB101" i="6"/>
  <c r="HB86" i="6"/>
  <c r="HB77" i="6"/>
  <c r="HB67" i="6"/>
  <c r="HB58" i="6"/>
  <c r="HB30" i="6"/>
  <c r="HB96" i="6"/>
  <c r="HB74" i="6"/>
  <c r="HB53" i="6"/>
  <c r="HB40" i="6"/>
  <c r="HB27" i="6"/>
  <c r="HB5" i="6"/>
  <c r="HB75" i="6"/>
  <c r="HB51" i="6"/>
  <c r="HB38" i="6"/>
  <c r="HB84" i="6"/>
  <c r="HB98" i="6"/>
  <c r="HB55" i="6"/>
  <c r="HB42" i="6"/>
  <c r="HB28" i="6"/>
  <c r="HB15" i="6"/>
  <c r="HB93" i="6"/>
  <c r="HB50" i="6"/>
  <c r="HB37" i="6"/>
  <c r="HB25" i="6"/>
  <c r="HB13" i="6"/>
  <c r="HB85" i="6"/>
  <c r="HB64" i="6"/>
  <c r="HB48" i="6"/>
  <c r="HB23" i="6"/>
  <c r="HB11" i="6"/>
  <c r="HB106" i="6"/>
  <c r="HB95" i="6"/>
  <c r="HB73" i="6"/>
  <c r="HB52" i="6"/>
  <c r="HB39" i="6"/>
  <c r="HB26" i="6"/>
  <c r="HB4" i="6"/>
  <c r="HB107" i="6"/>
  <c r="HB47" i="6"/>
  <c r="HB35" i="6"/>
  <c r="HB22" i="6"/>
  <c r="HB10" i="6"/>
  <c r="HB108" i="6"/>
  <c r="HB83" i="6"/>
  <c r="HB46" i="6"/>
  <c r="HB20" i="6"/>
  <c r="HB103" i="6"/>
  <c r="HB92" i="6"/>
  <c r="HB72" i="6"/>
  <c r="HB49" i="6"/>
  <c r="HB36" i="6"/>
  <c r="HB24" i="6"/>
  <c r="HB12" i="6"/>
  <c r="HD2" i="6"/>
  <c r="HC2" i="6"/>
  <c r="HB2" i="6"/>
  <c r="HA2" i="6"/>
  <c r="HA3" i="6"/>
  <c r="GZ2" i="6"/>
  <c r="GZ5" i="6"/>
  <c r="GZ3" i="6"/>
  <c r="GZ13" i="6"/>
  <c r="GZ14" i="6"/>
  <c r="GZ8" i="6"/>
  <c r="GZ15" i="6"/>
  <c r="HA20" i="6"/>
  <c r="GZ66" i="6"/>
  <c r="GZ60" i="6"/>
  <c r="GZ55" i="6"/>
  <c r="HA15" i="6"/>
  <c r="HA84" i="6"/>
  <c r="HA89" i="6"/>
  <c r="HA49" i="6"/>
  <c r="HA105" i="6"/>
  <c r="HA13" i="6"/>
  <c r="HA75" i="6"/>
  <c r="HA32" i="6"/>
  <c r="HA99" i="6"/>
  <c r="HA102" i="6"/>
  <c r="HA78" i="6"/>
  <c r="HA59" i="6"/>
  <c r="HA86" i="6"/>
  <c r="HA67" i="6"/>
  <c r="HA16" i="6"/>
  <c r="HA98" i="6"/>
  <c r="HA94" i="6"/>
  <c r="HA57" i="6"/>
  <c r="HA70" i="6"/>
  <c r="HA23" i="6"/>
  <c r="HA38" i="6"/>
  <c r="HA54" i="6"/>
  <c r="HA37" i="6"/>
  <c r="HA96" i="6"/>
  <c r="HA74" i="6"/>
  <c r="HA53" i="6"/>
  <c r="HA27" i="6"/>
  <c r="HA5" i="6"/>
  <c r="HA39" i="6"/>
  <c r="HA76" i="6"/>
  <c r="HA48" i="6"/>
  <c r="HA104" i="6"/>
  <c r="HA11" i="6"/>
  <c r="HA29" i="6"/>
  <c r="HA85" i="6"/>
  <c r="HA45" i="6"/>
  <c r="HA103" i="6"/>
  <c r="HA69" i="6"/>
  <c r="HA31" i="6"/>
  <c r="HA18" i="6"/>
  <c r="HA47" i="6"/>
  <c r="HA22" i="6"/>
  <c r="HA82" i="6"/>
  <c r="HA34" i="6"/>
  <c r="HA9" i="6"/>
  <c r="GZ50" i="6"/>
  <c r="GZ11" i="6"/>
  <c r="HA28" i="6"/>
  <c r="HA7" i="6"/>
  <c r="HA83" i="6"/>
  <c r="HA42" i="6"/>
  <c r="HA92" i="6"/>
  <c r="HA56" i="6"/>
  <c r="HA66" i="6"/>
  <c r="HA19" i="6"/>
  <c r="HA79" i="6"/>
  <c r="HA36" i="6"/>
  <c r="HA93" i="6"/>
  <c r="HA25" i="6"/>
  <c r="HA12" i="6"/>
  <c r="HA87" i="6"/>
  <c r="HA68" i="6"/>
  <c r="HA43" i="6"/>
  <c r="HA101" i="6"/>
  <c r="HA77" i="6"/>
  <c r="HA58" i="6"/>
  <c r="HA30" i="6"/>
  <c r="HA8" i="6"/>
  <c r="HA108" i="6"/>
  <c r="HA90" i="6"/>
  <c r="HA106" i="6"/>
  <c r="HA14" i="6"/>
  <c r="HA33" i="6"/>
  <c r="HA46" i="6"/>
  <c r="HA100" i="6"/>
  <c r="HA64" i="6"/>
  <c r="HA72" i="6"/>
  <c r="HA88" i="6"/>
  <c r="HA60" i="6"/>
  <c r="HA40" i="6"/>
  <c r="HA95" i="6"/>
  <c r="HA73" i="6"/>
  <c r="HA52" i="6"/>
  <c r="HA26" i="6"/>
  <c r="HA4" i="6"/>
  <c r="GZ85" i="6"/>
  <c r="GZ21" i="6"/>
  <c r="HA51" i="6"/>
  <c r="HA97" i="6"/>
  <c r="HA62" i="6"/>
  <c r="HA6" i="6"/>
  <c r="HA71" i="6"/>
  <c r="HA24" i="6"/>
  <c r="HA81" i="6"/>
  <c r="HA41" i="6"/>
  <c r="HA91" i="6"/>
  <c r="HA55" i="6"/>
  <c r="HA65" i="6"/>
  <c r="HA17" i="6"/>
  <c r="HA50" i="6"/>
  <c r="HA107" i="6"/>
  <c r="HA35" i="6"/>
  <c r="HA10" i="6"/>
  <c r="HA21" i="6"/>
  <c r="GX2" i="6"/>
  <c r="GZ106" i="6"/>
  <c r="GX6" i="6"/>
  <c r="GY4" i="6"/>
  <c r="GZ76" i="6"/>
  <c r="GZ7" i="6"/>
  <c r="GZ45" i="6"/>
  <c r="GZ12" i="6"/>
  <c r="GZ83" i="6"/>
  <c r="GZ48" i="6"/>
  <c r="GZ37" i="6"/>
  <c r="GZ42" i="6"/>
  <c r="GZ41" i="6"/>
  <c r="GZ96" i="6"/>
  <c r="GX75" i="6"/>
  <c r="GZ99" i="6"/>
  <c r="GZ71" i="6"/>
  <c r="GZ70" i="6"/>
  <c r="GZ36" i="6"/>
  <c r="GZ108" i="6"/>
  <c r="GZ74" i="6"/>
  <c r="GZ93" i="6"/>
  <c r="GZ25" i="6"/>
  <c r="GZ98" i="6"/>
  <c r="GZ28" i="6"/>
  <c r="GZ94" i="6"/>
  <c r="GZ103" i="6"/>
  <c r="GZ31" i="6"/>
  <c r="GZ53" i="6"/>
  <c r="GZ90" i="6"/>
  <c r="GZ56" i="6"/>
  <c r="GZ19" i="6"/>
  <c r="GZ89" i="6"/>
  <c r="GZ18" i="6"/>
  <c r="GZ91" i="6"/>
  <c r="GZ64" i="6"/>
  <c r="GZ23" i="6"/>
  <c r="GZ27" i="6"/>
  <c r="GZ57" i="6"/>
  <c r="GZ105" i="6"/>
  <c r="GZ33" i="6"/>
  <c r="GZ92" i="6"/>
  <c r="GZ72" i="6"/>
  <c r="GZ49" i="6"/>
  <c r="GZ24" i="6"/>
  <c r="GZ16" i="6"/>
  <c r="GZ88" i="6"/>
  <c r="GZ69" i="6"/>
  <c r="GZ17" i="6"/>
  <c r="GZ100" i="6"/>
  <c r="GZ47" i="6"/>
  <c r="GZ22" i="6"/>
  <c r="GZ86" i="6"/>
  <c r="GZ67" i="6"/>
  <c r="GZ87" i="6"/>
  <c r="GZ68" i="6"/>
  <c r="GZ43" i="6"/>
  <c r="GZ39" i="6"/>
  <c r="GZ84" i="6"/>
  <c r="GZ29" i="6"/>
  <c r="GZ40" i="6"/>
  <c r="GZ82" i="6"/>
  <c r="GZ34" i="6"/>
  <c r="GZ9" i="6"/>
  <c r="GZ81" i="6"/>
  <c r="GZ20" i="6"/>
  <c r="GZ51" i="6"/>
  <c r="GZ107" i="6"/>
  <c r="GZ35" i="6"/>
  <c r="GZ10" i="6"/>
  <c r="GZ101" i="6"/>
  <c r="GZ77" i="6"/>
  <c r="GZ58" i="6"/>
  <c r="GZ30" i="6"/>
  <c r="GZ65" i="6"/>
  <c r="GZ104" i="6"/>
  <c r="GZ79" i="6"/>
  <c r="GZ62" i="6"/>
  <c r="GZ32" i="6"/>
  <c r="GZ46" i="6"/>
  <c r="GZ97" i="6"/>
  <c r="GZ75" i="6"/>
  <c r="GZ54" i="6"/>
  <c r="GZ6" i="6"/>
  <c r="GZ38" i="6"/>
  <c r="GZ102" i="6"/>
  <c r="GZ78" i="6"/>
  <c r="GZ59" i="6"/>
  <c r="GZ95" i="6"/>
  <c r="GZ73" i="6"/>
  <c r="GZ52" i="6"/>
  <c r="GZ26" i="6"/>
  <c r="GZ4" i="6"/>
  <c r="GY67" i="6"/>
  <c r="GY86" i="6"/>
  <c r="GY59" i="6"/>
  <c r="GY78" i="6"/>
  <c r="GY102" i="6"/>
  <c r="GY17" i="6"/>
  <c r="GY69" i="6"/>
  <c r="GY88" i="6"/>
  <c r="GY28" i="6"/>
  <c r="GY55" i="6"/>
  <c r="GY98" i="6"/>
  <c r="GY13" i="6"/>
  <c r="GY37" i="6"/>
  <c r="GY20" i="6"/>
  <c r="GY46" i="6"/>
  <c r="GY21" i="6"/>
  <c r="GY10" i="6"/>
  <c r="GY35" i="6"/>
  <c r="GY107" i="6"/>
  <c r="GY23" i="6"/>
  <c r="GY48" i="6"/>
  <c r="GY91" i="6"/>
  <c r="GY32" i="6"/>
  <c r="GY62" i="6"/>
  <c r="GY79" i="6"/>
  <c r="GY104" i="6"/>
  <c r="GY65" i="6"/>
  <c r="GY51" i="6"/>
  <c r="GY94" i="6"/>
  <c r="GY26" i="6"/>
  <c r="GY52" i="6"/>
  <c r="GY73" i="6"/>
  <c r="GY95" i="6"/>
  <c r="GY40" i="6"/>
  <c r="GY6" i="6"/>
  <c r="GY54" i="6"/>
  <c r="GY75" i="6"/>
  <c r="GY97" i="6"/>
  <c r="GY12" i="6"/>
  <c r="GY36" i="6"/>
  <c r="GY19" i="6"/>
  <c r="GY71" i="6"/>
  <c r="GY90" i="6"/>
  <c r="GY8" i="6"/>
  <c r="GY29" i="6"/>
  <c r="GY57" i="6"/>
  <c r="GY100" i="6"/>
  <c r="GY30" i="6"/>
  <c r="GY58" i="6"/>
  <c r="GY77" i="6"/>
  <c r="GY101" i="6"/>
  <c r="GY43" i="6"/>
  <c r="GY68" i="6"/>
  <c r="GY87" i="6"/>
  <c r="GY31" i="6"/>
  <c r="GY60" i="6"/>
  <c r="GY103" i="6"/>
  <c r="GY15" i="6"/>
  <c r="GY42" i="6"/>
  <c r="GY25" i="6"/>
  <c r="GY50" i="6"/>
  <c r="GY93" i="6"/>
  <c r="GY81" i="6"/>
  <c r="GY106" i="6"/>
  <c r="GY9" i="6"/>
  <c r="GY34" i="6"/>
  <c r="GY82" i="6"/>
  <c r="GY22" i="6"/>
  <c r="GY47" i="6"/>
  <c r="GY11" i="6"/>
  <c r="GY64" i="6"/>
  <c r="GY83" i="6"/>
  <c r="GY108" i="6"/>
  <c r="GY18" i="6"/>
  <c r="GY45" i="6"/>
  <c r="GY70" i="6"/>
  <c r="GY89" i="6"/>
  <c r="GY7" i="6"/>
  <c r="GY56" i="6"/>
  <c r="GY76" i="6"/>
  <c r="GY99" i="6"/>
  <c r="GY38" i="6"/>
  <c r="GY84" i="6"/>
  <c r="GY2" i="6"/>
  <c r="GY39" i="6"/>
  <c r="GY5" i="6"/>
  <c r="GY27" i="6"/>
  <c r="GY53" i="6"/>
  <c r="GY74" i="6"/>
  <c r="GY96" i="6"/>
  <c r="GY14" i="6"/>
  <c r="GY41" i="6"/>
  <c r="GY85" i="6"/>
  <c r="GY3" i="6"/>
  <c r="GY24" i="6"/>
  <c r="GY49" i="6"/>
  <c r="GY72" i="6"/>
  <c r="GY92" i="6"/>
  <c r="GY33" i="6"/>
  <c r="GY105" i="6"/>
  <c r="GY16" i="6"/>
  <c r="GY66" i="6"/>
  <c r="GX87" i="6"/>
  <c r="GX68" i="6"/>
  <c r="GX43" i="6"/>
  <c r="GX39" i="6"/>
  <c r="GX106" i="6"/>
  <c r="GX81" i="6"/>
  <c r="GX99" i="6"/>
  <c r="GX76" i="6"/>
  <c r="GX56" i="6"/>
  <c r="GX7" i="6"/>
  <c r="GX98" i="6"/>
  <c r="GX55" i="6"/>
  <c r="GX28" i="6"/>
  <c r="GX91" i="6"/>
  <c r="GX48" i="6"/>
  <c r="GX23" i="6"/>
  <c r="GX40" i="6"/>
  <c r="GX82" i="6"/>
  <c r="GX34" i="6"/>
  <c r="GX9" i="6"/>
  <c r="GX100" i="6"/>
  <c r="GX57" i="6"/>
  <c r="GX29" i="6"/>
  <c r="GX8" i="6"/>
  <c r="GX93" i="6"/>
  <c r="GX50" i="6"/>
  <c r="GX25" i="6"/>
  <c r="GX92" i="6"/>
  <c r="GX72" i="6"/>
  <c r="GX49" i="6"/>
  <c r="GX24" i="6"/>
  <c r="GX3" i="6"/>
  <c r="GX88" i="6"/>
  <c r="GX69" i="6"/>
  <c r="GX17" i="6"/>
  <c r="GX107" i="6"/>
  <c r="GX35" i="6"/>
  <c r="GX10" i="6"/>
  <c r="GX101" i="6"/>
  <c r="GX77" i="6"/>
  <c r="GX58" i="6"/>
  <c r="GX30" i="6"/>
  <c r="GX94" i="6"/>
  <c r="GX51" i="6"/>
  <c r="GX90" i="6"/>
  <c r="GX71" i="6"/>
  <c r="GX19" i="6"/>
  <c r="GX89" i="6"/>
  <c r="GX70" i="6"/>
  <c r="GX45" i="6"/>
  <c r="GX18" i="6"/>
  <c r="GX85" i="6"/>
  <c r="GX41" i="6"/>
  <c r="GX14" i="6"/>
  <c r="GX102" i="6"/>
  <c r="GX78" i="6"/>
  <c r="GX59" i="6"/>
  <c r="GX95" i="6"/>
  <c r="GX73" i="6"/>
  <c r="GX52" i="6"/>
  <c r="GX26" i="6"/>
  <c r="GX4" i="6"/>
  <c r="GX46" i="6"/>
  <c r="GX20" i="6"/>
  <c r="GX65" i="6"/>
  <c r="GX42" i="6"/>
  <c r="GX15" i="6"/>
  <c r="GX108" i="6"/>
  <c r="GX83" i="6"/>
  <c r="GX64" i="6"/>
  <c r="GX11" i="6"/>
  <c r="GX96" i="6"/>
  <c r="GX74" i="6"/>
  <c r="GX53" i="6"/>
  <c r="GX27" i="6"/>
  <c r="GX5" i="6"/>
  <c r="GX21" i="6"/>
  <c r="GX66" i="6"/>
  <c r="GX16" i="6"/>
  <c r="GX37" i="6"/>
  <c r="GX13" i="6"/>
  <c r="GX36" i="6"/>
  <c r="GX12" i="6"/>
  <c r="GX103" i="6"/>
  <c r="GX60" i="6"/>
  <c r="GX31" i="6"/>
  <c r="GX47" i="6"/>
  <c r="GX22" i="6"/>
  <c r="GX86" i="6"/>
  <c r="GX67" i="6"/>
  <c r="GX84" i="6"/>
  <c r="GX38" i="6"/>
  <c r="GX105" i="6"/>
  <c r="GX33" i="6"/>
  <c r="GX104" i="6"/>
  <c r="GX79" i="6"/>
  <c r="GX62" i="6"/>
  <c r="GX32" i="6"/>
  <c r="GX97" i="6"/>
  <c r="GX54" i="6"/>
  <c r="Q5" i="9" l="1" a="1"/>
  <c r="Q5" i="9" s="1"/>
  <c r="Q6" i="9" s="1"/>
  <c r="Q7" i="9" s="1"/>
  <c r="P5" i="9" l="1" a="1"/>
  <c r="P5" i="9" s="1"/>
  <c r="P6" i="9" s="1"/>
  <c r="P7" i="9" s="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<sst xmlns="http://schemas.openxmlformats.org/spreadsheetml/2006/main" count="1788" uniqueCount="1164">
  <si>
    <t>N°</t>
  </si>
  <si>
    <t>COORDENADAS</t>
  </si>
  <si>
    <t>TIPO DE LUGAR</t>
  </si>
  <si>
    <t>TIPO DE DELITO</t>
  </si>
  <si>
    <t>CODIGO SNIC</t>
  </si>
  <si>
    <t>ELEMENTOS SUSTRAIDOS</t>
  </si>
  <si>
    <t>LATITUD</t>
  </si>
  <si>
    <t>LONGITUD</t>
  </si>
  <si>
    <t>VARIANTES DEL DELITO</t>
  </si>
  <si>
    <t xml:space="preserve">OTRO DELITO CONTRA LAS PERSONAS </t>
  </si>
  <si>
    <t xml:space="preserve">OTRO DELITO CONTRA LA INTEGRIDAD SEXUAL </t>
  </si>
  <si>
    <t>OTRO DELITO CONTRA EL ESTADO CIVIL</t>
  </si>
  <si>
    <t>AMENAZAS</t>
  </si>
  <si>
    <t>DAÑO</t>
  </si>
  <si>
    <t>INCENDIO Y OTROS ESTRAGOS</t>
  </si>
  <si>
    <t>DELITO CONTRA LA SEGURIDAD DEL TRÁNSITO, MEDIO DE TRANSPORTE Y DE COMUNICACIÓN</t>
  </si>
  <si>
    <t xml:space="preserve">INSTIGACIÓN A COMETER DELITOS </t>
  </si>
  <si>
    <t>INTIMIDACIÓN PÚBLICA</t>
  </si>
  <si>
    <t>OTROS ATENTADOS CONTRA EL ÓRDEN PÚBLICO</t>
  </si>
  <si>
    <t xml:space="preserve">ATENTADO AL ORDEN CONSTITUCIONAL Y A LA VIDA DEMOCRÁTICA </t>
  </si>
  <si>
    <t xml:space="preserve">ATENTADO Y RESISTENCIA CONTRA LA AUTORIDAD </t>
  </si>
  <si>
    <t>FALSA DENUNCIA</t>
  </si>
  <si>
    <t>ABUSO DE AUTORIDAD Y VIOLACIÓN A LOS DEBERES DE FUNCIONARIO PÚBLICO</t>
  </si>
  <si>
    <t>COHECHO Y TRÁFICOS DE INFLUENCIAS  COMETIDO POR FUNCIONARIO PÚBLICO</t>
  </si>
  <si>
    <t>EXACCIONES ILEGALES</t>
  </si>
  <si>
    <t xml:space="preserve">FALSO TESTIMONIO </t>
  </si>
  <si>
    <t xml:space="preserve">ENCUBRIMIENTO </t>
  </si>
  <si>
    <t>EVASIÓN Y QUEBRANTAMIENTO DE PENA</t>
  </si>
  <si>
    <t>EVASIÓN Y QUEBRANTAMIENTO DE PENA FAVORECIDO POR FUNCIONARIO PÚBLICO</t>
  </si>
  <si>
    <t>FALSIFICACIÓN DE MONEDA, BILLETES DE BANCO, TITULO AL PORTADOR Y DOCUMENTOS DE CRÉDITO</t>
  </si>
  <si>
    <t xml:space="preserve">PAGO CON CHEQUES SIN PROVISIÓN DE FONDOS </t>
  </si>
  <si>
    <t>SIEMBRA Y PRODUCCIÓN DE ESTUPEFACIENTES</t>
  </si>
  <si>
    <t>COMERCIALIZACIÓN Y ENTREGA DE ESTUPEFACIENTES</t>
  </si>
  <si>
    <t>TENENCIA O ENTREGA ATENUADA DE ESTUPEFACIENTES</t>
  </si>
  <si>
    <t>DESVÍO DE IMPORTACIÓN DE ESTUPEFACIENTES</t>
  </si>
  <si>
    <t>ORGANIZACIÓN Y FINANCIACIÓN DE ESTUPEFACIENTES</t>
  </si>
  <si>
    <t>TENENCIA SIMPLE DE ESTUPEFACIENTES</t>
  </si>
  <si>
    <t>TENENCIA SIMPLE ATENUADA PARA USO PERSONAL DE ESTUPEFACIENTES</t>
  </si>
  <si>
    <t>CONFABULACIÓN DE ESTUPEFACIENTES</t>
  </si>
  <si>
    <t>CONTRABANDO DE ESTUPEFACIENTES</t>
  </si>
  <si>
    <t>DELITOS MIGRATORIOS</t>
  </si>
  <si>
    <t>OBSTRUCCIÓN DEL CÓDIGO ADUANERO</t>
  </si>
  <si>
    <t>CONTRABANDO SIMPLE</t>
  </si>
  <si>
    <t>CONTRABANDO DE ELEMENTOS NUCLEARES, AGRESIVOS QUÍMICOS, ARMAS Y MUNICIONES</t>
  </si>
  <si>
    <t>OTROS DELITOS PREVISTOS EN LEYES ESPECIALES</t>
  </si>
  <si>
    <t>BIEN JURIDICO TUTELADO</t>
  </si>
  <si>
    <t>HURTO</t>
  </si>
  <si>
    <t>ROBO</t>
  </si>
  <si>
    <t>HOMICIDIO</t>
  </si>
  <si>
    <t>LESIONES</t>
  </si>
  <si>
    <t>EXTORSION</t>
  </si>
  <si>
    <t xml:space="preserve">TRATA DE PERSONA SIMPLE </t>
  </si>
  <si>
    <t xml:space="preserve">TRATA DE PERSONA AGRAVADO </t>
  </si>
  <si>
    <t xml:space="preserve">OTROS DELITOS CONTRA LA LIBERTAD INDIVIDUAL </t>
  </si>
  <si>
    <t>OTROS INCENDIOS O ESTRAGOS</t>
  </si>
  <si>
    <t>VARIANTE DEL DELITO</t>
  </si>
  <si>
    <t>SAT PROPIEDAD</t>
  </si>
  <si>
    <t xml:space="preserve">HOMICIDIO SIMPLE  </t>
  </si>
  <si>
    <t>HOMICIDIO COMETIDO POR MIEMBRO DE LA FUERZAS ARMADAS-SEGURIDAD FEDERAL O PROVINCIAL</t>
  </si>
  <si>
    <t>HOMICIDIO VIOLENCIA DE GENERO</t>
  </si>
  <si>
    <t xml:space="preserve">HOMICIDIO EN GRADO DE TENTATIVA </t>
  </si>
  <si>
    <t>HOMICIDIO CULPOSO POR SINIESTROS VIALES</t>
  </si>
  <si>
    <t xml:space="preserve">HOMICIDIO CULPOSO POR IMPRUDENCIA/NEGLIENCIA/IMPERICIA O INOBSERVANCIA </t>
  </si>
  <si>
    <t>LESIONES LEVES</t>
  </si>
  <si>
    <t>LESIONES GRAVES</t>
  </si>
  <si>
    <t>LESIONES GRAVISIMAS</t>
  </si>
  <si>
    <t>LESIONES CULPOSAS POR SINIESTROS VIALES</t>
  </si>
  <si>
    <t>LESIONES CULPOSAS POR OTROS HECHOS</t>
  </si>
  <si>
    <t xml:space="preserve">ABUSO DE ARMAS SIN LESIONES </t>
  </si>
  <si>
    <t>ABUSO DE ARMAS CON LESIONES</t>
  </si>
  <si>
    <t>DELITOS CONTRA EL HONOR</t>
  </si>
  <si>
    <t>DELITO CONTRA LA INTEGRIDAD SEXUAL</t>
  </si>
  <si>
    <t>ABUSO SEXUAL EXHIBICIONES OBSCENAS</t>
  </si>
  <si>
    <t xml:space="preserve">ABUSO SEXUAL EXHIBICIONES OBSCENAS A MENORES </t>
  </si>
  <si>
    <t>DELITOS CONTRA EL ESTADO CIVIL</t>
  </si>
  <si>
    <t>14_3</t>
  </si>
  <si>
    <t>DELITOS CONTRA LA LIBERTAD</t>
  </si>
  <si>
    <t>14_1</t>
  </si>
  <si>
    <t>14_2</t>
  </si>
  <si>
    <t>AMENAZAS SIMPLE (ALARMAR O AMEDRENTAR)</t>
  </si>
  <si>
    <t>AMENAZAS CALIFICADA POR EL USO DE ARMAS</t>
  </si>
  <si>
    <t>AMENAZAS TELEFONICAS</t>
  </si>
  <si>
    <t xml:space="preserve">AMENAZAS OTRAS </t>
  </si>
  <si>
    <t xml:space="preserve">VIOLACION DE DOMICILIO SIMPLE </t>
  </si>
  <si>
    <t xml:space="preserve">DELITO CONTRA LA LIBERTAD DE PRENSA </t>
  </si>
  <si>
    <t xml:space="preserve">HURTO SIMPLE </t>
  </si>
  <si>
    <t>ARMAR AUTOMOTORES SI/NO</t>
  </si>
  <si>
    <t xml:space="preserve">HURTO EN GRADO DE TENTATIVA </t>
  </si>
  <si>
    <t xml:space="preserve">ROBO SIMPLE </t>
  </si>
  <si>
    <t>AUTOMOTOR - MOTOCICLETA - BANCO</t>
  </si>
  <si>
    <t xml:space="preserve">ROBO AGRAVADO POR LESION </t>
  </si>
  <si>
    <t>ROBO AGRAVADO POR EL USO DE ARMA DE FUEGO</t>
  </si>
  <si>
    <t>ROBO AGRAVADO POR EL USO DE ARMA DE ARMA BLANCA</t>
  </si>
  <si>
    <t xml:space="preserve">ROBO ABIGEATO </t>
  </si>
  <si>
    <t>ROBO OTRAS OCASIONES</t>
  </si>
  <si>
    <t xml:space="preserve">ROBO EN GRADO TENTATIVA </t>
  </si>
  <si>
    <t>ROBO EN GRADO TENTATIVA CON LESION O MUERTE</t>
  </si>
  <si>
    <t>ESTAFA Y OTRAS DEFRAUDACIONES</t>
  </si>
  <si>
    <t>22_7</t>
  </si>
  <si>
    <t>DELITOS CONTRA LA SEGURIDAD PÚBLICA</t>
  </si>
  <si>
    <t>22_1</t>
  </si>
  <si>
    <t>TENENCIA ILEGAL DE ARMAS DE FUEGO</t>
  </si>
  <si>
    <t>22_2</t>
  </si>
  <si>
    <t>22_3</t>
  </si>
  <si>
    <t>22_4</t>
  </si>
  <si>
    <t>22_5</t>
  </si>
  <si>
    <t>22_6</t>
  </si>
  <si>
    <t>DELITO CONTRA LA SALUD PUBLICA</t>
  </si>
  <si>
    <t xml:space="preserve">DELITOS CONTRA EL ORDEN PÚBLICO </t>
  </si>
  <si>
    <t>ASOCIACION ILICITA</t>
  </si>
  <si>
    <t>TRAICIÓN A LA NACION</t>
  </si>
  <si>
    <t>DELITOS CONTRA LA SEGURIDAD DE LA NACION</t>
  </si>
  <si>
    <t>DELITOS CONTRA LOS PODERES PÚBLICOS Y EL ORDEN CONSTITUCIONAL</t>
  </si>
  <si>
    <t>DELITOS CONTRA LA ADMINISTRACIÓN PÚBLICA</t>
  </si>
  <si>
    <t>DELITOS CONTRA LA FE PÚBLICA</t>
  </si>
  <si>
    <t>28_1</t>
  </si>
  <si>
    <t>LEY 23737  ESTUPEFACIENTES</t>
  </si>
  <si>
    <t>28_2</t>
  </si>
  <si>
    <t>28_3</t>
  </si>
  <si>
    <t>28_4</t>
  </si>
  <si>
    <t>28_5</t>
  </si>
  <si>
    <t>28_6</t>
  </si>
  <si>
    <t>28_7</t>
  </si>
  <si>
    <t>28_8</t>
  </si>
  <si>
    <t>28_9</t>
  </si>
  <si>
    <t>OTROS DELITOS PREVISTOS EN LA LEY DE ESTUPEFACIENTES 23.737</t>
  </si>
  <si>
    <t>28_10</t>
  </si>
  <si>
    <t>VIOLACION A LA LEY DE RESIDUOS PELIGROSOS</t>
  </si>
  <si>
    <t>29_1</t>
  </si>
  <si>
    <t>OTRAS LEYES ESPECIALES</t>
  </si>
  <si>
    <t>VIOLACION A LA LEY DE FAUNA</t>
  </si>
  <si>
    <t>29_2</t>
  </si>
  <si>
    <t>29_3</t>
  </si>
  <si>
    <t>29_4</t>
  </si>
  <si>
    <t>29_5</t>
  </si>
  <si>
    <t>29_7</t>
  </si>
  <si>
    <t>29_8</t>
  </si>
  <si>
    <t>DELITOS CONTRA EL ORDEN ECONÓMICO Y FINANCIERO</t>
  </si>
  <si>
    <t>BUSCADOR DE DELITOS</t>
  </si>
  <si>
    <t>N3</t>
  </si>
  <si>
    <t>N4</t>
  </si>
  <si>
    <t>N5</t>
  </si>
  <si>
    <t>N6</t>
  </si>
  <si>
    <t>N7</t>
  </si>
  <si>
    <t>N8</t>
  </si>
  <si>
    <t>N9</t>
  </si>
  <si>
    <t>N10</t>
  </si>
  <si>
    <t>N11</t>
  </si>
  <si>
    <t>N12</t>
  </si>
  <si>
    <t>N13</t>
  </si>
  <si>
    <t>N14</t>
  </si>
  <si>
    <t>N15</t>
  </si>
  <si>
    <t>N16</t>
  </si>
  <si>
    <t>N17</t>
  </si>
  <si>
    <t>N18</t>
  </si>
  <si>
    <t>N19</t>
  </si>
  <si>
    <t>N20</t>
  </si>
  <si>
    <t>N21</t>
  </si>
  <si>
    <t>N22</t>
  </si>
  <si>
    <t>N23</t>
  </si>
  <si>
    <t>N24</t>
  </si>
  <si>
    <t>N25</t>
  </si>
  <si>
    <t>N26</t>
  </si>
  <si>
    <t>N27</t>
  </si>
  <si>
    <t>N28</t>
  </si>
  <si>
    <t>N29</t>
  </si>
  <si>
    <t>N30</t>
  </si>
  <si>
    <t>N31</t>
  </si>
  <si>
    <t>N32</t>
  </si>
  <si>
    <t>N33</t>
  </si>
  <si>
    <t>N34</t>
  </si>
  <si>
    <t>N35</t>
  </si>
  <si>
    <t>N36</t>
  </si>
  <si>
    <t>N37</t>
  </si>
  <si>
    <t>N38</t>
  </si>
  <si>
    <t>N39</t>
  </si>
  <si>
    <t>N40</t>
  </si>
  <si>
    <t>N41</t>
  </si>
  <si>
    <t>N6 - I2</t>
  </si>
  <si>
    <t>N7 - J2</t>
  </si>
  <si>
    <t>N8 - K2</t>
  </si>
  <si>
    <t>N9 - L2</t>
  </si>
  <si>
    <t>N10 - M2</t>
  </si>
  <si>
    <t>N11 - N2</t>
  </si>
  <si>
    <t>N12 - O2</t>
  </si>
  <si>
    <t>N13 - P2</t>
  </si>
  <si>
    <t>N14 - Q2</t>
  </si>
  <si>
    <t>N15 - R2</t>
  </si>
  <si>
    <t>N16 - S2</t>
  </si>
  <si>
    <t>N17 - T2</t>
  </si>
  <si>
    <t>N18 - U2</t>
  </si>
  <si>
    <t>N19 - V2</t>
  </si>
  <si>
    <t>N20 - W2</t>
  </si>
  <si>
    <t>N21 - X2</t>
  </si>
  <si>
    <t>N22 - Y2</t>
  </si>
  <si>
    <t>N23 - Z2</t>
  </si>
  <si>
    <t>N24 - AA2</t>
  </si>
  <si>
    <t>N25 - AB2</t>
  </si>
  <si>
    <t>N26 - AC2</t>
  </si>
  <si>
    <t>N27 - AD2</t>
  </si>
  <si>
    <t>N28 - AE2</t>
  </si>
  <si>
    <t>N29 - AF2</t>
  </si>
  <si>
    <t>N30 - AG2</t>
  </si>
  <si>
    <t>N31 - AH2</t>
  </si>
  <si>
    <t>N32 - AI2</t>
  </si>
  <si>
    <t>N33 - AJ2</t>
  </si>
  <si>
    <t>N34 - AK2</t>
  </si>
  <si>
    <t>N35 - AL2</t>
  </si>
  <si>
    <t>N36 - AM2</t>
  </si>
  <si>
    <t>N37 - AN2</t>
  </si>
  <si>
    <t>N38 - AO2</t>
  </si>
  <si>
    <t>N39 - AP2</t>
  </si>
  <si>
    <t>N40 - AQ2</t>
  </si>
  <si>
    <t>N41 - AR2</t>
  </si>
  <si>
    <t>H</t>
  </si>
  <si>
    <t>A</t>
  </si>
  <si>
    <t>E</t>
  </si>
  <si>
    <t>F</t>
  </si>
  <si>
    <t>Código de Departamento* (según codificación INDEC)</t>
  </si>
  <si>
    <t>Notas</t>
  </si>
  <si>
    <t>* Corresponden a campos obligatorios</t>
  </si>
  <si>
    <t>DATOS DEL HECHO</t>
  </si>
  <si>
    <t>Motivo que origina el registro del hecho</t>
  </si>
  <si>
    <t>Hechos con ARMA DE FUEGO*</t>
  </si>
  <si>
    <t>Hechos con OTRA ARMA*</t>
  </si>
  <si>
    <t>Hechos SIN ARMAS*</t>
  </si>
  <si>
    <t>SIN DETERMINAR *</t>
  </si>
  <si>
    <t>Edad</t>
  </si>
  <si>
    <t>TABLAS DE CODIFICACIÓN DE DATOS</t>
  </si>
  <si>
    <t>B</t>
  </si>
  <si>
    <t>C</t>
  </si>
  <si>
    <t>D</t>
  </si>
  <si>
    <t>G</t>
  </si>
  <si>
    <t>Tipo de Lugar</t>
  </si>
  <si>
    <t>Género</t>
  </si>
  <si>
    <t>Vínculo del imputado con la víctima</t>
  </si>
  <si>
    <t>1 - Vía Pública</t>
  </si>
  <si>
    <t>1 - Arma de Fuego</t>
  </si>
  <si>
    <t>1 - Sí, ROBO</t>
  </si>
  <si>
    <t>1 - Denuncia particular</t>
  </si>
  <si>
    <t>1 - Masculino</t>
  </si>
  <si>
    <t>1- Varón</t>
  </si>
  <si>
    <t>1 - Civil</t>
  </si>
  <si>
    <t>1 - Desocupado</t>
  </si>
  <si>
    <t>1 - Conyuge/Pareja</t>
  </si>
  <si>
    <t>2 - Domicilio Particular</t>
  </si>
  <si>
    <t>2 - Sí, abuso sexual con 
acceso carnal (violación)</t>
  </si>
  <si>
    <t>2 - Intervención policial</t>
  </si>
  <si>
    <t>2 - Femenino</t>
  </si>
  <si>
    <t>2- Mujer</t>
  </si>
  <si>
    <t>2 - Policía en Servicio</t>
  </si>
  <si>
    <t>2 - Jubilado/pensionado</t>
  </si>
  <si>
    <t>2 - Ex conyuge/ex pareja</t>
  </si>
  <si>
    <t>3 - SÍ, Otro delito (Especificar)</t>
  </si>
  <si>
    <t>3 - Orden Judicial</t>
  </si>
  <si>
    <t>99- Sin determinar</t>
  </si>
  <si>
    <t>3- Varón trans</t>
  </si>
  <si>
    <t>4 - Seguridad Privada</t>
  </si>
  <si>
    <t>3 - Rentista</t>
  </si>
  <si>
    <t>3 - Hijo/a</t>
  </si>
  <si>
    <t>En caso de no poderse determinar la edad, consignar "-1" (menos uno)</t>
  </si>
  <si>
    <t>4 - NO fue en ocasión de otro delito</t>
  </si>
  <si>
    <t>4 - Otros (especificar)</t>
  </si>
  <si>
    <t>4- Mujer trans/travesti</t>
  </si>
  <si>
    <t>5 - Otra fuerza de seguridad</t>
  </si>
  <si>
    <t>4 - Estudiante</t>
  </si>
  <si>
    <t>4 - Hermano/a</t>
  </si>
  <si>
    <t>En caso de no disponer de número de domicilio o altura, deberá consignarse la calle de intersección.</t>
  </si>
  <si>
    <t>5- Otro (especificar)</t>
  </si>
  <si>
    <t>6 - Civil detenido</t>
  </si>
  <si>
    <t>5 - Ama de casa</t>
  </si>
  <si>
    <t>5 -  Padre/Madre</t>
  </si>
  <si>
    <t>7 - Policía en Franco</t>
  </si>
  <si>
    <t>6 - Empleado de medios de comunicación</t>
  </si>
  <si>
    <t>6 - Otros vínculos familiares</t>
  </si>
  <si>
    <t>99 - Sin determinar</t>
  </si>
  <si>
    <t>8 - Policía Retirado</t>
  </si>
  <si>
    <t>7 - Empleado de otros sectores</t>
  </si>
  <si>
    <t>7 - Socio/a (Relación comercial)</t>
  </si>
  <si>
    <t>9 - Policía detenido</t>
  </si>
  <si>
    <t>8 - Trabajador cuenta propia</t>
  </si>
  <si>
    <t>8 - Empleado</t>
  </si>
  <si>
    <t>9 - Changarín</t>
  </si>
  <si>
    <t>9 - Empleador</t>
  </si>
  <si>
    <t>10 - Patrón/empleador</t>
  </si>
  <si>
    <t>10 - Cliente / proveedor</t>
  </si>
  <si>
    <t>11 - Trabajador/a sexual</t>
  </si>
  <si>
    <t>11 - Otras relaciones no familiares</t>
  </si>
  <si>
    <t>12 - Representante sindical</t>
  </si>
  <si>
    <t>12 - Sin relación</t>
  </si>
  <si>
    <t>13 - Activista de DDHH</t>
  </si>
  <si>
    <t>14 - Otro (Especificar)</t>
  </si>
  <si>
    <t>99 - Sin Determinar</t>
  </si>
  <si>
    <t>DATOS DE LA VÍCTIMA</t>
  </si>
  <si>
    <t>DATOS DEL IMPUTADO</t>
  </si>
  <si>
    <t>Número de Seccional* (según codificación reportada a DNGIC)</t>
  </si>
  <si>
    <t>Nº de Sumario*</t>
  </si>
  <si>
    <t>Fecha del hecho*</t>
  </si>
  <si>
    <t>Hora del hecho*</t>
  </si>
  <si>
    <t>Nombre de la calle o ruta*</t>
  </si>
  <si>
    <t>N° / altura*</t>
  </si>
  <si>
    <t>Calle Intersección</t>
  </si>
  <si>
    <t>Tipo de lugar*</t>
  </si>
  <si>
    <t>Arma o mecanismo 
utilizado*</t>
  </si>
  <si>
    <t>En ocasión de otro delito*</t>
  </si>
  <si>
    <t>Motivo que origina el registro del hecho*</t>
  </si>
  <si>
    <t>Sexo (F)*</t>
  </si>
  <si>
    <t>Género*</t>
  </si>
  <si>
    <t>Edad*</t>
  </si>
  <si>
    <t>Clase*</t>
  </si>
  <si>
    <t>Situación Ocupacional*</t>
  </si>
  <si>
    <t>Vínculo (I)*</t>
  </si>
  <si>
    <t>(A)</t>
  </si>
  <si>
    <t>Especificar sólo código 6</t>
  </si>
  <si>
    <t>(B)</t>
  </si>
  <si>
    <t>Especificar sólo código 3</t>
  </si>
  <si>
    <t>(C)</t>
  </si>
  <si>
    <t>(D)</t>
  </si>
  <si>
    <t>Especificar sólo  código 4</t>
  </si>
  <si>
    <t>(E)</t>
  </si>
  <si>
    <t>"X" o latitud</t>
  </si>
  <si>
    <t>"Y" o longitud</t>
  </si>
  <si>
    <t>(J)</t>
  </si>
  <si>
    <t>Especificar sólo código 5</t>
  </si>
  <si>
    <t>(G)</t>
  </si>
  <si>
    <t>(H)</t>
  </si>
  <si>
    <t>Especificar sólo código 14</t>
  </si>
  <si>
    <t>Semáforo</t>
  </si>
  <si>
    <t xml:space="preserve">Modo de Producción del Hecho </t>
  </si>
  <si>
    <t>Condiciones Climáticas</t>
  </si>
  <si>
    <t>Sexo de la Víctima o del Imputado</t>
  </si>
  <si>
    <t>Clase de Víctima</t>
  </si>
  <si>
    <t>Vehículo de la Víctima o del Imputado</t>
  </si>
  <si>
    <t>1 - Funcionaba</t>
  </si>
  <si>
    <t>1 - Calle</t>
  </si>
  <si>
    <t>1 - Colisión Vehículo / persona</t>
  </si>
  <si>
    <t>1 - Bueno</t>
  </si>
  <si>
    <t>1 - Conductor</t>
  </si>
  <si>
    <t>1 - Micro larga distancia</t>
  </si>
  <si>
    <t>6 - Motocicleta</t>
  </si>
  <si>
    <t>2 - No funcionaba</t>
  </si>
  <si>
    <t>2 - Ruta Nacional</t>
  </si>
  <si>
    <t>2 - Colisión Vehículo / vehículo</t>
  </si>
  <si>
    <t>2 - Nublado</t>
  </si>
  <si>
    <t>2 - Acompañante</t>
  </si>
  <si>
    <t>2 - Colectivo</t>
  </si>
  <si>
    <t>7 - Ciclomotor</t>
  </si>
  <si>
    <t>3 - Sin semáforo</t>
  </si>
  <si>
    <t>3 - Ruta Provincial</t>
  </si>
  <si>
    <t>3 - Lluvia</t>
  </si>
  <si>
    <t>3 - Orden judicial</t>
  </si>
  <si>
    <t>3 - Pasajero</t>
  </si>
  <si>
    <t>3 - Camión</t>
  </si>
  <si>
    <t>8 - Bicicleta</t>
  </si>
  <si>
    <t>4 - Intermitente</t>
  </si>
  <si>
    <t>4 - Autopista Nacional</t>
  </si>
  <si>
    <t>4 - Vuelco / despistes</t>
  </si>
  <si>
    <t>4 - Llovizna</t>
  </si>
  <si>
    <t>4 - Peatón</t>
  </si>
  <si>
    <t>4 - Camioneta</t>
  </si>
  <si>
    <t>9 - Tren</t>
  </si>
  <si>
    <t>5 - Autopista Provincial</t>
  </si>
  <si>
    <t>5 - Otro modo (Especificar)</t>
  </si>
  <si>
    <t>5 - Nieve</t>
  </si>
  <si>
    <t>5 - Otra (Especif.)</t>
  </si>
  <si>
    <t>5 - Automóvil</t>
  </si>
  <si>
    <t>10 - Otro (Especif.)</t>
  </si>
  <si>
    <t>6 - Autovía</t>
  </si>
  <si>
    <t>6 - Granizo</t>
  </si>
  <si>
    <t>7 - Otra condición</t>
  </si>
  <si>
    <t>Código de Localidad* (según codificación INDEC)*</t>
  </si>
  <si>
    <t>Altura / Nro.*</t>
  </si>
  <si>
    <t>Semáforo (A)*</t>
  </si>
  <si>
    <t>Tipo de Lugar*</t>
  </si>
  <si>
    <t>Modo de Producción del Hecho*</t>
  </si>
  <si>
    <t>Condiciones Climáticas (D)*</t>
  </si>
  <si>
    <t>Clase de Víctima*</t>
  </si>
  <si>
    <t>Vehículo Víctima (excluir peatón)*</t>
  </si>
  <si>
    <t>Vehículo del Imputado*</t>
  </si>
  <si>
    <t>Especificar sólo  código 5</t>
  </si>
  <si>
    <t>Especificar sólo código 10</t>
  </si>
  <si>
    <t>Modalidad</t>
  </si>
  <si>
    <t>Sexo del Suicida - Testigo</t>
  </si>
  <si>
    <t>2 - Arma Blanca / Elemento Cortante</t>
  </si>
  <si>
    <t>3 - Vías del FF.CC.</t>
  </si>
  <si>
    <t>3 - Sumersión en piscina / mar / río</t>
  </si>
  <si>
    <t>4 - Cárcel o Comisaría</t>
  </si>
  <si>
    <t>4 - Envenenamiento</t>
  </si>
  <si>
    <t>5 - Otro Lugar (Especificar)</t>
  </si>
  <si>
    <t>5 - Ahorcamiento</t>
  </si>
  <si>
    <t>6 - Se arroja al vacío</t>
  </si>
  <si>
    <t>7 - Se arroja a las vías del FF.CC.</t>
  </si>
  <si>
    <t>8 - Otra Modalidad (Especificar).</t>
  </si>
  <si>
    <t>DATOS DEL SUICIDA</t>
  </si>
  <si>
    <t>DATOS DEL TESTIGO</t>
  </si>
  <si>
    <t>Modalidad*</t>
  </si>
  <si>
    <t>Sexo (D) *</t>
  </si>
  <si>
    <t>Género"</t>
  </si>
  <si>
    <t>Edad *</t>
  </si>
  <si>
    <t>Sexo (D)</t>
  </si>
  <si>
    <t>Especificar sólo código 8</t>
  </si>
  <si>
    <t>DENUNCIA PARTICULAR</t>
  </si>
  <si>
    <t>INTERVENCIÓN POLICIAL</t>
  </si>
  <si>
    <t>ORDEN JUDICIAL</t>
  </si>
  <si>
    <t>OTROS/ NO CONSTA</t>
  </si>
  <si>
    <t>Masculinos</t>
  </si>
  <si>
    <t>Femeninos</t>
  </si>
  <si>
    <t>No consta</t>
  </si>
  <si>
    <t>HECHOS EN VÍA PÚBLICA (CALLE, PLAZA,ETC)</t>
  </si>
  <si>
    <t>HECHOS EN ESTABLECIMIENTOS COMERCIALES/PÚBLICOS</t>
  </si>
  <si>
    <t>HECHOS EN DOMICILIO PARTICULAR</t>
  </si>
  <si>
    <t>BANCO</t>
  </si>
  <si>
    <t>CONOCIDO</t>
  </si>
  <si>
    <t>SI</t>
  </si>
  <si>
    <t>NO</t>
  </si>
  <si>
    <t>AUTOMOTOR</t>
  </si>
  <si>
    <t>MOTOCICLETA</t>
  </si>
  <si>
    <t>ABIGEATO</t>
  </si>
  <si>
    <t>OTROS</t>
  </si>
  <si>
    <t>DESAPARICION DE PERSONA</t>
  </si>
  <si>
    <t>BOVINO</t>
  </si>
  <si>
    <t>AVIAR</t>
  </si>
  <si>
    <t>EQUINO</t>
  </si>
  <si>
    <t>PORCINO</t>
  </si>
  <si>
    <t>OVINO</t>
  </si>
  <si>
    <t>CAPRINO</t>
  </si>
  <si>
    <t>EXOTICO</t>
  </si>
  <si>
    <t>BICICLETA</t>
  </si>
  <si>
    <t>CELULAR</t>
  </si>
  <si>
    <t>BILLETERA</t>
  </si>
  <si>
    <t>NOTEBOOK</t>
  </si>
  <si>
    <t>ASOCIACION ILICITA SIMPLE / AGRAVADA</t>
  </si>
  <si>
    <t>CONTRABANDO SIMPLE / AGRAVADO</t>
  </si>
  <si>
    <t>PISCICOLA</t>
  </si>
  <si>
    <t>DETALLES, COMENTARIOS</t>
  </si>
  <si>
    <t>LOCALIDAD</t>
  </si>
  <si>
    <t>BARRIO</t>
  </si>
  <si>
    <t>N_11</t>
  </si>
  <si>
    <t>N_12</t>
  </si>
  <si>
    <t>N_13</t>
  </si>
  <si>
    <t>N_14</t>
  </si>
  <si>
    <t>N_15</t>
  </si>
  <si>
    <t>N_16</t>
  </si>
  <si>
    <t>N_17</t>
  </si>
  <si>
    <t>N_18</t>
  </si>
  <si>
    <t>N_19</t>
  </si>
  <si>
    <t>N_20</t>
  </si>
  <si>
    <t>N_21</t>
  </si>
  <si>
    <t>N_22</t>
  </si>
  <si>
    <t>N_23</t>
  </si>
  <si>
    <t>N_24</t>
  </si>
  <si>
    <t>N_25</t>
  </si>
  <si>
    <t>N_26</t>
  </si>
  <si>
    <t>N_27</t>
  </si>
  <si>
    <t>N_28</t>
  </si>
  <si>
    <t>N_29</t>
  </si>
  <si>
    <t>N_30</t>
  </si>
  <si>
    <t>N_31</t>
  </si>
  <si>
    <t>N_32</t>
  </si>
  <si>
    <t>N_33</t>
  </si>
  <si>
    <t>N_34</t>
  </si>
  <si>
    <t>N_35</t>
  </si>
  <si>
    <t>N_36</t>
  </si>
  <si>
    <t>N_37</t>
  </si>
  <si>
    <t>N_38</t>
  </si>
  <si>
    <t>N_39</t>
  </si>
  <si>
    <t>N_40</t>
  </si>
  <si>
    <t>N_41</t>
  </si>
  <si>
    <t>ABREVIADA</t>
  </si>
  <si>
    <t>CONVENCIONAL</t>
  </si>
  <si>
    <t>NOMBRE DE LA VICTIMA O DENUNCIANTE</t>
  </si>
  <si>
    <t>HOMICIDIO**</t>
  </si>
  <si>
    <t>SUICIDIOS</t>
  </si>
  <si>
    <t>VIA PUBLICA</t>
  </si>
  <si>
    <t>DOMICILIO PARTICULAR</t>
  </si>
  <si>
    <t>COMERCIO</t>
  </si>
  <si>
    <t>INTERIOR DE RODADOS</t>
  </si>
  <si>
    <t>CARCEL O COMISARIA</t>
  </si>
  <si>
    <t>OTRO LUGAR</t>
  </si>
  <si>
    <t>SIN DETERMINAR</t>
  </si>
  <si>
    <t>CALLE</t>
  </si>
  <si>
    <t>RUTA NACIONAL</t>
  </si>
  <si>
    <t>RUTA PROVINCIAL</t>
  </si>
  <si>
    <t>AUTOPISTA NACIONAL</t>
  </si>
  <si>
    <t>AUTOPISTA PROVINCIAL</t>
  </si>
  <si>
    <t>AUTOVIA</t>
  </si>
  <si>
    <t>VIAS DEL FFCC</t>
  </si>
  <si>
    <t>HOMICIDIO_SINIESTRO_VIAL</t>
  </si>
  <si>
    <t>Auxiliar</t>
  </si>
  <si>
    <t>TIPO DE ARMA, MODALIDAD O MECANISMO</t>
  </si>
  <si>
    <t>ARMA DE FUEGO</t>
  </si>
  <si>
    <t>ARMA BLANCA</t>
  </si>
  <si>
    <t>OBJETO CONTUNDENTE</t>
  </si>
  <si>
    <t>ARROLLAMIENTO POR RODADO O TREN</t>
  </si>
  <si>
    <t>ENVENENAMIENTO</t>
  </si>
  <si>
    <t>PRECIPITACION AL VACIO</t>
  </si>
  <si>
    <t>QUEMADURAS</t>
  </si>
  <si>
    <t>OTRA ARMA O MECANISMO</t>
  </si>
  <si>
    <t>SIN DETERMINACION</t>
  </si>
  <si>
    <t>ARMA BLANCA - ELEMENTO CORTANTE</t>
  </si>
  <si>
    <t>SUMERSION EN PISCINA, MAR, RIO</t>
  </si>
  <si>
    <t>AHORCAMIENTO</t>
  </si>
  <si>
    <t>SE ARROJA AL VACIO</t>
  </si>
  <si>
    <t>SE ARROJA A LAS VIAS</t>
  </si>
  <si>
    <t>OTRA MODALIDAD</t>
  </si>
  <si>
    <t>SUICIDIO_(CONSUMADO)</t>
  </si>
  <si>
    <t>DELITOS CONTRA LAS PERSONAS*</t>
  </si>
  <si>
    <t>DELITOS CONTRA LA PROPIEDAD*</t>
  </si>
  <si>
    <t>DELITOS_CONTRA_LAS_PERSONAS</t>
  </si>
  <si>
    <t>SUICIDIOS_CONSUMADOS</t>
  </si>
  <si>
    <t>DELITOS_CONTRA_LA_PROPIEDAD</t>
  </si>
  <si>
    <t>AUX 2</t>
  </si>
  <si>
    <t>RUEDA DE AUTO</t>
  </si>
  <si>
    <t>GOLPES DE PUÑO</t>
  </si>
  <si>
    <t>OTRO DELITO CONTRA EL HONOR (CALUMNIA, INJURIA, ESCRACHE)</t>
  </si>
  <si>
    <t>ALUMINE</t>
  </si>
  <si>
    <t>ANDACOLLO</t>
  </si>
  <si>
    <t>AÑELO</t>
  </si>
  <si>
    <t>ARROYITO</t>
  </si>
  <si>
    <t>BARRANCAS</t>
  </si>
  <si>
    <t>CAVIAHUE</t>
  </si>
  <si>
    <t>CENTENARIO</t>
  </si>
  <si>
    <t>CHORRIACA</t>
  </si>
  <si>
    <t>COPAHUE</t>
  </si>
  <si>
    <t>HUINGANCO</t>
  </si>
  <si>
    <t>LONCOPUÉ</t>
  </si>
  <si>
    <t>MOQUEHUE</t>
  </si>
  <si>
    <t>NEUQUEN</t>
  </si>
  <si>
    <t>PLOTTIER</t>
  </si>
  <si>
    <t>SENILLOSA</t>
  </si>
  <si>
    <t>TAQUIMILAN</t>
  </si>
  <si>
    <t>VARVARCO</t>
  </si>
  <si>
    <t>ZAPALA</t>
  </si>
  <si>
    <t>ALTA BARDA</t>
  </si>
  <si>
    <t>ALTOS DEL LIMAY</t>
  </si>
  <si>
    <t>ANIBAL SAPERE</t>
  </si>
  <si>
    <t>AREA CENTRO ESTE</t>
  </si>
  <si>
    <t>AREA CENTRO OESTE</t>
  </si>
  <si>
    <t>AREA CENTRO SUR</t>
  </si>
  <si>
    <t>BARDAS SOLEADAS</t>
  </si>
  <si>
    <t>BOUQUET ROLDAN</t>
  </si>
  <si>
    <t>CANAL V</t>
  </si>
  <si>
    <t>CIUDAD INDUSTRIAL OBISPO JAIME DE NEVARES</t>
  </si>
  <si>
    <t>COLONIA CONFLUENCIA RURAL</t>
  </si>
  <si>
    <t>COLONIA CONFLUENCIA URBANO</t>
  </si>
  <si>
    <t>COLONIA NUEVA ESPERANZA</t>
  </si>
  <si>
    <t>CUENCA XV</t>
  </si>
  <si>
    <t>CUMELEN</t>
  </si>
  <si>
    <t>DON BOSCO II</t>
  </si>
  <si>
    <t>DON BOSCO III</t>
  </si>
  <si>
    <t>EL PROGRESO</t>
  </si>
  <si>
    <t>ESFUERZO</t>
  </si>
  <si>
    <t>GRAN NEUQUEN NORTE</t>
  </si>
  <si>
    <t>GRAN NEUQUEN SUR</t>
  </si>
  <si>
    <t>GREGORIO ALVAREZ</t>
  </si>
  <si>
    <t>Hi.Be.Pa.</t>
  </si>
  <si>
    <t>HUILICHES</t>
  </si>
  <si>
    <t>ISLAS MALVINAS</t>
  </si>
  <si>
    <t>LA SIRENA</t>
  </si>
  <si>
    <t>LIMAY</t>
  </si>
  <si>
    <t>MANUEL BELGRANO</t>
  </si>
  <si>
    <t>MARIANO MORENO</t>
  </si>
  <si>
    <t>MELIPAL</t>
  </si>
  <si>
    <t>MILITAR</t>
  </si>
  <si>
    <t>PROVINCIAS UNIDAS</t>
  </si>
  <si>
    <t>RINCON DE EMILIO</t>
  </si>
  <si>
    <t>RIO GRANDE</t>
  </si>
  <si>
    <t>SAN LORENZO NORTE</t>
  </si>
  <si>
    <t>SAN LORENZO SUR</t>
  </si>
  <si>
    <t>SANTA GENOVEVA</t>
  </si>
  <si>
    <t>TERRAZAS DEL NEUQUEN</t>
  </si>
  <si>
    <t>UNION DE MAYO</t>
  </si>
  <si>
    <t>VALENTINA NORTE RURAL</t>
  </si>
  <si>
    <t>VALENTINA NORTE URBANO</t>
  </si>
  <si>
    <t>VALENTINA SUR RURAL</t>
  </si>
  <si>
    <t>VALENTINA SUR URBANO</t>
  </si>
  <si>
    <t>VILLA CEFERINO</t>
  </si>
  <si>
    <t>VILLA FARRELL</t>
  </si>
  <si>
    <t>VILLA FLORENCIA</t>
  </si>
  <si>
    <t>VILLA MARIA</t>
  </si>
  <si>
    <t>14 DE OCTUBRE/COPOL</t>
  </si>
  <si>
    <t>BARRIO NUEVO</t>
  </si>
  <si>
    <t>CENTRO</t>
  </si>
  <si>
    <t>PARQUE INDUSTRIAL</t>
  </si>
  <si>
    <t>PONIENTE</t>
  </si>
  <si>
    <t>EL MIRADOR ORIENTE</t>
  </si>
  <si>
    <t>MIRADOR BARDA</t>
  </si>
  <si>
    <t>ORIENTE</t>
  </si>
  <si>
    <t>ZONA EQUIPAMIENTOS</t>
  </si>
  <si>
    <t>CRECIMIENTO LINEAL R17</t>
  </si>
  <si>
    <t>NUEVA ESPAÑA</t>
  </si>
  <si>
    <t>11 DE OCTUBRE</t>
  </si>
  <si>
    <t>VILLA OBRERA</t>
  </si>
  <si>
    <t>SARMIENTO I</t>
  </si>
  <si>
    <t>SARMIENTO II</t>
  </si>
  <si>
    <t>VISTA HERMOSA</t>
  </si>
  <si>
    <t>HOSPITAL</t>
  </si>
  <si>
    <t>COSTA DE REYES</t>
  </si>
  <si>
    <t>VISTA ALEGRE SUR</t>
  </si>
  <si>
    <t>VISTA ALEGRE NORTE</t>
  </si>
  <si>
    <t>PARQUE OESTE</t>
  </si>
  <si>
    <t>PARQUE ESTE</t>
  </si>
  <si>
    <t>FILLI DEI</t>
  </si>
  <si>
    <t>ZANI</t>
  </si>
  <si>
    <t>SAN MARTIN</t>
  </si>
  <si>
    <t>AEROPARQUE</t>
  </si>
  <si>
    <t>COOPERATIVA</t>
  </si>
  <si>
    <t>D. SAEZ</t>
  </si>
  <si>
    <t>PAMPA</t>
  </si>
  <si>
    <t>RUCA QUIMEY</t>
  </si>
  <si>
    <t>NEUQUEN CHE</t>
  </si>
  <si>
    <t>BELGRANO</t>
  </si>
  <si>
    <t>PENI TRAPUN</t>
  </si>
  <si>
    <t>BRENTANA</t>
  </si>
  <si>
    <t>PROGRESO</t>
  </si>
  <si>
    <t>UNION</t>
  </si>
  <si>
    <t>25 DE MAYO</t>
  </si>
  <si>
    <t>PUEBLO NUEVO</t>
  </si>
  <si>
    <t>MONTE HERMOSO C</t>
  </si>
  <si>
    <t>NORTE</t>
  </si>
  <si>
    <t>UNO</t>
  </si>
  <si>
    <t>CENTRAL</t>
  </si>
  <si>
    <t>NOROESTE</t>
  </si>
  <si>
    <t>ZONA INDUSTRIAL</t>
  </si>
  <si>
    <t>SOUFAL</t>
  </si>
  <si>
    <t>UNIVERSITARIO</t>
  </si>
  <si>
    <t>BOSCONI</t>
  </si>
  <si>
    <t>OTANO</t>
  </si>
  <si>
    <t>ALTOS DEL SUR</t>
  </si>
  <si>
    <t>PARUQE INDUSTRIAL</t>
  </si>
  <si>
    <t>LOS BARRIALES</t>
  </si>
  <si>
    <t>RODRIGUEZ PEÑA</t>
  </si>
  <si>
    <t>MEDRANO</t>
  </si>
  <si>
    <t>LA COLONIA</t>
  </si>
  <si>
    <t>INGENIERO GIAGNONI</t>
  </si>
  <si>
    <t>ALGARROBO GRANDE</t>
  </si>
  <si>
    <t>MUNDO NUEVO</t>
  </si>
  <si>
    <t xml:space="preserve">ALTO VERDE </t>
  </si>
  <si>
    <t>PHILLIPS</t>
  </si>
  <si>
    <t>CIUDAD DE JUNIN</t>
  </si>
  <si>
    <t>PLOTTIER CENTRO</t>
  </si>
  <si>
    <t>CNEA</t>
  </si>
  <si>
    <t>FONAVI</t>
  </si>
  <si>
    <t>JORGE AGUILA</t>
  </si>
  <si>
    <t>KNUDSEN</t>
  </si>
  <si>
    <t>LOS AROMOS</t>
  </si>
  <si>
    <t>LOS CANALES</t>
  </si>
  <si>
    <t>SAN MIGUEL</t>
  </si>
  <si>
    <t>SVELITZA</t>
  </si>
  <si>
    <t>TAGLIAFERRI</t>
  </si>
  <si>
    <t>VIÑA DEL RIO</t>
  </si>
  <si>
    <t>AMERICA SUR</t>
  </si>
  <si>
    <t>EN TRANSPORTE (SOLO ABIGEATO)</t>
  </si>
  <si>
    <t>LUGAR DEL HECHO (DIRECCION SEGÚN GOOGLE MAPS)</t>
  </si>
  <si>
    <t>N° / ALTURA</t>
  </si>
  <si>
    <t>Nro. Documento*</t>
  </si>
  <si>
    <t>Nombre*</t>
  </si>
  <si>
    <t>Apellido*</t>
  </si>
  <si>
    <t>Coordenadas*</t>
  </si>
  <si>
    <t>N42</t>
  </si>
  <si>
    <t>N43</t>
  </si>
  <si>
    <t>N44</t>
  </si>
  <si>
    <t>N45</t>
  </si>
  <si>
    <t>N46</t>
  </si>
  <si>
    <t>N47</t>
  </si>
  <si>
    <t>N48</t>
  </si>
  <si>
    <t>N49</t>
  </si>
  <si>
    <t>N50</t>
  </si>
  <si>
    <t>N51</t>
  </si>
  <si>
    <t>N52</t>
  </si>
  <si>
    <t>N53</t>
  </si>
  <si>
    <t>N54</t>
  </si>
  <si>
    <t>N55</t>
  </si>
  <si>
    <t>N56</t>
  </si>
  <si>
    <t>N57</t>
  </si>
  <si>
    <t>N58</t>
  </si>
  <si>
    <t>N59</t>
  </si>
  <si>
    <t>N60</t>
  </si>
  <si>
    <t>N61</t>
  </si>
  <si>
    <t>N62</t>
  </si>
  <si>
    <t>N63</t>
  </si>
  <si>
    <t>N64</t>
  </si>
  <si>
    <t>N65</t>
  </si>
  <si>
    <t>N66</t>
  </si>
  <si>
    <t>N67</t>
  </si>
  <si>
    <t>N68</t>
  </si>
  <si>
    <t>N69</t>
  </si>
  <si>
    <t>N70</t>
  </si>
  <si>
    <t>N71</t>
  </si>
  <si>
    <t>N72</t>
  </si>
  <si>
    <t>N73</t>
  </si>
  <si>
    <t>N74</t>
  </si>
  <si>
    <t>N75</t>
  </si>
  <si>
    <t>N76</t>
  </si>
  <si>
    <t>N77</t>
  </si>
  <si>
    <t>N78</t>
  </si>
  <si>
    <t>N79</t>
  </si>
  <si>
    <t>N80</t>
  </si>
  <si>
    <t>N81</t>
  </si>
  <si>
    <t>N82</t>
  </si>
  <si>
    <t>N83</t>
  </si>
  <si>
    <t>N84</t>
  </si>
  <si>
    <t>N85</t>
  </si>
  <si>
    <t>N86</t>
  </si>
  <si>
    <t>N87</t>
  </si>
  <si>
    <t>N88</t>
  </si>
  <si>
    <t>N89</t>
  </si>
  <si>
    <t>N90</t>
  </si>
  <si>
    <t>N91</t>
  </si>
  <si>
    <t>N92</t>
  </si>
  <si>
    <t>N93</t>
  </si>
  <si>
    <t>N94</t>
  </si>
  <si>
    <t>N95</t>
  </si>
  <si>
    <t>N96</t>
  </si>
  <si>
    <t>N97</t>
  </si>
  <si>
    <t>N98</t>
  </si>
  <si>
    <t>N99</t>
  </si>
  <si>
    <t>N100</t>
  </si>
  <si>
    <t>N101</t>
  </si>
  <si>
    <t>N102</t>
  </si>
  <si>
    <t>N5 - G2</t>
  </si>
  <si>
    <t>N6 - H2</t>
  </si>
  <si>
    <t>N4 - F2</t>
  </si>
  <si>
    <t>N_42</t>
  </si>
  <si>
    <t>N_43</t>
  </si>
  <si>
    <t>N_44</t>
  </si>
  <si>
    <t>N_45</t>
  </si>
  <si>
    <t>N_46</t>
  </si>
  <si>
    <t>N_47</t>
  </si>
  <si>
    <t>N_48</t>
  </si>
  <si>
    <t>N_49</t>
  </si>
  <si>
    <t>N_50</t>
  </si>
  <si>
    <t>N_51</t>
  </si>
  <si>
    <t>N_52</t>
  </si>
  <si>
    <t>N_53</t>
  </si>
  <si>
    <t>N_54</t>
  </si>
  <si>
    <t>N_55</t>
  </si>
  <si>
    <t>N_56</t>
  </si>
  <si>
    <t>N_57</t>
  </si>
  <si>
    <t>N_58</t>
  </si>
  <si>
    <t>N_59</t>
  </si>
  <si>
    <t>N_60</t>
  </si>
  <si>
    <t>N_61</t>
  </si>
  <si>
    <t>N_62</t>
  </si>
  <si>
    <t>N_63</t>
  </si>
  <si>
    <t>N_64</t>
  </si>
  <si>
    <t>N_65</t>
  </si>
  <si>
    <t>N_66</t>
  </si>
  <si>
    <t>N_67</t>
  </si>
  <si>
    <t>N_68</t>
  </si>
  <si>
    <t>N_69</t>
  </si>
  <si>
    <t>N_70</t>
  </si>
  <si>
    <t>N_71</t>
  </si>
  <si>
    <t>N_72</t>
  </si>
  <si>
    <t>N_73</t>
  </si>
  <si>
    <t>N_74</t>
  </si>
  <si>
    <t>N_75</t>
  </si>
  <si>
    <t>N_76</t>
  </si>
  <si>
    <t>N_77</t>
  </si>
  <si>
    <t>N_78</t>
  </si>
  <si>
    <t>N_79</t>
  </si>
  <si>
    <t>N_80</t>
  </si>
  <si>
    <t>N_81</t>
  </si>
  <si>
    <t>N_82</t>
  </si>
  <si>
    <t>N_83</t>
  </si>
  <si>
    <t>N_84</t>
  </si>
  <si>
    <t>N_85</t>
  </si>
  <si>
    <t>N_86</t>
  </si>
  <si>
    <t>N_87</t>
  </si>
  <si>
    <t>N_88</t>
  </si>
  <si>
    <t>N_89</t>
  </si>
  <si>
    <t>N_90</t>
  </si>
  <si>
    <t>N_91</t>
  </si>
  <si>
    <t>N_92</t>
  </si>
  <si>
    <t>N_93</t>
  </si>
  <si>
    <t>N_94</t>
  </si>
  <si>
    <t>N_95</t>
  </si>
  <si>
    <t>N_96</t>
  </si>
  <si>
    <t>N_97</t>
  </si>
  <si>
    <t>N_98</t>
  </si>
  <si>
    <t>N_99</t>
  </si>
  <si>
    <t>N_100</t>
  </si>
  <si>
    <t>N_101</t>
  </si>
  <si>
    <t>N_102</t>
  </si>
  <si>
    <t>DELITOS_CONTRA_L_PROPIEDAD</t>
  </si>
  <si>
    <t>DELITOS_CONTRA_LAS_PERSONAS*</t>
  </si>
  <si>
    <t>ABUSO_DE_ARMAS</t>
  </si>
  <si>
    <t>OTRO_DELITO_CONTRA_LAS_PERSONAS_</t>
  </si>
  <si>
    <t>OTRO_DELITO_CONTRA_EL_HONOR</t>
  </si>
  <si>
    <t>ABUSO_SEXUAL</t>
  </si>
  <si>
    <t>OTRO_DELITO_CONTRA_LA_INTEGRIDAD_SEXUAL_</t>
  </si>
  <si>
    <t>DELITOS_CONTRA_LA_LIBERTAD_INDIVIDUAL_</t>
  </si>
  <si>
    <t>VIOLACION_DE_DOMICILIO</t>
  </si>
  <si>
    <t>DELITO_CONTRA_LA_LIBERTAD_DE_TRABAJO_Y_ASOCIACIÓN</t>
  </si>
  <si>
    <t>DELITO_CONTRA_LA_LIBERTAD_DE_REUNIÓN_</t>
  </si>
  <si>
    <t>DELITO_CONTRA_LA_LIBERTAD_DE_PRENSA_</t>
  </si>
  <si>
    <t>Aux 4</t>
  </si>
  <si>
    <t>__15</t>
  </si>
  <si>
    <t>__17</t>
  </si>
  <si>
    <t>__19</t>
  </si>
  <si>
    <t>__21</t>
  </si>
  <si>
    <t>___19</t>
  </si>
  <si>
    <t>___8</t>
  </si>
  <si>
    <t>CANTIDAD DE INCULPADOS</t>
  </si>
  <si>
    <t>____15</t>
  </si>
  <si>
    <t>___17</t>
  </si>
  <si>
    <t>Aux 5</t>
  </si>
  <si>
    <t>Aux 6</t>
  </si>
  <si>
    <t>OTRO</t>
  </si>
  <si>
    <t>MAS ELEMENTOS SUSTRAIDOS</t>
  </si>
  <si>
    <t>COMISARIA</t>
  </si>
  <si>
    <t>A CONSIDERACION</t>
  </si>
  <si>
    <t>CNAF 4</t>
  </si>
  <si>
    <t>CNAF 5</t>
  </si>
  <si>
    <t>Comisaría 49°</t>
  </si>
  <si>
    <t>Comisaría 1°</t>
  </si>
  <si>
    <t>Comisaría 2°</t>
  </si>
  <si>
    <t>Comisaría 3°</t>
  </si>
  <si>
    <t>Comisaría 4°</t>
  </si>
  <si>
    <t>Comisaría 5°</t>
  </si>
  <si>
    <t>Comisaría 6°</t>
  </si>
  <si>
    <t>Comisaría 7°</t>
  </si>
  <si>
    <t>Comisaría 8°</t>
  </si>
  <si>
    <t>Comisaría 9°</t>
  </si>
  <si>
    <t>Comisaría 10°</t>
  </si>
  <si>
    <t>Comisaría 11°</t>
  </si>
  <si>
    <t>Comisaría 12°</t>
  </si>
  <si>
    <t>Comisaría 13°</t>
  </si>
  <si>
    <t>Comisaría 14°</t>
  </si>
  <si>
    <t>Comisaría 15°</t>
  </si>
  <si>
    <t>Comisaría 16°</t>
  </si>
  <si>
    <t>Comisaría 17°</t>
  </si>
  <si>
    <t>Comisaría 18°</t>
  </si>
  <si>
    <t>Comisaría 19°</t>
  </si>
  <si>
    <t>Comisaría 20°</t>
  </si>
  <si>
    <t>Comisaría 21°</t>
  </si>
  <si>
    <t>Comisaría 22°</t>
  </si>
  <si>
    <t>Comisaría 23°</t>
  </si>
  <si>
    <t>Comisaría 24°</t>
  </si>
  <si>
    <t>Comisaría 25°</t>
  </si>
  <si>
    <t>Comisaría 26°</t>
  </si>
  <si>
    <t>Comisaría 27°</t>
  </si>
  <si>
    <t>Comisaría 28°</t>
  </si>
  <si>
    <t>Comisaría 29°</t>
  </si>
  <si>
    <t>Comisaría 30°</t>
  </si>
  <si>
    <t>Comisaría 31°</t>
  </si>
  <si>
    <t>Comisaría 32°</t>
  </si>
  <si>
    <t>Comisaría 33°</t>
  </si>
  <si>
    <t>Comisaría 34°</t>
  </si>
  <si>
    <t>Comisaría 35°</t>
  </si>
  <si>
    <t>Comisaría 36°</t>
  </si>
  <si>
    <t>Comisaría 37°</t>
  </si>
  <si>
    <t>Comisaría 38°</t>
  </si>
  <si>
    <t>Comisaría 39°</t>
  </si>
  <si>
    <t>Comisaría 40°</t>
  </si>
  <si>
    <t>Comisaría 41°</t>
  </si>
  <si>
    <t>Comisaría 42°</t>
  </si>
  <si>
    <t>Comisaría 43°</t>
  </si>
  <si>
    <t>Comisaría 44°</t>
  </si>
  <si>
    <t>Comisaría 45°</t>
  </si>
  <si>
    <t>Comisaría 46°</t>
  </si>
  <si>
    <t>Comisaría 47°</t>
  </si>
  <si>
    <t>Comisaría 48°</t>
  </si>
  <si>
    <t>Comisaría 50°</t>
  </si>
  <si>
    <t>Columna1</t>
  </si>
  <si>
    <t xml:space="preserve"> CALLE O RUTA</t>
  </si>
  <si>
    <t>NOMBRE DEL BARRIO O TOMA (si no aparece en el listado)</t>
  </si>
  <si>
    <t>APARECIO</t>
  </si>
  <si>
    <t>_____15</t>
  </si>
  <si>
    <t>_____17</t>
  </si>
  <si>
    <t>_____19</t>
  </si>
  <si>
    <t>Aux 7</t>
  </si>
  <si>
    <t>AHORCAMIENTO, ASFIXIA</t>
  </si>
  <si>
    <t>ACTUACION ABREVIADA/, CONVENCIONAL o A CONSIDERACION</t>
  </si>
  <si>
    <t>FECHA DEL HECHO</t>
  </si>
  <si>
    <t>HORA DEL HECHO</t>
  </si>
  <si>
    <t>FECHA DE DENUNCIA</t>
  </si>
  <si>
    <t>Antinarcotico NQN</t>
  </si>
  <si>
    <t>Antinarcotico CCO</t>
  </si>
  <si>
    <t>Comisaría del Menor y la Mujer ZAP</t>
  </si>
  <si>
    <t>Comisaría del Menor y la Mujer SMA</t>
  </si>
  <si>
    <t>Division Transito NQN/CENTENARIO</t>
  </si>
  <si>
    <t>Division Transito PLAZA HUINCUL</t>
  </si>
  <si>
    <t>Division Transito ZAPALA</t>
  </si>
  <si>
    <t>Division Transito SAN MARTIN DE LOS ANDES</t>
  </si>
  <si>
    <t>Division Transito PIEDRA DEL AGUILA</t>
  </si>
  <si>
    <t>Division Transito NAHUEL HUAPI</t>
  </si>
  <si>
    <t>Departamento De SUSTRACCION DE AUTOMOTORES</t>
  </si>
  <si>
    <t>Departamento DELITOS Y LEYES ESPECIALES</t>
  </si>
  <si>
    <t>Departamento De SEGURIDAD PERSONAL</t>
  </si>
  <si>
    <t>Departamento De DELITOS ECONOMICOS</t>
  </si>
  <si>
    <t>HOMICIDIO CALIFICADO POR EL VINCULO</t>
  </si>
  <si>
    <t>CONTRABANDO DE ELEMENTOS NUCLEARES, AGRESIVOS QUIMICOS, ARMAS Y MUNICIONES</t>
  </si>
  <si>
    <t xml:space="preserve">ABUSO SEXUAL CON ACCESO CARNAL (VIOLACION) </t>
  </si>
  <si>
    <t xml:space="preserve">ABUSO SEXUAL CON ACCESO CARNAL (VIOLACION)  AGRAVADO POR EL VINCULO </t>
  </si>
  <si>
    <t xml:space="preserve">PRIVACION ILEGITIMA DE LIBERTAD SIMPLE </t>
  </si>
  <si>
    <t>PRIVACION ILEGITIMA DE LIBERTAD AGRAVADO</t>
  </si>
  <si>
    <t xml:space="preserve">PRIVACION ILEGITIMA DE LA LIBERTAD  AGRAVADO POR TORTURA </t>
  </si>
  <si>
    <t>DELITO CONTRA LA LIBERTAD DE TRABAJO Y ASOCIACION</t>
  </si>
  <si>
    <t xml:space="preserve">DELITO CONTRA LA LIBERTAD DE REUNION </t>
  </si>
  <si>
    <t>ROBO PERFORACION-FRACTURA PARED, CERCO, TECHO O PISO</t>
  </si>
  <si>
    <t>FABRICACION, ADQUISICION, TRANSFERENCIA Y TENENCIA DE EXPLOSIVOS Y OTROS MATERIALES PELIGROSOS</t>
  </si>
  <si>
    <t>PORTACION ILEGAL DE ARMAS DE FUEGO</t>
  </si>
  <si>
    <t>ACOPIO Y FABRICACION ILEGAL DE ARMAS, PIEZAS Y MUNICIONES</t>
  </si>
  <si>
    <t>ENTREGA Y COMERCIALIZACION ILEGAL DE ARMAS DE FUEGO</t>
  </si>
  <si>
    <t>OMISION, ADULTERACION Y SUPRESION DE MARCAJE</t>
  </si>
  <si>
    <t>OTROS DELITOS CONTRA LA SEGURIDAD DE TRANSITO, MEDIO DE TRANSPORTE O COMUNICACION</t>
  </si>
  <si>
    <t xml:space="preserve">INSTIGACION A COMETER DELITOS </t>
  </si>
  <si>
    <t>EVASION Y QUEBRANTAMIENTO DE PENA</t>
  </si>
  <si>
    <t>FALSIFICACION DE MONEDA, BILLETES DE BANCO, TITULO AL PORTADOR Y DOCUMENTOS DE CREDITO</t>
  </si>
  <si>
    <t xml:space="preserve">PAGO CON CHEQUES SIN PROVISION DE FONDOS </t>
  </si>
  <si>
    <t>SIEMBRA Y PRODUCCION DE ESTUPEFACIENTES</t>
  </si>
  <si>
    <t>COMERCIALIZACION Y ENTREGA DE ESTUPEFACIENTES</t>
  </si>
  <si>
    <t>DESVIO DE IMPORTACION DE ESTUPEFACIENTES</t>
  </si>
  <si>
    <t>ORGANIZACION Y FINANCIACION DE ESTUPEFACIENTES</t>
  </si>
  <si>
    <t>CONFABULACION DE ESTUPEFACIENTES</t>
  </si>
  <si>
    <t>OBSTRUCCION DEL CODIGO ADUANERO</t>
  </si>
  <si>
    <t>DELITOS CONTRA EL ORDEN ECONOMICO Y FINANCIERO</t>
  </si>
  <si>
    <t>PRIVACION ILEGITIMA DE LA LIBERTAD PRODUCIDO  POR FUNCIONARIO PUBLICO C/DETENIDOS</t>
  </si>
  <si>
    <t>PRIVACION ILEGITIMA DE LA LIBERTAD PRODUCIDA POR FUNCIONARIO PUBLICO CON ABUSO DE FUNCIONES, VEJACIONES, SEVERIDADES, APREMIOS ILEGALES</t>
  </si>
  <si>
    <t>VIOLACION DE DOMICILIO AGRAVADO POR FUNCIONARIO PUBLICO</t>
  </si>
  <si>
    <t>HURTO COMETIDO POR FUNCIONARIO PUBLICO</t>
  </si>
  <si>
    <t xml:space="preserve">OTROS CLASIFICACIONES DE DELITOS CONTRA LA SALUD PUBLICA </t>
  </si>
  <si>
    <t>INTIMIDACION PUBLICA</t>
  </si>
  <si>
    <t>OTROS ATENTADOS CONTRA EL ORDEN PUBLICO</t>
  </si>
  <si>
    <t>DELITOS CONTRA LOS PODERES PUBLICOS Y EL ORDEN CONSTITUCIONAL</t>
  </si>
  <si>
    <t>ABUSO DE AUTORIDAD Y VIOLACION A LOS DEBERES DE FUNCIONARIO PUBLICO</t>
  </si>
  <si>
    <t>COHECHO Y TRAFICOS DE INFLUENCIAS  COMETIDO POR FUNCIONARIO PUBLICO</t>
  </si>
  <si>
    <t>EVASION Y QUEBRANTAMIENTO DE PENA FAVORECIDO POR FUNCIONARIO PUBLICO</t>
  </si>
  <si>
    <t>FIAT</t>
  </si>
  <si>
    <t>CHEVROLET</t>
  </si>
  <si>
    <t>MERCEDES BENZ</t>
  </si>
  <si>
    <t>NISSAN</t>
  </si>
  <si>
    <t>PEUGEOT</t>
  </si>
  <si>
    <t>FORD</t>
  </si>
  <si>
    <t>IVECO</t>
  </si>
  <si>
    <t>CITROEN</t>
  </si>
  <si>
    <t>RENAULT</t>
  </si>
  <si>
    <t>SCANIA</t>
  </si>
  <si>
    <t>TOYOTA</t>
  </si>
  <si>
    <t>VOLKSWAGEN</t>
  </si>
  <si>
    <t>CHERY</t>
  </si>
  <si>
    <t>JEEP</t>
  </si>
  <si>
    <t>AÑO</t>
  </si>
  <si>
    <t>MODELO</t>
  </si>
  <si>
    <t>HYUNDAI</t>
  </si>
  <si>
    <t>DENOMINACION</t>
  </si>
  <si>
    <t>COUPE</t>
  </si>
  <si>
    <t>PICK UP 2/3 PUERTAS</t>
  </si>
  <si>
    <t>PICK UP 4/5 PUERTAS</t>
  </si>
  <si>
    <t>DESCAPOTABLE O CONVERTIBLE</t>
  </si>
  <si>
    <t>MONOVOLUMEN</t>
  </si>
  <si>
    <t>UTILITARIO</t>
  </si>
  <si>
    <t>MERCEDES_BENZ</t>
  </si>
  <si>
    <t>DODGE</t>
  </si>
  <si>
    <t>DOGDE</t>
  </si>
  <si>
    <t>SUBCATEGORIA</t>
  </si>
  <si>
    <t>BATERIA DE AUTO</t>
  </si>
  <si>
    <t>500cc a 1000cc</t>
  </si>
  <si>
    <t>SEDAN 2/3 PUERTAS</t>
  </si>
  <si>
    <t>SEDAN 4/5 PUERTAS</t>
  </si>
  <si>
    <t>TRICICLO</t>
  </si>
  <si>
    <t>CUATRICICLO</t>
  </si>
  <si>
    <t>MOTO</t>
  </si>
  <si>
    <t>OTRO (Detallar en Comentarios)</t>
  </si>
  <si>
    <t>Hasta 100cc</t>
  </si>
  <si>
    <t>100cc a 200cc</t>
  </si>
  <si>
    <t>200cc a 500cc</t>
  </si>
  <si>
    <t>Mas de 1000cc</t>
  </si>
  <si>
    <t xml:space="preserve">SUBCATEGORIA </t>
  </si>
  <si>
    <t>DINERO_NACIONAL</t>
  </si>
  <si>
    <t>JOYAS</t>
  </si>
  <si>
    <t>ELECTRODOMESTICOS (Detallar en comentarios)</t>
  </si>
  <si>
    <t>DINERO_EXTRANJERO (Detallar en comentarios)</t>
  </si>
  <si>
    <t>Varon</t>
  </si>
  <si>
    <t>Mujer</t>
  </si>
  <si>
    <t>Mujer Trans</t>
  </si>
  <si>
    <t>Varon Trans</t>
  </si>
  <si>
    <t>Otro Genero</t>
  </si>
  <si>
    <t>Sin Determinar</t>
  </si>
  <si>
    <t>CANTIDAD VICTIMAS SEGÚN SEXO</t>
  </si>
  <si>
    <t>CANTIDAD VICTIMAS SEGÚN GENERO</t>
  </si>
  <si>
    <t>CIPOLLETI</t>
  </si>
  <si>
    <t>CINCO SALTOS</t>
  </si>
  <si>
    <t>Hora</t>
  </si>
  <si>
    <t>Indeterminado</t>
  </si>
  <si>
    <t>INICIAL</t>
  </si>
  <si>
    <t>FINAL</t>
  </si>
  <si>
    <t>VICTIMAS</t>
  </si>
  <si>
    <t>CALIDAD_VICTIMAS</t>
  </si>
  <si>
    <t>Adultos Mayores</t>
  </si>
  <si>
    <t>Mujer embarazada</t>
  </si>
  <si>
    <t>Persona con discapacidad</t>
  </si>
  <si>
    <t>VULNERABILIDAD DE LA VICTIMA</t>
  </si>
  <si>
    <t>Migrantes</t>
  </si>
  <si>
    <t>No pertenece a ningun grupo vulnerable</t>
  </si>
  <si>
    <t>Sin determinar</t>
  </si>
  <si>
    <t>Niñez - Edad joven</t>
  </si>
  <si>
    <t>Personas en situacion de calle</t>
  </si>
  <si>
    <t>Minorías Etnicas, Raciales o Religiosas</t>
  </si>
  <si>
    <t>Hurto</t>
  </si>
  <si>
    <t>Violentador de CERROJOS Y PUERTAS</t>
  </si>
  <si>
    <t>Violentador de CAJAS FUERTES</t>
  </si>
  <si>
    <t>Violentador de VENTANAS, VENTILUCES Y TECHOS</t>
  </si>
  <si>
    <t>Violentador de VIDRIERAS</t>
  </si>
  <si>
    <t>Violentador de PUERTAS Y VENTANAS DE AUTOMOTORES</t>
  </si>
  <si>
    <t>BOQUETEROS</t>
  </si>
  <si>
    <t>OPORTUNISTA</t>
  </si>
  <si>
    <t>MECHERAS</t>
  </si>
  <si>
    <t>PUNGUISTA - LANCERO</t>
  </si>
  <si>
    <t>ESCRUCHANTE</t>
  </si>
  <si>
    <t>ASALTANTE</t>
  </si>
  <si>
    <t>ATRACADORES</t>
  </si>
  <si>
    <t>PIRATAS DEL ASFALTO</t>
  </si>
  <si>
    <t>SALIDERA DE BANCOS</t>
  </si>
  <si>
    <t>ARREBATADORES</t>
  </si>
  <si>
    <t>DESMANTELADORES</t>
  </si>
  <si>
    <t>MODUS OPERANDI</t>
  </si>
  <si>
    <t>EMPLEADO INFIEL</t>
  </si>
  <si>
    <t>ESPECIALIDAD</t>
  </si>
  <si>
    <t>ESCRUCHANTE_Violacion_de_domicilio</t>
  </si>
  <si>
    <t>ESPIANTADORES_Sustraccion_de_vehiculo</t>
  </si>
  <si>
    <t>CUATREROS_Abigeato</t>
  </si>
  <si>
    <t>CORDON COLON</t>
  </si>
  <si>
    <t>MOCHILA - CARTERA</t>
  </si>
  <si>
    <t>ESCUELA</t>
  </si>
  <si>
    <t>UNIVERSIDAD</t>
  </si>
  <si>
    <t>HECHOS_EN_ESTABLECIMIENTOS_PUBLICOS</t>
  </si>
  <si>
    <t>DEPENDENCIA POLICIAL</t>
  </si>
  <si>
    <t>OFICINA MUNICIPAL</t>
  </si>
  <si>
    <t>OFICINA PROVINCIAL</t>
  </si>
  <si>
    <t>OFICINA NACIONAL</t>
  </si>
  <si>
    <t>PARQUE</t>
  </si>
  <si>
    <t>PLAZA</t>
  </si>
  <si>
    <t>ESTACIONAMIENTO</t>
  </si>
  <si>
    <t>PARADA DE COLECTIVO</t>
  </si>
  <si>
    <t>DESCAMPADO</t>
  </si>
  <si>
    <t>SHOPPING</t>
  </si>
  <si>
    <t>SUPERMERCADO</t>
  </si>
  <si>
    <t>KIOSCO/ MAXIKIOSCO</t>
  </si>
  <si>
    <t>COSTANERA</t>
  </si>
  <si>
    <t>POLIDEPORTIVO</t>
  </si>
  <si>
    <t>ESTABLECIMIENTO DEPORTIVO</t>
  </si>
  <si>
    <t>OTROS (Detallar en Comentarios)</t>
  </si>
  <si>
    <t>HECHOS_EN_VIA_PUBLICA</t>
  </si>
  <si>
    <t>MERCADO/ DESPENSA</t>
  </si>
  <si>
    <t>3 - Colisión Vehículo / Objeto / Animal</t>
  </si>
  <si>
    <t>ENTRADERAS</t>
  </si>
  <si>
    <t>CUENTO DEL TIO</t>
  </si>
  <si>
    <t>ESTAFA TELEFONICA</t>
  </si>
  <si>
    <t>MOTOCHORRO</t>
  </si>
  <si>
    <t>PIRAÑA</t>
  </si>
  <si>
    <t>INHIBIDORES</t>
  </si>
  <si>
    <t>ASISTENTE DE CARGA</t>
  </si>
  <si>
    <t>DETALLE ESTABLECIMIENTO</t>
  </si>
  <si>
    <t>AUX</t>
  </si>
  <si>
    <t>SAT SUICIDIOS</t>
  </si>
  <si>
    <t>SAT MUERTES VIALES</t>
  </si>
  <si>
    <t>AUXILIAR 3</t>
  </si>
  <si>
    <t>Division Transito y Brigada Rural JUNIN DE LOS ANDES</t>
  </si>
  <si>
    <t>Division Transito y Brigada Rural CHOS MALAL</t>
  </si>
  <si>
    <t>Brigada Rural ZAPALA</t>
  </si>
  <si>
    <t>Destacamento NAHUEL HUAPI</t>
  </si>
  <si>
    <t>PREVENTIVO - SUMARIO - EXPEDIENTE</t>
  </si>
  <si>
    <t>TOMA NORTE</t>
  </si>
  <si>
    <t>HECHOS_EN_ESTABLECIMIENTOS_COMERCIALES_O_PRIVADOS</t>
  </si>
  <si>
    <t>BASE PETROLERA</t>
  </si>
  <si>
    <t>YACIMIENTO</t>
  </si>
  <si>
    <t>CHACRA</t>
  </si>
  <si>
    <t>BODEGA</t>
  </si>
  <si>
    <t>OTROS(Detallar en Comentarios)</t>
  </si>
  <si>
    <t>TRACTOR(CAMION)</t>
  </si>
  <si>
    <t>MAQUINARIA AGRICOLA</t>
  </si>
  <si>
    <t>OTRAS_MARCAS</t>
  </si>
  <si>
    <t>HERRAMIENTAS</t>
  </si>
  <si>
    <t>Comisaría de la Niñez, Adolescencia y Familia NQN</t>
  </si>
  <si>
    <t>DESOBEDIENCIA DE UNA ORDEN JUDICIAL</t>
  </si>
  <si>
    <t>Comisaría 51°</t>
  </si>
  <si>
    <t>TENTATIVA DE ABUSO SEXUAL CON ACCESO CARNAL</t>
  </si>
  <si>
    <t>11_1</t>
  </si>
  <si>
    <t>ABUSO SEXUAL SIMPLE</t>
  </si>
  <si>
    <t>ABUSO SEXUAL AGRAVADO</t>
  </si>
  <si>
    <t>CIBERDELITOS SEXUALES VINCULADOS A MENORES (GROOMING)</t>
  </si>
  <si>
    <t>11_2</t>
  </si>
  <si>
    <t>11_3</t>
  </si>
  <si>
    <t>11_4</t>
  </si>
  <si>
    <t>11_5</t>
  </si>
  <si>
    <t>21_1</t>
  </si>
  <si>
    <t>SECUESTRO EXTORSIVO</t>
  </si>
  <si>
    <t>21_2</t>
  </si>
  <si>
    <t>21_3</t>
  </si>
  <si>
    <t>ESTAFAS Y DEFRAUDACIONES VIRTUALES</t>
  </si>
  <si>
    <t>21_4</t>
  </si>
  <si>
    <t>21_5</t>
  </si>
  <si>
    <t>ACCESO ILEGAL A SISTEMAS INFORMATICOS Y DAÑOS INFORMATICOS</t>
  </si>
  <si>
    <t>DAÑOS (NO INCLUYE INFORMATICOS)</t>
  </si>
  <si>
    <t>21_6</t>
  </si>
  <si>
    <t>21_7</t>
  </si>
  <si>
    <t>OTROS DELITOS CONTRA LA PROPIEDAD</t>
  </si>
  <si>
    <t>METAL (Cobre, Aluminio, Etc, Detallar en  Comentarios)</t>
  </si>
  <si>
    <t>OTROS (Detallar en comentarios)</t>
  </si>
  <si>
    <t>MUERTE DUDOSA</t>
  </si>
  <si>
    <t>Hasta 15 años</t>
  </si>
  <si>
    <t>15 a 17 años</t>
  </si>
  <si>
    <t>mayor de 18 años</t>
  </si>
  <si>
    <t>Documento</t>
  </si>
  <si>
    <t>Nombre</t>
  </si>
  <si>
    <t>Apellido</t>
  </si>
  <si>
    <t>Correcciones</t>
  </si>
  <si>
    <t>GEO con formula nueva</t>
  </si>
  <si>
    <t>Corregidos los obligatorios de 11 y 21</t>
  </si>
  <si>
    <t>Corregido consideracion</t>
  </si>
  <si>
    <t>Corregido Muerte dudosa</t>
  </si>
  <si>
    <t>Desagregados los codigos 11 y 21 y se agrega Muerte dudosa</t>
  </si>
  <si>
    <t>SAT doloso OK</t>
  </si>
  <si>
    <t>SAT culposo OK con cosas nuevas</t>
  </si>
  <si>
    <t>SAT Suicidio</t>
  </si>
  <si>
    <t>Bloqueado el copiar-pegar</t>
  </si>
  <si>
    <t>Comisaría 52°</t>
  </si>
  <si>
    <t>Clase</t>
  </si>
  <si>
    <t>SAT HOMICIDIOS DOLOSOS</t>
  </si>
  <si>
    <t>AGUADA_SAN_ROQUE</t>
  </si>
  <si>
    <t>BAJADA_DEL_AGRIO</t>
  </si>
  <si>
    <t>BUTA_RANQUIL</t>
  </si>
  <si>
    <t>CHOS_MALAL</t>
  </si>
  <si>
    <t>CUTRAL_CO</t>
  </si>
  <si>
    <t>EL_CHOLAR</t>
  </si>
  <si>
    <t>EL_HUECU</t>
  </si>
  <si>
    <t>EL_SAUCE</t>
  </si>
  <si>
    <t>JUNIN_DE_LOS_ANDES</t>
  </si>
  <si>
    <t>LA_BUITRERA</t>
  </si>
  <si>
    <t>LAS_COLORADAS</t>
  </si>
  <si>
    <t>LAS_LAJAS</t>
  </si>
  <si>
    <t>LAS_OVEJAS</t>
  </si>
  <si>
    <t>LOS_CATUTOS</t>
  </si>
  <si>
    <t>LOS_MICHES</t>
  </si>
  <si>
    <t>MANZANO_AMARGO</t>
  </si>
  <si>
    <t>MARIANO_MORENO</t>
  </si>
  <si>
    <t>MARI_MENUCO</t>
  </si>
  <si>
    <t>OCTAVIO_PICO</t>
  </si>
  <si>
    <t>PASO_AGUERRE</t>
  </si>
  <si>
    <t>PICUN_LEUFU</t>
  </si>
  <si>
    <t>PIEDRA_DEL_AGUILA</t>
  </si>
  <si>
    <t>PLAZA_HUINCUL</t>
  </si>
  <si>
    <t>QUILI_MALAL</t>
  </si>
  <si>
    <t>RAMON_M._CASTRO</t>
  </si>
  <si>
    <t>RINCON_DE_LOS_SAUCES</t>
  </si>
  <si>
    <t>SAN_MARTIN_DE_LOS_ANDES</t>
  </si>
  <si>
    <t>SAN_PATRICIO_DEL_CHAÑAR</t>
  </si>
  <si>
    <t>SANTO_TOMAS</t>
  </si>
  <si>
    <t>TRICAO_MALAL</t>
  </si>
  <si>
    <t>VILLA_DEL_CURI_LEUVU</t>
  </si>
  <si>
    <t>VILLA_EL_CHOCON</t>
  </si>
  <si>
    <t>VILLA_LA_ANGOSTURA</t>
  </si>
  <si>
    <t>VILLA_LAGO_MELIQUINA</t>
  </si>
  <si>
    <t>VILLA_NAHUEVE</t>
  </si>
  <si>
    <t>VILLA_PEHUENIA</t>
  </si>
  <si>
    <t>VILLA_TRAFUL</t>
  </si>
  <si>
    <t>VISTA_ALEGRE_NORTE</t>
  </si>
  <si>
    <t>VISTA_ALEGRE_SUR</t>
  </si>
  <si>
    <t>Celda y vacia?</t>
  </si>
  <si>
    <t>ESTAFAS, DEFRAUDACIONES,USURA y USURPACION (NO INCLUYE VIRTUALES)</t>
  </si>
  <si>
    <t>Comsiaría 53°</t>
  </si>
  <si>
    <t>Comisaría 54°</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</si>
</sst>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
  </numFmts>
  <fonts count="39" x14ac:knownFonts="1">
    <font>
      <sz val="11"/>
      <color theme="1"/>
      <name val="Calibri"/>
      <family val="2"/>
      <scheme val="minor"/>
    </font>
    <font>
      <sz val="8"/>
      <color theme="1"/>
      <name val="Arial"/>
      <family val="2"/>
    </font>
    <font>
      <b/>
      <sz val="8"/>
      <color theme="1"/>
      <name val="Arial"/>
      <family val="2"/>
    </font>
    <font>
      <sz val="10"/>
      <name val="Arial"/>
      <family val="2"/>
    </font>
    <font>
      <sz val="8"/>
      <name val="Calibri"/>
      <family val="2"/>
      <scheme val="minor"/>
    </font>
    <font>
      <sz val="10"/>
      <color rgb="FF000000"/>
      <name val="Arial"/>
      <family val="2"/>
    </font>
    <font>
      <b/>
      <sz val="10"/>
      <color theme="1"/>
      <name val="Arial"/>
      <family val="2"/>
    </font>
    <font>
      <sz val="10"/>
      <color theme="1"/>
      <name val="Arial"/>
      <family val="2"/>
    </font>
    <font>
      <b/>
      <sz val="9"/>
      <color theme="1"/>
      <name val="Arial"/>
      <family val="2"/>
    </font>
    <font>
      <b/>
      <sz val="11"/>
      <color theme="1"/>
      <name val="Arial"/>
      <family val="2"/>
    </font>
    <font>
      <b/>
      <sz val="10"/>
      <name val="Arial"/>
      <family val="2"/>
    </font>
    <font>
      <b/>
      <sz val="10"/>
      <color rgb="FF000000"/>
      <name val="Arial"/>
      <family val="2"/>
    </font>
    <font>
      <sz val="9"/>
      <color theme="1"/>
      <name val="Arial"/>
      <family val="2"/>
    </font>
    <font>
      <sz val="10"/>
      <color rgb="FF000000"/>
      <name val="Arial"/>
      <family val="2"/>
    </font>
    <font>
      <sz val="10"/>
      <color rgb="FF333333"/>
      <name val="Arial"/>
      <family val="2"/>
    </font>
    <font>
      <sz val="7"/>
      <color theme="1"/>
      <name val="Arial"/>
      <family val="2"/>
    </font>
    <font>
      <sz val="9"/>
      <name val="Arial"/>
      <family val="2"/>
    </font>
    <font>
      <sz val="9"/>
      <color rgb="FF000000"/>
      <name val="Arial"/>
      <family val="2"/>
    </font>
    <font>
      <sz val="11"/>
      <name val="Calibri"/>
      <family val="2"/>
      <scheme val="minor"/>
    </font>
    <font>
      <u/>
      <sz val="11"/>
      <color theme="10"/>
      <name val="Calibri"/>
      <family val="2"/>
      <scheme val="minor"/>
    </font>
    <font>
      <sz val="14"/>
      <color theme="1"/>
      <name val="Calibri"/>
      <family val="2"/>
      <scheme val="minor"/>
    </font>
    <font>
      <b/>
      <sz val="13"/>
      <color theme="1"/>
      <name val="Arial"/>
      <family val="2"/>
    </font>
    <font>
      <sz val="14"/>
      <color theme="1"/>
      <name val="Arial"/>
      <family val="2"/>
    </font>
    <font>
      <sz val="14"/>
      <name val="Arial"/>
      <family val="2"/>
    </font>
    <font>
      <u/>
      <sz val="14"/>
      <color theme="10"/>
      <name val="Arial"/>
      <family val="2"/>
    </font>
    <font>
      <sz val="14"/>
      <color rgb="FFFFC000"/>
      <name val="Arial"/>
      <family val="2"/>
    </font>
    <font>
      <sz val="11"/>
      <color rgb="FFFFC000"/>
      <name val="Calibri"/>
      <family val="2"/>
      <scheme val="minor"/>
    </font>
    <font>
      <u/>
      <sz val="14"/>
      <color theme="1"/>
      <name val="Arial"/>
      <family val="2"/>
    </font>
    <font>
      <u/>
      <sz val="10"/>
      <color theme="1"/>
      <name val="Arial"/>
      <family val="2"/>
    </font>
    <font>
      <b/>
      <sz val="26"/>
      <color theme="7" tint="-0.499984740745262"/>
      <name val="Arial"/>
      <family val="2"/>
    </font>
    <font>
      <sz val="24"/>
      <color theme="7" tint="-0.499984740745262"/>
      <name val="Arial"/>
      <family val="2"/>
    </font>
    <font>
      <b/>
      <sz val="20"/>
      <color theme="7" tint="-0.499984740745262"/>
      <name val="Arial"/>
      <family val="2"/>
    </font>
    <font>
      <b/>
      <sz val="24"/>
      <color theme="7" tint="-0.499984740745262"/>
      <name val="Arial"/>
      <family val="2"/>
    </font>
    <font>
      <b/>
      <sz val="16"/>
      <color theme="7" tint="-0.499984740745262"/>
      <name val="Arial"/>
      <family val="2"/>
    </font>
    <font>
      <b/>
      <sz val="14"/>
      <color theme="7" tint="-0.499984740745262"/>
      <name val="Arial"/>
      <family val="2"/>
    </font>
    <font>
      <b/>
      <sz val="18"/>
      <color theme="7" tint="-0.499984740745262"/>
      <name val="Arial"/>
      <family val="2"/>
    </font>
    <font>
      <b/>
      <sz val="22"/>
      <color theme="7" tint="-0.499984740745262"/>
      <name val="Arial"/>
      <family val="2"/>
    </font>
    <font>
      <sz val="12"/>
      <color theme="1"/>
      <name val="Arial"/>
      <family val="2"/>
    </font>
    <font>
      <b/>
      <sz val="14"/>
      <color theme="0"/>
      <name val="Arial"/>
      <family val="2"/>
    </font>
  </fonts>
  <fills count="14">
    <fill>
      <patternFill patternType="none"/>
    </fill>
    <fill>
      <patternFill patternType="gray125"/>
    </fill>
    <fill>
      <patternFill patternType="solid">
        <fgColor theme="0" tint="-0.14999847407452621"/>
        <bgColor indexed="64"/>
      </patternFill>
    </fill>
    <fill>
      <patternFill patternType="solid">
        <fgColor rgb="FF969696"/>
        <bgColor rgb="FF969696"/>
      </patternFill>
    </fill>
    <fill>
      <patternFill patternType="solid">
        <fgColor rgb="FFFFFFFF"/>
        <bgColor rgb="FFFFFFFF"/>
      </patternFill>
    </fill>
    <fill>
      <patternFill patternType="solid">
        <fgColor theme="7" tint="0.39997558519241921"/>
        <bgColor indexed="64"/>
      </patternFill>
    </fill>
    <fill>
      <patternFill patternType="solid">
        <fgColor rgb="FFFFFF00"/>
        <bgColor rgb="FFFFFF00"/>
      </patternFill>
    </fill>
    <fill>
      <patternFill patternType="solid">
        <fgColor rgb="FFFFFF00"/>
        <bgColor rgb="FFFFFFFF"/>
      </patternFill>
    </fill>
    <fill>
      <patternFill patternType="solid">
        <fgColor rgb="FFFFFF00"/>
        <bgColor indexed="64"/>
      </patternFill>
    </fill>
    <fill>
      <patternFill patternType="solid">
        <fgColor theme="0" tint="-0.249977111117893"/>
        <bgColor indexed="64"/>
      </patternFill>
    </fill>
    <fill>
      <patternFill patternType="solid">
        <fgColor theme="0"/>
        <bgColor indexed="64"/>
      </patternFill>
    </fill>
    <fill>
      <patternFill patternType="solid">
        <fgColor theme="7" tint="0.59999389629810485"/>
        <bgColor indexed="64"/>
      </patternFill>
    </fill>
    <fill>
      <patternFill patternType="solid">
        <fgColor theme="0" tint="-0.34998626667073579"/>
        <bgColor indexed="64"/>
      </patternFill>
    </fill>
    <fill>
      <patternFill patternType="solid">
        <fgColor theme="0" tint="-0.499984740745262"/>
        <bgColor indexed="64"/>
      </patternFill>
    </fill>
  </fills>
  <borders count="10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style="thin">
        <color indexed="64"/>
      </left>
      <right style="medium">
        <color indexed="64"/>
      </right>
      <top style="thin">
        <color indexed="64"/>
      </top>
      <bottom style="medium">
        <color indexed="64"/>
      </bottom>
      <diagonal/>
    </border>
    <border>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right style="thin">
        <color indexed="64"/>
      </right>
      <top/>
      <bottom style="thin">
        <color indexed="64"/>
      </bottom>
      <diagonal/>
    </border>
    <border>
      <left style="thin">
        <color rgb="FF000000"/>
      </left>
      <right style="thin">
        <color rgb="FF000000"/>
      </right>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right/>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style="thick">
        <color theme="9" tint="-0.24994659260841701"/>
      </left>
      <right style="thick">
        <color theme="9" tint="-0.24994659260841701"/>
      </right>
      <top style="thick">
        <color theme="9" tint="-0.24994659260841701"/>
      </top>
      <bottom/>
      <diagonal/>
    </border>
    <border>
      <left style="thick">
        <color theme="9" tint="-0.24994659260841701"/>
      </left>
      <right style="thick">
        <color theme="9" tint="-0.24994659260841701"/>
      </right>
      <top/>
      <bottom/>
      <diagonal/>
    </border>
    <border>
      <left style="thick">
        <color theme="9" tint="-0.24994659260841701"/>
      </left>
      <right style="thick">
        <color theme="9" tint="-0.24994659260841701"/>
      </right>
      <top/>
      <bottom style="thick">
        <color theme="9" tint="-0.24994659260841701"/>
      </bottom>
      <diagonal/>
    </border>
    <border>
      <left style="thick">
        <color theme="9" tint="-0.24994659260841701"/>
      </left>
      <right style="thin">
        <color indexed="64"/>
      </right>
      <top style="thick">
        <color theme="9" tint="-0.24994659260841701"/>
      </top>
      <bottom style="thin">
        <color indexed="64"/>
      </bottom>
      <diagonal/>
    </border>
    <border>
      <left style="thin">
        <color indexed="64"/>
      </left>
      <right style="thick">
        <color theme="9" tint="-0.24994659260841701"/>
      </right>
      <top style="thick">
        <color theme="9" tint="-0.24994659260841701"/>
      </top>
      <bottom style="thin">
        <color indexed="64"/>
      </bottom>
      <diagonal/>
    </border>
    <border>
      <left style="thick">
        <color theme="9" tint="-0.24994659260841701"/>
      </left>
      <right style="thin">
        <color indexed="64"/>
      </right>
      <top style="thin">
        <color indexed="64"/>
      </top>
      <bottom style="thin">
        <color indexed="64"/>
      </bottom>
      <diagonal/>
    </border>
    <border>
      <left style="thin">
        <color indexed="64"/>
      </left>
      <right style="thick">
        <color theme="9" tint="-0.24994659260841701"/>
      </right>
      <top style="thin">
        <color indexed="64"/>
      </top>
      <bottom style="thin">
        <color indexed="64"/>
      </bottom>
      <diagonal/>
    </border>
    <border>
      <left style="thick">
        <color theme="9" tint="-0.24994659260841701"/>
      </left>
      <right style="thin">
        <color indexed="64"/>
      </right>
      <top style="thin">
        <color indexed="64"/>
      </top>
      <bottom style="thick">
        <color theme="9" tint="-0.24994659260841701"/>
      </bottom>
      <diagonal/>
    </border>
    <border>
      <left style="thin">
        <color indexed="64"/>
      </left>
      <right style="thick">
        <color theme="9" tint="-0.24994659260841701"/>
      </right>
      <top style="thin">
        <color indexed="64"/>
      </top>
      <bottom style="thick">
        <color theme="9" tint="-0.24994659260841701"/>
      </bottom>
      <diagonal/>
    </border>
    <border>
      <left style="thick">
        <color theme="9" tint="-0.24994659260841701"/>
      </left>
      <right style="thin">
        <color indexed="64"/>
      </right>
      <top/>
      <bottom style="thin">
        <color indexed="64"/>
      </bottom>
      <diagonal/>
    </border>
    <border>
      <left style="thin">
        <color indexed="64"/>
      </left>
      <right style="thick">
        <color theme="9" tint="-0.24994659260841701"/>
      </right>
      <top/>
      <bottom style="thin">
        <color indexed="64"/>
      </bottom>
      <diagonal/>
    </border>
    <border>
      <left style="thin">
        <color indexed="64"/>
      </left>
      <right style="thin">
        <color indexed="64"/>
      </right>
      <top style="thick">
        <color theme="9" tint="-0.24994659260841701"/>
      </top>
      <bottom style="thin">
        <color indexed="64"/>
      </bottom>
      <diagonal/>
    </border>
    <border>
      <left style="thin">
        <color indexed="64"/>
      </left>
      <right style="thin">
        <color indexed="64"/>
      </right>
      <top style="thin">
        <color indexed="64"/>
      </top>
      <bottom style="thick">
        <color theme="9" tint="-0.24994659260841701"/>
      </bottom>
      <diagonal/>
    </border>
    <border>
      <left style="thick">
        <color theme="9" tint="-0.24994659260841701"/>
      </left>
      <right style="thick">
        <color theme="9" tint="-0.24994659260841701"/>
      </right>
      <top style="thick">
        <color theme="9" tint="-0.24994659260841701"/>
      </top>
      <bottom style="thin">
        <color indexed="64"/>
      </bottom>
      <diagonal/>
    </border>
    <border>
      <left style="thick">
        <color theme="9" tint="-0.24994659260841701"/>
      </left>
      <right style="thick">
        <color theme="9" tint="-0.24994659260841701"/>
      </right>
      <top/>
      <bottom style="thin">
        <color indexed="64"/>
      </bottom>
      <diagonal/>
    </border>
    <border>
      <left style="thick">
        <color theme="9" tint="-0.24994659260841701"/>
      </left>
      <right style="thick">
        <color theme="9" tint="-0.24994659260841701"/>
      </right>
      <top style="thin">
        <color indexed="64"/>
      </top>
      <bottom style="thin">
        <color indexed="64"/>
      </bottom>
      <diagonal/>
    </border>
    <border>
      <left style="thick">
        <color theme="9" tint="-0.24994659260841701"/>
      </left>
      <right style="thick">
        <color theme="9" tint="-0.24994659260841701"/>
      </right>
      <top style="thin">
        <color indexed="64"/>
      </top>
      <bottom style="thick">
        <color theme="9" tint="-0.24994659260841701"/>
      </bottom>
      <diagonal/>
    </border>
    <border>
      <left/>
      <right style="thick">
        <color theme="9" tint="-0.24994659260841701"/>
      </right>
      <top style="thin">
        <color indexed="64"/>
      </top>
      <bottom style="thin">
        <color indexed="64"/>
      </bottom>
      <diagonal/>
    </border>
    <border>
      <left/>
      <right style="thick">
        <color theme="9" tint="-0.24994659260841701"/>
      </right>
      <top style="thin">
        <color indexed="64"/>
      </top>
      <bottom style="thick">
        <color theme="9" tint="-0.24994659260841701"/>
      </bottom>
      <diagonal/>
    </border>
    <border>
      <left/>
      <right style="thick">
        <color theme="9" tint="-0.24994659260841701"/>
      </right>
      <top style="thick">
        <color theme="9" tint="-0.24994659260841701"/>
      </top>
      <bottom style="thin">
        <color indexed="64"/>
      </bottom>
      <diagonal/>
    </border>
    <border>
      <left/>
      <right style="thick">
        <color theme="9" tint="-0.24994659260841701"/>
      </right>
      <top/>
      <bottom style="thin">
        <color indexed="64"/>
      </bottom>
      <diagonal/>
    </border>
    <border>
      <left/>
      <right style="thin">
        <color indexed="64"/>
      </right>
      <top style="thin">
        <color indexed="64"/>
      </top>
      <bottom style="thick">
        <color theme="9" tint="-0.24994659260841701"/>
      </bottom>
      <diagonal/>
    </border>
    <border>
      <left style="thick">
        <color theme="9" tint="-0.24994659260841701"/>
      </left>
      <right style="thin">
        <color indexed="64"/>
      </right>
      <top style="thick">
        <color theme="9" tint="-0.24994659260841701"/>
      </top>
      <bottom/>
      <diagonal/>
    </border>
    <border>
      <left style="thin">
        <color indexed="64"/>
      </left>
      <right style="thin">
        <color indexed="64"/>
      </right>
      <top style="thick">
        <color theme="9" tint="-0.24994659260841701"/>
      </top>
      <bottom/>
      <diagonal/>
    </border>
    <border>
      <left style="thin">
        <color indexed="64"/>
      </left>
      <right style="thick">
        <color rgb="FFFF0000"/>
      </right>
      <top/>
      <bottom style="thin">
        <color indexed="64"/>
      </bottom>
      <diagonal/>
    </border>
    <border>
      <left style="thin">
        <color indexed="64"/>
      </left>
      <right style="thick">
        <color rgb="FFFF0000"/>
      </right>
      <top style="thin">
        <color indexed="64"/>
      </top>
      <bottom style="thin">
        <color indexed="64"/>
      </bottom>
      <diagonal/>
    </border>
    <border>
      <left style="thin">
        <color indexed="64"/>
      </left>
      <right style="thick">
        <color rgb="FFFF0000"/>
      </right>
      <top style="thin">
        <color indexed="64"/>
      </top>
      <bottom style="thick">
        <color theme="9" tint="-0.24994659260841701"/>
      </bottom>
      <diagonal/>
    </border>
    <border>
      <left style="thin">
        <color indexed="64"/>
      </left>
      <right style="thick">
        <color theme="9" tint="-0.24994659260841701"/>
      </right>
      <top style="thick">
        <color theme="9" tint="-0.24994659260841701"/>
      </top>
      <bottom/>
      <diagonal/>
    </border>
    <border>
      <left style="thick">
        <color rgb="FFFF0000"/>
      </left>
      <right style="thin">
        <color indexed="64"/>
      </right>
      <top/>
      <bottom style="thin">
        <color indexed="64"/>
      </bottom>
      <diagonal/>
    </border>
    <border>
      <left style="thick">
        <color rgb="FFFF0000"/>
      </left>
      <right style="thin">
        <color indexed="64"/>
      </right>
      <top style="thin">
        <color indexed="64"/>
      </top>
      <bottom style="thin">
        <color indexed="64"/>
      </bottom>
      <diagonal/>
    </border>
    <border>
      <left style="thick">
        <color rgb="FFFF0000"/>
      </left>
      <right style="thin">
        <color indexed="64"/>
      </right>
      <top style="thin">
        <color indexed="64"/>
      </top>
      <bottom style="thick">
        <color theme="9" tint="-0.24994659260841701"/>
      </bottom>
      <diagonal/>
    </border>
    <border>
      <left style="thick">
        <color theme="9" tint="-0.24994659260841701"/>
      </left>
      <right style="thick">
        <color rgb="FFFF0000"/>
      </right>
      <top/>
      <bottom style="thin">
        <color indexed="64"/>
      </bottom>
      <diagonal/>
    </border>
    <border>
      <left style="thick">
        <color theme="9" tint="-0.24994659260841701"/>
      </left>
      <right style="thick">
        <color rgb="FFFF0000"/>
      </right>
      <top style="thin">
        <color indexed="64"/>
      </top>
      <bottom style="thin">
        <color indexed="64"/>
      </bottom>
      <diagonal/>
    </border>
    <border>
      <left style="thick">
        <color theme="9" tint="-0.24994659260841701"/>
      </left>
      <right style="thick">
        <color rgb="FFFF0000"/>
      </right>
      <top style="thin">
        <color indexed="64"/>
      </top>
      <bottom style="thick">
        <color theme="9" tint="-0.24994659260841701"/>
      </bottom>
      <diagonal/>
    </border>
    <border>
      <left/>
      <right/>
      <top style="thin">
        <color indexed="64"/>
      </top>
      <bottom style="thick">
        <color theme="9" tint="-0.24994659260841701"/>
      </bottom>
      <diagonal/>
    </border>
    <border>
      <left style="thick">
        <color theme="9" tint="-0.24994659260841701"/>
      </left>
      <right/>
      <top style="thin">
        <color indexed="64"/>
      </top>
      <bottom style="thick">
        <color theme="9" tint="-0.24994659260841701"/>
      </bottom>
      <diagonal/>
    </border>
    <border>
      <left style="thick">
        <color theme="9" tint="-0.24994659260841701"/>
      </left>
      <right/>
      <top style="thin">
        <color indexed="64"/>
      </top>
      <bottom style="thin">
        <color indexed="64"/>
      </bottom>
      <diagonal/>
    </border>
    <border>
      <left style="thin">
        <color indexed="64"/>
      </left>
      <right style="thick">
        <color rgb="FFFF0000"/>
      </right>
      <top style="thick">
        <color theme="9" tint="-0.24994659260841701"/>
      </top>
      <bottom/>
      <diagonal/>
    </border>
    <border>
      <left/>
      <right style="thin">
        <color indexed="64"/>
      </right>
      <top style="thick">
        <color theme="9" tint="-0.24994659260841701"/>
      </top>
      <bottom/>
      <diagonal/>
    </border>
    <border>
      <left style="thin">
        <color indexed="64"/>
      </left>
      <right/>
      <top style="thick">
        <color theme="9" tint="-0.24994659260841701"/>
      </top>
      <bottom/>
      <diagonal/>
    </border>
    <border>
      <left style="medium">
        <color indexed="64"/>
      </left>
      <right/>
      <top style="thin">
        <color indexed="64"/>
      </top>
      <bottom style="thick">
        <color theme="9" tint="-0.24994659260841701"/>
      </bottom>
      <diagonal/>
    </border>
    <border>
      <left style="thin">
        <color indexed="64"/>
      </left>
      <right/>
      <top style="thin">
        <color indexed="64"/>
      </top>
      <bottom style="thick">
        <color theme="9" tint="-0.24994659260841701"/>
      </bottom>
      <diagonal/>
    </border>
    <border>
      <left style="thick">
        <color theme="9" tint="-0.24994659260841701"/>
      </left>
      <right style="thin">
        <color indexed="64"/>
      </right>
      <top style="thick">
        <color rgb="FFFF0000"/>
      </top>
      <bottom style="thick">
        <color theme="9" tint="-0.24994659260841701"/>
      </bottom>
      <diagonal/>
    </border>
    <border>
      <left style="thin">
        <color indexed="64"/>
      </left>
      <right style="thin">
        <color indexed="64"/>
      </right>
      <top style="thick">
        <color rgb="FFFF0000"/>
      </top>
      <bottom style="thick">
        <color theme="9" tint="-0.24994659260841701"/>
      </bottom>
      <diagonal/>
    </border>
    <border>
      <left style="thin">
        <color indexed="64"/>
      </left>
      <right style="thick">
        <color rgb="FFFF0000"/>
      </right>
      <top style="thick">
        <color rgb="FFFF0000"/>
      </top>
      <bottom style="thick">
        <color theme="9" tint="-0.24994659260841701"/>
      </bottom>
      <diagonal/>
    </border>
    <border>
      <left/>
      <right/>
      <top style="thick">
        <color rgb="FFFF0000"/>
      </top>
      <bottom style="thick">
        <color theme="9" tint="-0.24994659260841701"/>
      </bottom>
      <diagonal/>
    </border>
    <border>
      <left style="thick">
        <color theme="9" tint="-0.24994659260841701"/>
      </left>
      <right style="thick">
        <color rgb="FFFF0000"/>
      </right>
      <top style="thick">
        <color rgb="FFFF0000"/>
      </top>
      <bottom style="thick">
        <color theme="9" tint="-0.24994659260841701"/>
      </bottom>
      <diagonal/>
    </border>
    <border>
      <left/>
      <right style="thin">
        <color indexed="64"/>
      </right>
      <top style="thick">
        <color rgb="FFFF0000"/>
      </top>
      <bottom style="thick">
        <color theme="9" tint="-0.24994659260841701"/>
      </bottom>
      <diagonal/>
    </border>
    <border>
      <left style="thick">
        <color rgb="FFFF0000"/>
      </left>
      <right style="thin">
        <color indexed="64"/>
      </right>
      <top style="thick">
        <color rgb="FFFF0000"/>
      </top>
      <bottom style="thick">
        <color theme="9" tint="-0.24994659260841701"/>
      </bottom>
      <diagonal/>
    </border>
    <border>
      <left style="thin">
        <color indexed="64"/>
      </left>
      <right style="thick">
        <color theme="9" tint="-0.24994659260841701"/>
      </right>
      <top style="thick">
        <color rgb="FFFF0000"/>
      </top>
      <bottom style="thick">
        <color theme="9" tint="-0.24994659260841701"/>
      </bottom>
      <diagonal/>
    </border>
    <border>
      <left style="thick">
        <color theme="9" tint="-0.24994659260841701"/>
      </left>
      <right style="thick">
        <color theme="9" tint="-0.24994659260841701"/>
      </right>
      <top style="thick">
        <color theme="9" tint="-0.24994659260841701"/>
      </top>
      <bottom style="thick">
        <color theme="9" tint="-0.24994659260841701"/>
      </bottom>
      <diagonal/>
    </border>
    <border>
      <left style="thick">
        <color theme="9" tint="-0.24994659260841701"/>
      </left>
      <right/>
      <top style="thick">
        <color theme="9" tint="-0.24994659260841701"/>
      </top>
      <bottom style="thick">
        <color theme="9" tint="-0.24994659260841701"/>
      </bottom>
      <diagonal/>
    </border>
    <border>
      <left/>
      <right style="thick">
        <color theme="9" tint="-0.24994659260841701"/>
      </right>
      <top style="thick">
        <color theme="9" tint="-0.24994659260841701"/>
      </top>
      <bottom style="thick">
        <color theme="9" tint="-0.24994659260841701"/>
      </bottom>
      <diagonal/>
    </border>
    <border>
      <left style="thick">
        <color theme="9" tint="-0.24994659260841701"/>
      </left>
      <right/>
      <top style="thick">
        <color theme="9" tint="-0.24994659260841701"/>
      </top>
      <bottom style="thin">
        <color indexed="64"/>
      </bottom>
      <diagonal/>
    </border>
    <border>
      <left style="thick">
        <color rgb="FFFF0000"/>
      </left>
      <right style="thick">
        <color rgb="FFFF0000"/>
      </right>
      <top style="thick">
        <color theme="9" tint="-0.24994659260841701"/>
      </top>
      <bottom/>
      <diagonal/>
    </border>
    <border>
      <left style="thick">
        <color rgb="FFFF0000"/>
      </left>
      <right style="thick">
        <color rgb="FFFF0000"/>
      </right>
      <top/>
      <bottom style="thick">
        <color theme="9" tint="-0.24994659260841701"/>
      </bottom>
      <diagonal/>
    </border>
    <border>
      <left style="thick">
        <color rgb="FFFF0000"/>
      </left>
      <right style="thick">
        <color rgb="FFFF0000"/>
      </right>
      <top/>
      <bottom style="thin">
        <color indexed="64"/>
      </bottom>
      <diagonal/>
    </border>
    <border>
      <left style="thick">
        <color theme="9" tint="-0.24994659260841701"/>
      </left>
      <right style="thin">
        <color auto="1"/>
      </right>
      <top/>
      <bottom style="thick">
        <color theme="9" tint="-0.24994659260841701"/>
      </bottom>
      <diagonal/>
    </border>
    <border>
      <left style="thin">
        <color auto="1"/>
      </left>
      <right style="thick">
        <color theme="9" tint="-0.24994659260841701"/>
      </right>
      <top/>
      <bottom style="thick">
        <color theme="9" tint="-0.24994659260841701"/>
      </bottom>
      <diagonal/>
    </border>
    <border>
      <left style="medium">
        <color indexed="64"/>
      </left>
      <right style="medium">
        <color indexed="64"/>
      </right>
      <top style="thin">
        <color indexed="64"/>
      </top>
      <bottom style="medium">
        <color indexed="64"/>
      </bottom>
      <diagonal/>
    </border>
    <border>
      <left style="thick">
        <color theme="9" tint="-0.24994659260841701"/>
      </left>
      <right/>
      <top/>
      <bottom style="thin">
        <color indexed="64"/>
      </bottom>
      <diagonal/>
    </border>
    <border>
      <left style="thick">
        <color rgb="FFFF0000"/>
      </left>
      <right style="thick">
        <color rgb="FFFF0000"/>
      </right>
      <top style="thin">
        <color indexed="64"/>
      </top>
      <bottom style="thick">
        <color theme="9" tint="-0.24994659260841701"/>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thick">
        <color rgb="FFFF0000"/>
      </left>
      <right style="thick">
        <color theme="9" tint="-0.24994659260841701"/>
      </right>
      <top style="thick">
        <color theme="9" tint="-0.24994659260841701"/>
      </top>
      <bottom/>
      <diagonal/>
    </border>
    <border>
      <left style="thick">
        <color rgb="FFFF0000"/>
      </left>
      <right style="thick">
        <color theme="9" tint="-0.24994659260841701"/>
      </right>
      <top/>
      <bottom style="thick">
        <color theme="9" tint="-0.24994659260841701"/>
      </bottom>
      <diagonal/>
    </border>
    <border>
      <left style="thick">
        <color theme="9" tint="-0.24994659260841701"/>
      </left>
      <right/>
      <top style="thick">
        <color theme="9" tint="-0.24994659260841701"/>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s>
  <cellStyleXfs count="5">
    <xf numFmtId="0" fontId="0" fillId="0" borderId="0"/>
    <xf numFmtId="0" fontId="3" fillId="0" borderId="0"/>
    <xf numFmtId="0" fontId="3" fillId="0" borderId="0"/>
    <xf numFmtId="0" fontId="5" fillId="0" borderId="0"/>
    <xf numFmtId="0" fontId="19" fillId="0" borderId="0" applyNumberFormat="0" applyFill="0" applyBorder="0" applyAlignment="0" applyProtection="0"/>
  </cellStyleXfs>
  <cellXfs count="370">
    <xf numFmtId="0" fontId="0" fillId="0" borderId="0" xfId="0"/>
    <xf numFmtId="0" fontId="0" fillId="0" borderId="0" xfId="0" applyAlignment="1">
      <alignment horizontal="center" vertical="center"/>
    </xf>
    <xf numFmtId="0" fontId="5" fillId="0" borderId="0" xfId="3" applyAlignment="1">
      <alignment wrapText="1"/>
    </xf>
    <xf numFmtId="0" fontId="8" fillId="0" borderId="4" xfId="3" applyFont="1" applyBorder="1" applyAlignment="1">
      <alignment horizontal="center" vertical="center" wrapText="1"/>
    </xf>
    <xf numFmtId="0" fontId="13" fillId="0" borderId="0" xfId="3" applyFont="1" applyAlignment="1">
      <alignment wrapText="1"/>
    </xf>
    <xf numFmtId="0" fontId="6" fillId="4" borderId="4" xfId="3" applyFont="1" applyFill="1" applyBorder="1" applyAlignment="1">
      <alignment horizontal="center" vertical="center" wrapText="1"/>
    </xf>
    <xf numFmtId="0" fontId="7" fillId="0" borderId="4" xfId="3" applyFont="1" applyBorder="1" applyAlignment="1" applyProtection="1">
      <alignment horizontal="center" vertical="center"/>
      <protection locked="0"/>
    </xf>
    <xf numFmtId="0" fontId="7" fillId="0" borderId="4" xfId="3" applyFont="1" applyBorder="1" applyAlignment="1" applyProtection="1">
      <alignment horizontal="center" vertical="center" wrapText="1"/>
      <protection locked="0"/>
    </xf>
    <xf numFmtId="0" fontId="7" fillId="0" borderId="4" xfId="3" applyFont="1" applyBorder="1" applyAlignment="1" applyProtection="1">
      <alignment horizontal="center" wrapText="1"/>
      <protection locked="0"/>
    </xf>
    <xf numFmtId="164" fontId="14" fillId="0" borderId="4" xfId="3" applyNumberFormat="1" applyFont="1" applyBorder="1" applyAlignment="1" applyProtection="1">
      <alignment horizontal="center"/>
      <protection locked="0"/>
    </xf>
    <xf numFmtId="0" fontId="8" fillId="4" borderId="4" xfId="3" applyFont="1" applyFill="1" applyBorder="1" applyAlignment="1">
      <alignment horizontal="center" vertical="center" wrapText="1"/>
    </xf>
    <xf numFmtId="0" fontId="5" fillId="0" borderId="0" xfId="3" applyAlignment="1">
      <alignment horizontal="center" wrapText="1"/>
    </xf>
    <xf numFmtId="0" fontId="15" fillId="0" borderId="4" xfId="3" applyFont="1" applyBorder="1" applyAlignment="1">
      <alignment horizontal="center" vertical="center" wrapText="1"/>
    </xf>
    <xf numFmtId="0" fontId="17" fillId="0" borderId="0" xfId="3" applyFont="1" applyAlignment="1">
      <alignment wrapText="1"/>
    </xf>
    <xf numFmtId="0" fontId="0" fillId="0" borderId="0" xfId="0" applyAlignment="1" applyProtection="1">
      <alignment horizontal="center" vertical="center"/>
      <protection locked="0"/>
    </xf>
    <xf numFmtId="20" fontId="0" fillId="0" borderId="0" xfId="0" applyNumberFormat="1" applyAlignment="1">
      <alignment horizontal="center" vertical="center"/>
    </xf>
    <xf numFmtId="20" fontId="13" fillId="0" borderId="0" xfId="3" applyNumberFormat="1" applyFont="1" applyAlignment="1">
      <alignment wrapText="1"/>
    </xf>
    <xf numFmtId="0" fontId="13" fillId="0" borderId="0" xfId="3" applyFont="1" applyAlignment="1" applyProtection="1">
      <alignment wrapText="1"/>
      <protection locked="0"/>
    </xf>
    <xf numFmtId="0" fontId="7" fillId="0" borderId="1" xfId="3" applyFont="1" applyBorder="1" applyAlignment="1" applyProtection="1">
      <alignment horizontal="center" vertical="center"/>
      <protection locked="0"/>
    </xf>
    <xf numFmtId="0" fontId="13" fillId="0" borderId="1" xfId="3" applyFont="1" applyBorder="1" applyAlignment="1" applyProtection="1">
      <alignment wrapText="1"/>
      <protection locked="0"/>
    </xf>
    <xf numFmtId="0" fontId="7" fillId="0" borderId="1" xfId="3" applyFont="1" applyBorder="1" applyAlignment="1" applyProtection="1">
      <alignment horizontal="center" wrapText="1"/>
      <protection locked="0"/>
    </xf>
    <xf numFmtId="0" fontId="7" fillId="0" borderId="1" xfId="3" applyFont="1" applyBorder="1" applyAlignment="1" applyProtection="1">
      <alignment horizontal="center" vertical="center" wrapText="1"/>
      <protection locked="0"/>
    </xf>
    <xf numFmtId="14" fontId="7" fillId="0" borderId="1" xfId="3" applyNumberFormat="1" applyFont="1" applyBorder="1" applyAlignment="1" applyProtection="1">
      <alignment horizontal="center" vertical="center" wrapText="1"/>
      <protection locked="0"/>
    </xf>
    <xf numFmtId="20" fontId="7" fillId="0" borderId="1" xfId="3" applyNumberFormat="1" applyFont="1" applyBorder="1" applyAlignment="1" applyProtection="1">
      <alignment horizontal="center" vertical="center" wrapText="1"/>
      <protection locked="0"/>
    </xf>
    <xf numFmtId="164" fontId="14" fillId="0" borderId="1" xfId="3" applyNumberFormat="1" applyFont="1" applyBorder="1" applyAlignment="1" applyProtection="1">
      <alignment horizontal="center"/>
      <protection locked="0"/>
    </xf>
    <xf numFmtId="0" fontId="7" fillId="0" borderId="14" xfId="3" applyFont="1" applyBorder="1" applyAlignment="1">
      <alignment horizontal="center" vertical="center" wrapText="1"/>
    </xf>
    <xf numFmtId="0" fontId="8" fillId="0" borderId="1" xfId="3" applyFont="1" applyBorder="1" applyAlignment="1">
      <alignment horizontal="center" vertical="center" wrapText="1"/>
    </xf>
    <xf numFmtId="0" fontId="22" fillId="0" borderId="1" xfId="0" applyFont="1" applyBorder="1" applyAlignment="1" applyProtection="1">
      <alignment horizontal="center" vertical="center" wrapText="1"/>
      <protection locked="0"/>
    </xf>
    <xf numFmtId="0" fontId="22" fillId="2" borderId="1" xfId="0" applyFont="1" applyFill="1" applyBorder="1" applyAlignment="1">
      <alignment horizontal="center" vertical="center" wrapText="1"/>
    </xf>
    <xf numFmtId="0" fontId="22" fillId="0" borderId="2" xfId="0" applyFont="1" applyBorder="1" applyAlignment="1" applyProtection="1">
      <alignment horizontal="center" vertical="center" wrapText="1"/>
      <protection locked="0"/>
    </xf>
    <xf numFmtId="0" fontId="22" fillId="2" borderId="2" xfId="0" applyFont="1" applyFill="1" applyBorder="1" applyAlignment="1">
      <alignment horizontal="center" vertical="center" wrapText="1"/>
    </xf>
    <xf numFmtId="0" fontId="7" fillId="9" borderId="1" xfId="3" applyFont="1" applyFill="1" applyBorder="1" applyAlignment="1">
      <alignment horizontal="center" vertical="center" wrapText="1"/>
    </xf>
    <xf numFmtId="14" fontId="7" fillId="9" borderId="1" xfId="3" applyNumberFormat="1" applyFont="1" applyFill="1" applyBorder="1" applyAlignment="1">
      <alignment horizontal="center" vertical="center" wrapText="1"/>
    </xf>
    <xf numFmtId="20" fontId="7" fillId="9" borderId="1" xfId="3" applyNumberFormat="1" applyFont="1" applyFill="1" applyBorder="1" applyAlignment="1">
      <alignment horizontal="center" vertical="center" wrapText="1"/>
    </xf>
    <xf numFmtId="0" fontId="7" fillId="9" borderId="4" xfId="3" applyFont="1" applyFill="1" applyBorder="1" applyAlignment="1">
      <alignment horizontal="center" vertical="center" wrapText="1"/>
    </xf>
    <xf numFmtId="14" fontId="7" fillId="9" borderId="4" xfId="3" applyNumberFormat="1" applyFont="1" applyFill="1" applyBorder="1" applyAlignment="1">
      <alignment horizontal="center" vertical="center" wrapText="1"/>
    </xf>
    <xf numFmtId="20" fontId="7" fillId="9" borderId="4" xfId="3" applyNumberFormat="1" applyFont="1" applyFill="1" applyBorder="1" applyAlignment="1">
      <alignment horizontal="center" vertical="center" wrapText="1"/>
    </xf>
    <xf numFmtId="0" fontId="7" fillId="9" borderId="7" xfId="3" applyFont="1" applyFill="1" applyBorder="1" applyAlignment="1">
      <alignment horizontal="center" vertical="center" wrapText="1"/>
    </xf>
    <xf numFmtId="0" fontId="16" fillId="0" borderId="1" xfId="3" applyFont="1" applyBorder="1" applyAlignment="1" applyProtection="1">
      <alignment horizontal="center" wrapText="1"/>
      <protection locked="0"/>
    </xf>
    <xf numFmtId="1" fontId="12" fillId="0" borderId="1" xfId="3" applyNumberFormat="1" applyFont="1" applyBorder="1" applyAlignment="1" applyProtection="1">
      <alignment horizontal="center" vertical="center" wrapText="1"/>
      <protection locked="0"/>
    </xf>
    <xf numFmtId="0" fontId="17" fillId="0" borderId="0" xfId="3" applyFont="1" applyAlignment="1" applyProtection="1">
      <alignment wrapText="1"/>
      <protection locked="0"/>
    </xf>
    <xf numFmtId="0" fontId="21" fillId="0" borderId="34" xfId="0" applyFont="1" applyBorder="1" applyAlignment="1">
      <alignment horizontal="center" vertical="center" wrapText="1"/>
    </xf>
    <xf numFmtId="14" fontId="22" fillId="0" borderId="38" xfId="0" applyNumberFormat="1" applyFont="1" applyBorder="1" applyAlignment="1" applyProtection="1">
      <alignment horizontal="center" vertical="center" wrapText="1"/>
      <protection locked="0"/>
    </xf>
    <xf numFmtId="14" fontId="22" fillId="0" borderId="40" xfId="0" applyNumberFormat="1" applyFont="1" applyBorder="1" applyAlignment="1" applyProtection="1">
      <alignment horizontal="center" vertical="center" wrapText="1"/>
      <protection locked="0"/>
    </xf>
    <xf numFmtId="20" fontId="22" fillId="0" borderId="42" xfId="0" applyNumberFormat="1" applyFont="1" applyBorder="1" applyAlignment="1" applyProtection="1">
      <alignment horizontal="center" vertical="center" wrapText="1"/>
      <protection locked="0"/>
    </xf>
    <xf numFmtId="0" fontId="22" fillId="0" borderId="43" xfId="0" applyFont="1" applyBorder="1" applyAlignment="1" applyProtection="1">
      <alignment horizontal="center" vertical="center" wrapText="1"/>
      <protection locked="0"/>
    </xf>
    <xf numFmtId="0" fontId="22" fillId="0" borderId="39" xfId="0" applyFont="1" applyBorder="1" applyAlignment="1" applyProtection="1">
      <alignment horizontal="center" vertical="center" wrapText="1"/>
      <protection locked="0"/>
    </xf>
    <xf numFmtId="20" fontId="22" fillId="0" borderId="38" xfId="0" applyNumberFormat="1" applyFont="1" applyBorder="1" applyAlignment="1" applyProtection="1">
      <alignment horizontal="center" vertical="center" wrapText="1"/>
      <protection locked="0"/>
    </xf>
    <xf numFmtId="20" fontId="22" fillId="0" borderId="40" xfId="0" applyNumberFormat="1" applyFont="1" applyBorder="1" applyAlignment="1" applyProtection="1">
      <alignment horizontal="center" vertical="center" wrapText="1"/>
      <protection locked="0"/>
    </xf>
    <xf numFmtId="0" fontId="22" fillId="0" borderId="41" xfId="0" applyFont="1" applyBorder="1" applyAlignment="1" applyProtection="1">
      <alignment horizontal="center" vertical="center" wrapText="1"/>
      <protection locked="0"/>
    </xf>
    <xf numFmtId="0" fontId="22" fillId="0" borderId="42" xfId="0" applyFont="1" applyBorder="1" applyAlignment="1" applyProtection="1">
      <alignment horizontal="center" vertical="center" wrapText="1"/>
      <protection locked="0"/>
    </xf>
    <xf numFmtId="0" fontId="19" fillId="0" borderId="43" xfId="4" applyFill="1" applyBorder="1" applyAlignment="1" applyProtection="1">
      <alignment horizontal="center" vertical="center" wrapText="1"/>
      <protection locked="0"/>
    </xf>
    <xf numFmtId="0" fontId="22" fillId="0" borderId="38" xfId="0" applyFont="1" applyBorder="1" applyAlignment="1" applyProtection="1">
      <alignment horizontal="center" vertical="center" wrapText="1"/>
      <protection locked="0"/>
    </xf>
    <xf numFmtId="0" fontId="22" fillId="0" borderId="40" xfId="0" applyFont="1" applyBorder="1" applyAlignment="1" applyProtection="1">
      <alignment horizontal="center" vertical="center" wrapText="1"/>
      <protection locked="0"/>
    </xf>
    <xf numFmtId="0" fontId="22" fillId="0" borderId="45" xfId="0" applyFont="1" applyBorder="1" applyAlignment="1" applyProtection="1">
      <alignment horizontal="center" vertical="center" wrapText="1"/>
      <protection locked="0"/>
    </xf>
    <xf numFmtId="0" fontId="22" fillId="2" borderId="42" xfId="0" applyFont="1" applyFill="1" applyBorder="1" applyAlignment="1">
      <alignment horizontal="center" vertical="center" wrapText="1"/>
    </xf>
    <xf numFmtId="0" fontId="22" fillId="2" borderId="43" xfId="0" applyFont="1" applyFill="1" applyBorder="1" applyAlignment="1">
      <alignment horizontal="center" vertical="center" wrapText="1"/>
    </xf>
    <xf numFmtId="0" fontId="22" fillId="2" borderId="38" xfId="0" applyFont="1" applyFill="1" applyBorder="1" applyAlignment="1">
      <alignment horizontal="center" vertical="center" wrapText="1"/>
    </xf>
    <xf numFmtId="0" fontId="22" fillId="2" borderId="39" xfId="0" applyFont="1" applyFill="1" applyBorder="1" applyAlignment="1">
      <alignment horizontal="center" vertical="center" wrapText="1"/>
    </xf>
    <xf numFmtId="0" fontId="22" fillId="2" borderId="40" xfId="0" applyFont="1" applyFill="1" applyBorder="1" applyAlignment="1">
      <alignment horizontal="center" vertical="center" wrapText="1"/>
    </xf>
    <xf numFmtId="0" fontId="22" fillId="2" borderId="41" xfId="0" applyFont="1" applyFill="1" applyBorder="1" applyAlignment="1">
      <alignment horizontal="center" vertical="center" wrapText="1"/>
    </xf>
    <xf numFmtId="0" fontId="22" fillId="0" borderId="47" xfId="0" applyFont="1" applyBorder="1" applyAlignment="1">
      <alignment horizontal="center" vertical="center" wrapText="1"/>
    </xf>
    <xf numFmtId="0" fontId="22" fillId="0" borderId="48" xfId="0" applyFont="1" applyBorder="1" applyAlignment="1">
      <alignment horizontal="center" vertical="center" wrapText="1"/>
    </xf>
    <xf numFmtId="0" fontId="22" fillId="0" borderId="49" xfId="0" applyFont="1" applyBorder="1" applyAlignment="1">
      <alignment horizontal="center" vertical="center" wrapText="1"/>
    </xf>
    <xf numFmtId="0" fontId="22" fillId="2" borderId="45" xfId="0" applyFont="1" applyFill="1" applyBorder="1" applyAlignment="1">
      <alignment horizontal="center" vertical="center" wrapText="1"/>
    </xf>
    <xf numFmtId="0" fontId="22" fillId="0" borderId="47" xfId="0" applyFont="1" applyBorder="1" applyAlignment="1" applyProtection="1">
      <alignment horizontal="center" vertical="center" wrapText="1"/>
      <protection locked="0"/>
    </xf>
    <xf numFmtId="0" fontId="22" fillId="0" borderId="48" xfId="0" applyFont="1" applyBorder="1" applyAlignment="1" applyProtection="1">
      <alignment horizontal="center" vertical="center" wrapText="1"/>
      <protection locked="0"/>
    </xf>
    <xf numFmtId="0" fontId="22" fillId="0" borderId="49" xfId="0" applyFont="1" applyBorder="1" applyAlignment="1" applyProtection="1">
      <alignment horizontal="center" vertical="center" wrapText="1"/>
      <protection locked="0"/>
    </xf>
    <xf numFmtId="0" fontId="22" fillId="0" borderId="35" xfId="0" applyFont="1" applyBorder="1" applyAlignment="1" applyProtection="1">
      <alignment horizontal="center" vertical="center" wrapText="1"/>
      <protection locked="0"/>
    </xf>
    <xf numFmtId="0" fontId="22" fillId="0" borderId="50" xfId="0" applyFont="1" applyBorder="1" applyAlignment="1" applyProtection="1">
      <alignment horizontal="center" vertical="center" wrapText="1"/>
      <protection locked="0"/>
    </xf>
    <xf numFmtId="0" fontId="22" fillId="0" borderId="51" xfId="0" applyFont="1" applyBorder="1" applyAlignment="1" applyProtection="1">
      <alignment horizontal="center" vertical="center" wrapText="1"/>
      <protection locked="0"/>
    </xf>
    <xf numFmtId="0" fontId="22" fillId="0" borderId="53" xfId="0" applyFont="1" applyBorder="1" applyAlignment="1" applyProtection="1">
      <alignment horizontal="center" vertical="center" wrapText="1"/>
      <protection locked="0"/>
    </xf>
    <xf numFmtId="0" fontId="13" fillId="9" borderId="1" xfId="3" applyFont="1" applyFill="1" applyBorder="1" applyAlignment="1">
      <alignment horizontal="center"/>
    </xf>
    <xf numFmtId="14" fontId="13" fillId="9" borderId="1" xfId="3" applyNumberFormat="1" applyFont="1" applyFill="1" applyBorder="1" applyAlignment="1">
      <alignment horizontal="center"/>
    </xf>
    <xf numFmtId="20" fontId="13" fillId="9" borderId="1" xfId="3" applyNumberFormat="1" applyFont="1" applyFill="1" applyBorder="1" applyAlignment="1">
      <alignment horizontal="center"/>
    </xf>
    <xf numFmtId="0" fontId="22" fillId="0" borderId="64" xfId="0" applyFont="1" applyBorder="1" applyAlignment="1" applyProtection="1">
      <alignment horizontal="center" vertical="center" wrapText="1"/>
      <protection locked="0"/>
    </xf>
    <xf numFmtId="0" fontId="22" fillId="0" borderId="65" xfId="0" applyFont="1" applyBorder="1" applyAlignment="1" applyProtection="1">
      <alignment horizontal="center" vertical="center" wrapText="1"/>
      <protection locked="0"/>
    </xf>
    <xf numFmtId="0" fontId="22" fillId="0" borderId="66" xfId="0" applyFont="1" applyBorder="1" applyAlignment="1" applyProtection="1">
      <alignment horizontal="center" vertical="center" wrapText="1"/>
      <protection locked="0"/>
    </xf>
    <xf numFmtId="0" fontId="22" fillId="0" borderId="30" xfId="0" applyFont="1" applyBorder="1" applyAlignment="1" applyProtection="1">
      <alignment horizontal="center" vertical="center" wrapText="1"/>
      <protection locked="0"/>
    </xf>
    <xf numFmtId="0" fontId="22" fillId="0" borderId="29" xfId="0" applyFont="1" applyBorder="1" applyAlignment="1" applyProtection="1">
      <alignment horizontal="center" vertical="center" wrapText="1"/>
      <protection locked="0"/>
    </xf>
    <xf numFmtId="0" fontId="22" fillId="0" borderId="67" xfId="0" applyFont="1" applyBorder="1" applyAlignment="1" applyProtection="1">
      <alignment horizontal="center" vertical="center" wrapText="1"/>
      <protection locked="0"/>
    </xf>
    <xf numFmtId="0" fontId="22" fillId="0" borderId="68" xfId="0" applyFont="1" applyBorder="1" applyAlignment="1" applyProtection="1">
      <alignment horizontal="center" vertical="center" wrapText="1"/>
      <protection locked="0"/>
    </xf>
    <xf numFmtId="0" fontId="22" fillId="0" borderId="24" xfId="0" applyFont="1" applyBorder="1" applyAlignment="1" applyProtection="1">
      <alignment horizontal="center" vertical="center" wrapText="1"/>
      <protection locked="0"/>
    </xf>
    <xf numFmtId="0" fontId="22" fillId="0" borderId="69" xfId="0" applyFont="1" applyBorder="1" applyAlignment="1" applyProtection="1">
      <alignment horizontal="center" vertical="center" wrapText="1"/>
      <protection locked="0"/>
    </xf>
    <xf numFmtId="0" fontId="23" fillId="0" borderId="1" xfId="0" applyFont="1" applyBorder="1" applyAlignment="1" applyProtection="1">
      <alignment horizontal="center" vertical="center" wrapText="1"/>
      <protection locked="0"/>
    </xf>
    <xf numFmtId="14" fontId="22" fillId="0" borderId="42" xfId="0" applyNumberFormat="1" applyFont="1" applyBorder="1" applyAlignment="1" applyProtection="1">
      <alignment horizontal="center" vertical="center" wrapText="1"/>
      <protection locked="0"/>
    </xf>
    <xf numFmtId="20" fontId="22" fillId="0" borderId="20" xfId="0" applyNumberFormat="1" applyFont="1" applyBorder="1" applyAlignment="1" applyProtection="1">
      <alignment horizontal="center" vertical="center" wrapText="1"/>
      <protection locked="0"/>
    </xf>
    <xf numFmtId="20" fontId="22" fillId="0" borderId="23" xfId="0" applyNumberFormat="1" applyFont="1" applyBorder="1" applyAlignment="1" applyProtection="1">
      <alignment horizontal="center" vertical="center" wrapText="1"/>
      <protection locked="0"/>
    </xf>
    <xf numFmtId="20" fontId="22" fillId="0" borderId="29" xfId="0" applyNumberFormat="1" applyFont="1" applyBorder="1" applyAlignment="1" applyProtection="1">
      <alignment horizontal="center" vertical="center" wrapText="1"/>
      <protection locked="0"/>
    </xf>
    <xf numFmtId="20" fontId="22" fillId="0" borderId="67" xfId="0" applyNumberFormat="1" applyFont="1" applyBorder="1" applyAlignment="1" applyProtection="1">
      <alignment horizontal="center" vertical="center" wrapText="1"/>
      <protection locked="0"/>
    </xf>
    <xf numFmtId="14" fontId="22" fillId="0" borderId="69" xfId="0" applyNumberFormat="1" applyFont="1" applyBorder="1" applyAlignment="1" applyProtection="1">
      <alignment horizontal="center" vertical="center" wrapText="1"/>
      <protection locked="0"/>
    </xf>
    <xf numFmtId="14" fontId="22" fillId="0" borderId="68" xfId="0" applyNumberFormat="1" applyFont="1" applyBorder="1" applyAlignment="1" applyProtection="1">
      <alignment horizontal="center" vertical="center" wrapText="1"/>
      <protection locked="0"/>
    </xf>
    <xf numFmtId="0" fontId="24" fillId="0" borderId="39" xfId="4" applyFont="1" applyFill="1" applyBorder="1" applyAlignment="1" applyProtection="1">
      <alignment horizontal="center" vertical="center" wrapText="1"/>
      <protection locked="0"/>
    </xf>
    <xf numFmtId="0" fontId="24" fillId="10" borderId="39" xfId="4" applyFont="1" applyFill="1" applyBorder="1" applyAlignment="1" applyProtection="1">
      <alignment horizontal="center" vertical="center" wrapText="1"/>
      <protection locked="0"/>
    </xf>
    <xf numFmtId="0" fontId="24" fillId="0" borderId="43" xfId="4" applyFont="1" applyFill="1" applyBorder="1" applyAlignment="1" applyProtection="1">
      <alignment horizontal="center" vertical="center" wrapText="1"/>
      <protection locked="0"/>
    </xf>
    <xf numFmtId="0" fontId="22" fillId="0" borderId="89" xfId="0" applyFont="1" applyBorder="1" applyAlignment="1" applyProtection="1">
      <alignment horizontal="center" vertical="center" wrapText="1"/>
      <protection locked="0"/>
    </xf>
    <xf numFmtId="0" fontId="22" fillId="0" borderId="93" xfId="0" applyFont="1" applyBorder="1" applyAlignment="1" applyProtection="1">
      <alignment horizontal="center" vertical="center" wrapText="1"/>
      <protection locked="0"/>
    </xf>
    <xf numFmtId="0" fontId="22" fillId="0" borderId="37" xfId="0" applyFont="1" applyBorder="1" applyAlignment="1" applyProtection="1">
      <alignment horizontal="center" vertical="center" wrapText="1"/>
      <protection locked="0"/>
    </xf>
    <xf numFmtId="0" fontId="22" fillId="0" borderId="91" xfId="0" applyFont="1" applyBorder="1" applyAlignment="1" applyProtection="1">
      <alignment horizontal="center" vertical="center" wrapText="1"/>
      <protection locked="0"/>
    </xf>
    <xf numFmtId="0" fontId="17" fillId="0" borderId="0" xfId="3" applyFont="1" applyAlignment="1">
      <alignment horizontal="center" vertical="center" wrapText="1"/>
    </xf>
    <xf numFmtId="0" fontId="22" fillId="0" borderId="94" xfId="0" applyFont="1" applyBorder="1" applyAlignment="1" applyProtection="1">
      <alignment horizontal="center" vertical="center" wrapText="1"/>
      <protection locked="0"/>
    </xf>
    <xf numFmtId="0" fontId="25" fillId="0" borderId="2" xfId="0" applyFont="1" applyBorder="1" applyAlignment="1">
      <alignment horizontal="center" vertical="center" wrapText="1"/>
    </xf>
    <xf numFmtId="0" fontId="25" fillId="0" borderId="15" xfId="0" applyFont="1" applyBorder="1" applyAlignment="1">
      <alignment horizontal="center" vertical="center" wrapText="1"/>
    </xf>
    <xf numFmtId="0" fontId="25" fillId="0" borderId="1" xfId="0" applyFont="1" applyBorder="1" applyAlignment="1">
      <alignment horizontal="center" vertical="center" wrapText="1"/>
    </xf>
    <xf numFmtId="0" fontId="25" fillId="0" borderId="22" xfId="0" applyFont="1" applyBorder="1" applyAlignment="1">
      <alignment horizontal="center" vertical="center" wrapText="1"/>
    </xf>
    <xf numFmtId="0" fontId="26" fillId="0" borderId="0" xfId="0" applyFont="1" applyAlignment="1">
      <alignment horizontal="center" vertical="center"/>
    </xf>
    <xf numFmtId="0" fontId="25" fillId="2" borderId="2" xfId="0" applyFont="1" applyFill="1" applyBorder="1" applyAlignment="1">
      <alignment horizontal="center" vertical="center" wrapText="1"/>
    </xf>
    <xf numFmtId="0" fontId="25" fillId="2" borderId="1" xfId="0" applyFont="1" applyFill="1" applyBorder="1" applyAlignment="1">
      <alignment horizontal="center" vertical="center" wrapText="1"/>
    </xf>
    <xf numFmtId="0" fontId="25" fillId="2" borderId="45" xfId="0" applyFont="1" applyFill="1" applyBorder="1" applyAlignment="1">
      <alignment horizontal="center" vertical="center" wrapText="1"/>
    </xf>
    <xf numFmtId="0" fontId="26" fillId="0" borderId="0" xfId="0" applyFont="1" applyAlignment="1" applyProtection="1">
      <alignment horizontal="center" vertical="center"/>
      <protection locked="0"/>
    </xf>
    <xf numFmtId="0" fontId="16" fillId="0" borderId="1" xfId="3" applyFont="1" applyBorder="1" applyAlignment="1" applyProtection="1">
      <alignment horizontal="center" vertical="center"/>
      <protection locked="0"/>
    </xf>
    <xf numFmtId="1" fontId="17" fillId="0" borderId="1" xfId="3" applyNumberFormat="1" applyFont="1" applyBorder="1" applyAlignment="1" applyProtection="1">
      <alignment horizontal="center"/>
      <protection locked="0"/>
    </xf>
    <xf numFmtId="0" fontId="17" fillId="0" borderId="1" xfId="3" applyFont="1" applyBorder="1" applyAlignment="1" applyProtection="1">
      <alignment horizontal="center" vertical="center" wrapText="1"/>
      <protection locked="0"/>
    </xf>
    <xf numFmtId="1" fontId="12" fillId="0" borderId="12" xfId="3" applyNumberFormat="1" applyFont="1" applyBorder="1" applyAlignment="1" applyProtection="1">
      <alignment horizontal="center" vertical="center" wrapText="1"/>
      <protection locked="0"/>
    </xf>
    <xf numFmtId="0" fontId="7" fillId="0" borderId="14" xfId="3" applyFont="1" applyBorder="1" applyAlignment="1" applyProtection="1">
      <alignment horizontal="center" vertical="center" wrapText="1"/>
      <protection locked="0"/>
    </xf>
    <xf numFmtId="14" fontId="7" fillId="0" borderId="14" xfId="3" applyNumberFormat="1" applyFont="1" applyBorder="1" applyAlignment="1" applyProtection="1">
      <alignment horizontal="center" vertical="center" wrapText="1"/>
      <protection locked="0"/>
    </xf>
    <xf numFmtId="20" fontId="7" fillId="0" borderId="14" xfId="3" applyNumberFormat="1" applyFont="1" applyBorder="1" applyAlignment="1" applyProtection="1">
      <alignment horizontal="center" vertical="center" wrapText="1"/>
      <protection locked="0"/>
    </xf>
    <xf numFmtId="0" fontId="7" fillId="0" borderId="14" xfId="3" applyFont="1" applyBorder="1" applyAlignment="1" applyProtection="1">
      <alignment horizontal="center" vertical="center"/>
      <protection locked="0"/>
    </xf>
    <xf numFmtId="0" fontId="16" fillId="0" borderId="14" xfId="3" applyFont="1" applyBorder="1" applyAlignment="1" applyProtection="1">
      <alignment horizontal="center" vertical="center"/>
      <protection locked="0"/>
    </xf>
    <xf numFmtId="1" fontId="17" fillId="0" borderId="14" xfId="3" applyNumberFormat="1" applyFont="1" applyBorder="1" applyAlignment="1" applyProtection="1">
      <alignment horizontal="center"/>
      <protection locked="0"/>
    </xf>
    <xf numFmtId="0" fontId="17" fillId="0" borderId="14" xfId="3" applyFont="1" applyBorder="1" applyAlignment="1" applyProtection="1">
      <alignment horizontal="center" vertical="center" wrapText="1"/>
      <protection locked="0"/>
    </xf>
    <xf numFmtId="0" fontId="16" fillId="0" borderId="14" xfId="3" applyFont="1" applyBorder="1" applyAlignment="1" applyProtection="1">
      <alignment horizontal="center" wrapText="1"/>
      <protection locked="0"/>
    </xf>
    <xf numFmtId="1" fontId="12" fillId="0" borderId="14" xfId="3" applyNumberFormat="1" applyFont="1" applyBorder="1" applyAlignment="1" applyProtection="1">
      <alignment horizontal="center" vertical="center" wrapText="1"/>
      <protection locked="0"/>
    </xf>
    <xf numFmtId="1" fontId="12" fillId="0" borderId="16" xfId="3" applyNumberFormat="1" applyFont="1" applyBorder="1" applyAlignment="1" applyProtection="1">
      <alignment horizontal="center" vertical="center" wrapText="1"/>
      <protection locked="0"/>
    </xf>
    <xf numFmtId="0" fontId="7" fillId="9" borderId="2" xfId="3" applyFont="1" applyFill="1" applyBorder="1" applyAlignment="1">
      <alignment horizontal="center" vertical="center" wrapText="1"/>
    </xf>
    <xf numFmtId="14" fontId="7" fillId="9" borderId="2" xfId="3" applyNumberFormat="1" applyFont="1" applyFill="1" applyBorder="1" applyAlignment="1">
      <alignment horizontal="center" vertical="center" wrapText="1"/>
    </xf>
    <xf numFmtId="20" fontId="7" fillId="9" borderId="2" xfId="3" applyNumberFormat="1" applyFont="1" applyFill="1" applyBorder="1" applyAlignment="1">
      <alignment horizontal="center" vertical="center" wrapText="1"/>
    </xf>
    <xf numFmtId="0" fontId="16" fillId="0" borderId="2" xfId="3" applyFont="1" applyBorder="1" applyAlignment="1" applyProtection="1">
      <alignment horizontal="center" vertical="center"/>
      <protection locked="0"/>
    </xf>
    <xf numFmtId="1" fontId="17" fillId="0" borderId="2" xfId="3" applyNumberFormat="1" applyFont="1" applyBorder="1" applyAlignment="1" applyProtection="1">
      <alignment horizontal="center"/>
      <protection locked="0"/>
    </xf>
    <xf numFmtId="0" fontId="17" fillId="0" borderId="2" xfId="3" applyFont="1" applyBorder="1" applyAlignment="1" applyProtection="1">
      <alignment horizontal="center" vertical="center" wrapText="1"/>
      <protection locked="0"/>
    </xf>
    <xf numFmtId="0" fontId="16" fillId="0" borderId="2" xfId="3" applyFont="1" applyBorder="1" applyAlignment="1" applyProtection="1">
      <alignment horizontal="center" wrapText="1"/>
      <protection locked="0"/>
    </xf>
    <xf numFmtId="1" fontId="12" fillId="0" borderId="2" xfId="3" applyNumberFormat="1" applyFont="1" applyBorder="1" applyAlignment="1" applyProtection="1">
      <alignment horizontal="center" vertical="center" wrapText="1"/>
      <protection locked="0"/>
    </xf>
    <xf numFmtId="1" fontId="12" fillId="0" borderId="96" xfId="3" applyNumberFormat="1" applyFont="1" applyBorder="1" applyAlignment="1" applyProtection="1">
      <alignment horizontal="center" vertical="center" wrapText="1"/>
      <protection locked="0"/>
    </xf>
    <xf numFmtId="0" fontId="8" fillId="0" borderId="14" xfId="3" applyFont="1" applyBorder="1" applyAlignment="1">
      <alignment horizontal="center" vertical="center" wrapText="1"/>
    </xf>
    <xf numFmtId="0" fontId="12" fillId="0" borderId="14" xfId="3" applyFont="1" applyBorder="1" applyAlignment="1">
      <alignment horizontal="center" vertical="center" wrapText="1"/>
    </xf>
    <xf numFmtId="0" fontId="8" fillId="4" borderId="14" xfId="3" applyFont="1" applyFill="1" applyBorder="1" applyAlignment="1">
      <alignment horizontal="center" vertical="center" wrapText="1"/>
    </xf>
    <xf numFmtId="0" fontId="8" fillId="7" borderId="14" xfId="3" applyFont="1" applyFill="1" applyBorder="1" applyAlignment="1">
      <alignment horizontal="center" vertical="center" wrapText="1"/>
    </xf>
    <xf numFmtId="0" fontId="12" fillId="8" borderId="14" xfId="3" applyFont="1" applyFill="1" applyBorder="1" applyAlignment="1">
      <alignment horizontal="center" vertical="center" wrapText="1"/>
    </xf>
    <xf numFmtId="0" fontId="17" fillId="0" borderId="95" xfId="3" applyFont="1" applyBorder="1" applyAlignment="1">
      <alignment horizontal="center" vertical="center" wrapText="1"/>
    </xf>
    <xf numFmtId="0" fontId="17" fillId="0" borderId="28" xfId="3" applyFont="1" applyBorder="1" applyAlignment="1">
      <alignment horizontal="center" vertical="center" wrapText="1"/>
    </xf>
    <xf numFmtId="49" fontId="7" fillId="0" borderId="8" xfId="3" applyNumberFormat="1" applyFont="1" applyBorder="1" applyAlignment="1" applyProtection="1">
      <alignment horizontal="center" vertical="center" wrapText="1"/>
      <protection locked="0"/>
    </xf>
    <xf numFmtId="0" fontId="13" fillId="0" borderId="1" xfId="3" applyFont="1" applyBorder="1" applyAlignment="1">
      <alignment horizontal="center" vertical="center" wrapText="1"/>
    </xf>
    <xf numFmtId="0" fontId="7" fillId="0" borderId="7" xfId="3" applyFont="1" applyBorder="1" applyAlignment="1" applyProtection="1">
      <alignment horizontal="center" wrapText="1"/>
      <protection locked="0"/>
    </xf>
    <xf numFmtId="0" fontId="15" fillId="0" borderId="1" xfId="3" applyFont="1" applyBorder="1" applyAlignment="1">
      <alignment horizontal="center" vertical="center" wrapText="1"/>
    </xf>
    <xf numFmtId="0" fontId="7" fillId="0" borderId="2" xfId="3" applyFont="1" applyBorder="1" applyAlignment="1" applyProtection="1">
      <alignment horizontal="center" vertical="center"/>
      <protection locked="0"/>
    </xf>
    <xf numFmtId="0" fontId="13" fillId="9" borderId="2" xfId="3" applyFont="1" applyFill="1" applyBorder="1" applyAlignment="1">
      <alignment horizontal="center"/>
    </xf>
    <xf numFmtId="0" fontId="13" fillId="0" borderId="2" xfId="3" applyFont="1" applyBorder="1" applyAlignment="1" applyProtection="1">
      <alignment horizontal="center"/>
      <protection locked="0"/>
    </xf>
    <xf numFmtId="0" fontId="7" fillId="0" borderId="2" xfId="3" applyFont="1" applyBorder="1" applyAlignment="1" applyProtection="1">
      <alignment horizontal="center" wrapText="1"/>
      <protection locked="0"/>
    </xf>
    <xf numFmtId="164" fontId="14" fillId="9" borderId="2" xfId="3" applyNumberFormat="1" applyFont="1" applyFill="1" applyBorder="1" applyAlignment="1">
      <alignment horizontal="center"/>
    </xf>
    <xf numFmtId="0" fontId="7" fillId="0" borderId="2" xfId="3" applyFont="1" applyBorder="1" applyAlignment="1" applyProtection="1">
      <alignment horizontal="center" vertical="center" wrapText="1"/>
      <protection locked="0"/>
    </xf>
    <xf numFmtId="0" fontId="13" fillId="0" borderId="11" xfId="3" applyFont="1" applyBorder="1" applyAlignment="1">
      <alignment wrapText="1"/>
    </xf>
    <xf numFmtId="0" fontId="6" fillId="4" borderId="12" xfId="3" applyFont="1" applyFill="1" applyBorder="1" applyAlignment="1">
      <alignment horizontal="center" vertical="center" wrapText="1"/>
    </xf>
    <xf numFmtId="0" fontId="13" fillId="0" borderId="11" xfId="3" applyFont="1" applyBorder="1" applyAlignment="1">
      <alignment horizontal="center" vertical="center" wrapText="1"/>
    </xf>
    <xf numFmtId="0" fontId="7" fillId="0" borderId="12" xfId="3" applyFont="1" applyBorder="1" applyAlignment="1" applyProtection="1">
      <alignment horizontal="center" vertical="center"/>
      <protection locked="0"/>
    </xf>
    <xf numFmtId="0" fontId="13" fillId="0" borderId="13" xfId="3" applyFont="1" applyBorder="1" applyAlignment="1">
      <alignment wrapText="1"/>
    </xf>
    <xf numFmtId="0" fontId="7" fillId="0" borderId="14" xfId="3" applyFont="1" applyBorder="1" applyAlignment="1" applyProtection="1">
      <alignment horizontal="center" wrapText="1"/>
      <protection locked="0"/>
    </xf>
    <xf numFmtId="164" fontId="14" fillId="0" borderId="14" xfId="3" applyNumberFormat="1" applyFont="1" applyBorder="1" applyAlignment="1" applyProtection="1">
      <alignment horizontal="center"/>
      <protection locked="0"/>
    </xf>
    <xf numFmtId="0" fontId="7" fillId="0" borderId="16" xfId="3" applyFont="1" applyBorder="1" applyAlignment="1" applyProtection="1">
      <alignment horizontal="center" vertical="center"/>
      <protection locked="0"/>
    </xf>
    <xf numFmtId="0" fontId="13" fillId="0" borderId="25" xfId="3" applyFont="1" applyBorder="1" applyAlignment="1">
      <alignment horizontal="center" vertical="center" wrapText="1"/>
    </xf>
    <xf numFmtId="0" fontId="7" fillId="0" borderId="96" xfId="3" applyFont="1" applyBorder="1" applyAlignment="1" applyProtection="1">
      <alignment horizontal="center" vertical="center"/>
      <protection locked="0"/>
    </xf>
    <xf numFmtId="0" fontId="6" fillId="0" borderId="14" xfId="3" applyFont="1" applyBorder="1" applyAlignment="1">
      <alignment horizontal="center" vertical="center" wrapText="1"/>
    </xf>
    <xf numFmtId="0" fontId="6" fillId="4" borderId="14" xfId="3" applyFont="1" applyFill="1" applyBorder="1" applyAlignment="1">
      <alignment horizontal="center" vertical="center" wrapText="1"/>
    </xf>
    <xf numFmtId="20" fontId="22" fillId="0" borderId="43" xfId="0" applyNumberFormat="1" applyFont="1" applyBorder="1" applyAlignment="1" applyProtection="1">
      <alignment horizontal="center" vertical="center" wrapText="1"/>
      <protection locked="0"/>
    </xf>
    <xf numFmtId="20" fontId="22" fillId="0" borderId="39" xfId="0" applyNumberFormat="1" applyFont="1" applyBorder="1" applyAlignment="1" applyProtection="1">
      <alignment horizontal="center" vertical="center" wrapText="1"/>
      <protection locked="0"/>
    </xf>
    <xf numFmtId="20" fontId="22" fillId="0" borderId="55" xfId="0" applyNumberFormat="1" applyFont="1" applyBorder="1" applyAlignment="1" applyProtection="1">
      <alignment horizontal="center" vertical="center" wrapText="1"/>
      <protection locked="0"/>
    </xf>
    <xf numFmtId="14" fontId="22" fillId="0" borderId="99" xfId="0" applyNumberFormat="1" applyFont="1" applyBorder="1" applyAlignment="1" applyProtection="1">
      <alignment horizontal="center" vertical="center" wrapText="1"/>
      <protection locked="0"/>
    </xf>
    <xf numFmtId="14" fontId="22" fillId="0" borderId="48" xfId="0" applyNumberFormat="1" applyFont="1" applyBorder="1" applyAlignment="1" applyProtection="1">
      <alignment horizontal="center" vertical="center" wrapText="1"/>
      <protection locked="0"/>
    </xf>
    <xf numFmtId="0" fontId="27" fillId="0" borderId="65" xfId="0" applyFont="1" applyBorder="1" applyAlignment="1" applyProtection="1">
      <alignment horizontal="center" vertical="center" wrapText="1"/>
      <protection locked="0"/>
    </xf>
    <xf numFmtId="20" fontId="28" fillId="9" borderId="1" xfId="3" applyNumberFormat="1" applyFont="1" applyFill="1" applyBorder="1" applyAlignment="1">
      <alignment horizontal="center" vertical="center" wrapText="1"/>
    </xf>
    <xf numFmtId="0" fontId="20" fillId="0" borderId="0" xfId="0" applyFont="1" applyAlignment="1">
      <alignment horizontal="center" vertical="center"/>
    </xf>
    <xf numFmtId="0" fontId="30" fillId="11" borderId="15" xfId="0" applyFont="1" applyFill="1" applyBorder="1" applyAlignment="1">
      <alignment horizontal="center" vertical="center" wrapText="1"/>
    </xf>
    <xf numFmtId="0" fontId="30" fillId="11" borderId="22" xfId="0" applyFont="1" applyFill="1" applyBorder="1" applyAlignment="1">
      <alignment horizontal="center" vertical="center" wrapText="1"/>
    </xf>
    <xf numFmtId="0" fontId="31" fillId="11" borderId="85" xfId="0" applyFont="1" applyFill="1" applyBorder="1" applyAlignment="1">
      <alignment horizontal="center" vertical="center" wrapText="1"/>
    </xf>
    <xf numFmtId="0" fontId="31" fillId="11" borderId="83" xfId="0" applyFont="1" applyFill="1" applyBorder="1" applyAlignment="1">
      <alignment horizontal="center" vertical="center" wrapText="1"/>
    </xf>
    <xf numFmtId="0" fontId="35" fillId="11" borderId="40" xfId="0" applyFont="1" applyFill="1" applyBorder="1" applyAlignment="1">
      <alignment horizontal="center" vertical="center" wrapText="1"/>
    </xf>
    <xf numFmtId="0" fontId="35" fillId="11" borderId="41" xfId="0" applyFont="1" applyFill="1" applyBorder="1" applyAlignment="1">
      <alignment horizontal="center" vertical="center" wrapText="1"/>
    </xf>
    <xf numFmtId="0" fontId="35" fillId="11" borderId="75" xfId="0" applyFont="1" applyFill="1" applyBorder="1" applyAlignment="1">
      <alignment horizontal="center" vertical="center" wrapText="1"/>
    </xf>
    <xf numFmtId="0" fontId="35" fillId="11" borderId="76" xfId="0" applyFont="1" applyFill="1" applyBorder="1" applyAlignment="1">
      <alignment horizontal="center" vertical="center" wrapText="1"/>
    </xf>
    <xf numFmtId="0" fontId="35" fillId="11" borderId="77" xfId="0" applyFont="1" applyFill="1" applyBorder="1" applyAlignment="1">
      <alignment horizontal="center" vertical="center" wrapText="1"/>
    </xf>
    <xf numFmtId="0" fontId="35" fillId="11" borderId="78" xfId="0" applyFont="1" applyFill="1" applyBorder="1" applyAlignment="1">
      <alignment horizontal="center" vertical="center" wrapText="1"/>
    </xf>
    <xf numFmtId="0" fontId="36" fillId="11" borderId="79" xfId="0" applyFont="1" applyFill="1" applyBorder="1" applyAlignment="1">
      <alignment horizontal="center" vertical="center" wrapText="1"/>
    </xf>
    <xf numFmtId="0" fontId="34" fillId="11" borderId="80" xfId="0" applyFont="1" applyFill="1" applyBorder="1" applyAlignment="1">
      <alignment horizontal="center" vertical="center" wrapText="1"/>
    </xf>
    <xf numFmtId="0" fontId="34" fillId="11" borderId="76" xfId="0" applyFont="1" applyFill="1" applyBorder="1" applyAlignment="1">
      <alignment horizontal="center" vertical="center" wrapText="1"/>
    </xf>
    <xf numFmtId="0" fontId="34" fillId="11" borderId="77" xfId="0" applyFont="1" applyFill="1" applyBorder="1" applyAlignment="1">
      <alignment horizontal="center" vertical="center" wrapText="1"/>
    </xf>
    <xf numFmtId="0" fontId="34" fillId="11" borderId="81" xfId="0" applyFont="1" applyFill="1" applyBorder="1" applyAlignment="1">
      <alignment horizontal="center" vertical="center" wrapText="1"/>
    </xf>
    <xf numFmtId="0" fontId="34" fillId="11" borderId="82" xfId="0" applyFont="1" applyFill="1" applyBorder="1" applyAlignment="1">
      <alignment horizontal="center" vertical="center" wrapText="1"/>
    </xf>
    <xf numFmtId="0" fontId="22" fillId="12" borderId="53" xfId="0" applyFont="1" applyFill="1" applyBorder="1" applyAlignment="1">
      <alignment horizontal="center" vertical="center" wrapText="1"/>
    </xf>
    <xf numFmtId="0" fontId="22" fillId="12" borderId="51" xfId="0" applyFont="1" applyFill="1" applyBorder="1" applyAlignment="1">
      <alignment horizontal="center" vertical="center" wrapText="1"/>
    </xf>
    <xf numFmtId="0" fontId="25" fillId="12" borderId="53" xfId="0" applyFont="1" applyFill="1" applyBorder="1" applyAlignment="1">
      <alignment horizontal="center" vertical="center" wrapText="1"/>
    </xf>
    <xf numFmtId="0" fontId="25" fillId="12" borderId="49" xfId="0" applyFont="1" applyFill="1" applyBorder="1" applyAlignment="1">
      <alignment horizontal="center" vertical="center" wrapText="1"/>
    </xf>
    <xf numFmtId="0" fontId="7" fillId="0" borderId="0" xfId="3" applyFont="1" applyAlignment="1">
      <alignment horizontal="center" wrapText="1"/>
    </xf>
    <xf numFmtId="0" fontId="7" fillId="0" borderId="0" xfId="3" applyFont="1" applyAlignment="1">
      <alignment horizontal="center" vertical="center"/>
    </xf>
    <xf numFmtId="0" fontId="12" fillId="0" borderId="0" xfId="3" applyFont="1" applyAlignment="1">
      <alignment horizontal="center" vertical="center" wrapText="1"/>
    </xf>
    <xf numFmtId="0" fontId="12" fillId="0" borderId="0" xfId="3" applyFont="1" applyAlignment="1">
      <alignment vertical="center" wrapText="1"/>
    </xf>
    <xf numFmtId="0" fontId="7" fillId="0" borderId="0" xfId="3" applyFont="1" applyAlignment="1">
      <alignment horizontal="center" vertical="center" wrapText="1"/>
    </xf>
    <xf numFmtId="0" fontId="7" fillId="0" borderId="0" xfId="3" applyFont="1" applyAlignment="1">
      <alignment vertical="center"/>
    </xf>
    <xf numFmtId="0" fontId="12" fillId="0" borderId="0" xfId="3" applyFont="1" applyAlignment="1">
      <alignment wrapText="1"/>
    </xf>
    <xf numFmtId="0" fontId="16" fillId="0" borderId="0" xfId="3" applyFont="1" applyAlignment="1">
      <alignment wrapText="1"/>
    </xf>
    <xf numFmtId="0" fontId="17" fillId="0" borderId="1" xfId="3" applyFont="1" applyBorder="1" applyAlignment="1">
      <alignment horizontal="center" vertical="center" wrapText="1"/>
    </xf>
    <xf numFmtId="0" fontId="12" fillId="0" borderId="0" xfId="3" applyFont="1" applyAlignment="1">
      <alignment horizontal="center" vertical="center"/>
    </xf>
    <xf numFmtId="0" fontId="7" fillId="0" borderId="0" xfId="3" applyFont="1" applyAlignment="1">
      <alignment vertical="center" wrapText="1"/>
    </xf>
    <xf numFmtId="20" fontId="5" fillId="0" borderId="0" xfId="3" applyNumberFormat="1" applyAlignment="1">
      <alignment wrapText="1"/>
    </xf>
    <xf numFmtId="0" fontId="1" fillId="0" borderId="0" xfId="3" applyFont="1" applyAlignment="1">
      <alignment horizontal="center" vertical="center" wrapText="1"/>
    </xf>
    <xf numFmtId="0" fontId="1" fillId="0" borderId="0" xfId="3" applyFont="1" applyAlignment="1">
      <alignment horizontal="center" wrapText="1"/>
    </xf>
    <xf numFmtId="0" fontId="1" fillId="0" borderId="0" xfId="3" applyFont="1" applyAlignment="1" applyProtection="1">
      <alignment horizontal="center" vertical="center" wrapText="1"/>
      <protection locked="0"/>
    </xf>
    <xf numFmtId="0" fontId="1" fillId="0" borderId="0" xfId="3" applyFont="1" applyAlignment="1">
      <alignment horizontal="center" vertical="center"/>
    </xf>
    <xf numFmtId="0" fontId="18" fillId="0" borderId="0" xfId="0" applyFont="1" applyAlignment="1">
      <alignment horizontal="center" vertical="center"/>
    </xf>
    <xf numFmtId="0" fontId="18" fillId="0" borderId="0" xfId="0" applyFont="1" applyAlignment="1">
      <alignment horizontal="center"/>
    </xf>
    <xf numFmtId="20" fontId="18" fillId="0" borderId="0" xfId="0" applyNumberFormat="1" applyFont="1" applyAlignment="1">
      <alignment horizontal="center" vertical="center"/>
    </xf>
    <xf numFmtId="1" fontId="22" fillId="0" borderId="42" xfId="0" applyNumberFormat="1" applyFont="1" applyBorder="1" applyAlignment="1" applyProtection="1">
      <alignment horizontal="center" vertical="center" wrapText="1"/>
      <protection locked="0"/>
    </xf>
    <xf numFmtId="1" fontId="22" fillId="0" borderId="2" xfId="0" applyNumberFormat="1" applyFont="1" applyBorder="1" applyAlignment="1" applyProtection="1">
      <alignment horizontal="center" vertical="center" wrapText="1"/>
      <protection locked="0"/>
    </xf>
    <xf numFmtId="1" fontId="22" fillId="0" borderId="57" xfId="0" applyNumberFormat="1" applyFont="1" applyBorder="1" applyAlignment="1" applyProtection="1">
      <alignment horizontal="center" vertical="center" wrapText="1"/>
      <protection locked="0"/>
    </xf>
    <xf numFmtId="1" fontId="22" fillId="0" borderId="38" xfId="0" applyNumberFormat="1" applyFont="1" applyBorder="1" applyAlignment="1" applyProtection="1">
      <alignment horizontal="center" vertical="center" wrapText="1"/>
      <protection locked="0"/>
    </xf>
    <xf numFmtId="1" fontId="22" fillId="0" borderId="1" xfId="0" applyNumberFormat="1" applyFont="1" applyBorder="1" applyAlignment="1" applyProtection="1">
      <alignment horizontal="center" vertical="center" wrapText="1"/>
      <protection locked="0"/>
    </xf>
    <xf numFmtId="1" fontId="22" fillId="0" borderId="58" xfId="0" applyNumberFormat="1" applyFont="1" applyBorder="1" applyAlignment="1" applyProtection="1">
      <alignment horizontal="center" vertical="center" wrapText="1"/>
      <protection locked="0"/>
    </xf>
    <xf numFmtId="1" fontId="22" fillId="0" borderId="40" xfId="0" applyNumberFormat="1" applyFont="1" applyBorder="1" applyAlignment="1" applyProtection="1">
      <alignment horizontal="center" vertical="center" wrapText="1"/>
      <protection locked="0"/>
    </xf>
    <xf numFmtId="1" fontId="22" fillId="0" borderId="45" xfId="0" applyNumberFormat="1" applyFont="1" applyBorder="1" applyAlignment="1" applyProtection="1">
      <alignment horizontal="center" vertical="center" wrapText="1"/>
      <protection locked="0"/>
    </xf>
    <xf numFmtId="1" fontId="22" fillId="0" borderId="59" xfId="0" applyNumberFormat="1" applyFont="1" applyBorder="1" applyAlignment="1" applyProtection="1">
      <alignment horizontal="center" vertical="center" wrapText="1"/>
      <protection locked="0"/>
    </xf>
    <xf numFmtId="1" fontId="22" fillId="0" borderId="30" xfId="0" applyNumberFormat="1" applyFont="1" applyBorder="1" applyAlignment="1" applyProtection="1">
      <alignment horizontal="center" vertical="center" wrapText="1"/>
      <protection locked="0"/>
    </xf>
    <xf numFmtId="1" fontId="22" fillId="0" borderId="29" xfId="0" applyNumberFormat="1" applyFont="1" applyBorder="1" applyAlignment="1" applyProtection="1">
      <alignment horizontal="center" vertical="center" wrapText="1"/>
      <protection locked="0"/>
    </xf>
    <xf numFmtId="1" fontId="22" fillId="0" borderId="67" xfId="0" applyNumberFormat="1" applyFont="1" applyBorder="1" applyAlignment="1" applyProtection="1">
      <alignment horizontal="center" vertical="center" wrapText="1"/>
      <protection locked="0"/>
    </xf>
    <xf numFmtId="49" fontId="22" fillId="0" borderId="42" xfId="0" applyNumberFormat="1" applyFont="1" applyBorder="1" applyAlignment="1">
      <alignment horizontal="center" vertical="center" wrapText="1"/>
    </xf>
    <xf numFmtId="1" fontId="22" fillId="0" borderId="20" xfId="0" applyNumberFormat="1" applyFont="1" applyBorder="1" applyAlignment="1" applyProtection="1">
      <alignment horizontal="center" vertical="center" wrapText="1"/>
      <protection locked="0"/>
    </xf>
    <xf numFmtId="1" fontId="22" fillId="0" borderId="61" xfId="0" applyNumberFormat="1" applyFont="1" applyBorder="1" applyAlignment="1" applyProtection="1">
      <alignment horizontal="center" vertical="center" wrapText="1"/>
      <protection locked="0"/>
    </xf>
    <xf numFmtId="1" fontId="22" fillId="0" borderId="43" xfId="0" applyNumberFormat="1" applyFont="1" applyBorder="1" applyAlignment="1" applyProtection="1">
      <alignment horizontal="center" vertical="center" wrapText="1"/>
      <protection locked="0"/>
    </xf>
    <xf numFmtId="1" fontId="22" fillId="0" borderId="23" xfId="0" applyNumberFormat="1" applyFont="1" applyBorder="1" applyAlignment="1" applyProtection="1">
      <alignment horizontal="center" vertical="center" wrapText="1"/>
      <protection locked="0"/>
    </xf>
    <xf numFmtId="1" fontId="22" fillId="0" borderId="62" xfId="0" applyNumberFormat="1" applyFont="1" applyBorder="1" applyAlignment="1" applyProtection="1">
      <alignment horizontal="center" vertical="center" wrapText="1"/>
      <protection locked="0"/>
    </xf>
    <xf numFmtId="1" fontId="22" fillId="0" borderId="39" xfId="0" applyNumberFormat="1" applyFont="1" applyBorder="1" applyAlignment="1" applyProtection="1">
      <alignment horizontal="center" vertical="center" wrapText="1"/>
      <protection locked="0"/>
    </xf>
    <xf numFmtId="1" fontId="22" fillId="0" borderId="54" xfId="0" applyNumberFormat="1" applyFont="1" applyBorder="1" applyAlignment="1" applyProtection="1">
      <alignment horizontal="center" vertical="center" wrapText="1"/>
      <protection locked="0"/>
    </xf>
    <xf numFmtId="1" fontId="22" fillId="0" borderId="63" xfId="0" applyNumberFormat="1" applyFont="1" applyBorder="1" applyAlignment="1" applyProtection="1">
      <alignment horizontal="center" vertical="center" wrapText="1"/>
      <protection locked="0"/>
    </xf>
    <xf numFmtId="1" fontId="22" fillId="0" borderId="41" xfId="0" applyNumberFormat="1" applyFont="1" applyBorder="1" applyAlignment="1" applyProtection="1">
      <alignment horizontal="center" vertical="center" wrapText="1"/>
      <protection locked="0"/>
    </xf>
    <xf numFmtId="49" fontId="22" fillId="0" borderId="40" xfId="0" applyNumberFormat="1" applyFont="1" applyBorder="1" applyAlignment="1">
      <alignment horizontal="center" vertical="center" wrapText="1"/>
    </xf>
    <xf numFmtId="0" fontId="34" fillId="11" borderId="9" xfId="0" applyFont="1" applyFill="1" applyBorder="1" applyAlignment="1">
      <alignment horizontal="center" vertical="center" wrapText="1"/>
    </xf>
    <xf numFmtId="0" fontId="34" fillId="11" borderId="45" xfId="0" applyFont="1" applyFill="1" applyBorder="1" applyAlignment="1">
      <alignment horizontal="center" vertical="center" wrapText="1"/>
    </xf>
    <xf numFmtId="0" fontId="35" fillId="11" borderId="44" xfId="0" applyFont="1" applyFill="1" applyBorder="1" applyAlignment="1">
      <alignment horizontal="center" vertical="center" wrapText="1"/>
    </xf>
    <xf numFmtId="0" fontId="35" fillId="11" borderId="45" xfId="0" applyFont="1" applyFill="1" applyBorder="1" applyAlignment="1">
      <alignment horizontal="center" vertical="center" wrapText="1"/>
    </xf>
    <xf numFmtId="0" fontId="33" fillId="11" borderId="46" xfId="0" applyFont="1" applyFill="1" applyBorder="1" applyAlignment="1">
      <alignment horizontal="center" vertical="center" wrapText="1"/>
    </xf>
    <xf numFmtId="0" fontId="33" fillId="11" borderId="49" xfId="0" applyFont="1" applyFill="1" applyBorder="1" applyAlignment="1">
      <alignment horizontal="center" vertical="center" wrapText="1"/>
    </xf>
    <xf numFmtId="0" fontId="36" fillId="11" borderId="55" xfId="0" applyFont="1" applyFill="1" applyBorder="1" applyAlignment="1">
      <alignment horizontal="center" vertical="center" wrapText="1"/>
    </xf>
    <xf numFmtId="0" fontId="36" fillId="11" borderId="56" xfId="0" applyFont="1" applyFill="1" applyBorder="1" applyAlignment="1">
      <alignment horizontal="center" vertical="center" wrapText="1"/>
    </xf>
    <xf numFmtId="0" fontId="36" fillId="11" borderId="70" xfId="0" applyFont="1" applyFill="1" applyBorder="1" applyAlignment="1">
      <alignment horizontal="center" vertical="center" wrapText="1"/>
    </xf>
    <xf numFmtId="0" fontId="32" fillId="11" borderId="36" xfId="0" applyFont="1" applyFill="1" applyBorder="1" applyAlignment="1">
      <alignment horizontal="center" vertical="center" wrapText="1"/>
    </xf>
    <xf numFmtId="0" fontId="32" fillId="11" borderId="40" xfId="0" applyFont="1" applyFill="1" applyBorder="1" applyAlignment="1">
      <alignment horizontal="center" vertical="center" wrapText="1"/>
    </xf>
    <xf numFmtId="0" fontId="33" fillId="11" borderId="60" xfId="0" applyFont="1" applyFill="1" applyBorder="1" applyAlignment="1">
      <alignment horizontal="center" vertical="center" wrapText="1"/>
    </xf>
    <xf numFmtId="0" fontId="33" fillId="11" borderId="91" xfId="0" applyFont="1" applyFill="1" applyBorder="1" applyAlignment="1">
      <alignment horizontal="center" vertical="center" wrapText="1"/>
    </xf>
    <xf numFmtId="0" fontId="29" fillId="11" borderId="31" xfId="0" applyFont="1" applyFill="1" applyBorder="1" applyAlignment="1">
      <alignment horizontal="center" vertical="center" wrapText="1"/>
    </xf>
    <xf numFmtId="0" fontId="29" fillId="11" borderId="73" xfId="0" applyFont="1" applyFill="1" applyBorder="1" applyAlignment="1">
      <alignment horizontal="center" vertical="center" wrapText="1"/>
    </xf>
    <xf numFmtId="0" fontId="31" fillId="11" borderId="86" xfId="0" applyFont="1" applyFill="1" applyBorder="1" applyAlignment="1">
      <alignment horizontal="center" vertical="center" wrapText="1"/>
    </xf>
    <xf numFmtId="0" fontId="31" fillId="11" borderId="68" xfId="0" applyFont="1" applyFill="1" applyBorder="1" applyAlignment="1">
      <alignment horizontal="center" vertical="center" wrapText="1"/>
    </xf>
    <xf numFmtId="0" fontId="31" fillId="11" borderId="37" xfId="0" applyFont="1" applyFill="1" applyBorder="1" applyAlignment="1">
      <alignment horizontal="center" vertical="center" wrapText="1"/>
    </xf>
    <xf numFmtId="0" fontId="31" fillId="11" borderId="41" xfId="0" applyFont="1" applyFill="1" applyBorder="1" applyAlignment="1">
      <alignment horizontal="center" vertical="center" wrapText="1"/>
    </xf>
    <xf numFmtId="0" fontId="34" fillId="11" borderId="37" xfId="0" applyFont="1" applyFill="1" applyBorder="1" applyAlignment="1">
      <alignment horizontal="center" vertical="center" wrapText="1"/>
    </xf>
    <xf numFmtId="0" fontId="34" fillId="11" borderId="41" xfId="0" applyFont="1" applyFill="1" applyBorder="1" applyAlignment="1">
      <alignment horizontal="center" vertical="center" wrapText="1"/>
    </xf>
    <xf numFmtId="0" fontId="29" fillId="11" borderId="33" xfId="0" applyFont="1" applyFill="1" applyBorder="1" applyAlignment="1">
      <alignment horizontal="center" vertical="center" wrapText="1"/>
    </xf>
    <xf numFmtId="0" fontId="29" fillId="11" borderId="35" xfId="0" applyFont="1" applyFill="1" applyBorder="1" applyAlignment="1">
      <alignment horizontal="center" vertical="center" wrapText="1"/>
    </xf>
    <xf numFmtId="0" fontId="31" fillId="11" borderId="44" xfId="0" applyFont="1" applyFill="1" applyBorder="1" applyAlignment="1">
      <alignment horizontal="center" vertical="center" wrapText="1"/>
    </xf>
    <xf numFmtId="0" fontId="31" fillId="11" borderId="45" xfId="0" applyFont="1" applyFill="1" applyBorder="1" applyAlignment="1">
      <alignment horizontal="center" vertical="center" wrapText="1"/>
    </xf>
    <xf numFmtId="0" fontId="33" fillId="11" borderId="44" xfId="0" applyFont="1" applyFill="1" applyBorder="1" applyAlignment="1">
      <alignment horizontal="center" vertical="center" wrapText="1"/>
    </xf>
    <xf numFmtId="0" fontId="33" fillId="11" borderId="45" xfId="0" applyFont="1" applyFill="1" applyBorder="1" applyAlignment="1">
      <alignment horizontal="center" vertical="center" wrapText="1"/>
    </xf>
    <xf numFmtId="0" fontId="31" fillId="11" borderId="36" xfId="0" applyFont="1" applyFill="1" applyBorder="1" applyAlignment="1">
      <alignment horizontal="center" vertical="center" wrapText="1"/>
    </xf>
    <xf numFmtId="0" fontId="31" fillId="11" borderId="40" xfId="0" applyFont="1" applyFill="1" applyBorder="1" applyAlignment="1">
      <alignment horizontal="center" vertical="center" wrapText="1"/>
    </xf>
    <xf numFmtId="0" fontId="31" fillId="11" borderId="84" xfId="0" applyFont="1" applyFill="1" applyBorder="1" applyAlignment="1">
      <alignment horizontal="center" vertical="center" wrapText="1"/>
    </xf>
    <xf numFmtId="0" fontId="31" fillId="11" borderId="85" xfId="0" applyFont="1" applyFill="1" applyBorder="1" applyAlignment="1">
      <alignment horizontal="center" vertical="center" wrapText="1"/>
    </xf>
    <xf numFmtId="0" fontId="32" fillId="11" borderId="44" xfId="0" applyFont="1" applyFill="1" applyBorder="1" applyAlignment="1">
      <alignment horizontal="center" vertical="center" wrapText="1"/>
    </xf>
    <xf numFmtId="0" fontId="32" fillId="11" borderId="45" xfId="0" applyFont="1" applyFill="1" applyBorder="1" applyAlignment="1">
      <alignment horizontal="center" vertical="center" wrapText="1"/>
    </xf>
    <xf numFmtId="0" fontId="32" fillId="11" borderId="55" xfId="0" applyFont="1" applyFill="1" applyBorder="1" applyAlignment="1">
      <alignment horizontal="center" vertical="center" wrapText="1"/>
    </xf>
    <xf numFmtId="0" fontId="32" fillId="11" borderId="56" xfId="0" applyFont="1" applyFill="1" applyBorder="1" applyAlignment="1">
      <alignment horizontal="center" vertical="center" wrapText="1"/>
    </xf>
    <xf numFmtId="0" fontId="32" fillId="11" borderId="60" xfId="0" applyFont="1" applyFill="1" applyBorder="1" applyAlignment="1">
      <alignment horizontal="center" vertical="center" wrapText="1"/>
    </xf>
    <xf numFmtId="0" fontId="36" fillId="11" borderId="46" xfId="0" applyFont="1" applyFill="1" applyBorder="1" applyAlignment="1">
      <alignment horizontal="center" vertical="center" wrapText="1"/>
    </xf>
    <xf numFmtId="0" fontId="36" fillId="11" borderId="49" xfId="0" applyFont="1" applyFill="1" applyBorder="1" applyAlignment="1">
      <alignment horizontal="center" vertical="center" wrapText="1"/>
    </xf>
    <xf numFmtId="0" fontId="35" fillId="11" borderId="36" xfId="0" applyFont="1" applyFill="1" applyBorder="1" applyAlignment="1">
      <alignment horizontal="center" vertical="center" wrapText="1"/>
    </xf>
    <xf numFmtId="0" fontId="35" fillId="11" borderId="40" xfId="0" applyFont="1" applyFill="1" applyBorder="1" applyAlignment="1">
      <alignment horizontal="center" vertical="center" wrapText="1"/>
    </xf>
    <xf numFmtId="0" fontId="33" fillId="11" borderId="37" xfId="0" applyFont="1" applyFill="1" applyBorder="1" applyAlignment="1">
      <alignment horizontal="center" vertical="center" wrapText="1"/>
    </xf>
    <xf numFmtId="0" fontId="33" fillId="11" borderId="41" xfId="0" applyFont="1" applyFill="1" applyBorder="1" applyAlignment="1">
      <alignment horizontal="center" vertical="center" wrapText="1"/>
    </xf>
    <xf numFmtId="0" fontId="31" fillId="11" borderId="46" xfId="0" applyFont="1" applyFill="1" applyBorder="1" applyAlignment="1">
      <alignment horizontal="center" vertical="center" wrapText="1"/>
    </xf>
    <xf numFmtId="0" fontId="31" fillId="11" borderId="49" xfId="0" applyFont="1" applyFill="1" applyBorder="1" applyAlignment="1">
      <alignment horizontal="center" vertical="center" wrapText="1"/>
    </xf>
    <xf numFmtId="0" fontId="35" fillId="11" borderId="37" xfId="0" applyFont="1" applyFill="1" applyBorder="1" applyAlignment="1">
      <alignment horizontal="center" vertical="center" wrapText="1"/>
    </xf>
    <xf numFmtId="0" fontId="35" fillId="11" borderId="41" xfId="0" applyFont="1" applyFill="1" applyBorder="1" applyAlignment="1">
      <alignment horizontal="center" vertical="center" wrapText="1"/>
    </xf>
    <xf numFmtId="0" fontId="29" fillId="11" borderId="46" xfId="0" applyFont="1" applyFill="1" applyBorder="1" applyAlignment="1">
      <alignment horizontal="center" vertical="center" wrapText="1"/>
    </xf>
    <xf numFmtId="0" fontId="29" fillId="11" borderId="49" xfId="0" applyFont="1" applyFill="1" applyBorder="1" applyAlignment="1">
      <alignment horizontal="center" vertical="center" wrapText="1"/>
    </xf>
    <xf numFmtId="0" fontId="33" fillId="11" borderId="87" xfId="0" applyFont="1" applyFill="1" applyBorder="1" applyAlignment="1">
      <alignment horizontal="center" vertical="center" wrapText="1"/>
    </xf>
    <xf numFmtId="0" fontId="33" fillId="11" borderId="88" xfId="0" applyFont="1" applyFill="1" applyBorder="1" applyAlignment="1">
      <alignment horizontal="center" vertical="center" wrapText="1"/>
    </xf>
    <xf numFmtId="0" fontId="34" fillId="11" borderId="32" xfId="0" applyFont="1" applyFill="1" applyBorder="1" applyAlignment="1">
      <alignment horizontal="center" vertical="center" wrapText="1"/>
    </xf>
    <xf numFmtId="0" fontId="34" fillId="11" borderId="74" xfId="0" applyFont="1" applyFill="1" applyBorder="1" applyAlignment="1">
      <alignment horizontal="center" vertical="center" wrapText="1"/>
    </xf>
    <xf numFmtId="0" fontId="35" fillId="11" borderId="55" xfId="0" applyFont="1" applyFill="1" applyBorder="1" applyAlignment="1">
      <alignment horizontal="center" vertical="center" wrapText="1"/>
    </xf>
    <xf numFmtId="0" fontId="35" fillId="11" borderId="90" xfId="0" applyFont="1" applyFill="1" applyBorder="1" applyAlignment="1">
      <alignment horizontal="center" vertical="center" wrapText="1"/>
    </xf>
    <xf numFmtId="0" fontId="35" fillId="11" borderId="60" xfId="0" applyFont="1" applyFill="1" applyBorder="1" applyAlignment="1">
      <alignment horizontal="center" vertical="center" wrapText="1"/>
    </xf>
    <xf numFmtId="0" fontId="35" fillId="11" borderId="91" xfId="0" applyFont="1" applyFill="1" applyBorder="1" applyAlignment="1">
      <alignment horizontal="center" vertical="center" wrapText="1"/>
    </xf>
    <xf numFmtId="0" fontId="36" fillId="11" borderId="71" xfId="0" applyFont="1" applyFill="1" applyBorder="1" applyAlignment="1">
      <alignment horizontal="center" vertical="center" wrapText="1"/>
    </xf>
    <xf numFmtId="0" fontId="36" fillId="11" borderId="72" xfId="0" applyFont="1" applyFill="1" applyBorder="1" applyAlignment="1">
      <alignment horizontal="center" vertical="center" wrapText="1"/>
    </xf>
    <xf numFmtId="0" fontId="32" fillId="11" borderId="46" xfId="0" applyFont="1" applyFill="1" applyBorder="1" applyAlignment="1">
      <alignment horizontal="center" vertical="center" wrapText="1"/>
    </xf>
    <xf numFmtId="0" fontId="32" fillId="11" borderId="49" xfId="0" applyFont="1" applyFill="1" applyBorder="1" applyAlignment="1">
      <alignment horizontal="center" vertical="center" wrapText="1"/>
    </xf>
    <xf numFmtId="0" fontId="35" fillId="11" borderId="52" xfId="0" applyFont="1" applyFill="1" applyBorder="1" applyAlignment="1">
      <alignment horizontal="center" vertical="center" wrapText="1"/>
    </xf>
    <xf numFmtId="0" fontId="35" fillId="11" borderId="51" xfId="0" applyFont="1" applyFill="1" applyBorder="1" applyAlignment="1">
      <alignment horizontal="center" vertical="center" wrapText="1"/>
    </xf>
    <xf numFmtId="0" fontId="35" fillId="11" borderId="33" xfId="0" applyFont="1" applyFill="1" applyBorder="1" applyAlignment="1">
      <alignment horizontal="center" vertical="center" wrapText="1"/>
    </xf>
    <xf numFmtId="0" fontId="35" fillId="11" borderId="35" xfId="0" applyFont="1" applyFill="1" applyBorder="1" applyAlignment="1">
      <alignment horizontal="center" vertical="center" wrapText="1"/>
    </xf>
    <xf numFmtId="0" fontId="33" fillId="11" borderId="97" xfId="0" applyFont="1" applyFill="1" applyBorder="1" applyAlignment="1">
      <alignment horizontal="center" vertical="center" wrapText="1"/>
    </xf>
    <xf numFmtId="0" fontId="33" fillId="11" borderId="98" xfId="0" applyFont="1" applyFill="1" applyBorder="1" applyAlignment="1">
      <alignment horizontal="center" vertical="center" wrapText="1"/>
    </xf>
    <xf numFmtId="0" fontId="6" fillId="0" borderId="1" xfId="3" applyFont="1" applyBorder="1" applyAlignment="1">
      <alignment horizontal="center" vertical="center" wrapText="1"/>
    </xf>
    <xf numFmtId="0" fontId="3" fillId="0" borderId="1" xfId="3" applyFont="1" applyBorder="1" applyAlignment="1">
      <alignment horizontal="center" wrapText="1"/>
    </xf>
    <xf numFmtId="0" fontId="11" fillId="5" borderId="26" xfId="3" applyFont="1" applyFill="1" applyBorder="1" applyAlignment="1">
      <alignment horizontal="center" vertical="center" wrapText="1"/>
    </xf>
    <xf numFmtId="0" fontId="11" fillId="5" borderId="28" xfId="3" applyFont="1" applyFill="1" applyBorder="1" applyAlignment="1">
      <alignment horizontal="center" vertical="center" wrapText="1"/>
    </xf>
    <xf numFmtId="0" fontId="6" fillId="0" borderId="1" xfId="3" applyFont="1" applyBorder="1" applyAlignment="1">
      <alignment horizontal="center" vertical="center"/>
    </xf>
    <xf numFmtId="0" fontId="3" fillId="0" borderId="14" xfId="3" applyFont="1" applyBorder="1" applyAlignment="1">
      <alignment horizontal="center" wrapText="1"/>
    </xf>
    <xf numFmtId="0" fontId="6" fillId="4" borderId="12" xfId="3" applyFont="1" applyFill="1" applyBorder="1" applyAlignment="1">
      <alignment horizontal="center" vertical="center" wrapText="1"/>
    </xf>
    <xf numFmtId="0" fontId="3" fillId="0" borderId="16" xfId="3" applyFont="1" applyBorder="1" applyAlignment="1">
      <alignment horizontal="center" wrapText="1"/>
    </xf>
    <xf numFmtId="0" fontId="10" fillId="0" borderId="14" xfId="3" applyFont="1" applyBorder="1" applyAlignment="1">
      <alignment horizontal="center" wrapText="1"/>
    </xf>
    <xf numFmtId="0" fontId="38" fillId="13" borderId="30" xfId="3" applyFont="1" applyFill="1" applyBorder="1" applyAlignment="1">
      <alignment horizontal="center" vertical="center" wrapText="1"/>
    </xf>
    <xf numFmtId="0" fontId="6" fillId="0" borderId="29" xfId="3" applyFont="1" applyBorder="1" applyAlignment="1">
      <alignment horizontal="center" vertical="center" wrapText="1"/>
    </xf>
    <xf numFmtId="0" fontId="6" fillId="0" borderId="23" xfId="3" applyFont="1" applyBorder="1" applyAlignment="1">
      <alignment horizontal="center" vertical="center" wrapText="1"/>
    </xf>
    <xf numFmtId="0" fontId="6" fillId="0" borderId="22" xfId="3" applyFont="1" applyBorder="1" applyAlignment="1">
      <alignment horizontal="center" vertical="center" wrapText="1"/>
    </xf>
    <xf numFmtId="0" fontId="6" fillId="4" borderId="1" xfId="3" applyFont="1" applyFill="1" applyBorder="1" applyAlignment="1">
      <alignment horizontal="center" vertical="center" wrapText="1"/>
    </xf>
    <xf numFmtId="0" fontId="6" fillId="0" borderId="18" xfId="3" applyFont="1" applyBorder="1" applyAlignment="1">
      <alignment horizontal="center" vertical="center" wrapText="1"/>
    </xf>
    <xf numFmtId="0" fontId="3" fillId="0" borderId="3" xfId="3" applyFont="1" applyBorder="1" applyAlignment="1">
      <alignment horizontal="center" wrapText="1"/>
    </xf>
    <xf numFmtId="0" fontId="3" fillId="0" borderId="0" xfId="3" applyFont="1" applyAlignment="1">
      <alignment horizontal="center" wrapText="1"/>
    </xf>
    <xf numFmtId="0" fontId="6" fillId="0" borderId="3" xfId="3" applyFont="1" applyBorder="1" applyAlignment="1">
      <alignment horizontal="center" vertical="center" wrapText="1"/>
    </xf>
    <xf numFmtId="0" fontId="6" fillId="0" borderId="19" xfId="3" applyFont="1" applyBorder="1" applyAlignment="1">
      <alignment horizontal="center" vertical="center" wrapText="1"/>
    </xf>
    <xf numFmtId="0" fontId="8" fillId="0" borderId="6" xfId="3" applyFont="1" applyBorder="1" applyAlignment="1">
      <alignment horizontal="center" vertical="center" wrapText="1"/>
    </xf>
    <xf numFmtId="0" fontId="3" fillId="0" borderId="21" xfId="3" applyFont="1" applyBorder="1" applyAlignment="1">
      <alignment wrapText="1"/>
    </xf>
    <xf numFmtId="0" fontId="8" fillId="0" borderId="10" xfId="3" applyFont="1" applyBorder="1" applyAlignment="1">
      <alignment horizontal="center" vertical="center"/>
    </xf>
    <xf numFmtId="0" fontId="3" fillId="0" borderId="18" xfId="3" applyFont="1" applyBorder="1" applyAlignment="1">
      <alignment wrapText="1"/>
    </xf>
    <xf numFmtId="0" fontId="2" fillId="0" borderId="1" xfId="3" applyFont="1" applyBorder="1" applyAlignment="1">
      <alignment horizontal="center" vertical="center" wrapText="1"/>
    </xf>
    <xf numFmtId="0" fontId="3" fillId="0" borderId="1" xfId="3" applyFont="1" applyBorder="1" applyAlignment="1">
      <alignment wrapText="1"/>
    </xf>
    <xf numFmtId="0" fontId="2" fillId="0" borderId="7" xfId="3" applyFont="1" applyBorder="1" applyAlignment="1">
      <alignment horizontal="center" vertical="center" wrapText="1"/>
    </xf>
    <xf numFmtId="0" fontId="3" fillId="0" borderId="8" xfId="3" applyFont="1" applyBorder="1" applyAlignment="1">
      <alignment wrapText="1"/>
    </xf>
    <xf numFmtId="0" fontId="11" fillId="5" borderId="27" xfId="3" applyFont="1" applyFill="1" applyBorder="1" applyAlignment="1">
      <alignment horizontal="center" vertical="center" wrapText="1"/>
    </xf>
    <xf numFmtId="0" fontId="8" fillId="0" borderId="6" xfId="3" applyFont="1" applyBorder="1" applyAlignment="1">
      <alignment horizontal="center" vertical="center"/>
    </xf>
    <xf numFmtId="0" fontId="8" fillId="0" borderId="7" xfId="3" applyFont="1" applyBorder="1" applyAlignment="1">
      <alignment horizontal="center" vertical="center" wrapText="1"/>
    </xf>
    <xf numFmtId="0" fontId="2" fillId="0" borderId="6" xfId="3" applyFont="1" applyBorder="1" applyAlignment="1">
      <alignment horizontal="center" vertical="center" wrapText="1"/>
    </xf>
    <xf numFmtId="0" fontId="3" fillId="0" borderId="5" xfId="3" applyFont="1" applyBorder="1" applyAlignment="1">
      <alignment wrapText="1"/>
    </xf>
    <xf numFmtId="0" fontId="9" fillId="0" borderId="18" xfId="3" applyFont="1" applyBorder="1" applyAlignment="1">
      <alignment horizontal="center" vertical="center" wrapText="1"/>
    </xf>
    <xf numFmtId="0" fontId="3" fillId="0" borderId="19" xfId="3" applyFont="1" applyBorder="1" applyAlignment="1">
      <alignment horizontal="center" wrapText="1"/>
    </xf>
    <xf numFmtId="0" fontId="8" fillId="0" borderId="17" xfId="3" applyFont="1" applyBorder="1" applyAlignment="1">
      <alignment horizontal="center" vertical="center" wrapText="1"/>
    </xf>
    <xf numFmtId="0" fontId="3" fillId="0" borderId="19" xfId="3" applyFont="1" applyBorder="1" applyAlignment="1">
      <alignment wrapText="1"/>
    </xf>
    <xf numFmtId="0" fontId="8" fillId="4" borderId="7" xfId="3" applyFont="1" applyFill="1" applyBorder="1" applyAlignment="1">
      <alignment horizontal="center" vertical="center" wrapText="1"/>
    </xf>
    <xf numFmtId="0" fontId="7" fillId="0" borderId="0" xfId="3" applyFont="1" applyAlignment="1">
      <alignment horizontal="center" wrapText="1"/>
    </xf>
    <xf numFmtId="0" fontId="5" fillId="0" borderId="0" xfId="3" applyAlignment="1">
      <alignment horizontal="center" wrapText="1"/>
    </xf>
    <xf numFmtId="0" fontId="12" fillId="0" borderId="0" xfId="3" applyFont="1" applyAlignment="1">
      <alignment horizontal="center" vertical="center" wrapText="1"/>
    </xf>
    <xf numFmtId="0" fontId="7" fillId="0" borderId="0" xfId="3" applyFont="1" applyAlignment="1">
      <alignment horizontal="center" vertical="center" wrapText="1"/>
    </xf>
    <xf numFmtId="0" fontId="1" fillId="0" borderId="0" xfId="3" applyFont="1" applyAlignment="1">
      <alignment horizontal="center" vertical="center" wrapText="1"/>
    </xf>
    <xf numFmtId="0" fontId="38" fillId="3" borderId="0" xfId="3" applyFont="1" applyFill="1" applyAlignment="1">
      <alignment horizontal="center" vertical="center"/>
    </xf>
    <xf numFmtId="0" fontId="37" fillId="0" borderId="0" xfId="3" applyFont="1" applyAlignment="1">
      <alignment horizontal="center" vertical="center" wrapText="1"/>
    </xf>
    <xf numFmtId="0" fontId="11" fillId="5" borderId="95" xfId="3" applyFont="1" applyFill="1" applyBorder="1" applyAlignment="1">
      <alignment horizontal="center" vertical="center" wrapText="1"/>
    </xf>
    <xf numFmtId="0" fontId="11" fillId="5" borderId="92" xfId="3" applyFont="1" applyFill="1" applyBorder="1" applyAlignment="1">
      <alignment horizontal="center" vertical="center" wrapText="1"/>
    </xf>
    <xf numFmtId="0" fontId="8" fillId="6" borderId="2" xfId="3" applyFont="1" applyFill="1" applyBorder="1" applyAlignment="1">
      <alignment horizontal="center" vertical="center"/>
    </xf>
    <xf numFmtId="0" fontId="16" fillId="0" borderId="2" xfId="3" applyFont="1" applyBorder="1" applyAlignment="1">
      <alignment wrapText="1"/>
    </xf>
    <xf numFmtId="0" fontId="8" fillId="4" borderId="96" xfId="3" applyFont="1" applyFill="1" applyBorder="1" applyAlignment="1">
      <alignment horizontal="center" vertical="center"/>
    </xf>
    <xf numFmtId="0" fontId="16" fillId="0" borderId="16" xfId="3" applyFont="1" applyBorder="1" applyAlignment="1">
      <alignment wrapText="1"/>
    </xf>
    <xf numFmtId="0" fontId="8" fillId="4" borderId="1" xfId="3" applyFont="1" applyFill="1" applyBorder="1" applyAlignment="1">
      <alignment horizontal="center" vertical="center" wrapText="1"/>
    </xf>
    <xf numFmtId="0" fontId="16" fillId="0" borderId="1" xfId="3" applyFont="1" applyBorder="1" applyAlignment="1">
      <alignment wrapText="1"/>
    </xf>
    <xf numFmtId="0" fontId="8" fillId="0" borderId="2" xfId="3" applyFont="1" applyBorder="1" applyAlignment="1">
      <alignment horizontal="center" vertical="center" wrapText="1"/>
    </xf>
    <xf numFmtId="0" fontId="16" fillId="0" borderId="14" xfId="3" applyFont="1" applyBorder="1" applyAlignment="1">
      <alignment wrapText="1"/>
    </xf>
    <xf numFmtId="0" fontId="8" fillId="0" borderId="2" xfId="3" applyFont="1" applyBorder="1" applyAlignment="1">
      <alignment horizontal="center" vertical="center"/>
    </xf>
    <xf numFmtId="0" fontId="8" fillId="4" borderId="2" xfId="3" applyFont="1" applyFill="1" applyBorder="1" applyAlignment="1">
      <alignment horizontal="center" vertical="center" wrapText="1"/>
    </xf>
    <xf numFmtId="0" fontId="12" fillId="0" borderId="0" xfId="3" applyFont="1" applyAlignment="1">
      <alignment vertical="center"/>
    </xf>
    <xf numFmtId="0" fontId="16" fillId="0" borderId="0" xfId="3" applyFont="1" applyAlignment="1">
      <alignment wrapText="1"/>
    </xf>
    <xf numFmtId="0" fontId="12" fillId="0" borderId="0" xfId="3" applyFont="1" applyAlignment="1">
      <alignment horizontal="left" vertical="center" wrapText="1"/>
    </xf>
    <xf numFmtId="0" fontId="12" fillId="0" borderId="0" xfId="3" applyFont="1" applyAlignment="1">
      <alignment vertical="center" wrapText="1"/>
    </xf>
    <xf numFmtId="0" fontId="8" fillId="0" borderId="22" xfId="3" applyFont="1" applyBorder="1" applyAlignment="1">
      <alignment horizontal="center" vertical="center" wrapText="1"/>
    </xf>
    <xf numFmtId="0" fontId="8" fillId="0" borderId="29" xfId="3" applyFont="1" applyBorder="1" applyAlignment="1">
      <alignment horizontal="center" vertical="center" wrapText="1"/>
    </xf>
    <xf numFmtId="0" fontId="8" fillId="0" borderId="23" xfId="3" applyFont="1" applyBorder="1" applyAlignment="1">
      <alignment horizontal="center" vertical="center" wrapText="1"/>
    </xf>
    <xf numFmtId="0" fontId="8" fillId="0" borderId="22" xfId="3" applyFont="1" applyBorder="1" applyAlignment="1">
      <alignment horizontal="center" vertical="center"/>
    </xf>
    <xf numFmtId="0" fontId="8" fillId="0" borderId="29" xfId="3" applyFont="1" applyBorder="1" applyAlignment="1">
      <alignment horizontal="center" vertical="center"/>
    </xf>
    <xf numFmtId="0" fontId="8" fillId="0" borderId="23" xfId="3" applyFont="1" applyBorder="1" applyAlignment="1">
      <alignment horizontal="center" vertical="center"/>
    </xf>
    <xf numFmtId="0" fontId="12" fillId="0" borderId="0" xfId="3" applyFont="1" applyAlignment="1">
      <alignment horizontal="left" vertical="center"/>
    </xf>
    <xf numFmtId="0" fontId="38" fillId="3" borderId="100" xfId="3" applyFont="1" applyFill="1" applyBorder="1" applyAlignment="1">
      <alignment horizontal="center" vertical="center"/>
    </xf>
    <xf numFmtId="0" fontId="38" fillId="3" borderId="101" xfId="3" applyFont="1" applyFill="1" applyBorder="1" applyAlignment="1">
      <alignment horizontal="center" vertical="center"/>
    </xf>
    <xf numFmtId="0" fontId="38" fillId="3" borderId="102" xfId="3" applyFont="1" applyFill="1" applyBorder="1" applyAlignment="1">
      <alignment horizontal="center" vertical="center"/>
    </xf>
    <xf numFmtId="0" fontId="12" fillId="0" borderId="0" xfId="3" applyFont="1" applyAlignment="1">
      <alignment horizontal="center" vertical="center"/>
    </xf>
    <xf numFmtId="0" fontId="12" fillId="0" borderId="0" xfId="3" applyFont="1" applyAlignment="1">
      <alignment horizontal="center" wrapText="1"/>
    </xf>
  </cellXfs>
  <cellStyles count="5">
    <cellStyle name="Hipervínculo" xfId="4" builtinId="8"/>
    <cellStyle name="Normal" xfId="0" builtinId="0"/>
    <cellStyle name="Normal 2" xfId="1"/>
    <cellStyle name="Normal 3" xfId="2"/>
    <cellStyle name="Normal 4" xfId="3"/>
  </cellStyles>
  <dxfs count="135">
    <dxf>
      <font>
        <b/>
        <i val="0"/>
      </font>
      <fill>
        <patternFill>
          <bgColor theme="9" tint="0.59996337778862885"/>
        </patternFill>
      </fill>
    </dxf>
    <dxf>
      <font>
        <b/>
        <i val="0"/>
      </font>
      <fill>
        <patternFill>
          <bgColor rgb="FF92D050"/>
        </patternFill>
      </fill>
    </dxf>
    <dxf>
      <font>
        <b/>
        <i val="0"/>
      </font>
      <fill>
        <patternFill>
          <bgColor theme="9"/>
        </patternFill>
      </fill>
    </dxf>
    <dxf>
      <fill>
        <patternFill>
          <bgColor theme="3" tint="0.79998168889431442"/>
        </patternFill>
      </fill>
    </dxf>
    <dxf>
      <font>
        <color rgb="FF006100"/>
      </font>
      <fill>
        <patternFill>
          <bgColor rgb="FFC6EFCE"/>
        </patternFill>
      </fill>
    </dxf>
    <dxf>
      <font>
        <b/>
        <i val="0"/>
      </font>
      <fill>
        <patternFill>
          <bgColor rgb="FF92D050"/>
        </patternFill>
      </fill>
    </dxf>
    <dxf>
      <font>
        <b/>
        <i val="0"/>
      </font>
      <fill>
        <patternFill>
          <bgColor rgb="FFFFC000"/>
        </patternFill>
      </fill>
    </dxf>
    <dxf>
      <fill>
        <patternFill>
          <bgColor theme="3" tint="0.79998168889431442"/>
        </patternFill>
      </fill>
    </dxf>
    <dxf>
      <font>
        <b/>
        <i val="0"/>
      </font>
      <fill>
        <patternFill>
          <bgColor theme="9" tint="0.59996337778862885"/>
        </patternFill>
      </fill>
    </dxf>
    <dxf>
      <font>
        <color rgb="FF006100"/>
      </font>
      <fill>
        <patternFill>
          <bgColor rgb="FFC6EFCE"/>
        </patternFill>
      </fill>
    </dxf>
    <dxf>
      <font>
        <b/>
        <i val="0"/>
      </font>
      <fill>
        <patternFill>
          <bgColor rgb="FF92D050"/>
        </patternFill>
      </fill>
    </dxf>
    <dxf>
      <font>
        <b/>
        <i val="0"/>
      </font>
      <fill>
        <patternFill>
          <bgColor rgb="FFFFC000"/>
        </patternFill>
      </fill>
    </dxf>
    <dxf>
      <fill>
        <patternFill>
          <bgColor theme="3" tint="0.79998168889431442"/>
        </patternFill>
      </fill>
    </dxf>
    <dxf>
      <font>
        <color rgb="FF006100"/>
      </font>
      <fill>
        <patternFill>
          <bgColor rgb="FFC6EFCE"/>
        </patternFill>
      </fill>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ill>
        <patternFill>
          <bgColor rgb="FFFF0000"/>
        </patternFill>
      </fill>
    </dxf>
    <dxf>
      <fill>
        <patternFill patternType="solid">
          <bgColor rgb="FFFF0000"/>
        </patternFill>
      </fill>
    </dxf>
    <dxf>
      <fill>
        <patternFill>
          <bgColor rgb="FF92D050"/>
        </patternFill>
      </fill>
    </dxf>
    <dxf>
      <fill>
        <patternFill>
          <bgColor theme="3" tint="0.79998168889431442"/>
        </patternFill>
      </fill>
    </dxf>
    <dxf>
      <font>
        <b/>
        <i val="0"/>
      </font>
      <fill>
        <patternFill>
          <bgColor rgb="FF92D050"/>
        </patternFill>
      </fill>
    </dxf>
    <dxf>
      <font>
        <b/>
        <i val="0"/>
      </font>
      <fill>
        <patternFill>
          <bgColor theme="9" tint="0.59996337778862885"/>
        </pattern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12.emf"/><Relationship Id="rId18" Type="http://schemas.openxmlformats.org/officeDocument/2006/relationships/image" Target="../media/image4.emf"/><Relationship Id="rId3" Type="http://schemas.openxmlformats.org/officeDocument/2006/relationships/image" Target="../media/image18.emf"/><Relationship Id="rId7" Type="http://schemas.openxmlformats.org/officeDocument/2006/relationships/image" Target="../media/image16.emf"/><Relationship Id="rId12" Type="http://schemas.openxmlformats.org/officeDocument/2006/relationships/image" Target="../media/image9.emf"/><Relationship Id="rId17" Type="http://schemas.openxmlformats.org/officeDocument/2006/relationships/image" Target="../media/image5.emf"/><Relationship Id="rId2" Type="http://schemas.openxmlformats.org/officeDocument/2006/relationships/image" Target="../media/image17.emf"/><Relationship Id="rId16" Type="http://schemas.openxmlformats.org/officeDocument/2006/relationships/image" Target="../media/image6.emf"/><Relationship Id="rId20" Type="http://schemas.openxmlformats.org/officeDocument/2006/relationships/image" Target="../media/image1.emf"/><Relationship Id="rId1" Type="http://schemas.openxmlformats.org/officeDocument/2006/relationships/image" Target="../media/image8.emf"/><Relationship Id="rId6" Type="http://schemas.openxmlformats.org/officeDocument/2006/relationships/image" Target="../media/image11.emf"/><Relationship Id="rId11" Type="http://schemas.openxmlformats.org/officeDocument/2006/relationships/image" Target="../media/image13.emf"/><Relationship Id="rId5" Type="http://schemas.openxmlformats.org/officeDocument/2006/relationships/image" Target="../media/image20.emf"/><Relationship Id="rId15" Type="http://schemas.openxmlformats.org/officeDocument/2006/relationships/image" Target="../media/image7.emf"/><Relationship Id="rId10" Type="http://schemas.openxmlformats.org/officeDocument/2006/relationships/image" Target="../media/image15.emf"/><Relationship Id="rId19" Type="http://schemas.openxmlformats.org/officeDocument/2006/relationships/image" Target="../media/image2.emf"/><Relationship Id="rId4" Type="http://schemas.openxmlformats.org/officeDocument/2006/relationships/image" Target="../media/image19.emf"/><Relationship Id="rId9" Type="http://schemas.openxmlformats.org/officeDocument/2006/relationships/image" Target="../media/image3.emf"/><Relationship Id="rId14"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3</xdr:row>
          <xdr:rowOff>0</xdr:rowOff>
        </xdr:from>
        <xdr:to>
          <xdr:col>19</xdr:col>
          <xdr:colOff>0</xdr:colOff>
          <xdr:row>4</xdr:row>
          <xdr:rowOff>0</xdr:rowOff>
        </xdr:to>
        <xdr:sp macro="" textlink="">
          <xdr:nvSpPr>
            <xdr:cNvPr id="1029" name="ComboBox2" hidden="1">
              <a:extLst>
                <a:ext uri="{63B3BB69-23CF-44E3-9099-C40C66FF867C}">
                  <a14:compatExt spid="_x0000_s1029"/>
                </a:ext>
                <a:ext uri="{FF2B5EF4-FFF2-40B4-BE49-F238E27FC236}">
                  <a16:creationId xmlns=""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xdr:row>
          <xdr:rowOff>0</xdr:rowOff>
        </xdr:from>
        <xdr:to>
          <xdr:col>19</xdr:col>
          <xdr:colOff>0</xdr:colOff>
          <xdr:row>3</xdr:row>
          <xdr:rowOff>0</xdr:rowOff>
        </xdr:to>
        <xdr:sp macro="" textlink="">
          <xdr:nvSpPr>
            <xdr:cNvPr id="1027" name="ComboBox1" hidden="1">
              <a:extLst>
                <a:ext uri="{63B3BB69-23CF-44E3-9099-C40C66FF867C}">
                  <a14:compatExt spid="_x0000_s1027"/>
                </a:ext>
                <a:ext uri="{FF2B5EF4-FFF2-40B4-BE49-F238E27FC236}">
                  <a16:creationId xmlns=""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xdr:row>
          <xdr:rowOff>0</xdr:rowOff>
        </xdr:from>
        <xdr:to>
          <xdr:col>19</xdr:col>
          <xdr:colOff>0</xdr:colOff>
          <xdr:row>4</xdr:row>
          <xdr:rowOff>1476375</xdr:rowOff>
        </xdr:to>
        <xdr:sp macro="" textlink="">
          <xdr:nvSpPr>
            <xdr:cNvPr id="1030" name="ComboBox3" hidden="1">
              <a:extLst>
                <a:ext uri="{63B3BB69-23CF-44E3-9099-C40C66FF867C}">
                  <a14:compatExt spid="_x0000_s1030"/>
                </a:ext>
                <a:ext uri="{FF2B5EF4-FFF2-40B4-BE49-F238E27FC236}">
                  <a16:creationId xmlns=""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4314825</xdr:colOff>
          <xdr:row>5</xdr:row>
          <xdr:rowOff>0</xdr:rowOff>
        </xdr:from>
        <xdr:to>
          <xdr:col>19</xdr:col>
          <xdr:colOff>0</xdr:colOff>
          <xdr:row>6</xdr:row>
          <xdr:rowOff>19050</xdr:rowOff>
        </xdr:to>
        <xdr:sp macro="" textlink="">
          <xdr:nvSpPr>
            <xdr:cNvPr id="1031" name="ComboBox4" hidden="1">
              <a:extLst>
                <a:ext uri="{63B3BB69-23CF-44E3-9099-C40C66FF867C}">
                  <a14:compatExt spid="_x0000_s1031"/>
                </a:ext>
                <a:ext uri="{FF2B5EF4-FFF2-40B4-BE49-F238E27FC236}">
                  <a16:creationId xmlns=""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6</xdr:row>
          <xdr:rowOff>0</xdr:rowOff>
        </xdr:from>
        <xdr:to>
          <xdr:col>19</xdr:col>
          <xdr:colOff>0</xdr:colOff>
          <xdr:row>7</xdr:row>
          <xdr:rowOff>0</xdr:rowOff>
        </xdr:to>
        <xdr:sp macro="" textlink="">
          <xdr:nvSpPr>
            <xdr:cNvPr id="1032" name="ComboBox5" hidden="1">
              <a:extLst>
                <a:ext uri="{63B3BB69-23CF-44E3-9099-C40C66FF867C}">
                  <a14:compatExt spid="_x0000_s1032"/>
                </a:ext>
                <a:ext uri="{FF2B5EF4-FFF2-40B4-BE49-F238E27FC236}">
                  <a16:creationId xmlns=""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7</xdr:row>
          <xdr:rowOff>0</xdr:rowOff>
        </xdr:from>
        <xdr:to>
          <xdr:col>19</xdr:col>
          <xdr:colOff>0</xdr:colOff>
          <xdr:row>7</xdr:row>
          <xdr:rowOff>1476375</xdr:rowOff>
        </xdr:to>
        <xdr:sp macro="" textlink="">
          <xdr:nvSpPr>
            <xdr:cNvPr id="1033" name="ComboBox6" hidden="1">
              <a:extLst>
                <a:ext uri="{63B3BB69-23CF-44E3-9099-C40C66FF867C}">
                  <a14:compatExt spid="_x0000_s1033"/>
                </a:ext>
                <a:ext uri="{FF2B5EF4-FFF2-40B4-BE49-F238E27FC236}">
                  <a16:creationId xmlns=""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xdr:row>
          <xdr:rowOff>0</xdr:rowOff>
        </xdr:from>
        <xdr:to>
          <xdr:col>19</xdr:col>
          <xdr:colOff>0</xdr:colOff>
          <xdr:row>9</xdr:row>
          <xdr:rowOff>0</xdr:rowOff>
        </xdr:to>
        <xdr:sp macro="" textlink="">
          <xdr:nvSpPr>
            <xdr:cNvPr id="1034" name="ComboBox7" hidden="1">
              <a:extLst>
                <a:ext uri="{63B3BB69-23CF-44E3-9099-C40C66FF867C}">
                  <a14:compatExt spid="_x0000_s1034"/>
                </a:ext>
                <a:ext uri="{FF2B5EF4-FFF2-40B4-BE49-F238E27FC236}">
                  <a16:creationId xmlns=""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9</xdr:row>
          <xdr:rowOff>0</xdr:rowOff>
        </xdr:from>
        <xdr:to>
          <xdr:col>19</xdr:col>
          <xdr:colOff>0</xdr:colOff>
          <xdr:row>10</xdr:row>
          <xdr:rowOff>0</xdr:rowOff>
        </xdr:to>
        <xdr:sp macro="" textlink="">
          <xdr:nvSpPr>
            <xdr:cNvPr id="1035" name="ComboBox8" hidden="1">
              <a:extLst>
                <a:ext uri="{63B3BB69-23CF-44E3-9099-C40C66FF867C}">
                  <a14:compatExt spid="_x0000_s1035"/>
                </a:ext>
                <a:ext uri="{FF2B5EF4-FFF2-40B4-BE49-F238E27FC236}">
                  <a16:creationId xmlns=""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xdr:row>
          <xdr:rowOff>0</xdr:rowOff>
        </xdr:from>
        <xdr:to>
          <xdr:col>19</xdr:col>
          <xdr:colOff>0</xdr:colOff>
          <xdr:row>11</xdr:row>
          <xdr:rowOff>0</xdr:rowOff>
        </xdr:to>
        <xdr:sp macro="" textlink="">
          <xdr:nvSpPr>
            <xdr:cNvPr id="1069" name="ComboBox9" hidden="1">
              <a:extLst>
                <a:ext uri="{63B3BB69-23CF-44E3-9099-C40C66FF867C}">
                  <a14:compatExt spid="_x0000_s1069"/>
                </a:ext>
                <a:ext uri="{FF2B5EF4-FFF2-40B4-BE49-F238E27FC236}">
                  <a16:creationId xmlns=""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11</xdr:row>
          <xdr:rowOff>0</xdr:rowOff>
        </xdr:from>
        <xdr:to>
          <xdr:col>19</xdr:col>
          <xdr:colOff>0</xdr:colOff>
          <xdr:row>12</xdr:row>
          <xdr:rowOff>0</xdr:rowOff>
        </xdr:to>
        <xdr:sp macro="" textlink="">
          <xdr:nvSpPr>
            <xdr:cNvPr id="1070" name="ComboBox10" hidden="1">
              <a:extLst>
                <a:ext uri="{63B3BB69-23CF-44E3-9099-C40C66FF867C}">
                  <a14:compatExt spid="_x0000_s1070"/>
                </a:ext>
                <a:ext uri="{FF2B5EF4-FFF2-40B4-BE49-F238E27FC236}">
                  <a16:creationId xmlns="" xmlns:a16="http://schemas.microsoft.com/office/drawing/2014/main" id="{00000000-0008-0000-0000-00002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xdr:row>
          <xdr:rowOff>0</xdr:rowOff>
        </xdr:from>
        <xdr:to>
          <xdr:col>19</xdr:col>
          <xdr:colOff>0</xdr:colOff>
          <xdr:row>13</xdr:row>
          <xdr:rowOff>0</xdr:rowOff>
        </xdr:to>
        <xdr:sp macro="" textlink="">
          <xdr:nvSpPr>
            <xdr:cNvPr id="1080" name="ComboBox11" hidden="1">
              <a:extLst>
                <a:ext uri="{63B3BB69-23CF-44E3-9099-C40C66FF867C}">
                  <a14:compatExt spid="_x0000_s1080"/>
                </a:ext>
                <a:ext uri="{FF2B5EF4-FFF2-40B4-BE49-F238E27FC236}">
                  <a16:creationId xmlns="" xmlns:a16="http://schemas.microsoft.com/office/drawing/2014/main" id="{00000000-0008-0000-0000-00003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13</xdr:row>
          <xdr:rowOff>0</xdr:rowOff>
        </xdr:from>
        <xdr:to>
          <xdr:col>19</xdr:col>
          <xdr:colOff>0</xdr:colOff>
          <xdr:row>14</xdr:row>
          <xdr:rowOff>0</xdr:rowOff>
        </xdr:to>
        <xdr:sp macro="" textlink="">
          <xdr:nvSpPr>
            <xdr:cNvPr id="1081" name="ComboBox12" hidden="1">
              <a:extLst>
                <a:ext uri="{63B3BB69-23CF-44E3-9099-C40C66FF867C}">
                  <a14:compatExt spid="_x0000_s1081"/>
                </a:ext>
                <a:ext uri="{FF2B5EF4-FFF2-40B4-BE49-F238E27FC236}">
                  <a16:creationId xmlns=""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14</xdr:row>
          <xdr:rowOff>0</xdr:rowOff>
        </xdr:from>
        <xdr:to>
          <xdr:col>19</xdr:col>
          <xdr:colOff>0</xdr:colOff>
          <xdr:row>15</xdr:row>
          <xdr:rowOff>9525</xdr:rowOff>
        </xdr:to>
        <xdr:sp macro="" textlink="">
          <xdr:nvSpPr>
            <xdr:cNvPr id="1082" name="ComboBox13" hidden="1">
              <a:extLst>
                <a:ext uri="{63B3BB69-23CF-44E3-9099-C40C66FF867C}">
                  <a14:compatExt spid="_x0000_s1082"/>
                </a:ext>
                <a:ext uri="{FF2B5EF4-FFF2-40B4-BE49-F238E27FC236}">
                  <a16:creationId xmlns="" xmlns:a16="http://schemas.microsoft.com/office/drawing/2014/main" id="{00000000-0008-0000-00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15</xdr:row>
          <xdr:rowOff>0</xdr:rowOff>
        </xdr:from>
        <xdr:to>
          <xdr:col>18</xdr:col>
          <xdr:colOff>5381625</xdr:colOff>
          <xdr:row>16</xdr:row>
          <xdr:rowOff>9525</xdr:rowOff>
        </xdr:to>
        <xdr:sp macro="" textlink="">
          <xdr:nvSpPr>
            <xdr:cNvPr id="1083" name="ComboBox14" hidden="1">
              <a:extLst>
                <a:ext uri="{63B3BB69-23CF-44E3-9099-C40C66FF867C}">
                  <a14:compatExt spid="_x0000_s1083"/>
                </a:ext>
                <a:ext uri="{FF2B5EF4-FFF2-40B4-BE49-F238E27FC236}">
                  <a16:creationId xmlns="" xmlns:a16="http://schemas.microsoft.com/office/drawing/2014/main" id="{00000000-0008-0000-00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16</xdr:row>
          <xdr:rowOff>0</xdr:rowOff>
        </xdr:from>
        <xdr:to>
          <xdr:col>19</xdr:col>
          <xdr:colOff>0</xdr:colOff>
          <xdr:row>17</xdr:row>
          <xdr:rowOff>9525</xdr:rowOff>
        </xdr:to>
        <xdr:sp macro="" textlink="">
          <xdr:nvSpPr>
            <xdr:cNvPr id="1084" name="ComboBox15" hidden="1">
              <a:extLst>
                <a:ext uri="{63B3BB69-23CF-44E3-9099-C40C66FF867C}">
                  <a14:compatExt spid="_x0000_s1084"/>
                </a:ext>
                <a:ext uri="{FF2B5EF4-FFF2-40B4-BE49-F238E27FC236}">
                  <a16:creationId xmlns=""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17</xdr:row>
          <xdr:rowOff>0</xdr:rowOff>
        </xdr:from>
        <xdr:to>
          <xdr:col>19</xdr:col>
          <xdr:colOff>0</xdr:colOff>
          <xdr:row>18</xdr:row>
          <xdr:rowOff>9525</xdr:rowOff>
        </xdr:to>
        <xdr:sp macro="" textlink="">
          <xdr:nvSpPr>
            <xdr:cNvPr id="1085" name="ComboBox16" hidden="1">
              <a:extLst>
                <a:ext uri="{63B3BB69-23CF-44E3-9099-C40C66FF867C}">
                  <a14:compatExt spid="_x0000_s1085"/>
                </a:ext>
                <a:ext uri="{FF2B5EF4-FFF2-40B4-BE49-F238E27FC236}">
                  <a16:creationId xmlns=""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18</xdr:row>
          <xdr:rowOff>0</xdr:rowOff>
        </xdr:from>
        <xdr:to>
          <xdr:col>19</xdr:col>
          <xdr:colOff>0</xdr:colOff>
          <xdr:row>19</xdr:row>
          <xdr:rowOff>9525</xdr:rowOff>
        </xdr:to>
        <xdr:sp macro="" textlink="">
          <xdr:nvSpPr>
            <xdr:cNvPr id="1086" name="ComboBox17" hidden="1">
              <a:extLst>
                <a:ext uri="{63B3BB69-23CF-44E3-9099-C40C66FF867C}">
                  <a14:compatExt spid="_x0000_s1086"/>
                </a:ext>
                <a:ext uri="{FF2B5EF4-FFF2-40B4-BE49-F238E27FC236}">
                  <a16:creationId xmlns="" xmlns:a16="http://schemas.microsoft.com/office/drawing/2014/main" id="{00000000-0008-0000-0000-00003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19</xdr:row>
          <xdr:rowOff>0</xdr:rowOff>
        </xdr:from>
        <xdr:to>
          <xdr:col>19</xdr:col>
          <xdr:colOff>0</xdr:colOff>
          <xdr:row>20</xdr:row>
          <xdr:rowOff>9525</xdr:rowOff>
        </xdr:to>
        <xdr:sp macro="" textlink="">
          <xdr:nvSpPr>
            <xdr:cNvPr id="1087" name="ComboBox18" hidden="1">
              <a:extLst>
                <a:ext uri="{63B3BB69-23CF-44E3-9099-C40C66FF867C}">
                  <a14:compatExt spid="_x0000_s1087"/>
                </a:ext>
                <a:ext uri="{FF2B5EF4-FFF2-40B4-BE49-F238E27FC236}">
                  <a16:creationId xmlns="" xmlns:a16="http://schemas.microsoft.com/office/drawing/2014/main" id="{00000000-0008-0000-00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20</xdr:row>
          <xdr:rowOff>0</xdr:rowOff>
        </xdr:from>
        <xdr:to>
          <xdr:col>19</xdr:col>
          <xdr:colOff>0</xdr:colOff>
          <xdr:row>21</xdr:row>
          <xdr:rowOff>0</xdr:rowOff>
        </xdr:to>
        <xdr:sp macro="" textlink="">
          <xdr:nvSpPr>
            <xdr:cNvPr id="1088" name="ComboBox19" hidden="1">
              <a:extLst>
                <a:ext uri="{63B3BB69-23CF-44E3-9099-C40C66FF867C}">
                  <a14:compatExt spid="_x0000_s1088"/>
                </a:ext>
                <a:ext uri="{FF2B5EF4-FFF2-40B4-BE49-F238E27FC236}">
                  <a16:creationId xmlns="" xmlns:a16="http://schemas.microsoft.com/office/drawing/2014/main" id="{00000000-0008-0000-0000-00004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21</xdr:row>
          <xdr:rowOff>0</xdr:rowOff>
        </xdr:from>
        <xdr:to>
          <xdr:col>19</xdr:col>
          <xdr:colOff>0</xdr:colOff>
          <xdr:row>22</xdr:row>
          <xdr:rowOff>0</xdr:rowOff>
        </xdr:to>
        <xdr:sp macro="" textlink="">
          <xdr:nvSpPr>
            <xdr:cNvPr id="1089" name="ComboBox20" hidden="1">
              <a:extLst>
                <a:ext uri="{63B3BB69-23CF-44E3-9099-C40C66FF867C}">
                  <a14:compatExt spid="_x0000_s1089"/>
                </a:ext>
                <a:ext uri="{FF2B5EF4-FFF2-40B4-BE49-F238E27FC236}">
                  <a16:creationId xmlns="" xmlns:a16="http://schemas.microsoft.com/office/drawing/2014/main" id="{00000000-0008-0000-0000-00004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22</xdr:row>
          <xdr:rowOff>0</xdr:rowOff>
        </xdr:from>
        <xdr:to>
          <xdr:col>19</xdr:col>
          <xdr:colOff>0</xdr:colOff>
          <xdr:row>23</xdr:row>
          <xdr:rowOff>0</xdr:rowOff>
        </xdr:to>
        <xdr:sp macro="" textlink="">
          <xdr:nvSpPr>
            <xdr:cNvPr id="1090" name="ComboBox21" hidden="1">
              <a:extLst>
                <a:ext uri="{63B3BB69-23CF-44E3-9099-C40C66FF867C}">
                  <a14:compatExt spid="_x0000_s1090"/>
                </a:ext>
                <a:ext uri="{FF2B5EF4-FFF2-40B4-BE49-F238E27FC236}">
                  <a16:creationId xmlns=""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23</xdr:row>
          <xdr:rowOff>0</xdr:rowOff>
        </xdr:from>
        <xdr:to>
          <xdr:col>19</xdr:col>
          <xdr:colOff>0</xdr:colOff>
          <xdr:row>24</xdr:row>
          <xdr:rowOff>0</xdr:rowOff>
        </xdr:to>
        <xdr:sp macro="" textlink="">
          <xdr:nvSpPr>
            <xdr:cNvPr id="1091" name="ComboBox22" hidden="1">
              <a:extLst>
                <a:ext uri="{63B3BB69-23CF-44E3-9099-C40C66FF867C}">
                  <a14:compatExt spid="_x0000_s1091"/>
                </a:ext>
                <a:ext uri="{FF2B5EF4-FFF2-40B4-BE49-F238E27FC236}">
                  <a16:creationId xmlns="" xmlns:a16="http://schemas.microsoft.com/office/drawing/2014/main" id="{00000000-0008-0000-0000-00004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24</xdr:row>
          <xdr:rowOff>0</xdr:rowOff>
        </xdr:from>
        <xdr:to>
          <xdr:col>19</xdr:col>
          <xdr:colOff>0</xdr:colOff>
          <xdr:row>25</xdr:row>
          <xdr:rowOff>0</xdr:rowOff>
        </xdr:to>
        <xdr:sp macro="" textlink="">
          <xdr:nvSpPr>
            <xdr:cNvPr id="1092" name="ComboBox23" hidden="1">
              <a:extLst>
                <a:ext uri="{63B3BB69-23CF-44E3-9099-C40C66FF867C}">
                  <a14:compatExt spid="_x0000_s1092"/>
                </a:ext>
                <a:ext uri="{FF2B5EF4-FFF2-40B4-BE49-F238E27FC236}">
                  <a16:creationId xmlns="" xmlns:a16="http://schemas.microsoft.com/office/drawing/2014/main" id="{00000000-0008-0000-0000-00004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25</xdr:row>
          <xdr:rowOff>0</xdr:rowOff>
        </xdr:from>
        <xdr:to>
          <xdr:col>19</xdr:col>
          <xdr:colOff>0</xdr:colOff>
          <xdr:row>26</xdr:row>
          <xdr:rowOff>0</xdr:rowOff>
        </xdr:to>
        <xdr:sp macro="" textlink="">
          <xdr:nvSpPr>
            <xdr:cNvPr id="1093" name="ComboBox24" hidden="1">
              <a:extLst>
                <a:ext uri="{63B3BB69-23CF-44E3-9099-C40C66FF867C}">
                  <a14:compatExt spid="_x0000_s1093"/>
                </a:ext>
                <a:ext uri="{FF2B5EF4-FFF2-40B4-BE49-F238E27FC236}">
                  <a16:creationId xmlns="" xmlns:a16="http://schemas.microsoft.com/office/drawing/2014/main" id="{00000000-0008-0000-00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26</xdr:row>
          <xdr:rowOff>0</xdr:rowOff>
        </xdr:from>
        <xdr:to>
          <xdr:col>19</xdr:col>
          <xdr:colOff>0</xdr:colOff>
          <xdr:row>27</xdr:row>
          <xdr:rowOff>0</xdr:rowOff>
        </xdr:to>
        <xdr:sp macro="" textlink="">
          <xdr:nvSpPr>
            <xdr:cNvPr id="1094" name="ComboBox25" hidden="1">
              <a:extLst>
                <a:ext uri="{63B3BB69-23CF-44E3-9099-C40C66FF867C}">
                  <a14:compatExt spid="_x0000_s1094"/>
                </a:ext>
                <a:ext uri="{FF2B5EF4-FFF2-40B4-BE49-F238E27FC236}">
                  <a16:creationId xmlns="" xmlns:a16="http://schemas.microsoft.com/office/drawing/2014/main" id="{00000000-0008-0000-0000-00004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27</xdr:row>
          <xdr:rowOff>0</xdr:rowOff>
        </xdr:from>
        <xdr:to>
          <xdr:col>19</xdr:col>
          <xdr:colOff>0</xdr:colOff>
          <xdr:row>28</xdr:row>
          <xdr:rowOff>0</xdr:rowOff>
        </xdr:to>
        <xdr:sp macro="" textlink="">
          <xdr:nvSpPr>
            <xdr:cNvPr id="1095" name="ComboBox26" hidden="1">
              <a:extLst>
                <a:ext uri="{63B3BB69-23CF-44E3-9099-C40C66FF867C}">
                  <a14:compatExt spid="_x0000_s1095"/>
                </a:ext>
                <a:ext uri="{FF2B5EF4-FFF2-40B4-BE49-F238E27FC236}">
                  <a16:creationId xmlns="" xmlns:a16="http://schemas.microsoft.com/office/drawing/2014/main" id="{00000000-0008-0000-0000-00004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28</xdr:row>
          <xdr:rowOff>0</xdr:rowOff>
        </xdr:from>
        <xdr:to>
          <xdr:col>19</xdr:col>
          <xdr:colOff>0</xdr:colOff>
          <xdr:row>29</xdr:row>
          <xdr:rowOff>0</xdr:rowOff>
        </xdr:to>
        <xdr:sp macro="" textlink="">
          <xdr:nvSpPr>
            <xdr:cNvPr id="1096" name="ComboBox27" hidden="1">
              <a:extLst>
                <a:ext uri="{63B3BB69-23CF-44E3-9099-C40C66FF867C}">
                  <a14:compatExt spid="_x0000_s1096"/>
                </a:ext>
                <a:ext uri="{FF2B5EF4-FFF2-40B4-BE49-F238E27FC236}">
                  <a16:creationId xmlns="" xmlns:a16="http://schemas.microsoft.com/office/drawing/2014/main" id="{00000000-0008-0000-0000-00004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29</xdr:row>
          <xdr:rowOff>0</xdr:rowOff>
        </xdr:from>
        <xdr:to>
          <xdr:col>19</xdr:col>
          <xdr:colOff>0</xdr:colOff>
          <xdr:row>30</xdr:row>
          <xdr:rowOff>0</xdr:rowOff>
        </xdr:to>
        <xdr:sp macro="" textlink="">
          <xdr:nvSpPr>
            <xdr:cNvPr id="1097" name="ComboBox28" hidden="1">
              <a:extLst>
                <a:ext uri="{63B3BB69-23CF-44E3-9099-C40C66FF867C}">
                  <a14:compatExt spid="_x0000_s1097"/>
                </a:ext>
                <a:ext uri="{FF2B5EF4-FFF2-40B4-BE49-F238E27FC236}">
                  <a16:creationId xmlns="" xmlns:a16="http://schemas.microsoft.com/office/drawing/2014/main" id="{00000000-0008-0000-0000-00004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30</xdr:row>
          <xdr:rowOff>0</xdr:rowOff>
        </xdr:from>
        <xdr:to>
          <xdr:col>19</xdr:col>
          <xdr:colOff>0</xdr:colOff>
          <xdr:row>31</xdr:row>
          <xdr:rowOff>0</xdr:rowOff>
        </xdr:to>
        <xdr:sp macro="" textlink="">
          <xdr:nvSpPr>
            <xdr:cNvPr id="1098" name="ComboBox29" hidden="1">
              <a:extLst>
                <a:ext uri="{63B3BB69-23CF-44E3-9099-C40C66FF867C}">
                  <a14:compatExt spid="_x0000_s1098"/>
                </a:ext>
                <a:ext uri="{FF2B5EF4-FFF2-40B4-BE49-F238E27FC236}">
                  <a16:creationId xmlns="" xmlns:a16="http://schemas.microsoft.com/office/drawing/2014/main" id="{00000000-0008-0000-0000-00004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31</xdr:row>
          <xdr:rowOff>0</xdr:rowOff>
        </xdr:from>
        <xdr:to>
          <xdr:col>19</xdr:col>
          <xdr:colOff>0</xdr:colOff>
          <xdr:row>32</xdr:row>
          <xdr:rowOff>0</xdr:rowOff>
        </xdr:to>
        <xdr:sp macro="" textlink="">
          <xdr:nvSpPr>
            <xdr:cNvPr id="1099" name="ComboBox30" hidden="1">
              <a:extLst>
                <a:ext uri="{63B3BB69-23CF-44E3-9099-C40C66FF867C}">
                  <a14:compatExt spid="_x0000_s1099"/>
                </a:ext>
                <a:ext uri="{FF2B5EF4-FFF2-40B4-BE49-F238E27FC236}">
                  <a16:creationId xmlns="" xmlns:a16="http://schemas.microsoft.com/office/drawing/2014/main" id="{00000000-0008-0000-0000-00004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32</xdr:row>
          <xdr:rowOff>0</xdr:rowOff>
        </xdr:from>
        <xdr:to>
          <xdr:col>19</xdr:col>
          <xdr:colOff>0</xdr:colOff>
          <xdr:row>33</xdr:row>
          <xdr:rowOff>0</xdr:rowOff>
        </xdr:to>
        <xdr:sp macro="" textlink="">
          <xdr:nvSpPr>
            <xdr:cNvPr id="1101" name="ComboBox31" hidden="1">
              <a:extLst>
                <a:ext uri="{63B3BB69-23CF-44E3-9099-C40C66FF867C}">
                  <a14:compatExt spid="_x0000_s1101"/>
                </a:ext>
                <a:ext uri="{FF2B5EF4-FFF2-40B4-BE49-F238E27FC236}">
                  <a16:creationId xmlns="" xmlns:a16="http://schemas.microsoft.com/office/drawing/2014/main" id="{00000000-0008-0000-0000-00004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33</xdr:row>
          <xdr:rowOff>0</xdr:rowOff>
        </xdr:from>
        <xdr:to>
          <xdr:col>19</xdr:col>
          <xdr:colOff>0</xdr:colOff>
          <xdr:row>34</xdr:row>
          <xdr:rowOff>0</xdr:rowOff>
        </xdr:to>
        <xdr:sp macro="" textlink="">
          <xdr:nvSpPr>
            <xdr:cNvPr id="1102" name="ComboBox32" hidden="1">
              <a:extLst>
                <a:ext uri="{63B3BB69-23CF-44E3-9099-C40C66FF867C}">
                  <a14:compatExt spid="_x0000_s1102"/>
                </a:ext>
                <a:ext uri="{FF2B5EF4-FFF2-40B4-BE49-F238E27FC236}">
                  <a16:creationId xmlns="" xmlns:a16="http://schemas.microsoft.com/office/drawing/2014/main" id="{00000000-0008-0000-0000-00004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34</xdr:row>
          <xdr:rowOff>0</xdr:rowOff>
        </xdr:from>
        <xdr:to>
          <xdr:col>19</xdr:col>
          <xdr:colOff>0</xdr:colOff>
          <xdr:row>35</xdr:row>
          <xdr:rowOff>0</xdr:rowOff>
        </xdr:to>
        <xdr:sp macro="" textlink="">
          <xdr:nvSpPr>
            <xdr:cNvPr id="1103" name="ComboBox33" hidden="1">
              <a:extLst>
                <a:ext uri="{63B3BB69-23CF-44E3-9099-C40C66FF867C}">
                  <a14:compatExt spid="_x0000_s1103"/>
                </a:ext>
                <a:ext uri="{FF2B5EF4-FFF2-40B4-BE49-F238E27FC236}">
                  <a16:creationId xmlns="" xmlns:a16="http://schemas.microsoft.com/office/drawing/2014/main" id="{00000000-0008-0000-0000-00004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35</xdr:row>
          <xdr:rowOff>0</xdr:rowOff>
        </xdr:from>
        <xdr:to>
          <xdr:col>19</xdr:col>
          <xdr:colOff>0</xdr:colOff>
          <xdr:row>36</xdr:row>
          <xdr:rowOff>0</xdr:rowOff>
        </xdr:to>
        <xdr:sp macro="" textlink="">
          <xdr:nvSpPr>
            <xdr:cNvPr id="1104" name="ComboBox34" hidden="1">
              <a:extLst>
                <a:ext uri="{63B3BB69-23CF-44E3-9099-C40C66FF867C}">
                  <a14:compatExt spid="_x0000_s1104"/>
                </a:ext>
                <a:ext uri="{FF2B5EF4-FFF2-40B4-BE49-F238E27FC236}">
                  <a16:creationId xmlns="" xmlns:a16="http://schemas.microsoft.com/office/drawing/2014/main" id="{00000000-0008-0000-0000-00005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36</xdr:row>
          <xdr:rowOff>0</xdr:rowOff>
        </xdr:from>
        <xdr:to>
          <xdr:col>19</xdr:col>
          <xdr:colOff>0</xdr:colOff>
          <xdr:row>37</xdr:row>
          <xdr:rowOff>0</xdr:rowOff>
        </xdr:to>
        <xdr:sp macro="" textlink="">
          <xdr:nvSpPr>
            <xdr:cNvPr id="1105" name="ComboBox35" hidden="1">
              <a:extLst>
                <a:ext uri="{63B3BB69-23CF-44E3-9099-C40C66FF867C}">
                  <a14:compatExt spid="_x0000_s1105"/>
                </a:ext>
                <a:ext uri="{FF2B5EF4-FFF2-40B4-BE49-F238E27FC236}">
                  <a16:creationId xmlns="" xmlns:a16="http://schemas.microsoft.com/office/drawing/2014/main" id="{00000000-0008-0000-0000-00005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37</xdr:row>
          <xdr:rowOff>0</xdr:rowOff>
        </xdr:from>
        <xdr:to>
          <xdr:col>19</xdr:col>
          <xdr:colOff>0</xdr:colOff>
          <xdr:row>38</xdr:row>
          <xdr:rowOff>0</xdr:rowOff>
        </xdr:to>
        <xdr:sp macro="" textlink="">
          <xdr:nvSpPr>
            <xdr:cNvPr id="1106" name="ComboBox36" hidden="1">
              <a:extLst>
                <a:ext uri="{63B3BB69-23CF-44E3-9099-C40C66FF867C}">
                  <a14:compatExt spid="_x0000_s1106"/>
                </a:ext>
                <a:ext uri="{FF2B5EF4-FFF2-40B4-BE49-F238E27FC236}">
                  <a16:creationId xmlns="" xmlns:a16="http://schemas.microsoft.com/office/drawing/2014/main" id="{00000000-0008-0000-0000-00005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38</xdr:row>
          <xdr:rowOff>0</xdr:rowOff>
        </xdr:from>
        <xdr:to>
          <xdr:col>19</xdr:col>
          <xdr:colOff>0</xdr:colOff>
          <xdr:row>39</xdr:row>
          <xdr:rowOff>0</xdr:rowOff>
        </xdr:to>
        <xdr:sp macro="" textlink="">
          <xdr:nvSpPr>
            <xdr:cNvPr id="1107" name="ComboBox37" hidden="1">
              <a:extLst>
                <a:ext uri="{63B3BB69-23CF-44E3-9099-C40C66FF867C}">
                  <a14:compatExt spid="_x0000_s1107"/>
                </a:ext>
                <a:ext uri="{FF2B5EF4-FFF2-40B4-BE49-F238E27FC236}">
                  <a16:creationId xmlns="" xmlns:a16="http://schemas.microsoft.com/office/drawing/2014/main" id="{00000000-0008-0000-0000-00005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39</xdr:row>
          <xdr:rowOff>0</xdr:rowOff>
        </xdr:from>
        <xdr:to>
          <xdr:col>19</xdr:col>
          <xdr:colOff>0</xdr:colOff>
          <xdr:row>40</xdr:row>
          <xdr:rowOff>0</xdr:rowOff>
        </xdr:to>
        <xdr:sp macro="" textlink="">
          <xdr:nvSpPr>
            <xdr:cNvPr id="1108" name="ComboBox38" hidden="1">
              <a:extLst>
                <a:ext uri="{63B3BB69-23CF-44E3-9099-C40C66FF867C}">
                  <a14:compatExt spid="_x0000_s1108"/>
                </a:ext>
                <a:ext uri="{FF2B5EF4-FFF2-40B4-BE49-F238E27FC236}">
                  <a16:creationId xmlns="" xmlns:a16="http://schemas.microsoft.com/office/drawing/2014/main" id="{00000000-0008-0000-0000-00005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40</xdr:row>
          <xdr:rowOff>0</xdr:rowOff>
        </xdr:from>
        <xdr:to>
          <xdr:col>19</xdr:col>
          <xdr:colOff>0</xdr:colOff>
          <xdr:row>41</xdr:row>
          <xdr:rowOff>0</xdr:rowOff>
        </xdr:to>
        <xdr:sp macro="" textlink="">
          <xdr:nvSpPr>
            <xdr:cNvPr id="1109" name="ComboBox39" hidden="1">
              <a:extLst>
                <a:ext uri="{63B3BB69-23CF-44E3-9099-C40C66FF867C}">
                  <a14:compatExt spid="_x0000_s1109"/>
                </a:ext>
                <a:ext uri="{FF2B5EF4-FFF2-40B4-BE49-F238E27FC236}">
                  <a16:creationId xmlns="" xmlns:a16="http://schemas.microsoft.com/office/drawing/2014/main" id="{00000000-0008-0000-00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41</xdr:row>
          <xdr:rowOff>0</xdr:rowOff>
        </xdr:from>
        <xdr:to>
          <xdr:col>19</xdr:col>
          <xdr:colOff>0</xdr:colOff>
          <xdr:row>42</xdr:row>
          <xdr:rowOff>0</xdr:rowOff>
        </xdr:to>
        <xdr:sp macro="" textlink="">
          <xdr:nvSpPr>
            <xdr:cNvPr id="1121" name="ComboBox40" hidden="1">
              <a:extLst>
                <a:ext uri="{63B3BB69-23CF-44E3-9099-C40C66FF867C}">
                  <a14:compatExt spid="_x0000_s1121"/>
                </a:ext>
                <a:ext uri="{FF2B5EF4-FFF2-40B4-BE49-F238E27FC236}">
                  <a16:creationId xmlns=""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42</xdr:row>
          <xdr:rowOff>0</xdr:rowOff>
        </xdr:from>
        <xdr:to>
          <xdr:col>19</xdr:col>
          <xdr:colOff>0</xdr:colOff>
          <xdr:row>43</xdr:row>
          <xdr:rowOff>0</xdr:rowOff>
        </xdr:to>
        <xdr:sp macro="" textlink="">
          <xdr:nvSpPr>
            <xdr:cNvPr id="1178" name="ComboBox43" hidden="1">
              <a:extLst>
                <a:ext uri="{63B3BB69-23CF-44E3-9099-C40C66FF867C}">
                  <a14:compatExt spid="_x0000_s1178"/>
                </a:ext>
                <a:ext uri="{FF2B5EF4-FFF2-40B4-BE49-F238E27FC236}">
                  <a16:creationId xmlns="" xmlns:a16="http://schemas.microsoft.com/office/drawing/2014/main" id="{00000000-0008-0000-0000-00009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43</xdr:row>
          <xdr:rowOff>0</xdr:rowOff>
        </xdr:from>
        <xdr:to>
          <xdr:col>19</xdr:col>
          <xdr:colOff>0</xdr:colOff>
          <xdr:row>44</xdr:row>
          <xdr:rowOff>0</xdr:rowOff>
        </xdr:to>
        <xdr:sp macro="" textlink="">
          <xdr:nvSpPr>
            <xdr:cNvPr id="1179" name="ComboBox44" hidden="1">
              <a:extLst>
                <a:ext uri="{63B3BB69-23CF-44E3-9099-C40C66FF867C}">
                  <a14:compatExt spid="_x0000_s1179"/>
                </a:ext>
                <a:ext uri="{FF2B5EF4-FFF2-40B4-BE49-F238E27FC236}">
                  <a16:creationId xmlns="" xmlns:a16="http://schemas.microsoft.com/office/drawing/2014/main" id="{00000000-0008-0000-0000-00009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44</xdr:row>
          <xdr:rowOff>0</xdr:rowOff>
        </xdr:from>
        <xdr:to>
          <xdr:col>19</xdr:col>
          <xdr:colOff>0</xdr:colOff>
          <xdr:row>45</xdr:row>
          <xdr:rowOff>0</xdr:rowOff>
        </xdr:to>
        <xdr:sp macro="" textlink="">
          <xdr:nvSpPr>
            <xdr:cNvPr id="1180" name="ComboBox45" hidden="1">
              <a:extLst>
                <a:ext uri="{63B3BB69-23CF-44E3-9099-C40C66FF867C}">
                  <a14:compatExt spid="_x0000_s1180"/>
                </a:ext>
                <a:ext uri="{FF2B5EF4-FFF2-40B4-BE49-F238E27FC236}">
                  <a16:creationId xmlns="" xmlns:a16="http://schemas.microsoft.com/office/drawing/2014/main" id="{00000000-0008-0000-0000-00009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45</xdr:row>
          <xdr:rowOff>0</xdr:rowOff>
        </xdr:from>
        <xdr:to>
          <xdr:col>19</xdr:col>
          <xdr:colOff>0</xdr:colOff>
          <xdr:row>46</xdr:row>
          <xdr:rowOff>0</xdr:rowOff>
        </xdr:to>
        <xdr:sp macro="" textlink="">
          <xdr:nvSpPr>
            <xdr:cNvPr id="1181" name="ComboBox46" hidden="1">
              <a:extLst>
                <a:ext uri="{63B3BB69-23CF-44E3-9099-C40C66FF867C}">
                  <a14:compatExt spid="_x0000_s1181"/>
                </a:ext>
                <a:ext uri="{FF2B5EF4-FFF2-40B4-BE49-F238E27FC236}">
                  <a16:creationId xmlns="" xmlns:a16="http://schemas.microsoft.com/office/drawing/2014/main" id="{00000000-0008-0000-0000-00009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46</xdr:row>
          <xdr:rowOff>0</xdr:rowOff>
        </xdr:from>
        <xdr:to>
          <xdr:col>19</xdr:col>
          <xdr:colOff>0</xdr:colOff>
          <xdr:row>47</xdr:row>
          <xdr:rowOff>0</xdr:rowOff>
        </xdr:to>
        <xdr:sp macro="" textlink="">
          <xdr:nvSpPr>
            <xdr:cNvPr id="1182" name="ComboBox47" hidden="1">
              <a:extLst>
                <a:ext uri="{63B3BB69-23CF-44E3-9099-C40C66FF867C}">
                  <a14:compatExt spid="_x0000_s1182"/>
                </a:ext>
                <a:ext uri="{FF2B5EF4-FFF2-40B4-BE49-F238E27FC236}">
                  <a16:creationId xmlns="" xmlns:a16="http://schemas.microsoft.com/office/drawing/2014/main" id="{00000000-0008-0000-0000-00009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47</xdr:row>
          <xdr:rowOff>0</xdr:rowOff>
        </xdr:from>
        <xdr:to>
          <xdr:col>19</xdr:col>
          <xdr:colOff>0</xdr:colOff>
          <xdr:row>48</xdr:row>
          <xdr:rowOff>0</xdr:rowOff>
        </xdr:to>
        <xdr:sp macro="" textlink="">
          <xdr:nvSpPr>
            <xdr:cNvPr id="1183" name="ComboBox48" hidden="1">
              <a:extLst>
                <a:ext uri="{63B3BB69-23CF-44E3-9099-C40C66FF867C}">
                  <a14:compatExt spid="_x0000_s1183"/>
                </a:ext>
                <a:ext uri="{FF2B5EF4-FFF2-40B4-BE49-F238E27FC236}">
                  <a16:creationId xmlns="" xmlns:a16="http://schemas.microsoft.com/office/drawing/2014/main" id="{00000000-0008-0000-0000-00009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48</xdr:row>
          <xdr:rowOff>0</xdr:rowOff>
        </xdr:from>
        <xdr:to>
          <xdr:col>19</xdr:col>
          <xdr:colOff>0</xdr:colOff>
          <xdr:row>49</xdr:row>
          <xdr:rowOff>0</xdr:rowOff>
        </xdr:to>
        <xdr:sp macro="" textlink="">
          <xdr:nvSpPr>
            <xdr:cNvPr id="1184" name="ComboBox49" hidden="1">
              <a:extLst>
                <a:ext uri="{63B3BB69-23CF-44E3-9099-C40C66FF867C}">
                  <a14:compatExt spid="_x0000_s1184"/>
                </a:ext>
                <a:ext uri="{FF2B5EF4-FFF2-40B4-BE49-F238E27FC236}">
                  <a16:creationId xmlns="" xmlns:a16="http://schemas.microsoft.com/office/drawing/2014/main" id="{00000000-0008-0000-0000-0000A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49</xdr:row>
          <xdr:rowOff>0</xdr:rowOff>
        </xdr:from>
        <xdr:to>
          <xdr:col>19</xdr:col>
          <xdr:colOff>0</xdr:colOff>
          <xdr:row>50</xdr:row>
          <xdr:rowOff>0</xdr:rowOff>
        </xdr:to>
        <xdr:sp macro="" textlink="">
          <xdr:nvSpPr>
            <xdr:cNvPr id="1185" name="ComboBox50" hidden="1">
              <a:extLst>
                <a:ext uri="{63B3BB69-23CF-44E3-9099-C40C66FF867C}">
                  <a14:compatExt spid="_x0000_s1185"/>
                </a:ext>
                <a:ext uri="{FF2B5EF4-FFF2-40B4-BE49-F238E27FC236}">
                  <a16:creationId xmlns="" xmlns:a16="http://schemas.microsoft.com/office/drawing/2014/main" id="{00000000-0008-0000-0000-0000A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19</xdr:col>
          <xdr:colOff>0</xdr:colOff>
          <xdr:row>51</xdr:row>
          <xdr:rowOff>0</xdr:rowOff>
        </xdr:to>
        <xdr:sp macro="" textlink="">
          <xdr:nvSpPr>
            <xdr:cNvPr id="1186" name="ComboBox51" hidden="1">
              <a:extLst>
                <a:ext uri="{63B3BB69-23CF-44E3-9099-C40C66FF867C}">
                  <a14:compatExt spid="_x0000_s1186"/>
                </a:ext>
                <a:ext uri="{FF2B5EF4-FFF2-40B4-BE49-F238E27FC236}">
                  <a16:creationId xmlns="" xmlns:a16="http://schemas.microsoft.com/office/drawing/2014/main" id="{00000000-0008-0000-0000-0000A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51</xdr:row>
          <xdr:rowOff>0</xdr:rowOff>
        </xdr:from>
        <xdr:to>
          <xdr:col>19</xdr:col>
          <xdr:colOff>0</xdr:colOff>
          <xdr:row>52</xdr:row>
          <xdr:rowOff>0</xdr:rowOff>
        </xdr:to>
        <xdr:sp macro="" textlink="">
          <xdr:nvSpPr>
            <xdr:cNvPr id="1187" name="ComboBox52" hidden="1">
              <a:extLst>
                <a:ext uri="{63B3BB69-23CF-44E3-9099-C40C66FF867C}">
                  <a14:compatExt spid="_x0000_s1187"/>
                </a:ext>
                <a:ext uri="{FF2B5EF4-FFF2-40B4-BE49-F238E27FC236}">
                  <a16:creationId xmlns="" xmlns:a16="http://schemas.microsoft.com/office/drawing/2014/main" id="{00000000-0008-0000-0000-0000A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52</xdr:row>
          <xdr:rowOff>0</xdr:rowOff>
        </xdr:from>
        <xdr:to>
          <xdr:col>19</xdr:col>
          <xdr:colOff>0</xdr:colOff>
          <xdr:row>53</xdr:row>
          <xdr:rowOff>0</xdr:rowOff>
        </xdr:to>
        <xdr:sp macro="" textlink="">
          <xdr:nvSpPr>
            <xdr:cNvPr id="1188" name="ComboBox53" hidden="1">
              <a:extLst>
                <a:ext uri="{63B3BB69-23CF-44E3-9099-C40C66FF867C}">
                  <a14:compatExt spid="_x0000_s1188"/>
                </a:ext>
                <a:ext uri="{FF2B5EF4-FFF2-40B4-BE49-F238E27FC236}">
                  <a16:creationId xmlns="" xmlns:a16="http://schemas.microsoft.com/office/drawing/2014/main" id="{00000000-0008-0000-0000-0000A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53</xdr:row>
          <xdr:rowOff>0</xdr:rowOff>
        </xdr:from>
        <xdr:to>
          <xdr:col>19</xdr:col>
          <xdr:colOff>0</xdr:colOff>
          <xdr:row>54</xdr:row>
          <xdr:rowOff>0</xdr:rowOff>
        </xdr:to>
        <xdr:sp macro="" textlink="">
          <xdr:nvSpPr>
            <xdr:cNvPr id="1189" name="ComboBox54" hidden="1">
              <a:extLst>
                <a:ext uri="{63B3BB69-23CF-44E3-9099-C40C66FF867C}">
                  <a14:compatExt spid="_x0000_s1189"/>
                </a:ext>
                <a:ext uri="{FF2B5EF4-FFF2-40B4-BE49-F238E27FC236}">
                  <a16:creationId xmlns="" xmlns:a16="http://schemas.microsoft.com/office/drawing/2014/main" id="{00000000-0008-0000-0000-0000A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54</xdr:row>
          <xdr:rowOff>0</xdr:rowOff>
        </xdr:from>
        <xdr:to>
          <xdr:col>19</xdr:col>
          <xdr:colOff>0</xdr:colOff>
          <xdr:row>55</xdr:row>
          <xdr:rowOff>9525</xdr:rowOff>
        </xdr:to>
        <xdr:sp macro="" textlink="">
          <xdr:nvSpPr>
            <xdr:cNvPr id="1190" name="ComboBox55" hidden="1">
              <a:extLst>
                <a:ext uri="{63B3BB69-23CF-44E3-9099-C40C66FF867C}">
                  <a14:compatExt spid="_x0000_s1190"/>
                </a:ext>
                <a:ext uri="{FF2B5EF4-FFF2-40B4-BE49-F238E27FC236}">
                  <a16:creationId xmlns="" xmlns:a16="http://schemas.microsoft.com/office/drawing/2014/main" id="{00000000-0008-0000-0000-0000A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55</xdr:row>
          <xdr:rowOff>0</xdr:rowOff>
        </xdr:from>
        <xdr:to>
          <xdr:col>19</xdr:col>
          <xdr:colOff>0</xdr:colOff>
          <xdr:row>56</xdr:row>
          <xdr:rowOff>0</xdr:rowOff>
        </xdr:to>
        <xdr:sp macro="" textlink="">
          <xdr:nvSpPr>
            <xdr:cNvPr id="1191" name="ComboBox56" hidden="1">
              <a:extLst>
                <a:ext uri="{63B3BB69-23CF-44E3-9099-C40C66FF867C}">
                  <a14:compatExt spid="_x0000_s1191"/>
                </a:ext>
                <a:ext uri="{FF2B5EF4-FFF2-40B4-BE49-F238E27FC236}">
                  <a16:creationId xmlns="" xmlns:a16="http://schemas.microsoft.com/office/drawing/2014/main" id="{00000000-0008-0000-0000-0000A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56</xdr:row>
          <xdr:rowOff>0</xdr:rowOff>
        </xdr:from>
        <xdr:to>
          <xdr:col>19</xdr:col>
          <xdr:colOff>0</xdr:colOff>
          <xdr:row>57</xdr:row>
          <xdr:rowOff>9525</xdr:rowOff>
        </xdr:to>
        <xdr:sp macro="" textlink="">
          <xdr:nvSpPr>
            <xdr:cNvPr id="1192" name="ComboBox57" hidden="1">
              <a:extLst>
                <a:ext uri="{63B3BB69-23CF-44E3-9099-C40C66FF867C}">
                  <a14:compatExt spid="_x0000_s1192"/>
                </a:ext>
                <a:ext uri="{FF2B5EF4-FFF2-40B4-BE49-F238E27FC236}">
                  <a16:creationId xmlns="" xmlns:a16="http://schemas.microsoft.com/office/drawing/2014/main" id="{00000000-0008-0000-0000-0000A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57</xdr:row>
          <xdr:rowOff>0</xdr:rowOff>
        </xdr:from>
        <xdr:to>
          <xdr:col>19</xdr:col>
          <xdr:colOff>0</xdr:colOff>
          <xdr:row>58</xdr:row>
          <xdr:rowOff>9525</xdr:rowOff>
        </xdr:to>
        <xdr:sp macro="" textlink="">
          <xdr:nvSpPr>
            <xdr:cNvPr id="1193" name="ComboBox58" hidden="1">
              <a:extLst>
                <a:ext uri="{63B3BB69-23CF-44E3-9099-C40C66FF867C}">
                  <a14:compatExt spid="_x0000_s1193"/>
                </a:ext>
                <a:ext uri="{FF2B5EF4-FFF2-40B4-BE49-F238E27FC236}">
                  <a16:creationId xmlns="" xmlns:a16="http://schemas.microsoft.com/office/drawing/2014/main" id="{00000000-0008-0000-0000-0000A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58</xdr:row>
          <xdr:rowOff>0</xdr:rowOff>
        </xdr:from>
        <xdr:to>
          <xdr:col>19</xdr:col>
          <xdr:colOff>0</xdr:colOff>
          <xdr:row>59</xdr:row>
          <xdr:rowOff>0</xdr:rowOff>
        </xdr:to>
        <xdr:sp macro="" textlink="">
          <xdr:nvSpPr>
            <xdr:cNvPr id="1194" name="ComboBox59" hidden="1">
              <a:extLst>
                <a:ext uri="{63B3BB69-23CF-44E3-9099-C40C66FF867C}">
                  <a14:compatExt spid="_x0000_s1194"/>
                </a:ext>
                <a:ext uri="{FF2B5EF4-FFF2-40B4-BE49-F238E27FC236}">
                  <a16:creationId xmlns="" xmlns:a16="http://schemas.microsoft.com/office/drawing/2014/main" id="{00000000-0008-0000-0000-0000A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59</xdr:row>
          <xdr:rowOff>0</xdr:rowOff>
        </xdr:from>
        <xdr:to>
          <xdr:col>19</xdr:col>
          <xdr:colOff>0</xdr:colOff>
          <xdr:row>60</xdr:row>
          <xdr:rowOff>0</xdr:rowOff>
        </xdr:to>
        <xdr:sp macro="" textlink="">
          <xdr:nvSpPr>
            <xdr:cNvPr id="1195" name="ComboBox60" hidden="1">
              <a:extLst>
                <a:ext uri="{63B3BB69-23CF-44E3-9099-C40C66FF867C}">
                  <a14:compatExt spid="_x0000_s1195"/>
                </a:ext>
                <a:ext uri="{FF2B5EF4-FFF2-40B4-BE49-F238E27FC236}">
                  <a16:creationId xmlns="" xmlns:a16="http://schemas.microsoft.com/office/drawing/2014/main" id="{00000000-0008-0000-0000-0000A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60</xdr:row>
          <xdr:rowOff>0</xdr:rowOff>
        </xdr:from>
        <xdr:to>
          <xdr:col>19</xdr:col>
          <xdr:colOff>0</xdr:colOff>
          <xdr:row>61</xdr:row>
          <xdr:rowOff>0</xdr:rowOff>
        </xdr:to>
        <xdr:sp macro="" textlink="">
          <xdr:nvSpPr>
            <xdr:cNvPr id="1196" name="ComboBox61" hidden="1">
              <a:extLst>
                <a:ext uri="{63B3BB69-23CF-44E3-9099-C40C66FF867C}">
                  <a14:compatExt spid="_x0000_s1196"/>
                </a:ext>
                <a:ext uri="{FF2B5EF4-FFF2-40B4-BE49-F238E27FC236}">
                  <a16:creationId xmlns="" xmlns:a16="http://schemas.microsoft.com/office/drawing/2014/main" id="{00000000-0008-0000-0000-0000A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61</xdr:row>
          <xdr:rowOff>0</xdr:rowOff>
        </xdr:from>
        <xdr:to>
          <xdr:col>19</xdr:col>
          <xdr:colOff>0</xdr:colOff>
          <xdr:row>62</xdr:row>
          <xdr:rowOff>0</xdr:rowOff>
        </xdr:to>
        <xdr:sp macro="" textlink="">
          <xdr:nvSpPr>
            <xdr:cNvPr id="1197" name="ComboBox62" hidden="1">
              <a:extLst>
                <a:ext uri="{63B3BB69-23CF-44E3-9099-C40C66FF867C}">
                  <a14:compatExt spid="_x0000_s1197"/>
                </a:ext>
                <a:ext uri="{FF2B5EF4-FFF2-40B4-BE49-F238E27FC236}">
                  <a16:creationId xmlns="" xmlns:a16="http://schemas.microsoft.com/office/drawing/2014/main" id="{00000000-0008-0000-0000-0000A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62</xdr:row>
          <xdr:rowOff>0</xdr:rowOff>
        </xdr:from>
        <xdr:to>
          <xdr:col>19</xdr:col>
          <xdr:colOff>0</xdr:colOff>
          <xdr:row>63</xdr:row>
          <xdr:rowOff>0</xdr:rowOff>
        </xdr:to>
        <xdr:sp macro="" textlink="">
          <xdr:nvSpPr>
            <xdr:cNvPr id="1198" name="ComboBox63" hidden="1">
              <a:extLst>
                <a:ext uri="{63B3BB69-23CF-44E3-9099-C40C66FF867C}">
                  <a14:compatExt spid="_x0000_s1198"/>
                </a:ext>
                <a:ext uri="{FF2B5EF4-FFF2-40B4-BE49-F238E27FC236}">
                  <a16:creationId xmlns="" xmlns:a16="http://schemas.microsoft.com/office/drawing/2014/main" id="{00000000-0008-0000-0000-0000A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63</xdr:row>
          <xdr:rowOff>0</xdr:rowOff>
        </xdr:from>
        <xdr:to>
          <xdr:col>19</xdr:col>
          <xdr:colOff>0</xdr:colOff>
          <xdr:row>64</xdr:row>
          <xdr:rowOff>0</xdr:rowOff>
        </xdr:to>
        <xdr:sp macro="" textlink="">
          <xdr:nvSpPr>
            <xdr:cNvPr id="1199" name="ComboBox64" hidden="1">
              <a:extLst>
                <a:ext uri="{63B3BB69-23CF-44E3-9099-C40C66FF867C}">
                  <a14:compatExt spid="_x0000_s1199"/>
                </a:ext>
                <a:ext uri="{FF2B5EF4-FFF2-40B4-BE49-F238E27FC236}">
                  <a16:creationId xmlns="" xmlns:a16="http://schemas.microsoft.com/office/drawing/2014/main" id="{00000000-0008-0000-0000-0000A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64</xdr:row>
          <xdr:rowOff>0</xdr:rowOff>
        </xdr:from>
        <xdr:to>
          <xdr:col>19</xdr:col>
          <xdr:colOff>0</xdr:colOff>
          <xdr:row>65</xdr:row>
          <xdr:rowOff>0</xdr:rowOff>
        </xdr:to>
        <xdr:sp macro="" textlink="">
          <xdr:nvSpPr>
            <xdr:cNvPr id="1200" name="ComboBox65" hidden="1">
              <a:extLst>
                <a:ext uri="{63B3BB69-23CF-44E3-9099-C40C66FF867C}">
                  <a14:compatExt spid="_x0000_s1200"/>
                </a:ext>
                <a:ext uri="{FF2B5EF4-FFF2-40B4-BE49-F238E27FC236}">
                  <a16:creationId xmlns="" xmlns:a16="http://schemas.microsoft.com/office/drawing/2014/main" id="{00000000-0008-0000-0000-0000B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65</xdr:row>
          <xdr:rowOff>0</xdr:rowOff>
        </xdr:from>
        <xdr:to>
          <xdr:col>19</xdr:col>
          <xdr:colOff>0</xdr:colOff>
          <xdr:row>66</xdr:row>
          <xdr:rowOff>9525</xdr:rowOff>
        </xdr:to>
        <xdr:sp macro="" textlink="">
          <xdr:nvSpPr>
            <xdr:cNvPr id="1201" name="ComboBox66" hidden="1">
              <a:extLst>
                <a:ext uri="{63B3BB69-23CF-44E3-9099-C40C66FF867C}">
                  <a14:compatExt spid="_x0000_s1201"/>
                </a:ext>
                <a:ext uri="{FF2B5EF4-FFF2-40B4-BE49-F238E27FC236}">
                  <a16:creationId xmlns="" xmlns:a16="http://schemas.microsoft.com/office/drawing/2014/main" id="{00000000-0008-0000-0000-0000B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123825</xdr:colOff>
          <xdr:row>66</xdr:row>
          <xdr:rowOff>285750</xdr:rowOff>
        </xdr:from>
        <xdr:to>
          <xdr:col>19</xdr:col>
          <xdr:colOff>9525</xdr:colOff>
          <xdr:row>67</xdr:row>
          <xdr:rowOff>285750</xdr:rowOff>
        </xdr:to>
        <xdr:sp macro="" textlink="">
          <xdr:nvSpPr>
            <xdr:cNvPr id="1202" name="ComboBox67" hidden="1">
              <a:extLst>
                <a:ext uri="{63B3BB69-23CF-44E3-9099-C40C66FF867C}">
                  <a14:compatExt spid="_x0000_s1202"/>
                </a:ext>
                <a:ext uri="{FF2B5EF4-FFF2-40B4-BE49-F238E27FC236}">
                  <a16:creationId xmlns="" xmlns:a16="http://schemas.microsoft.com/office/drawing/2014/main" id="{00000000-0008-0000-0000-0000B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123825</xdr:colOff>
          <xdr:row>67</xdr:row>
          <xdr:rowOff>285750</xdr:rowOff>
        </xdr:from>
        <xdr:to>
          <xdr:col>19</xdr:col>
          <xdr:colOff>9525</xdr:colOff>
          <xdr:row>68</xdr:row>
          <xdr:rowOff>295275</xdr:rowOff>
        </xdr:to>
        <xdr:sp macro="" textlink="">
          <xdr:nvSpPr>
            <xdr:cNvPr id="1203" name="ComboBox68" hidden="1">
              <a:extLst>
                <a:ext uri="{63B3BB69-23CF-44E3-9099-C40C66FF867C}">
                  <a14:compatExt spid="_x0000_s1203"/>
                </a:ext>
                <a:ext uri="{FF2B5EF4-FFF2-40B4-BE49-F238E27FC236}">
                  <a16:creationId xmlns="" xmlns:a16="http://schemas.microsoft.com/office/drawing/2014/main" id="{00000000-0008-0000-0000-0000B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123825</xdr:colOff>
          <xdr:row>68</xdr:row>
          <xdr:rowOff>295275</xdr:rowOff>
        </xdr:from>
        <xdr:to>
          <xdr:col>19</xdr:col>
          <xdr:colOff>9525</xdr:colOff>
          <xdr:row>69</xdr:row>
          <xdr:rowOff>295275</xdr:rowOff>
        </xdr:to>
        <xdr:sp macro="" textlink="">
          <xdr:nvSpPr>
            <xdr:cNvPr id="1204" name="ComboBox69" hidden="1">
              <a:extLst>
                <a:ext uri="{63B3BB69-23CF-44E3-9099-C40C66FF867C}">
                  <a14:compatExt spid="_x0000_s1204"/>
                </a:ext>
                <a:ext uri="{FF2B5EF4-FFF2-40B4-BE49-F238E27FC236}">
                  <a16:creationId xmlns="" xmlns:a16="http://schemas.microsoft.com/office/drawing/2014/main" id="{00000000-0008-0000-0000-0000B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123825</xdr:colOff>
          <xdr:row>69</xdr:row>
          <xdr:rowOff>295275</xdr:rowOff>
        </xdr:from>
        <xdr:to>
          <xdr:col>19</xdr:col>
          <xdr:colOff>9525</xdr:colOff>
          <xdr:row>70</xdr:row>
          <xdr:rowOff>304800</xdr:rowOff>
        </xdr:to>
        <xdr:sp macro="" textlink="">
          <xdr:nvSpPr>
            <xdr:cNvPr id="1205" name="ComboBox70" hidden="1">
              <a:extLst>
                <a:ext uri="{63B3BB69-23CF-44E3-9099-C40C66FF867C}">
                  <a14:compatExt spid="_x0000_s1205"/>
                </a:ext>
                <a:ext uri="{FF2B5EF4-FFF2-40B4-BE49-F238E27FC236}">
                  <a16:creationId xmlns="" xmlns:a16="http://schemas.microsoft.com/office/drawing/2014/main" id="{00000000-0008-0000-0000-0000B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123825</xdr:colOff>
          <xdr:row>70</xdr:row>
          <xdr:rowOff>304800</xdr:rowOff>
        </xdr:from>
        <xdr:to>
          <xdr:col>19</xdr:col>
          <xdr:colOff>9525</xdr:colOff>
          <xdr:row>71</xdr:row>
          <xdr:rowOff>304800</xdr:rowOff>
        </xdr:to>
        <xdr:sp macro="" textlink="">
          <xdr:nvSpPr>
            <xdr:cNvPr id="1206" name="ComboBox71" hidden="1">
              <a:extLst>
                <a:ext uri="{63B3BB69-23CF-44E3-9099-C40C66FF867C}">
                  <a14:compatExt spid="_x0000_s1206"/>
                </a:ext>
                <a:ext uri="{FF2B5EF4-FFF2-40B4-BE49-F238E27FC236}">
                  <a16:creationId xmlns="" xmlns:a16="http://schemas.microsoft.com/office/drawing/2014/main" id="{00000000-0008-0000-0000-0000B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123825</xdr:colOff>
          <xdr:row>71</xdr:row>
          <xdr:rowOff>304800</xdr:rowOff>
        </xdr:from>
        <xdr:to>
          <xdr:col>19</xdr:col>
          <xdr:colOff>9525</xdr:colOff>
          <xdr:row>72</xdr:row>
          <xdr:rowOff>304800</xdr:rowOff>
        </xdr:to>
        <xdr:sp macro="" textlink="">
          <xdr:nvSpPr>
            <xdr:cNvPr id="1207" name="ComboBox72" hidden="1">
              <a:extLst>
                <a:ext uri="{63B3BB69-23CF-44E3-9099-C40C66FF867C}">
                  <a14:compatExt spid="_x0000_s1207"/>
                </a:ext>
                <a:ext uri="{FF2B5EF4-FFF2-40B4-BE49-F238E27FC236}">
                  <a16:creationId xmlns="" xmlns:a16="http://schemas.microsoft.com/office/drawing/2014/main" id="{00000000-0008-0000-0000-0000B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123825</xdr:colOff>
          <xdr:row>72</xdr:row>
          <xdr:rowOff>314325</xdr:rowOff>
        </xdr:from>
        <xdr:to>
          <xdr:col>19</xdr:col>
          <xdr:colOff>9525</xdr:colOff>
          <xdr:row>73</xdr:row>
          <xdr:rowOff>314325</xdr:rowOff>
        </xdr:to>
        <xdr:sp macro="" textlink="">
          <xdr:nvSpPr>
            <xdr:cNvPr id="1208" name="ComboBox73" hidden="1">
              <a:extLst>
                <a:ext uri="{63B3BB69-23CF-44E3-9099-C40C66FF867C}">
                  <a14:compatExt spid="_x0000_s1208"/>
                </a:ext>
                <a:ext uri="{FF2B5EF4-FFF2-40B4-BE49-F238E27FC236}">
                  <a16:creationId xmlns="" xmlns:a16="http://schemas.microsoft.com/office/drawing/2014/main" id="{00000000-0008-0000-0000-0000B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152400</xdr:colOff>
          <xdr:row>73</xdr:row>
          <xdr:rowOff>0</xdr:rowOff>
        </xdr:from>
        <xdr:to>
          <xdr:col>19</xdr:col>
          <xdr:colOff>0</xdr:colOff>
          <xdr:row>74</xdr:row>
          <xdr:rowOff>0</xdr:rowOff>
        </xdr:to>
        <xdr:sp macro="" textlink="">
          <xdr:nvSpPr>
            <xdr:cNvPr id="1209" name="ComboBox74" hidden="1">
              <a:extLst>
                <a:ext uri="{63B3BB69-23CF-44E3-9099-C40C66FF867C}">
                  <a14:compatExt spid="_x0000_s1209"/>
                </a:ext>
                <a:ext uri="{FF2B5EF4-FFF2-40B4-BE49-F238E27FC236}">
                  <a16:creationId xmlns="" xmlns:a16="http://schemas.microsoft.com/office/drawing/2014/main" id="{00000000-0008-0000-0000-0000B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123825</xdr:colOff>
          <xdr:row>74</xdr:row>
          <xdr:rowOff>323850</xdr:rowOff>
        </xdr:from>
        <xdr:to>
          <xdr:col>19</xdr:col>
          <xdr:colOff>9525</xdr:colOff>
          <xdr:row>75</xdr:row>
          <xdr:rowOff>323850</xdr:rowOff>
        </xdr:to>
        <xdr:sp macro="" textlink="">
          <xdr:nvSpPr>
            <xdr:cNvPr id="1210" name="ComboBox75" hidden="1">
              <a:extLst>
                <a:ext uri="{63B3BB69-23CF-44E3-9099-C40C66FF867C}">
                  <a14:compatExt spid="_x0000_s1210"/>
                </a:ext>
                <a:ext uri="{FF2B5EF4-FFF2-40B4-BE49-F238E27FC236}">
                  <a16:creationId xmlns="" xmlns:a16="http://schemas.microsoft.com/office/drawing/2014/main" id="{00000000-0008-0000-0000-0000B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123825</xdr:colOff>
          <xdr:row>75</xdr:row>
          <xdr:rowOff>323850</xdr:rowOff>
        </xdr:from>
        <xdr:to>
          <xdr:col>19</xdr:col>
          <xdr:colOff>9525</xdr:colOff>
          <xdr:row>76</xdr:row>
          <xdr:rowOff>323850</xdr:rowOff>
        </xdr:to>
        <xdr:sp macro="" textlink="">
          <xdr:nvSpPr>
            <xdr:cNvPr id="1211" name="ComboBox76" hidden="1">
              <a:extLst>
                <a:ext uri="{63B3BB69-23CF-44E3-9099-C40C66FF867C}">
                  <a14:compatExt spid="_x0000_s1211"/>
                </a:ext>
                <a:ext uri="{FF2B5EF4-FFF2-40B4-BE49-F238E27FC236}">
                  <a16:creationId xmlns="" xmlns:a16="http://schemas.microsoft.com/office/drawing/2014/main" id="{00000000-0008-0000-0000-0000B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76</xdr:row>
          <xdr:rowOff>0</xdr:rowOff>
        </xdr:from>
        <xdr:to>
          <xdr:col>19</xdr:col>
          <xdr:colOff>0</xdr:colOff>
          <xdr:row>77</xdr:row>
          <xdr:rowOff>0</xdr:rowOff>
        </xdr:to>
        <xdr:sp macro="" textlink="">
          <xdr:nvSpPr>
            <xdr:cNvPr id="1212" name="ComboBox77" hidden="1">
              <a:extLst>
                <a:ext uri="{63B3BB69-23CF-44E3-9099-C40C66FF867C}">
                  <a14:compatExt spid="_x0000_s1212"/>
                </a:ext>
                <a:ext uri="{FF2B5EF4-FFF2-40B4-BE49-F238E27FC236}">
                  <a16:creationId xmlns="" xmlns:a16="http://schemas.microsoft.com/office/drawing/2014/main" id="{00000000-0008-0000-0000-0000B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123825</xdr:colOff>
          <xdr:row>77</xdr:row>
          <xdr:rowOff>333375</xdr:rowOff>
        </xdr:from>
        <xdr:to>
          <xdr:col>19</xdr:col>
          <xdr:colOff>9525</xdr:colOff>
          <xdr:row>78</xdr:row>
          <xdr:rowOff>333375</xdr:rowOff>
        </xdr:to>
        <xdr:sp macro="" textlink="">
          <xdr:nvSpPr>
            <xdr:cNvPr id="1213" name="ComboBox78" hidden="1">
              <a:extLst>
                <a:ext uri="{63B3BB69-23CF-44E3-9099-C40C66FF867C}">
                  <a14:compatExt spid="_x0000_s1213"/>
                </a:ext>
                <a:ext uri="{FF2B5EF4-FFF2-40B4-BE49-F238E27FC236}">
                  <a16:creationId xmlns="" xmlns:a16="http://schemas.microsoft.com/office/drawing/2014/main" id="{00000000-0008-0000-0000-0000B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78</xdr:row>
          <xdr:rowOff>0</xdr:rowOff>
        </xdr:from>
        <xdr:to>
          <xdr:col>19</xdr:col>
          <xdr:colOff>0</xdr:colOff>
          <xdr:row>79</xdr:row>
          <xdr:rowOff>0</xdr:rowOff>
        </xdr:to>
        <xdr:sp macro="" textlink="">
          <xdr:nvSpPr>
            <xdr:cNvPr id="1214" name="ComboBox79" hidden="1">
              <a:extLst>
                <a:ext uri="{63B3BB69-23CF-44E3-9099-C40C66FF867C}">
                  <a14:compatExt spid="_x0000_s1214"/>
                </a:ext>
                <a:ext uri="{FF2B5EF4-FFF2-40B4-BE49-F238E27FC236}">
                  <a16:creationId xmlns="" xmlns:a16="http://schemas.microsoft.com/office/drawing/2014/main" id="{00000000-0008-0000-0000-0000B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79</xdr:row>
          <xdr:rowOff>0</xdr:rowOff>
        </xdr:from>
        <xdr:to>
          <xdr:col>19</xdr:col>
          <xdr:colOff>0</xdr:colOff>
          <xdr:row>80</xdr:row>
          <xdr:rowOff>0</xdr:rowOff>
        </xdr:to>
        <xdr:sp macro="" textlink="">
          <xdr:nvSpPr>
            <xdr:cNvPr id="1215" name="ComboBox80" hidden="1">
              <a:extLst>
                <a:ext uri="{63B3BB69-23CF-44E3-9099-C40C66FF867C}">
                  <a14:compatExt spid="_x0000_s1215"/>
                </a:ext>
                <a:ext uri="{FF2B5EF4-FFF2-40B4-BE49-F238E27FC236}">
                  <a16:creationId xmlns="" xmlns:a16="http://schemas.microsoft.com/office/drawing/2014/main" id="{00000000-0008-0000-0000-0000B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123825</xdr:colOff>
          <xdr:row>80</xdr:row>
          <xdr:rowOff>352425</xdr:rowOff>
        </xdr:from>
        <xdr:to>
          <xdr:col>19</xdr:col>
          <xdr:colOff>9525</xdr:colOff>
          <xdr:row>81</xdr:row>
          <xdr:rowOff>352425</xdr:rowOff>
        </xdr:to>
        <xdr:sp macro="" textlink="">
          <xdr:nvSpPr>
            <xdr:cNvPr id="1216" name="ComboBox81" hidden="1">
              <a:extLst>
                <a:ext uri="{63B3BB69-23CF-44E3-9099-C40C66FF867C}">
                  <a14:compatExt spid="_x0000_s1216"/>
                </a:ext>
                <a:ext uri="{FF2B5EF4-FFF2-40B4-BE49-F238E27FC236}">
                  <a16:creationId xmlns="" xmlns:a16="http://schemas.microsoft.com/office/drawing/2014/main" id="{00000000-0008-0000-0000-0000C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81</xdr:row>
          <xdr:rowOff>0</xdr:rowOff>
        </xdr:from>
        <xdr:to>
          <xdr:col>19</xdr:col>
          <xdr:colOff>0</xdr:colOff>
          <xdr:row>82</xdr:row>
          <xdr:rowOff>0</xdr:rowOff>
        </xdr:to>
        <xdr:sp macro="" textlink="">
          <xdr:nvSpPr>
            <xdr:cNvPr id="1217" name="ComboBox82" hidden="1">
              <a:extLst>
                <a:ext uri="{63B3BB69-23CF-44E3-9099-C40C66FF867C}">
                  <a14:compatExt spid="_x0000_s1217"/>
                </a:ext>
                <a:ext uri="{FF2B5EF4-FFF2-40B4-BE49-F238E27FC236}">
                  <a16:creationId xmlns="" xmlns:a16="http://schemas.microsoft.com/office/drawing/2014/main" id="{00000000-0008-0000-0000-0000C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82</xdr:row>
          <xdr:rowOff>0</xdr:rowOff>
        </xdr:from>
        <xdr:to>
          <xdr:col>19</xdr:col>
          <xdr:colOff>0</xdr:colOff>
          <xdr:row>83</xdr:row>
          <xdr:rowOff>0</xdr:rowOff>
        </xdr:to>
        <xdr:sp macro="" textlink="">
          <xdr:nvSpPr>
            <xdr:cNvPr id="1218" name="ComboBox83" hidden="1">
              <a:extLst>
                <a:ext uri="{63B3BB69-23CF-44E3-9099-C40C66FF867C}">
                  <a14:compatExt spid="_x0000_s1218"/>
                </a:ext>
                <a:ext uri="{FF2B5EF4-FFF2-40B4-BE49-F238E27FC236}">
                  <a16:creationId xmlns="" xmlns:a16="http://schemas.microsoft.com/office/drawing/2014/main" id="{00000000-0008-0000-0000-0000C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83</xdr:row>
          <xdr:rowOff>0</xdr:rowOff>
        </xdr:from>
        <xdr:to>
          <xdr:col>19</xdr:col>
          <xdr:colOff>0</xdr:colOff>
          <xdr:row>84</xdr:row>
          <xdr:rowOff>0</xdr:rowOff>
        </xdr:to>
        <xdr:sp macro="" textlink="">
          <xdr:nvSpPr>
            <xdr:cNvPr id="1219" name="ComboBox84" hidden="1">
              <a:extLst>
                <a:ext uri="{63B3BB69-23CF-44E3-9099-C40C66FF867C}">
                  <a14:compatExt spid="_x0000_s1219"/>
                </a:ext>
                <a:ext uri="{FF2B5EF4-FFF2-40B4-BE49-F238E27FC236}">
                  <a16:creationId xmlns="" xmlns:a16="http://schemas.microsoft.com/office/drawing/2014/main" id="{00000000-0008-0000-0000-0000C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84</xdr:row>
          <xdr:rowOff>0</xdr:rowOff>
        </xdr:from>
        <xdr:to>
          <xdr:col>19</xdr:col>
          <xdr:colOff>0</xdr:colOff>
          <xdr:row>85</xdr:row>
          <xdr:rowOff>0</xdr:rowOff>
        </xdr:to>
        <xdr:sp macro="" textlink="">
          <xdr:nvSpPr>
            <xdr:cNvPr id="1220" name="ComboBox85" hidden="1">
              <a:extLst>
                <a:ext uri="{63B3BB69-23CF-44E3-9099-C40C66FF867C}">
                  <a14:compatExt spid="_x0000_s1220"/>
                </a:ext>
                <a:ext uri="{FF2B5EF4-FFF2-40B4-BE49-F238E27FC236}">
                  <a16:creationId xmlns="" xmlns:a16="http://schemas.microsoft.com/office/drawing/2014/main" id="{00000000-0008-0000-0000-0000C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85</xdr:row>
          <xdr:rowOff>0</xdr:rowOff>
        </xdr:from>
        <xdr:to>
          <xdr:col>19</xdr:col>
          <xdr:colOff>0</xdr:colOff>
          <xdr:row>86</xdr:row>
          <xdr:rowOff>0</xdr:rowOff>
        </xdr:to>
        <xdr:sp macro="" textlink="">
          <xdr:nvSpPr>
            <xdr:cNvPr id="1221" name="ComboBox86" hidden="1">
              <a:extLst>
                <a:ext uri="{63B3BB69-23CF-44E3-9099-C40C66FF867C}">
                  <a14:compatExt spid="_x0000_s1221"/>
                </a:ext>
                <a:ext uri="{FF2B5EF4-FFF2-40B4-BE49-F238E27FC236}">
                  <a16:creationId xmlns="" xmlns:a16="http://schemas.microsoft.com/office/drawing/2014/main" id="{00000000-0008-0000-0000-0000C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86</xdr:row>
          <xdr:rowOff>0</xdr:rowOff>
        </xdr:from>
        <xdr:to>
          <xdr:col>19</xdr:col>
          <xdr:colOff>0</xdr:colOff>
          <xdr:row>87</xdr:row>
          <xdr:rowOff>0</xdr:rowOff>
        </xdr:to>
        <xdr:sp macro="" textlink="">
          <xdr:nvSpPr>
            <xdr:cNvPr id="1222" name="ComboBox87" hidden="1">
              <a:extLst>
                <a:ext uri="{63B3BB69-23CF-44E3-9099-C40C66FF867C}">
                  <a14:compatExt spid="_x0000_s1222"/>
                </a:ext>
                <a:ext uri="{FF2B5EF4-FFF2-40B4-BE49-F238E27FC236}">
                  <a16:creationId xmlns="" xmlns:a16="http://schemas.microsoft.com/office/drawing/2014/main" id="{00000000-0008-0000-0000-0000C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87</xdr:row>
          <xdr:rowOff>0</xdr:rowOff>
        </xdr:from>
        <xdr:to>
          <xdr:col>19</xdr:col>
          <xdr:colOff>0</xdr:colOff>
          <xdr:row>88</xdr:row>
          <xdr:rowOff>0</xdr:rowOff>
        </xdr:to>
        <xdr:sp macro="" textlink="">
          <xdr:nvSpPr>
            <xdr:cNvPr id="1223" name="ComboBox88" hidden="1">
              <a:extLst>
                <a:ext uri="{63B3BB69-23CF-44E3-9099-C40C66FF867C}">
                  <a14:compatExt spid="_x0000_s1223"/>
                </a:ext>
                <a:ext uri="{FF2B5EF4-FFF2-40B4-BE49-F238E27FC236}">
                  <a16:creationId xmlns="" xmlns:a16="http://schemas.microsoft.com/office/drawing/2014/main" id="{00000000-0008-0000-0000-0000C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88</xdr:row>
          <xdr:rowOff>0</xdr:rowOff>
        </xdr:from>
        <xdr:to>
          <xdr:col>19</xdr:col>
          <xdr:colOff>0</xdr:colOff>
          <xdr:row>89</xdr:row>
          <xdr:rowOff>0</xdr:rowOff>
        </xdr:to>
        <xdr:sp macro="" textlink="">
          <xdr:nvSpPr>
            <xdr:cNvPr id="1224" name="ComboBox89" hidden="1">
              <a:extLst>
                <a:ext uri="{63B3BB69-23CF-44E3-9099-C40C66FF867C}">
                  <a14:compatExt spid="_x0000_s1224"/>
                </a:ext>
                <a:ext uri="{FF2B5EF4-FFF2-40B4-BE49-F238E27FC236}">
                  <a16:creationId xmlns="" xmlns:a16="http://schemas.microsoft.com/office/drawing/2014/main" id="{00000000-0008-0000-0000-0000C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89</xdr:row>
          <xdr:rowOff>0</xdr:rowOff>
        </xdr:from>
        <xdr:to>
          <xdr:col>19</xdr:col>
          <xdr:colOff>0</xdr:colOff>
          <xdr:row>90</xdr:row>
          <xdr:rowOff>0</xdr:rowOff>
        </xdr:to>
        <xdr:sp macro="" textlink="">
          <xdr:nvSpPr>
            <xdr:cNvPr id="1225" name="ComboBox90" hidden="1">
              <a:extLst>
                <a:ext uri="{63B3BB69-23CF-44E3-9099-C40C66FF867C}">
                  <a14:compatExt spid="_x0000_s1225"/>
                </a:ext>
                <a:ext uri="{FF2B5EF4-FFF2-40B4-BE49-F238E27FC236}">
                  <a16:creationId xmlns="" xmlns:a16="http://schemas.microsoft.com/office/drawing/2014/main" id="{00000000-0008-0000-0000-0000C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90</xdr:row>
          <xdr:rowOff>0</xdr:rowOff>
        </xdr:from>
        <xdr:to>
          <xdr:col>19</xdr:col>
          <xdr:colOff>0</xdr:colOff>
          <xdr:row>91</xdr:row>
          <xdr:rowOff>38100</xdr:rowOff>
        </xdr:to>
        <xdr:sp macro="" textlink="">
          <xdr:nvSpPr>
            <xdr:cNvPr id="1226" name="ComboBox91" hidden="1">
              <a:extLst>
                <a:ext uri="{63B3BB69-23CF-44E3-9099-C40C66FF867C}">
                  <a14:compatExt spid="_x0000_s1226"/>
                </a:ext>
                <a:ext uri="{FF2B5EF4-FFF2-40B4-BE49-F238E27FC236}">
                  <a16:creationId xmlns="" xmlns:a16="http://schemas.microsoft.com/office/drawing/2014/main" id="{00000000-0008-0000-0000-0000C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91</xdr:row>
          <xdr:rowOff>28575</xdr:rowOff>
        </xdr:from>
        <xdr:to>
          <xdr:col>19</xdr:col>
          <xdr:colOff>0</xdr:colOff>
          <xdr:row>92</xdr:row>
          <xdr:rowOff>38100</xdr:rowOff>
        </xdr:to>
        <xdr:sp macro="" textlink="">
          <xdr:nvSpPr>
            <xdr:cNvPr id="1227" name="ComboBox92" hidden="1">
              <a:extLst>
                <a:ext uri="{63B3BB69-23CF-44E3-9099-C40C66FF867C}">
                  <a14:compatExt spid="_x0000_s1227"/>
                </a:ext>
                <a:ext uri="{FF2B5EF4-FFF2-40B4-BE49-F238E27FC236}">
                  <a16:creationId xmlns="" xmlns:a16="http://schemas.microsoft.com/office/drawing/2014/main" id="{00000000-0008-0000-0000-0000C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92</xdr:row>
          <xdr:rowOff>19050</xdr:rowOff>
        </xdr:from>
        <xdr:to>
          <xdr:col>19</xdr:col>
          <xdr:colOff>0</xdr:colOff>
          <xdr:row>93</xdr:row>
          <xdr:rowOff>0</xdr:rowOff>
        </xdr:to>
        <xdr:sp macro="" textlink="">
          <xdr:nvSpPr>
            <xdr:cNvPr id="1228" name="ComboBox93" hidden="1">
              <a:extLst>
                <a:ext uri="{63B3BB69-23CF-44E3-9099-C40C66FF867C}">
                  <a14:compatExt spid="_x0000_s1228"/>
                </a:ext>
                <a:ext uri="{FF2B5EF4-FFF2-40B4-BE49-F238E27FC236}">
                  <a16:creationId xmlns="" xmlns:a16="http://schemas.microsoft.com/office/drawing/2014/main" id="{00000000-0008-0000-0000-0000C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93</xdr:row>
          <xdr:rowOff>19050</xdr:rowOff>
        </xdr:from>
        <xdr:to>
          <xdr:col>19</xdr:col>
          <xdr:colOff>0</xdr:colOff>
          <xdr:row>94</xdr:row>
          <xdr:rowOff>0</xdr:rowOff>
        </xdr:to>
        <xdr:sp macro="" textlink="">
          <xdr:nvSpPr>
            <xdr:cNvPr id="1229" name="ComboBox94" hidden="1">
              <a:extLst>
                <a:ext uri="{63B3BB69-23CF-44E3-9099-C40C66FF867C}">
                  <a14:compatExt spid="_x0000_s1229"/>
                </a:ext>
                <a:ext uri="{FF2B5EF4-FFF2-40B4-BE49-F238E27FC236}">
                  <a16:creationId xmlns="" xmlns:a16="http://schemas.microsoft.com/office/drawing/2014/main" id="{00000000-0008-0000-0000-0000C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94</xdr:row>
          <xdr:rowOff>28575</xdr:rowOff>
        </xdr:from>
        <xdr:to>
          <xdr:col>19</xdr:col>
          <xdr:colOff>0</xdr:colOff>
          <xdr:row>95</xdr:row>
          <xdr:rowOff>38100</xdr:rowOff>
        </xdr:to>
        <xdr:sp macro="" textlink="">
          <xdr:nvSpPr>
            <xdr:cNvPr id="1230" name="ComboBox95" hidden="1">
              <a:extLst>
                <a:ext uri="{63B3BB69-23CF-44E3-9099-C40C66FF867C}">
                  <a14:compatExt spid="_x0000_s1230"/>
                </a:ext>
                <a:ext uri="{FF2B5EF4-FFF2-40B4-BE49-F238E27FC236}">
                  <a16:creationId xmlns="" xmlns:a16="http://schemas.microsoft.com/office/drawing/2014/main" id="{00000000-0008-0000-0000-0000C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95</xdr:row>
          <xdr:rowOff>19050</xdr:rowOff>
        </xdr:from>
        <xdr:to>
          <xdr:col>19</xdr:col>
          <xdr:colOff>0</xdr:colOff>
          <xdr:row>96</xdr:row>
          <xdr:rowOff>0</xdr:rowOff>
        </xdr:to>
        <xdr:sp macro="" textlink="">
          <xdr:nvSpPr>
            <xdr:cNvPr id="1231" name="ComboBox96" hidden="1">
              <a:extLst>
                <a:ext uri="{63B3BB69-23CF-44E3-9099-C40C66FF867C}">
                  <a14:compatExt spid="_x0000_s1231"/>
                </a:ext>
                <a:ext uri="{FF2B5EF4-FFF2-40B4-BE49-F238E27FC236}">
                  <a16:creationId xmlns="" xmlns:a16="http://schemas.microsoft.com/office/drawing/2014/main" id="{00000000-0008-0000-0000-0000C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96</xdr:row>
          <xdr:rowOff>9525</xdr:rowOff>
        </xdr:from>
        <xdr:to>
          <xdr:col>19</xdr:col>
          <xdr:colOff>0</xdr:colOff>
          <xdr:row>97</xdr:row>
          <xdr:rowOff>0</xdr:rowOff>
        </xdr:to>
        <xdr:sp macro="" textlink="">
          <xdr:nvSpPr>
            <xdr:cNvPr id="1232" name="ComboBox97" hidden="1">
              <a:extLst>
                <a:ext uri="{63B3BB69-23CF-44E3-9099-C40C66FF867C}">
                  <a14:compatExt spid="_x0000_s1232"/>
                </a:ext>
                <a:ext uri="{FF2B5EF4-FFF2-40B4-BE49-F238E27FC236}">
                  <a16:creationId xmlns="" xmlns:a16="http://schemas.microsoft.com/office/drawing/2014/main" id="{00000000-0008-0000-0000-0000D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97</xdr:row>
          <xdr:rowOff>0</xdr:rowOff>
        </xdr:from>
        <xdr:to>
          <xdr:col>19</xdr:col>
          <xdr:colOff>0</xdr:colOff>
          <xdr:row>98</xdr:row>
          <xdr:rowOff>0</xdr:rowOff>
        </xdr:to>
        <xdr:sp macro="" textlink="">
          <xdr:nvSpPr>
            <xdr:cNvPr id="1233" name="ComboBox98" hidden="1">
              <a:extLst>
                <a:ext uri="{63B3BB69-23CF-44E3-9099-C40C66FF867C}">
                  <a14:compatExt spid="_x0000_s1233"/>
                </a:ext>
                <a:ext uri="{FF2B5EF4-FFF2-40B4-BE49-F238E27FC236}">
                  <a16:creationId xmlns="" xmlns:a16="http://schemas.microsoft.com/office/drawing/2014/main" id="{00000000-0008-0000-0000-0000D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98</xdr:row>
          <xdr:rowOff>9525</xdr:rowOff>
        </xdr:from>
        <xdr:to>
          <xdr:col>19</xdr:col>
          <xdr:colOff>0</xdr:colOff>
          <xdr:row>99</xdr:row>
          <xdr:rowOff>0</xdr:rowOff>
        </xdr:to>
        <xdr:sp macro="" textlink="">
          <xdr:nvSpPr>
            <xdr:cNvPr id="1234" name="ComboBox99" hidden="1">
              <a:extLst>
                <a:ext uri="{63B3BB69-23CF-44E3-9099-C40C66FF867C}">
                  <a14:compatExt spid="_x0000_s1234"/>
                </a:ext>
                <a:ext uri="{FF2B5EF4-FFF2-40B4-BE49-F238E27FC236}">
                  <a16:creationId xmlns="" xmlns:a16="http://schemas.microsoft.com/office/drawing/2014/main" id="{00000000-0008-0000-0000-0000D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99</xdr:row>
          <xdr:rowOff>9525</xdr:rowOff>
        </xdr:from>
        <xdr:to>
          <xdr:col>19</xdr:col>
          <xdr:colOff>0</xdr:colOff>
          <xdr:row>100</xdr:row>
          <xdr:rowOff>0</xdr:rowOff>
        </xdr:to>
        <xdr:sp macro="" textlink="">
          <xdr:nvSpPr>
            <xdr:cNvPr id="1235" name="ComboBox100" hidden="1">
              <a:extLst>
                <a:ext uri="{63B3BB69-23CF-44E3-9099-C40C66FF867C}">
                  <a14:compatExt spid="_x0000_s1235"/>
                </a:ext>
                <a:ext uri="{FF2B5EF4-FFF2-40B4-BE49-F238E27FC236}">
                  <a16:creationId xmlns="" xmlns:a16="http://schemas.microsoft.com/office/drawing/2014/main" id="{00000000-0008-0000-0000-0000D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100</xdr:row>
          <xdr:rowOff>9525</xdr:rowOff>
        </xdr:from>
        <xdr:to>
          <xdr:col>19</xdr:col>
          <xdr:colOff>0</xdr:colOff>
          <xdr:row>101</xdr:row>
          <xdr:rowOff>0</xdr:rowOff>
        </xdr:to>
        <xdr:sp macro="" textlink="">
          <xdr:nvSpPr>
            <xdr:cNvPr id="1236" name="ComboBox101" hidden="1">
              <a:extLst>
                <a:ext uri="{63B3BB69-23CF-44E3-9099-C40C66FF867C}">
                  <a14:compatExt spid="_x0000_s1236"/>
                </a:ext>
                <a:ext uri="{FF2B5EF4-FFF2-40B4-BE49-F238E27FC236}">
                  <a16:creationId xmlns="" xmlns:a16="http://schemas.microsoft.com/office/drawing/2014/main" id="{00000000-0008-0000-0000-0000D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101</xdr:row>
          <xdr:rowOff>19050</xdr:rowOff>
        </xdr:from>
        <xdr:to>
          <xdr:col>19</xdr:col>
          <xdr:colOff>0</xdr:colOff>
          <xdr:row>102</xdr:row>
          <xdr:rowOff>0</xdr:rowOff>
        </xdr:to>
        <xdr:sp macro="" textlink="">
          <xdr:nvSpPr>
            <xdr:cNvPr id="1237" name="ComboBox102" hidden="1">
              <a:extLst>
                <a:ext uri="{63B3BB69-23CF-44E3-9099-C40C66FF867C}">
                  <a14:compatExt spid="_x0000_s1237"/>
                </a:ext>
                <a:ext uri="{FF2B5EF4-FFF2-40B4-BE49-F238E27FC236}">
                  <a16:creationId xmlns="" xmlns:a16="http://schemas.microsoft.com/office/drawing/2014/main" id="{00000000-0008-0000-0000-0000D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 name="OTROS" displayName="OTROS" ref="F131:F145" totalsRowShown="0" headerRowDxfId="128" dataDxfId="127">
  <autoFilter ref="F131:F145"/>
  <tableColumns count="1">
    <tableColumn id="1" name="OTROS" dataDxfId="126"/>
  </tableColumns>
  <tableStyleInfo name="TableStyleMedium9" showFirstColumn="0" showLastColumn="0" showRowStripes="1" showColumnStripes="0"/>
</table>
</file>

<file path=xl/tables/table2.xml><?xml version="1.0" encoding="utf-8"?>
<table xmlns="http://schemas.openxmlformats.org/spreadsheetml/2006/main" id="2" name="ABIGEATO" displayName="ABIGEATO" ref="E131:E139" totalsRowShown="0" headerRowDxfId="125" dataDxfId="124">
  <autoFilter ref="E131:E139"/>
  <tableColumns count="1">
    <tableColumn id="1" name="ABIGEATO" dataDxfId="123"/>
  </tableColumns>
  <tableStyleInfo name="TableStyleMedium9" showFirstColumn="0" showLastColumn="0" showRowStripes="1" showColumnStripes="0"/>
</table>
</file>

<file path=xl/tables/table3.xml><?xml version="1.0" encoding="utf-8"?>
<table xmlns="http://schemas.openxmlformats.org/spreadsheetml/2006/main" id="3" name="HOMICIDIO" displayName="HOMICIDIO" ref="B147:B154" totalsRowShown="0" headerRowDxfId="122" dataDxfId="121">
  <autoFilter ref="B147:B154"/>
  <tableColumns count="1">
    <tableColumn id="1" name="HOMICIDIO" dataDxfId="120"/>
  </tableColumns>
  <tableStyleInfo name="TableStyleMedium9" showFirstColumn="0" showLastColumn="0" showRowStripes="1" showColumnStripes="0"/>
</table>
</file>

<file path=xl/tables/table4.xml><?xml version="1.0" encoding="utf-8"?>
<table xmlns="http://schemas.openxmlformats.org/spreadsheetml/2006/main" id="4" name="HOMICIDIO_SINIESTRO_VIAL" displayName="HOMICIDIO_SINIESTRO_VIAL" ref="C147:C154" totalsRowShown="0" headerRowDxfId="119" dataDxfId="118">
  <autoFilter ref="C147:C154"/>
  <tableColumns count="1">
    <tableColumn id="1" name="HOMICIDIO_SINIESTRO_VIAL" dataDxfId="117"/>
  </tableColumns>
  <tableStyleInfo name="TableStyleMedium9" showFirstColumn="0" showLastColumn="0" showRowStripes="1" showColumnStripes="0"/>
</table>
</file>

<file path=xl/tables/table5.xml><?xml version="1.0" encoding="utf-8"?>
<table xmlns="http://schemas.openxmlformats.org/spreadsheetml/2006/main" id="5" name="SUICIDIOS" displayName="SUICIDIOS" ref="D147:D153" totalsRowShown="0" headerRowDxfId="116" dataDxfId="115">
  <autoFilter ref="D147:D153"/>
  <tableColumns count="1">
    <tableColumn id="1" name="SUICIDIOS" dataDxfId="114"/>
  </tableColumns>
  <tableStyleInfo name="TableStyleMedium9" showFirstColumn="0" showLastColumn="0" showRowStripes="1" showColumnStripes="0"/>
</table>
</file>

<file path=xl/tables/table6.xml><?xml version="1.0" encoding="utf-8"?>
<table xmlns="http://schemas.openxmlformats.org/spreadsheetml/2006/main" id="6" name="ROBO" displayName="ROBO" ref="E147:E153" totalsRowShown="0" headerRowDxfId="113" dataDxfId="112">
  <autoFilter ref="E147:E153"/>
  <tableColumns count="1">
    <tableColumn id="1" name="ROBO" dataDxfId="111"/>
  </tableColumns>
  <tableStyleInfo name="TableStyleMedium9" showFirstColumn="0" showLastColumn="0" showRowStripes="1" showColumnStripes="0"/>
</table>
</file>

<file path=xl/tables/table7.xml><?xml version="1.0" encoding="utf-8"?>
<table xmlns="http://schemas.openxmlformats.org/spreadsheetml/2006/main" id="7" name="HURTO" displayName="HURTO" ref="F147:F152" totalsRowShown="0" headerRowDxfId="110" dataDxfId="109">
  <autoFilter ref="F147:F152"/>
  <tableColumns count="1">
    <tableColumn id="1" name="HURTO" dataDxfId="108"/>
  </tableColumns>
  <tableStyleInfo name="TableStyleMedium9" showFirstColumn="0" showLastColumn="0" showRowStripes="1" showColumnStripes="0"/>
</table>
</file>

<file path=xl/tables/table8.xml><?xml version="1.0" encoding="utf-8"?>
<table xmlns="http://schemas.openxmlformats.org/spreadsheetml/2006/main" id="8" name="EXTORSION" displayName="EXTORSION" ref="G147:G152" totalsRowShown="0" headerRowDxfId="107" dataDxfId="106">
  <autoFilter ref="G147:G152"/>
  <tableColumns count="1">
    <tableColumn id="1" name="EXTORSION" dataDxfId="105"/>
  </tableColumns>
  <tableStyleInfo name="TableStyleMedium9" showFirstColumn="0" showLastColumn="0" showRowStripes="1" showColumnStripes="0"/>
</table>
</file>

<file path=xl/tables/table9.xml><?xml version="1.0" encoding="utf-8"?>
<table xmlns="http://schemas.openxmlformats.org/spreadsheetml/2006/main" id="9" name="DELITOS_CONTRA_LAS_PERSONAS" displayName="DELITOS_CONTRA_LAS_PERSONAS" ref="B157:B168" totalsRowShown="0" headerRowDxfId="104" dataDxfId="103">
  <autoFilter ref="B157:B168"/>
  <tableColumns count="1">
    <tableColumn id="1" name="DELITOS_CONTRA_LAS_PERSONAS" dataDxfId="102"/>
  </tableColumns>
  <tableStyleInfo name="TableStyleMedium9" showFirstColumn="0" showLastColumn="0" showRowStripes="1" showColumnStripes="0"/>
</table>
</file>

<file path=xl/tables/table10.xml><?xml version="1.0" encoding="utf-8"?>
<table xmlns="http://schemas.openxmlformats.org/spreadsheetml/2006/main" id="10" name="SUICIDIOS_CONSUMADOS" displayName="SUICIDIOS_CONSUMADOS" ref="C157:C166" totalsRowShown="0" headerRowDxfId="101" dataDxfId="100">
  <autoFilter ref="C157:C166"/>
  <tableColumns count="1">
    <tableColumn id="1" name="SUICIDIOS_CONSUMADOS" dataDxfId="99"/>
  </tableColumns>
  <tableStyleInfo name="TableStyleMedium9" showFirstColumn="0" showLastColumn="0" showRowStripes="1" showColumnStripes="0"/>
</table>
</file>

<file path=xl/tables/table11.xml><?xml version="1.0" encoding="utf-8"?>
<table xmlns="http://schemas.openxmlformats.org/spreadsheetml/2006/main" id="11" name="DELITOS_CONTRA_LA_PROPIEDAD" displayName="DELITOS_CONTRA_LA_PROPIEDAD" ref="D157:D161" totalsRowShown="0" headerRowDxfId="98" dataDxfId="97">
  <autoFilter ref="D157:D161"/>
  <tableColumns count="1">
    <tableColumn id="1" name="DELITOS_CONTRA_LA_PROPIEDAD" dataDxfId="96"/>
  </tableColumns>
  <tableStyleInfo name="TableStyleMedium9" showFirstColumn="0" showLastColumn="0" showRowStripes="1" showColumnStripes="0"/>
</table>
</file>

<file path=xl/tables/table12.xml><?xml version="1.0" encoding="utf-8"?>
<table xmlns="http://schemas.openxmlformats.org/spreadsheetml/2006/main" id="14" name="CENTENARIO" displayName="CENTENARIO" ref="L171:L182" totalsRowShown="0" headerRowDxfId="95" dataDxfId="94">
  <autoFilter ref="L171:L182"/>
  <tableColumns count="1">
    <tableColumn id="1" name="CENTENARIO" dataDxfId="93"/>
  </tableColumns>
  <tableStyleInfo name="TableStyleMedium9" showFirstColumn="0" showLastColumn="0" showRowStripes="1" showColumnStripes="0"/>
</table>
</file>

<file path=xl/tables/table13.xml><?xml version="1.0" encoding="utf-8"?>
<table xmlns="http://schemas.openxmlformats.org/spreadsheetml/2006/main" id="15" name="AÑELO" displayName="AÑELO" ref="F171:F180" totalsRowShown="0" headerRowDxfId="92" dataDxfId="91">
  <autoFilter ref="F171:F180"/>
  <tableColumns count="1">
    <tableColumn id="1" name="AÑELO" dataDxfId="90"/>
  </tableColumns>
  <tableStyleInfo name="TableStyleMedium9" showFirstColumn="0" showLastColumn="0" showRowStripes="1" showColumnStripes="0"/>
</table>
</file>

<file path=xl/tables/table14.xml><?xml version="1.0" encoding="utf-8"?>
<table xmlns="http://schemas.openxmlformats.org/spreadsheetml/2006/main" id="16" name="CUTRAL_CO" displayName="CUTRAL_CO" ref="P171:P193" totalsRowShown="0" headerRowDxfId="89" dataDxfId="88">
  <autoFilter ref="P171:P193"/>
  <tableColumns count="1">
    <tableColumn id="1" name="CUTRAL_CO" dataDxfId="87"/>
  </tableColumns>
  <tableStyleInfo name="TableStyleMedium9" showFirstColumn="0" showLastColumn="0" showRowStripes="1" showColumnStripes="0"/>
</table>
</file>

<file path=xl/tables/table15.xml><?xml version="1.0" encoding="utf-8"?>
<table xmlns="http://schemas.openxmlformats.org/spreadsheetml/2006/main" id="17" name="JUNIN_DE_LOS_ANDES" displayName="JUNIN_DE_LOS_ANDES" ref="U171:U182" totalsRowShown="0" headerRowDxfId="86" dataDxfId="85">
  <autoFilter ref="U171:U182"/>
  <tableColumns count="1">
    <tableColumn id="1" name="JUNIN_DE_LOS_ANDES" dataDxfId="84"/>
  </tableColumns>
  <tableStyleInfo name="TableStyleMedium9" showFirstColumn="0" showLastColumn="0" showRowStripes="1" showColumnStripes="0"/>
</table>
</file>

<file path=xl/tables/table16.xml><?xml version="1.0" encoding="utf-8"?>
<table xmlns="http://schemas.openxmlformats.org/spreadsheetml/2006/main" id="18" name="NEUQUEN" displayName="NEUQUEN" ref="AG171:AG223" totalsRowShown="0" headerRowDxfId="83" dataDxfId="82">
  <autoFilter ref="AG171:AG223"/>
  <tableColumns count="1">
    <tableColumn id="1" name="NEUQUEN" dataDxfId="81"/>
  </tableColumns>
  <tableStyleInfo name="TableStyleMedium9" showFirstColumn="0" showLastColumn="0" showRowStripes="1" showColumnStripes="0"/>
</table>
</file>

<file path=xl/tables/table17.xml><?xml version="1.0" encoding="utf-8"?>
<table xmlns="http://schemas.openxmlformats.org/spreadsheetml/2006/main" id="19" name="PLAZA_HUINCUL" displayName="PLAZA_HUINCUL" ref="AL171:AL186" totalsRowShown="0" headerRowDxfId="80" dataDxfId="79">
  <autoFilter ref="AL171:AL186"/>
  <tableColumns count="1">
    <tableColumn id="1" name="PLAZA_HUINCUL" dataDxfId="78"/>
  </tableColumns>
  <tableStyleInfo name="TableStyleMedium9" showFirstColumn="0" showLastColumn="0" showRowStripes="1" showColumnStripes="0"/>
</table>
</file>

<file path=xl/tables/table18.xml><?xml version="1.0" encoding="utf-8"?>
<table xmlns="http://schemas.openxmlformats.org/spreadsheetml/2006/main" id="20" name="PLOTTIER" displayName="PLOTTIER" ref="AM171:AM184" totalsRowShown="0" headerRowDxfId="77" dataDxfId="76">
  <autoFilter ref="AM171:AM184"/>
  <tableColumns count="1">
    <tableColumn id="1" name="PLOTTIER" dataDxfId="75"/>
  </tableColumns>
  <tableStyleInfo name="TableStyleMedium9" showFirstColumn="0" showLastColumn="0" showRowStripes="1" showColumnStripes="0"/>
</table>
</file>

<file path=xl/tables/table19.xml><?xml version="1.0" encoding="utf-8"?>
<table xmlns="http://schemas.openxmlformats.org/spreadsheetml/2006/main" id="12" name="Tabla12" displayName="Tabla12" ref="E157:E158" totalsRowShown="0" headerRowDxfId="74" dataDxfId="73">
  <autoFilter ref="E157:E158"/>
  <tableColumns count="1">
    <tableColumn id="1" name="DELITOS_CONTRA_L_PROPIEDAD" dataDxfId="72"/>
  </tableColumns>
  <tableStyleInfo name="TableStyleMedium9" showFirstColumn="0" showLastColumn="0" showRowStripes="1" showColumnStripes="0"/>
</table>
</file>

<file path=xl/tables/table20.xml><?xml version="1.0" encoding="utf-8"?>
<table xmlns="http://schemas.openxmlformats.org/spreadsheetml/2006/main" id="13" name="COMISARIAS" displayName="COMISARIAS" ref="AR236:AR311" totalsRowShown="0" headerRowDxfId="71" dataDxfId="70">
  <autoFilter ref="AR236:AR311"/>
  <tableColumns count="1">
    <tableColumn id="1" name="Columna1" dataDxfId="69"/>
  </tableColumns>
  <tableStyleInfo name="TableStyleMedium9" showFirstColumn="0" showLastColumn="0" showRowStripes="1" showColumnStripes="0"/>
</table>
</file>

<file path=xl/tables/table21.xml><?xml version="1.0" encoding="utf-8"?>
<table xmlns="http://schemas.openxmlformats.org/spreadsheetml/2006/main" id="21" name="AUTOMOTOR" displayName="AUTOMOTOR" ref="B180:B197" totalsRowShown="0" headerRowDxfId="68" dataDxfId="67">
  <autoFilter ref="B180:B197"/>
  <tableColumns count="1">
    <tableColumn id="1" name="AUTOMOTOR" dataDxfId="66"/>
  </tableColumns>
  <tableStyleInfo name="TableStyleMedium9" showFirstColumn="0" showLastColumn="0" showRowStripes="1" showColumnStripes="0"/>
</table>
</file>

<file path=xl/tables/table22.xml><?xml version="1.0" encoding="utf-8"?>
<table xmlns="http://schemas.openxmlformats.org/spreadsheetml/2006/main" id="22" name="FIAT" displayName="FIAT" ref="D184:D194" totalsRowShown="0" headerRowDxfId="65" dataDxfId="64">
  <autoFilter ref="D184:D194"/>
  <tableColumns count="1">
    <tableColumn id="1" name="FIAT" dataDxfId="63"/>
  </tableColumns>
  <tableStyleInfo name="TableStyleMedium9" showFirstColumn="0" showLastColumn="0" showRowStripes="1" showColumnStripes="0"/>
</table>
</file>

<file path=xl/tables/table23.xml><?xml version="1.0" encoding="utf-8"?>
<table xmlns="http://schemas.openxmlformats.org/spreadsheetml/2006/main" id="38" name="CHEVROLET" displayName="CHEVROLET" ref="E184:E195" totalsRowShown="0" headerRowDxfId="62" dataDxfId="61">
  <autoFilter ref="E184:E195"/>
  <tableColumns count="1">
    <tableColumn id="1" name="CHEVROLET" dataDxfId="60"/>
  </tableColumns>
  <tableStyleInfo name="TableStyleMedium9" showFirstColumn="0" showLastColumn="0" showRowStripes="1" showColumnStripes="0"/>
</table>
</file>

<file path=xl/tables/table24.xml><?xml version="1.0" encoding="utf-8"?>
<table xmlns="http://schemas.openxmlformats.org/spreadsheetml/2006/main" id="39" name="Tabla39" displayName="Tabla39" ref="F184:F194" totalsRowShown="0" headerRowDxfId="59" dataDxfId="58">
  <autoFilter ref="F184:F194"/>
  <tableColumns count="1">
    <tableColumn id="1" name="MERCEDES BENZ" dataDxfId="57"/>
  </tableColumns>
  <tableStyleInfo name="TableStyleMedium9" showFirstColumn="0" showLastColumn="0" showRowStripes="1" showColumnStripes="0"/>
</table>
</file>

<file path=xl/tables/table25.xml><?xml version="1.0" encoding="utf-8"?>
<table xmlns="http://schemas.openxmlformats.org/spreadsheetml/2006/main" id="40" name="Tabla40" displayName="Tabla40" ref="G184:G194" totalsRowShown="0" headerRowDxfId="56" dataDxfId="55">
  <autoFilter ref="G184:G194"/>
  <tableColumns count="1">
    <tableColumn id="1" name="NISSAN" dataDxfId="54"/>
  </tableColumns>
  <tableStyleInfo name="TableStyleMedium9" showFirstColumn="0" showLastColumn="0" showRowStripes="1" showColumnStripes="0"/>
</table>
</file>

<file path=xl/tables/table26.xml><?xml version="1.0" encoding="utf-8"?>
<table xmlns="http://schemas.openxmlformats.org/spreadsheetml/2006/main" id="41" name="Tabla41" displayName="Tabla41" ref="H184:H194" totalsRowShown="0" headerRowDxfId="53" dataDxfId="52">
  <autoFilter ref="H184:H194"/>
  <tableColumns count="1">
    <tableColumn id="1" name="PEUGEOT" dataDxfId="51"/>
  </tableColumns>
  <tableStyleInfo name="TableStyleMedium9" showFirstColumn="0" showLastColumn="0" showRowStripes="1" showColumnStripes="0"/>
</table>
</file>

<file path=xl/tables/table27.xml><?xml version="1.0" encoding="utf-8"?>
<table xmlns="http://schemas.openxmlformats.org/spreadsheetml/2006/main" id="42" name="Tabla42" displayName="Tabla42" ref="I184:I194" totalsRowShown="0" headerRowDxfId="50" dataDxfId="49">
  <autoFilter ref="I184:I194"/>
  <tableColumns count="1">
    <tableColumn id="1" name="FORD" dataDxfId="48"/>
  </tableColumns>
  <tableStyleInfo name="TableStyleMedium9" showFirstColumn="0" showLastColumn="0" showRowStripes="1" showColumnStripes="0"/>
</table>
</file>

<file path=xl/tables/table28.xml><?xml version="1.0" encoding="utf-8"?>
<table xmlns="http://schemas.openxmlformats.org/spreadsheetml/2006/main" id="43" name="Tabla43" displayName="Tabla43" ref="J184:J187" totalsRowShown="0" headerRowDxfId="47" dataDxfId="46">
  <autoFilter ref="J184:J187"/>
  <tableColumns count="1">
    <tableColumn id="1" name="IVECO" dataDxfId="45"/>
  </tableColumns>
  <tableStyleInfo name="TableStyleMedium9" showFirstColumn="0" showLastColumn="0" showRowStripes="1" showColumnStripes="0"/>
</table>
</file>

<file path=xl/tables/table29.xml><?xml version="1.0" encoding="utf-8"?>
<table xmlns="http://schemas.openxmlformats.org/spreadsheetml/2006/main" id="44" name="Tabla44" displayName="Tabla44" ref="K184:K194" totalsRowShown="0" headerRowDxfId="44" dataDxfId="43">
  <autoFilter ref="K184:K194"/>
  <tableColumns count="1">
    <tableColumn id="1" name="CITROEN" dataDxfId="42"/>
  </tableColumns>
  <tableStyleInfo name="TableStyleMedium9" showFirstColumn="0" showLastColumn="0" showRowStripes="1" showColumnStripes="0"/>
</table>
</file>

<file path=xl/tables/table30.xml><?xml version="1.0" encoding="utf-8"?>
<table xmlns="http://schemas.openxmlformats.org/spreadsheetml/2006/main" id="45" name="Tabla45" displayName="Tabla45" ref="L184:L194" totalsRowShown="0" headerRowDxfId="41" dataDxfId="40">
  <autoFilter ref="L184:L194"/>
  <tableColumns count="1">
    <tableColumn id="1" name="RENAULT" dataDxfId="39"/>
  </tableColumns>
  <tableStyleInfo name="TableStyleMedium9" showFirstColumn="0" showLastColumn="0" showRowStripes="1" showColumnStripes="0"/>
</table>
</file>

<file path=xl/tables/table31.xml><?xml version="1.0" encoding="utf-8"?>
<table xmlns="http://schemas.openxmlformats.org/spreadsheetml/2006/main" id="46" name="Tabla46" displayName="Tabla46" ref="M184:M187" totalsRowShown="0" headerRowDxfId="38" dataDxfId="37">
  <autoFilter ref="M184:M187"/>
  <tableColumns count="1">
    <tableColumn id="1" name="SCANIA" dataDxfId="36"/>
  </tableColumns>
  <tableStyleInfo name="TableStyleMedium9" showFirstColumn="0" showLastColumn="0" showRowStripes="1" showColumnStripes="0"/>
</table>
</file>

<file path=xl/tables/table32.xml><?xml version="1.0" encoding="utf-8"?>
<table xmlns="http://schemas.openxmlformats.org/spreadsheetml/2006/main" id="47" name="Tabla47" displayName="Tabla47" ref="N184:N194" totalsRowShown="0" headerRowDxfId="35" dataDxfId="34">
  <autoFilter ref="N184:N194"/>
  <tableColumns count="1">
    <tableColumn id="1" name="TOYOTA" dataDxfId="33"/>
  </tableColumns>
  <tableStyleInfo name="TableStyleMedium9" showFirstColumn="0" showLastColumn="0" showRowStripes="1" showColumnStripes="0"/>
</table>
</file>

<file path=xl/tables/table33.xml><?xml version="1.0" encoding="utf-8"?>
<table xmlns="http://schemas.openxmlformats.org/spreadsheetml/2006/main" id="48" name="Tabla48" displayName="Tabla48" ref="O184:O194" totalsRowShown="0" headerRowDxfId="32" dataDxfId="31">
  <autoFilter ref="O184:O194"/>
  <tableColumns count="1">
    <tableColumn id="1" name="VOLKSWAGEN" dataDxfId="30"/>
  </tableColumns>
  <tableStyleInfo name="TableStyleMedium9" showFirstColumn="0" showLastColumn="0" showRowStripes="1" showColumnStripes="0"/>
</table>
</file>

<file path=xl/tables/table34.xml><?xml version="1.0" encoding="utf-8"?>
<table xmlns="http://schemas.openxmlformats.org/spreadsheetml/2006/main" id="49" name="Tabla49" displayName="Tabla49" ref="Q184:Q194" totalsRowShown="0" headerRowDxfId="29" dataDxfId="28">
  <autoFilter ref="Q184:Q194"/>
  <tableColumns count="1">
    <tableColumn id="1" name="CHERY" dataDxfId="27"/>
  </tableColumns>
  <tableStyleInfo name="TableStyleMedium9" showFirstColumn="0" showLastColumn="0" showRowStripes="1" showColumnStripes="0"/>
</table>
</file>

<file path=xl/tables/table35.xml><?xml version="1.0" encoding="utf-8"?>
<table xmlns="http://schemas.openxmlformats.org/spreadsheetml/2006/main" id="50" name="Tabla50" displayName="Tabla50" ref="R184:R194" totalsRowShown="0" headerRowDxfId="26" dataDxfId="25">
  <autoFilter ref="R184:R194"/>
  <tableColumns count="1">
    <tableColumn id="1" name="DODGE" dataDxfId="24"/>
  </tableColumns>
  <tableStyleInfo name="TableStyleMedium9" showFirstColumn="0" showLastColumn="0" showRowStripes="1" showColumnStripes="0"/>
</table>
</file>

<file path=xl/tables/table36.xml><?xml version="1.0" encoding="utf-8"?>
<table xmlns="http://schemas.openxmlformats.org/spreadsheetml/2006/main" id="51" name="Tabla51" displayName="Tabla51" ref="S184:S194" totalsRowShown="0" headerRowDxfId="23" dataDxfId="22">
  <autoFilter ref="S184:S194"/>
  <tableColumns count="1">
    <tableColumn id="1" name="JEEP" dataDxfId="21"/>
  </tableColumns>
  <tableStyleInfo name="TableStyleMedium9" showFirstColumn="0" showLastColumn="0" showRowStripes="1" showColumnStripes="0"/>
</table>
</file>

<file path=xl/tables/table37.xml><?xml version="1.0" encoding="utf-8"?>
<table xmlns="http://schemas.openxmlformats.org/spreadsheetml/2006/main" id="52" name="OTRAS_MARCAS" displayName="OTRAS_MARCAS" ref="T184:U194" totalsRowShown="0" headerRowDxfId="20" dataDxfId="19">
  <autoFilter ref="T184:U194"/>
  <tableColumns count="2">
    <tableColumn id="1" name="HYUNDAI" dataDxfId="18"/>
    <tableColumn id="2" name="OTRAS_MARCAS" dataDxfId="17"/>
  </tableColumns>
  <tableStyleInfo name="TableStyleMedium9" showFirstColumn="0" showLastColumn="0" showRowStripes="1" showColumnStripes="0"/>
</table>
</file>

<file path=xl/tables/table38.xml><?xml version="1.0" encoding="utf-8"?>
<table xmlns="http://schemas.openxmlformats.org/spreadsheetml/2006/main" id="53" name="MOTOCICLETA" displayName="MOTOCICLETA" ref="A180:A187" totalsRowShown="0" headerRowDxfId="16" dataDxfId="15">
  <autoFilter ref="A180:A187"/>
  <tableColumns count="1">
    <tableColumn id="1" name="MOTOCICLETA" dataDxfId="14"/>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6.xml"/><Relationship Id="rId117" Type="http://schemas.openxmlformats.org/officeDocument/2006/relationships/control" Target="../activeX/activeX94.xml"/><Relationship Id="rId21" Type="http://schemas.openxmlformats.org/officeDocument/2006/relationships/control" Target="../activeX/activeX12.xml"/><Relationship Id="rId42" Type="http://schemas.openxmlformats.org/officeDocument/2006/relationships/control" Target="../activeX/activeX29.xml"/><Relationship Id="rId47" Type="http://schemas.openxmlformats.org/officeDocument/2006/relationships/control" Target="../activeX/activeX33.xml"/><Relationship Id="rId63" Type="http://schemas.openxmlformats.org/officeDocument/2006/relationships/control" Target="../activeX/activeX46.xml"/><Relationship Id="rId68" Type="http://schemas.openxmlformats.org/officeDocument/2006/relationships/image" Target="../media/image15.emf"/><Relationship Id="rId84" Type="http://schemas.openxmlformats.org/officeDocument/2006/relationships/control" Target="../activeX/activeX66.xml"/><Relationship Id="rId89" Type="http://schemas.openxmlformats.org/officeDocument/2006/relationships/control" Target="../activeX/activeX71.xml"/><Relationship Id="rId112" Type="http://schemas.openxmlformats.org/officeDocument/2006/relationships/control" Target="../activeX/activeX89.xml"/><Relationship Id="rId16" Type="http://schemas.openxmlformats.org/officeDocument/2006/relationships/control" Target="../activeX/activeX8.xml"/><Relationship Id="rId107" Type="http://schemas.openxmlformats.org/officeDocument/2006/relationships/image" Target="../media/image18.emf"/><Relationship Id="rId11" Type="http://schemas.openxmlformats.org/officeDocument/2006/relationships/image" Target="../media/image3.emf"/><Relationship Id="rId32" Type="http://schemas.openxmlformats.org/officeDocument/2006/relationships/control" Target="../activeX/activeX21.xml"/><Relationship Id="rId37" Type="http://schemas.openxmlformats.org/officeDocument/2006/relationships/control" Target="../activeX/activeX24.xml"/><Relationship Id="rId53" Type="http://schemas.openxmlformats.org/officeDocument/2006/relationships/control" Target="../activeX/activeX38.xml"/><Relationship Id="rId58" Type="http://schemas.openxmlformats.org/officeDocument/2006/relationships/control" Target="../activeX/activeX43.xml"/><Relationship Id="rId74" Type="http://schemas.openxmlformats.org/officeDocument/2006/relationships/control" Target="../activeX/activeX56.xml"/><Relationship Id="rId79" Type="http://schemas.openxmlformats.org/officeDocument/2006/relationships/control" Target="../activeX/activeX61.xml"/><Relationship Id="rId102" Type="http://schemas.openxmlformats.org/officeDocument/2006/relationships/control" Target="../activeX/activeX83.xml"/><Relationship Id="rId123" Type="http://schemas.openxmlformats.org/officeDocument/2006/relationships/control" Target="../activeX/activeX100.xml"/><Relationship Id="rId5" Type="http://schemas.openxmlformats.org/officeDocument/2006/relationships/image" Target="../media/image1.emf"/><Relationship Id="rId61" Type="http://schemas.openxmlformats.org/officeDocument/2006/relationships/control" Target="../activeX/activeX45.xml"/><Relationship Id="rId82" Type="http://schemas.openxmlformats.org/officeDocument/2006/relationships/control" Target="../activeX/activeX64.xml"/><Relationship Id="rId90" Type="http://schemas.openxmlformats.org/officeDocument/2006/relationships/control" Target="../activeX/activeX72.xml"/><Relationship Id="rId95" Type="http://schemas.openxmlformats.org/officeDocument/2006/relationships/control" Target="../activeX/activeX77.xml"/><Relationship Id="rId19" Type="http://schemas.openxmlformats.org/officeDocument/2006/relationships/control" Target="../activeX/activeX11.xml"/><Relationship Id="rId14" Type="http://schemas.openxmlformats.org/officeDocument/2006/relationships/control" Target="../activeX/activeX7.xml"/><Relationship Id="rId22" Type="http://schemas.openxmlformats.org/officeDocument/2006/relationships/image" Target="../media/image7.emf"/><Relationship Id="rId27" Type="http://schemas.openxmlformats.org/officeDocument/2006/relationships/control" Target="../activeX/activeX17.xml"/><Relationship Id="rId30" Type="http://schemas.openxmlformats.org/officeDocument/2006/relationships/control" Target="../activeX/activeX19.xml"/><Relationship Id="rId35" Type="http://schemas.openxmlformats.org/officeDocument/2006/relationships/control" Target="../activeX/activeX23.xml"/><Relationship Id="rId43" Type="http://schemas.openxmlformats.org/officeDocument/2006/relationships/image" Target="../media/image11.emf"/><Relationship Id="rId48" Type="http://schemas.openxmlformats.org/officeDocument/2006/relationships/image" Target="../media/image12.emf"/><Relationship Id="rId56" Type="http://schemas.openxmlformats.org/officeDocument/2006/relationships/control" Target="../activeX/activeX41.xml"/><Relationship Id="rId64" Type="http://schemas.openxmlformats.org/officeDocument/2006/relationships/control" Target="../activeX/activeX47.xml"/><Relationship Id="rId69" Type="http://schemas.openxmlformats.org/officeDocument/2006/relationships/control" Target="../activeX/activeX51.xml"/><Relationship Id="rId77" Type="http://schemas.openxmlformats.org/officeDocument/2006/relationships/control" Target="../activeX/activeX59.xml"/><Relationship Id="rId100" Type="http://schemas.openxmlformats.org/officeDocument/2006/relationships/control" Target="../activeX/activeX81.xml"/><Relationship Id="rId105" Type="http://schemas.openxmlformats.org/officeDocument/2006/relationships/image" Target="../media/image17.emf"/><Relationship Id="rId113" Type="http://schemas.openxmlformats.org/officeDocument/2006/relationships/control" Target="../activeX/activeX90.xml"/><Relationship Id="rId118" Type="http://schemas.openxmlformats.org/officeDocument/2006/relationships/control" Target="../activeX/activeX95.xml"/><Relationship Id="rId8" Type="http://schemas.openxmlformats.org/officeDocument/2006/relationships/control" Target="../activeX/activeX3.xml"/><Relationship Id="rId51" Type="http://schemas.openxmlformats.org/officeDocument/2006/relationships/control" Target="../activeX/activeX36.xml"/><Relationship Id="rId72" Type="http://schemas.openxmlformats.org/officeDocument/2006/relationships/control" Target="../activeX/activeX54.xml"/><Relationship Id="rId80" Type="http://schemas.openxmlformats.org/officeDocument/2006/relationships/control" Target="../activeX/activeX62.xml"/><Relationship Id="rId85" Type="http://schemas.openxmlformats.org/officeDocument/2006/relationships/control" Target="../activeX/activeX67.xml"/><Relationship Id="rId93" Type="http://schemas.openxmlformats.org/officeDocument/2006/relationships/control" Target="../activeX/activeX75.xml"/><Relationship Id="rId98" Type="http://schemas.openxmlformats.org/officeDocument/2006/relationships/control" Target="../activeX/activeX79.xml"/><Relationship Id="rId121" Type="http://schemas.openxmlformats.org/officeDocument/2006/relationships/control" Target="../activeX/activeX98.xml"/><Relationship Id="rId3" Type="http://schemas.openxmlformats.org/officeDocument/2006/relationships/vmlDrawing" Target="../drawings/vmlDrawing1.vml"/><Relationship Id="rId12" Type="http://schemas.openxmlformats.org/officeDocument/2006/relationships/control" Target="../activeX/activeX6.xml"/><Relationship Id="rId17" Type="http://schemas.openxmlformats.org/officeDocument/2006/relationships/control" Target="../activeX/activeX9.xml"/><Relationship Id="rId25" Type="http://schemas.openxmlformats.org/officeDocument/2006/relationships/control" Target="../activeX/activeX15.xml"/><Relationship Id="rId33" Type="http://schemas.openxmlformats.org/officeDocument/2006/relationships/control" Target="../activeX/activeX22.xml"/><Relationship Id="rId38" Type="http://schemas.openxmlformats.org/officeDocument/2006/relationships/control" Target="../activeX/activeX25.xml"/><Relationship Id="rId46" Type="http://schemas.openxmlformats.org/officeDocument/2006/relationships/control" Target="../activeX/activeX32.xml"/><Relationship Id="rId59" Type="http://schemas.openxmlformats.org/officeDocument/2006/relationships/control" Target="../activeX/activeX44.xml"/><Relationship Id="rId67" Type="http://schemas.openxmlformats.org/officeDocument/2006/relationships/control" Target="../activeX/activeX50.xml"/><Relationship Id="rId103" Type="http://schemas.openxmlformats.org/officeDocument/2006/relationships/control" Target="../activeX/activeX84.xml"/><Relationship Id="rId108" Type="http://schemas.openxmlformats.org/officeDocument/2006/relationships/control" Target="../activeX/activeX87.xml"/><Relationship Id="rId116" Type="http://schemas.openxmlformats.org/officeDocument/2006/relationships/control" Target="../activeX/activeX93.xml"/><Relationship Id="rId20" Type="http://schemas.openxmlformats.org/officeDocument/2006/relationships/image" Target="../media/image6.emf"/><Relationship Id="rId41" Type="http://schemas.openxmlformats.org/officeDocument/2006/relationships/control" Target="../activeX/activeX28.xml"/><Relationship Id="rId54" Type="http://schemas.openxmlformats.org/officeDocument/2006/relationships/control" Target="../activeX/activeX39.xml"/><Relationship Id="rId62" Type="http://schemas.openxmlformats.org/officeDocument/2006/relationships/image" Target="../media/image14.emf"/><Relationship Id="rId70" Type="http://schemas.openxmlformats.org/officeDocument/2006/relationships/control" Target="../activeX/activeX52.xml"/><Relationship Id="rId75" Type="http://schemas.openxmlformats.org/officeDocument/2006/relationships/control" Target="../activeX/activeX57.xml"/><Relationship Id="rId83" Type="http://schemas.openxmlformats.org/officeDocument/2006/relationships/control" Target="../activeX/activeX65.xml"/><Relationship Id="rId88" Type="http://schemas.openxmlformats.org/officeDocument/2006/relationships/control" Target="../activeX/activeX70.xml"/><Relationship Id="rId91" Type="http://schemas.openxmlformats.org/officeDocument/2006/relationships/control" Target="../activeX/activeX73.xml"/><Relationship Id="rId96" Type="http://schemas.openxmlformats.org/officeDocument/2006/relationships/image" Target="../media/image16.emf"/><Relationship Id="rId111" Type="http://schemas.openxmlformats.org/officeDocument/2006/relationships/image" Target="../media/image20.emf"/><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5.emf"/><Relationship Id="rId23" Type="http://schemas.openxmlformats.org/officeDocument/2006/relationships/control" Target="../activeX/activeX13.xml"/><Relationship Id="rId28" Type="http://schemas.openxmlformats.org/officeDocument/2006/relationships/image" Target="../media/image8.emf"/><Relationship Id="rId36" Type="http://schemas.openxmlformats.org/officeDocument/2006/relationships/image" Target="../media/image10.emf"/><Relationship Id="rId49" Type="http://schemas.openxmlformats.org/officeDocument/2006/relationships/control" Target="../activeX/activeX34.xml"/><Relationship Id="rId57" Type="http://schemas.openxmlformats.org/officeDocument/2006/relationships/control" Target="../activeX/activeX42.xml"/><Relationship Id="rId106" Type="http://schemas.openxmlformats.org/officeDocument/2006/relationships/control" Target="../activeX/activeX86.xml"/><Relationship Id="rId114" Type="http://schemas.openxmlformats.org/officeDocument/2006/relationships/control" Target="../activeX/activeX91.xml"/><Relationship Id="rId119" Type="http://schemas.openxmlformats.org/officeDocument/2006/relationships/control" Target="../activeX/activeX96.xml"/><Relationship Id="rId10" Type="http://schemas.openxmlformats.org/officeDocument/2006/relationships/control" Target="../activeX/activeX5.xml"/><Relationship Id="rId31" Type="http://schemas.openxmlformats.org/officeDocument/2006/relationships/control" Target="../activeX/activeX20.xml"/><Relationship Id="rId44" Type="http://schemas.openxmlformats.org/officeDocument/2006/relationships/control" Target="../activeX/activeX30.xml"/><Relationship Id="rId52" Type="http://schemas.openxmlformats.org/officeDocument/2006/relationships/control" Target="../activeX/activeX37.xml"/><Relationship Id="rId60" Type="http://schemas.openxmlformats.org/officeDocument/2006/relationships/image" Target="../media/image13.emf"/><Relationship Id="rId65" Type="http://schemas.openxmlformats.org/officeDocument/2006/relationships/control" Target="../activeX/activeX48.xml"/><Relationship Id="rId73" Type="http://schemas.openxmlformats.org/officeDocument/2006/relationships/control" Target="../activeX/activeX55.xml"/><Relationship Id="rId78" Type="http://schemas.openxmlformats.org/officeDocument/2006/relationships/control" Target="../activeX/activeX60.xml"/><Relationship Id="rId81" Type="http://schemas.openxmlformats.org/officeDocument/2006/relationships/control" Target="../activeX/activeX63.xml"/><Relationship Id="rId86" Type="http://schemas.openxmlformats.org/officeDocument/2006/relationships/control" Target="../activeX/activeX68.xml"/><Relationship Id="rId94" Type="http://schemas.openxmlformats.org/officeDocument/2006/relationships/control" Target="../activeX/activeX76.xml"/><Relationship Id="rId99" Type="http://schemas.openxmlformats.org/officeDocument/2006/relationships/control" Target="../activeX/activeX80.xml"/><Relationship Id="rId101" Type="http://schemas.openxmlformats.org/officeDocument/2006/relationships/control" Target="../activeX/activeX82.xml"/><Relationship Id="rId122" Type="http://schemas.openxmlformats.org/officeDocument/2006/relationships/control" Target="../activeX/activeX99.xml"/><Relationship Id="rId4" Type="http://schemas.openxmlformats.org/officeDocument/2006/relationships/control" Target="../activeX/activeX1.xml"/><Relationship Id="rId9" Type="http://schemas.openxmlformats.org/officeDocument/2006/relationships/control" Target="../activeX/activeX4.xml"/><Relationship Id="rId13" Type="http://schemas.openxmlformats.org/officeDocument/2006/relationships/image" Target="../media/image4.emf"/><Relationship Id="rId18" Type="http://schemas.openxmlformats.org/officeDocument/2006/relationships/control" Target="../activeX/activeX10.xml"/><Relationship Id="rId39" Type="http://schemas.openxmlformats.org/officeDocument/2006/relationships/control" Target="../activeX/activeX26.xml"/><Relationship Id="rId109" Type="http://schemas.openxmlformats.org/officeDocument/2006/relationships/image" Target="../media/image19.emf"/><Relationship Id="rId34" Type="http://schemas.openxmlformats.org/officeDocument/2006/relationships/image" Target="../media/image9.emf"/><Relationship Id="rId50" Type="http://schemas.openxmlformats.org/officeDocument/2006/relationships/control" Target="../activeX/activeX35.xml"/><Relationship Id="rId55" Type="http://schemas.openxmlformats.org/officeDocument/2006/relationships/control" Target="../activeX/activeX40.xml"/><Relationship Id="rId76" Type="http://schemas.openxmlformats.org/officeDocument/2006/relationships/control" Target="../activeX/activeX58.xml"/><Relationship Id="rId97" Type="http://schemas.openxmlformats.org/officeDocument/2006/relationships/control" Target="../activeX/activeX78.xml"/><Relationship Id="rId104" Type="http://schemas.openxmlformats.org/officeDocument/2006/relationships/control" Target="../activeX/activeX85.xml"/><Relationship Id="rId120" Type="http://schemas.openxmlformats.org/officeDocument/2006/relationships/control" Target="../activeX/activeX97.xml"/><Relationship Id="rId7" Type="http://schemas.openxmlformats.org/officeDocument/2006/relationships/image" Target="../media/image2.emf"/><Relationship Id="rId71" Type="http://schemas.openxmlformats.org/officeDocument/2006/relationships/control" Target="../activeX/activeX53.xml"/><Relationship Id="rId92" Type="http://schemas.openxmlformats.org/officeDocument/2006/relationships/control" Target="../activeX/activeX74.xml"/><Relationship Id="rId2" Type="http://schemas.openxmlformats.org/officeDocument/2006/relationships/drawing" Target="../drawings/drawing1.xml"/><Relationship Id="rId29" Type="http://schemas.openxmlformats.org/officeDocument/2006/relationships/control" Target="../activeX/activeX18.xml"/><Relationship Id="rId24" Type="http://schemas.openxmlformats.org/officeDocument/2006/relationships/control" Target="../activeX/activeX14.xml"/><Relationship Id="rId40" Type="http://schemas.openxmlformats.org/officeDocument/2006/relationships/control" Target="../activeX/activeX27.xml"/><Relationship Id="rId45" Type="http://schemas.openxmlformats.org/officeDocument/2006/relationships/control" Target="../activeX/activeX31.xml"/><Relationship Id="rId66" Type="http://schemas.openxmlformats.org/officeDocument/2006/relationships/control" Target="../activeX/activeX49.xml"/><Relationship Id="rId87" Type="http://schemas.openxmlformats.org/officeDocument/2006/relationships/control" Target="../activeX/activeX69.xml"/><Relationship Id="rId110" Type="http://schemas.openxmlformats.org/officeDocument/2006/relationships/control" Target="../activeX/activeX88.xml"/><Relationship Id="rId115" Type="http://schemas.openxmlformats.org/officeDocument/2006/relationships/control" Target="../activeX/activeX92.xml"/></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9" Type="http://schemas.openxmlformats.org/officeDocument/2006/relationships/table" Target="../tables/table38.xml"/><Relationship Id="rId3" Type="http://schemas.openxmlformats.org/officeDocument/2006/relationships/table" Target="../tables/table2.xml"/><Relationship Id="rId21" Type="http://schemas.openxmlformats.org/officeDocument/2006/relationships/table" Target="../tables/table20.xml"/><Relationship Id="rId34" Type="http://schemas.openxmlformats.org/officeDocument/2006/relationships/table" Target="../tables/table33.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29" Type="http://schemas.openxmlformats.org/officeDocument/2006/relationships/table" Target="../tables/table28.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BM103"/>
  <sheetViews>
    <sheetView tabSelected="1" zoomScale="55" zoomScaleNormal="55" workbookViewId="0">
      <pane xSplit="2" ySplit="2" topLeftCell="C3" activePane="bottomRight" state="frozen"/>
      <selection pane="topRight" activeCell="C1" sqref="C1"/>
      <selection pane="bottomLeft" activeCell="A3" sqref="A3"/>
      <selection pane="bottomRight" activeCell="G3" sqref="G3"/>
    </sheetView>
  </sheetViews>
  <sheetFormatPr baseColWidth="10" defaultColWidth="11.42578125" defaultRowHeight="117.6" customHeight="1" x14ac:dyDescent="0.25"/>
  <cols>
    <col min="1" max="1" width="11.42578125" style="1" customWidth="1"/>
    <col min="2" max="2" width="54.85546875" style="1" customWidth="1"/>
    <col min="3" max="3" width="35.85546875" style="1" customWidth="1"/>
    <col min="4" max="5" width="28" style="1" customWidth="1"/>
    <col min="6" max="6" width="28.42578125" style="15" customWidth="1"/>
    <col min="7" max="7" width="38.7109375" style="15" customWidth="1"/>
    <col min="8" max="8" width="47" style="1" bestFit="1" customWidth="1"/>
    <col min="9" max="9" width="32.7109375" style="1" customWidth="1"/>
    <col min="10" max="10" width="31.7109375" style="1" customWidth="1"/>
    <col min="11" max="11" width="53.5703125" style="1" customWidth="1"/>
    <col min="12" max="12" width="45" style="1" customWidth="1"/>
    <col min="13" max="13" width="28.140625" style="1" customWidth="1"/>
    <col min="14" max="14" width="35.7109375" style="1" customWidth="1"/>
    <col min="15" max="16" width="24.5703125" style="1" customWidth="1"/>
    <col min="17" max="17" width="56.85546875" style="1" customWidth="1"/>
    <col min="18" max="18" width="65" style="1" customWidth="1"/>
    <col min="19" max="19" width="81" style="1" customWidth="1"/>
    <col min="20" max="20" width="42.42578125" style="1" customWidth="1"/>
    <col min="21" max="21" width="25.85546875" style="105" hidden="1" customWidth="1"/>
    <col min="22" max="22" width="30.5703125" style="1" customWidth="1"/>
    <col min="23" max="23" width="25.85546875" style="105" hidden="1" customWidth="1"/>
    <col min="24" max="24" width="35.5703125" style="1" customWidth="1"/>
    <col min="25" max="25" width="25.85546875" style="1" customWidth="1"/>
    <col min="26" max="29" width="19" style="105" hidden="1" customWidth="1"/>
    <col min="30" max="30" width="43.85546875" style="1" customWidth="1"/>
    <col min="31" max="31" width="40.42578125" style="1" customWidth="1"/>
    <col min="32" max="32" width="42.140625" style="14" customWidth="1"/>
    <col min="33" max="33" width="27.85546875" style="14" customWidth="1"/>
    <col min="34" max="34" width="26" style="14" customWidth="1"/>
    <col min="35" max="42" width="30.28515625" style="14" customWidth="1"/>
    <col min="43" max="43" width="30.28515625" style="14" hidden="1" customWidth="1"/>
    <col min="44" max="44" width="45.28515625" style="14" customWidth="1"/>
    <col min="45" max="45" width="28" style="14" customWidth="1"/>
    <col min="46" max="52" width="22.140625" style="14" customWidth="1"/>
    <col min="53" max="53" width="25.42578125" style="14" customWidth="1"/>
    <col min="54" max="54" width="30.85546875" style="14" customWidth="1"/>
    <col min="55" max="60" width="37.5703125" style="14" customWidth="1"/>
    <col min="61" max="61" width="37.5703125" style="109" hidden="1" customWidth="1"/>
    <col min="62" max="62" width="40.42578125" style="14" customWidth="1"/>
    <col min="63" max="63" width="37.5703125" style="14" customWidth="1"/>
    <col min="64" max="64" width="84.7109375" style="14" customWidth="1"/>
    <col min="65" max="65" width="17.28515625" style="1" hidden="1" customWidth="1"/>
    <col min="66" max="66" width="13.85546875" style="1" bestFit="1" customWidth="1"/>
    <col min="67" max="16384" width="11.42578125" style="1"/>
  </cols>
  <sheetData>
    <row r="1" spans="1:65" s="169" customFormat="1" ht="54" customHeight="1" thickTop="1" thickBot="1" x14ac:dyDescent="0.3">
      <c r="A1" s="245" t="s">
        <v>0</v>
      </c>
      <c r="B1" s="253" t="s">
        <v>1053</v>
      </c>
      <c r="C1" s="259" t="s">
        <v>876</v>
      </c>
      <c r="D1" s="247" t="s">
        <v>874</v>
      </c>
      <c r="E1" s="261" t="s">
        <v>875</v>
      </c>
      <c r="F1" s="262"/>
      <c r="G1" s="241" t="s">
        <v>810</v>
      </c>
      <c r="H1" s="249" t="s">
        <v>1063</v>
      </c>
      <c r="I1" s="241" t="s">
        <v>435</v>
      </c>
      <c r="J1" s="263" t="s">
        <v>436</v>
      </c>
      <c r="K1" s="257" t="s">
        <v>866</v>
      </c>
      <c r="L1" s="255" t="s">
        <v>865</v>
      </c>
      <c r="M1" s="255" t="s">
        <v>654</v>
      </c>
      <c r="N1" s="251" t="s">
        <v>653</v>
      </c>
      <c r="O1" s="259" t="s">
        <v>1</v>
      </c>
      <c r="P1" s="249"/>
      <c r="Q1" s="270" t="s">
        <v>470</v>
      </c>
      <c r="R1" s="272" t="s">
        <v>873</v>
      </c>
      <c r="S1" s="278" t="s">
        <v>138</v>
      </c>
      <c r="T1" s="270" t="s">
        <v>45</v>
      </c>
      <c r="U1" s="234" t="s">
        <v>511</v>
      </c>
      <c r="V1" s="234" t="s">
        <v>3</v>
      </c>
      <c r="W1" s="234" t="s">
        <v>488</v>
      </c>
      <c r="X1" s="234" t="s">
        <v>8</v>
      </c>
      <c r="Y1" s="276" t="s">
        <v>4</v>
      </c>
      <c r="Z1" s="232" t="s">
        <v>796</v>
      </c>
      <c r="AA1" s="232" t="s">
        <v>806</v>
      </c>
      <c r="AB1" s="282" t="s">
        <v>807</v>
      </c>
      <c r="AC1" s="282" t="s">
        <v>871</v>
      </c>
      <c r="AD1" s="241" t="s">
        <v>2</v>
      </c>
      <c r="AE1" s="243" t="s">
        <v>1054</v>
      </c>
      <c r="AF1" s="236" t="s">
        <v>222</v>
      </c>
      <c r="AG1" s="238" t="s">
        <v>980</v>
      </c>
      <c r="AH1" s="239"/>
      <c r="AI1" s="240"/>
      <c r="AJ1" s="288" t="s">
        <v>981</v>
      </c>
      <c r="AK1" s="239"/>
      <c r="AL1" s="289"/>
      <c r="AM1" s="289"/>
      <c r="AN1" s="289"/>
      <c r="AO1" s="289"/>
      <c r="AP1" s="280" t="s">
        <v>993</v>
      </c>
      <c r="AQ1" s="296" t="s">
        <v>1058</v>
      </c>
      <c r="AR1" s="274" t="s">
        <v>489</v>
      </c>
      <c r="AS1" s="265" t="s">
        <v>803</v>
      </c>
      <c r="AT1" s="266"/>
      <c r="AU1" s="266"/>
      <c r="AV1" s="266"/>
      <c r="AW1" s="266"/>
      <c r="AX1" s="266"/>
      <c r="AY1" s="266"/>
      <c r="AZ1" s="267"/>
      <c r="BA1" s="268" t="s">
        <v>867</v>
      </c>
      <c r="BB1" s="270" t="s">
        <v>5</v>
      </c>
      <c r="BC1" s="234" t="s">
        <v>956</v>
      </c>
      <c r="BD1" s="234" t="s">
        <v>946</v>
      </c>
      <c r="BE1" s="234" t="s">
        <v>943</v>
      </c>
      <c r="BF1" s="292" t="s">
        <v>944</v>
      </c>
      <c r="BG1" s="270" t="s">
        <v>809</v>
      </c>
      <c r="BH1" s="292" t="s">
        <v>969</v>
      </c>
      <c r="BI1" s="294" t="s">
        <v>1055</v>
      </c>
      <c r="BJ1" s="284" t="s">
        <v>1017</v>
      </c>
      <c r="BK1" s="286" t="s">
        <v>1019</v>
      </c>
      <c r="BL1" s="290" t="s">
        <v>434</v>
      </c>
    </row>
    <row r="2" spans="1:65" s="169" customFormat="1" ht="54" customHeight="1" thickTop="1" thickBot="1" x14ac:dyDescent="0.3">
      <c r="A2" s="246"/>
      <c r="B2" s="254"/>
      <c r="C2" s="260"/>
      <c r="D2" s="248"/>
      <c r="E2" s="173" t="s">
        <v>986</v>
      </c>
      <c r="F2" s="172" t="s">
        <v>987</v>
      </c>
      <c r="G2" s="242"/>
      <c r="H2" s="250"/>
      <c r="I2" s="242"/>
      <c r="J2" s="264"/>
      <c r="K2" s="258"/>
      <c r="L2" s="256"/>
      <c r="M2" s="256"/>
      <c r="N2" s="252"/>
      <c r="O2" s="174" t="s">
        <v>6</v>
      </c>
      <c r="P2" s="175" t="s">
        <v>7</v>
      </c>
      <c r="Q2" s="271"/>
      <c r="R2" s="273"/>
      <c r="S2" s="279"/>
      <c r="T2" s="271"/>
      <c r="U2" s="235"/>
      <c r="V2" s="235"/>
      <c r="W2" s="235"/>
      <c r="X2" s="235"/>
      <c r="Y2" s="277"/>
      <c r="Z2" s="233"/>
      <c r="AA2" s="233"/>
      <c r="AB2" s="283"/>
      <c r="AC2" s="283"/>
      <c r="AD2" s="242"/>
      <c r="AE2" s="244"/>
      <c r="AF2" s="237"/>
      <c r="AG2" s="176" t="s">
        <v>405</v>
      </c>
      <c r="AH2" s="177" t="s">
        <v>406</v>
      </c>
      <c r="AI2" s="178" t="s">
        <v>407</v>
      </c>
      <c r="AJ2" s="179" t="s">
        <v>974</v>
      </c>
      <c r="AK2" s="177" t="s">
        <v>975</v>
      </c>
      <c r="AL2" s="177" t="s">
        <v>977</v>
      </c>
      <c r="AM2" s="177" t="s">
        <v>976</v>
      </c>
      <c r="AN2" s="177" t="s">
        <v>978</v>
      </c>
      <c r="AO2" s="179" t="s">
        <v>979</v>
      </c>
      <c r="AP2" s="281"/>
      <c r="AQ2" s="297"/>
      <c r="AR2" s="275"/>
      <c r="AS2" s="180" t="s">
        <v>412</v>
      </c>
      <c r="AT2" s="181" t="s">
        <v>405</v>
      </c>
      <c r="AU2" s="182" t="s">
        <v>406</v>
      </c>
      <c r="AV2" s="183" t="s">
        <v>407</v>
      </c>
      <c r="AW2" s="184" t="s">
        <v>1102</v>
      </c>
      <c r="AX2" s="182" t="s">
        <v>1103</v>
      </c>
      <c r="AY2" s="182" t="s">
        <v>1104</v>
      </c>
      <c r="AZ2" s="185" t="s">
        <v>979</v>
      </c>
      <c r="BA2" s="269"/>
      <c r="BB2" s="271"/>
      <c r="BC2" s="235"/>
      <c r="BD2" s="235"/>
      <c r="BE2" s="235"/>
      <c r="BF2" s="293"/>
      <c r="BG2" s="271"/>
      <c r="BH2" s="293"/>
      <c r="BI2" s="295"/>
      <c r="BJ2" s="285"/>
      <c r="BK2" s="287"/>
      <c r="BL2" s="291"/>
      <c r="BM2" s="169" t="s">
        <v>1160</v>
      </c>
    </row>
    <row r="3" spans="1:65" ht="117.6" customHeight="1" thickTop="1" x14ac:dyDescent="0.25">
      <c r="A3" s="170">
        <v>1</v>
      </c>
      <c r="B3" s="41" t="str">
        <f>IF(AND(BM3,ISBLANK(C3)),"Completar FECHA DE DENUNCIA",IF(AND(BM3,OR(ISBLANK(D3),ISBLANK(E3),ISBLANK(H3))),"Completar las celdas FECHA, HORA Y PREVENTIVO. En caso de no conocer la fecha u horario colocar INDETERMINADO",IF(AND(BM3,ISBLANK(G3)),"Completar COMISARIA",IF(AND(BM3,OR(ISBLANK(I3),ISBLANK(L3),ISBLANK(M3),O3="")),"Completar las celdas LOCALIDAD, CALLE, ALTURA Y DIRECCION SEGUN  GOOGLE MAPS",IF(AND(ISBLANK(J3),OR(I3=AÑELO[[#Headers],[AÑELO]],CENTENARIO[[#Headers],[CENTENARIO]]='PLANILLA DJ'!I3,CUTRAL_CO[[#Headers],[CUTRAL_CO]],JUNIN_DE_LOS_ANDES[[#Headers],[JUNIN_DE_LOS_ANDES]]='PLANILLA DJ'!I3,'PLANILLA DJ'!I3=NEUQUEN[[#Headers],[NEUQUEN]],PLAZA_HUINCUL[[#Headers],[PLAZA_HUINCUL]]='PLANILLA DJ'!I3,'PLANILLA DJ'!I3=PLOTTIER[[#Headers],[PLOTTIER]])),"COMPLETAR BARRIO",IF(AND(BM3,ISBLANK(Q3)),"Completar Nombre de VICTIMA o DENUNCIANTE",IF(AND(BM3,ISBLANK(R3)),"Completar TIPO DE ACTUACION",IF(AND(R3=BUSCADOR!$B$140,OR(X3&lt;&gt;BUSCADOR!$A$110,ISBLANK(X3))),"Se indico A CONSIDERACION en ACTUACION, indicar en el buscador de delitos A CONSIDERACION tambien",IF(AND(ISBLANK(X3)&lt;&gt;TRUE,IFERROR(MATCH(X3,BUSCADOR!$A$2:$A$112,0),-1)&lt;0),"EN EL BUSCADOR DE DELITOS NO agregar comentarios como SU INVESTIGACION, REPORTE, etc. Limitarse SOLAMENTE a poner A CONSIDERACION u otro valor que coincida en el buscador",IF(AND(ISBLANK(AD3),OR(Y3=BUSCADOR!$B$49,BUSCADOR!$B$50=Y3,Y3=BUSCADOR!$B$46,Y3=BUSCADOR!$B$2,Y3=BUSCADOR!$B$7,BUSCADOR!$B$109=Y3,X3=BUSCADOR!$A$58,X3=BUSCADOR!$A$59)),"Completar la celda TIPO DE LUGAR",IF(AND(ISBLANK(AE3),OR(AD3=BUSCADOR!$E$149,BUSCADOR!$E$150=AD3,AD3=BUSCADOR!$F$148)),"Completar DETALLE ESTABLECIMIENTO",IF(AND(ISBLANK(AF3),BM3),"Completar la celda MOTIVO QUE ORIGINA EL REGISTRO DEL HECHO",IF(AND(SUM(AG3:AI3)=0,OR(Y3=BUSCADOR!$B$2,BUSCADOR!$B$6=Y3,Y3=BUSCADOR!$B$7,BUSCADOR!$B$8=Y3,Y3=BUSCADOR!$B$9,BUSCADOR!$B$12=Y3,Y3=BUSCADOR!$B$13,BUSCADOR!$B$14=Y3,Y3=BUSCADOR!$B$17,BUSCADOR!$B$18=Y3,Y3=BUSCADOR!$B$20,BUSCADOR!$B$29=Y3,BUSCADOR!$B$34=Y3,BUSCADOR!$B$35=Y3,Y3=BUSCADOR!$B$109,Y3=BUSCADOR!$B$51,BUSCADOR!$B$50=Y3,Y3=BUSCADOR!$B$47,Y3=BUSCADOR!$B$58,Y3=BUSCADOR!$B$21,Y3=BUSCADOR!$B$22,Y3=BUSCADOR!$B$23,Y3=BUSCADOR!$B$24)),"El delito indicado debe presentar un numero de victimas. Completar la celda CANTIDAD DE VICTIMAS",IF(AND(SUM(AJ3:AO3)&gt;0,ISBLANK(AP3)),"Completar celda VULNERABILIDAD DE LA VICTIMA",IF(SUM(AG3:AI3)&lt;&gt;SUM(AJ3:AO3),"Se indico una CANTIDAD DE VICTIMAS SEGUN SEXO diferente a SEGUN GENERO",IF(AND(ISBLANK(AR3),OR(Y3=BUSCADOR!$B$49,BUSCADOR!$B$50=Y3,Y3=BUSCADOR!$B$46,Y3=BUSCADOR!$B$109,BUSCADOR!$B$2=Y3,X3=BUSCADOR!$A$58,X3=BUSCADOR!$A$59)),"Completar la celda TIPO DE ARMA, MODALIDAD O MECANISMO",IF(AND(ISBLANK(AS3),OR(Y3=BUSCADOR!$B$51,BUSCADOR!$B$50=Y3,Y3=BUSCADOR!$B$47,BUSCADOR!$A$58=X3,X3=BUSCADOR!$A$59)),"Completar la celda CONOCIDO, en la seccion de los inculpados",IF(AND(AS3=BUSCADOR!$B$127,OR(Y3=BUSCADOR!$B$51,BUSCADOR!$B$50,Y3,BUSCADOR!$B$46),OR(SUM(AT3:AV3)&lt;&gt;SUM(AW3:AZ3),SUM(AT3:AZ3)=0)),"Revisar las celdas correspondientes a CANTIDAD DE INCULPADOS. Se indica una cantidad diferente segun SEXO y EDAD o no se indico cantidad alguna",IF(AND(ISBLANK(BA3),X3=BUSCADOR!$A$27),"Se indico una persona desaparecida. Completar la casilla APARECIO",IF(AND(ISBLANK(BB3),OR(Y3=BUSCADOR!$B$49,BUSCADOR!$B$50=Y3,Y3=BUSCADOR!$B$46)),"Completar la casilla ELEMENTO SUSTRAIDO",IF(OR(AND(BB3=OTROS[[#Headers],[OTROS]],ISBLANK(BC3)),AND(BB3=ABIGEATO[[#Headers],[ABIGEATO]],ISBLANK(BC3))),"Completar la celda SUBCATEGORIA",IF(AND(OR(BB3=MOTOCICLETA[[#Headers],[MOTOCICLETA]],BB3=AUTOMOTOR[[#Headers],[AUTOMOTOR]]),OR(ISBLANK(BC3),ISBLANK(BD3),ISBLANK(BE3),ISBLANK(BF3))),"Se indico un AUTOMOTOR o MOTOCICLETA en ELEMENTOS SUSTRAIDOS, completar las celdas SUBCATEGORIA, DENOMINACION, AÑO y MODELO", IF(AND(ISBLANK(BB3)&lt;&gt;TRUE,ISBLANK(BJ3)),"Completar MODUS OPERANDI",IF(AND(ISBLANK(BK3),OR(BJ3=BUSCADOR!$H$232,BJ3=BUSCADOR!$I$232)),"Completar ESPECIALIDAD",IF(OR(AND(H3='SAT-Homicidios Dolosos'!$B$5,'SAT-Homicidios Dolosos'!$A$5&lt;&gt;"OK"),AND(H3='SAT-Homicidios Dolosos'!$B$8,'SAT-Homicidios Dolosos'!$A$8&lt;&gt;"OK")),"Se indico un HOMICIDIO, existen CELDAS VACIAS en la hoja SAT-HOMICIDIOS DOLOSOS Completar los datos indicados",IF(OR(AND(H3='SAT-Muertes Viales'!$E$21,'SAT-Muertes Viales'!$A$21&lt;&gt;"OK"),AND(H3='SAT-Muertes Viales'!$E$25,'SAT-Muertes Viales'!$A$25&lt;&gt;"OK"),AND(H3='SAT-Muertes Viales'!$E$29,'SAT-Muertes Viales'!$A$29&lt;&gt;"OK")),"Se indico un HOMICIDIO POR SINIESTRO VIAL, existen CELDAS VACIAS en la hoja SAT-MUERTES VIALES Completar los datos indicados",IF(OR(AND(H3='SAT-Suicidios'!$B$19,'SAT-Suicidios'!$A$19&lt;&gt;"OK"),AND(H3='SAT-Suicidios'!$B$22,'SAT-Suicidios'!$A$22&lt;&gt;"OK"),AND(H3='SAT-Suicidios'!$B$25,'SAT-Suicidios'!$A$25&lt;&gt;"OK")),"Se indico un SUICIDIO, existen CELDAS VACIAS en la hoja SAT-SUICIDIOS Completar los datos indicados",IF(IFERROR(MATCH(X3,BUSCADOR!$A$2:$A$112,0),-1)&lt;0,"No se indico delito",IF(AND(ISBLANK(BL3),OR(X3=BUSCADOR!$A$111,X3=BUSCADOR!$A$110)),"Llenar la casilla DETALLES, COMENTARIOS con una descripcion de la causa",IF(AND(X3="MUERTE DUDOSA",ISBLANK(BL3)=FALSE),"SE INDICO MUERTE DUDOSA, NOS CONTACTAREMOS PARA MAS INFORMACION","FILA CORRECTA"))))))))))))))))))))))))))))))</f>
        <v>No se indico delito</v>
      </c>
      <c r="C3" s="85"/>
      <c r="D3" s="165"/>
      <c r="E3" s="164"/>
      <c r="F3" s="86"/>
      <c r="G3" s="44" t="s">
        <v>829</v>
      </c>
      <c r="H3" s="45"/>
      <c r="I3" s="50"/>
      <c r="J3" s="29"/>
      <c r="K3" s="29"/>
      <c r="L3" s="29"/>
      <c r="M3" s="29"/>
      <c r="N3" s="51"/>
      <c r="O3" s="55" t="str">
        <f>IFERROR(IFERROR(IF(ABS(MID(N3,FIND("!3d-",N3)+3,(FIND("!4d-",N3)-FIND("!3d-",N3))-3)-IFERROR(MID(N3,FIND("@",N3)+1,(FIND(",",N3,FIND("@",N3))-FIND("@",N3))-1),""))&lt;0.0003,MID(N3,FIND("!3d-",N3)+3,(FIND("!4d-",N3)-FIND("!3d-",N3))-3),IFERROR(MID(N3,FIND("@",N3)+1,FIND(",",N3,FIND("@",N3))-FIND("@",N3)-1),"")),MID(N3,FIND("@",N3)+1,(FIND(",",N3,FIND("@",N3))-FIND("@",N3))-1)),"")</f>
        <v/>
      </c>
      <c r="P3" s="56" t="str">
        <f>IFERROR(IFERROR(IFERROR(IF(ABS(MID(N3,FIND("!4d-",N3)+3,FIND(",",N3,FIND(",",N3,FIND("@",N3))+1)-FIND(",",N3,FIND("@",N3))-1)-MID(N3,FIND(",",N3,FIND("@",N3))+1,FIND(",",N3,FIND(",",N3,FIND("@",N3))+1)-FIND(",",N3,FIND("@",N3))-1))&lt;0.0003,MID(N3,FIND("!4d-",N3)+3,FIND(",",N3,FIND(",",N3,FIND("@",N3))+1)-FIND(",",N3,FIND("@",N3))-1),MID(N3,FIND(",",N3,FIND("@",N3))+1,FIND(",",N3,FIND(",",N3,FIND("@",N3))+1)-FIND(",",N3,FIND("@",N3))-1)),MID(N3,FIND(",",N3,FIND("@",N3))+1,FIND(",",N3,FIND(",",N3,FIND("@",N3))+1)-FIND(",",N3,FIND("@",N3))-1)),MID(N3,FIND(",",N3,FIND("@",N3))+1,10)),"")</f>
        <v/>
      </c>
      <c r="Q3" s="50"/>
      <c r="R3" s="45"/>
      <c r="S3" s="61"/>
      <c r="T3" s="55" t="str">
        <f>IFERROR(VLOOKUP(X3,BUSCADOR!$A$2:$E$112,5,FALSE),"")</f>
        <v/>
      </c>
      <c r="U3" s="106" t="str">
        <f t="shared" ref="U3:U41" si="0">MID(T3,1,100)</f>
        <v/>
      </c>
      <c r="V3" s="30" t="str">
        <f>IFERROR(VLOOKUP(X3,BUSCADOR!$A$2:$E$112,4,FALSE),"")</f>
        <v/>
      </c>
      <c r="W3" s="106" t="str">
        <f>MID(V3,1,100)</f>
        <v/>
      </c>
      <c r="X3" s="29"/>
      <c r="Y3" s="56" t="str">
        <f>IFERROR(VLOOKUP(X3,BUSCADOR!$A$2:$B$112,2,FALSE),"")</f>
        <v/>
      </c>
      <c r="Z3" s="101" t="str">
        <f>CONCATENATE("__",MID(Y3,1,5))</f>
        <v>__</v>
      </c>
      <c r="AA3" s="101" t="str">
        <f>CONCATENATE("_",MID(Z3,1,5))</f>
        <v>___</v>
      </c>
      <c r="AB3" s="102" t="str">
        <f>CONCATENATE("_",MID(AA3,1,6))</f>
        <v>____</v>
      </c>
      <c r="AC3" s="102" t="str">
        <f>CONCATENATE("_",MID(AB3,1,6))</f>
        <v>_____</v>
      </c>
      <c r="AD3" s="96"/>
      <c r="AE3" s="97"/>
      <c r="AF3" s="65"/>
      <c r="AG3" s="209"/>
      <c r="AH3" s="210"/>
      <c r="AI3" s="211"/>
      <c r="AJ3" s="218"/>
      <c r="AK3" s="210"/>
      <c r="AL3" s="210"/>
      <c r="AM3" s="210"/>
      <c r="AN3" s="210"/>
      <c r="AO3" s="218"/>
      <c r="AP3" s="95"/>
      <c r="AQ3" s="186" t="str">
        <f t="shared" ref="AQ3:AQ67" si="1">IF(SUM(AJ3:AO3),"CALIDAD_VICTIMAS","")</f>
        <v/>
      </c>
      <c r="AR3" s="65"/>
      <c r="AS3" s="75"/>
      <c r="AT3" s="222"/>
      <c r="AU3" s="210"/>
      <c r="AV3" s="211"/>
      <c r="AW3" s="223"/>
      <c r="AX3" s="210"/>
      <c r="AY3" s="210"/>
      <c r="AZ3" s="224"/>
      <c r="BA3" s="65"/>
      <c r="BB3" s="50"/>
      <c r="BC3" s="29"/>
      <c r="BD3" s="29"/>
      <c r="BE3" s="29"/>
      <c r="BF3" s="78"/>
      <c r="BG3" s="50"/>
      <c r="BH3" s="71"/>
      <c r="BI3" s="188" t="str">
        <f>IF(Y3=BUSCADOR!$B$46,"HURTO_",IF(OR(Y3=BUSCADOR!$B$49,Y3=BUSCADOR!$B$50),"ROBO_",""))</f>
        <v/>
      </c>
      <c r="BJ3" s="50"/>
      <c r="BK3" s="45"/>
      <c r="BL3" s="66"/>
      <c r="BM3" s="1" t="b">
        <f>Y3&lt;&gt;""</f>
        <v>0</v>
      </c>
    </row>
    <row r="4" spans="1:65" ht="117.6" customHeight="1" x14ac:dyDescent="0.25">
      <c r="A4" s="171">
        <v>2</v>
      </c>
      <c r="B4" s="41" t="str">
        <f>IF(AND(BM4,ISBLANK(C4)),"Completar FECHA DE DENUNCIA",IF(AND(BM4,OR(ISBLANK(D4),ISBLANK(E4),ISBLANK(H4))),"Completar las celdas FECHA, HORA Y PREVENTIVO. En caso de no conocer la fecha u horario colocar INDETERMINADO",IF(AND(BM4,ISBLANK(G4)),"Completar COMISARIA",IF(AND(BM4,OR(ISBLANK(I4),ISBLANK(L4),ISBLANK(M4),O4="")),"Completar las celdas LOCALIDAD, CALLE, ALTURA Y DIRECCION SEGUN  GOOGLE MAPS",IF(AND(ISBLANK(J4),OR(I4=AÑELO[[#Headers],[AÑELO]],CENTENARIO[[#Headers],[CENTENARIO]]='PLANILLA DJ'!I4,CUTRAL_CO[[#Headers],[CUTRAL_CO]],JUNIN_DE_LOS_ANDES[[#Headers],[JUNIN_DE_LOS_ANDES]]='PLANILLA DJ'!I4,'PLANILLA DJ'!I4=NEUQUEN[[#Headers],[NEUQUEN]],PLAZA_HUINCUL[[#Headers],[PLAZA_HUINCUL]]='PLANILLA DJ'!I4,'PLANILLA DJ'!I4=PLOTTIER[[#Headers],[PLOTTIER]])),"COMPLETAR BARRIO",IF(AND(BM4,ISBLANK(Q4)),"Completar Nombre de VICTIMA o DENUNCIANTE",IF(AND(BM4,ISBLANK(R4)),"Completar TIPO DE ACTUACION",IF(AND(R4=BUSCADOR!$B$140,OR(X4&lt;&gt;BUSCADOR!$A$110,ISBLANK(X4))),"Se indico A CONSIDERACION en ACTUACION, indicar en el buscador de delitos A CONSIDERACION tambien",IF(AND(ISBLANK(X4)&lt;&gt;TRUE,IFERROR(MATCH(X4,BUSCADOR!$A$2:$A$112,0),-1)&lt;0),"EN EL BUSCADOR DE DELITOS NO agregar comentarios como SU INVESTIGACION, REPORTE, etc. Limitarse SOLAMENTE a poner A CONSIDERACION u otro valor que coincida en el buscador",IF(AND(ISBLANK(AD4),OR(Y4=BUSCADOR!$B$49,BUSCADOR!$B$50=Y4,Y4=BUSCADOR!$B$46,Y4=BUSCADOR!$B$2,Y4=BUSCADOR!$B$7,BUSCADOR!$B$109=Y4,X4=BUSCADOR!$A$58,X4=BUSCADOR!$A$59)),"Completar la celda TIPO DE LUGAR",IF(AND(ISBLANK(AE4),OR(AD4=BUSCADOR!$E$149,BUSCADOR!$E$150=AD4,AD4=BUSCADOR!$F$148)),"Completar DETALLE ESTABLECIMIENTO",IF(AND(ISBLANK(AF4),BM4),"Completar la celda MOTIVO QUE ORIGINA EL REGISTRO DEL HECHO",IF(AND(SUM(AG4:AI4)=0,OR(Y4=BUSCADOR!$B$2,BUSCADOR!$B$6=Y4,Y4=BUSCADOR!$B$7,BUSCADOR!$B$8=Y4,Y4=BUSCADOR!$B$9,BUSCADOR!$B$12=Y4,Y4=BUSCADOR!$B$13,BUSCADOR!$B$14=Y4,Y4=BUSCADOR!$B$17,BUSCADOR!$B$18=Y4,Y4=BUSCADOR!$B$20,BUSCADOR!$B$29=Y4,BUSCADOR!$B$34=Y4,BUSCADOR!$B$35=Y4,Y4=BUSCADOR!$B$109,Y4=BUSCADOR!$B$51,BUSCADOR!$B$50=Y4,Y4=BUSCADOR!$B$47,Y4=BUSCADOR!$B$58,Y4=BUSCADOR!$B$21,Y4=BUSCADOR!$B$22,Y4=BUSCADOR!$B$23,Y4=BUSCADOR!$B$24)),"El delito indicado debe presentar un numero de victimas. Completar la celda CANTIDAD DE VICTIMAS",IF(AND(SUM(AJ4:AO4)&gt;0,ISBLANK(AP4)),"Completar celda VULNERABILIDAD DE LA VICTIMA",IF(SUM(AG4:AI4)&lt;&gt;SUM(AJ4:AO4),"Se indico una CANTIDAD DE VICTIMAS SEGUN SEXO diferente a SEGUN GENERO",IF(AND(ISBLANK(AR4),OR(Y4=BUSCADOR!$B$49,BUSCADOR!$B$50=Y4,Y4=BUSCADOR!$B$46,Y4=BUSCADOR!$B$109,BUSCADOR!$B$2=Y4,X4=BUSCADOR!$A$58,X4=BUSCADOR!$A$59)),"Completar la celda TIPO DE ARMA, MODALIDAD O MECANISMO",IF(AND(ISBLANK(AS4),OR(Y4=BUSCADOR!$B$51,BUSCADOR!$B$50=Y4,Y4=BUSCADOR!$B$47,BUSCADOR!$A$58=X4,X4=BUSCADOR!$A$59)),"Completar la celda CONOCIDO, en la seccion de los inculpados",IF(AND(AS4=BUSCADOR!$B$127,OR(Y4=BUSCADOR!$B$51,BUSCADOR!$B$50,Y4,BUSCADOR!$B$46),OR(SUM(AT4:AV4)&lt;&gt;SUM(AW4:AZ4),SUM(AT4:AZ4)=0)),"Revisar las celdas correspondientes a CANTIDAD DE INCULPADOS. Se indica una cantidad diferente segun SEXO y EDAD o no se indico cantidad alguna",IF(AND(ISBLANK(BA4),X4=BUSCADOR!$A$27),"Se indico una persona desaparecida. Completar la casilla APARECIO",IF(AND(ISBLANK(BB4),OR(Y4=BUSCADOR!$B$49,BUSCADOR!$B$50=Y4,Y4=BUSCADOR!$B$46)),"Completar la casilla ELEMENTO SUSTRAIDO",IF(OR(AND(BB4=OTROS[[#Headers],[OTROS]],ISBLANK(BC4)),AND(BB4=ABIGEATO[[#Headers],[ABIGEATO]],ISBLANK(BC4))),"Completar la celda SUBCATEGORIA",IF(AND(OR(BB4=MOTOCICLETA[[#Headers],[MOTOCICLETA]],BB4=AUTOMOTOR[[#Headers],[AUTOMOTOR]]),OR(ISBLANK(BC4),ISBLANK(BD4),ISBLANK(BE4),ISBLANK(BF4))),"Se indico un AUTOMOTOR o MOTOCICLETA en ELEMENTOS SUSTRAIDOS, completar las celdas SUBCATEGORIA, DENOMINACION, AÑO y MODELO", IF(AND(ISBLANK(BB4)&lt;&gt;TRUE,ISBLANK(BJ4)),"Completar MODUS OPERANDI",IF(AND(ISBLANK(BK4),OR(BJ4=BUSCADOR!$H$232,BJ4=BUSCADOR!$I$232)),"Completar ESPECIALIDAD",IF(OR(AND(H4='SAT-Homicidios Dolosos'!$B$5,'SAT-Homicidios Dolosos'!$A$5&lt;&gt;"OK"),AND(H4='SAT-Homicidios Dolosos'!$B$8,'SAT-Homicidios Dolosos'!$A$8&lt;&gt;"OK")),"Se indico un HOMICIDIO, existen CELDAS VACIAS en la hoja SAT-HOMICIDIOS DOLOSOS Completar los datos indicados",IF(OR(AND(H4='SAT-Muertes Viales'!$E$21,'SAT-Muertes Viales'!$A$21&lt;&gt;"OK"),AND(H4='SAT-Muertes Viales'!$E$25,'SAT-Muertes Viales'!$A$25&lt;&gt;"OK"),AND(H4='SAT-Muertes Viales'!$E$29,'SAT-Muertes Viales'!$A$29&lt;&gt;"OK")),"Se indico un HOMICIDIO POR SINIESTRO VIAL, existen CELDAS VACIAS en la hoja SAT-MUERTES VIALES Completar los datos indicados",IF(OR(AND(H4='SAT-Suicidios'!$B$19,'SAT-Suicidios'!$A$19&lt;&gt;"OK"),AND(H4='SAT-Suicidios'!$B$22,'SAT-Suicidios'!$A$22&lt;&gt;"OK"),AND(H4='SAT-Suicidios'!$B$25,'SAT-Suicidios'!$A$25&lt;&gt;"OK")),"Se indico un SUICIDIO, existen CELDAS VACIAS en la hoja SAT-SUICIDIOS Completar los datos indicados",IF(IFERROR(MATCH(X4,BUSCADOR!$A$2:$A$112,0),-1)&lt;0,"No se indico delito",IF(AND(ISBLANK(BL4),OR(X4=BUSCADOR!$A$111,X4=BUSCADOR!$A$110)),"Llenar la casilla DETALLES, COMENTARIOS con una descripcion de la causa",IF(AND(X4="MUERTE DUDOSA",ISBLANK(BL4)=FALSE),"SE INDICO MUERTE DUDOSA, NOS CONTACTAREMOS PARA MAS INFORMACION","FILA CORRECTA"))))))))))))))))))))))))))))))</f>
        <v>No se indico delito</v>
      </c>
      <c r="C4" s="85"/>
      <c r="D4" s="166"/>
      <c r="E4" s="47"/>
      <c r="F4" s="162"/>
      <c r="G4" s="221" t="str">
        <f>G3</f>
        <v>Comisaría 15°</v>
      </c>
      <c r="H4" s="45"/>
      <c r="I4" s="50"/>
      <c r="J4" s="29"/>
      <c r="K4" s="29"/>
      <c r="L4" s="29"/>
      <c r="M4" s="29"/>
      <c r="N4" s="51"/>
      <c r="O4" s="55" t="str">
        <f t="shared" ref="O4:O25" si="2">IFERROR(IFERROR(IF(ABS(MID(N4,FIND("!3d-",N4)+3,(FIND("!4d-",N4)-FIND("!3d-",N4))-3)-IFERROR(MID(N4,FIND("@",N4)+1,(FIND(",",N4,FIND("@",N4))-FIND("@",N4))-1),""))&lt;0.0003,MID(N4,FIND("!3d-",N4)+3,(FIND("!4d-",N4)-FIND("!3d-",N4))-3),IFERROR(MID(N4,FIND("@",N4)+1,FIND(",",N4,FIND("@",N4))-FIND("@",N4)-1),"")),MID(N4,FIND("@",N4)+1,(FIND(",",N4,FIND("@",N4))-FIND("@",N4))-1)),"")</f>
        <v/>
      </c>
      <c r="P4" s="56" t="str">
        <f>IFERROR(IFERROR(IFERROR(IF(ABS(MID(N4,FIND("!4d-",N4)+3,FIND(",",N4,FIND(",",N4,FIND("@",N4))+1)-FIND(",",N4,FIND("@",N4))-1)-MID(N4,FIND(",",N4,FIND("@",N4))+1,FIND(",",N4,FIND(",",N4,FIND("@",N4))+1)-FIND(",",N4,FIND("@",N4))-1))&lt;0.0003,MID(N4,FIND("!4d-",N4)+3,FIND(",",N4,FIND(",",N4,FIND("@",N4))+1)-FIND(",",N4,FIND("@",N4))-1),MID(N4,FIND(",",N4,FIND("@",N4))+1,FIND(",",N4,FIND(",",N4,FIND("@",N4))+1)-FIND(",",N4,FIND("@",N4))-1)),MID(N4,FIND(",",N4,FIND("@",N4))+1,FIND(",",N4,FIND(",",N4,FIND("@",N4))+1)-FIND(",",N4,FIND("@",N4))-1)),MID(N4,FIND(",",N4,FIND("@",N4))+1,10)),"")</f>
        <v/>
      </c>
      <c r="Q4" s="50"/>
      <c r="R4" s="45"/>
      <c r="S4" s="62"/>
      <c r="T4" s="57" t="str">
        <f>IFERROR(VLOOKUP(X4,BUSCADOR!$A$2:$E$112,5,FALSE),"")</f>
        <v/>
      </c>
      <c r="U4" s="107" t="str">
        <f t="shared" si="0"/>
        <v/>
      </c>
      <c r="V4" s="28" t="str">
        <f>IFERROR(VLOOKUP(X4,BUSCADOR!$A$2:$E$112,4,FALSE),"")</f>
        <v/>
      </c>
      <c r="W4" s="107" t="str">
        <f t="shared" ref="W4:W41" si="3">MID(V4,1,100)</f>
        <v/>
      </c>
      <c r="X4" s="29"/>
      <c r="Y4" s="58" t="str">
        <f>IFERROR(VLOOKUP(X4,BUSCADOR!$A$2:$B$112,2,FALSE),"")</f>
        <v/>
      </c>
      <c r="Z4" s="101" t="str">
        <f t="shared" ref="Z4:Z67" si="4">CONCATENATE("__",MID(Y4,1,5))</f>
        <v>__</v>
      </c>
      <c r="AA4" s="103" t="str">
        <f t="shared" ref="AA4:AA67" si="5">CONCATENATE("_",MID(Z4,1,5))</f>
        <v>___</v>
      </c>
      <c r="AB4" s="104" t="str">
        <f t="shared" ref="AB4:AC67" si="6">CONCATENATE("_",MID(AA4,1,6))</f>
        <v>____</v>
      </c>
      <c r="AC4" s="104" t="str">
        <f t="shared" si="6"/>
        <v>_____</v>
      </c>
      <c r="AD4" s="96"/>
      <c r="AE4" s="45"/>
      <c r="AF4" s="65"/>
      <c r="AG4" s="212"/>
      <c r="AH4" s="213"/>
      <c r="AI4" s="214"/>
      <c r="AJ4" s="218"/>
      <c r="AK4" s="213"/>
      <c r="AL4" s="213"/>
      <c r="AM4" s="213"/>
      <c r="AN4" s="213"/>
      <c r="AO4" s="218"/>
      <c r="AP4" s="95"/>
      <c r="AQ4" s="186" t="str">
        <f t="shared" si="1"/>
        <v/>
      </c>
      <c r="AR4" s="65"/>
      <c r="AS4" s="76"/>
      <c r="AT4" s="225"/>
      <c r="AU4" s="213"/>
      <c r="AV4" s="214"/>
      <c r="AW4" s="226"/>
      <c r="AX4" s="213"/>
      <c r="AY4" s="213"/>
      <c r="AZ4" s="227"/>
      <c r="BA4" s="65"/>
      <c r="BB4" s="52"/>
      <c r="BC4" s="84"/>
      <c r="BD4" s="27"/>
      <c r="BE4" s="27"/>
      <c r="BF4" s="79"/>
      <c r="BG4" s="52"/>
      <c r="BH4" s="69"/>
      <c r="BI4" s="188" t="str">
        <f>IF(Y4=BUSCADOR!$B$46,"HURTO_",IF(OR(Y4=BUSCADOR!$B$49,Y4=BUSCADOR!$B$50),"ROBO_",""))</f>
        <v/>
      </c>
      <c r="BJ4" s="50"/>
      <c r="BK4" s="45"/>
      <c r="BL4" s="66"/>
      <c r="BM4" s="1" t="b">
        <f t="shared" ref="BM4:BM67" si="7">Y4&lt;&gt;""</f>
        <v>0</v>
      </c>
    </row>
    <row r="5" spans="1:65" ht="117.6" customHeight="1" x14ac:dyDescent="0.25">
      <c r="A5" s="171">
        <v>3</v>
      </c>
      <c r="B5" s="41" t="str">
        <f>IF(AND(BM5,ISBLANK(C5)),"Completar FECHA DE DENUNCIA",IF(AND(BM5,OR(ISBLANK(D5),ISBLANK(E5),ISBLANK(H5))),"Completar las celdas FECHA, HORA Y PREVENTIVO. En caso de no conocer la fecha u horario colocar INDETERMINADO",IF(AND(BM5,ISBLANK(G5)),"Completar COMISARIA",IF(AND(BM5,OR(ISBLANK(I5),ISBLANK(L5),ISBLANK(M5),O5="")),"Completar las celdas LOCALIDAD, CALLE, ALTURA Y DIRECCION SEGUN  GOOGLE MAPS",IF(AND(ISBLANK(J5),OR(I5=AÑELO[[#Headers],[AÑELO]],CENTENARIO[[#Headers],[CENTENARIO]]='PLANILLA DJ'!I5,CUTRAL_CO[[#Headers],[CUTRAL_CO]],JUNIN_DE_LOS_ANDES[[#Headers],[JUNIN_DE_LOS_ANDES]]='PLANILLA DJ'!I5,'PLANILLA DJ'!I5=NEUQUEN[[#Headers],[NEUQUEN]],PLAZA_HUINCUL[[#Headers],[PLAZA_HUINCUL]]='PLANILLA DJ'!I5,'PLANILLA DJ'!I5=PLOTTIER[[#Headers],[PLOTTIER]])),"COMPLETAR BARRIO",IF(AND(BM5,ISBLANK(Q5)),"Completar Nombre de VICTIMA o DENUNCIANTE",IF(AND(BM5,ISBLANK(R5)),"Completar TIPO DE ACTUACION",IF(AND(R5=BUSCADOR!$B$140,OR(X5&lt;&gt;BUSCADOR!$A$110,ISBLANK(X5))),"Se indico A CONSIDERACION en ACTUACION, indicar en el buscador de delitos A CONSIDERACION tambien",IF(AND(ISBLANK(X5)&lt;&gt;TRUE,IFERROR(MATCH(X5,BUSCADOR!$A$2:$A$112,0),-1)&lt;0),"EN EL BUSCADOR DE DELITOS NO agregar comentarios como SU INVESTIGACION, REPORTE, etc. Limitarse SOLAMENTE a poner A CONSIDERACION u otro valor que coincida en el buscador",IF(AND(ISBLANK(AD5),OR(Y5=BUSCADOR!$B$49,BUSCADOR!$B$50=Y5,Y5=BUSCADOR!$B$46,Y5=BUSCADOR!$B$2,Y5=BUSCADOR!$B$7,BUSCADOR!$B$109=Y5,X5=BUSCADOR!$A$58,X5=BUSCADOR!$A$59)),"Completar la celda TIPO DE LUGAR",IF(AND(ISBLANK(AE5),OR(AD5=BUSCADOR!$E$149,BUSCADOR!$E$150=AD5,AD5=BUSCADOR!$F$148)),"Completar DETALLE ESTABLECIMIENTO",IF(AND(ISBLANK(AF5),BM5),"Completar la celda MOTIVO QUE ORIGINA EL REGISTRO DEL HECHO",IF(AND(SUM(AG5:AI5)=0,OR(Y5=BUSCADOR!$B$2,BUSCADOR!$B$6=Y5,Y5=BUSCADOR!$B$7,BUSCADOR!$B$8=Y5,Y5=BUSCADOR!$B$9,BUSCADOR!$B$12=Y5,Y5=BUSCADOR!$B$13,BUSCADOR!$B$14=Y5,Y5=BUSCADOR!$B$17,BUSCADOR!$B$18=Y5,Y5=BUSCADOR!$B$20,BUSCADOR!$B$29=Y5,BUSCADOR!$B$34=Y5,BUSCADOR!$B$35=Y5,Y5=BUSCADOR!$B$109,Y5=BUSCADOR!$B$51,BUSCADOR!$B$50=Y5,Y5=BUSCADOR!$B$47,Y5=BUSCADOR!$B$58,Y5=BUSCADOR!$B$21,Y5=BUSCADOR!$B$22,Y5=BUSCADOR!$B$23,Y5=BUSCADOR!$B$24)),"El delito indicado debe presentar un numero de victimas. Completar la celda CANTIDAD DE VICTIMAS",IF(AND(SUM(AJ5:AO5)&gt;0,ISBLANK(AP5)),"Completar celda VULNERABILIDAD DE LA VICTIMA",IF(SUM(AG5:AI5)&lt;&gt;SUM(AJ5:AO5),"Se indico una CANTIDAD DE VICTIMAS SEGUN SEXO diferente a SEGUN GENERO",IF(AND(ISBLANK(AR5),OR(Y5=BUSCADOR!$B$49,BUSCADOR!$B$50=Y5,Y5=BUSCADOR!$B$46,Y5=BUSCADOR!$B$109,BUSCADOR!$B$2=Y5,X5=BUSCADOR!$A$58,X5=BUSCADOR!$A$59)),"Completar la celda TIPO DE ARMA, MODALIDAD O MECANISMO",IF(AND(ISBLANK(AS5),OR(Y5=BUSCADOR!$B$51,BUSCADOR!$B$50=Y5,Y5=BUSCADOR!$B$47,BUSCADOR!$A$58=X5,X5=BUSCADOR!$A$59)),"Completar la celda CONOCIDO, en la seccion de los inculpados",IF(AND(AS5=BUSCADOR!$B$127,OR(Y5=BUSCADOR!$B$51,BUSCADOR!$B$50,Y5,BUSCADOR!$B$46),OR(SUM(AT5:AV5)&lt;&gt;SUM(AW5:AZ5),SUM(AT5:AZ5)=0)),"Revisar las celdas correspondientes a CANTIDAD DE INCULPADOS. Se indica una cantidad diferente segun SEXO y EDAD o no se indico cantidad alguna",IF(AND(ISBLANK(BA5),X5=BUSCADOR!$A$27),"Se indico una persona desaparecida. Completar la casilla APARECIO",IF(AND(ISBLANK(BB5),OR(Y5=BUSCADOR!$B$49,BUSCADOR!$B$50=Y5,Y5=BUSCADOR!$B$46)),"Completar la casilla ELEMENTO SUSTRAIDO",IF(OR(AND(BB5=OTROS[[#Headers],[OTROS]],ISBLANK(BC5)),AND(BB5=ABIGEATO[[#Headers],[ABIGEATO]],ISBLANK(BC5))),"Completar la celda SUBCATEGORIA",IF(AND(OR(BB5=MOTOCICLETA[[#Headers],[MOTOCICLETA]],BB5=AUTOMOTOR[[#Headers],[AUTOMOTOR]]),OR(ISBLANK(BC5),ISBLANK(BD5),ISBLANK(BE5),ISBLANK(BF5))),"Se indico un AUTOMOTOR o MOTOCICLETA en ELEMENTOS SUSTRAIDOS, completar las celdas SUBCATEGORIA, DENOMINACION, AÑO y MODELO", IF(AND(ISBLANK(BB5)&lt;&gt;TRUE,ISBLANK(BJ5)),"Completar MODUS OPERANDI",IF(AND(ISBLANK(BK5),OR(BJ5=BUSCADOR!$H$232,BJ5=BUSCADOR!$I$232)),"Completar ESPECIALIDAD",IF(OR(AND(H5='SAT-Homicidios Dolosos'!$B$5,'SAT-Homicidios Dolosos'!$A$5&lt;&gt;"OK"),AND(H5='SAT-Homicidios Dolosos'!$B$8,'SAT-Homicidios Dolosos'!$A$8&lt;&gt;"OK")),"Se indico un HOMICIDIO, existen CELDAS VACIAS en la hoja SAT-HOMICIDIOS DOLOSOS Completar los datos indicados",IF(OR(AND(H5='SAT-Muertes Viales'!$E$21,'SAT-Muertes Viales'!$A$21&lt;&gt;"OK"),AND(H5='SAT-Muertes Viales'!$E$25,'SAT-Muertes Viales'!$A$25&lt;&gt;"OK"),AND(H5='SAT-Muertes Viales'!$E$29,'SAT-Muertes Viales'!$A$29&lt;&gt;"OK")),"Se indico un HOMICIDIO POR SINIESTRO VIAL, existen CELDAS VACIAS en la hoja SAT-MUERTES VIALES Completar los datos indicados",IF(OR(AND(H5='SAT-Suicidios'!$B$19,'SAT-Suicidios'!$A$19&lt;&gt;"OK"),AND(H5='SAT-Suicidios'!$B$22,'SAT-Suicidios'!$A$22&lt;&gt;"OK"),AND(H5='SAT-Suicidios'!$B$25,'SAT-Suicidios'!$A$25&lt;&gt;"OK")),"Se indico un SUICIDIO, existen CELDAS VACIAS en la hoja SAT-SUICIDIOS Completar los datos indicados",IF(IFERROR(MATCH(X5,BUSCADOR!$A$2:$A$112,0),-1)&lt;0,"No se indico delito",IF(AND(ISBLANK(BL5),OR(X5=BUSCADOR!$A$111,X5=BUSCADOR!$A$110)),"Llenar la casilla DETALLES, COMENTARIOS con una descripcion de la causa",IF(AND(X5="MUERTE DUDOSA",ISBLANK(BL5)=FALSE),"SE INDICO MUERTE DUDOSA, NOS CONTACTAREMOS PARA MAS INFORMACION","FILA CORRECTA"))))))))))))))))))))))))))))))</f>
        <v>No se indico delito</v>
      </c>
      <c r="C5" s="85"/>
      <c r="D5" s="166"/>
      <c r="E5" s="47"/>
      <c r="F5" s="163"/>
      <c r="G5" s="221" t="str">
        <f>G4</f>
        <v>Comisaría 15°</v>
      </c>
      <c r="H5" s="45"/>
      <c r="I5" s="50"/>
      <c r="J5" s="29"/>
      <c r="K5" s="29"/>
      <c r="L5" s="29"/>
      <c r="M5" s="29"/>
      <c r="N5" s="51"/>
      <c r="O5" s="55" t="str">
        <f t="shared" si="2"/>
        <v/>
      </c>
      <c r="P5" s="56" t="str">
        <f t="shared" ref="P5:P25" si="8">IFERROR(IFERROR(IFERROR(IF(ABS(MID(N5,FIND("!4d-",N5)+3,FIND(",",N5,FIND(",",N5,FIND("@",N5))+1)-FIND(",",N5,FIND("@",N5))-1)-MID(N5,FIND(",",N5,FIND("@",N5))+1,FIND(",",N5,FIND(",",N5,FIND("@",N5))+1)-FIND(",",N5,FIND("@",N5))-1))&lt;0.0003,MID(N5,FIND("!4d-",N5)+3,FIND(",",N5,FIND(",",N5,FIND("@",N5))+1)-FIND(",",N5,FIND("@",N5))-1),MID(N5,FIND(",",N5,FIND("@",N5))+1,FIND(",",N5,FIND(",",N5,FIND("@",N5))+1)-FIND(",",N5,FIND("@",N5))-1)),MID(N5,FIND(",",N5,FIND("@",N5))+1,FIND(",",N5,FIND(",",N5,FIND("@",N5))+1)-FIND(",",N5,FIND("@",N5))-1)),MID(N5,FIND(",",N5,FIND("@",N5))+1,10)),"")</f>
        <v/>
      </c>
      <c r="Q5" s="50"/>
      <c r="R5" s="45"/>
      <c r="S5" s="62"/>
      <c r="T5" s="57" t="str">
        <f>IFERROR(VLOOKUP(X5,BUSCADOR!$A$2:$E$112,5,FALSE),"")</f>
        <v/>
      </c>
      <c r="U5" s="107" t="str">
        <f t="shared" si="0"/>
        <v/>
      </c>
      <c r="V5" s="28" t="str">
        <f>IFERROR(VLOOKUP(X5,BUSCADOR!$A$2:$E$112,4,FALSE),"")</f>
        <v/>
      </c>
      <c r="W5" s="107" t="str">
        <f t="shared" si="3"/>
        <v/>
      </c>
      <c r="X5" s="29"/>
      <c r="Y5" s="58" t="str">
        <f>IFERROR(VLOOKUP(X5,BUSCADOR!$A$2:$B$112,2,FALSE),"")</f>
        <v/>
      </c>
      <c r="Z5" s="101" t="str">
        <f t="shared" si="4"/>
        <v>__</v>
      </c>
      <c r="AA5" s="103" t="str">
        <f t="shared" si="5"/>
        <v>___</v>
      </c>
      <c r="AB5" s="104" t="str">
        <f t="shared" si="6"/>
        <v>____</v>
      </c>
      <c r="AC5" s="104" t="str">
        <f t="shared" si="6"/>
        <v>_____</v>
      </c>
      <c r="AD5" s="96"/>
      <c r="AE5" s="45"/>
      <c r="AF5" s="65"/>
      <c r="AG5" s="212"/>
      <c r="AH5" s="213"/>
      <c r="AI5" s="214"/>
      <c r="AJ5" s="219"/>
      <c r="AK5" s="213"/>
      <c r="AL5" s="213"/>
      <c r="AM5" s="213"/>
      <c r="AN5" s="213"/>
      <c r="AO5" s="219"/>
      <c r="AP5" s="95"/>
      <c r="AQ5" s="186" t="str">
        <f t="shared" si="1"/>
        <v/>
      </c>
      <c r="AR5" s="66"/>
      <c r="AS5" s="76"/>
      <c r="AT5" s="225"/>
      <c r="AU5" s="213"/>
      <c r="AV5" s="214"/>
      <c r="AW5" s="226"/>
      <c r="AX5" s="213"/>
      <c r="AY5" s="213"/>
      <c r="AZ5" s="227"/>
      <c r="BA5" s="65"/>
      <c r="BB5" s="52"/>
      <c r="BC5" s="27"/>
      <c r="BD5" s="27"/>
      <c r="BE5" s="27"/>
      <c r="BF5" s="79"/>
      <c r="BG5" s="52"/>
      <c r="BH5" s="69"/>
      <c r="BI5" s="188" t="str">
        <f>IF(Y5=BUSCADOR!$B$46,"HURTO_",IF(OR(Y5=BUSCADOR!$B$49,Y5=BUSCADOR!$B$50),"ROBO_",""))</f>
        <v/>
      </c>
      <c r="BJ5" s="50"/>
      <c r="BK5" s="45"/>
      <c r="BL5" s="66"/>
      <c r="BM5" s="1" t="b">
        <f t="shared" si="7"/>
        <v>0</v>
      </c>
    </row>
    <row r="6" spans="1:65" ht="117.6" customHeight="1" x14ac:dyDescent="0.25">
      <c r="A6" s="171">
        <v>4</v>
      </c>
      <c r="B6" s="41" t="str">
        <f>IF(AND(BM6,ISBLANK(C6)),"Completar FECHA DE DENUNCIA",IF(AND(BM6,OR(ISBLANK(D6),ISBLANK(E6),ISBLANK(H6))),"Completar las celdas FECHA, HORA Y PREVENTIVO. En caso de no conocer la fecha u horario colocar INDETERMINADO",IF(AND(BM6,ISBLANK(G6)),"Completar COMISARIA",IF(AND(BM6,OR(ISBLANK(I6),ISBLANK(L6),ISBLANK(M6),O6="")),"Completar las celdas LOCALIDAD, CALLE, ALTURA Y DIRECCION SEGUN  GOOGLE MAPS",IF(AND(ISBLANK(J6),OR(I6=AÑELO[[#Headers],[AÑELO]],CENTENARIO[[#Headers],[CENTENARIO]]='PLANILLA DJ'!I6,CUTRAL_CO[[#Headers],[CUTRAL_CO]],JUNIN_DE_LOS_ANDES[[#Headers],[JUNIN_DE_LOS_ANDES]]='PLANILLA DJ'!I6,'PLANILLA DJ'!I6=NEUQUEN[[#Headers],[NEUQUEN]],PLAZA_HUINCUL[[#Headers],[PLAZA_HUINCUL]]='PLANILLA DJ'!I6,'PLANILLA DJ'!I6=PLOTTIER[[#Headers],[PLOTTIER]])),"COMPLETAR BARRIO",IF(AND(BM6,ISBLANK(Q6)),"Completar Nombre de VICTIMA o DENUNCIANTE",IF(AND(BM6,ISBLANK(R6)),"Completar TIPO DE ACTUACION",IF(AND(R6=BUSCADOR!$B$140,OR(X6&lt;&gt;BUSCADOR!$A$110,ISBLANK(X6))),"Se indico A CONSIDERACION en ACTUACION, indicar en el buscador de delitos A CONSIDERACION tambien",IF(AND(ISBLANK(X6)&lt;&gt;TRUE,IFERROR(MATCH(X6,BUSCADOR!$A$2:$A$112,0),-1)&lt;0),"EN EL BUSCADOR DE DELITOS NO agregar comentarios como SU INVESTIGACION, REPORTE, etc. Limitarse SOLAMENTE a poner A CONSIDERACION u otro valor que coincida en el buscador",IF(AND(ISBLANK(AD6),OR(Y6=BUSCADOR!$B$49,BUSCADOR!$B$50=Y6,Y6=BUSCADOR!$B$46,Y6=BUSCADOR!$B$2,Y6=BUSCADOR!$B$7,BUSCADOR!$B$109=Y6,X6=BUSCADOR!$A$58,X6=BUSCADOR!$A$59)),"Completar la celda TIPO DE LUGAR",IF(AND(ISBLANK(AE6),OR(AD6=BUSCADOR!$E$149,BUSCADOR!$E$150=AD6,AD6=BUSCADOR!$F$148)),"Completar DETALLE ESTABLECIMIENTO",IF(AND(ISBLANK(AF6),BM6),"Completar la celda MOTIVO QUE ORIGINA EL REGISTRO DEL HECHO",IF(AND(SUM(AG6:AI6)=0,OR(Y6=BUSCADOR!$B$2,BUSCADOR!$B$6=Y6,Y6=BUSCADOR!$B$7,BUSCADOR!$B$8=Y6,Y6=BUSCADOR!$B$9,BUSCADOR!$B$12=Y6,Y6=BUSCADOR!$B$13,BUSCADOR!$B$14=Y6,Y6=BUSCADOR!$B$17,BUSCADOR!$B$18=Y6,Y6=BUSCADOR!$B$20,BUSCADOR!$B$29=Y6,BUSCADOR!$B$34=Y6,BUSCADOR!$B$35=Y6,Y6=BUSCADOR!$B$109,Y6=BUSCADOR!$B$51,BUSCADOR!$B$50=Y6,Y6=BUSCADOR!$B$47,Y6=BUSCADOR!$B$58,Y6=BUSCADOR!$B$21,Y6=BUSCADOR!$B$22,Y6=BUSCADOR!$B$23,Y6=BUSCADOR!$B$24)),"El delito indicado debe presentar un numero de victimas. Completar la celda CANTIDAD DE VICTIMAS",IF(AND(SUM(AJ6:AO6)&gt;0,ISBLANK(AP6)),"Completar celda VULNERABILIDAD DE LA VICTIMA",IF(SUM(AG6:AI6)&lt;&gt;SUM(AJ6:AO6),"Se indico una CANTIDAD DE VICTIMAS SEGUN SEXO diferente a SEGUN GENERO",IF(AND(ISBLANK(AR6),OR(Y6=BUSCADOR!$B$49,BUSCADOR!$B$50=Y6,Y6=BUSCADOR!$B$46,Y6=BUSCADOR!$B$109,BUSCADOR!$B$2=Y6,X6=BUSCADOR!$A$58,X6=BUSCADOR!$A$59)),"Completar la celda TIPO DE ARMA, MODALIDAD O MECANISMO",IF(AND(ISBLANK(AS6),OR(Y6=BUSCADOR!$B$51,BUSCADOR!$B$50=Y6,Y6=BUSCADOR!$B$47,BUSCADOR!$A$58=X6,X6=BUSCADOR!$A$59)),"Completar la celda CONOCIDO, en la seccion de los inculpados",IF(AND(AS6=BUSCADOR!$B$127,OR(Y6=BUSCADOR!$B$51,BUSCADOR!$B$50,Y6,BUSCADOR!$B$46),OR(SUM(AT6:AV6)&lt;&gt;SUM(AW6:AZ6),SUM(AT6:AZ6)=0)),"Revisar las celdas correspondientes a CANTIDAD DE INCULPADOS. Se indica una cantidad diferente segun SEXO y EDAD o no se indico cantidad alguna",IF(AND(ISBLANK(BA6),X6=BUSCADOR!$A$27),"Se indico una persona desaparecida. Completar la casilla APARECIO",IF(AND(ISBLANK(BB6),OR(Y6=BUSCADOR!$B$49,BUSCADOR!$B$50=Y6,Y6=BUSCADOR!$B$46)),"Completar la casilla ELEMENTO SUSTRAIDO",IF(OR(AND(BB6=OTROS[[#Headers],[OTROS]],ISBLANK(BC6)),AND(BB6=ABIGEATO[[#Headers],[ABIGEATO]],ISBLANK(BC6))),"Completar la celda SUBCATEGORIA",IF(AND(OR(BB6=MOTOCICLETA[[#Headers],[MOTOCICLETA]],BB6=AUTOMOTOR[[#Headers],[AUTOMOTOR]]),OR(ISBLANK(BC6),ISBLANK(BD6),ISBLANK(BE6),ISBLANK(BF6))),"Se indico un AUTOMOTOR o MOTOCICLETA en ELEMENTOS SUSTRAIDOS, completar las celdas SUBCATEGORIA, DENOMINACION, AÑO y MODELO", IF(AND(ISBLANK(BB6)&lt;&gt;TRUE,ISBLANK(BJ6)),"Completar MODUS OPERANDI",IF(AND(ISBLANK(BK6),OR(BJ6=BUSCADOR!$H$232,BJ6=BUSCADOR!$I$232)),"Completar ESPECIALIDAD",IF(OR(AND(H6='SAT-Homicidios Dolosos'!$B$5,'SAT-Homicidios Dolosos'!$A$5&lt;&gt;"OK"),AND(H6='SAT-Homicidios Dolosos'!$B$8,'SAT-Homicidios Dolosos'!$A$8&lt;&gt;"OK")),"Se indico un HOMICIDIO, existen CELDAS VACIAS en la hoja SAT-HOMICIDIOS DOLOSOS Completar los datos indicados",IF(OR(AND(H6='SAT-Muertes Viales'!$E$21,'SAT-Muertes Viales'!$A$21&lt;&gt;"OK"),AND(H6='SAT-Muertes Viales'!$E$25,'SAT-Muertes Viales'!$A$25&lt;&gt;"OK"),AND(H6='SAT-Muertes Viales'!$E$29,'SAT-Muertes Viales'!$A$29&lt;&gt;"OK")),"Se indico un HOMICIDIO POR SINIESTRO VIAL, existen CELDAS VACIAS en la hoja SAT-MUERTES VIALES Completar los datos indicados",IF(OR(AND(H6='SAT-Suicidios'!$B$19,'SAT-Suicidios'!$A$19&lt;&gt;"OK"),AND(H6='SAT-Suicidios'!$B$22,'SAT-Suicidios'!$A$22&lt;&gt;"OK"),AND(H6='SAT-Suicidios'!$B$25,'SAT-Suicidios'!$A$25&lt;&gt;"OK")),"Se indico un SUICIDIO, existen CELDAS VACIAS en la hoja SAT-SUICIDIOS Completar los datos indicados",IF(IFERROR(MATCH(X6,BUSCADOR!$A$2:$A$112,0),-1)&lt;0,"No se indico delito",IF(AND(ISBLANK(BL6),OR(X6=BUSCADOR!$A$111,X6=BUSCADOR!$A$110)),"Llenar la casilla DETALLES, COMENTARIOS con una descripcion de la causa",IF(AND(X6="MUERTE DUDOSA",ISBLANK(BL6)=FALSE),"SE INDICO MUERTE DUDOSA, NOS CONTACTAREMOS PARA MAS INFORMACION","FILA CORRECTA"))))))))))))))))))))))))))))))</f>
        <v>No se indico delito</v>
      </c>
      <c r="C6" s="85"/>
      <c r="D6" s="166"/>
      <c r="E6" s="47"/>
      <c r="F6" s="163"/>
      <c r="G6" s="221" t="str">
        <f t="shared" ref="G6:G69" si="9">G5</f>
        <v>Comisaría 15°</v>
      </c>
      <c r="H6" s="45"/>
      <c r="I6" s="50"/>
      <c r="J6" s="29"/>
      <c r="K6" s="29"/>
      <c r="L6" s="29"/>
      <c r="M6" s="29"/>
      <c r="N6" s="51"/>
      <c r="O6" s="55" t="str">
        <f t="shared" si="2"/>
        <v/>
      </c>
      <c r="P6" s="56" t="str">
        <f t="shared" si="8"/>
        <v/>
      </c>
      <c r="Q6" s="50"/>
      <c r="R6" s="45"/>
      <c r="S6" s="62"/>
      <c r="T6" s="57" t="str">
        <f>IFERROR(VLOOKUP(X6,BUSCADOR!$A$2:$E$112,5,FALSE),"")</f>
        <v/>
      </c>
      <c r="U6" s="107" t="str">
        <f t="shared" si="0"/>
        <v/>
      </c>
      <c r="V6" s="28" t="str">
        <f>IFERROR(VLOOKUP(X6,BUSCADOR!$A$2:$E$112,4,FALSE),"")</f>
        <v/>
      </c>
      <c r="W6" s="107" t="str">
        <f t="shared" si="3"/>
        <v/>
      </c>
      <c r="X6" s="29"/>
      <c r="Y6" s="58" t="str">
        <f>IFERROR(VLOOKUP(X6,BUSCADOR!$A$2:$B$112,2,FALSE),"")</f>
        <v/>
      </c>
      <c r="Z6" s="101" t="str">
        <f t="shared" si="4"/>
        <v>__</v>
      </c>
      <c r="AA6" s="103" t="str">
        <f t="shared" si="5"/>
        <v>___</v>
      </c>
      <c r="AB6" s="104" t="str">
        <f t="shared" si="6"/>
        <v>____</v>
      </c>
      <c r="AC6" s="104" t="str">
        <f t="shared" si="6"/>
        <v>_____</v>
      </c>
      <c r="AD6" s="96"/>
      <c r="AE6" s="45"/>
      <c r="AF6" s="65"/>
      <c r="AG6" s="212"/>
      <c r="AH6" s="213"/>
      <c r="AI6" s="214"/>
      <c r="AJ6" s="219"/>
      <c r="AK6" s="213"/>
      <c r="AL6" s="213"/>
      <c r="AM6" s="213"/>
      <c r="AN6" s="213"/>
      <c r="AO6" s="219"/>
      <c r="AP6" s="95"/>
      <c r="AQ6" s="186" t="str">
        <f t="shared" si="1"/>
        <v/>
      </c>
      <c r="AR6" s="66"/>
      <c r="AS6" s="75"/>
      <c r="AT6" s="222"/>
      <c r="AU6" s="210"/>
      <c r="AV6" s="211"/>
      <c r="AW6" s="223"/>
      <c r="AX6" s="210"/>
      <c r="AY6" s="210"/>
      <c r="AZ6" s="224"/>
      <c r="BA6" s="65"/>
      <c r="BB6" s="52"/>
      <c r="BC6" s="27"/>
      <c r="BD6" s="27"/>
      <c r="BE6" s="27"/>
      <c r="BF6" s="79"/>
      <c r="BG6" s="52"/>
      <c r="BH6" s="69"/>
      <c r="BI6" s="188" t="str">
        <f>IF(Y6=BUSCADOR!$B$46,"HURTO_",IF(OR(Y6=BUSCADOR!$B$49,Y6=BUSCADOR!$B$50),"ROBO_",""))</f>
        <v/>
      </c>
      <c r="BJ6" s="50"/>
      <c r="BK6" s="45"/>
      <c r="BL6" s="66"/>
      <c r="BM6" s="1" t="b">
        <f t="shared" si="7"/>
        <v>0</v>
      </c>
    </row>
    <row r="7" spans="1:65" ht="117.6" customHeight="1" x14ac:dyDescent="0.25">
      <c r="A7" s="171">
        <v>5</v>
      </c>
      <c r="B7" s="41" t="str">
        <f>IF(AND(BM7,ISBLANK(C7)),"Completar FECHA DE DENUNCIA",IF(AND(BM7,OR(ISBLANK(D7),ISBLANK(E7),ISBLANK(H7))),"Completar las celdas FECHA, HORA Y PREVENTIVO. En caso de no conocer la fecha u horario colocar INDETERMINADO",IF(AND(BM7,ISBLANK(G7)),"Completar COMISARIA",IF(AND(BM7,OR(ISBLANK(I7),ISBLANK(L7),ISBLANK(M7),O7="")),"Completar las celdas LOCALIDAD, CALLE, ALTURA Y DIRECCION SEGUN  GOOGLE MAPS",IF(AND(ISBLANK(J7),OR(I7=AÑELO[[#Headers],[AÑELO]],CENTENARIO[[#Headers],[CENTENARIO]]='PLANILLA DJ'!I7,CUTRAL_CO[[#Headers],[CUTRAL_CO]],JUNIN_DE_LOS_ANDES[[#Headers],[JUNIN_DE_LOS_ANDES]]='PLANILLA DJ'!I7,'PLANILLA DJ'!I7=NEUQUEN[[#Headers],[NEUQUEN]],PLAZA_HUINCUL[[#Headers],[PLAZA_HUINCUL]]='PLANILLA DJ'!I7,'PLANILLA DJ'!I7=PLOTTIER[[#Headers],[PLOTTIER]])),"COMPLETAR BARRIO",IF(AND(BM7,ISBLANK(Q7)),"Completar Nombre de VICTIMA o DENUNCIANTE",IF(AND(BM7,ISBLANK(R7)),"Completar TIPO DE ACTUACION",IF(AND(R7=BUSCADOR!$B$140,OR(X7&lt;&gt;BUSCADOR!$A$110,ISBLANK(X7))),"Se indico A CONSIDERACION en ACTUACION, indicar en el buscador de delitos A CONSIDERACION tambien",IF(AND(ISBLANK(X7)&lt;&gt;TRUE,IFERROR(MATCH(X7,BUSCADOR!$A$2:$A$112,0),-1)&lt;0),"EN EL BUSCADOR DE DELITOS NO agregar comentarios como SU INVESTIGACION, REPORTE, etc. Limitarse SOLAMENTE a poner A CONSIDERACION u otro valor que coincida en el buscador",IF(AND(ISBLANK(AD7),OR(Y7=BUSCADOR!$B$49,BUSCADOR!$B$50=Y7,Y7=BUSCADOR!$B$46,Y7=BUSCADOR!$B$2,Y7=BUSCADOR!$B$7,BUSCADOR!$B$109=Y7,X7=BUSCADOR!$A$58,X7=BUSCADOR!$A$59)),"Completar la celda TIPO DE LUGAR",IF(AND(ISBLANK(AE7),OR(AD7=BUSCADOR!$E$149,BUSCADOR!$E$150=AD7,AD7=BUSCADOR!$F$148)),"Completar DETALLE ESTABLECIMIENTO",IF(AND(ISBLANK(AF7),BM7),"Completar la celda MOTIVO QUE ORIGINA EL REGISTRO DEL HECHO",IF(AND(SUM(AG7:AI7)=0,OR(Y7=BUSCADOR!$B$2,BUSCADOR!$B$6=Y7,Y7=BUSCADOR!$B$7,BUSCADOR!$B$8=Y7,Y7=BUSCADOR!$B$9,BUSCADOR!$B$12=Y7,Y7=BUSCADOR!$B$13,BUSCADOR!$B$14=Y7,Y7=BUSCADOR!$B$17,BUSCADOR!$B$18=Y7,Y7=BUSCADOR!$B$20,BUSCADOR!$B$29=Y7,BUSCADOR!$B$34=Y7,BUSCADOR!$B$35=Y7,Y7=BUSCADOR!$B$109,Y7=BUSCADOR!$B$51,BUSCADOR!$B$50=Y7,Y7=BUSCADOR!$B$47,Y7=BUSCADOR!$B$58,Y7=BUSCADOR!$B$21,Y7=BUSCADOR!$B$22,Y7=BUSCADOR!$B$23,Y7=BUSCADOR!$B$24)),"El delito indicado debe presentar un numero de victimas. Completar la celda CANTIDAD DE VICTIMAS",IF(AND(SUM(AJ7:AO7)&gt;0,ISBLANK(AP7)),"Completar celda VULNERABILIDAD DE LA VICTIMA",IF(SUM(AG7:AI7)&lt;&gt;SUM(AJ7:AO7),"Se indico una CANTIDAD DE VICTIMAS SEGUN SEXO diferente a SEGUN GENERO",IF(AND(ISBLANK(AR7),OR(Y7=BUSCADOR!$B$49,BUSCADOR!$B$50=Y7,Y7=BUSCADOR!$B$46,Y7=BUSCADOR!$B$109,BUSCADOR!$B$2=Y7,X7=BUSCADOR!$A$58,X7=BUSCADOR!$A$59)),"Completar la celda TIPO DE ARMA, MODALIDAD O MECANISMO",IF(AND(ISBLANK(AS7),OR(Y7=BUSCADOR!$B$51,BUSCADOR!$B$50=Y7,Y7=BUSCADOR!$B$47,BUSCADOR!$A$58=X7,X7=BUSCADOR!$A$59)),"Completar la celda CONOCIDO, en la seccion de los inculpados",IF(AND(AS7=BUSCADOR!$B$127,OR(Y7=BUSCADOR!$B$51,BUSCADOR!$B$50,Y7,BUSCADOR!$B$46),OR(SUM(AT7:AV7)&lt;&gt;SUM(AW7:AZ7),SUM(AT7:AZ7)=0)),"Revisar las celdas correspondientes a CANTIDAD DE INCULPADOS. Se indica una cantidad diferente segun SEXO y EDAD o no se indico cantidad alguna",IF(AND(ISBLANK(BA7),X7=BUSCADOR!$A$27),"Se indico una persona desaparecida. Completar la casilla APARECIO",IF(AND(ISBLANK(BB7),OR(Y7=BUSCADOR!$B$49,BUSCADOR!$B$50=Y7,Y7=BUSCADOR!$B$46)),"Completar la casilla ELEMENTO SUSTRAIDO",IF(OR(AND(BB7=OTROS[[#Headers],[OTROS]],ISBLANK(BC7)),AND(BB7=ABIGEATO[[#Headers],[ABIGEATO]],ISBLANK(BC7))),"Completar la celda SUBCATEGORIA",IF(AND(OR(BB7=MOTOCICLETA[[#Headers],[MOTOCICLETA]],BB7=AUTOMOTOR[[#Headers],[AUTOMOTOR]]),OR(ISBLANK(BC7),ISBLANK(BD7),ISBLANK(BE7),ISBLANK(BF7))),"Se indico un AUTOMOTOR o MOTOCICLETA en ELEMENTOS SUSTRAIDOS, completar las celdas SUBCATEGORIA, DENOMINACION, AÑO y MODELO", IF(AND(ISBLANK(BB7)&lt;&gt;TRUE,ISBLANK(BJ7)),"Completar MODUS OPERANDI",IF(AND(ISBLANK(BK7),OR(BJ7=BUSCADOR!$H$232,BJ7=BUSCADOR!$I$232)),"Completar ESPECIALIDAD",IF(OR(AND(H7='SAT-Homicidios Dolosos'!$B$5,'SAT-Homicidios Dolosos'!$A$5&lt;&gt;"OK"),AND(H7='SAT-Homicidios Dolosos'!$B$8,'SAT-Homicidios Dolosos'!$A$8&lt;&gt;"OK")),"Se indico un HOMICIDIO, existen CELDAS VACIAS en la hoja SAT-HOMICIDIOS DOLOSOS Completar los datos indicados",IF(OR(AND(H7='SAT-Muertes Viales'!$E$21,'SAT-Muertes Viales'!$A$21&lt;&gt;"OK"),AND(H7='SAT-Muertes Viales'!$E$25,'SAT-Muertes Viales'!$A$25&lt;&gt;"OK"),AND(H7='SAT-Muertes Viales'!$E$29,'SAT-Muertes Viales'!$A$29&lt;&gt;"OK")),"Se indico un HOMICIDIO POR SINIESTRO VIAL, existen CELDAS VACIAS en la hoja SAT-MUERTES VIALES Completar los datos indicados",IF(OR(AND(H7='SAT-Suicidios'!$B$19,'SAT-Suicidios'!$A$19&lt;&gt;"OK"),AND(H7='SAT-Suicidios'!$B$22,'SAT-Suicidios'!$A$22&lt;&gt;"OK"),AND(H7='SAT-Suicidios'!$B$25,'SAT-Suicidios'!$A$25&lt;&gt;"OK")),"Se indico un SUICIDIO, existen CELDAS VACIAS en la hoja SAT-SUICIDIOS Completar los datos indicados",IF(IFERROR(MATCH(X7,BUSCADOR!$A$2:$A$112,0),-1)&lt;0,"No se indico delito",IF(AND(ISBLANK(BL7),OR(X7=BUSCADOR!$A$111,X7=BUSCADOR!$A$110)),"Llenar la casilla DETALLES, COMENTARIOS con una descripcion de la causa",IF(AND(X7="MUERTE DUDOSA",ISBLANK(BL7)=FALSE),"SE INDICO MUERTE DUDOSA, NOS CONTACTAREMOS PARA MAS INFORMACION","FILA CORRECTA"))))))))))))))))))))))))))))))</f>
        <v>No se indico delito</v>
      </c>
      <c r="C7" s="85"/>
      <c r="D7" s="166"/>
      <c r="E7" s="47"/>
      <c r="F7" s="163"/>
      <c r="G7" s="221" t="str">
        <f t="shared" si="9"/>
        <v>Comisaría 15°</v>
      </c>
      <c r="H7" s="45"/>
      <c r="I7" s="50"/>
      <c r="J7" s="29"/>
      <c r="K7" s="29"/>
      <c r="L7" s="29"/>
      <c r="M7" s="29"/>
      <c r="N7" s="51"/>
      <c r="O7" s="55" t="str">
        <f t="shared" si="2"/>
        <v/>
      </c>
      <c r="P7" s="56" t="str">
        <f t="shared" si="8"/>
        <v/>
      </c>
      <c r="Q7" s="50"/>
      <c r="R7" s="45"/>
      <c r="S7" s="62"/>
      <c r="T7" s="57" t="str">
        <f>IFERROR(VLOOKUP(X7,BUSCADOR!$A$2:$E$112,5,FALSE),"")</f>
        <v/>
      </c>
      <c r="U7" s="107" t="str">
        <f t="shared" si="0"/>
        <v/>
      </c>
      <c r="V7" s="28" t="str">
        <f>IFERROR(VLOOKUP(X7,BUSCADOR!$A$2:$E$112,4,FALSE),"")</f>
        <v/>
      </c>
      <c r="W7" s="107" t="str">
        <f t="shared" si="3"/>
        <v/>
      </c>
      <c r="X7" s="27"/>
      <c r="Y7" s="58" t="str">
        <f>IFERROR(VLOOKUP(X7,BUSCADOR!$A$2:$B$112,2,FALSE),"")</f>
        <v/>
      </c>
      <c r="Z7" s="101" t="str">
        <f t="shared" si="4"/>
        <v>__</v>
      </c>
      <c r="AA7" s="103" t="str">
        <f t="shared" si="5"/>
        <v>___</v>
      </c>
      <c r="AB7" s="104" t="str">
        <f t="shared" si="6"/>
        <v>____</v>
      </c>
      <c r="AC7" s="104" t="str">
        <f t="shared" si="6"/>
        <v>_____</v>
      </c>
      <c r="AD7" s="83"/>
      <c r="AE7" s="45"/>
      <c r="AF7" s="66"/>
      <c r="AG7" s="209"/>
      <c r="AH7" s="210"/>
      <c r="AI7" s="211"/>
      <c r="AJ7" s="218"/>
      <c r="AK7" s="210"/>
      <c r="AL7" s="210"/>
      <c r="AM7" s="210"/>
      <c r="AN7" s="210"/>
      <c r="AO7" s="218"/>
      <c r="AP7" s="95"/>
      <c r="AQ7" s="186" t="str">
        <f t="shared" si="1"/>
        <v/>
      </c>
      <c r="AR7" s="66"/>
      <c r="AS7" s="76"/>
      <c r="AT7" s="225"/>
      <c r="AU7" s="213"/>
      <c r="AV7" s="214"/>
      <c r="AW7" s="226"/>
      <c r="AX7" s="213"/>
      <c r="AY7" s="213"/>
      <c r="AZ7" s="227"/>
      <c r="BA7" s="65"/>
      <c r="BB7" s="52"/>
      <c r="BC7" s="27"/>
      <c r="BD7" s="27"/>
      <c r="BE7" s="27"/>
      <c r="BF7" s="79"/>
      <c r="BG7" s="52"/>
      <c r="BH7" s="69"/>
      <c r="BI7" s="188" t="str">
        <f>IF(Y7=BUSCADOR!$B$46,"HURTO_",IF(OR(Y7=BUSCADOR!$B$49,Y7=BUSCADOR!$B$50),"ROBO_",""))</f>
        <v/>
      </c>
      <c r="BJ7" s="50"/>
      <c r="BK7" s="45"/>
      <c r="BL7" s="66"/>
      <c r="BM7" s="1" t="b">
        <f t="shared" si="7"/>
        <v>0</v>
      </c>
    </row>
    <row r="8" spans="1:65" ht="117.6" customHeight="1" x14ac:dyDescent="0.25">
      <c r="A8" s="171">
        <v>6</v>
      </c>
      <c r="B8" s="41" t="str">
        <f>IF(AND(BM8,ISBLANK(C8)),"Completar FECHA DE DENUNCIA",IF(AND(BM8,OR(ISBLANK(D8),ISBLANK(E8),ISBLANK(H8))),"Completar las celdas FECHA, HORA Y PREVENTIVO. En caso de no conocer la fecha u horario colocar INDETERMINADO",IF(AND(BM8,ISBLANK(G8)),"Completar COMISARIA",IF(AND(BM8,OR(ISBLANK(I8),ISBLANK(L8),ISBLANK(M8),O8="")),"Completar las celdas LOCALIDAD, CALLE, ALTURA Y DIRECCION SEGUN  GOOGLE MAPS",IF(AND(ISBLANK(J8),OR(I8=AÑELO[[#Headers],[AÑELO]],CENTENARIO[[#Headers],[CENTENARIO]]='PLANILLA DJ'!I8,CUTRAL_CO[[#Headers],[CUTRAL_CO]],JUNIN_DE_LOS_ANDES[[#Headers],[JUNIN_DE_LOS_ANDES]]='PLANILLA DJ'!I8,'PLANILLA DJ'!I8=NEUQUEN[[#Headers],[NEUQUEN]],PLAZA_HUINCUL[[#Headers],[PLAZA_HUINCUL]]='PLANILLA DJ'!I8,'PLANILLA DJ'!I8=PLOTTIER[[#Headers],[PLOTTIER]])),"COMPLETAR BARRIO",IF(AND(BM8,ISBLANK(Q8)),"Completar Nombre de VICTIMA o DENUNCIANTE",IF(AND(BM8,ISBLANK(R8)),"Completar TIPO DE ACTUACION",IF(AND(R8=BUSCADOR!$B$140,OR(X8&lt;&gt;BUSCADOR!$A$110,ISBLANK(X8))),"Se indico A CONSIDERACION en ACTUACION, indicar en el buscador de delitos A CONSIDERACION tambien",IF(AND(ISBLANK(X8)&lt;&gt;TRUE,IFERROR(MATCH(X8,BUSCADOR!$A$2:$A$112,0),-1)&lt;0),"EN EL BUSCADOR DE DELITOS NO agregar comentarios como SU INVESTIGACION, REPORTE, etc. Limitarse SOLAMENTE a poner A CONSIDERACION u otro valor que coincida en el buscador",IF(AND(ISBLANK(AD8),OR(Y8=BUSCADOR!$B$49,BUSCADOR!$B$50=Y8,Y8=BUSCADOR!$B$46,Y8=BUSCADOR!$B$2,Y8=BUSCADOR!$B$7,BUSCADOR!$B$109=Y8,X8=BUSCADOR!$A$58,X8=BUSCADOR!$A$59)),"Completar la celda TIPO DE LUGAR",IF(AND(ISBLANK(AE8),OR(AD8=BUSCADOR!$E$149,BUSCADOR!$E$150=AD8,AD8=BUSCADOR!$F$148)),"Completar DETALLE ESTABLECIMIENTO",IF(AND(ISBLANK(AF8),BM8),"Completar la celda MOTIVO QUE ORIGINA EL REGISTRO DEL HECHO",IF(AND(SUM(AG8:AI8)=0,OR(Y8=BUSCADOR!$B$2,BUSCADOR!$B$6=Y8,Y8=BUSCADOR!$B$7,BUSCADOR!$B$8=Y8,Y8=BUSCADOR!$B$9,BUSCADOR!$B$12=Y8,Y8=BUSCADOR!$B$13,BUSCADOR!$B$14=Y8,Y8=BUSCADOR!$B$17,BUSCADOR!$B$18=Y8,Y8=BUSCADOR!$B$20,BUSCADOR!$B$29=Y8,BUSCADOR!$B$34=Y8,BUSCADOR!$B$35=Y8,Y8=BUSCADOR!$B$109,Y8=BUSCADOR!$B$51,BUSCADOR!$B$50=Y8,Y8=BUSCADOR!$B$47,Y8=BUSCADOR!$B$58,Y8=BUSCADOR!$B$21,Y8=BUSCADOR!$B$22,Y8=BUSCADOR!$B$23,Y8=BUSCADOR!$B$24)),"El delito indicado debe presentar un numero de victimas. Completar la celda CANTIDAD DE VICTIMAS",IF(AND(SUM(AJ8:AO8)&gt;0,ISBLANK(AP8)),"Completar celda VULNERABILIDAD DE LA VICTIMA",IF(SUM(AG8:AI8)&lt;&gt;SUM(AJ8:AO8),"Se indico una CANTIDAD DE VICTIMAS SEGUN SEXO diferente a SEGUN GENERO",IF(AND(ISBLANK(AR8),OR(Y8=BUSCADOR!$B$49,BUSCADOR!$B$50=Y8,Y8=BUSCADOR!$B$46,Y8=BUSCADOR!$B$109,BUSCADOR!$B$2=Y8,X8=BUSCADOR!$A$58,X8=BUSCADOR!$A$59)),"Completar la celda TIPO DE ARMA, MODALIDAD O MECANISMO",IF(AND(ISBLANK(AS8),OR(Y8=BUSCADOR!$B$51,BUSCADOR!$B$50=Y8,Y8=BUSCADOR!$B$47,BUSCADOR!$A$58=X8,X8=BUSCADOR!$A$59)),"Completar la celda CONOCIDO, en la seccion de los inculpados",IF(AND(AS8=BUSCADOR!$B$127,OR(Y8=BUSCADOR!$B$51,BUSCADOR!$B$50,Y8,BUSCADOR!$B$46),OR(SUM(AT8:AV8)&lt;&gt;SUM(AW8:AZ8),SUM(AT8:AZ8)=0)),"Revisar las celdas correspondientes a CANTIDAD DE INCULPADOS. Se indica una cantidad diferente segun SEXO y EDAD o no se indico cantidad alguna",IF(AND(ISBLANK(BA8),X8=BUSCADOR!$A$27),"Se indico una persona desaparecida. Completar la casilla APARECIO",IF(AND(ISBLANK(BB8),OR(Y8=BUSCADOR!$B$49,BUSCADOR!$B$50=Y8,Y8=BUSCADOR!$B$46)),"Completar la casilla ELEMENTO SUSTRAIDO",IF(OR(AND(BB8=OTROS[[#Headers],[OTROS]],ISBLANK(BC8)),AND(BB8=ABIGEATO[[#Headers],[ABIGEATO]],ISBLANK(BC8))),"Completar la celda SUBCATEGORIA",IF(AND(OR(BB8=MOTOCICLETA[[#Headers],[MOTOCICLETA]],BB8=AUTOMOTOR[[#Headers],[AUTOMOTOR]]),OR(ISBLANK(BC8),ISBLANK(BD8),ISBLANK(BE8),ISBLANK(BF8))),"Se indico un AUTOMOTOR o MOTOCICLETA en ELEMENTOS SUSTRAIDOS, completar las celdas SUBCATEGORIA, DENOMINACION, AÑO y MODELO", IF(AND(ISBLANK(BB8)&lt;&gt;TRUE,ISBLANK(BJ8)),"Completar MODUS OPERANDI",IF(AND(ISBLANK(BK8),OR(BJ8=BUSCADOR!$H$232,BJ8=BUSCADOR!$I$232)),"Completar ESPECIALIDAD",IF(OR(AND(H8='SAT-Homicidios Dolosos'!$B$5,'SAT-Homicidios Dolosos'!$A$5&lt;&gt;"OK"),AND(H8='SAT-Homicidios Dolosos'!$B$8,'SAT-Homicidios Dolosos'!$A$8&lt;&gt;"OK")),"Se indico un HOMICIDIO, existen CELDAS VACIAS en la hoja SAT-HOMICIDIOS DOLOSOS Completar los datos indicados",IF(OR(AND(H8='SAT-Muertes Viales'!$E$21,'SAT-Muertes Viales'!$A$21&lt;&gt;"OK"),AND(H8='SAT-Muertes Viales'!$E$25,'SAT-Muertes Viales'!$A$25&lt;&gt;"OK"),AND(H8='SAT-Muertes Viales'!$E$29,'SAT-Muertes Viales'!$A$29&lt;&gt;"OK")),"Se indico un HOMICIDIO POR SINIESTRO VIAL, existen CELDAS VACIAS en la hoja SAT-MUERTES VIALES Completar los datos indicados",IF(OR(AND(H8='SAT-Suicidios'!$B$19,'SAT-Suicidios'!$A$19&lt;&gt;"OK"),AND(H8='SAT-Suicidios'!$B$22,'SAT-Suicidios'!$A$22&lt;&gt;"OK"),AND(H8='SAT-Suicidios'!$B$25,'SAT-Suicidios'!$A$25&lt;&gt;"OK")),"Se indico un SUICIDIO, existen CELDAS VACIAS en la hoja SAT-SUICIDIOS Completar los datos indicados",IF(IFERROR(MATCH(X8,BUSCADOR!$A$2:$A$112,0),-1)&lt;0,"No se indico delito",IF(AND(ISBLANK(BL8),OR(X8=BUSCADOR!$A$111,X8=BUSCADOR!$A$110)),"Llenar la casilla DETALLES, COMENTARIOS con una descripcion de la causa",IF(AND(X8="MUERTE DUDOSA",ISBLANK(BL8)=FALSE),"SE INDICO MUERTE DUDOSA, NOS CONTACTAREMOS PARA MAS INFORMACION","FILA CORRECTA"))))))))))))))))))))))))))))))</f>
        <v>No se indico delito</v>
      </c>
      <c r="C8" s="85"/>
      <c r="D8" s="166"/>
      <c r="E8" s="47"/>
      <c r="F8" s="163"/>
      <c r="G8" s="221" t="str">
        <f t="shared" si="9"/>
        <v>Comisaría 15°</v>
      </c>
      <c r="H8" s="45"/>
      <c r="I8" s="50"/>
      <c r="J8" s="29"/>
      <c r="K8" s="29"/>
      <c r="L8" s="29"/>
      <c r="M8" s="29"/>
      <c r="N8" s="51"/>
      <c r="O8" s="55" t="str">
        <f t="shared" si="2"/>
        <v/>
      </c>
      <c r="P8" s="56" t="str">
        <f t="shared" si="8"/>
        <v/>
      </c>
      <c r="Q8" s="50"/>
      <c r="R8" s="45"/>
      <c r="S8" s="62"/>
      <c r="T8" s="57" t="str">
        <f>IFERROR(VLOOKUP(X8,BUSCADOR!$A$2:$E$112,5,FALSE),"")</f>
        <v/>
      </c>
      <c r="U8" s="107" t="str">
        <f t="shared" si="0"/>
        <v/>
      </c>
      <c r="V8" s="28" t="str">
        <f>IFERROR(VLOOKUP(X8,BUSCADOR!$A$2:$E$112,4,FALSE),"")</f>
        <v/>
      </c>
      <c r="W8" s="107" t="str">
        <f t="shared" si="3"/>
        <v/>
      </c>
      <c r="X8" s="27"/>
      <c r="Y8" s="58" t="str">
        <f>IFERROR(VLOOKUP(X8,BUSCADOR!$A$2:$B$112,2,FALSE),"")</f>
        <v/>
      </c>
      <c r="Z8" s="101" t="str">
        <f t="shared" si="4"/>
        <v>__</v>
      </c>
      <c r="AA8" s="103" t="str">
        <f t="shared" si="5"/>
        <v>___</v>
      </c>
      <c r="AB8" s="104" t="str">
        <f t="shared" si="6"/>
        <v>____</v>
      </c>
      <c r="AC8" s="104" t="str">
        <f t="shared" si="6"/>
        <v>_____</v>
      </c>
      <c r="AD8" s="83"/>
      <c r="AE8" s="45"/>
      <c r="AF8" s="66"/>
      <c r="AG8" s="212"/>
      <c r="AH8" s="213"/>
      <c r="AI8" s="214"/>
      <c r="AJ8" s="218"/>
      <c r="AK8" s="213"/>
      <c r="AL8" s="213"/>
      <c r="AM8" s="213"/>
      <c r="AN8" s="213"/>
      <c r="AO8" s="218"/>
      <c r="AP8" s="95"/>
      <c r="AQ8" s="186" t="str">
        <f t="shared" si="1"/>
        <v/>
      </c>
      <c r="AR8" s="66"/>
      <c r="AS8" s="76"/>
      <c r="AT8" s="225"/>
      <c r="AU8" s="213"/>
      <c r="AV8" s="214"/>
      <c r="AW8" s="226"/>
      <c r="AX8" s="213"/>
      <c r="AY8" s="213"/>
      <c r="AZ8" s="227"/>
      <c r="BA8" s="65"/>
      <c r="BB8" s="52"/>
      <c r="BC8" s="27"/>
      <c r="BD8" s="27"/>
      <c r="BE8" s="27"/>
      <c r="BF8" s="79"/>
      <c r="BG8" s="52"/>
      <c r="BH8" s="69"/>
      <c r="BI8" s="188" t="str">
        <f>IF(Y8=BUSCADOR!$B$46,"HURTO_",IF(OR(Y8=BUSCADOR!$B$49,Y8=BUSCADOR!$B$50),"ROBO_",""))</f>
        <v/>
      </c>
      <c r="BJ8" s="50"/>
      <c r="BK8" s="45"/>
      <c r="BL8" s="66"/>
      <c r="BM8" s="1" t="b">
        <f t="shared" si="7"/>
        <v>0</v>
      </c>
    </row>
    <row r="9" spans="1:65" ht="117.6" customHeight="1" x14ac:dyDescent="0.25">
      <c r="A9" s="171">
        <v>7</v>
      </c>
      <c r="B9" s="41" t="str">
        <f>IF(AND(BM9,ISBLANK(C9)),"Completar FECHA DE DENUNCIA",IF(AND(BM9,OR(ISBLANK(D9),ISBLANK(E9),ISBLANK(H9))),"Completar las celdas FECHA, HORA Y PREVENTIVO. En caso de no conocer la fecha u horario colocar INDETERMINADO",IF(AND(BM9,ISBLANK(G9)),"Completar COMISARIA",IF(AND(BM9,OR(ISBLANK(I9),ISBLANK(L9),ISBLANK(M9),O9="")),"Completar las celdas LOCALIDAD, CALLE, ALTURA Y DIRECCION SEGUN  GOOGLE MAPS",IF(AND(ISBLANK(J9),OR(I9=AÑELO[[#Headers],[AÑELO]],CENTENARIO[[#Headers],[CENTENARIO]]='PLANILLA DJ'!I9,CUTRAL_CO[[#Headers],[CUTRAL_CO]],JUNIN_DE_LOS_ANDES[[#Headers],[JUNIN_DE_LOS_ANDES]]='PLANILLA DJ'!I9,'PLANILLA DJ'!I9=NEUQUEN[[#Headers],[NEUQUEN]],PLAZA_HUINCUL[[#Headers],[PLAZA_HUINCUL]]='PLANILLA DJ'!I9,'PLANILLA DJ'!I9=PLOTTIER[[#Headers],[PLOTTIER]])),"COMPLETAR BARRIO",IF(AND(BM9,ISBLANK(Q9)),"Completar Nombre de VICTIMA o DENUNCIANTE",IF(AND(BM9,ISBLANK(R9)),"Completar TIPO DE ACTUACION",IF(AND(R9=BUSCADOR!$B$140,OR(X9&lt;&gt;BUSCADOR!$A$110,ISBLANK(X9))),"Se indico A CONSIDERACION en ACTUACION, indicar en el buscador de delitos A CONSIDERACION tambien",IF(AND(ISBLANK(X9)&lt;&gt;TRUE,IFERROR(MATCH(X9,BUSCADOR!$A$2:$A$112,0),-1)&lt;0),"EN EL BUSCADOR DE DELITOS NO agregar comentarios como SU INVESTIGACION, REPORTE, etc. Limitarse SOLAMENTE a poner A CONSIDERACION u otro valor que coincida en el buscador",IF(AND(ISBLANK(AD9),OR(Y9=BUSCADOR!$B$49,BUSCADOR!$B$50=Y9,Y9=BUSCADOR!$B$46,Y9=BUSCADOR!$B$2,Y9=BUSCADOR!$B$7,BUSCADOR!$B$109=Y9,X9=BUSCADOR!$A$58,X9=BUSCADOR!$A$59)),"Completar la celda TIPO DE LUGAR",IF(AND(ISBLANK(AE9),OR(AD9=BUSCADOR!$E$149,BUSCADOR!$E$150=AD9,AD9=BUSCADOR!$F$148)),"Completar DETALLE ESTABLECIMIENTO",IF(AND(ISBLANK(AF9),BM9),"Completar la celda MOTIVO QUE ORIGINA EL REGISTRO DEL HECHO",IF(AND(SUM(AG9:AI9)=0,OR(Y9=BUSCADOR!$B$2,BUSCADOR!$B$6=Y9,Y9=BUSCADOR!$B$7,BUSCADOR!$B$8=Y9,Y9=BUSCADOR!$B$9,BUSCADOR!$B$12=Y9,Y9=BUSCADOR!$B$13,BUSCADOR!$B$14=Y9,Y9=BUSCADOR!$B$17,BUSCADOR!$B$18=Y9,Y9=BUSCADOR!$B$20,BUSCADOR!$B$29=Y9,BUSCADOR!$B$34=Y9,BUSCADOR!$B$35=Y9,Y9=BUSCADOR!$B$109,Y9=BUSCADOR!$B$51,BUSCADOR!$B$50=Y9,Y9=BUSCADOR!$B$47,Y9=BUSCADOR!$B$58,Y9=BUSCADOR!$B$21,Y9=BUSCADOR!$B$22,Y9=BUSCADOR!$B$23,Y9=BUSCADOR!$B$24)),"El delito indicado debe presentar un numero de victimas. Completar la celda CANTIDAD DE VICTIMAS",IF(AND(SUM(AJ9:AO9)&gt;0,ISBLANK(AP9)),"Completar celda VULNERABILIDAD DE LA VICTIMA",IF(SUM(AG9:AI9)&lt;&gt;SUM(AJ9:AO9),"Se indico una CANTIDAD DE VICTIMAS SEGUN SEXO diferente a SEGUN GENERO",IF(AND(ISBLANK(AR9),OR(Y9=BUSCADOR!$B$49,BUSCADOR!$B$50=Y9,Y9=BUSCADOR!$B$46,Y9=BUSCADOR!$B$109,BUSCADOR!$B$2=Y9,X9=BUSCADOR!$A$58,X9=BUSCADOR!$A$59)),"Completar la celda TIPO DE ARMA, MODALIDAD O MECANISMO",IF(AND(ISBLANK(AS9),OR(Y9=BUSCADOR!$B$51,BUSCADOR!$B$50=Y9,Y9=BUSCADOR!$B$47,BUSCADOR!$A$58=X9,X9=BUSCADOR!$A$59)),"Completar la celda CONOCIDO, en la seccion de los inculpados",IF(AND(AS9=BUSCADOR!$B$127,OR(Y9=BUSCADOR!$B$51,BUSCADOR!$B$50,Y9,BUSCADOR!$B$46),OR(SUM(AT9:AV9)&lt;&gt;SUM(AW9:AZ9),SUM(AT9:AZ9)=0)),"Revisar las celdas correspondientes a CANTIDAD DE INCULPADOS. Se indica una cantidad diferente segun SEXO y EDAD o no se indico cantidad alguna",IF(AND(ISBLANK(BA9),X9=BUSCADOR!$A$27),"Se indico una persona desaparecida. Completar la casilla APARECIO",IF(AND(ISBLANK(BB9),OR(Y9=BUSCADOR!$B$49,BUSCADOR!$B$50=Y9,Y9=BUSCADOR!$B$46)),"Completar la casilla ELEMENTO SUSTRAIDO",IF(OR(AND(BB9=OTROS[[#Headers],[OTROS]],ISBLANK(BC9)),AND(BB9=ABIGEATO[[#Headers],[ABIGEATO]],ISBLANK(BC9))),"Completar la celda SUBCATEGORIA",IF(AND(OR(BB9=MOTOCICLETA[[#Headers],[MOTOCICLETA]],BB9=AUTOMOTOR[[#Headers],[AUTOMOTOR]]),OR(ISBLANK(BC9),ISBLANK(BD9),ISBLANK(BE9),ISBLANK(BF9))),"Se indico un AUTOMOTOR o MOTOCICLETA en ELEMENTOS SUSTRAIDOS, completar las celdas SUBCATEGORIA, DENOMINACION, AÑO y MODELO", IF(AND(ISBLANK(BB9)&lt;&gt;TRUE,ISBLANK(BJ9)),"Completar MODUS OPERANDI",IF(AND(ISBLANK(BK9),OR(BJ9=BUSCADOR!$H$232,BJ9=BUSCADOR!$I$232)),"Completar ESPECIALIDAD",IF(OR(AND(H9='SAT-Homicidios Dolosos'!$B$5,'SAT-Homicidios Dolosos'!$A$5&lt;&gt;"OK"),AND(H9='SAT-Homicidios Dolosos'!$B$8,'SAT-Homicidios Dolosos'!$A$8&lt;&gt;"OK")),"Se indico un HOMICIDIO, existen CELDAS VACIAS en la hoja SAT-HOMICIDIOS DOLOSOS Completar los datos indicados",IF(OR(AND(H9='SAT-Muertes Viales'!$E$21,'SAT-Muertes Viales'!$A$21&lt;&gt;"OK"),AND(H9='SAT-Muertes Viales'!$E$25,'SAT-Muertes Viales'!$A$25&lt;&gt;"OK"),AND(H9='SAT-Muertes Viales'!$E$29,'SAT-Muertes Viales'!$A$29&lt;&gt;"OK")),"Se indico un HOMICIDIO POR SINIESTRO VIAL, existen CELDAS VACIAS en la hoja SAT-MUERTES VIALES Completar los datos indicados",IF(OR(AND(H9='SAT-Suicidios'!$B$19,'SAT-Suicidios'!$A$19&lt;&gt;"OK"),AND(H9='SAT-Suicidios'!$B$22,'SAT-Suicidios'!$A$22&lt;&gt;"OK"),AND(H9='SAT-Suicidios'!$B$25,'SAT-Suicidios'!$A$25&lt;&gt;"OK")),"Se indico un SUICIDIO, existen CELDAS VACIAS en la hoja SAT-SUICIDIOS Completar los datos indicados",IF(IFERROR(MATCH(X9,BUSCADOR!$A$2:$A$112,0),-1)&lt;0,"No se indico delito",IF(AND(ISBLANK(BL9),OR(X9=BUSCADOR!$A$111,X9=BUSCADOR!$A$110)),"Llenar la casilla DETALLES, COMENTARIOS con una descripcion de la causa",IF(AND(X9="MUERTE DUDOSA",ISBLANK(BL9)=FALSE),"SE INDICO MUERTE DUDOSA, NOS CONTACTAREMOS PARA MAS INFORMACION","FILA CORRECTA"))))))))))))))))))))))))))))))</f>
        <v>No se indico delito</v>
      </c>
      <c r="C9" s="85"/>
      <c r="D9" s="166"/>
      <c r="E9" s="47"/>
      <c r="F9" s="163"/>
      <c r="G9" s="221" t="str">
        <f t="shared" si="9"/>
        <v>Comisaría 15°</v>
      </c>
      <c r="H9" s="45"/>
      <c r="I9" s="50"/>
      <c r="J9" s="29"/>
      <c r="K9" s="29"/>
      <c r="L9" s="29"/>
      <c r="M9" s="29"/>
      <c r="N9" s="51"/>
      <c r="O9" s="55" t="str">
        <f t="shared" si="2"/>
        <v/>
      </c>
      <c r="P9" s="56" t="str">
        <f t="shared" si="8"/>
        <v/>
      </c>
      <c r="Q9" s="50"/>
      <c r="R9" s="45"/>
      <c r="S9" s="62"/>
      <c r="T9" s="57" t="str">
        <f>IFERROR(VLOOKUP(X9,BUSCADOR!$A$2:$E$112,5,FALSE),"")</f>
        <v/>
      </c>
      <c r="U9" s="107" t="str">
        <f t="shared" si="0"/>
        <v/>
      </c>
      <c r="V9" s="28" t="str">
        <f>IFERROR(VLOOKUP(X9,BUSCADOR!$A$2:$E$112,4,FALSE),"")</f>
        <v/>
      </c>
      <c r="W9" s="107" t="str">
        <f t="shared" si="3"/>
        <v/>
      </c>
      <c r="X9" s="27"/>
      <c r="Y9" s="58" t="str">
        <f>IFERROR(VLOOKUP(X9,BUSCADOR!$A$2:$B$112,2,FALSE),"")</f>
        <v/>
      </c>
      <c r="Z9" s="101" t="str">
        <f t="shared" si="4"/>
        <v>__</v>
      </c>
      <c r="AA9" s="103" t="str">
        <f t="shared" si="5"/>
        <v>___</v>
      </c>
      <c r="AB9" s="104" t="str">
        <f t="shared" si="6"/>
        <v>____</v>
      </c>
      <c r="AC9" s="104" t="str">
        <f t="shared" si="6"/>
        <v>_____</v>
      </c>
      <c r="AD9" s="83"/>
      <c r="AE9" s="45"/>
      <c r="AF9" s="66"/>
      <c r="AG9" s="212"/>
      <c r="AH9" s="213"/>
      <c r="AI9" s="214"/>
      <c r="AJ9" s="219"/>
      <c r="AK9" s="213"/>
      <c r="AL9" s="213"/>
      <c r="AM9" s="213"/>
      <c r="AN9" s="213"/>
      <c r="AO9" s="219"/>
      <c r="AP9" s="95"/>
      <c r="AQ9" s="186" t="str">
        <f t="shared" si="1"/>
        <v/>
      </c>
      <c r="AR9" s="66"/>
      <c r="AS9" s="76"/>
      <c r="AT9" s="225"/>
      <c r="AU9" s="213"/>
      <c r="AV9" s="214"/>
      <c r="AW9" s="226"/>
      <c r="AX9" s="213"/>
      <c r="AY9" s="213"/>
      <c r="AZ9" s="227"/>
      <c r="BA9" s="65"/>
      <c r="BB9" s="52"/>
      <c r="BC9" s="27"/>
      <c r="BD9" s="27"/>
      <c r="BE9" s="27"/>
      <c r="BF9" s="79"/>
      <c r="BG9" s="52"/>
      <c r="BH9" s="69"/>
      <c r="BI9" s="188" t="str">
        <f>IF(Y9=BUSCADOR!$B$46,"HURTO_",IF(OR(Y9=BUSCADOR!$B$49,Y9=BUSCADOR!$B$50),"ROBO_",""))</f>
        <v/>
      </c>
      <c r="BJ9" s="50"/>
      <c r="BK9" s="45"/>
      <c r="BL9" s="66"/>
      <c r="BM9" s="1" t="b">
        <f t="shared" si="7"/>
        <v>0</v>
      </c>
    </row>
    <row r="10" spans="1:65" ht="117.6" customHeight="1" x14ac:dyDescent="0.25">
      <c r="A10" s="171">
        <v>8</v>
      </c>
      <c r="B10" s="41" t="str">
        <f>IF(AND(BM10,ISBLANK(C10)),"Completar FECHA DE DENUNCIA",IF(AND(BM10,OR(ISBLANK(D10),ISBLANK(E10),ISBLANK(H10))),"Completar las celdas FECHA, HORA Y PREVENTIVO. En caso de no conocer la fecha u horario colocar INDETERMINADO",IF(AND(BM10,ISBLANK(G10)),"Completar COMISARIA",IF(AND(BM10,OR(ISBLANK(I10),ISBLANK(L10),ISBLANK(M10),O10="")),"Completar las celdas LOCALIDAD, CALLE, ALTURA Y DIRECCION SEGUN  GOOGLE MAPS",IF(AND(ISBLANK(J10),OR(I10=AÑELO[[#Headers],[AÑELO]],CENTENARIO[[#Headers],[CENTENARIO]]='PLANILLA DJ'!I10,CUTRAL_CO[[#Headers],[CUTRAL_CO]],JUNIN_DE_LOS_ANDES[[#Headers],[JUNIN_DE_LOS_ANDES]]='PLANILLA DJ'!I10,'PLANILLA DJ'!I10=NEUQUEN[[#Headers],[NEUQUEN]],PLAZA_HUINCUL[[#Headers],[PLAZA_HUINCUL]]='PLANILLA DJ'!I10,'PLANILLA DJ'!I10=PLOTTIER[[#Headers],[PLOTTIER]])),"COMPLETAR BARRIO",IF(AND(BM10,ISBLANK(Q10)),"Completar Nombre de VICTIMA o DENUNCIANTE",IF(AND(BM10,ISBLANK(R10)),"Completar TIPO DE ACTUACION",IF(AND(R10=BUSCADOR!$B$140,OR(X10&lt;&gt;BUSCADOR!$A$110,ISBLANK(X10))),"Se indico A CONSIDERACION en ACTUACION, indicar en el buscador de delitos A CONSIDERACION tambien",IF(AND(ISBLANK(X10)&lt;&gt;TRUE,IFERROR(MATCH(X10,BUSCADOR!$A$2:$A$112,0),-1)&lt;0),"EN EL BUSCADOR DE DELITOS NO agregar comentarios como SU INVESTIGACION, REPORTE, etc. Limitarse SOLAMENTE a poner A CONSIDERACION u otro valor que coincida en el buscador",IF(AND(ISBLANK(AD10),OR(Y10=BUSCADOR!$B$49,BUSCADOR!$B$50=Y10,Y10=BUSCADOR!$B$46,Y10=BUSCADOR!$B$2,Y10=BUSCADOR!$B$7,BUSCADOR!$B$109=Y10,X10=BUSCADOR!$A$58,X10=BUSCADOR!$A$59)),"Completar la celda TIPO DE LUGAR",IF(AND(ISBLANK(AE10),OR(AD10=BUSCADOR!$E$149,BUSCADOR!$E$150=AD10,AD10=BUSCADOR!$F$148)),"Completar DETALLE ESTABLECIMIENTO",IF(AND(ISBLANK(AF10),BM10),"Completar la celda MOTIVO QUE ORIGINA EL REGISTRO DEL HECHO",IF(AND(SUM(AG10:AI10)=0,OR(Y10=BUSCADOR!$B$2,BUSCADOR!$B$6=Y10,Y10=BUSCADOR!$B$7,BUSCADOR!$B$8=Y10,Y10=BUSCADOR!$B$9,BUSCADOR!$B$12=Y10,Y10=BUSCADOR!$B$13,BUSCADOR!$B$14=Y10,Y10=BUSCADOR!$B$17,BUSCADOR!$B$18=Y10,Y10=BUSCADOR!$B$20,BUSCADOR!$B$29=Y10,BUSCADOR!$B$34=Y10,BUSCADOR!$B$35=Y10,Y10=BUSCADOR!$B$109,Y10=BUSCADOR!$B$51,BUSCADOR!$B$50=Y10,Y10=BUSCADOR!$B$47,Y10=BUSCADOR!$B$58,Y10=BUSCADOR!$B$21,Y10=BUSCADOR!$B$22,Y10=BUSCADOR!$B$23,Y10=BUSCADOR!$B$24)),"El delito indicado debe presentar un numero de victimas. Completar la celda CANTIDAD DE VICTIMAS",IF(AND(SUM(AJ10:AO10)&gt;0,ISBLANK(AP10)),"Completar celda VULNERABILIDAD DE LA VICTIMA",IF(SUM(AG10:AI10)&lt;&gt;SUM(AJ10:AO10),"Se indico una CANTIDAD DE VICTIMAS SEGUN SEXO diferente a SEGUN GENERO",IF(AND(ISBLANK(AR10),OR(Y10=BUSCADOR!$B$49,BUSCADOR!$B$50=Y10,Y10=BUSCADOR!$B$46,Y10=BUSCADOR!$B$109,BUSCADOR!$B$2=Y10,X10=BUSCADOR!$A$58,X10=BUSCADOR!$A$59)),"Completar la celda TIPO DE ARMA, MODALIDAD O MECANISMO",IF(AND(ISBLANK(AS10),OR(Y10=BUSCADOR!$B$51,BUSCADOR!$B$50=Y10,Y10=BUSCADOR!$B$47,BUSCADOR!$A$58=X10,X10=BUSCADOR!$A$59)),"Completar la celda CONOCIDO, en la seccion de los inculpados",IF(AND(AS10=BUSCADOR!$B$127,OR(Y10=BUSCADOR!$B$51,BUSCADOR!$B$50,Y10,BUSCADOR!$B$46),OR(SUM(AT10:AV10)&lt;&gt;SUM(AW10:AZ10),SUM(AT10:AZ10)=0)),"Revisar las celdas correspondientes a CANTIDAD DE INCULPADOS. Se indica una cantidad diferente segun SEXO y EDAD o no se indico cantidad alguna",IF(AND(ISBLANK(BA10),X10=BUSCADOR!$A$27),"Se indico una persona desaparecida. Completar la casilla APARECIO",IF(AND(ISBLANK(BB10),OR(Y10=BUSCADOR!$B$49,BUSCADOR!$B$50=Y10,Y10=BUSCADOR!$B$46)),"Completar la casilla ELEMENTO SUSTRAIDO",IF(OR(AND(BB10=OTROS[[#Headers],[OTROS]],ISBLANK(BC10)),AND(BB10=ABIGEATO[[#Headers],[ABIGEATO]],ISBLANK(BC10))),"Completar la celda SUBCATEGORIA",IF(AND(OR(BB10=MOTOCICLETA[[#Headers],[MOTOCICLETA]],BB10=AUTOMOTOR[[#Headers],[AUTOMOTOR]]),OR(ISBLANK(BC10),ISBLANK(BD10),ISBLANK(BE10),ISBLANK(BF10))),"Se indico un AUTOMOTOR o MOTOCICLETA en ELEMENTOS SUSTRAIDOS, completar las celdas SUBCATEGORIA, DENOMINACION, AÑO y MODELO", IF(AND(ISBLANK(BB10)&lt;&gt;TRUE,ISBLANK(BJ10)),"Completar MODUS OPERANDI",IF(AND(ISBLANK(BK10),OR(BJ10=BUSCADOR!$H$232,BJ10=BUSCADOR!$I$232)),"Completar ESPECIALIDAD",IF(OR(AND(H10='SAT-Homicidios Dolosos'!$B$5,'SAT-Homicidios Dolosos'!$A$5&lt;&gt;"OK"),AND(H10='SAT-Homicidios Dolosos'!$B$8,'SAT-Homicidios Dolosos'!$A$8&lt;&gt;"OK")),"Se indico un HOMICIDIO, existen CELDAS VACIAS en la hoja SAT-HOMICIDIOS DOLOSOS Completar los datos indicados",IF(OR(AND(H10='SAT-Muertes Viales'!$E$21,'SAT-Muertes Viales'!$A$21&lt;&gt;"OK"),AND(H10='SAT-Muertes Viales'!$E$25,'SAT-Muertes Viales'!$A$25&lt;&gt;"OK"),AND(H10='SAT-Muertes Viales'!$E$29,'SAT-Muertes Viales'!$A$29&lt;&gt;"OK")),"Se indico un HOMICIDIO POR SINIESTRO VIAL, existen CELDAS VACIAS en la hoja SAT-MUERTES VIALES Completar los datos indicados",IF(OR(AND(H10='SAT-Suicidios'!$B$19,'SAT-Suicidios'!$A$19&lt;&gt;"OK"),AND(H10='SAT-Suicidios'!$B$22,'SAT-Suicidios'!$A$22&lt;&gt;"OK"),AND(H10='SAT-Suicidios'!$B$25,'SAT-Suicidios'!$A$25&lt;&gt;"OK")),"Se indico un SUICIDIO, existen CELDAS VACIAS en la hoja SAT-SUICIDIOS Completar los datos indicados",IF(IFERROR(MATCH(X10,BUSCADOR!$A$2:$A$112,0),-1)&lt;0,"No se indico delito",IF(AND(ISBLANK(BL10),OR(X10=BUSCADOR!$A$111,X10=BUSCADOR!$A$110)),"Llenar la casilla DETALLES, COMENTARIOS con una descripcion de la causa",IF(AND(X10="MUERTE DUDOSA",ISBLANK(BL10)=FALSE),"SE INDICO MUERTE DUDOSA, NOS CONTACTAREMOS PARA MAS INFORMACION","FILA CORRECTA"))))))))))))))))))))))))))))))</f>
        <v>No se indico delito</v>
      </c>
      <c r="C10" s="42"/>
      <c r="D10" s="90"/>
      <c r="E10" s="47"/>
      <c r="F10" s="163"/>
      <c r="G10" s="221" t="str">
        <f t="shared" si="9"/>
        <v>Comisaría 15°</v>
      </c>
      <c r="H10" s="45"/>
      <c r="I10" s="50"/>
      <c r="J10" s="29"/>
      <c r="K10" s="29"/>
      <c r="L10" s="29"/>
      <c r="M10" s="29"/>
      <c r="N10" s="51"/>
      <c r="O10" s="55" t="str">
        <f t="shared" si="2"/>
        <v/>
      </c>
      <c r="P10" s="56" t="str">
        <f t="shared" si="8"/>
        <v/>
      </c>
      <c r="Q10" s="50"/>
      <c r="R10" s="45"/>
      <c r="S10" s="62"/>
      <c r="T10" s="57" t="str">
        <f>IFERROR(VLOOKUP(X10,BUSCADOR!$A$2:$E$112,5,FALSE),"")</f>
        <v/>
      </c>
      <c r="U10" s="107" t="str">
        <f t="shared" si="0"/>
        <v/>
      </c>
      <c r="V10" s="28" t="str">
        <f>IFERROR(VLOOKUP(X10,BUSCADOR!$A$2:$E$112,4,FALSE),"")</f>
        <v/>
      </c>
      <c r="W10" s="107" t="str">
        <f t="shared" si="3"/>
        <v/>
      </c>
      <c r="X10" s="27"/>
      <c r="Y10" s="58" t="str">
        <f>IFERROR(VLOOKUP(X10,BUSCADOR!$A$2:$B$112,2,FALSE),"")</f>
        <v/>
      </c>
      <c r="Z10" s="101" t="str">
        <f t="shared" si="4"/>
        <v>__</v>
      </c>
      <c r="AA10" s="103" t="str">
        <f t="shared" si="5"/>
        <v>___</v>
      </c>
      <c r="AB10" s="104" t="str">
        <f t="shared" si="6"/>
        <v>____</v>
      </c>
      <c r="AC10" s="104" t="str">
        <f t="shared" si="6"/>
        <v>_____</v>
      </c>
      <c r="AD10" s="83"/>
      <c r="AE10" s="45"/>
      <c r="AF10" s="66"/>
      <c r="AG10" s="212"/>
      <c r="AH10" s="213"/>
      <c r="AI10" s="214"/>
      <c r="AJ10" s="219"/>
      <c r="AK10" s="213"/>
      <c r="AL10" s="213"/>
      <c r="AM10" s="213"/>
      <c r="AN10" s="213"/>
      <c r="AO10" s="219"/>
      <c r="AP10" s="95"/>
      <c r="AQ10" s="186" t="str">
        <f t="shared" si="1"/>
        <v/>
      </c>
      <c r="AR10" s="66"/>
      <c r="AS10" s="76"/>
      <c r="AT10" s="225"/>
      <c r="AU10" s="213"/>
      <c r="AV10" s="214"/>
      <c r="AW10" s="226"/>
      <c r="AX10" s="213"/>
      <c r="AY10" s="213"/>
      <c r="AZ10" s="227"/>
      <c r="BA10" s="65"/>
      <c r="BB10" s="52"/>
      <c r="BC10" s="27"/>
      <c r="BD10" s="27"/>
      <c r="BE10" s="27"/>
      <c r="BF10" s="79"/>
      <c r="BG10" s="52"/>
      <c r="BH10" s="69"/>
      <c r="BI10" s="188" t="str">
        <f>IF(Y10=BUSCADOR!$B$46,"HURTO_",IF(OR(Y10=BUSCADOR!$B$49,Y10=BUSCADOR!$B$50),"ROBO_",""))</f>
        <v/>
      </c>
      <c r="BJ10" s="50"/>
      <c r="BK10" s="45"/>
      <c r="BL10" s="66"/>
      <c r="BM10" s="1" t="b">
        <f t="shared" si="7"/>
        <v>0</v>
      </c>
    </row>
    <row r="11" spans="1:65" ht="117.6" customHeight="1" x14ac:dyDescent="0.25">
      <c r="A11" s="171">
        <v>9</v>
      </c>
      <c r="B11" s="41" t="str">
        <f>IF(AND(BM11,ISBLANK(C11)),"Completar FECHA DE DENUNCIA",IF(AND(BM11,OR(ISBLANK(D11),ISBLANK(E11),ISBLANK(H11))),"Completar las celdas FECHA, HORA Y PREVENTIVO. En caso de no conocer la fecha u horario colocar INDETERMINADO",IF(AND(BM11,ISBLANK(G11)),"Completar COMISARIA",IF(AND(BM11,OR(ISBLANK(I11),ISBLANK(L11),ISBLANK(M11),O11="")),"Completar las celdas LOCALIDAD, CALLE, ALTURA Y DIRECCION SEGUN  GOOGLE MAPS",IF(AND(ISBLANK(J11),OR(I11=AÑELO[[#Headers],[AÑELO]],CENTENARIO[[#Headers],[CENTENARIO]]='PLANILLA DJ'!I11,CUTRAL_CO[[#Headers],[CUTRAL_CO]],JUNIN_DE_LOS_ANDES[[#Headers],[JUNIN_DE_LOS_ANDES]]='PLANILLA DJ'!I11,'PLANILLA DJ'!I11=NEUQUEN[[#Headers],[NEUQUEN]],PLAZA_HUINCUL[[#Headers],[PLAZA_HUINCUL]]='PLANILLA DJ'!I11,'PLANILLA DJ'!I11=PLOTTIER[[#Headers],[PLOTTIER]])),"COMPLETAR BARRIO",IF(AND(BM11,ISBLANK(Q11)),"Completar Nombre de VICTIMA o DENUNCIANTE",IF(AND(BM11,ISBLANK(R11)),"Completar TIPO DE ACTUACION",IF(AND(R11=BUSCADOR!$B$140,OR(X11&lt;&gt;BUSCADOR!$A$110,ISBLANK(X11))),"Se indico A CONSIDERACION en ACTUACION, indicar en el buscador de delitos A CONSIDERACION tambien",IF(AND(ISBLANK(X11)&lt;&gt;TRUE,IFERROR(MATCH(X11,BUSCADOR!$A$2:$A$112,0),-1)&lt;0),"EN EL BUSCADOR DE DELITOS NO agregar comentarios como SU INVESTIGACION, REPORTE, etc. Limitarse SOLAMENTE a poner A CONSIDERACION u otro valor que coincida en el buscador",IF(AND(ISBLANK(AD11),OR(Y11=BUSCADOR!$B$49,BUSCADOR!$B$50=Y11,Y11=BUSCADOR!$B$46,Y11=BUSCADOR!$B$2,Y11=BUSCADOR!$B$7,BUSCADOR!$B$109=Y11,X11=BUSCADOR!$A$58,X11=BUSCADOR!$A$59)),"Completar la celda TIPO DE LUGAR",IF(AND(ISBLANK(AE11),OR(AD11=BUSCADOR!$E$149,BUSCADOR!$E$150=AD11,AD11=BUSCADOR!$F$148)),"Completar DETALLE ESTABLECIMIENTO",IF(AND(ISBLANK(AF11),BM11),"Completar la celda MOTIVO QUE ORIGINA EL REGISTRO DEL HECHO",IF(AND(SUM(AG11:AI11)=0,OR(Y11=BUSCADOR!$B$2,BUSCADOR!$B$6=Y11,Y11=BUSCADOR!$B$7,BUSCADOR!$B$8=Y11,Y11=BUSCADOR!$B$9,BUSCADOR!$B$12=Y11,Y11=BUSCADOR!$B$13,BUSCADOR!$B$14=Y11,Y11=BUSCADOR!$B$17,BUSCADOR!$B$18=Y11,Y11=BUSCADOR!$B$20,BUSCADOR!$B$29=Y11,BUSCADOR!$B$34=Y11,BUSCADOR!$B$35=Y11,Y11=BUSCADOR!$B$109,Y11=BUSCADOR!$B$51,BUSCADOR!$B$50=Y11,Y11=BUSCADOR!$B$47,Y11=BUSCADOR!$B$58,Y11=BUSCADOR!$B$21,Y11=BUSCADOR!$B$22,Y11=BUSCADOR!$B$23,Y11=BUSCADOR!$B$24)),"El delito indicado debe presentar un numero de victimas. Completar la celda CANTIDAD DE VICTIMAS",IF(AND(SUM(AJ11:AO11)&gt;0,ISBLANK(AP11)),"Completar celda VULNERABILIDAD DE LA VICTIMA",IF(SUM(AG11:AI11)&lt;&gt;SUM(AJ11:AO11),"Se indico una CANTIDAD DE VICTIMAS SEGUN SEXO diferente a SEGUN GENERO",IF(AND(ISBLANK(AR11),OR(Y11=BUSCADOR!$B$49,BUSCADOR!$B$50=Y11,Y11=BUSCADOR!$B$46,Y11=BUSCADOR!$B$109,BUSCADOR!$B$2=Y11,X11=BUSCADOR!$A$58,X11=BUSCADOR!$A$59)),"Completar la celda TIPO DE ARMA, MODALIDAD O MECANISMO",IF(AND(ISBLANK(AS11),OR(Y11=BUSCADOR!$B$51,BUSCADOR!$B$50=Y11,Y11=BUSCADOR!$B$47,BUSCADOR!$A$58=X11,X11=BUSCADOR!$A$59)),"Completar la celda CONOCIDO, en la seccion de los inculpados",IF(AND(AS11=BUSCADOR!$B$127,OR(Y11=BUSCADOR!$B$51,BUSCADOR!$B$50,Y11,BUSCADOR!$B$46),OR(SUM(AT11:AV11)&lt;&gt;SUM(AW11:AZ11),SUM(AT11:AZ11)=0)),"Revisar las celdas correspondientes a CANTIDAD DE INCULPADOS. Se indica una cantidad diferente segun SEXO y EDAD o no se indico cantidad alguna",IF(AND(ISBLANK(BA11),X11=BUSCADOR!$A$27),"Se indico una persona desaparecida. Completar la casilla APARECIO",IF(AND(ISBLANK(BB11),OR(Y11=BUSCADOR!$B$49,BUSCADOR!$B$50=Y11,Y11=BUSCADOR!$B$46)),"Completar la casilla ELEMENTO SUSTRAIDO",IF(OR(AND(BB11=OTROS[[#Headers],[OTROS]],ISBLANK(BC11)),AND(BB11=ABIGEATO[[#Headers],[ABIGEATO]],ISBLANK(BC11))),"Completar la celda SUBCATEGORIA",IF(AND(OR(BB11=MOTOCICLETA[[#Headers],[MOTOCICLETA]],BB11=AUTOMOTOR[[#Headers],[AUTOMOTOR]]),OR(ISBLANK(BC11),ISBLANK(BD11),ISBLANK(BE11),ISBLANK(BF11))),"Se indico un AUTOMOTOR o MOTOCICLETA en ELEMENTOS SUSTRAIDOS, completar las celdas SUBCATEGORIA, DENOMINACION, AÑO y MODELO", IF(AND(ISBLANK(BB11)&lt;&gt;TRUE,ISBLANK(BJ11)),"Completar MODUS OPERANDI",IF(AND(ISBLANK(BK11),OR(BJ11=BUSCADOR!$H$232,BJ11=BUSCADOR!$I$232)),"Completar ESPECIALIDAD",IF(OR(AND(H11='SAT-Homicidios Dolosos'!$B$5,'SAT-Homicidios Dolosos'!$A$5&lt;&gt;"OK"),AND(H11='SAT-Homicidios Dolosos'!$B$8,'SAT-Homicidios Dolosos'!$A$8&lt;&gt;"OK")),"Se indico un HOMICIDIO, existen CELDAS VACIAS en la hoja SAT-HOMICIDIOS DOLOSOS Completar los datos indicados",IF(OR(AND(H11='SAT-Muertes Viales'!$E$21,'SAT-Muertes Viales'!$A$21&lt;&gt;"OK"),AND(H11='SAT-Muertes Viales'!$E$25,'SAT-Muertes Viales'!$A$25&lt;&gt;"OK"),AND(H11='SAT-Muertes Viales'!$E$29,'SAT-Muertes Viales'!$A$29&lt;&gt;"OK")),"Se indico un HOMICIDIO POR SINIESTRO VIAL, existen CELDAS VACIAS en la hoja SAT-MUERTES VIALES Completar los datos indicados",IF(OR(AND(H11='SAT-Suicidios'!$B$19,'SAT-Suicidios'!$A$19&lt;&gt;"OK"),AND(H11='SAT-Suicidios'!$B$22,'SAT-Suicidios'!$A$22&lt;&gt;"OK"),AND(H11='SAT-Suicidios'!$B$25,'SAT-Suicidios'!$A$25&lt;&gt;"OK")),"Se indico un SUICIDIO, existen CELDAS VACIAS en la hoja SAT-SUICIDIOS Completar los datos indicados",IF(IFERROR(MATCH(X11,BUSCADOR!$A$2:$A$112,0),-1)&lt;0,"No se indico delito",IF(AND(ISBLANK(BL11),OR(X11=BUSCADOR!$A$111,X11=BUSCADOR!$A$110)),"Llenar la casilla DETALLES, COMENTARIOS con una descripcion de la causa",IF(AND(X11="MUERTE DUDOSA",ISBLANK(BL11)=FALSE),"SE INDICO MUERTE DUDOSA, NOS CONTACTAREMOS PARA MAS INFORMACION","FILA CORRECTA"))))))))))))))))))))))))))))))</f>
        <v>No se indico delito</v>
      </c>
      <c r="C11" s="42"/>
      <c r="D11" s="90"/>
      <c r="E11" s="47"/>
      <c r="F11" s="163"/>
      <c r="G11" s="221" t="str">
        <f t="shared" si="9"/>
        <v>Comisaría 15°</v>
      </c>
      <c r="H11" s="45"/>
      <c r="I11" s="50"/>
      <c r="J11" s="29"/>
      <c r="K11" s="29"/>
      <c r="L11" s="29"/>
      <c r="M11" s="29"/>
      <c r="N11" s="51"/>
      <c r="O11" s="55" t="str">
        <f t="shared" si="2"/>
        <v/>
      </c>
      <c r="P11" s="56" t="str">
        <f t="shared" si="8"/>
        <v/>
      </c>
      <c r="Q11" s="50"/>
      <c r="R11" s="45"/>
      <c r="S11" s="62"/>
      <c r="T11" s="57" t="str">
        <f>IFERROR(VLOOKUP(X11,BUSCADOR!$A$2:$E$112,5,FALSE),"")</f>
        <v/>
      </c>
      <c r="U11" s="107" t="str">
        <f t="shared" si="0"/>
        <v/>
      </c>
      <c r="V11" s="28" t="str">
        <f>IFERROR(VLOOKUP(X11,BUSCADOR!$A$2:$E$112,4,FALSE),"")</f>
        <v/>
      </c>
      <c r="W11" s="107" t="str">
        <f t="shared" si="3"/>
        <v/>
      </c>
      <c r="X11" s="27"/>
      <c r="Y11" s="58" t="str">
        <f>IFERROR(VLOOKUP(X11,BUSCADOR!$A$2:$B$112,2,FALSE),"")</f>
        <v/>
      </c>
      <c r="Z11" s="101" t="str">
        <f t="shared" si="4"/>
        <v>__</v>
      </c>
      <c r="AA11" s="103" t="str">
        <f t="shared" si="5"/>
        <v>___</v>
      </c>
      <c r="AB11" s="104" t="str">
        <f t="shared" si="6"/>
        <v>____</v>
      </c>
      <c r="AC11" s="104" t="str">
        <f t="shared" si="6"/>
        <v>_____</v>
      </c>
      <c r="AD11" s="83"/>
      <c r="AE11" s="45"/>
      <c r="AF11" s="66"/>
      <c r="AG11" s="209"/>
      <c r="AH11" s="210"/>
      <c r="AI11" s="211"/>
      <c r="AJ11" s="218"/>
      <c r="AK11" s="210"/>
      <c r="AL11" s="210"/>
      <c r="AM11" s="210"/>
      <c r="AN11" s="210"/>
      <c r="AO11" s="218"/>
      <c r="AP11" s="95"/>
      <c r="AQ11" s="186" t="str">
        <f t="shared" si="1"/>
        <v/>
      </c>
      <c r="AR11" s="66"/>
      <c r="AS11" s="76"/>
      <c r="AT11" s="225"/>
      <c r="AU11" s="213"/>
      <c r="AV11" s="214"/>
      <c r="AW11" s="226"/>
      <c r="AX11" s="213"/>
      <c r="AY11" s="213"/>
      <c r="AZ11" s="227"/>
      <c r="BA11" s="65"/>
      <c r="BB11" s="52"/>
      <c r="BC11" s="27"/>
      <c r="BD11" s="27"/>
      <c r="BE11" s="27"/>
      <c r="BF11" s="79"/>
      <c r="BG11" s="52"/>
      <c r="BH11" s="69"/>
      <c r="BI11" s="188" t="str">
        <f>IF(Y11=BUSCADOR!$B$46,"HURTO_",IF(OR(Y11=BUSCADOR!$B$49,Y11=BUSCADOR!$B$50),"ROBO_",""))</f>
        <v/>
      </c>
      <c r="BJ11" s="50"/>
      <c r="BK11" s="45"/>
      <c r="BL11" s="66"/>
      <c r="BM11" s="1" t="b">
        <f t="shared" si="7"/>
        <v>0</v>
      </c>
    </row>
    <row r="12" spans="1:65" ht="117.6" customHeight="1" x14ac:dyDescent="0.25">
      <c r="A12" s="171">
        <v>10</v>
      </c>
      <c r="B12" s="41" t="str">
        <f>IF(AND(BM12,ISBLANK(C12)),"Completar FECHA DE DENUNCIA",IF(AND(BM12,OR(ISBLANK(D12),ISBLANK(E12),ISBLANK(H12))),"Completar las celdas FECHA, HORA Y PREVENTIVO. En caso de no conocer la fecha u horario colocar INDETERMINADO",IF(AND(BM12,ISBLANK(G12)),"Completar COMISARIA",IF(AND(BM12,OR(ISBLANK(I12),ISBLANK(L12),ISBLANK(M12),O12="")),"Completar las celdas LOCALIDAD, CALLE, ALTURA Y DIRECCION SEGUN  GOOGLE MAPS",IF(AND(ISBLANK(J12),OR(I12=AÑELO[[#Headers],[AÑELO]],CENTENARIO[[#Headers],[CENTENARIO]]='PLANILLA DJ'!I12,CUTRAL_CO[[#Headers],[CUTRAL_CO]],JUNIN_DE_LOS_ANDES[[#Headers],[JUNIN_DE_LOS_ANDES]]='PLANILLA DJ'!I12,'PLANILLA DJ'!I12=NEUQUEN[[#Headers],[NEUQUEN]],PLAZA_HUINCUL[[#Headers],[PLAZA_HUINCUL]]='PLANILLA DJ'!I12,'PLANILLA DJ'!I12=PLOTTIER[[#Headers],[PLOTTIER]])),"COMPLETAR BARRIO",IF(AND(BM12,ISBLANK(Q12)),"Completar Nombre de VICTIMA o DENUNCIANTE",IF(AND(BM12,ISBLANK(R12)),"Completar TIPO DE ACTUACION",IF(AND(R12=BUSCADOR!$B$140,OR(X12&lt;&gt;BUSCADOR!$A$110,ISBLANK(X12))),"Se indico A CONSIDERACION en ACTUACION, indicar en el buscador de delitos A CONSIDERACION tambien",IF(AND(ISBLANK(X12)&lt;&gt;TRUE,IFERROR(MATCH(X12,BUSCADOR!$A$2:$A$112,0),-1)&lt;0),"EN EL BUSCADOR DE DELITOS NO agregar comentarios como SU INVESTIGACION, REPORTE, etc. Limitarse SOLAMENTE a poner A CONSIDERACION u otro valor que coincida en el buscador",IF(AND(ISBLANK(AD12),OR(Y12=BUSCADOR!$B$49,BUSCADOR!$B$50=Y12,Y12=BUSCADOR!$B$46,Y12=BUSCADOR!$B$2,Y12=BUSCADOR!$B$7,BUSCADOR!$B$109=Y12,X12=BUSCADOR!$A$58,X12=BUSCADOR!$A$59)),"Completar la celda TIPO DE LUGAR",IF(AND(ISBLANK(AE12),OR(AD12=BUSCADOR!$E$149,BUSCADOR!$E$150=AD12,AD12=BUSCADOR!$F$148)),"Completar DETALLE ESTABLECIMIENTO",IF(AND(ISBLANK(AF12),BM12),"Completar la celda MOTIVO QUE ORIGINA EL REGISTRO DEL HECHO",IF(AND(SUM(AG12:AI12)=0,OR(Y12=BUSCADOR!$B$2,BUSCADOR!$B$6=Y12,Y12=BUSCADOR!$B$7,BUSCADOR!$B$8=Y12,Y12=BUSCADOR!$B$9,BUSCADOR!$B$12=Y12,Y12=BUSCADOR!$B$13,BUSCADOR!$B$14=Y12,Y12=BUSCADOR!$B$17,BUSCADOR!$B$18=Y12,Y12=BUSCADOR!$B$20,BUSCADOR!$B$29=Y12,BUSCADOR!$B$34=Y12,BUSCADOR!$B$35=Y12,Y12=BUSCADOR!$B$109,Y12=BUSCADOR!$B$51,BUSCADOR!$B$50=Y12,Y12=BUSCADOR!$B$47,Y12=BUSCADOR!$B$58,Y12=BUSCADOR!$B$21,Y12=BUSCADOR!$B$22,Y12=BUSCADOR!$B$23,Y12=BUSCADOR!$B$24)),"El delito indicado debe presentar un numero de victimas. Completar la celda CANTIDAD DE VICTIMAS",IF(AND(SUM(AJ12:AO12)&gt;0,ISBLANK(AP12)),"Completar celda VULNERABILIDAD DE LA VICTIMA",IF(SUM(AG12:AI12)&lt;&gt;SUM(AJ12:AO12),"Se indico una CANTIDAD DE VICTIMAS SEGUN SEXO diferente a SEGUN GENERO",IF(AND(ISBLANK(AR12),OR(Y12=BUSCADOR!$B$49,BUSCADOR!$B$50=Y12,Y12=BUSCADOR!$B$46,Y12=BUSCADOR!$B$109,BUSCADOR!$B$2=Y12,X12=BUSCADOR!$A$58,X12=BUSCADOR!$A$59)),"Completar la celda TIPO DE ARMA, MODALIDAD O MECANISMO",IF(AND(ISBLANK(AS12),OR(Y12=BUSCADOR!$B$51,BUSCADOR!$B$50=Y12,Y12=BUSCADOR!$B$47,BUSCADOR!$A$58=X12,X12=BUSCADOR!$A$59)),"Completar la celda CONOCIDO, en la seccion de los inculpados",IF(AND(AS12=BUSCADOR!$B$127,OR(Y12=BUSCADOR!$B$51,BUSCADOR!$B$50,Y12,BUSCADOR!$B$46),OR(SUM(AT12:AV12)&lt;&gt;SUM(AW12:AZ12),SUM(AT12:AZ12)=0)),"Revisar las celdas correspondientes a CANTIDAD DE INCULPADOS. Se indica una cantidad diferente segun SEXO y EDAD o no se indico cantidad alguna",IF(AND(ISBLANK(BA12),X12=BUSCADOR!$A$27),"Se indico una persona desaparecida. Completar la casilla APARECIO",IF(AND(ISBLANK(BB12),OR(Y12=BUSCADOR!$B$49,BUSCADOR!$B$50=Y12,Y12=BUSCADOR!$B$46)),"Completar la casilla ELEMENTO SUSTRAIDO",IF(OR(AND(BB12=OTROS[[#Headers],[OTROS]],ISBLANK(BC12)),AND(BB12=ABIGEATO[[#Headers],[ABIGEATO]],ISBLANK(BC12))),"Completar la celda SUBCATEGORIA",IF(AND(OR(BB12=MOTOCICLETA[[#Headers],[MOTOCICLETA]],BB12=AUTOMOTOR[[#Headers],[AUTOMOTOR]]),OR(ISBLANK(BC12),ISBLANK(BD12),ISBLANK(BE12),ISBLANK(BF12))),"Se indico un AUTOMOTOR o MOTOCICLETA en ELEMENTOS SUSTRAIDOS, completar las celdas SUBCATEGORIA, DENOMINACION, AÑO y MODELO", IF(AND(ISBLANK(BB12)&lt;&gt;TRUE,ISBLANK(BJ12)),"Completar MODUS OPERANDI",IF(AND(ISBLANK(BK12),OR(BJ12=BUSCADOR!$H$232,BJ12=BUSCADOR!$I$232)),"Completar ESPECIALIDAD",IF(OR(AND(H12='SAT-Homicidios Dolosos'!$B$5,'SAT-Homicidios Dolosos'!$A$5&lt;&gt;"OK"),AND(H12='SAT-Homicidios Dolosos'!$B$8,'SAT-Homicidios Dolosos'!$A$8&lt;&gt;"OK")),"Se indico un HOMICIDIO, existen CELDAS VACIAS en la hoja SAT-HOMICIDIOS DOLOSOS Completar los datos indicados",IF(OR(AND(H12='SAT-Muertes Viales'!$E$21,'SAT-Muertes Viales'!$A$21&lt;&gt;"OK"),AND(H12='SAT-Muertes Viales'!$E$25,'SAT-Muertes Viales'!$A$25&lt;&gt;"OK"),AND(H12='SAT-Muertes Viales'!$E$29,'SAT-Muertes Viales'!$A$29&lt;&gt;"OK")),"Se indico un HOMICIDIO POR SINIESTRO VIAL, existen CELDAS VACIAS en la hoja SAT-MUERTES VIALES Completar los datos indicados",IF(OR(AND(H12='SAT-Suicidios'!$B$19,'SAT-Suicidios'!$A$19&lt;&gt;"OK"),AND(H12='SAT-Suicidios'!$B$22,'SAT-Suicidios'!$A$22&lt;&gt;"OK"),AND(H12='SAT-Suicidios'!$B$25,'SAT-Suicidios'!$A$25&lt;&gt;"OK")),"Se indico un SUICIDIO, existen CELDAS VACIAS en la hoja SAT-SUICIDIOS Completar los datos indicados",IF(IFERROR(MATCH(X12,BUSCADOR!$A$2:$A$112,0),-1)&lt;0,"No se indico delito",IF(AND(ISBLANK(BL12),OR(X12=BUSCADOR!$A$111,X12=BUSCADOR!$A$110)),"Llenar la casilla DETALLES, COMENTARIOS con una descripcion de la causa",IF(AND(X12="MUERTE DUDOSA",ISBLANK(BL12)=FALSE),"SE INDICO MUERTE DUDOSA, NOS CONTACTAREMOS PARA MAS INFORMACION","FILA CORRECTA"))))))))))))))))))))))))))))))</f>
        <v>No se indico delito</v>
      </c>
      <c r="C12" s="42"/>
      <c r="D12" s="90"/>
      <c r="E12" s="47"/>
      <c r="F12" s="87"/>
      <c r="G12" s="221" t="str">
        <f t="shared" si="9"/>
        <v>Comisaría 15°</v>
      </c>
      <c r="H12" s="45"/>
      <c r="I12" s="50"/>
      <c r="J12" s="29"/>
      <c r="K12" s="29"/>
      <c r="L12" s="29"/>
      <c r="M12" s="29"/>
      <c r="N12" s="51"/>
      <c r="O12" s="55" t="str">
        <f t="shared" si="2"/>
        <v/>
      </c>
      <c r="P12" s="56" t="str">
        <f t="shared" si="8"/>
        <v/>
      </c>
      <c r="Q12" s="50"/>
      <c r="R12" s="45"/>
      <c r="S12" s="62"/>
      <c r="T12" s="57" t="str">
        <f>IFERROR(VLOOKUP(X12,BUSCADOR!$A$2:$E$112,5,FALSE),"")</f>
        <v/>
      </c>
      <c r="U12" s="107" t="str">
        <f t="shared" si="0"/>
        <v/>
      </c>
      <c r="V12" s="28" t="str">
        <f>IFERROR(VLOOKUP(X12,BUSCADOR!$A$2:$E$112,4,FALSE),"")</f>
        <v/>
      </c>
      <c r="W12" s="107" t="str">
        <f t="shared" si="3"/>
        <v/>
      </c>
      <c r="X12" s="27"/>
      <c r="Y12" s="58" t="str">
        <f>IFERROR(VLOOKUP(X12,BUSCADOR!$A$2:$B$112,2,FALSE),"")</f>
        <v/>
      </c>
      <c r="Z12" s="101" t="str">
        <f t="shared" si="4"/>
        <v>__</v>
      </c>
      <c r="AA12" s="103" t="str">
        <f t="shared" si="5"/>
        <v>___</v>
      </c>
      <c r="AB12" s="104" t="str">
        <f t="shared" si="6"/>
        <v>____</v>
      </c>
      <c r="AC12" s="104" t="str">
        <f t="shared" si="6"/>
        <v>_____</v>
      </c>
      <c r="AD12" s="83"/>
      <c r="AE12" s="45"/>
      <c r="AF12" s="66"/>
      <c r="AG12" s="212"/>
      <c r="AH12" s="213"/>
      <c r="AI12" s="214"/>
      <c r="AJ12" s="218"/>
      <c r="AK12" s="213"/>
      <c r="AL12" s="213"/>
      <c r="AM12" s="213"/>
      <c r="AN12" s="213"/>
      <c r="AO12" s="218"/>
      <c r="AP12" s="95"/>
      <c r="AQ12" s="186" t="str">
        <f t="shared" si="1"/>
        <v/>
      </c>
      <c r="AR12" s="66"/>
      <c r="AS12" s="76"/>
      <c r="AT12" s="225"/>
      <c r="AU12" s="213"/>
      <c r="AV12" s="214"/>
      <c r="AW12" s="226"/>
      <c r="AX12" s="213"/>
      <c r="AY12" s="213"/>
      <c r="AZ12" s="227"/>
      <c r="BA12" s="65"/>
      <c r="BB12" s="52"/>
      <c r="BC12" s="27"/>
      <c r="BD12" s="27"/>
      <c r="BE12" s="27"/>
      <c r="BF12" s="79"/>
      <c r="BG12" s="52"/>
      <c r="BH12" s="69"/>
      <c r="BI12" s="188" t="str">
        <f>IF(Y12=BUSCADOR!$B$46,"HURTO_",IF(OR(Y12=BUSCADOR!$B$49,Y12=BUSCADOR!$B$50),"ROBO_",""))</f>
        <v/>
      </c>
      <c r="BJ12" s="50"/>
      <c r="BK12" s="45"/>
      <c r="BL12" s="66"/>
      <c r="BM12" s="1" t="b">
        <f t="shared" si="7"/>
        <v>0</v>
      </c>
    </row>
    <row r="13" spans="1:65" ht="117.6" customHeight="1" x14ac:dyDescent="0.25">
      <c r="A13" s="171">
        <v>11</v>
      </c>
      <c r="B13" s="41" t="str">
        <f>IF(AND(BM13,ISBLANK(C13)),"Completar FECHA DE DENUNCIA",IF(AND(BM13,OR(ISBLANK(D13),ISBLANK(E13),ISBLANK(H13))),"Completar las celdas FECHA, HORA Y PREVENTIVO. En caso de no conocer la fecha u horario colocar INDETERMINADO",IF(AND(BM13,ISBLANK(G13)),"Completar COMISARIA",IF(AND(BM13,OR(ISBLANK(I13),ISBLANK(L13),ISBLANK(M13),O13="")),"Completar las celdas LOCALIDAD, CALLE, ALTURA Y DIRECCION SEGUN  GOOGLE MAPS",IF(AND(ISBLANK(J13),OR(I13=AÑELO[[#Headers],[AÑELO]],CENTENARIO[[#Headers],[CENTENARIO]]='PLANILLA DJ'!I13,CUTRAL_CO[[#Headers],[CUTRAL_CO]],JUNIN_DE_LOS_ANDES[[#Headers],[JUNIN_DE_LOS_ANDES]]='PLANILLA DJ'!I13,'PLANILLA DJ'!I13=NEUQUEN[[#Headers],[NEUQUEN]],PLAZA_HUINCUL[[#Headers],[PLAZA_HUINCUL]]='PLANILLA DJ'!I13,'PLANILLA DJ'!I13=PLOTTIER[[#Headers],[PLOTTIER]])),"COMPLETAR BARRIO",IF(AND(BM13,ISBLANK(Q13)),"Completar Nombre de VICTIMA o DENUNCIANTE",IF(AND(BM13,ISBLANK(R13)),"Completar TIPO DE ACTUACION",IF(AND(R13=BUSCADOR!$B$140,OR(X13&lt;&gt;BUSCADOR!$A$110,ISBLANK(X13))),"Se indico A CONSIDERACION en ACTUACION, indicar en el buscador de delitos A CONSIDERACION tambien",IF(AND(ISBLANK(X13)&lt;&gt;TRUE,IFERROR(MATCH(X13,BUSCADOR!$A$2:$A$112,0),-1)&lt;0),"EN EL BUSCADOR DE DELITOS NO agregar comentarios como SU INVESTIGACION, REPORTE, etc. Limitarse SOLAMENTE a poner A CONSIDERACION u otro valor que coincida en el buscador",IF(AND(ISBLANK(AD13),OR(Y13=BUSCADOR!$B$49,BUSCADOR!$B$50=Y13,Y13=BUSCADOR!$B$46,Y13=BUSCADOR!$B$2,Y13=BUSCADOR!$B$7,BUSCADOR!$B$109=Y13,X13=BUSCADOR!$A$58,X13=BUSCADOR!$A$59)),"Completar la celda TIPO DE LUGAR",IF(AND(ISBLANK(AE13),OR(AD13=BUSCADOR!$E$149,BUSCADOR!$E$150=AD13,AD13=BUSCADOR!$F$148)),"Completar DETALLE ESTABLECIMIENTO",IF(AND(ISBLANK(AF13),BM13),"Completar la celda MOTIVO QUE ORIGINA EL REGISTRO DEL HECHO",IF(AND(SUM(AG13:AI13)=0,OR(Y13=BUSCADOR!$B$2,BUSCADOR!$B$6=Y13,Y13=BUSCADOR!$B$7,BUSCADOR!$B$8=Y13,Y13=BUSCADOR!$B$9,BUSCADOR!$B$12=Y13,Y13=BUSCADOR!$B$13,BUSCADOR!$B$14=Y13,Y13=BUSCADOR!$B$17,BUSCADOR!$B$18=Y13,Y13=BUSCADOR!$B$20,BUSCADOR!$B$29=Y13,BUSCADOR!$B$34=Y13,BUSCADOR!$B$35=Y13,Y13=BUSCADOR!$B$109,Y13=BUSCADOR!$B$51,BUSCADOR!$B$50=Y13,Y13=BUSCADOR!$B$47,Y13=BUSCADOR!$B$58,Y13=BUSCADOR!$B$21,Y13=BUSCADOR!$B$22,Y13=BUSCADOR!$B$23,Y13=BUSCADOR!$B$24)),"El delito indicado debe presentar un numero de victimas. Completar la celda CANTIDAD DE VICTIMAS",IF(AND(SUM(AJ13:AO13)&gt;0,ISBLANK(AP13)),"Completar celda VULNERABILIDAD DE LA VICTIMA",IF(SUM(AG13:AI13)&lt;&gt;SUM(AJ13:AO13),"Se indico una CANTIDAD DE VICTIMAS SEGUN SEXO diferente a SEGUN GENERO",IF(AND(ISBLANK(AR13),OR(Y13=BUSCADOR!$B$49,BUSCADOR!$B$50=Y13,Y13=BUSCADOR!$B$46,Y13=BUSCADOR!$B$109,BUSCADOR!$B$2=Y13,X13=BUSCADOR!$A$58,X13=BUSCADOR!$A$59)),"Completar la celda TIPO DE ARMA, MODALIDAD O MECANISMO",IF(AND(ISBLANK(AS13),OR(Y13=BUSCADOR!$B$51,BUSCADOR!$B$50=Y13,Y13=BUSCADOR!$B$47,BUSCADOR!$A$58=X13,X13=BUSCADOR!$A$59)),"Completar la celda CONOCIDO, en la seccion de los inculpados",IF(AND(AS13=BUSCADOR!$B$127,OR(Y13=BUSCADOR!$B$51,BUSCADOR!$B$50,Y13,BUSCADOR!$B$46),OR(SUM(AT13:AV13)&lt;&gt;SUM(AW13:AZ13),SUM(AT13:AZ13)=0)),"Revisar las celdas correspondientes a CANTIDAD DE INCULPADOS. Se indica una cantidad diferente segun SEXO y EDAD o no se indico cantidad alguna",IF(AND(ISBLANK(BA13),X13=BUSCADOR!$A$27),"Se indico una persona desaparecida. Completar la casilla APARECIO",IF(AND(ISBLANK(BB13),OR(Y13=BUSCADOR!$B$49,BUSCADOR!$B$50=Y13,Y13=BUSCADOR!$B$46)),"Completar la casilla ELEMENTO SUSTRAIDO",IF(OR(AND(BB13=OTROS[[#Headers],[OTROS]],ISBLANK(BC13)),AND(BB13=ABIGEATO[[#Headers],[ABIGEATO]],ISBLANK(BC13))),"Completar la celda SUBCATEGORIA",IF(AND(OR(BB13=MOTOCICLETA[[#Headers],[MOTOCICLETA]],BB13=AUTOMOTOR[[#Headers],[AUTOMOTOR]]),OR(ISBLANK(BC13),ISBLANK(BD13),ISBLANK(BE13),ISBLANK(BF13))),"Se indico un AUTOMOTOR o MOTOCICLETA en ELEMENTOS SUSTRAIDOS, completar las celdas SUBCATEGORIA, DENOMINACION, AÑO y MODELO", IF(AND(ISBLANK(BB13)&lt;&gt;TRUE,ISBLANK(BJ13)),"Completar MODUS OPERANDI",IF(AND(ISBLANK(BK13),OR(BJ13=BUSCADOR!$H$232,BJ13=BUSCADOR!$I$232)),"Completar ESPECIALIDAD",IF(OR(AND(H13='SAT-Homicidios Dolosos'!$B$5,'SAT-Homicidios Dolosos'!$A$5&lt;&gt;"OK"),AND(H13='SAT-Homicidios Dolosos'!$B$8,'SAT-Homicidios Dolosos'!$A$8&lt;&gt;"OK")),"Se indico un HOMICIDIO, existen CELDAS VACIAS en la hoja SAT-HOMICIDIOS DOLOSOS Completar los datos indicados",IF(OR(AND(H13='SAT-Muertes Viales'!$E$21,'SAT-Muertes Viales'!$A$21&lt;&gt;"OK"),AND(H13='SAT-Muertes Viales'!$E$25,'SAT-Muertes Viales'!$A$25&lt;&gt;"OK"),AND(H13='SAT-Muertes Viales'!$E$29,'SAT-Muertes Viales'!$A$29&lt;&gt;"OK")),"Se indico un HOMICIDIO POR SINIESTRO VIAL, existen CELDAS VACIAS en la hoja SAT-MUERTES VIALES Completar los datos indicados",IF(OR(AND(H13='SAT-Suicidios'!$B$19,'SAT-Suicidios'!$A$19&lt;&gt;"OK"),AND(H13='SAT-Suicidios'!$B$22,'SAT-Suicidios'!$A$22&lt;&gt;"OK"),AND(H13='SAT-Suicidios'!$B$25,'SAT-Suicidios'!$A$25&lt;&gt;"OK")),"Se indico un SUICIDIO, existen CELDAS VACIAS en la hoja SAT-SUICIDIOS Completar los datos indicados",IF(IFERROR(MATCH(X13,BUSCADOR!$A$2:$A$112,0),-1)&lt;0,"No se indico delito",IF(AND(ISBLANK(BL13),OR(X13=BUSCADOR!$A$111,X13=BUSCADOR!$A$110)),"Llenar la casilla DETALLES, COMENTARIOS con una descripcion de la causa",IF(AND(X13="MUERTE DUDOSA",ISBLANK(BL13)=FALSE),"SE INDICO MUERTE DUDOSA, NOS CONTACTAREMOS PARA MAS INFORMACION","FILA CORRECTA"))))))))))))))))))))))))))))))</f>
        <v>No se indico delito</v>
      </c>
      <c r="C13" s="42"/>
      <c r="D13" s="90"/>
      <c r="E13" s="47"/>
      <c r="F13" s="87"/>
      <c r="G13" s="221" t="str">
        <f t="shared" si="9"/>
        <v>Comisaría 15°</v>
      </c>
      <c r="H13" s="45"/>
      <c r="I13" s="50"/>
      <c r="J13" s="29"/>
      <c r="K13" s="29"/>
      <c r="L13" s="29"/>
      <c r="M13" s="29"/>
      <c r="N13" s="51"/>
      <c r="O13" s="55" t="str">
        <f t="shared" si="2"/>
        <v/>
      </c>
      <c r="P13" s="56" t="str">
        <f t="shared" si="8"/>
        <v/>
      </c>
      <c r="Q13" s="50"/>
      <c r="R13" s="45"/>
      <c r="S13" s="62"/>
      <c r="T13" s="57" t="str">
        <f>IFERROR(VLOOKUP(X13,BUSCADOR!$A$2:$E$112,5,FALSE),"")</f>
        <v/>
      </c>
      <c r="U13" s="107" t="str">
        <f t="shared" si="0"/>
        <v/>
      </c>
      <c r="V13" s="28" t="str">
        <f>IFERROR(VLOOKUP(X13,BUSCADOR!$A$2:$E$112,4,FALSE),"")</f>
        <v/>
      </c>
      <c r="W13" s="107" t="str">
        <f t="shared" si="3"/>
        <v/>
      </c>
      <c r="X13" s="27"/>
      <c r="Y13" s="58" t="str">
        <f>IFERROR(VLOOKUP(X13,BUSCADOR!$A$2:$B$112,2,FALSE),"")</f>
        <v/>
      </c>
      <c r="Z13" s="101" t="str">
        <f t="shared" si="4"/>
        <v>__</v>
      </c>
      <c r="AA13" s="103" t="str">
        <f t="shared" si="5"/>
        <v>___</v>
      </c>
      <c r="AB13" s="104" t="str">
        <f t="shared" si="6"/>
        <v>____</v>
      </c>
      <c r="AC13" s="104" t="str">
        <f t="shared" si="6"/>
        <v>_____</v>
      </c>
      <c r="AD13" s="83"/>
      <c r="AE13" s="45"/>
      <c r="AF13" s="66"/>
      <c r="AG13" s="212"/>
      <c r="AH13" s="213"/>
      <c r="AI13" s="214"/>
      <c r="AJ13" s="219"/>
      <c r="AK13" s="213"/>
      <c r="AL13" s="213"/>
      <c r="AM13" s="213"/>
      <c r="AN13" s="213"/>
      <c r="AO13" s="219"/>
      <c r="AP13" s="95"/>
      <c r="AQ13" s="186" t="str">
        <f t="shared" si="1"/>
        <v/>
      </c>
      <c r="AR13" s="66"/>
      <c r="AS13" s="76"/>
      <c r="AT13" s="225"/>
      <c r="AU13" s="213"/>
      <c r="AV13" s="214"/>
      <c r="AW13" s="226"/>
      <c r="AX13" s="213"/>
      <c r="AY13" s="213"/>
      <c r="AZ13" s="227"/>
      <c r="BA13" s="65"/>
      <c r="BB13" s="52"/>
      <c r="BC13" s="27"/>
      <c r="BD13" s="27"/>
      <c r="BE13" s="27"/>
      <c r="BF13" s="79"/>
      <c r="BG13" s="52"/>
      <c r="BH13" s="69"/>
      <c r="BI13" s="188" t="str">
        <f>IF(Y13=BUSCADOR!$B$46,"HURTO_",IF(OR(Y13=BUSCADOR!$B$49,Y13=BUSCADOR!$B$50),"ROBO_",""))</f>
        <v/>
      </c>
      <c r="BJ13" s="50"/>
      <c r="BK13" s="45"/>
      <c r="BL13" s="66"/>
      <c r="BM13" s="1" t="b">
        <f t="shared" si="7"/>
        <v>0</v>
      </c>
    </row>
    <row r="14" spans="1:65" ht="117.6" customHeight="1" x14ac:dyDescent="0.25">
      <c r="A14" s="171">
        <v>12</v>
      </c>
      <c r="B14" s="41" t="str">
        <f>IF(AND(BM14,ISBLANK(C14)),"Completar FECHA DE DENUNCIA",IF(AND(BM14,OR(ISBLANK(D14),ISBLANK(E14),ISBLANK(H14))),"Completar las celdas FECHA, HORA Y PREVENTIVO. En caso de no conocer la fecha u horario colocar INDETERMINADO",IF(AND(BM14,ISBLANK(G14)),"Completar COMISARIA",IF(AND(BM14,OR(ISBLANK(I14),ISBLANK(L14),ISBLANK(M14),O14="")),"Completar las celdas LOCALIDAD, CALLE, ALTURA Y DIRECCION SEGUN  GOOGLE MAPS",IF(AND(ISBLANK(J14),OR(I14=AÑELO[[#Headers],[AÑELO]],CENTENARIO[[#Headers],[CENTENARIO]]='PLANILLA DJ'!I14,CUTRAL_CO[[#Headers],[CUTRAL_CO]],JUNIN_DE_LOS_ANDES[[#Headers],[JUNIN_DE_LOS_ANDES]]='PLANILLA DJ'!I14,'PLANILLA DJ'!I14=NEUQUEN[[#Headers],[NEUQUEN]],PLAZA_HUINCUL[[#Headers],[PLAZA_HUINCUL]]='PLANILLA DJ'!I14,'PLANILLA DJ'!I14=PLOTTIER[[#Headers],[PLOTTIER]])),"COMPLETAR BARRIO",IF(AND(BM14,ISBLANK(Q14)),"Completar Nombre de VICTIMA o DENUNCIANTE",IF(AND(BM14,ISBLANK(R14)),"Completar TIPO DE ACTUACION",IF(AND(R14=BUSCADOR!$B$140,OR(X14&lt;&gt;BUSCADOR!$A$110,ISBLANK(X14))),"Se indico A CONSIDERACION en ACTUACION, indicar en el buscador de delitos A CONSIDERACION tambien",IF(AND(ISBLANK(X14)&lt;&gt;TRUE,IFERROR(MATCH(X14,BUSCADOR!$A$2:$A$112,0),-1)&lt;0),"EN EL BUSCADOR DE DELITOS NO agregar comentarios como SU INVESTIGACION, REPORTE, etc. Limitarse SOLAMENTE a poner A CONSIDERACION u otro valor que coincida en el buscador",IF(AND(ISBLANK(AD14),OR(Y14=BUSCADOR!$B$49,BUSCADOR!$B$50=Y14,Y14=BUSCADOR!$B$46,Y14=BUSCADOR!$B$2,Y14=BUSCADOR!$B$7,BUSCADOR!$B$109=Y14,X14=BUSCADOR!$A$58,X14=BUSCADOR!$A$59)),"Completar la celda TIPO DE LUGAR",IF(AND(ISBLANK(AE14),OR(AD14=BUSCADOR!$E$149,BUSCADOR!$E$150=AD14,AD14=BUSCADOR!$F$148)),"Completar DETALLE ESTABLECIMIENTO",IF(AND(ISBLANK(AF14),BM14),"Completar la celda MOTIVO QUE ORIGINA EL REGISTRO DEL HECHO",IF(AND(SUM(AG14:AI14)=0,OR(Y14=BUSCADOR!$B$2,BUSCADOR!$B$6=Y14,Y14=BUSCADOR!$B$7,BUSCADOR!$B$8=Y14,Y14=BUSCADOR!$B$9,BUSCADOR!$B$12=Y14,Y14=BUSCADOR!$B$13,BUSCADOR!$B$14=Y14,Y14=BUSCADOR!$B$17,BUSCADOR!$B$18=Y14,Y14=BUSCADOR!$B$20,BUSCADOR!$B$29=Y14,BUSCADOR!$B$34=Y14,BUSCADOR!$B$35=Y14,Y14=BUSCADOR!$B$109,Y14=BUSCADOR!$B$51,BUSCADOR!$B$50=Y14,Y14=BUSCADOR!$B$47,Y14=BUSCADOR!$B$58,Y14=BUSCADOR!$B$21,Y14=BUSCADOR!$B$22,Y14=BUSCADOR!$B$23,Y14=BUSCADOR!$B$24)),"El delito indicado debe presentar un numero de victimas. Completar la celda CANTIDAD DE VICTIMAS",IF(AND(SUM(AJ14:AO14)&gt;0,ISBLANK(AP14)),"Completar celda VULNERABILIDAD DE LA VICTIMA",IF(SUM(AG14:AI14)&lt;&gt;SUM(AJ14:AO14),"Se indico una CANTIDAD DE VICTIMAS SEGUN SEXO diferente a SEGUN GENERO",IF(AND(ISBLANK(AR14),OR(Y14=BUSCADOR!$B$49,BUSCADOR!$B$50=Y14,Y14=BUSCADOR!$B$46,Y14=BUSCADOR!$B$109,BUSCADOR!$B$2=Y14,X14=BUSCADOR!$A$58,X14=BUSCADOR!$A$59)),"Completar la celda TIPO DE ARMA, MODALIDAD O MECANISMO",IF(AND(ISBLANK(AS14),OR(Y14=BUSCADOR!$B$51,BUSCADOR!$B$50=Y14,Y14=BUSCADOR!$B$47,BUSCADOR!$A$58=X14,X14=BUSCADOR!$A$59)),"Completar la celda CONOCIDO, en la seccion de los inculpados",IF(AND(AS14=BUSCADOR!$B$127,OR(Y14=BUSCADOR!$B$51,BUSCADOR!$B$50,Y14,BUSCADOR!$B$46),OR(SUM(AT14:AV14)&lt;&gt;SUM(AW14:AZ14),SUM(AT14:AZ14)=0)),"Revisar las celdas correspondientes a CANTIDAD DE INCULPADOS. Se indica una cantidad diferente segun SEXO y EDAD o no se indico cantidad alguna",IF(AND(ISBLANK(BA14),X14=BUSCADOR!$A$27),"Se indico una persona desaparecida. Completar la casilla APARECIO",IF(AND(ISBLANK(BB14),OR(Y14=BUSCADOR!$B$49,BUSCADOR!$B$50=Y14,Y14=BUSCADOR!$B$46)),"Completar la casilla ELEMENTO SUSTRAIDO",IF(OR(AND(BB14=OTROS[[#Headers],[OTROS]],ISBLANK(BC14)),AND(BB14=ABIGEATO[[#Headers],[ABIGEATO]],ISBLANK(BC14))),"Completar la celda SUBCATEGORIA",IF(AND(OR(BB14=MOTOCICLETA[[#Headers],[MOTOCICLETA]],BB14=AUTOMOTOR[[#Headers],[AUTOMOTOR]]),OR(ISBLANK(BC14),ISBLANK(BD14),ISBLANK(BE14),ISBLANK(BF14))),"Se indico un AUTOMOTOR o MOTOCICLETA en ELEMENTOS SUSTRAIDOS, completar las celdas SUBCATEGORIA, DENOMINACION, AÑO y MODELO", IF(AND(ISBLANK(BB14)&lt;&gt;TRUE,ISBLANK(BJ14)),"Completar MODUS OPERANDI",IF(AND(ISBLANK(BK14),OR(BJ14=BUSCADOR!$H$232,BJ14=BUSCADOR!$I$232)),"Completar ESPECIALIDAD",IF(OR(AND(H14='SAT-Homicidios Dolosos'!$B$5,'SAT-Homicidios Dolosos'!$A$5&lt;&gt;"OK"),AND(H14='SAT-Homicidios Dolosos'!$B$8,'SAT-Homicidios Dolosos'!$A$8&lt;&gt;"OK")),"Se indico un HOMICIDIO, existen CELDAS VACIAS en la hoja SAT-HOMICIDIOS DOLOSOS Completar los datos indicados",IF(OR(AND(H14='SAT-Muertes Viales'!$E$21,'SAT-Muertes Viales'!$A$21&lt;&gt;"OK"),AND(H14='SAT-Muertes Viales'!$E$25,'SAT-Muertes Viales'!$A$25&lt;&gt;"OK"),AND(H14='SAT-Muertes Viales'!$E$29,'SAT-Muertes Viales'!$A$29&lt;&gt;"OK")),"Se indico un HOMICIDIO POR SINIESTRO VIAL, existen CELDAS VACIAS en la hoja SAT-MUERTES VIALES Completar los datos indicados",IF(OR(AND(H14='SAT-Suicidios'!$B$19,'SAT-Suicidios'!$A$19&lt;&gt;"OK"),AND(H14='SAT-Suicidios'!$B$22,'SAT-Suicidios'!$A$22&lt;&gt;"OK"),AND(H14='SAT-Suicidios'!$B$25,'SAT-Suicidios'!$A$25&lt;&gt;"OK")),"Se indico un SUICIDIO, existen CELDAS VACIAS en la hoja SAT-SUICIDIOS Completar los datos indicados",IF(IFERROR(MATCH(X14,BUSCADOR!$A$2:$A$112,0),-1)&lt;0,"No se indico delito",IF(AND(ISBLANK(BL14),OR(X14=BUSCADOR!$A$111,X14=BUSCADOR!$A$110)),"Llenar la casilla DETALLES, COMENTARIOS con una descripcion de la causa",IF(AND(X14="MUERTE DUDOSA",ISBLANK(BL14)=FALSE),"SE INDICO MUERTE DUDOSA, NOS CONTACTAREMOS PARA MAS INFORMACION","FILA CORRECTA"))))))))))))))))))))))))))))))</f>
        <v>No se indico delito</v>
      </c>
      <c r="C14" s="42"/>
      <c r="D14" s="90"/>
      <c r="E14" s="47"/>
      <c r="F14" s="87"/>
      <c r="G14" s="221" t="str">
        <f t="shared" si="9"/>
        <v>Comisaría 15°</v>
      </c>
      <c r="H14" s="45"/>
      <c r="I14" s="50"/>
      <c r="J14" s="29"/>
      <c r="K14" s="29"/>
      <c r="L14" s="29"/>
      <c r="M14" s="29"/>
      <c r="N14" s="51"/>
      <c r="O14" s="55" t="str">
        <f t="shared" si="2"/>
        <v/>
      </c>
      <c r="P14" s="56" t="str">
        <f t="shared" si="8"/>
        <v/>
      </c>
      <c r="Q14" s="50"/>
      <c r="R14" s="45"/>
      <c r="S14" s="62"/>
      <c r="T14" s="57" t="str">
        <f>IFERROR(VLOOKUP(X14,BUSCADOR!$A$2:$E$112,5,FALSE),"")</f>
        <v/>
      </c>
      <c r="U14" s="107" t="str">
        <f t="shared" si="0"/>
        <v/>
      </c>
      <c r="V14" s="28" t="str">
        <f>IFERROR(VLOOKUP(X14,BUSCADOR!$A$2:$E$112,4,FALSE),"")</f>
        <v/>
      </c>
      <c r="W14" s="107" t="str">
        <f t="shared" si="3"/>
        <v/>
      </c>
      <c r="X14" s="27"/>
      <c r="Y14" s="58" t="str">
        <f>IFERROR(VLOOKUP(X14,BUSCADOR!$A$2:$B$112,2,FALSE),"")</f>
        <v/>
      </c>
      <c r="Z14" s="101" t="str">
        <f t="shared" si="4"/>
        <v>__</v>
      </c>
      <c r="AA14" s="103" t="str">
        <f t="shared" si="5"/>
        <v>___</v>
      </c>
      <c r="AB14" s="104" t="str">
        <f t="shared" si="6"/>
        <v>____</v>
      </c>
      <c r="AC14" s="104" t="str">
        <f t="shared" si="6"/>
        <v>_____</v>
      </c>
      <c r="AD14" s="83"/>
      <c r="AE14" s="45"/>
      <c r="AF14" s="66"/>
      <c r="AG14" s="212"/>
      <c r="AH14" s="213"/>
      <c r="AI14" s="214"/>
      <c r="AJ14" s="219"/>
      <c r="AK14" s="213"/>
      <c r="AL14" s="213"/>
      <c r="AM14" s="213"/>
      <c r="AN14" s="213"/>
      <c r="AO14" s="219"/>
      <c r="AP14" s="95"/>
      <c r="AQ14" s="186" t="str">
        <f t="shared" si="1"/>
        <v/>
      </c>
      <c r="AR14" s="66"/>
      <c r="AS14" s="76"/>
      <c r="AT14" s="225"/>
      <c r="AU14" s="213"/>
      <c r="AV14" s="214"/>
      <c r="AW14" s="226"/>
      <c r="AX14" s="213"/>
      <c r="AY14" s="213"/>
      <c r="AZ14" s="227"/>
      <c r="BA14" s="65"/>
      <c r="BB14" s="52"/>
      <c r="BC14" s="27"/>
      <c r="BD14" s="27"/>
      <c r="BE14" s="27"/>
      <c r="BF14" s="79"/>
      <c r="BG14" s="52"/>
      <c r="BH14" s="69"/>
      <c r="BI14" s="188" t="str">
        <f>IF(Y14=BUSCADOR!$B$46,"HURTO_",IF(OR(Y14=BUSCADOR!$B$49,Y14=BUSCADOR!$B$50),"ROBO_",""))</f>
        <v/>
      </c>
      <c r="BJ14" s="50"/>
      <c r="BK14" s="45"/>
      <c r="BL14" s="66"/>
      <c r="BM14" s="1" t="b">
        <f t="shared" si="7"/>
        <v>0</v>
      </c>
    </row>
    <row r="15" spans="1:65" ht="117.6" customHeight="1" x14ac:dyDescent="0.25">
      <c r="A15" s="171">
        <v>13</v>
      </c>
      <c r="B15" s="41" t="str">
        <f>IF(AND(BM15,ISBLANK(C15)),"Completar FECHA DE DENUNCIA",IF(AND(BM15,OR(ISBLANK(D15),ISBLANK(E15),ISBLANK(H15))),"Completar las celdas FECHA, HORA Y PREVENTIVO. En caso de no conocer la fecha u horario colocar INDETERMINADO",IF(AND(BM15,ISBLANK(G15)),"Completar COMISARIA",IF(AND(BM15,OR(ISBLANK(I15),ISBLANK(L15),ISBLANK(M15),O15="")),"Completar las celdas LOCALIDAD, CALLE, ALTURA Y DIRECCION SEGUN  GOOGLE MAPS",IF(AND(ISBLANK(J15),OR(I15=AÑELO[[#Headers],[AÑELO]],CENTENARIO[[#Headers],[CENTENARIO]]='PLANILLA DJ'!I15,CUTRAL_CO[[#Headers],[CUTRAL_CO]],JUNIN_DE_LOS_ANDES[[#Headers],[JUNIN_DE_LOS_ANDES]]='PLANILLA DJ'!I15,'PLANILLA DJ'!I15=NEUQUEN[[#Headers],[NEUQUEN]],PLAZA_HUINCUL[[#Headers],[PLAZA_HUINCUL]]='PLANILLA DJ'!I15,'PLANILLA DJ'!I15=PLOTTIER[[#Headers],[PLOTTIER]])),"COMPLETAR BARRIO",IF(AND(BM15,ISBLANK(Q15)),"Completar Nombre de VICTIMA o DENUNCIANTE",IF(AND(BM15,ISBLANK(R15)),"Completar TIPO DE ACTUACION",IF(AND(R15=BUSCADOR!$B$140,OR(X15&lt;&gt;BUSCADOR!$A$110,ISBLANK(X15))),"Se indico A CONSIDERACION en ACTUACION, indicar en el buscador de delitos A CONSIDERACION tambien",IF(AND(ISBLANK(X15)&lt;&gt;TRUE,IFERROR(MATCH(X15,BUSCADOR!$A$2:$A$112,0),-1)&lt;0),"EN EL BUSCADOR DE DELITOS NO agregar comentarios como SU INVESTIGACION, REPORTE, etc. Limitarse SOLAMENTE a poner A CONSIDERACION u otro valor que coincida en el buscador",IF(AND(ISBLANK(AD15),OR(Y15=BUSCADOR!$B$49,BUSCADOR!$B$50=Y15,Y15=BUSCADOR!$B$46,Y15=BUSCADOR!$B$2,Y15=BUSCADOR!$B$7,BUSCADOR!$B$109=Y15,X15=BUSCADOR!$A$58,X15=BUSCADOR!$A$59)),"Completar la celda TIPO DE LUGAR",IF(AND(ISBLANK(AE15),OR(AD15=BUSCADOR!$E$149,BUSCADOR!$E$150=AD15,AD15=BUSCADOR!$F$148)),"Completar DETALLE ESTABLECIMIENTO",IF(AND(ISBLANK(AF15),BM15),"Completar la celda MOTIVO QUE ORIGINA EL REGISTRO DEL HECHO",IF(AND(SUM(AG15:AI15)=0,OR(Y15=BUSCADOR!$B$2,BUSCADOR!$B$6=Y15,Y15=BUSCADOR!$B$7,BUSCADOR!$B$8=Y15,Y15=BUSCADOR!$B$9,BUSCADOR!$B$12=Y15,Y15=BUSCADOR!$B$13,BUSCADOR!$B$14=Y15,Y15=BUSCADOR!$B$17,BUSCADOR!$B$18=Y15,Y15=BUSCADOR!$B$20,BUSCADOR!$B$29=Y15,BUSCADOR!$B$34=Y15,BUSCADOR!$B$35=Y15,Y15=BUSCADOR!$B$109,Y15=BUSCADOR!$B$51,BUSCADOR!$B$50=Y15,Y15=BUSCADOR!$B$47,Y15=BUSCADOR!$B$58,Y15=BUSCADOR!$B$21,Y15=BUSCADOR!$B$22,Y15=BUSCADOR!$B$23,Y15=BUSCADOR!$B$24)),"El delito indicado debe presentar un numero de victimas. Completar la celda CANTIDAD DE VICTIMAS",IF(AND(SUM(AJ15:AO15)&gt;0,ISBLANK(AP15)),"Completar celda VULNERABILIDAD DE LA VICTIMA",IF(SUM(AG15:AI15)&lt;&gt;SUM(AJ15:AO15),"Se indico una CANTIDAD DE VICTIMAS SEGUN SEXO diferente a SEGUN GENERO",IF(AND(ISBLANK(AR15),OR(Y15=BUSCADOR!$B$49,BUSCADOR!$B$50=Y15,Y15=BUSCADOR!$B$46,Y15=BUSCADOR!$B$109,BUSCADOR!$B$2=Y15,X15=BUSCADOR!$A$58,X15=BUSCADOR!$A$59)),"Completar la celda TIPO DE ARMA, MODALIDAD O MECANISMO",IF(AND(ISBLANK(AS15),OR(Y15=BUSCADOR!$B$51,BUSCADOR!$B$50=Y15,Y15=BUSCADOR!$B$47,BUSCADOR!$A$58=X15,X15=BUSCADOR!$A$59)),"Completar la celda CONOCIDO, en la seccion de los inculpados",IF(AND(AS15=BUSCADOR!$B$127,OR(Y15=BUSCADOR!$B$51,BUSCADOR!$B$50,Y15,BUSCADOR!$B$46),OR(SUM(AT15:AV15)&lt;&gt;SUM(AW15:AZ15),SUM(AT15:AZ15)=0)),"Revisar las celdas correspondientes a CANTIDAD DE INCULPADOS. Se indica una cantidad diferente segun SEXO y EDAD o no se indico cantidad alguna",IF(AND(ISBLANK(BA15),X15=BUSCADOR!$A$27),"Se indico una persona desaparecida. Completar la casilla APARECIO",IF(AND(ISBLANK(BB15),OR(Y15=BUSCADOR!$B$49,BUSCADOR!$B$50=Y15,Y15=BUSCADOR!$B$46)),"Completar la casilla ELEMENTO SUSTRAIDO",IF(OR(AND(BB15=OTROS[[#Headers],[OTROS]],ISBLANK(BC15)),AND(BB15=ABIGEATO[[#Headers],[ABIGEATO]],ISBLANK(BC15))),"Completar la celda SUBCATEGORIA",IF(AND(OR(BB15=MOTOCICLETA[[#Headers],[MOTOCICLETA]],BB15=AUTOMOTOR[[#Headers],[AUTOMOTOR]]),OR(ISBLANK(BC15),ISBLANK(BD15),ISBLANK(BE15),ISBLANK(BF15))),"Se indico un AUTOMOTOR o MOTOCICLETA en ELEMENTOS SUSTRAIDOS, completar las celdas SUBCATEGORIA, DENOMINACION, AÑO y MODELO", IF(AND(ISBLANK(BB15)&lt;&gt;TRUE,ISBLANK(BJ15)),"Completar MODUS OPERANDI",IF(AND(ISBLANK(BK15),OR(BJ15=BUSCADOR!$H$232,BJ15=BUSCADOR!$I$232)),"Completar ESPECIALIDAD",IF(OR(AND(H15='SAT-Homicidios Dolosos'!$B$5,'SAT-Homicidios Dolosos'!$A$5&lt;&gt;"OK"),AND(H15='SAT-Homicidios Dolosos'!$B$8,'SAT-Homicidios Dolosos'!$A$8&lt;&gt;"OK")),"Se indico un HOMICIDIO, existen CELDAS VACIAS en la hoja SAT-HOMICIDIOS DOLOSOS Completar los datos indicados",IF(OR(AND(H15='SAT-Muertes Viales'!$E$21,'SAT-Muertes Viales'!$A$21&lt;&gt;"OK"),AND(H15='SAT-Muertes Viales'!$E$25,'SAT-Muertes Viales'!$A$25&lt;&gt;"OK"),AND(H15='SAT-Muertes Viales'!$E$29,'SAT-Muertes Viales'!$A$29&lt;&gt;"OK")),"Se indico un HOMICIDIO POR SINIESTRO VIAL, existen CELDAS VACIAS en la hoja SAT-MUERTES VIALES Completar los datos indicados",IF(OR(AND(H15='SAT-Suicidios'!$B$19,'SAT-Suicidios'!$A$19&lt;&gt;"OK"),AND(H15='SAT-Suicidios'!$B$22,'SAT-Suicidios'!$A$22&lt;&gt;"OK"),AND(H15='SAT-Suicidios'!$B$25,'SAT-Suicidios'!$A$25&lt;&gt;"OK")),"Se indico un SUICIDIO, existen CELDAS VACIAS en la hoja SAT-SUICIDIOS Completar los datos indicados",IF(IFERROR(MATCH(X15,BUSCADOR!$A$2:$A$112,0),-1)&lt;0,"No se indico delito",IF(AND(ISBLANK(BL15),OR(X15=BUSCADOR!$A$111,X15=BUSCADOR!$A$110)),"Llenar la casilla DETALLES, COMENTARIOS con una descripcion de la causa",IF(AND(X15="MUERTE DUDOSA",ISBLANK(BL15)=FALSE),"SE INDICO MUERTE DUDOSA, NOS CONTACTAREMOS PARA MAS INFORMACION","FILA CORRECTA"))))))))))))))))))))))))))))))</f>
        <v>No se indico delito</v>
      </c>
      <c r="C15" s="42"/>
      <c r="D15" s="90"/>
      <c r="E15" s="47"/>
      <c r="F15" s="87"/>
      <c r="G15" s="221" t="str">
        <f t="shared" si="9"/>
        <v>Comisaría 15°</v>
      </c>
      <c r="H15" s="45"/>
      <c r="I15" s="50"/>
      <c r="J15" s="29"/>
      <c r="K15" s="29"/>
      <c r="L15" s="29"/>
      <c r="M15" s="29"/>
      <c r="N15" s="51"/>
      <c r="O15" s="55" t="str">
        <f t="shared" si="2"/>
        <v/>
      </c>
      <c r="P15" s="56" t="str">
        <f t="shared" si="8"/>
        <v/>
      </c>
      <c r="Q15" s="50"/>
      <c r="R15" s="45"/>
      <c r="S15" s="62"/>
      <c r="T15" s="57" t="str">
        <f>IFERROR(VLOOKUP(X15,BUSCADOR!$A$2:$E$112,5,FALSE),"")</f>
        <v/>
      </c>
      <c r="U15" s="107" t="str">
        <f t="shared" si="0"/>
        <v/>
      </c>
      <c r="V15" s="28" t="str">
        <f>IFERROR(VLOOKUP(X15,BUSCADOR!$A$2:$E$112,4,FALSE),"")</f>
        <v/>
      </c>
      <c r="W15" s="107" t="str">
        <f t="shared" si="3"/>
        <v/>
      </c>
      <c r="X15" s="27"/>
      <c r="Y15" s="58" t="str">
        <f>IFERROR(VLOOKUP(X15,BUSCADOR!$A$2:$B$112,2,FALSE),"")</f>
        <v/>
      </c>
      <c r="Z15" s="101" t="str">
        <f t="shared" si="4"/>
        <v>__</v>
      </c>
      <c r="AA15" s="103" t="str">
        <f t="shared" si="5"/>
        <v>___</v>
      </c>
      <c r="AB15" s="104" t="str">
        <f t="shared" si="6"/>
        <v>____</v>
      </c>
      <c r="AC15" s="104" t="str">
        <f t="shared" si="6"/>
        <v>_____</v>
      </c>
      <c r="AD15" s="83"/>
      <c r="AE15" s="45"/>
      <c r="AF15" s="66"/>
      <c r="AG15" s="212"/>
      <c r="AH15" s="213"/>
      <c r="AI15" s="214"/>
      <c r="AJ15" s="219"/>
      <c r="AK15" s="213"/>
      <c r="AL15" s="213"/>
      <c r="AM15" s="213"/>
      <c r="AN15" s="213"/>
      <c r="AO15" s="219"/>
      <c r="AP15" s="95"/>
      <c r="AQ15" s="186" t="str">
        <f t="shared" si="1"/>
        <v/>
      </c>
      <c r="AR15" s="66"/>
      <c r="AS15" s="76"/>
      <c r="AT15" s="225"/>
      <c r="AU15" s="213"/>
      <c r="AV15" s="214"/>
      <c r="AW15" s="226"/>
      <c r="AX15" s="213"/>
      <c r="AY15" s="213"/>
      <c r="AZ15" s="227"/>
      <c r="BA15" s="65"/>
      <c r="BB15" s="52"/>
      <c r="BC15" s="27"/>
      <c r="BD15" s="27"/>
      <c r="BE15" s="27"/>
      <c r="BF15" s="79"/>
      <c r="BG15" s="52"/>
      <c r="BH15" s="69"/>
      <c r="BI15" s="188" t="str">
        <f>IF(Y15=BUSCADOR!$B$46,"HURTO_",IF(OR(Y15=BUSCADOR!$B$49,Y15=BUSCADOR!$B$50),"ROBO_",""))</f>
        <v/>
      </c>
      <c r="BJ15" s="50"/>
      <c r="BK15" s="45"/>
      <c r="BL15" s="66"/>
      <c r="BM15" s="1" t="b">
        <f t="shared" si="7"/>
        <v>0</v>
      </c>
    </row>
    <row r="16" spans="1:65" ht="117.6" customHeight="1" x14ac:dyDescent="0.25">
      <c r="A16" s="171">
        <v>14</v>
      </c>
      <c r="B16" s="41" t="str">
        <f>IF(AND(BM16,ISBLANK(C16)),"Completar FECHA DE DENUNCIA",IF(AND(BM16,OR(ISBLANK(D16),ISBLANK(E16),ISBLANK(H16))),"Completar las celdas FECHA, HORA Y PREVENTIVO. En caso de no conocer la fecha u horario colocar INDETERMINADO",IF(AND(BM16,ISBLANK(G16)),"Completar COMISARIA",IF(AND(BM16,OR(ISBLANK(I16),ISBLANK(L16),ISBLANK(M16),O16="")),"Completar las celdas LOCALIDAD, CALLE, ALTURA Y DIRECCION SEGUN  GOOGLE MAPS",IF(AND(ISBLANK(J16),OR(I16=AÑELO[[#Headers],[AÑELO]],CENTENARIO[[#Headers],[CENTENARIO]]='PLANILLA DJ'!I16,CUTRAL_CO[[#Headers],[CUTRAL_CO]],JUNIN_DE_LOS_ANDES[[#Headers],[JUNIN_DE_LOS_ANDES]]='PLANILLA DJ'!I16,'PLANILLA DJ'!I16=NEUQUEN[[#Headers],[NEUQUEN]],PLAZA_HUINCUL[[#Headers],[PLAZA_HUINCUL]]='PLANILLA DJ'!I16,'PLANILLA DJ'!I16=PLOTTIER[[#Headers],[PLOTTIER]])),"COMPLETAR BARRIO",IF(AND(BM16,ISBLANK(Q16)),"Completar Nombre de VICTIMA o DENUNCIANTE",IF(AND(BM16,ISBLANK(R16)),"Completar TIPO DE ACTUACION",IF(AND(R16=BUSCADOR!$B$140,OR(X16&lt;&gt;BUSCADOR!$A$110,ISBLANK(X16))),"Se indico A CONSIDERACION en ACTUACION, indicar en el buscador de delitos A CONSIDERACION tambien",IF(AND(ISBLANK(X16)&lt;&gt;TRUE,IFERROR(MATCH(X16,BUSCADOR!$A$2:$A$112,0),-1)&lt;0),"EN EL BUSCADOR DE DELITOS NO agregar comentarios como SU INVESTIGACION, REPORTE, etc. Limitarse SOLAMENTE a poner A CONSIDERACION u otro valor que coincida en el buscador",IF(AND(ISBLANK(AD16),OR(Y16=BUSCADOR!$B$49,BUSCADOR!$B$50=Y16,Y16=BUSCADOR!$B$46,Y16=BUSCADOR!$B$2,Y16=BUSCADOR!$B$7,BUSCADOR!$B$109=Y16,X16=BUSCADOR!$A$58,X16=BUSCADOR!$A$59)),"Completar la celda TIPO DE LUGAR",IF(AND(ISBLANK(AE16),OR(AD16=BUSCADOR!$E$149,BUSCADOR!$E$150=AD16,AD16=BUSCADOR!$F$148)),"Completar DETALLE ESTABLECIMIENTO",IF(AND(ISBLANK(AF16),BM16),"Completar la celda MOTIVO QUE ORIGINA EL REGISTRO DEL HECHO",IF(AND(SUM(AG16:AI16)=0,OR(Y16=BUSCADOR!$B$2,BUSCADOR!$B$6=Y16,Y16=BUSCADOR!$B$7,BUSCADOR!$B$8=Y16,Y16=BUSCADOR!$B$9,BUSCADOR!$B$12=Y16,Y16=BUSCADOR!$B$13,BUSCADOR!$B$14=Y16,Y16=BUSCADOR!$B$17,BUSCADOR!$B$18=Y16,Y16=BUSCADOR!$B$20,BUSCADOR!$B$29=Y16,BUSCADOR!$B$34=Y16,BUSCADOR!$B$35=Y16,Y16=BUSCADOR!$B$109,Y16=BUSCADOR!$B$51,BUSCADOR!$B$50=Y16,Y16=BUSCADOR!$B$47,Y16=BUSCADOR!$B$58,Y16=BUSCADOR!$B$21,Y16=BUSCADOR!$B$22,Y16=BUSCADOR!$B$23,Y16=BUSCADOR!$B$24)),"El delito indicado debe presentar un numero de victimas. Completar la celda CANTIDAD DE VICTIMAS",IF(AND(SUM(AJ16:AO16)&gt;0,ISBLANK(AP16)),"Completar celda VULNERABILIDAD DE LA VICTIMA",IF(SUM(AG16:AI16)&lt;&gt;SUM(AJ16:AO16),"Se indico una CANTIDAD DE VICTIMAS SEGUN SEXO diferente a SEGUN GENERO",IF(AND(ISBLANK(AR16),OR(Y16=BUSCADOR!$B$49,BUSCADOR!$B$50=Y16,Y16=BUSCADOR!$B$46,Y16=BUSCADOR!$B$109,BUSCADOR!$B$2=Y16,X16=BUSCADOR!$A$58,X16=BUSCADOR!$A$59)),"Completar la celda TIPO DE ARMA, MODALIDAD O MECANISMO",IF(AND(ISBLANK(AS16),OR(Y16=BUSCADOR!$B$51,BUSCADOR!$B$50=Y16,Y16=BUSCADOR!$B$47,BUSCADOR!$A$58=X16,X16=BUSCADOR!$A$59)),"Completar la celda CONOCIDO, en la seccion de los inculpados",IF(AND(AS16=BUSCADOR!$B$127,OR(Y16=BUSCADOR!$B$51,BUSCADOR!$B$50,Y16,BUSCADOR!$B$46),OR(SUM(AT16:AV16)&lt;&gt;SUM(AW16:AZ16),SUM(AT16:AZ16)=0)),"Revisar las celdas correspondientes a CANTIDAD DE INCULPADOS. Se indica una cantidad diferente segun SEXO y EDAD o no se indico cantidad alguna",IF(AND(ISBLANK(BA16),X16=BUSCADOR!$A$27),"Se indico una persona desaparecida. Completar la casilla APARECIO",IF(AND(ISBLANK(BB16),OR(Y16=BUSCADOR!$B$49,BUSCADOR!$B$50=Y16,Y16=BUSCADOR!$B$46)),"Completar la casilla ELEMENTO SUSTRAIDO",IF(OR(AND(BB16=OTROS[[#Headers],[OTROS]],ISBLANK(BC16)),AND(BB16=ABIGEATO[[#Headers],[ABIGEATO]],ISBLANK(BC16))),"Completar la celda SUBCATEGORIA",IF(AND(OR(BB16=MOTOCICLETA[[#Headers],[MOTOCICLETA]],BB16=AUTOMOTOR[[#Headers],[AUTOMOTOR]]),OR(ISBLANK(BC16),ISBLANK(BD16),ISBLANK(BE16),ISBLANK(BF16))),"Se indico un AUTOMOTOR o MOTOCICLETA en ELEMENTOS SUSTRAIDOS, completar las celdas SUBCATEGORIA, DENOMINACION, AÑO y MODELO", IF(AND(ISBLANK(BB16)&lt;&gt;TRUE,ISBLANK(BJ16)),"Completar MODUS OPERANDI",IF(AND(ISBLANK(BK16),OR(BJ16=BUSCADOR!$H$232,BJ16=BUSCADOR!$I$232)),"Completar ESPECIALIDAD",IF(OR(AND(H16='SAT-Homicidios Dolosos'!$B$5,'SAT-Homicidios Dolosos'!$A$5&lt;&gt;"OK"),AND(H16='SAT-Homicidios Dolosos'!$B$8,'SAT-Homicidios Dolosos'!$A$8&lt;&gt;"OK")),"Se indico un HOMICIDIO, existen CELDAS VACIAS en la hoja SAT-HOMICIDIOS DOLOSOS Completar los datos indicados",IF(OR(AND(H16='SAT-Muertes Viales'!$E$21,'SAT-Muertes Viales'!$A$21&lt;&gt;"OK"),AND(H16='SAT-Muertes Viales'!$E$25,'SAT-Muertes Viales'!$A$25&lt;&gt;"OK"),AND(H16='SAT-Muertes Viales'!$E$29,'SAT-Muertes Viales'!$A$29&lt;&gt;"OK")),"Se indico un HOMICIDIO POR SINIESTRO VIAL, existen CELDAS VACIAS en la hoja SAT-MUERTES VIALES Completar los datos indicados",IF(OR(AND(H16='SAT-Suicidios'!$B$19,'SAT-Suicidios'!$A$19&lt;&gt;"OK"),AND(H16='SAT-Suicidios'!$B$22,'SAT-Suicidios'!$A$22&lt;&gt;"OK"),AND(H16='SAT-Suicidios'!$B$25,'SAT-Suicidios'!$A$25&lt;&gt;"OK")),"Se indico un SUICIDIO, existen CELDAS VACIAS en la hoja SAT-SUICIDIOS Completar los datos indicados",IF(IFERROR(MATCH(X16,BUSCADOR!$A$2:$A$112,0),-1)&lt;0,"No se indico delito",IF(AND(ISBLANK(BL16),OR(X16=BUSCADOR!$A$111,X16=BUSCADOR!$A$110)),"Llenar la casilla DETALLES, COMENTARIOS con una descripcion de la causa",IF(AND(X16="MUERTE DUDOSA",ISBLANK(BL16)=FALSE),"SE INDICO MUERTE DUDOSA, NOS CONTACTAREMOS PARA MAS INFORMACION","FILA CORRECTA"))))))))))))))))))))))))))))))</f>
        <v>No se indico delito</v>
      </c>
      <c r="C16" s="42"/>
      <c r="D16" s="90"/>
      <c r="E16" s="47"/>
      <c r="F16" s="87"/>
      <c r="G16" s="221" t="str">
        <f t="shared" si="9"/>
        <v>Comisaría 15°</v>
      </c>
      <c r="H16" s="45"/>
      <c r="I16" s="50"/>
      <c r="J16" s="29"/>
      <c r="K16" s="29"/>
      <c r="L16" s="29"/>
      <c r="M16" s="29"/>
      <c r="N16" s="51"/>
      <c r="O16" s="55" t="str">
        <f t="shared" si="2"/>
        <v/>
      </c>
      <c r="P16" s="56" t="str">
        <f t="shared" si="8"/>
        <v/>
      </c>
      <c r="Q16" s="50"/>
      <c r="R16" s="45"/>
      <c r="S16" s="62"/>
      <c r="T16" s="57" t="str">
        <f>IFERROR(VLOOKUP(X16,BUSCADOR!$A$2:$E$112,5,FALSE),"")</f>
        <v/>
      </c>
      <c r="U16" s="107" t="str">
        <f t="shared" si="0"/>
        <v/>
      </c>
      <c r="V16" s="28" t="str">
        <f>IFERROR(VLOOKUP(X16,BUSCADOR!$A$2:$E$112,4,FALSE),"")</f>
        <v/>
      </c>
      <c r="W16" s="107" t="str">
        <f t="shared" si="3"/>
        <v/>
      </c>
      <c r="X16" s="27"/>
      <c r="Y16" s="58" t="str">
        <f>IFERROR(VLOOKUP(X16,BUSCADOR!$A$2:$B$112,2,FALSE),"")</f>
        <v/>
      </c>
      <c r="Z16" s="101" t="str">
        <f t="shared" si="4"/>
        <v>__</v>
      </c>
      <c r="AA16" s="103" t="str">
        <f t="shared" si="5"/>
        <v>___</v>
      </c>
      <c r="AB16" s="104" t="str">
        <f t="shared" si="6"/>
        <v>____</v>
      </c>
      <c r="AC16" s="104" t="str">
        <f t="shared" si="6"/>
        <v>_____</v>
      </c>
      <c r="AD16" s="83"/>
      <c r="AE16" s="45"/>
      <c r="AF16" s="66"/>
      <c r="AG16" s="212"/>
      <c r="AH16" s="213"/>
      <c r="AI16" s="214"/>
      <c r="AJ16" s="219"/>
      <c r="AK16" s="213"/>
      <c r="AL16" s="213"/>
      <c r="AM16" s="213"/>
      <c r="AN16" s="213"/>
      <c r="AO16" s="219"/>
      <c r="AP16" s="95"/>
      <c r="AQ16" s="186" t="str">
        <f t="shared" si="1"/>
        <v/>
      </c>
      <c r="AR16" s="66"/>
      <c r="AS16" s="76"/>
      <c r="AT16" s="225"/>
      <c r="AU16" s="213"/>
      <c r="AV16" s="214"/>
      <c r="AW16" s="226"/>
      <c r="AX16" s="213"/>
      <c r="AY16" s="213"/>
      <c r="AZ16" s="227"/>
      <c r="BA16" s="65"/>
      <c r="BB16" s="52"/>
      <c r="BC16" s="27"/>
      <c r="BD16" s="27"/>
      <c r="BE16" s="27"/>
      <c r="BF16" s="79"/>
      <c r="BG16" s="52"/>
      <c r="BH16" s="69"/>
      <c r="BI16" s="188" t="str">
        <f>IF(Y16=BUSCADOR!$B$46,"HURTO_",IF(OR(Y16=BUSCADOR!$B$49,Y16=BUSCADOR!$B$50),"ROBO_",""))</f>
        <v/>
      </c>
      <c r="BJ16" s="50"/>
      <c r="BK16" s="45"/>
      <c r="BL16" s="66"/>
      <c r="BM16" s="1" t="b">
        <f t="shared" si="7"/>
        <v>0</v>
      </c>
    </row>
    <row r="17" spans="1:65" ht="117.6" customHeight="1" x14ac:dyDescent="0.25">
      <c r="A17" s="171">
        <v>15</v>
      </c>
      <c r="B17" s="41" t="str">
        <f>IF(AND(BM17,ISBLANK(C17)),"Completar FECHA DE DENUNCIA",IF(AND(BM17,OR(ISBLANK(D17),ISBLANK(E17),ISBLANK(H17))),"Completar las celdas FECHA, HORA Y PREVENTIVO. En caso de no conocer la fecha u horario colocar INDETERMINADO",IF(AND(BM17,ISBLANK(G17)),"Completar COMISARIA",IF(AND(BM17,OR(ISBLANK(I17),ISBLANK(L17),ISBLANK(M17),O17="")),"Completar las celdas LOCALIDAD, CALLE, ALTURA Y DIRECCION SEGUN  GOOGLE MAPS",IF(AND(ISBLANK(J17),OR(I17=AÑELO[[#Headers],[AÑELO]],CENTENARIO[[#Headers],[CENTENARIO]]='PLANILLA DJ'!I17,CUTRAL_CO[[#Headers],[CUTRAL_CO]],JUNIN_DE_LOS_ANDES[[#Headers],[JUNIN_DE_LOS_ANDES]]='PLANILLA DJ'!I17,'PLANILLA DJ'!I17=NEUQUEN[[#Headers],[NEUQUEN]],PLAZA_HUINCUL[[#Headers],[PLAZA_HUINCUL]]='PLANILLA DJ'!I17,'PLANILLA DJ'!I17=PLOTTIER[[#Headers],[PLOTTIER]])),"COMPLETAR BARRIO",IF(AND(BM17,ISBLANK(Q17)),"Completar Nombre de VICTIMA o DENUNCIANTE",IF(AND(BM17,ISBLANK(R17)),"Completar TIPO DE ACTUACION",IF(AND(R17=BUSCADOR!$B$140,OR(X17&lt;&gt;BUSCADOR!$A$110,ISBLANK(X17))),"Se indico A CONSIDERACION en ACTUACION, indicar en el buscador de delitos A CONSIDERACION tambien",IF(AND(ISBLANK(X17)&lt;&gt;TRUE,IFERROR(MATCH(X17,BUSCADOR!$A$2:$A$112,0),-1)&lt;0),"EN EL BUSCADOR DE DELITOS NO agregar comentarios como SU INVESTIGACION, REPORTE, etc. Limitarse SOLAMENTE a poner A CONSIDERACION u otro valor que coincida en el buscador",IF(AND(ISBLANK(AD17),OR(Y17=BUSCADOR!$B$49,BUSCADOR!$B$50=Y17,Y17=BUSCADOR!$B$46,Y17=BUSCADOR!$B$2,Y17=BUSCADOR!$B$7,BUSCADOR!$B$109=Y17,X17=BUSCADOR!$A$58,X17=BUSCADOR!$A$59)),"Completar la celda TIPO DE LUGAR",IF(AND(ISBLANK(AE17),OR(AD17=BUSCADOR!$E$149,BUSCADOR!$E$150=AD17,AD17=BUSCADOR!$F$148)),"Completar DETALLE ESTABLECIMIENTO",IF(AND(ISBLANK(AF17),BM17),"Completar la celda MOTIVO QUE ORIGINA EL REGISTRO DEL HECHO",IF(AND(SUM(AG17:AI17)=0,OR(Y17=BUSCADOR!$B$2,BUSCADOR!$B$6=Y17,Y17=BUSCADOR!$B$7,BUSCADOR!$B$8=Y17,Y17=BUSCADOR!$B$9,BUSCADOR!$B$12=Y17,Y17=BUSCADOR!$B$13,BUSCADOR!$B$14=Y17,Y17=BUSCADOR!$B$17,BUSCADOR!$B$18=Y17,Y17=BUSCADOR!$B$20,BUSCADOR!$B$29=Y17,BUSCADOR!$B$34=Y17,BUSCADOR!$B$35=Y17,Y17=BUSCADOR!$B$109,Y17=BUSCADOR!$B$51,BUSCADOR!$B$50=Y17,Y17=BUSCADOR!$B$47,Y17=BUSCADOR!$B$58,Y17=BUSCADOR!$B$21,Y17=BUSCADOR!$B$22,Y17=BUSCADOR!$B$23,Y17=BUSCADOR!$B$24)),"El delito indicado debe presentar un numero de victimas. Completar la celda CANTIDAD DE VICTIMAS",IF(AND(SUM(AJ17:AO17)&gt;0,ISBLANK(AP17)),"Completar celda VULNERABILIDAD DE LA VICTIMA",IF(SUM(AG17:AI17)&lt;&gt;SUM(AJ17:AO17),"Se indico una CANTIDAD DE VICTIMAS SEGUN SEXO diferente a SEGUN GENERO",IF(AND(ISBLANK(AR17),OR(Y17=BUSCADOR!$B$49,BUSCADOR!$B$50=Y17,Y17=BUSCADOR!$B$46,Y17=BUSCADOR!$B$109,BUSCADOR!$B$2=Y17,X17=BUSCADOR!$A$58,X17=BUSCADOR!$A$59)),"Completar la celda TIPO DE ARMA, MODALIDAD O MECANISMO",IF(AND(ISBLANK(AS17),OR(Y17=BUSCADOR!$B$51,BUSCADOR!$B$50=Y17,Y17=BUSCADOR!$B$47,BUSCADOR!$A$58=X17,X17=BUSCADOR!$A$59)),"Completar la celda CONOCIDO, en la seccion de los inculpados",IF(AND(AS17=BUSCADOR!$B$127,OR(Y17=BUSCADOR!$B$51,BUSCADOR!$B$50,Y17,BUSCADOR!$B$46),OR(SUM(AT17:AV17)&lt;&gt;SUM(AW17:AZ17),SUM(AT17:AZ17)=0)),"Revisar las celdas correspondientes a CANTIDAD DE INCULPADOS. Se indica una cantidad diferente segun SEXO y EDAD o no se indico cantidad alguna",IF(AND(ISBLANK(BA17),X17=BUSCADOR!$A$27),"Se indico una persona desaparecida. Completar la casilla APARECIO",IF(AND(ISBLANK(BB17),OR(Y17=BUSCADOR!$B$49,BUSCADOR!$B$50=Y17,Y17=BUSCADOR!$B$46)),"Completar la casilla ELEMENTO SUSTRAIDO",IF(OR(AND(BB17=OTROS[[#Headers],[OTROS]],ISBLANK(BC17)),AND(BB17=ABIGEATO[[#Headers],[ABIGEATO]],ISBLANK(BC17))),"Completar la celda SUBCATEGORIA",IF(AND(OR(BB17=MOTOCICLETA[[#Headers],[MOTOCICLETA]],BB17=AUTOMOTOR[[#Headers],[AUTOMOTOR]]),OR(ISBLANK(BC17),ISBLANK(BD17),ISBLANK(BE17),ISBLANK(BF17))),"Se indico un AUTOMOTOR o MOTOCICLETA en ELEMENTOS SUSTRAIDOS, completar las celdas SUBCATEGORIA, DENOMINACION, AÑO y MODELO", IF(AND(ISBLANK(BB17)&lt;&gt;TRUE,ISBLANK(BJ17)),"Completar MODUS OPERANDI",IF(AND(ISBLANK(BK17),OR(BJ17=BUSCADOR!$H$232,BJ17=BUSCADOR!$I$232)),"Completar ESPECIALIDAD",IF(OR(AND(H17='SAT-Homicidios Dolosos'!$B$5,'SAT-Homicidios Dolosos'!$A$5&lt;&gt;"OK"),AND(H17='SAT-Homicidios Dolosos'!$B$8,'SAT-Homicidios Dolosos'!$A$8&lt;&gt;"OK")),"Se indico un HOMICIDIO, existen CELDAS VACIAS en la hoja SAT-HOMICIDIOS DOLOSOS Completar los datos indicados",IF(OR(AND(H17='SAT-Muertes Viales'!$E$21,'SAT-Muertes Viales'!$A$21&lt;&gt;"OK"),AND(H17='SAT-Muertes Viales'!$E$25,'SAT-Muertes Viales'!$A$25&lt;&gt;"OK"),AND(H17='SAT-Muertes Viales'!$E$29,'SAT-Muertes Viales'!$A$29&lt;&gt;"OK")),"Se indico un HOMICIDIO POR SINIESTRO VIAL, existen CELDAS VACIAS en la hoja SAT-MUERTES VIALES Completar los datos indicados",IF(OR(AND(H17='SAT-Suicidios'!$B$19,'SAT-Suicidios'!$A$19&lt;&gt;"OK"),AND(H17='SAT-Suicidios'!$B$22,'SAT-Suicidios'!$A$22&lt;&gt;"OK"),AND(H17='SAT-Suicidios'!$B$25,'SAT-Suicidios'!$A$25&lt;&gt;"OK")),"Se indico un SUICIDIO, existen CELDAS VACIAS en la hoja SAT-SUICIDIOS Completar los datos indicados",IF(IFERROR(MATCH(X17,BUSCADOR!$A$2:$A$112,0),-1)&lt;0,"No se indico delito",IF(AND(ISBLANK(BL17),OR(X17=BUSCADOR!$A$111,X17=BUSCADOR!$A$110)),"Llenar la casilla DETALLES, COMENTARIOS con una descripcion de la causa",IF(AND(X17="MUERTE DUDOSA",ISBLANK(BL17)=FALSE),"SE INDICO MUERTE DUDOSA, NOS CONTACTAREMOS PARA MAS INFORMACION","FILA CORRECTA"))))))))))))))))))))))))))))))</f>
        <v>No se indico delito</v>
      </c>
      <c r="C17" s="42"/>
      <c r="D17" s="90"/>
      <c r="E17" s="47"/>
      <c r="F17" s="87"/>
      <c r="G17" s="221" t="str">
        <f t="shared" si="9"/>
        <v>Comisaría 15°</v>
      </c>
      <c r="H17" s="45"/>
      <c r="I17" s="50"/>
      <c r="J17" s="29"/>
      <c r="K17" s="29"/>
      <c r="L17" s="29"/>
      <c r="M17" s="29"/>
      <c r="N17" s="51"/>
      <c r="O17" s="55" t="str">
        <f t="shared" si="2"/>
        <v/>
      </c>
      <c r="P17" s="56" t="str">
        <f t="shared" si="8"/>
        <v/>
      </c>
      <c r="Q17" s="50"/>
      <c r="R17" s="45"/>
      <c r="S17" s="62"/>
      <c r="T17" s="57" t="str">
        <f>IFERROR(VLOOKUP(X17,BUSCADOR!$A$2:$E$112,5,FALSE),"")</f>
        <v/>
      </c>
      <c r="U17" s="107" t="str">
        <f t="shared" si="0"/>
        <v/>
      </c>
      <c r="V17" s="28" t="str">
        <f>IFERROR(VLOOKUP(X17,BUSCADOR!$A$2:$E$112,4,FALSE),"")</f>
        <v/>
      </c>
      <c r="W17" s="107" t="str">
        <f t="shared" si="3"/>
        <v/>
      </c>
      <c r="X17" s="27"/>
      <c r="Y17" s="58" t="str">
        <f>IFERROR(VLOOKUP(X17,BUSCADOR!$A$2:$B$112,2,FALSE),"")</f>
        <v/>
      </c>
      <c r="Z17" s="101" t="str">
        <f t="shared" si="4"/>
        <v>__</v>
      </c>
      <c r="AA17" s="103" t="str">
        <f t="shared" si="5"/>
        <v>___</v>
      </c>
      <c r="AB17" s="104" t="str">
        <f t="shared" si="6"/>
        <v>____</v>
      </c>
      <c r="AC17" s="104" t="str">
        <f t="shared" si="6"/>
        <v>_____</v>
      </c>
      <c r="AD17" s="83"/>
      <c r="AE17" s="45"/>
      <c r="AF17" s="66"/>
      <c r="AG17" s="212"/>
      <c r="AH17" s="213"/>
      <c r="AI17" s="214"/>
      <c r="AJ17" s="219"/>
      <c r="AK17" s="213"/>
      <c r="AL17" s="213"/>
      <c r="AM17" s="213"/>
      <c r="AN17" s="213"/>
      <c r="AO17" s="219"/>
      <c r="AP17" s="95"/>
      <c r="AQ17" s="186" t="str">
        <f t="shared" si="1"/>
        <v/>
      </c>
      <c r="AR17" s="66"/>
      <c r="AS17" s="76"/>
      <c r="AT17" s="225"/>
      <c r="AU17" s="213"/>
      <c r="AV17" s="214"/>
      <c r="AW17" s="226"/>
      <c r="AX17" s="213"/>
      <c r="AY17" s="213"/>
      <c r="AZ17" s="227"/>
      <c r="BA17" s="65"/>
      <c r="BB17" s="52"/>
      <c r="BC17" s="27"/>
      <c r="BD17" s="27"/>
      <c r="BE17" s="27"/>
      <c r="BF17" s="79"/>
      <c r="BG17" s="52"/>
      <c r="BH17" s="69"/>
      <c r="BI17" s="188" t="str">
        <f>IF(Y17=BUSCADOR!$B$46,"HURTO_",IF(OR(Y17=BUSCADOR!$B$49,Y17=BUSCADOR!$B$50),"ROBO_",""))</f>
        <v/>
      </c>
      <c r="BJ17" s="50"/>
      <c r="BK17" s="45"/>
      <c r="BL17" s="66"/>
      <c r="BM17" s="1" t="b">
        <f t="shared" si="7"/>
        <v>0</v>
      </c>
    </row>
    <row r="18" spans="1:65" ht="117.6" customHeight="1" x14ac:dyDescent="0.25">
      <c r="A18" s="171">
        <v>16</v>
      </c>
      <c r="B18" s="41" t="str">
        <f>IF(AND(BM18,ISBLANK(C18)),"Completar FECHA DE DENUNCIA",IF(AND(BM18,OR(ISBLANK(D18),ISBLANK(E18),ISBLANK(H18))),"Completar las celdas FECHA, HORA Y PREVENTIVO. En caso de no conocer la fecha u horario colocar INDETERMINADO",IF(AND(BM18,ISBLANK(G18)),"Completar COMISARIA",IF(AND(BM18,OR(ISBLANK(I18),ISBLANK(L18),ISBLANK(M18),O18="")),"Completar las celdas LOCALIDAD, CALLE, ALTURA Y DIRECCION SEGUN  GOOGLE MAPS",IF(AND(ISBLANK(J18),OR(I18=AÑELO[[#Headers],[AÑELO]],CENTENARIO[[#Headers],[CENTENARIO]]='PLANILLA DJ'!I18,CUTRAL_CO[[#Headers],[CUTRAL_CO]],JUNIN_DE_LOS_ANDES[[#Headers],[JUNIN_DE_LOS_ANDES]]='PLANILLA DJ'!I18,'PLANILLA DJ'!I18=NEUQUEN[[#Headers],[NEUQUEN]],PLAZA_HUINCUL[[#Headers],[PLAZA_HUINCUL]]='PLANILLA DJ'!I18,'PLANILLA DJ'!I18=PLOTTIER[[#Headers],[PLOTTIER]])),"COMPLETAR BARRIO",IF(AND(BM18,ISBLANK(Q18)),"Completar Nombre de VICTIMA o DENUNCIANTE",IF(AND(BM18,ISBLANK(R18)),"Completar TIPO DE ACTUACION",IF(AND(R18=BUSCADOR!$B$140,OR(X18&lt;&gt;BUSCADOR!$A$110,ISBLANK(X18))),"Se indico A CONSIDERACION en ACTUACION, indicar en el buscador de delitos A CONSIDERACION tambien",IF(AND(ISBLANK(X18)&lt;&gt;TRUE,IFERROR(MATCH(X18,BUSCADOR!$A$2:$A$112,0),-1)&lt;0),"EN EL BUSCADOR DE DELITOS NO agregar comentarios como SU INVESTIGACION, REPORTE, etc. Limitarse SOLAMENTE a poner A CONSIDERACION u otro valor que coincida en el buscador",IF(AND(ISBLANK(AD18),OR(Y18=BUSCADOR!$B$49,BUSCADOR!$B$50=Y18,Y18=BUSCADOR!$B$46,Y18=BUSCADOR!$B$2,Y18=BUSCADOR!$B$7,BUSCADOR!$B$109=Y18,X18=BUSCADOR!$A$58,X18=BUSCADOR!$A$59)),"Completar la celda TIPO DE LUGAR",IF(AND(ISBLANK(AE18),OR(AD18=BUSCADOR!$E$149,BUSCADOR!$E$150=AD18,AD18=BUSCADOR!$F$148)),"Completar DETALLE ESTABLECIMIENTO",IF(AND(ISBLANK(AF18),BM18),"Completar la celda MOTIVO QUE ORIGINA EL REGISTRO DEL HECHO",IF(AND(SUM(AG18:AI18)=0,OR(Y18=BUSCADOR!$B$2,BUSCADOR!$B$6=Y18,Y18=BUSCADOR!$B$7,BUSCADOR!$B$8=Y18,Y18=BUSCADOR!$B$9,BUSCADOR!$B$12=Y18,Y18=BUSCADOR!$B$13,BUSCADOR!$B$14=Y18,Y18=BUSCADOR!$B$17,BUSCADOR!$B$18=Y18,Y18=BUSCADOR!$B$20,BUSCADOR!$B$29=Y18,BUSCADOR!$B$34=Y18,BUSCADOR!$B$35=Y18,Y18=BUSCADOR!$B$109,Y18=BUSCADOR!$B$51,BUSCADOR!$B$50=Y18,Y18=BUSCADOR!$B$47,Y18=BUSCADOR!$B$58,Y18=BUSCADOR!$B$21,Y18=BUSCADOR!$B$22,Y18=BUSCADOR!$B$23,Y18=BUSCADOR!$B$24)),"El delito indicado debe presentar un numero de victimas. Completar la celda CANTIDAD DE VICTIMAS",IF(AND(SUM(AJ18:AO18)&gt;0,ISBLANK(AP18)),"Completar celda VULNERABILIDAD DE LA VICTIMA",IF(SUM(AG18:AI18)&lt;&gt;SUM(AJ18:AO18),"Se indico una CANTIDAD DE VICTIMAS SEGUN SEXO diferente a SEGUN GENERO",IF(AND(ISBLANK(AR18),OR(Y18=BUSCADOR!$B$49,BUSCADOR!$B$50=Y18,Y18=BUSCADOR!$B$46,Y18=BUSCADOR!$B$109,BUSCADOR!$B$2=Y18,X18=BUSCADOR!$A$58,X18=BUSCADOR!$A$59)),"Completar la celda TIPO DE ARMA, MODALIDAD O MECANISMO",IF(AND(ISBLANK(AS18),OR(Y18=BUSCADOR!$B$51,BUSCADOR!$B$50=Y18,Y18=BUSCADOR!$B$47,BUSCADOR!$A$58=X18,X18=BUSCADOR!$A$59)),"Completar la celda CONOCIDO, en la seccion de los inculpados",IF(AND(AS18=BUSCADOR!$B$127,OR(Y18=BUSCADOR!$B$51,BUSCADOR!$B$50,Y18,BUSCADOR!$B$46),OR(SUM(AT18:AV18)&lt;&gt;SUM(AW18:AZ18),SUM(AT18:AZ18)=0)),"Revisar las celdas correspondientes a CANTIDAD DE INCULPADOS. Se indica una cantidad diferente segun SEXO y EDAD o no se indico cantidad alguna",IF(AND(ISBLANK(BA18),X18=BUSCADOR!$A$27),"Se indico una persona desaparecida. Completar la casilla APARECIO",IF(AND(ISBLANK(BB18),OR(Y18=BUSCADOR!$B$49,BUSCADOR!$B$50=Y18,Y18=BUSCADOR!$B$46)),"Completar la casilla ELEMENTO SUSTRAIDO",IF(OR(AND(BB18=OTROS[[#Headers],[OTROS]],ISBLANK(BC18)),AND(BB18=ABIGEATO[[#Headers],[ABIGEATO]],ISBLANK(BC18))),"Completar la celda SUBCATEGORIA",IF(AND(OR(BB18=MOTOCICLETA[[#Headers],[MOTOCICLETA]],BB18=AUTOMOTOR[[#Headers],[AUTOMOTOR]]),OR(ISBLANK(BC18),ISBLANK(BD18),ISBLANK(BE18),ISBLANK(BF18))),"Se indico un AUTOMOTOR o MOTOCICLETA en ELEMENTOS SUSTRAIDOS, completar las celdas SUBCATEGORIA, DENOMINACION, AÑO y MODELO", IF(AND(ISBLANK(BB18)&lt;&gt;TRUE,ISBLANK(BJ18)),"Completar MODUS OPERANDI",IF(AND(ISBLANK(BK18),OR(BJ18=BUSCADOR!$H$232,BJ18=BUSCADOR!$I$232)),"Completar ESPECIALIDAD",IF(OR(AND(H18='SAT-Homicidios Dolosos'!$B$5,'SAT-Homicidios Dolosos'!$A$5&lt;&gt;"OK"),AND(H18='SAT-Homicidios Dolosos'!$B$8,'SAT-Homicidios Dolosos'!$A$8&lt;&gt;"OK")),"Se indico un HOMICIDIO, existen CELDAS VACIAS en la hoja SAT-HOMICIDIOS DOLOSOS Completar los datos indicados",IF(OR(AND(H18='SAT-Muertes Viales'!$E$21,'SAT-Muertes Viales'!$A$21&lt;&gt;"OK"),AND(H18='SAT-Muertes Viales'!$E$25,'SAT-Muertes Viales'!$A$25&lt;&gt;"OK"),AND(H18='SAT-Muertes Viales'!$E$29,'SAT-Muertes Viales'!$A$29&lt;&gt;"OK")),"Se indico un HOMICIDIO POR SINIESTRO VIAL, existen CELDAS VACIAS en la hoja SAT-MUERTES VIALES Completar los datos indicados",IF(OR(AND(H18='SAT-Suicidios'!$B$19,'SAT-Suicidios'!$A$19&lt;&gt;"OK"),AND(H18='SAT-Suicidios'!$B$22,'SAT-Suicidios'!$A$22&lt;&gt;"OK"),AND(H18='SAT-Suicidios'!$B$25,'SAT-Suicidios'!$A$25&lt;&gt;"OK")),"Se indico un SUICIDIO, existen CELDAS VACIAS en la hoja SAT-SUICIDIOS Completar los datos indicados",IF(IFERROR(MATCH(X18,BUSCADOR!$A$2:$A$112,0),-1)&lt;0,"No se indico delito",IF(AND(ISBLANK(BL18),OR(X18=BUSCADOR!$A$111,X18=BUSCADOR!$A$110)),"Llenar la casilla DETALLES, COMENTARIOS con una descripcion de la causa",IF(AND(X18="MUERTE DUDOSA",ISBLANK(BL18)=FALSE),"SE INDICO MUERTE DUDOSA, NOS CONTACTAREMOS PARA MAS INFORMACION","FILA CORRECTA"))))))))))))))))))))))))))))))</f>
        <v>No se indico delito</v>
      </c>
      <c r="C18" s="42"/>
      <c r="D18" s="90"/>
      <c r="E18" s="47"/>
      <c r="F18" s="87"/>
      <c r="G18" s="221" t="str">
        <f t="shared" si="9"/>
        <v>Comisaría 15°</v>
      </c>
      <c r="H18" s="45"/>
      <c r="I18" s="50"/>
      <c r="J18" s="29"/>
      <c r="K18" s="29"/>
      <c r="L18" s="29"/>
      <c r="M18" s="29"/>
      <c r="N18" s="51"/>
      <c r="O18" s="55" t="str">
        <f t="shared" si="2"/>
        <v/>
      </c>
      <c r="P18" s="56" t="str">
        <f t="shared" si="8"/>
        <v/>
      </c>
      <c r="Q18" s="50"/>
      <c r="R18" s="45"/>
      <c r="S18" s="62"/>
      <c r="T18" s="57" t="str">
        <f>IFERROR(VLOOKUP(X18,BUSCADOR!$A$2:$E$112,5,FALSE),"")</f>
        <v/>
      </c>
      <c r="U18" s="107" t="str">
        <f t="shared" si="0"/>
        <v/>
      </c>
      <c r="V18" s="28" t="str">
        <f>IFERROR(VLOOKUP(X18,BUSCADOR!$A$2:$E$112,4,FALSE),"")</f>
        <v/>
      </c>
      <c r="W18" s="107" t="str">
        <f t="shared" si="3"/>
        <v/>
      </c>
      <c r="X18" s="27"/>
      <c r="Y18" s="58" t="str">
        <f>IFERROR(VLOOKUP(X18,BUSCADOR!$A$2:$B$112,2,FALSE),"")</f>
        <v/>
      </c>
      <c r="Z18" s="101" t="str">
        <f t="shared" si="4"/>
        <v>__</v>
      </c>
      <c r="AA18" s="103" t="str">
        <f t="shared" si="5"/>
        <v>___</v>
      </c>
      <c r="AB18" s="104" t="str">
        <f t="shared" si="6"/>
        <v>____</v>
      </c>
      <c r="AC18" s="104" t="str">
        <f t="shared" si="6"/>
        <v>_____</v>
      </c>
      <c r="AD18" s="83"/>
      <c r="AE18" s="45"/>
      <c r="AF18" s="66"/>
      <c r="AG18" s="212"/>
      <c r="AH18" s="213"/>
      <c r="AI18" s="214"/>
      <c r="AJ18" s="219"/>
      <c r="AK18" s="213"/>
      <c r="AL18" s="213"/>
      <c r="AM18" s="213"/>
      <c r="AN18" s="213"/>
      <c r="AO18" s="219"/>
      <c r="AP18" s="95"/>
      <c r="AQ18" s="186" t="str">
        <f t="shared" si="1"/>
        <v/>
      </c>
      <c r="AR18" s="66"/>
      <c r="AS18" s="76"/>
      <c r="AT18" s="225"/>
      <c r="AU18" s="213"/>
      <c r="AV18" s="214"/>
      <c r="AW18" s="226"/>
      <c r="AX18" s="213"/>
      <c r="AY18" s="213"/>
      <c r="AZ18" s="227"/>
      <c r="BA18" s="65"/>
      <c r="BB18" s="52"/>
      <c r="BC18" s="27"/>
      <c r="BD18" s="27"/>
      <c r="BE18" s="27"/>
      <c r="BF18" s="79"/>
      <c r="BG18" s="52"/>
      <c r="BH18" s="69"/>
      <c r="BI18" s="188" t="str">
        <f>IF(Y18=BUSCADOR!$B$46,"HURTO_",IF(OR(Y18=BUSCADOR!$B$49,Y18=BUSCADOR!$B$50),"ROBO_",""))</f>
        <v/>
      </c>
      <c r="BJ18" s="50"/>
      <c r="BK18" s="45"/>
      <c r="BL18" s="66"/>
      <c r="BM18" s="1" t="b">
        <f t="shared" si="7"/>
        <v>0</v>
      </c>
    </row>
    <row r="19" spans="1:65" ht="117.6" customHeight="1" x14ac:dyDescent="0.25">
      <c r="A19" s="171">
        <v>17</v>
      </c>
      <c r="B19" s="41" t="str">
        <f>IF(AND(BM19,ISBLANK(C19)),"Completar FECHA DE DENUNCIA",IF(AND(BM19,OR(ISBLANK(D19),ISBLANK(E19),ISBLANK(H19))),"Completar las celdas FECHA, HORA Y PREVENTIVO. En caso de no conocer la fecha u horario colocar INDETERMINADO",IF(AND(BM19,ISBLANK(G19)),"Completar COMISARIA",IF(AND(BM19,OR(ISBLANK(I19),ISBLANK(L19),ISBLANK(M19),O19="")),"Completar las celdas LOCALIDAD, CALLE, ALTURA Y DIRECCION SEGUN  GOOGLE MAPS",IF(AND(ISBLANK(J19),OR(I19=AÑELO[[#Headers],[AÑELO]],CENTENARIO[[#Headers],[CENTENARIO]]='PLANILLA DJ'!I19,CUTRAL_CO[[#Headers],[CUTRAL_CO]],JUNIN_DE_LOS_ANDES[[#Headers],[JUNIN_DE_LOS_ANDES]]='PLANILLA DJ'!I19,'PLANILLA DJ'!I19=NEUQUEN[[#Headers],[NEUQUEN]],PLAZA_HUINCUL[[#Headers],[PLAZA_HUINCUL]]='PLANILLA DJ'!I19,'PLANILLA DJ'!I19=PLOTTIER[[#Headers],[PLOTTIER]])),"COMPLETAR BARRIO",IF(AND(BM19,ISBLANK(Q19)),"Completar Nombre de VICTIMA o DENUNCIANTE",IF(AND(BM19,ISBLANK(R19)),"Completar TIPO DE ACTUACION",IF(AND(R19=BUSCADOR!$B$140,OR(X19&lt;&gt;BUSCADOR!$A$110,ISBLANK(X19))),"Se indico A CONSIDERACION en ACTUACION, indicar en el buscador de delitos A CONSIDERACION tambien",IF(AND(ISBLANK(X19)&lt;&gt;TRUE,IFERROR(MATCH(X19,BUSCADOR!$A$2:$A$112,0),-1)&lt;0),"EN EL BUSCADOR DE DELITOS NO agregar comentarios como SU INVESTIGACION, REPORTE, etc. Limitarse SOLAMENTE a poner A CONSIDERACION u otro valor que coincida en el buscador",IF(AND(ISBLANK(AD19),OR(Y19=BUSCADOR!$B$49,BUSCADOR!$B$50=Y19,Y19=BUSCADOR!$B$46,Y19=BUSCADOR!$B$2,Y19=BUSCADOR!$B$7,BUSCADOR!$B$109=Y19,X19=BUSCADOR!$A$58,X19=BUSCADOR!$A$59)),"Completar la celda TIPO DE LUGAR",IF(AND(ISBLANK(AE19),OR(AD19=BUSCADOR!$E$149,BUSCADOR!$E$150=AD19,AD19=BUSCADOR!$F$148)),"Completar DETALLE ESTABLECIMIENTO",IF(AND(ISBLANK(AF19),BM19),"Completar la celda MOTIVO QUE ORIGINA EL REGISTRO DEL HECHO",IF(AND(SUM(AG19:AI19)=0,OR(Y19=BUSCADOR!$B$2,BUSCADOR!$B$6=Y19,Y19=BUSCADOR!$B$7,BUSCADOR!$B$8=Y19,Y19=BUSCADOR!$B$9,BUSCADOR!$B$12=Y19,Y19=BUSCADOR!$B$13,BUSCADOR!$B$14=Y19,Y19=BUSCADOR!$B$17,BUSCADOR!$B$18=Y19,Y19=BUSCADOR!$B$20,BUSCADOR!$B$29=Y19,BUSCADOR!$B$34=Y19,BUSCADOR!$B$35=Y19,Y19=BUSCADOR!$B$109,Y19=BUSCADOR!$B$51,BUSCADOR!$B$50=Y19,Y19=BUSCADOR!$B$47,Y19=BUSCADOR!$B$58,Y19=BUSCADOR!$B$21,Y19=BUSCADOR!$B$22,Y19=BUSCADOR!$B$23,Y19=BUSCADOR!$B$24)),"El delito indicado debe presentar un numero de victimas. Completar la celda CANTIDAD DE VICTIMAS",IF(AND(SUM(AJ19:AO19)&gt;0,ISBLANK(AP19)),"Completar celda VULNERABILIDAD DE LA VICTIMA",IF(SUM(AG19:AI19)&lt;&gt;SUM(AJ19:AO19),"Se indico una CANTIDAD DE VICTIMAS SEGUN SEXO diferente a SEGUN GENERO",IF(AND(ISBLANK(AR19),OR(Y19=BUSCADOR!$B$49,BUSCADOR!$B$50=Y19,Y19=BUSCADOR!$B$46,Y19=BUSCADOR!$B$109,BUSCADOR!$B$2=Y19,X19=BUSCADOR!$A$58,X19=BUSCADOR!$A$59)),"Completar la celda TIPO DE ARMA, MODALIDAD O MECANISMO",IF(AND(ISBLANK(AS19),OR(Y19=BUSCADOR!$B$51,BUSCADOR!$B$50=Y19,Y19=BUSCADOR!$B$47,BUSCADOR!$A$58=X19,X19=BUSCADOR!$A$59)),"Completar la celda CONOCIDO, en la seccion de los inculpados",IF(AND(AS19=BUSCADOR!$B$127,OR(Y19=BUSCADOR!$B$51,BUSCADOR!$B$50,Y19,BUSCADOR!$B$46),OR(SUM(AT19:AV19)&lt;&gt;SUM(AW19:AZ19),SUM(AT19:AZ19)=0)),"Revisar las celdas correspondientes a CANTIDAD DE INCULPADOS. Se indica una cantidad diferente segun SEXO y EDAD o no se indico cantidad alguna",IF(AND(ISBLANK(BA19),X19=BUSCADOR!$A$27),"Se indico una persona desaparecida. Completar la casilla APARECIO",IF(AND(ISBLANK(BB19),OR(Y19=BUSCADOR!$B$49,BUSCADOR!$B$50=Y19,Y19=BUSCADOR!$B$46)),"Completar la casilla ELEMENTO SUSTRAIDO",IF(OR(AND(BB19=OTROS[[#Headers],[OTROS]],ISBLANK(BC19)),AND(BB19=ABIGEATO[[#Headers],[ABIGEATO]],ISBLANK(BC19))),"Completar la celda SUBCATEGORIA",IF(AND(OR(BB19=MOTOCICLETA[[#Headers],[MOTOCICLETA]],BB19=AUTOMOTOR[[#Headers],[AUTOMOTOR]]),OR(ISBLANK(BC19),ISBLANK(BD19),ISBLANK(BE19),ISBLANK(BF19))),"Se indico un AUTOMOTOR o MOTOCICLETA en ELEMENTOS SUSTRAIDOS, completar las celdas SUBCATEGORIA, DENOMINACION, AÑO y MODELO", IF(AND(ISBLANK(BB19)&lt;&gt;TRUE,ISBLANK(BJ19)),"Completar MODUS OPERANDI",IF(AND(ISBLANK(BK19),OR(BJ19=BUSCADOR!$H$232,BJ19=BUSCADOR!$I$232)),"Completar ESPECIALIDAD",IF(OR(AND(H19='SAT-Homicidios Dolosos'!$B$5,'SAT-Homicidios Dolosos'!$A$5&lt;&gt;"OK"),AND(H19='SAT-Homicidios Dolosos'!$B$8,'SAT-Homicidios Dolosos'!$A$8&lt;&gt;"OK")),"Se indico un HOMICIDIO, existen CELDAS VACIAS en la hoja SAT-HOMICIDIOS DOLOSOS Completar los datos indicados",IF(OR(AND(H19='SAT-Muertes Viales'!$E$21,'SAT-Muertes Viales'!$A$21&lt;&gt;"OK"),AND(H19='SAT-Muertes Viales'!$E$25,'SAT-Muertes Viales'!$A$25&lt;&gt;"OK"),AND(H19='SAT-Muertes Viales'!$E$29,'SAT-Muertes Viales'!$A$29&lt;&gt;"OK")),"Se indico un HOMICIDIO POR SINIESTRO VIAL, existen CELDAS VACIAS en la hoja SAT-MUERTES VIALES Completar los datos indicados",IF(OR(AND(H19='SAT-Suicidios'!$B$19,'SAT-Suicidios'!$A$19&lt;&gt;"OK"),AND(H19='SAT-Suicidios'!$B$22,'SAT-Suicidios'!$A$22&lt;&gt;"OK"),AND(H19='SAT-Suicidios'!$B$25,'SAT-Suicidios'!$A$25&lt;&gt;"OK")),"Se indico un SUICIDIO, existen CELDAS VACIAS en la hoja SAT-SUICIDIOS Completar los datos indicados",IF(IFERROR(MATCH(X19,BUSCADOR!$A$2:$A$112,0),-1)&lt;0,"No se indico delito",IF(AND(ISBLANK(BL19),OR(X19=BUSCADOR!$A$111,X19=BUSCADOR!$A$110)),"Llenar la casilla DETALLES, COMENTARIOS con una descripcion de la causa",IF(AND(X19="MUERTE DUDOSA",ISBLANK(BL19)=FALSE),"SE INDICO MUERTE DUDOSA, NOS CONTACTAREMOS PARA MAS INFORMACION","FILA CORRECTA"))))))))))))))))))))))))))))))</f>
        <v>No se indico delito</v>
      </c>
      <c r="C19" s="42"/>
      <c r="D19" s="90"/>
      <c r="E19" s="47"/>
      <c r="F19" s="87"/>
      <c r="G19" s="221" t="str">
        <f t="shared" si="9"/>
        <v>Comisaría 15°</v>
      </c>
      <c r="H19" s="45"/>
      <c r="I19" s="50"/>
      <c r="J19" s="29"/>
      <c r="K19" s="29"/>
      <c r="L19" s="29"/>
      <c r="M19" s="29"/>
      <c r="N19" s="51"/>
      <c r="O19" s="55" t="str">
        <f t="shared" si="2"/>
        <v/>
      </c>
      <c r="P19" s="56" t="str">
        <f t="shared" si="8"/>
        <v/>
      </c>
      <c r="Q19" s="50"/>
      <c r="R19" s="45"/>
      <c r="S19" s="62"/>
      <c r="T19" s="57" t="str">
        <f>IFERROR(VLOOKUP(X19,BUSCADOR!$A$2:$E$112,5,FALSE),"")</f>
        <v/>
      </c>
      <c r="U19" s="107" t="str">
        <f t="shared" si="0"/>
        <v/>
      </c>
      <c r="V19" s="28" t="str">
        <f>IFERROR(VLOOKUP(X19,BUSCADOR!$A$2:$E$112,4,FALSE),"")</f>
        <v/>
      </c>
      <c r="W19" s="107" t="str">
        <f t="shared" si="3"/>
        <v/>
      </c>
      <c r="X19" s="27"/>
      <c r="Y19" s="58" t="str">
        <f>IFERROR(VLOOKUP(X19,BUSCADOR!$A$2:$B$112,2,FALSE),"")</f>
        <v/>
      </c>
      <c r="Z19" s="101" t="str">
        <f t="shared" si="4"/>
        <v>__</v>
      </c>
      <c r="AA19" s="103" t="str">
        <f t="shared" si="5"/>
        <v>___</v>
      </c>
      <c r="AB19" s="104" t="str">
        <f t="shared" si="6"/>
        <v>____</v>
      </c>
      <c r="AC19" s="104" t="str">
        <f t="shared" si="6"/>
        <v>_____</v>
      </c>
      <c r="AD19" s="83"/>
      <c r="AE19" s="45"/>
      <c r="AF19" s="66"/>
      <c r="AG19" s="212"/>
      <c r="AH19" s="213"/>
      <c r="AI19" s="214"/>
      <c r="AJ19" s="219"/>
      <c r="AK19" s="213"/>
      <c r="AL19" s="213"/>
      <c r="AM19" s="213"/>
      <c r="AN19" s="213"/>
      <c r="AO19" s="219"/>
      <c r="AP19" s="95"/>
      <c r="AQ19" s="186" t="str">
        <f t="shared" si="1"/>
        <v/>
      </c>
      <c r="AR19" s="66"/>
      <c r="AS19" s="76"/>
      <c r="AT19" s="225"/>
      <c r="AU19" s="213"/>
      <c r="AV19" s="214"/>
      <c r="AW19" s="226"/>
      <c r="AX19" s="213"/>
      <c r="AY19" s="213"/>
      <c r="AZ19" s="227"/>
      <c r="BA19" s="65"/>
      <c r="BB19" s="52"/>
      <c r="BC19" s="27"/>
      <c r="BD19" s="27"/>
      <c r="BE19" s="27"/>
      <c r="BF19" s="79"/>
      <c r="BG19" s="52"/>
      <c r="BH19" s="69"/>
      <c r="BI19" s="188" t="str">
        <f>IF(Y19=BUSCADOR!$B$46,"HURTO_",IF(OR(Y19=BUSCADOR!$B$49,Y19=BUSCADOR!$B$50),"ROBO_",""))</f>
        <v/>
      </c>
      <c r="BJ19" s="50"/>
      <c r="BK19" s="45"/>
      <c r="BL19" s="66"/>
      <c r="BM19" s="1" t="b">
        <f t="shared" si="7"/>
        <v>0</v>
      </c>
    </row>
    <row r="20" spans="1:65" ht="117.6" customHeight="1" x14ac:dyDescent="0.25">
      <c r="A20" s="171">
        <v>18</v>
      </c>
      <c r="B20" s="41" t="str">
        <f>IF(AND(BM20,ISBLANK(C20)),"Completar FECHA DE DENUNCIA",IF(AND(BM20,OR(ISBLANK(D20),ISBLANK(E20),ISBLANK(H20))),"Completar las celdas FECHA, HORA Y PREVENTIVO. En caso de no conocer la fecha u horario colocar INDETERMINADO",IF(AND(BM20,ISBLANK(G20)),"Completar COMISARIA",IF(AND(BM20,OR(ISBLANK(I20),ISBLANK(L20),ISBLANK(M20),O20="")),"Completar las celdas LOCALIDAD, CALLE, ALTURA Y DIRECCION SEGUN  GOOGLE MAPS",IF(AND(ISBLANK(J20),OR(I20=AÑELO[[#Headers],[AÑELO]],CENTENARIO[[#Headers],[CENTENARIO]]='PLANILLA DJ'!I20,CUTRAL_CO[[#Headers],[CUTRAL_CO]],JUNIN_DE_LOS_ANDES[[#Headers],[JUNIN_DE_LOS_ANDES]]='PLANILLA DJ'!I20,'PLANILLA DJ'!I20=NEUQUEN[[#Headers],[NEUQUEN]],PLAZA_HUINCUL[[#Headers],[PLAZA_HUINCUL]]='PLANILLA DJ'!I20,'PLANILLA DJ'!I20=PLOTTIER[[#Headers],[PLOTTIER]])),"COMPLETAR BARRIO",IF(AND(BM20,ISBLANK(Q20)),"Completar Nombre de VICTIMA o DENUNCIANTE",IF(AND(BM20,ISBLANK(R20)),"Completar TIPO DE ACTUACION",IF(AND(R20=BUSCADOR!$B$140,OR(X20&lt;&gt;BUSCADOR!$A$110,ISBLANK(X20))),"Se indico A CONSIDERACION en ACTUACION, indicar en el buscador de delitos A CONSIDERACION tambien",IF(AND(ISBLANK(X20)&lt;&gt;TRUE,IFERROR(MATCH(X20,BUSCADOR!$A$2:$A$112,0),-1)&lt;0),"EN EL BUSCADOR DE DELITOS NO agregar comentarios como SU INVESTIGACION, REPORTE, etc. Limitarse SOLAMENTE a poner A CONSIDERACION u otro valor que coincida en el buscador",IF(AND(ISBLANK(AD20),OR(Y20=BUSCADOR!$B$49,BUSCADOR!$B$50=Y20,Y20=BUSCADOR!$B$46,Y20=BUSCADOR!$B$2,Y20=BUSCADOR!$B$7,BUSCADOR!$B$109=Y20,X20=BUSCADOR!$A$58,X20=BUSCADOR!$A$59)),"Completar la celda TIPO DE LUGAR",IF(AND(ISBLANK(AE20),OR(AD20=BUSCADOR!$E$149,BUSCADOR!$E$150=AD20,AD20=BUSCADOR!$F$148)),"Completar DETALLE ESTABLECIMIENTO",IF(AND(ISBLANK(AF20),BM20),"Completar la celda MOTIVO QUE ORIGINA EL REGISTRO DEL HECHO",IF(AND(SUM(AG20:AI20)=0,OR(Y20=BUSCADOR!$B$2,BUSCADOR!$B$6=Y20,Y20=BUSCADOR!$B$7,BUSCADOR!$B$8=Y20,Y20=BUSCADOR!$B$9,BUSCADOR!$B$12=Y20,Y20=BUSCADOR!$B$13,BUSCADOR!$B$14=Y20,Y20=BUSCADOR!$B$17,BUSCADOR!$B$18=Y20,Y20=BUSCADOR!$B$20,BUSCADOR!$B$29=Y20,BUSCADOR!$B$34=Y20,BUSCADOR!$B$35=Y20,Y20=BUSCADOR!$B$109,Y20=BUSCADOR!$B$51,BUSCADOR!$B$50=Y20,Y20=BUSCADOR!$B$47,Y20=BUSCADOR!$B$58,Y20=BUSCADOR!$B$21,Y20=BUSCADOR!$B$22,Y20=BUSCADOR!$B$23,Y20=BUSCADOR!$B$24)),"El delito indicado debe presentar un numero de victimas. Completar la celda CANTIDAD DE VICTIMAS",IF(AND(SUM(AJ20:AO20)&gt;0,ISBLANK(AP20)),"Completar celda VULNERABILIDAD DE LA VICTIMA",IF(SUM(AG20:AI20)&lt;&gt;SUM(AJ20:AO20),"Se indico una CANTIDAD DE VICTIMAS SEGUN SEXO diferente a SEGUN GENERO",IF(AND(ISBLANK(AR20),OR(Y20=BUSCADOR!$B$49,BUSCADOR!$B$50=Y20,Y20=BUSCADOR!$B$46,Y20=BUSCADOR!$B$109,BUSCADOR!$B$2=Y20,X20=BUSCADOR!$A$58,X20=BUSCADOR!$A$59)),"Completar la celda TIPO DE ARMA, MODALIDAD O MECANISMO",IF(AND(ISBLANK(AS20),OR(Y20=BUSCADOR!$B$51,BUSCADOR!$B$50=Y20,Y20=BUSCADOR!$B$47,BUSCADOR!$A$58=X20,X20=BUSCADOR!$A$59)),"Completar la celda CONOCIDO, en la seccion de los inculpados",IF(AND(AS20=BUSCADOR!$B$127,OR(Y20=BUSCADOR!$B$51,BUSCADOR!$B$50,Y20,BUSCADOR!$B$46),OR(SUM(AT20:AV20)&lt;&gt;SUM(AW20:AZ20),SUM(AT20:AZ20)=0)),"Revisar las celdas correspondientes a CANTIDAD DE INCULPADOS. Se indica una cantidad diferente segun SEXO y EDAD o no se indico cantidad alguna",IF(AND(ISBLANK(BA20),X20=BUSCADOR!$A$27),"Se indico una persona desaparecida. Completar la casilla APARECIO",IF(AND(ISBLANK(BB20),OR(Y20=BUSCADOR!$B$49,BUSCADOR!$B$50=Y20,Y20=BUSCADOR!$B$46)),"Completar la casilla ELEMENTO SUSTRAIDO",IF(OR(AND(BB20=OTROS[[#Headers],[OTROS]],ISBLANK(BC20)),AND(BB20=ABIGEATO[[#Headers],[ABIGEATO]],ISBLANK(BC20))),"Completar la celda SUBCATEGORIA",IF(AND(OR(BB20=MOTOCICLETA[[#Headers],[MOTOCICLETA]],BB20=AUTOMOTOR[[#Headers],[AUTOMOTOR]]),OR(ISBLANK(BC20),ISBLANK(BD20),ISBLANK(BE20),ISBLANK(BF20))),"Se indico un AUTOMOTOR o MOTOCICLETA en ELEMENTOS SUSTRAIDOS, completar las celdas SUBCATEGORIA, DENOMINACION, AÑO y MODELO", IF(AND(ISBLANK(BB20)&lt;&gt;TRUE,ISBLANK(BJ20)),"Completar MODUS OPERANDI",IF(AND(ISBLANK(BK20),OR(BJ20=BUSCADOR!$H$232,BJ20=BUSCADOR!$I$232)),"Completar ESPECIALIDAD",IF(OR(AND(H20='SAT-Homicidios Dolosos'!$B$5,'SAT-Homicidios Dolosos'!$A$5&lt;&gt;"OK"),AND(H20='SAT-Homicidios Dolosos'!$B$8,'SAT-Homicidios Dolosos'!$A$8&lt;&gt;"OK")),"Se indico un HOMICIDIO, existen CELDAS VACIAS en la hoja SAT-HOMICIDIOS DOLOSOS Completar los datos indicados",IF(OR(AND(H20='SAT-Muertes Viales'!$E$21,'SAT-Muertes Viales'!$A$21&lt;&gt;"OK"),AND(H20='SAT-Muertes Viales'!$E$25,'SAT-Muertes Viales'!$A$25&lt;&gt;"OK"),AND(H20='SAT-Muertes Viales'!$E$29,'SAT-Muertes Viales'!$A$29&lt;&gt;"OK")),"Se indico un HOMICIDIO POR SINIESTRO VIAL, existen CELDAS VACIAS en la hoja SAT-MUERTES VIALES Completar los datos indicados",IF(OR(AND(H20='SAT-Suicidios'!$B$19,'SAT-Suicidios'!$A$19&lt;&gt;"OK"),AND(H20='SAT-Suicidios'!$B$22,'SAT-Suicidios'!$A$22&lt;&gt;"OK"),AND(H20='SAT-Suicidios'!$B$25,'SAT-Suicidios'!$A$25&lt;&gt;"OK")),"Se indico un SUICIDIO, existen CELDAS VACIAS en la hoja SAT-SUICIDIOS Completar los datos indicados",IF(IFERROR(MATCH(X20,BUSCADOR!$A$2:$A$112,0),-1)&lt;0,"No se indico delito",IF(AND(ISBLANK(BL20),OR(X20=BUSCADOR!$A$111,X20=BUSCADOR!$A$110)),"Llenar la casilla DETALLES, COMENTARIOS con una descripcion de la causa",IF(AND(X20="MUERTE DUDOSA",ISBLANK(BL20)=FALSE),"SE INDICO MUERTE DUDOSA, NOS CONTACTAREMOS PARA MAS INFORMACION","FILA CORRECTA"))))))))))))))))))))))))))))))</f>
        <v>No se indico delito</v>
      </c>
      <c r="C20" s="42"/>
      <c r="D20" s="90"/>
      <c r="E20" s="47"/>
      <c r="F20" s="87"/>
      <c r="G20" s="221" t="str">
        <f t="shared" si="9"/>
        <v>Comisaría 15°</v>
      </c>
      <c r="H20" s="45"/>
      <c r="I20" s="50"/>
      <c r="J20" s="29"/>
      <c r="K20" s="29"/>
      <c r="L20" s="29"/>
      <c r="M20" s="29"/>
      <c r="N20" s="51"/>
      <c r="O20" s="55" t="str">
        <f t="shared" si="2"/>
        <v/>
      </c>
      <c r="P20" s="56" t="str">
        <f t="shared" si="8"/>
        <v/>
      </c>
      <c r="Q20" s="50"/>
      <c r="R20" s="45"/>
      <c r="S20" s="62"/>
      <c r="T20" s="57" t="str">
        <f>IFERROR(VLOOKUP(X20,BUSCADOR!$A$2:$E$112,5,FALSE),"")</f>
        <v/>
      </c>
      <c r="U20" s="107" t="str">
        <f t="shared" si="0"/>
        <v/>
      </c>
      <c r="V20" s="28" t="str">
        <f>IFERROR(VLOOKUP(X20,BUSCADOR!$A$2:$E$112,4,FALSE),"")</f>
        <v/>
      </c>
      <c r="W20" s="107" t="str">
        <f t="shared" si="3"/>
        <v/>
      </c>
      <c r="X20" s="27"/>
      <c r="Y20" s="58" t="str">
        <f>IFERROR(VLOOKUP(X20,BUSCADOR!$A$2:$B$112,2,FALSE),"")</f>
        <v/>
      </c>
      <c r="Z20" s="101" t="str">
        <f t="shared" si="4"/>
        <v>__</v>
      </c>
      <c r="AA20" s="103" t="str">
        <f t="shared" si="5"/>
        <v>___</v>
      </c>
      <c r="AB20" s="104" t="str">
        <f t="shared" si="6"/>
        <v>____</v>
      </c>
      <c r="AC20" s="104" t="str">
        <f t="shared" si="6"/>
        <v>_____</v>
      </c>
      <c r="AD20" s="83"/>
      <c r="AE20" s="45"/>
      <c r="AF20" s="66"/>
      <c r="AG20" s="212"/>
      <c r="AH20" s="213"/>
      <c r="AI20" s="214"/>
      <c r="AJ20" s="219"/>
      <c r="AK20" s="213"/>
      <c r="AL20" s="213"/>
      <c r="AM20" s="213"/>
      <c r="AN20" s="213"/>
      <c r="AO20" s="219"/>
      <c r="AP20" s="95"/>
      <c r="AQ20" s="186" t="str">
        <f t="shared" si="1"/>
        <v/>
      </c>
      <c r="AR20" s="66"/>
      <c r="AS20" s="76"/>
      <c r="AT20" s="225"/>
      <c r="AU20" s="213"/>
      <c r="AV20" s="214"/>
      <c r="AW20" s="226"/>
      <c r="AX20" s="213"/>
      <c r="AY20" s="213"/>
      <c r="AZ20" s="227"/>
      <c r="BA20" s="65"/>
      <c r="BB20" s="52"/>
      <c r="BC20" s="27"/>
      <c r="BD20" s="27"/>
      <c r="BE20" s="27"/>
      <c r="BF20" s="79"/>
      <c r="BG20" s="52"/>
      <c r="BH20" s="69"/>
      <c r="BI20" s="188" t="str">
        <f>IF(Y20=BUSCADOR!$B$46,"HURTO_",IF(OR(Y20=BUSCADOR!$B$49,Y20=BUSCADOR!$B$50),"ROBO_",""))</f>
        <v/>
      </c>
      <c r="BJ20" s="50"/>
      <c r="BK20" s="45"/>
      <c r="BL20" s="66"/>
      <c r="BM20" s="1" t="b">
        <f t="shared" si="7"/>
        <v>0</v>
      </c>
    </row>
    <row r="21" spans="1:65" ht="117.6" customHeight="1" x14ac:dyDescent="0.25">
      <c r="A21" s="171">
        <v>19</v>
      </c>
      <c r="B21" s="41" t="str">
        <f>IF(AND(BM21,ISBLANK(C21)),"Completar FECHA DE DENUNCIA",IF(AND(BM21,OR(ISBLANK(D21),ISBLANK(E21),ISBLANK(H21))),"Completar las celdas FECHA, HORA Y PREVENTIVO. En caso de no conocer la fecha u horario colocar INDETERMINADO",IF(AND(BM21,ISBLANK(G21)),"Completar COMISARIA",IF(AND(BM21,OR(ISBLANK(I21),ISBLANK(L21),ISBLANK(M21),O21="")),"Completar las celdas LOCALIDAD, CALLE, ALTURA Y DIRECCION SEGUN  GOOGLE MAPS",IF(AND(ISBLANK(J21),OR(I21=AÑELO[[#Headers],[AÑELO]],CENTENARIO[[#Headers],[CENTENARIO]]='PLANILLA DJ'!I21,CUTRAL_CO[[#Headers],[CUTRAL_CO]],JUNIN_DE_LOS_ANDES[[#Headers],[JUNIN_DE_LOS_ANDES]]='PLANILLA DJ'!I21,'PLANILLA DJ'!I21=NEUQUEN[[#Headers],[NEUQUEN]],PLAZA_HUINCUL[[#Headers],[PLAZA_HUINCUL]]='PLANILLA DJ'!I21,'PLANILLA DJ'!I21=PLOTTIER[[#Headers],[PLOTTIER]])),"COMPLETAR BARRIO",IF(AND(BM21,ISBLANK(Q21)),"Completar Nombre de VICTIMA o DENUNCIANTE",IF(AND(BM21,ISBLANK(R21)),"Completar TIPO DE ACTUACION",IF(AND(R21=BUSCADOR!$B$140,OR(X21&lt;&gt;BUSCADOR!$A$110,ISBLANK(X21))),"Se indico A CONSIDERACION en ACTUACION, indicar en el buscador de delitos A CONSIDERACION tambien",IF(AND(ISBLANK(X21)&lt;&gt;TRUE,IFERROR(MATCH(X21,BUSCADOR!$A$2:$A$112,0),-1)&lt;0),"EN EL BUSCADOR DE DELITOS NO agregar comentarios como SU INVESTIGACION, REPORTE, etc. Limitarse SOLAMENTE a poner A CONSIDERACION u otro valor que coincida en el buscador",IF(AND(ISBLANK(AD21),OR(Y21=BUSCADOR!$B$49,BUSCADOR!$B$50=Y21,Y21=BUSCADOR!$B$46,Y21=BUSCADOR!$B$2,Y21=BUSCADOR!$B$7,BUSCADOR!$B$109=Y21,X21=BUSCADOR!$A$58,X21=BUSCADOR!$A$59)),"Completar la celda TIPO DE LUGAR",IF(AND(ISBLANK(AE21),OR(AD21=BUSCADOR!$E$149,BUSCADOR!$E$150=AD21,AD21=BUSCADOR!$F$148)),"Completar DETALLE ESTABLECIMIENTO",IF(AND(ISBLANK(AF21),BM21),"Completar la celda MOTIVO QUE ORIGINA EL REGISTRO DEL HECHO",IF(AND(SUM(AG21:AI21)=0,OR(Y21=BUSCADOR!$B$2,BUSCADOR!$B$6=Y21,Y21=BUSCADOR!$B$7,BUSCADOR!$B$8=Y21,Y21=BUSCADOR!$B$9,BUSCADOR!$B$12=Y21,Y21=BUSCADOR!$B$13,BUSCADOR!$B$14=Y21,Y21=BUSCADOR!$B$17,BUSCADOR!$B$18=Y21,Y21=BUSCADOR!$B$20,BUSCADOR!$B$29=Y21,BUSCADOR!$B$34=Y21,BUSCADOR!$B$35=Y21,Y21=BUSCADOR!$B$109,Y21=BUSCADOR!$B$51,BUSCADOR!$B$50=Y21,Y21=BUSCADOR!$B$47,Y21=BUSCADOR!$B$58,Y21=BUSCADOR!$B$21,Y21=BUSCADOR!$B$22,Y21=BUSCADOR!$B$23,Y21=BUSCADOR!$B$24)),"El delito indicado debe presentar un numero de victimas. Completar la celda CANTIDAD DE VICTIMAS",IF(AND(SUM(AJ21:AO21)&gt;0,ISBLANK(AP21)),"Completar celda VULNERABILIDAD DE LA VICTIMA",IF(SUM(AG21:AI21)&lt;&gt;SUM(AJ21:AO21),"Se indico una CANTIDAD DE VICTIMAS SEGUN SEXO diferente a SEGUN GENERO",IF(AND(ISBLANK(AR21),OR(Y21=BUSCADOR!$B$49,BUSCADOR!$B$50=Y21,Y21=BUSCADOR!$B$46,Y21=BUSCADOR!$B$109,BUSCADOR!$B$2=Y21,X21=BUSCADOR!$A$58,X21=BUSCADOR!$A$59)),"Completar la celda TIPO DE ARMA, MODALIDAD O MECANISMO",IF(AND(ISBLANK(AS21),OR(Y21=BUSCADOR!$B$51,BUSCADOR!$B$50=Y21,Y21=BUSCADOR!$B$47,BUSCADOR!$A$58=X21,X21=BUSCADOR!$A$59)),"Completar la celda CONOCIDO, en la seccion de los inculpados",IF(AND(AS21=BUSCADOR!$B$127,OR(Y21=BUSCADOR!$B$51,BUSCADOR!$B$50,Y21,BUSCADOR!$B$46),OR(SUM(AT21:AV21)&lt;&gt;SUM(AW21:AZ21),SUM(AT21:AZ21)=0)),"Revisar las celdas correspondientes a CANTIDAD DE INCULPADOS. Se indica una cantidad diferente segun SEXO y EDAD o no se indico cantidad alguna",IF(AND(ISBLANK(BA21),X21=BUSCADOR!$A$27),"Se indico una persona desaparecida. Completar la casilla APARECIO",IF(AND(ISBLANK(BB21),OR(Y21=BUSCADOR!$B$49,BUSCADOR!$B$50=Y21,Y21=BUSCADOR!$B$46)),"Completar la casilla ELEMENTO SUSTRAIDO",IF(OR(AND(BB21=OTROS[[#Headers],[OTROS]],ISBLANK(BC21)),AND(BB21=ABIGEATO[[#Headers],[ABIGEATO]],ISBLANK(BC21))),"Completar la celda SUBCATEGORIA",IF(AND(OR(BB21=MOTOCICLETA[[#Headers],[MOTOCICLETA]],BB21=AUTOMOTOR[[#Headers],[AUTOMOTOR]]),OR(ISBLANK(BC21),ISBLANK(BD21),ISBLANK(BE21),ISBLANK(BF21))),"Se indico un AUTOMOTOR o MOTOCICLETA en ELEMENTOS SUSTRAIDOS, completar las celdas SUBCATEGORIA, DENOMINACION, AÑO y MODELO", IF(AND(ISBLANK(BB21)&lt;&gt;TRUE,ISBLANK(BJ21)),"Completar MODUS OPERANDI",IF(AND(ISBLANK(BK21),OR(BJ21=BUSCADOR!$H$232,BJ21=BUSCADOR!$I$232)),"Completar ESPECIALIDAD",IF(OR(AND(H21='SAT-Homicidios Dolosos'!$B$5,'SAT-Homicidios Dolosos'!$A$5&lt;&gt;"OK"),AND(H21='SAT-Homicidios Dolosos'!$B$8,'SAT-Homicidios Dolosos'!$A$8&lt;&gt;"OK")),"Se indico un HOMICIDIO, existen CELDAS VACIAS en la hoja SAT-HOMICIDIOS DOLOSOS Completar los datos indicados",IF(OR(AND(H21='SAT-Muertes Viales'!$E$21,'SAT-Muertes Viales'!$A$21&lt;&gt;"OK"),AND(H21='SAT-Muertes Viales'!$E$25,'SAT-Muertes Viales'!$A$25&lt;&gt;"OK"),AND(H21='SAT-Muertes Viales'!$E$29,'SAT-Muertes Viales'!$A$29&lt;&gt;"OK")),"Se indico un HOMICIDIO POR SINIESTRO VIAL, existen CELDAS VACIAS en la hoja SAT-MUERTES VIALES Completar los datos indicados",IF(OR(AND(H21='SAT-Suicidios'!$B$19,'SAT-Suicidios'!$A$19&lt;&gt;"OK"),AND(H21='SAT-Suicidios'!$B$22,'SAT-Suicidios'!$A$22&lt;&gt;"OK"),AND(H21='SAT-Suicidios'!$B$25,'SAT-Suicidios'!$A$25&lt;&gt;"OK")),"Se indico un SUICIDIO, existen CELDAS VACIAS en la hoja SAT-SUICIDIOS Completar los datos indicados",IF(IFERROR(MATCH(X21,BUSCADOR!$A$2:$A$112,0),-1)&lt;0,"No se indico delito",IF(AND(ISBLANK(BL21),OR(X21=BUSCADOR!$A$111,X21=BUSCADOR!$A$110)),"Llenar la casilla DETALLES, COMENTARIOS con una descripcion de la causa",IF(AND(X21="MUERTE DUDOSA",ISBLANK(BL21)=FALSE),"SE INDICO MUERTE DUDOSA, NOS CONTACTAREMOS PARA MAS INFORMACION","FILA CORRECTA"))))))))))))))))))))))))))))))</f>
        <v>No se indico delito</v>
      </c>
      <c r="C21" s="42"/>
      <c r="D21" s="90"/>
      <c r="E21" s="47"/>
      <c r="F21" s="88"/>
      <c r="G21" s="221" t="str">
        <f t="shared" si="9"/>
        <v>Comisaría 15°</v>
      </c>
      <c r="H21" s="46"/>
      <c r="I21" s="52"/>
      <c r="J21" s="27"/>
      <c r="K21" s="27"/>
      <c r="L21" s="27"/>
      <c r="M21" s="27"/>
      <c r="N21" s="92"/>
      <c r="O21" s="55" t="str">
        <f t="shared" si="2"/>
        <v/>
      </c>
      <c r="P21" s="56" t="str">
        <f t="shared" si="8"/>
        <v/>
      </c>
      <c r="Q21" s="52"/>
      <c r="R21" s="46"/>
      <c r="S21" s="62"/>
      <c r="T21" s="57" t="str">
        <f>IFERROR(VLOOKUP(X21,BUSCADOR!$A$2:$E$112,5,FALSE),"")</f>
        <v/>
      </c>
      <c r="U21" s="107" t="str">
        <f t="shared" si="0"/>
        <v/>
      </c>
      <c r="V21" s="28" t="str">
        <f>IFERROR(VLOOKUP(X21,BUSCADOR!$A$2:$E$112,4,FALSE),"")</f>
        <v/>
      </c>
      <c r="W21" s="107" t="str">
        <f t="shared" si="3"/>
        <v/>
      </c>
      <c r="X21" s="27"/>
      <c r="Y21" s="58" t="str">
        <f>IFERROR(VLOOKUP(X21,BUSCADOR!$A$2:$B$112,2,FALSE),"")</f>
        <v/>
      </c>
      <c r="Z21" s="101" t="str">
        <f t="shared" si="4"/>
        <v>__</v>
      </c>
      <c r="AA21" s="103" t="str">
        <f t="shared" si="5"/>
        <v>___</v>
      </c>
      <c r="AB21" s="104" t="str">
        <f t="shared" si="6"/>
        <v>____</v>
      </c>
      <c r="AC21" s="104" t="str">
        <f t="shared" si="6"/>
        <v>_____</v>
      </c>
      <c r="AD21" s="83"/>
      <c r="AE21" s="45"/>
      <c r="AF21" s="66"/>
      <c r="AG21" s="212"/>
      <c r="AH21" s="213"/>
      <c r="AI21" s="214"/>
      <c r="AJ21" s="219"/>
      <c r="AK21" s="213"/>
      <c r="AL21" s="213"/>
      <c r="AM21" s="213"/>
      <c r="AN21" s="213"/>
      <c r="AO21" s="219"/>
      <c r="AP21" s="95"/>
      <c r="AQ21" s="186" t="str">
        <f t="shared" si="1"/>
        <v/>
      </c>
      <c r="AR21" s="66"/>
      <c r="AS21" s="76"/>
      <c r="AT21" s="225"/>
      <c r="AU21" s="213"/>
      <c r="AV21" s="214"/>
      <c r="AW21" s="226"/>
      <c r="AX21" s="213"/>
      <c r="AY21" s="213"/>
      <c r="AZ21" s="227"/>
      <c r="BA21" s="65"/>
      <c r="BB21" s="52"/>
      <c r="BC21" s="27"/>
      <c r="BD21" s="27"/>
      <c r="BE21" s="27"/>
      <c r="BF21" s="79"/>
      <c r="BG21" s="52"/>
      <c r="BH21" s="69"/>
      <c r="BI21" s="188" t="str">
        <f>IF(Y21=BUSCADOR!$B$46,"HURTO_",IF(OR(Y21=BUSCADOR!$B$49,Y21=BUSCADOR!$B$50),"ROBO_",""))</f>
        <v/>
      </c>
      <c r="BJ21" s="50"/>
      <c r="BK21" s="45"/>
      <c r="BL21" s="66"/>
      <c r="BM21" s="1" t="b">
        <f t="shared" si="7"/>
        <v>0</v>
      </c>
    </row>
    <row r="22" spans="1:65" ht="117.6" customHeight="1" x14ac:dyDescent="0.25">
      <c r="A22" s="171">
        <v>20</v>
      </c>
      <c r="B22" s="41" t="str">
        <f>IF(AND(BM22,ISBLANK(C22)),"Completar FECHA DE DENUNCIA",IF(AND(BM22,OR(ISBLANK(D22),ISBLANK(E22),ISBLANK(H22))),"Completar las celdas FECHA, HORA Y PREVENTIVO. En caso de no conocer la fecha u horario colocar INDETERMINADO",IF(AND(BM22,ISBLANK(G22)),"Completar COMISARIA",IF(AND(BM22,OR(ISBLANK(I22),ISBLANK(L22),ISBLANK(M22),O22="")),"Completar las celdas LOCALIDAD, CALLE, ALTURA Y DIRECCION SEGUN  GOOGLE MAPS",IF(AND(ISBLANK(J22),OR(I22=AÑELO[[#Headers],[AÑELO]],CENTENARIO[[#Headers],[CENTENARIO]]='PLANILLA DJ'!I22,CUTRAL_CO[[#Headers],[CUTRAL_CO]],JUNIN_DE_LOS_ANDES[[#Headers],[JUNIN_DE_LOS_ANDES]]='PLANILLA DJ'!I22,'PLANILLA DJ'!I22=NEUQUEN[[#Headers],[NEUQUEN]],PLAZA_HUINCUL[[#Headers],[PLAZA_HUINCUL]]='PLANILLA DJ'!I22,'PLANILLA DJ'!I22=PLOTTIER[[#Headers],[PLOTTIER]])),"COMPLETAR BARRIO",IF(AND(BM22,ISBLANK(Q22)),"Completar Nombre de VICTIMA o DENUNCIANTE",IF(AND(BM22,ISBLANK(R22)),"Completar TIPO DE ACTUACION",IF(AND(R22=BUSCADOR!$B$140,OR(X22&lt;&gt;BUSCADOR!$A$110,ISBLANK(X22))),"Se indico A CONSIDERACION en ACTUACION, indicar en el buscador de delitos A CONSIDERACION tambien",IF(AND(ISBLANK(X22)&lt;&gt;TRUE,IFERROR(MATCH(X22,BUSCADOR!$A$2:$A$112,0),-1)&lt;0),"EN EL BUSCADOR DE DELITOS NO agregar comentarios como SU INVESTIGACION, REPORTE, etc. Limitarse SOLAMENTE a poner A CONSIDERACION u otro valor que coincida en el buscador",IF(AND(ISBLANK(AD22),OR(Y22=BUSCADOR!$B$49,BUSCADOR!$B$50=Y22,Y22=BUSCADOR!$B$46,Y22=BUSCADOR!$B$2,Y22=BUSCADOR!$B$7,BUSCADOR!$B$109=Y22,X22=BUSCADOR!$A$58,X22=BUSCADOR!$A$59)),"Completar la celda TIPO DE LUGAR",IF(AND(ISBLANK(AE22),OR(AD22=BUSCADOR!$E$149,BUSCADOR!$E$150=AD22,AD22=BUSCADOR!$F$148)),"Completar DETALLE ESTABLECIMIENTO",IF(AND(ISBLANK(AF22),BM22),"Completar la celda MOTIVO QUE ORIGINA EL REGISTRO DEL HECHO",IF(AND(SUM(AG22:AI22)=0,OR(Y22=BUSCADOR!$B$2,BUSCADOR!$B$6=Y22,Y22=BUSCADOR!$B$7,BUSCADOR!$B$8=Y22,Y22=BUSCADOR!$B$9,BUSCADOR!$B$12=Y22,Y22=BUSCADOR!$B$13,BUSCADOR!$B$14=Y22,Y22=BUSCADOR!$B$17,BUSCADOR!$B$18=Y22,Y22=BUSCADOR!$B$20,BUSCADOR!$B$29=Y22,BUSCADOR!$B$34=Y22,BUSCADOR!$B$35=Y22,Y22=BUSCADOR!$B$109,Y22=BUSCADOR!$B$51,BUSCADOR!$B$50=Y22,Y22=BUSCADOR!$B$47,Y22=BUSCADOR!$B$58,Y22=BUSCADOR!$B$21,Y22=BUSCADOR!$B$22,Y22=BUSCADOR!$B$23,Y22=BUSCADOR!$B$24)),"El delito indicado debe presentar un numero de victimas. Completar la celda CANTIDAD DE VICTIMAS",IF(AND(SUM(AJ22:AO22)&gt;0,ISBLANK(AP22)),"Completar celda VULNERABILIDAD DE LA VICTIMA",IF(SUM(AG22:AI22)&lt;&gt;SUM(AJ22:AO22),"Se indico una CANTIDAD DE VICTIMAS SEGUN SEXO diferente a SEGUN GENERO",IF(AND(ISBLANK(AR22),OR(Y22=BUSCADOR!$B$49,BUSCADOR!$B$50=Y22,Y22=BUSCADOR!$B$46,Y22=BUSCADOR!$B$109,BUSCADOR!$B$2=Y22,X22=BUSCADOR!$A$58,X22=BUSCADOR!$A$59)),"Completar la celda TIPO DE ARMA, MODALIDAD O MECANISMO",IF(AND(ISBLANK(AS22),OR(Y22=BUSCADOR!$B$51,BUSCADOR!$B$50=Y22,Y22=BUSCADOR!$B$47,BUSCADOR!$A$58=X22,X22=BUSCADOR!$A$59)),"Completar la celda CONOCIDO, en la seccion de los inculpados",IF(AND(AS22=BUSCADOR!$B$127,OR(Y22=BUSCADOR!$B$51,BUSCADOR!$B$50,Y22,BUSCADOR!$B$46),OR(SUM(AT22:AV22)&lt;&gt;SUM(AW22:AZ22),SUM(AT22:AZ22)=0)),"Revisar las celdas correspondientes a CANTIDAD DE INCULPADOS. Se indica una cantidad diferente segun SEXO y EDAD o no se indico cantidad alguna",IF(AND(ISBLANK(BA22),X22=BUSCADOR!$A$27),"Se indico una persona desaparecida. Completar la casilla APARECIO",IF(AND(ISBLANK(BB22),OR(Y22=BUSCADOR!$B$49,BUSCADOR!$B$50=Y22,Y22=BUSCADOR!$B$46)),"Completar la casilla ELEMENTO SUSTRAIDO",IF(OR(AND(BB22=OTROS[[#Headers],[OTROS]],ISBLANK(BC22)),AND(BB22=ABIGEATO[[#Headers],[ABIGEATO]],ISBLANK(BC22))),"Completar la celda SUBCATEGORIA",IF(AND(OR(BB22=MOTOCICLETA[[#Headers],[MOTOCICLETA]],BB22=AUTOMOTOR[[#Headers],[AUTOMOTOR]]),OR(ISBLANK(BC22),ISBLANK(BD22),ISBLANK(BE22),ISBLANK(BF22))),"Se indico un AUTOMOTOR o MOTOCICLETA en ELEMENTOS SUSTRAIDOS, completar las celdas SUBCATEGORIA, DENOMINACION, AÑO y MODELO", IF(AND(ISBLANK(BB22)&lt;&gt;TRUE,ISBLANK(BJ22)),"Completar MODUS OPERANDI",IF(AND(ISBLANK(BK22),OR(BJ22=BUSCADOR!$H$232,BJ22=BUSCADOR!$I$232)),"Completar ESPECIALIDAD",IF(OR(AND(H22='SAT-Homicidios Dolosos'!$B$5,'SAT-Homicidios Dolosos'!$A$5&lt;&gt;"OK"),AND(H22='SAT-Homicidios Dolosos'!$B$8,'SAT-Homicidios Dolosos'!$A$8&lt;&gt;"OK")),"Se indico un HOMICIDIO, existen CELDAS VACIAS en la hoja SAT-HOMICIDIOS DOLOSOS Completar los datos indicados",IF(OR(AND(H22='SAT-Muertes Viales'!$E$21,'SAT-Muertes Viales'!$A$21&lt;&gt;"OK"),AND(H22='SAT-Muertes Viales'!$E$25,'SAT-Muertes Viales'!$A$25&lt;&gt;"OK"),AND(H22='SAT-Muertes Viales'!$E$29,'SAT-Muertes Viales'!$A$29&lt;&gt;"OK")),"Se indico un HOMICIDIO POR SINIESTRO VIAL, existen CELDAS VACIAS en la hoja SAT-MUERTES VIALES Completar los datos indicados",IF(OR(AND(H22='SAT-Suicidios'!$B$19,'SAT-Suicidios'!$A$19&lt;&gt;"OK"),AND(H22='SAT-Suicidios'!$B$22,'SAT-Suicidios'!$A$22&lt;&gt;"OK"),AND(H22='SAT-Suicidios'!$B$25,'SAT-Suicidios'!$A$25&lt;&gt;"OK")),"Se indico un SUICIDIO, existen CELDAS VACIAS en la hoja SAT-SUICIDIOS Completar los datos indicados",IF(IFERROR(MATCH(X22,BUSCADOR!$A$2:$A$112,0),-1)&lt;0,"No se indico delito",IF(AND(ISBLANK(BL22),OR(X22=BUSCADOR!$A$111,X22=BUSCADOR!$A$110)),"Llenar la casilla DETALLES, COMENTARIOS con una descripcion de la causa",IF(AND(X22="MUERTE DUDOSA",ISBLANK(BL22)=FALSE),"SE INDICO MUERTE DUDOSA, NOS CONTACTAREMOS PARA MAS INFORMACION","FILA CORRECTA"))))))))))))))))))))))))))))))</f>
        <v>No se indico delito</v>
      </c>
      <c r="C22" s="42"/>
      <c r="D22" s="90"/>
      <c r="E22" s="47"/>
      <c r="F22" s="88"/>
      <c r="G22" s="221" t="str">
        <f t="shared" si="9"/>
        <v>Comisaría 15°</v>
      </c>
      <c r="H22" s="46"/>
      <c r="I22" s="52"/>
      <c r="J22" s="27"/>
      <c r="K22" s="27"/>
      <c r="L22" s="27"/>
      <c r="M22" s="27"/>
      <c r="N22" s="93"/>
      <c r="O22" s="55" t="str">
        <f t="shared" si="2"/>
        <v/>
      </c>
      <c r="P22" s="56" t="str">
        <f t="shared" si="8"/>
        <v/>
      </c>
      <c r="Q22" s="52"/>
      <c r="R22" s="46"/>
      <c r="S22" s="62"/>
      <c r="T22" s="57" t="str">
        <f>IFERROR(VLOOKUP(X22,BUSCADOR!$A$2:$E$112,5,FALSE),"")</f>
        <v/>
      </c>
      <c r="U22" s="107" t="str">
        <f t="shared" si="0"/>
        <v/>
      </c>
      <c r="V22" s="28" t="str">
        <f>IFERROR(VLOOKUP(X22,BUSCADOR!$A$2:$E$112,4,FALSE),"")</f>
        <v/>
      </c>
      <c r="W22" s="107" t="str">
        <f t="shared" si="3"/>
        <v/>
      </c>
      <c r="X22" s="27"/>
      <c r="Y22" s="58" t="str">
        <f>IFERROR(VLOOKUP(X22,BUSCADOR!$A$2:$B$112,2,FALSE),"")</f>
        <v/>
      </c>
      <c r="Z22" s="101" t="str">
        <f t="shared" si="4"/>
        <v>__</v>
      </c>
      <c r="AA22" s="103" t="str">
        <f t="shared" si="5"/>
        <v>___</v>
      </c>
      <c r="AB22" s="104" t="str">
        <f t="shared" si="6"/>
        <v>____</v>
      </c>
      <c r="AC22" s="104" t="str">
        <f t="shared" si="6"/>
        <v>_____</v>
      </c>
      <c r="AD22" s="83"/>
      <c r="AE22" s="45"/>
      <c r="AF22" s="66"/>
      <c r="AG22" s="212"/>
      <c r="AH22" s="213"/>
      <c r="AI22" s="214"/>
      <c r="AJ22" s="219"/>
      <c r="AK22" s="213"/>
      <c r="AL22" s="213"/>
      <c r="AM22" s="213"/>
      <c r="AN22" s="213"/>
      <c r="AO22" s="219"/>
      <c r="AP22" s="95"/>
      <c r="AQ22" s="186" t="str">
        <f t="shared" si="1"/>
        <v/>
      </c>
      <c r="AR22" s="66"/>
      <c r="AS22" s="76"/>
      <c r="AT22" s="225"/>
      <c r="AU22" s="213"/>
      <c r="AV22" s="214"/>
      <c r="AW22" s="226"/>
      <c r="AX22" s="213"/>
      <c r="AY22" s="213"/>
      <c r="AZ22" s="227"/>
      <c r="BA22" s="65"/>
      <c r="BB22" s="52"/>
      <c r="BC22" s="27"/>
      <c r="BD22" s="27"/>
      <c r="BE22" s="27"/>
      <c r="BF22" s="79"/>
      <c r="BG22" s="52"/>
      <c r="BH22" s="69"/>
      <c r="BI22" s="188" t="str">
        <f>IF(Y22=BUSCADOR!$B$46,"HURTO_",IF(OR(Y22=BUSCADOR!$B$49,Y22=BUSCADOR!$B$50),"ROBO_",""))</f>
        <v/>
      </c>
      <c r="BJ22" s="50"/>
      <c r="BK22" s="45"/>
      <c r="BL22" s="66"/>
      <c r="BM22" s="1" t="b">
        <f t="shared" si="7"/>
        <v>0</v>
      </c>
    </row>
    <row r="23" spans="1:65" ht="117.6" customHeight="1" x14ac:dyDescent="0.25">
      <c r="A23" s="171">
        <v>21</v>
      </c>
      <c r="B23" s="41" t="str">
        <f>IF(AND(BM23,ISBLANK(C23)),"Completar FECHA DE DENUNCIA",IF(AND(BM23,OR(ISBLANK(D23),ISBLANK(E23),ISBLANK(H23))),"Completar las celdas FECHA, HORA Y PREVENTIVO. En caso de no conocer la fecha u horario colocar INDETERMINADO",IF(AND(BM23,ISBLANK(G23)),"Completar COMISARIA",IF(AND(BM23,OR(ISBLANK(I23),ISBLANK(L23),ISBLANK(M23),O23="")),"Completar las celdas LOCALIDAD, CALLE, ALTURA Y DIRECCION SEGUN  GOOGLE MAPS",IF(AND(ISBLANK(J23),OR(I23=AÑELO[[#Headers],[AÑELO]],CENTENARIO[[#Headers],[CENTENARIO]]='PLANILLA DJ'!I23,CUTRAL_CO[[#Headers],[CUTRAL_CO]],JUNIN_DE_LOS_ANDES[[#Headers],[JUNIN_DE_LOS_ANDES]]='PLANILLA DJ'!I23,'PLANILLA DJ'!I23=NEUQUEN[[#Headers],[NEUQUEN]],PLAZA_HUINCUL[[#Headers],[PLAZA_HUINCUL]]='PLANILLA DJ'!I23,'PLANILLA DJ'!I23=PLOTTIER[[#Headers],[PLOTTIER]])),"COMPLETAR BARRIO",IF(AND(BM23,ISBLANK(Q23)),"Completar Nombre de VICTIMA o DENUNCIANTE",IF(AND(BM23,ISBLANK(R23)),"Completar TIPO DE ACTUACION",IF(AND(R23=BUSCADOR!$B$140,OR(X23&lt;&gt;BUSCADOR!$A$110,ISBLANK(X23))),"Se indico A CONSIDERACION en ACTUACION, indicar en el buscador de delitos A CONSIDERACION tambien",IF(AND(ISBLANK(X23)&lt;&gt;TRUE,IFERROR(MATCH(X23,BUSCADOR!$A$2:$A$112,0),-1)&lt;0),"EN EL BUSCADOR DE DELITOS NO agregar comentarios como SU INVESTIGACION, REPORTE, etc. Limitarse SOLAMENTE a poner A CONSIDERACION u otro valor que coincida en el buscador",IF(AND(ISBLANK(AD23),OR(Y23=BUSCADOR!$B$49,BUSCADOR!$B$50=Y23,Y23=BUSCADOR!$B$46,Y23=BUSCADOR!$B$2,Y23=BUSCADOR!$B$7,BUSCADOR!$B$109=Y23,X23=BUSCADOR!$A$58,X23=BUSCADOR!$A$59)),"Completar la celda TIPO DE LUGAR",IF(AND(ISBLANK(AE23),OR(AD23=BUSCADOR!$E$149,BUSCADOR!$E$150=AD23,AD23=BUSCADOR!$F$148)),"Completar DETALLE ESTABLECIMIENTO",IF(AND(ISBLANK(AF23),BM23),"Completar la celda MOTIVO QUE ORIGINA EL REGISTRO DEL HECHO",IF(AND(SUM(AG23:AI23)=0,OR(Y23=BUSCADOR!$B$2,BUSCADOR!$B$6=Y23,Y23=BUSCADOR!$B$7,BUSCADOR!$B$8=Y23,Y23=BUSCADOR!$B$9,BUSCADOR!$B$12=Y23,Y23=BUSCADOR!$B$13,BUSCADOR!$B$14=Y23,Y23=BUSCADOR!$B$17,BUSCADOR!$B$18=Y23,Y23=BUSCADOR!$B$20,BUSCADOR!$B$29=Y23,BUSCADOR!$B$34=Y23,BUSCADOR!$B$35=Y23,Y23=BUSCADOR!$B$109,Y23=BUSCADOR!$B$51,BUSCADOR!$B$50=Y23,Y23=BUSCADOR!$B$47,Y23=BUSCADOR!$B$58,Y23=BUSCADOR!$B$21,Y23=BUSCADOR!$B$22,Y23=BUSCADOR!$B$23,Y23=BUSCADOR!$B$24)),"El delito indicado debe presentar un numero de victimas. Completar la celda CANTIDAD DE VICTIMAS",IF(AND(SUM(AJ23:AO23)&gt;0,ISBLANK(AP23)),"Completar celda VULNERABILIDAD DE LA VICTIMA",IF(SUM(AG23:AI23)&lt;&gt;SUM(AJ23:AO23),"Se indico una CANTIDAD DE VICTIMAS SEGUN SEXO diferente a SEGUN GENERO",IF(AND(ISBLANK(AR23),OR(Y23=BUSCADOR!$B$49,BUSCADOR!$B$50=Y23,Y23=BUSCADOR!$B$46,Y23=BUSCADOR!$B$109,BUSCADOR!$B$2=Y23,X23=BUSCADOR!$A$58,X23=BUSCADOR!$A$59)),"Completar la celda TIPO DE ARMA, MODALIDAD O MECANISMO",IF(AND(ISBLANK(AS23),OR(Y23=BUSCADOR!$B$51,BUSCADOR!$B$50=Y23,Y23=BUSCADOR!$B$47,BUSCADOR!$A$58=X23,X23=BUSCADOR!$A$59)),"Completar la celda CONOCIDO, en la seccion de los inculpados",IF(AND(AS23=BUSCADOR!$B$127,OR(Y23=BUSCADOR!$B$51,BUSCADOR!$B$50,Y23,BUSCADOR!$B$46),OR(SUM(AT23:AV23)&lt;&gt;SUM(AW23:AZ23),SUM(AT23:AZ23)=0)),"Revisar las celdas correspondientes a CANTIDAD DE INCULPADOS. Se indica una cantidad diferente segun SEXO y EDAD o no se indico cantidad alguna",IF(AND(ISBLANK(BA23),X23=BUSCADOR!$A$27),"Se indico una persona desaparecida. Completar la casilla APARECIO",IF(AND(ISBLANK(BB23),OR(Y23=BUSCADOR!$B$49,BUSCADOR!$B$50=Y23,Y23=BUSCADOR!$B$46)),"Completar la casilla ELEMENTO SUSTRAIDO",IF(OR(AND(BB23=OTROS[[#Headers],[OTROS]],ISBLANK(BC23)),AND(BB23=ABIGEATO[[#Headers],[ABIGEATO]],ISBLANK(BC23))),"Completar la celda SUBCATEGORIA",IF(AND(OR(BB23=MOTOCICLETA[[#Headers],[MOTOCICLETA]],BB23=AUTOMOTOR[[#Headers],[AUTOMOTOR]]),OR(ISBLANK(BC23),ISBLANK(BD23),ISBLANK(BE23),ISBLANK(BF23))),"Se indico un AUTOMOTOR o MOTOCICLETA en ELEMENTOS SUSTRAIDOS, completar las celdas SUBCATEGORIA, DENOMINACION, AÑO y MODELO", IF(AND(ISBLANK(BB23)&lt;&gt;TRUE,ISBLANK(BJ23)),"Completar MODUS OPERANDI",IF(AND(ISBLANK(BK23),OR(BJ23=BUSCADOR!$H$232,BJ23=BUSCADOR!$I$232)),"Completar ESPECIALIDAD",IF(OR(AND(H23='SAT-Homicidios Dolosos'!$B$5,'SAT-Homicidios Dolosos'!$A$5&lt;&gt;"OK"),AND(H23='SAT-Homicidios Dolosos'!$B$8,'SAT-Homicidios Dolosos'!$A$8&lt;&gt;"OK")),"Se indico un HOMICIDIO, existen CELDAS VACIAS en la hoja SAT-HOMICIDIOS DOLOSOS Completar los datos indicados",IF(OR(AND(H23='SAT-Muertes Viales'!$E$21,'SAT-Muertes Viales'!$A$21&lt;&gt;"OK"),AND(H23='SAT-Muertes Viales'!$E$25,'SAT-Muertes Viales'!$A$25&lt;&gt;"OK"),AND(H23='SAT-Muertes Viales'!$E$29,'SAT-Muertes Viales'!$A$29&lt;&gt;"OK")),"Se indico un HOMICIDIO POR SINIESTRO VIAL, existen CELDAS VACIAS en la hoja SAT-MUERTES VIALES Completar los datos indicados",IF(OR(AND(H23='SAT-Suicidios'!$B$19,'SAT-Suicidios'!$A$19&lt;&gt;"OK"),AND(H23='SAT-Suicidios'!$B$22,'SAT-Suicidios'!$A$22&lt;&gt;"OK"),AND(H23='SAT-Suicidios'!$B$25,'SAT-Suicidios'!$A$25&lt;&gt;"OK")),"Se indico un SUICIDIO, existen CELDAS VACIAS en la hoja SAT-SUICIDIOS Completar los datos indicados",IF(IFERROR(MATCH(X23,BUSCADOR!$A$2:$A$112,0),-1)&lt;0,"No se indico delito",IF(AND(ISBLANK(BL23),OR(X23=BUSCADOR!$A$111,X23=BUSCADOR!$A$110)),"Llenar la casilla DETALLES, COMENTARIOS con una descripcion de la causa",IF(AND(X23="MUERTE DUDOSA",ISBLANK(BL23)=FALSE),"SE INDICO MUERTE DUDOSA, NOS CONTACTAREMOS PARA MAS INFORMACION","FILA CORRECTA"))))))))))))))))))))))))))))))</f>
        <v>No se indico delito</v>
      </c>
      <c r="C23" s="42"/>
      <c r="D23" s="90"/>
      <c r="E23" s="47"/>
      <c r="F23" s="88"/>
      <c r="G23" s="221" t="str">
        <f t="shared" si="9"/>
        <v>Comisaría 15°</v>
      </c>
      <c r="H23" s="46"/>
      <c r="I23" s="52"/>
      <c r="J23" s="27"/>
      <c r="K23" s="27"/>
      <c r="L23" s="27"/>
      <c r="M23" s="27"/>
      <c r="N23" s="92"/>
      <c r="O23" s="55" t="str">
        <f t="shared" si="2"/>
        <v/>
      </c>
      <c r="P23" s="56" t="str">
        <f t="shared" si="8"/>
        <v/>
      </c>
      <c r="Q23" s="52"/>
      <c r="R23" s="46"/>
      <c r="S23" s="62"/>
      <c r="T23" s="57" t="str">
        <f>IFERROR(VLOOKUP(X23,BUSCADOR!$A$2:$E$112,5,FALSE),"")</f>
        <v/>
      </c>
      <c r="U23" s="107" t="str">
        <f t="shared" si="0"/>
        <v/>
      </c>
      <c r="V23" s="28" t="str">
        <f>IFERROR(VLOOKUP(X23,BUSCADOR!$A$2:$E$112,4,FALSE),"")</f>
        <v/>
      </c>
      <c r="W23" s="107" t="str">
        <f t="shared" si="3"/>
        <v/>
      </c>
      <c r="X23" s="27"/>
      <c r="Y23" s="58" t="str">
        <f>IFERROR(VLOOKUP(X23,BUSCADOR!$A$2:$B$112,2,FALSE),"")</f>
        <v/>
      </c>
      <c r="Z23" s="101" t="str">
        <f t="shared" si="4"/>
        <v>__</v>
      </c>
      <c r="AA23" s="103" t="str">
        <f t="shared" si="5"/>
        <v>___</v>
      </c>
      <c r="AB23" s="104" t="str">
        <f t="shared" si="6"/>
        <v>____</v>
      </c>
      <c r="AC23" s="104" t="str">
        <f t="shared" si="6"/>
        <v>_____</v>
      </c>
      <c r="AD23" s="83"/>
      <c r="AE23" s="45"/>
      <c r="AF23" s="66"/>
      <c r="AG23" s="212"/>
      <c r="AH23" s="213"/>
      <c r="AI23" s="214"/>
      <c r="AJ23" s="219"/>
      <c r="AK23" s="213"/>
      <c r="AL23" s="213"/>
      <c r="AM23" s="213"/>
      <c r="AN23" s="213"/>
      <c r="AO23" s="219"/>
      <c r="AP23" s="95"/>
      <c r="AQ23" s="186" t="str">
        <f t="shared" si="1"/>
        <v/>
      </c>
      <c r="AR23" s="66"/>
      <c r="AS23" s="76"/>
      <c r="AT23" s="225"/>
      <c r="AU23" s="213"/>
      <c r="AV23" s="214"/>
      <c r="AW23" s="226"/>
      <c r="AX23" s="213"/>
      <c r="AY23" s="213"/>
      <c r="AZ23" s="227"/>
      <c r="BA23" s="65"/>
      <c r="BB23" s="52"/>
      <c r="BC23" s="27"/>
      <c r="BD23" s="27"/>
      <c r="BE23" s="27"/>
      <c r="BF23" s="79"/>
      <c r="BG23" s="52"/>
      <c r="BH23" s="69"/>
      <c r="BI23" s="188" t="str">
        <f>IF(Y23=BUSCADOR!$B$46,"HURTO_",IF(OR(Y23=BUSCADOR!$B$49,Y23=BUSCADOR!$B$50),"ROBO_",""))</f>
        <v/>
      </c>
      <c r="BJ23" s="50"/>
      <c r="BK23" s="45"/>
      <c r="BL23" s="66"/>
      <c r="BM23" s="1" t="b">
        <f t="shared" si="7"/>
        <v>0</v>
      </c>
    </row>
    <row r="24" spans="1:65" ht="117.6" customHeight="1" x14ac:dyDescent="0.25">
      <c r="A24" s="171">
        <v>22</v>
      </c>
      <c r="B24" s="41" t="str">
        <f>IF(AND(BM24,ISBLANK(C24)),"Completar FECHA DE DENUNCIA",IF(AND(BM24,OR(ISBLANK(D24),ISBLANK(E24),ISBLANK(H24))),"Completar las celdas FECHA, HORA Y PREVENTIVO. En caso de no conocer la fecha u horario colocar INDETERMINADO",IF(AND(BM24,ISBLANK(G24)),"Completar COMISARIA",IF(AND(BM24,OR(ISBLANK(I24),ISBLANK(L24),ISBLANK(M24),O24="")),"Completar las celdas LOCALIDAD, CALLE, ALTURA Y DIRECCION SEGUN  GOOGLE MAPS",IF(AND(ISBLANK(J24),OR(I24=AÑELO[[#Headers],[AÑELO]],CENTENARIO[[#Headers],[CENTENARIO]]='PLANILLA DJ'!I24,CUTRAL_CO[[#Headers],[CUTRAL_CO]],JUNIN_DE_LOS_ANDES[[#Headers],[JUNIN_DE_LOS_ANDES]]='PLANILLA DJ'!I24,'PLANILLA DJ'!I24=NEUQUEN[[#Headers],[NEUQUEN]],PLAZA_HUINCUL[[#Headers],[PLAZA_HUINCUL]]='PLANILLA DJ'!I24,'PLANILLA DJ'!I24=PLOTTIER[[#Headers],[PLOTTIER]])),"COMPLETAR BARRIO",IF(AND(BM24,ISBLANK(Q24)),"Completar Nombre de VICTIMA o DENUNCIANTE",IF(AND(BM24,ISBLANK(R24)),"Completar TIPO DE ACTUACION",IF(AND(R24=BUSCADOR!$B$140,OR(X24&lt;&gt;BUSCADOR!$A$110,ISBLANK(X24))),"Se indico A CONSIDERACION en ACTUACION, indicar en el buscador de delitos A CONSIDERACION tambien",IF(AND(ISBLANK(X24)&lt;&gt;TRUE,IFERROR(MATCH(X24,BUSCADOR!$A$2:$A$112,0),-1)&lt;0),"EN EL BUSCADOR DE DELITOS NO agregar comentarios como SU INVESTIGACION, REPORTE, etc. Limitarse SOLAMENTE a poner A CONSIDERACION u otro valor que coincida en el buscador",IF(AND(ISBLANK(AD24),OR(Y24=BUSCADOR!$B$49,BUSCADOR!$B$50=Y24,Y24=BUSCADOR!$B$46,Y24=BUSCADOR!$B$2,Y24=BUSCADOR!$B$7,BUSCADOR!$B$109=Y24,X24=BUSCADOR!$A$58,X24=BUSCADOR!$A$59)),"Completar la celda TIPO DE LUGAR",IF(AND(ISBLANK(AE24),OR(AD24=BUSCADOR!$E$149,BUSCADOR!$E$150=AD24,AD24=BUSCADOR!$F$148)),"Completar DETALLE ESTABLECIMIENTO",IF(AND(ISBLANK(AF24),BM24),"Completar la celda MOTIVO QUE ORIGINA EL REGISTRO DEL HECHO",IF(AND(SUM(AG24:AI24)=0,OR(Y24=BUSCADOR!$B$2,BUSCADOR!$B$6=Y24,Y24=BUSCADOR!$B$7,BUSCADOR!$B$8=Y24,Y24=BUSCADOR!$B$9,BUSCADOR!$B$12=Y24,Y24=BUSCADOR!$B$13,BUSCADOR!$B$14=Y24,Y24=BUSCADOR!$B$17,BUSCADOR!$B$18=Y24,Y24=BUSCADOR!$B$20,BUSCADOR!$B$29=Y24,BUSCADOR!$B$34=Y24,BUSCADOR!$B$35=Y24,Y24=BUSCADOR!$B$109,Y24=BUSCADOR!$B$51,BUSCADOR!$B$50=Y24,Y24=BUSCADOR!$B$47,Y24=BUSCADOR!$B$58,Y24=BUSCADOR!$B$21,Y24=BUSCADOR!$B$22,Y24=BUSCADOR!$B$23,Y24=BUSCADOR!$B$24)),"El delito indicado debe presentar un numero de victimas. Completar la celda CANTIDAD DE VICTIMAS",IF(AND(SUM(AJ24:AO24)&gt;0,ISBLANK(AP24)),"Completar celda VULNERABILIDAD DE LA VICTIMA",IF(SUM(AG24:AI24)&lt;&gt;SUM(AJ24:AO24),"Se indico una CANTIDAD DE VICTIMAS SEGUN SEXO diferente a SEGUN GENERO",IF(AND(ISBLANK(AR24),OR(Y24=BUSCADOR!$B$49,BUSCADOR!$B$50=Y24,Y24=BUSCADOR!$B$46,Y24=BUSCADOR!$B$109,BUSCADOR!$B$2=Y24,X24=BUSCADOR!$A$58,X24=BUSCADOR!$A$59)),"Completar la celda TIPO DE ARMA, MODALIDAD O MECANISMO",IF(AND(ISBLANK(AS24),OR(Y24=BUSCADOR!$B$51,BUSCADOR!$B$50=Y24,Y24=BUSCADOR!$B$47,BUSCADOR!$A$58=X24,X24=BUSCADOR!$A$59)),"Completar la celda CONOCIDO, en la seccion de los inculpados",IF(AND(AS24=BUSCADOR!$B$127,OR(Y24=BUSCADOR!$B$51,BUSCADOR!$B$50,Y24,BUSCADOR!$B$46),OR(SUM(AT24:AV24)&lt;&gt;SUM(AW24:AZ24),SUM(AT24:AZ24)=0)),"Revisar las celdas correspondientes a CANTIDAD DE INCULPADOS. Se indica una cantidad diferente segun SEXO y EDAD o no se indico cantidad alguna",IF(AND(ISBLANK(BA24),X24=BUSCADOR!$A$27),"Se indico una persona desaparecida. Completar la casilla APARECIO",IF(AND(ISBLANK(BB24),OR(Y24=BUSCADOR!$B$49,BUSCADOR!$B$50=Y24,Y24=BUSCADOR!$B$46)),"Completar la casilla ELEMENTO SUSTRAIDO",IF(OR(AND(BB24=OTROS[[#Headers],[OTROS]],ISBLANK(BC24)),AND(BB24=ABIGEATO[[#Headers],[ABIGEATO]],ISBLANK(BC24))),"Completar la celda SUBCATEGORIA",IF(AND(OR(BB24=MOTOCICLETA[[#Headers],[MOTOCICLETA]],BB24=AUTOMOTOR[[#Headers],[AUTOMOTOR]]),OR(ISBLANK(BC24),ISBLANK(BD24),ISBLANK(BE24),ISBLANK(BF24))),"Se indico un AUTOMOTOR o MOTOCICLETA en ELEMENTOS SUSTRAIDOS, completar las celdas SUBCATEGORIA, DENOMINACION, AÑO y MODELO", IF(AND(ISBLANK(BB24)&lt;&gt;TRUE,ISBLANK(BJ24)),"Completar MODUS OPERANDI",IF(AND(ISBLANK(BK24),OR(BJ24=BUSCADOR!$H$232,BJ24=BUSCADOR!$I$232)),"Completar ESPECIALIDAD",IF(OR(AND(H24='SAT-Homicidios Dolosos'!$B$5,'SAT-Homicidios Dolosos'!$A$5&lt;&gt;"OK"),AND(H24='SAT-Homicidios Dolosos'!$B$8,'SAT-Homicidios Dolosos'!$A$8&lt;&gt;"OK")),"Se indico un HOMICIDIO, existen CELDAS VACIAS en la hoja SAT-HOMICIDIOS DOLOSOS Completar los datos indicados",IF(OR(AND(H24='SAT-Muertes Viales'!$E$21,'SAT-Muertes Viales'!$A$21&lt;&gt;"OK"),AND(H24='SAT-Muertes Viales'!$E$25,'SAT-Muertes Viales'!$A$25&lt;&gt;"OK"),AND(H24='SAT-Muertes Viales'!$E$29,'SAT-Muertes Viales'!$A$29&lt;&gt;"OK")),"Se indico un HOMICIDIO POR SINIESTRO VIAL, existen CELDAS VACIAS en la hoja SAT-MUERTES VIALES Completar los datos indicados",IF(OR(AND(H24='SAT-Suicidios'!$B$19,'SAT-Suicidios'!$A$19&lt;&gt;"OK"),AND(H24='SAT-Suicidios'!$B$22,'SAT-Suicidios'!$A$22&lt;&gt;"OK"),AND(H24='SAT-Suicidios'!$B$25,'SAT-Suicidios'!$A$25&lt;&gt;"OK")),"Se indico un SUICIDIO, existen CELDAS VACIAS en la hoja SAT-SUICIDIOS Completar los datos indicados",IF(IFERROR(MATCH(X24,BUSCADOR!$A$2:$A$112,0),-1)&lt;0,"No se indico delito",IF(AND(ISBLANK(BL24),OR(X24=BUSCADOR!$A$111,X24=BUSCADOR!$A$110)),"Llenar la casilla DETALLES, COMENTARIOS con una descripcion de la causa",IF(AND(X24="MUERTE DUDOSA",ISBLANK(BL24)=FALSE),"SE INDICO MUERTE DUDOSA, NOS CONTACTAREMOS PARA MAS INFORMACION","FILA CORRECTA"))))))))))))))))))))))))))))))</f>
        <v>No se indico delito</v>
      </c>
      <c r="C24" s="42"/>
      <c r="D24" s="90"/>
      <c r="E24" s="47"/>
      <c r="F24" s="88"/>
      <c r="G24" s="221" t="str">
        <f t="shared" si="9"/>
        <v>Comisaría 15°</v>
      </c>
      <c r="H24" s="46"/>
      <c r="I24" s="52"/>
      <c r="J24" s="27"/>
      <c r="K24" s="29"/>
      <c r="L24" s="29"/>
      <c r="M24" s="29"/>
      <c r="N24" s="94"/>
      <c r="O24" s="55" t="str">
        <f t="shared" si="2"/>
        <v/>
      </c>
      <c r="P24" s="56" t="str">
        <f t="shared" si="8"/>
        <v/>
      </c>
      <c r="Q24" s="52"/>
      <c r="R24" s="46"/>
      <c r="S24" s="62"/>
      <c r="T24" s="57" t="str">
        <f>IFERROR(VLOOKUP(X24,BUSCADOR!$A$2:$E$112,5,FALSE),"")</f>
        <v/>
      </c>
      <c r="U24" s="107" t="str">
        <f t="shared" si="0"/>
        <v/>
      </c>
      <c r="V24" s="28" t="str">
        <f>IFERROR(VLOOKUP(X24,BUSCADOR!$A$2:$E$112,4,FALSE),"")</f>
        <v/>
      </c>
      <c r="W24" s="107" t="str">
        <f t="shared" si="3"/>
        <v/>
      </c>
      <c r="X24" s="27"/>
      <c r="Y24" s="58" t="str">
        <f>IFERROR(VLOOKUP(X24,BUSCADOR!$A$2:$B$112,2,FALSE),"")</f>
        <v/>
      </c>
      <c r="Z24" s="101" t="str">
        <f t="shared" si="4"/>
        <v>__</v>
      </c>
      <c r="AA24" s="103" t="str">
        <f t="shared" si="5"/>
        <v>___</v>
      </c>
      <c r="AB24" s="104" t="str">
        <f t="shared" si="6"/>
        <v>____</v>
      </c>
      <c r="AC24" s="104" t="str">
        <f t="shared" si="6"/>
        <v>_____</v>
      </c>
      <c r="AD24" s="83"/>
      <c r="AE24" s="45"/>
      <c r="AF24" s="66"/>
      <c r="AG24" s="212"/>
      <c r="AH24" s="213"/>
      <c r="AI24" s="214"/>
      <c r="AJ24" s="219"/>
      <c r="AK24" s="213"/>
      <c r="AL24" s="213"/>
      <c r="AM24" s="213"/>
      <c r="AN24" s="213"/>
      <c r="AO24" s="219"/>
      <c r="AP24" s="95"/>
      <c r="AQ24" s="186" t="str">
        <f t="shared" si="1"/>
        <v/>
      </c>
      <c r="AR24" s="66"/>
      <c r="AS24" s="76"/>
      <c r="AT24" s="225"/>
      <c r="AU24" s="213"/>
      <c r="AV24" s="214"/>
      <c r="AW24" s="226"/>
      <c r="AX24" s="213"/>
      <c r="AY24" s="213"/>
      <c r="AZ24" s="227"/>
      <c r="BA24" s="65"/>
      <c r="BB24" s="52"/>
      <c r="BC24" s="27"/>
      <c r="BD24" s="27"/>
      <c r="BE24" s="27"/>
      <c r="BF24" s="79"/>
      <c r="BG24" s="52"/>
      <c r="BH24" s="69"/>
      <c r="BI24" s="188" t="str">
        <f>IF(Y24=BUSCADOR!$B$46,"HURTO_",IF(OR(Y24=BUSCADOR!$B$49,Y24=BUSCADOR!$B$50),"ROBO_",""))</f>
        <v/>
      </c>
      <c r="BJ24" s="50"/>
      <c r="BK24" s="45"/>
      <c r="BL24" s="66"/>
      <c r="BM24" s="1" t="b">
        <f t="shared" si="7"/>
        <v>0</v>
      </c>
    </row>
    <row r="25" spans="1:65" ht="117.6" customHeight="1" x14ac:dyDescent="0.25">
      <c r="A25" s="171">
        <v>23</v>
      </c>
      <c r="B25" s="41" t="str">
        <f>IF(AND(BM25,ISBLANK(C25)),"Completar FECHA DE DENUNCIA",IF(AND(BM25,OR(ISBLANK(D25),ISBLANK(E25),ISBLANK(H25))),"Completar las celdas FECHA, HORA Y PREVENTIVO. En caso de no conocer la fecha u horario colocar INDETERMINADO",IF(AND(BM25,ISBLANK(G25)),"Completar COMISARIA",IF(AND(BM25,OR(ISBLANK(I25),ISBLANK(L25),ISBLANK(M25),O25="")),"Completar las celdas LOCALIDAD, CALLE, ALTURA Y DIRECCION SEGUN  GOOGLE MAPS",IF(AND(ISBLANK(J25),OR(I25=AÑELO[[#Headers],[AÑELO]],CENTENARIO[[#Headers],[CENTENARIO]]='PLANILLA DJ'!I25,CUTRAL_CO[[#Headers],[CUTRAL_CO]],JUNIN_DE_LOS_ANDES[[#Headers],[JUNIN_DE_LOS_ANDES]]='PLANILLA DJ'!I25,'PLANILLA DJ'!I25=NEUQUEN[[#Headers],[NEUQUEN]],PLAZA_HUINCUL[[#Headers],[PLAZA_HUINCUL]]='PLANILLA DJ'!I25,'PLANILLA DJ'!I25=PLOTTIER[[#Headers],[PLOTTIER]])),"COMPLETAR BARRIO",IF(AND(BM25,ISBLANK(Q25)),"Completar Nombre de VICTIMA o DENUNCIANTE",IF(AND(BM25,ISBLANK(R25)),"Completar TIPO DE ACTUACION",IF(AND(R25=BUSCADOR!$B$140,OR(X25&lt;&gt;BUSCADOR!$A$110,ISBLANK(X25))),"Se indico A CONSIDERACION en ACTUACION, indicar en el buscador de delitos A CONSIDERACION tambien",IF(AND(ISBLANK(X25)&lt;&gt;TRUE,IFERROR(MATCH(X25,BUSCADOR!$A$2:$A$112,0),-1)&lt;0),"EN EL BUSCADOR DE DELITOS NO agregar comentarios como SU INVESTIGACION, REPORTE, etc. Limitarse SOLAMENTE a poner A CONSIDERACION u otro valor que coincida en el buscador",IF(AND(ISBLANK(AD25),OR(Y25=BUSCADOR!$B$49,BUSCADOR!$B$50=Y25,Y25=BUSCADOR!$B$46,Y25=BUSCADOR!$B$2,Y25=BUSCADOR!$B$7,BUSCADOR!$B$109=Y25,X25=BUSCADOR!$A$58,X25=BUSCADOR!$A$59)),"Completar la celda TIPO DE LUGAR",IF(AND(ISBLANK(AE25),OR(AD25=BUSCADOR!$E$149,BUSCADOR!$E$150=AD25,AD25=BUSCADOR!$F$148)),"Completar DETALLE ESTABLECIMIENTO",IF(AND(ISBLANK(AF25),BM25),"Completar la celda MOTIVO QUE ORIGINA EL REGISTRO DEL HECHO",IF(AND(SUM(AG25:AI25)=0,OR(Y25=BUSCADOR!$B$2,BUSCADOR!$B$6=Y25,Y25=BUSCADOR!$B$7,BUSCADOR!$B$8=Y25,Y25=BUSCADOR!$B$9,BUSCADOR!$B$12=Y25,Y25=BUSCADOR!$B$13,BUSCADOR!$B$14=Y25,Y25=BUSCADOR!$B$17,BUSCADOR!$B$18=Y25,Y25=BUSCADOR!$B$20,BUSCADOR!$B$29=Y25,BUSCADOR!$B$34=Y25,BUSCADOR!$B$35=Y25,Y25=BUSCADOR!$B$109,Y25=BUSCADOR!$B$51,BUSCADOR!$B$50=Y25,Y25=BUSCADOR!$B$47,Y25=BUSCADOR!$B$58,Y25=BUSCADOR!$B$21,Y25=BUSCADOR!$B$22,Y25=BUSCADOR!$B$23,Y25=BUSCADOR!$B$24)),"El delito indicado debe presentar un numero de victimas. Completar la celda CANTIDAD DE VICTIMAS",IF(AND(SUM(AJ25:AO25)&gt;0,ISBLANK(AP25)),"Completar celda VULNERABILIDAD DE LA VICTIMA",IF(SUM(AG25:AI25)&lt;&gt;SUM(AJ25:AO25),"Se indico una CANTIDAD DE VICTIMAS SEGUN SEXO diferente a SEGUN GENERO",IF(AND(ISBLANK(AR25),OR(Y25=BUSCADOR!$B$49,BUSCADOR!$B$50=Y25,Y25=BUSCADOR!$B$46,Y25=BUSCADOR!$B$109,BUSCADOR!$B$2=Y25,X25=BUSCADOR!$A$58,X25=BUSCADOR!$A$59)),"Completar la celda TIPO DE ARMA, MODALIDAD O MECANISMO",IF(AND(ISBLANK(AS25),OR(Y25=BUSCADOR!$B$51,BUSCADOR!$B$50=Y25,Y25=BUSCADOR!$B$47,BUSCADOR!$A$58=X25,X25=BUSCADOR!$A$59)),"Completar la celda CONOCIDO, en la seccion de los inculpados",IF(AND(AS25=BUSCADOR!$B$127,OR(Y25=BUSCADOR!$B$51,BUSCADOR!$B$50,Y25,BUSCADOR!$B$46),OR(SUM(AT25:AV25)&lt;&gt;SUM(AW25:AZ25),SUM(AT25:AZ25)=0)),"Revisar las celdas correspondientes a CANTIDAD DE INCULPADOS. Se indica una cantidad diferente segun SEXO y EDAD o no se indico cantidad alguna",IF(AND(ISBLANK(BA25),X25=BUSCADOR!$A$27),"Se indico una persona desaparecida. Completar la casilla APARECIO",IF(AND(ISBLANK(BB25),OR(Y25=BUSCADOR!$B$49,BUSCADOR!$B$50=Y25,Y25=BUSCADOR!$B$46)),"Completar la casilla ELEMENTO SUSTRAIDO",IF(OR(AND(BB25=OTROS[[#Headers],[OTROS]],ISBLANK(BC25)),AND(BB25=ABIGEATO[[#Headers],[ABIGEATO]],ISBLANK(BC25))),"Completar la celda SUBCATEGORIA",IF(AND(OR(BB25=MOTOCICLETA[[#Headers],[MOTOCICLETA]],BB25=AUTOMOTOR[[#Headers],[AUTOMOTOR]]),OR(ISBLANK(BC25),ISBLANK(BD25),ISBLANK(BE25),ISBLANK(BF25))),"Se indico un AUTOMOTOR o MOTOCICLETA en ELEMENTOS SUSTRAIDOS, completar las celdas SUBCATEGORIA, DENOMINACION, AÑO y MODELO", IF(AND(ISBLANK(BB25)&lt;&gt;TRUE,ISBLANK(BJ25)),"Completar MODUS OPERANDI",IF(AND(ISBLANK(BK25),OR(BJ25=BUSCADOR!$H$232,BJ25=BUSCADOR!$I$232)),"Completar ESPECIALIDAD",IF(OR(AND(H25='SAT-Homicidios Dolosos'!$B$5,'SAT-Homicidios Dolosos'!$A$5&lt;&gt;"OK"),AND(H25='SAT-Homicidios Dolosos'!$B$8,'SAT-Homicidios Dolosos'!$A$8&lt;&gt;"OK")),"Se indico un HOMICIDIO, existen CELDAS VACIAS en la hoja SAT-HOMICIDIOS DOLOSOS Completar los datos indicados",IF(OR(AND(H25='SAT-Muertes Viales'!$E$21,'SAT-Muertes Viales'!$A$21&lt;&gt;"OK"),AND(H25='SAT-Muertes Viales'!$E$25,'SAT-Muertes Viales'!$A$25&lt;&gt;"OK"),AND(H25='SAT-Muertes Viales'!$E$29,'SAT-Muertes Viales'!$A$29&lt;&gt;"OK")),"Se indico un HOMICIDIO POR SINIESTRO VIAL, existen CELDAS VACIAS en la hoja SAT-MUERTES VIALES Completar los datos indicados",IF(OR(AND(H25='SAT-Suicidios'!$B$19,'SAT-Suicidios'!$A$19&lt;&gt;"OK"),AND(H25='SAT-Suicidios'!$B$22,'SAT-Suicidios'!$A$22&lt;&gt;"OK"),AND(H25='SAT-Suicidios'!$B$25,'SAT-Suicidios'!$A$25&lt;&gt;"OK")),"Se indico un SUICIDIO, existen CELDAS VACIAS en la hoja SAT-SUICIDIOS Completar los datos indicados",IF(IFERROR(MATCH(X25,BUSCADOR!$A$2:$A$112,0),-1)&lt;0,"No se indico delito",IF(AND(ISBLANK(BL25),OR(X25=BUSCADOR!$A$111,X25=BUSCADOR!$A$110)),"Llenar la casilla DETALLES, COMENTARIOS con una descripcion de la causa",IF(AND(X25="MUERTE DUDOSA",ISBLANK(BL25)=FALSE),"SE INDICO MUERTE DUDOSA, NOS CONTACTAREMOS PARA MAS INFORMACION","FILA CORRECTA"))))))))))))))))))))))))))))))</f>
        <v>No se indico delito</v>
      </c>
      <c r="C25" s="42"/>
      <c r="D25" s="90"/>
      <c r="E25" s="47"/>
      <c r="F25" s="88"/>
      <c r="G25" s="221" t="str">
        <f t="shared" si="9"/>
        <v>Comisaría 15°</v>
      </c>
      <c r="H25" s="46"/>
      <c r="I25" s="52"/>
      <c r="J25" s="27"/>
      <c r="K25" s="27"/>
      <c r="L25" s="27"/>
      <c r="M25" s="27"/>
      <c r="N25" s="92"/>
      <c r="O25" s="55" t="str">
        <f t="shared" si="2"/>
        <v/>
      </c>
      <c r="P25" s="56" t="str">
        <f t="shared" si="8"/>
        <v/>
      </c>
      <c r="Q25" s="52"/>
      <c r="R25" s="46"/>
      <c r="S25" s="62"/>
      <c r="T25" s="57" t="str">
        <f>IFERROR(VLOOKUP(X25,BUSCADOR!$A$2:$E$112,5,FALSE),"")</f>
        <v/>
      </c>
      <c r="U25" s="107" t="str">
        <f t="shared" si="0"/>
        <v/>
      </c>
      <c r="V25" s="28" t="str">
        <f>IFERROR(VLOOKUP(X25,BUSCADOR!$A$2:$E$112,4,FALSE),"")</f>
        <v/>
      </c>
      <c r="W25" s="107" t="str">
        <f t="shared" si="3"/>
        <v/>
      </c>
      <c r="X25" s="27"/>
      <c r="Y25" s="58" t="str">
        <f>IFERROR(VLOOKUP(X25,BUSCADOR!$A$2:$B$112,2,FALSE),"")</f>
        <v/>
      </c>
      <c r="Z25" s="101" t="str">
        <f t="shared" si="4"/>
        <v>__</v>
      </c>
      <c r="AA25" s="103" t="str">
        <f t="shared" si="5"/>
        <v>___</v>
      </c>
      <c r="AB25" s="104" t="str">
        <f t="shared" si="6"/>
        <v>____</v>
      </c>
      <c r="AC25" s="104" t="str">
        <f t="shared" si="6"/>
        <v>_____</v>
      </c>
      <c r="AD25" s="83"/>
      <c r="AE25" s="45"/>
      <c r="AF25" s="66"/>
      <c r="AG25" s="212"/>
      <c r="AH25" s="213"/>
      <c r="AI25" s="214"/>
      <c r="AJ25" s="219"/>
      <c r="AK25" s="213"/>
      <c r="AL25" s="213"/>
      <c r="AM25" s="213"/>
      <c r="AN25" s="213"/>
      <c r="AO25" s="219"/>
      <c r="AP25" s="95"/>
      <c r="AQ25" s="186" t="str">
        <f t="shared" si="1"/>
        <v/>
      </c>
      <c r="AR25" s="66"/>
      <c r="AS25" s="76"/>
      <c r="AT25" s="225"/>
      <c r="AU25" s="213"/>
      <c r="AV25" s="214"/>
      <c r="AW25" s="226"/>
      <c r="AX25" s="213"/>
      <c r="AY25" s="213"/>
      <c r="AZ25" s="227"/>
      <c r="BA25" s="65"/>
      <c r="BB25" s="52"/>
      <c r="BC25" s="27"/>
      <c r="BD25" s="27"/>
      <c r="BE25" s="27"/>
      <c r="BF25" s="79"/>
      <c r="BG25" s="52"/>
      <c r="BH25" s="69"/>
      <c r="BI25" s="188" t="str">
        <f>IF(Y25=BUSCADOR!$B$46,"HURTO_",IF(OR(Y25=BUSCADOR!$B$49,Y25=BUSCADOR!$B$50),"ROBO_",""))</f>
        <v/>
      </c>
      <c r="BJ25" s="50"/>
      <c r="BK25" s="45"/>
      <c r="BL25" s="66"/>
      <c r="BM25" s="1" t="b">
        <f t="shared" si="7"/>
        <v>0</v>
      </c>
    </row>
    <row r="26" spans="1:65" ht="117.6" customHeight="1" x14ac:dyDescent="0.25">
      <c r="A26" s="171">
        <v>24</v>
      </c>
      <c r="B26" s="41" t="str">
        <f>IF(AND(BM26,ISBLANK(C26)),"Completar FECHA DE DENUNCIA",IF(AND(BM26,OR(ISBLANK(D26),ISBLANK(E26),ISBLANK(H26))),"Completar las celdas FECHA, HORA Y PREVENTIVO. En caso de no conocer la fecha u horario colocar INDETERMINADO",IF(AND(BM26,ISBLANK(G26)),"Completar COMISARIA",IF(AND(BM26,OR(ISBLANK(I26),ISBLANK(L26),ISBLANK(M26),O26="")),"Completar las celdas LOCALIDAD, CALLE, ALTURA Y DIRECCION SEGUN  GOOGLE MAPS",IF(AND(ISBLANK(J26),OR(I26=AÑELO[[#Headers],[AÑELO]],CENTENARIO[[#Headers],[CENTENARIO]]='PLANILLA DJ'!I26,CUTRAL_CO[[#Headers],[CUTRAL_CO]],JUNIN_DE_LOS_ANDES[[#Headers],[JUNIN_DE_LOS_ANDES]]='PLANILLA DJ'!I26,'PLANILLA DJ'!I26=NEUQUEN[[#Headers],[NEUQUEN]],PLAZA_HUINCUL[[#Headers],[PLAZA_HUINCUL]]='PLANILLA DJ'!I26,'PLANILLA DJ'!I26=PLOTTIER[[#Headers],[PLOTTIER]])),"COMPLETAR BARRIO",IF(AND(BM26,ISBLANK(Q26)),"Completar Nombre de VICTIMA o DENUNCIANTE",IF(AND(BM26,ISBLANK(R26)),"Completar TIPO DE ACTUACION",IF(AND(R26=BUSCADOR!$B$140,OR(X26&lt;&gt;BUSCADOR!$A$110,ISBLANK(X26))),"Se indico A CONSIDERACION en ACTUACION, indicar en el buscador de delitos A CONSIDERACION tambien",IF(AND(ISBLANK(X26)&lt;&gt;TRUE,IFERROR(MATCH(X26,BUSCADOR!$A$2:$A$112,0),-1)&lt;0),"EN EL BUSCADOR DE DELITOS NO agregar comentarios como SU INVESTIGACION, REPORTE, etc. Limitarse SOLAMENTE a poner A CONSIDERACION u otro valor que coincida en el buscador",IF(AND(ISBLANK(AD26),OR(Y26=BUSCADOR!$B$49,BUSCADOR!$B$50=Y26,Y26=BUSCADOR!$B$46,Y26=BUSCADOR!$B$2,Y26=BUSCADOR!$B$7,BUSCADOR!$B$109=Y26,X26=BUSCADOR!$A$58,X26=BUSCADOR!$A$59)),"Completar la celda TIPO DE LUGAR",IF(AND(ISBLANK(AE26),OR(AD26=BUSCADOR!$E$149,BUSCADOR!$E$150=AD26,AD26=BUSCADOR!$F$148)),"Completar DETALLE ESTABLECIMIENTO",IF(AND(ISBLANK(AF26),BM26),"Completar la celda MOTIVO QUE ORIGINA EL REGISTRO DEL HECHO",IF(AND(SUM(AG26:AI26)=0,OR(Y26=BUSCADOR!$B$2,BUSCADOR!$B$6=Y26,Y26=BUSCADOR!$B$7,BUSCADOR!$B$8=Y26,Y26=BUSCADOR!$B$9,BUSCADOR!$B$12=Y26,Y26=BUSCADOR!$B$13,BUSCADOR!$B$14=Y26,Y26=BUSCADOR!$B$17,BUSCADOR!$B$18=Y26,Y26=BUSCADOR!$B$20,BUSCADOR!$B$29=Y26,BUSCADOR!$B$34=Y26,BUSCADOR!$B$35=Y26,Y26=BUSCADOR!$B$109,Y26=BUSCADOR!$B$51,BUSCADOR!$B$50=Y26,Y26=BUSCADOR!$B$47,Y26=BUSCADOR!$B$58,Y26=BUSCADOR!$B$21,Y26=BUSCADOR!$B$22,Y26=BUSCADOR!$B$23,Y26=BUSCADOR!$B$24)),"El delito indicado debe presentar un numero de victimas. Completar la celda CANTIDAD DE VICTIMAS",IF(AND(SUM(AJ26:AO26)&gt;0,ISBLANK(AP26)),"Completar celda VULNERABILIDAD DE LA VICTIMA",IF(SUM(AG26:AI26)&lt;&gt;SUM(AJ26:AO26),"Se indico una CANTIDAD DE VICTIMAS SEGUN SEXO diferente a SEGUN GENERO",IF(AND(ISBLANK(AR26),OR(Y26=BUSCADOR!$B$49,BUSCADOR!$B$50=Y26,Y26=BUSCADOR!$B$46,Y26=BUSCADOR!$B$109,BUSCADOR!$B$2=Y26,X26=BUSCADOR!$A$58,X26=BUSCADOR!$A$59)),"Completar la celda TIPO DE ARMA, MODALIDAD O MECANISMO",IF(AND(ISBLANK(AS26),OR(Y26=BUSCADOR!$B$51,BUSCADOR!$B$50=Y26,Y26=BUSCADOR!$B$47,BUSCADOR!$A$58=X26,X26=BUSCADOR!$A$59)),"Completar la celda CONOCIDO, en la seccion de los inculpados",IF(AND(AS26=BUSCADOR!$B$127,OR(Y26=BUSCADOR!$B$51,BUSCADOR!$B$50,Y26,BUSCADOR!$B$46),OR(SUM(AT26:AV26)&lt;&gt;SUM(AW26:AZ26),SUM(AT26:AZ26)=0)),"Revisar las celdas correspondientes a CANTIDAD DE INCULPADOS. Se indica una cantidad diferente segun SEXO y EDAD o no se indico cantidad alguna",IF(AND(ISBLANK(BA26),X26=BUSCADOR!$A$27),"Se indico una persona desaparecida. Completar la casilla APARECIO",IF(AND(ISBLANK(BB26),OR(Y26=BUSCADOR!$B$49,BUSCADOR!$B$50=Y26,Y26=BUSCADOR!$B$46)),"Completar la casilla ELEMENTO SUSTRAIDO",IF(OR(AND(BB26=OTROS[[#Headers],[OTROS]],ISBLANK(BC26)),AND(BB26=ABIGEATO[[#Headers],[ABIGEATO]],ISBLANK(BC26))),"Completar la celda SUBCATEGORIA",IF(AND(OR(BB26=MOTOCICLETA[[#Headers],[MOTOCICLETA]],BB26=AUTOMOTOR[[#Headers],[AUTOMOTOR]]),OR(ISBLANK(BC26),ISBLANK(BD26),ISBLANK(BE26),ISBLANK(BF26))),"Se indico un AUTOMOTOR o MOTOCICLETA en ELEMENTOS SUSTRAIDOS, completar las celdas SUBCATEGORIA, DENOMINACION, AÑO y MODELO", IF(AND(ISBLANK(BB26)&lt;&gt;TRUE,ISBLANK(BJ26)),"Completar MODUS OPERANDI",IF(AND(ISBLANK(BK26),OR(BJ26=BUSCADOR!$H$232,BJ26=BUSCADOR!$I$232)),"Completar ESPECIALIDAD",IF(OR(AND(H26='SAT-Homicidios Dolosos'!$B$5,'SAT-Homicidios Dolosos'!$A$5&lt;&gt;"OK"),AND(H26='SAT-Homicidios Dolosos'!$B$8,'SAT-Homicidios Dolosos'!$A$8&lt;&gt;"OK")),"Se indico un HOMICIDIO, existen CELDAS VACIAS en la hoja SAT-HOMICIDIOS DOLOSOS Completar los datos indicados",IF(OR(AND(H26='SAT-Muertes Viales'!$E$21,'SAT-Muertes Viales'!$A$21&lt;&gt;"OK"),AND(H26='SAT-Muertes Viales'!$E$25,'SAT-Muertes Viales'!$A$25&lt;&gt;"OK"),AND(H26='SAT-Muertes Viales'!$E$29,'SAT-Muertes Viales'!$A$29&lt;&gt;"OK")),"Se indico un HOMICIDIO POR SINIESTRO VIAL, existen CELDAS VACIAS en la hoja SAT-MUERTES VIALES Completar los datos indicados",IF(OR(AND(H26='SAT-Suicidios'!$B$19,'SAT-Suicidios'!$A$19&lt;&gt;"OK"),AND(H26='SAT-Suicidios'!$B$22,'SAT-Suicidios'!$A$22&lt;&gt;"OK"),AND(H26='SAT-Suicidios'!$B$25,'SAT-Suicidios'!$A$25&lt;&gt;"OK")),"Se indico un SUICIDIO, existen CELDAS VACIAS en la hoja SAT-SUICIDIOS Completar los datos indicados",IF(IFERROR(MATCH(X26,BUSCADOR!$A$2:$A$112,0),-1)&lt;0,"No se indico delito",IF(AND(ISBLANK(BL26),OR(X26=BUSCADOR!$A$111,X26=BUSCADOR!$A$110)),"Llenar la casilla DETALLES, COMENTARIOS con una descripcion de la causa",IF(AND(X26="MUERTE DUDOSA",ISBLANK(BL26)=FALSE),"SE INDICO MUERTE DUDOSA, NOS CONTACTAREMOS PARA MAS INFORMACION","FILA CORRECTA"))))))))))))))))))))))))))))))</f>
        <v>No se indico delito</v>
      </c>
      <c r="C26" s="42"/>
      <c r="D26" s="90"/>
      <c r="E26" s="47"/>
      <c r="F26" s="88"/>
      <c r="G26" s="221" t="str">
        <f t="shared" si="9"/>
        <v>Comisaría 15°</v>
      </c>
      <c r="H26" s="46"/>
      <c r="I26" s="52"/>
      <c r="J26" s="27"/>
      <c r="K26" s="29"/>
      <c r="L26" s="29"/>
      <c r="M26" s="29"/>
      <c r="N26" s="92"/>
      <c r="O26" s="55" t="str">
        <f t="shared" ref="O26:O89" si="10">IFERROR(IFERROR(IF(ABS(MID(N26,FIND("!3d-",N26)+3,(FIND("!4d-",N26)-FIND("!3d-",N26))-3)-IFERROR(MID(N26,FIND("@",N26)+1,(FIND(",",N26,FIND("@",N26))-FIND("@",N26))-1),""))&lt;0.0003,MID(N26,FIND("!3d-",N26)+3,(FIND("!4d-",N26)-FIND("!3d-",N26))-3),IFERROR(MID(N26,FIND("@",N26)+1,FIND(",",N26,FIND("@",N26))-FIND("@",N26)-1),"")),MID(N26,FIND("@",N26)+1,(FIND(",",N26,FIND("@",N26))-FIND("@",N26))-1)),"")</f>
        <v/>
      </c>
      <c r="P26" s="56" t="str">
        <f t="shared" ref="P26:P89" si="11">IFERROR(IFERROR(IFERROR(IF(ABS(MID(N26,FIND("!4d-",N26)+3,FIND(",",N26,FIND(",",N26,FIND("@",N26))+1)-FIND(",",N26,FIND("@",N26))-1)-MID(N26,FIND(",",N26,FIND("@",N26))+1,FIND(",",N26,FIND(",",N26,FIND("@",N26))+1)-FIND(",",N26,FIND("@",N26))-1))&lt;0.0003,MID(N26,FIND("!4d-",N26)+3,FIND(",",N26,FIND(",",N26,FIND("@",N26))+1)-FIND(",",N26,FIND("@",N26))-1),MID(N26,FIND(",",N26,FIND("@",N26))+1,FIND(",",N26,FIND(",",N26,FIND("@",N26))+1)-FIND(",",N26,FIND("@",N26))-1)),MID(N26,FIND(",",N26,FIND("@",N26))+1,FIND(",",N26,FIND(",",N26,FIND("@",N26))+1)-FIND(",",N26,FIND("@",N26))-1)),MID(N26,FIND(",",N26,FIND("@",N26))+1,10)),"")</f>
        <v/>
      </c>
      <c r="Q26" s="52"/>
      <c r="R26" s="46"/>
      <c r="S26" s="62"/>
      <c r="T26" s="57" t="str">
        <f>IFERROR(VLOOKUP(X26,BUSCADOR!$A$2:$E$112,5,FALSE),"")</f>
        <v/>
      </c>
      <c r="U26" s="107" t="str">
        <f t="shared" si="0"/>
        <v/>
      </c>
      <c r="V26" s="28" t="str">
        <f>IFERROR(VLOOKUP(X26,BUSCADOR!$A$2:$E$112,4,FALSE),"")</f>
        <v/>
      </c>
      <c r="W26" s="107" t="str">
        <f t="shared" si="3"/>
        <v/>
      </c>
      <c r="X26" s="27"/>
      <c r="Y26" s="58" t="str">
        <f>IFERROR(VLOOKUP(X26,BUSCADOR!$A$2:$B$112,2,FALSE),"")</f>
        <v/>
      </c>
      <c r="Z26" s="101" t="str">
        <f t="shared" si="4"/>
        <v>__</v>
      </c>
      <c r="AA26" s="103" t="str">
        <f t="shared" si="5"/>
        <v>___</v>
      </c>
      <c r="AB26" s="104" t="str">
        <f t="shared" si="6"/>
        <v>____</v>
      </c>
      <c r="AC26" s="104" t="str">
        <f t="shared" si="6"/>
        <v>_____</v>
      </c>
      <c r="AD26" s="83"/>
      <c r="AE26" s="45"/>
      <c r="AF26" s="66"/>
      <c r="AG26" s="212"/>
      <c r="AH26" s="213"/>
      <c r="AI26" s="214"/>
      <c r="AJ26" s="219"/>
      <c r="AK26" s="213"/>
      <c r="AL26" s="213"/>
      <c r="AM26" s="213"/>
      <c r="AN26" s="213"/>
      <c r="AO26" s="219"/>
      <c r="AP26" s="95"/>
      <c r="AQ26" s="186" t="str">
        <f t="shared" si="1"/>
        <v/>
      </c>
      <c r="AR26" s="66"/>
      <c r="AS26" s="167"/>
      <c r="AT26" s="225"/>
      <c r="AU26" s="213"/>
      <c r="AV26" s="214"/>
      <c r="AW26" s="226"/>
      <c r="AX26" s="213"/>
      <c r="AY26" s="213"/>
      <c r="AZ26" s="227"/>
      <c r="BA26" s="65"/>
      <c r="BB26" s="52"/>
      <c r="BC26" s="27"/>
      <c r="BD26" s="27"/>
      <c r="BE26" s="27"/>
      <c r="BF26" s="79"/>
      <c r="BG26" s="52"/>
      <c r="BH26" s="69"/>
      <c r="BI26" s="188" t="str">
        <f>IF(Y26=BUSCADOR!$B$46,"HURTO_",IF(OR(Y26=BUSCADOR!$B$49,Y26=BUSCADOR!$B$50),"ROBO_",""))</f>
        <v/>
      </c>
      <c r="BJ26" s="50"/>
      <c r="BK26" s="45"/>
      <c r="BL26" s="66"/>
      <c r="BM26" s="1" t="b">
        <f t="shared" si="7"/>
        <v>0</v>
      </c>
    </row>
    <row r="27" spans="1:65" ht="117.6" customHeight="1" x14ac:dyDescent="0.25">
      <c r="A27" s="171">
        <v>25</v>
      </c>
      <c r="B27" s="41" t="str">
        <f>IF(AND(BM27,ISBLANK(C27)),"Completar FECHA DE DENUNCIA",IF(AND(BM27,OR(ISBLANK(D27),ISBLANK(E27),ISBLANK(H27))),"Completar las celdas FECHA, HORA Y PREVENTIVO. En caso de no conocer la fecha u horario colocar INDETERMINADO",IF(AND(BM27,ISBLANK(G27)),"Completar COMISARIA",IF(AND(BM27,OR(ISBLANK(I27),ISBLANK(L27),ISBLANK(M27),O27="")),"Completar las celdas LOCALIDAD, CALLE, ALTURA Y DIRECCION SEGUN  GOOGLE MAPS",IF(AND(ISBLANK(J27),OR(I27=AÑELO[[#Headers],[AÑELO]],CENTENARIO[[#Headers],[CENTENARIO]]='PLANILLA DJ'!I27,CUTRAL_CO[[#Headers],[CUTRAL_CO]],JUNIN_DE_LOS_ANDES[[#Headers],[JUNIN_DE_LOS_ANDES]]='PLANILLA DJ'!I27,'PLANILLA DJ'!I27=NEUQUEN[[#Headers],[NEUQUEN]],PLAZA_HUINCUL[[#Headers],[PLAZA_HUINCUL]]='PLANILLA DJ'!I27,'PLANILLA DJ'!I27=PLOTTIER[[#Headers],[PLOTTIER]])),"COMPLETAR BARRIO",IF(AND(BM27,ISBLANK(Q27)),"Completar Nombre de VICTIMA o DENUNCIANTE",IF(AND(BM27,ISBLANK(R27)),"Completar TIPO DE ACTUACION",IF(AND(R27=BUSCADOR!$B$140,OR(X27&lt;&gt;BUSCADOR!$A$110,ISBLANK(X27))),"Se indico A CONSIDERACION en ACTUACION, indicar en el buscador de delitos A CONSIDERACION tambien",IF(AND(ISBLANK(X27)&lt;&gt;TRUE,IFERROR(MATCH(X27,BUSCADOR!$A$2:$A$112,0),-1)&lt;0),"EN EL BUSCADOR DE DELITOS NO agregar comentarios como SU INVESTIGACION, REPORTE, etc. Limitarse SOLAMENTE a poner A CONSIDERACION u otro valor que coincida en el buscador",IF(AND(ISBLANK(AD27),OR(Y27=BUSCADOR!$B$49,BUSCADOR!$B$50=Y27,Y27=BUSCADOR!$B$46,Y27=BUSCADOR!$B$2,Y27=BUSCADOR!$B$7,BUSCADOR!$B$109=Y27,X27=BUSCADOR!$A$58,X27=BUSCADOR!$A$59)),"Completar la celda TIPO DE LUGAR",IF(AND(ISBLANK(AE27),OR(AD27=BUSCADOR!$E$149,BUSCADOR!$E$150=AD27,AD27=BUSCADOR!$F$148)),"Completar DETALLE ESTABLECIMIENTO",IF(AND(ISBLANK(AF27),BM27),"Completar la celda MOTIVO QUE ORIGINA EL REGISTRO DEL HECHO",IF(AND(SUM(AG27:AI27)=0,OR(Y27=BUSCADOR!$B$2,BUSCADOR!$B$6=Y27,Y27=BUSCADOR!$B$7,BUSCADOR!$B$8=Y27,Y27=BUSCADOR!$B$9,BUSCADOR!$B$12=Y27,Y27=BUSCADOR!$B$13,BUSCADOR!$B$14=Y27,Y27=BUSCADOR!$B$17,BUSCADOR!$B$18=Y27,Y27=BUSCADOR!$B$20,BUSCADOR!$B$29=Y27,BUSCADOR!$B$34=Y27,BUSCADOR!$B$35=Y27,Y27=BUSCADOR!$B$109,Y27=BUSCADOR!$B$51,BUSCADOR!$B$50=Y27,Y27=BUSCADOR!$B$47,Y27=BUSCADOR!$B$58,Y27=BUSCADOR!$B$21,Y27=BUSCADOR!$B$22,Y27=BUSCADOR!$B$23,Y27=BUSCADOR!$B$24)),"El delito indicado debe presentar un numero de victimas. Completar la celda CANTIDAD DE VICTIMAS",IF(AND(SUM(AJ27:AO27)&gt;0,ISBLANK(AP27)),"Completar celda VULNERABILIDAD DE LA VICTIMA",IF(SUM(AG27:AI27)&lt;&gt;SUM(AJ27:AO27),"Se indico una CANTIDAD DE VICTIMAS SEGUN SEXO diferente a SEGUN GENERO",IF(AND(ISBLANK(AR27),OR(Y27=BUSCADOR!$B$49,BUSCADOR!$B$50=Y27,Y27=BUSCADOR!$B$46,Y27=BUSCADOR!$B$109,BUSCADOR!$B$2=Y27,X27=BUSCADOR!$A$58,X27=BUSCADOR!$A$59)),"Completar la celda TIPO DE ARMA, MODALIDAD O MECANISMO",IF(AND(ISBLANK(AS27),OR(Y27=BUSCADOR!$B$51,BUSCADOR!$B$50=Y27,Y27=BUSCADOR!$B$47,BUSCADOR!$A$58=X27,X27=BUSCADOR!$A$59)),"Completar la celda CONOCIDO, en la seccion de los inculpados",IF(AND(AS27=BUSCADOR!$B$127,OR(Y27=BUSCADOR!$B$51,BUSCADOR!$B$50,Y27,BUSCADOR!$B$46),OR(SUM(AT27:AV27)&lt;&gt;SUM(AW27:AZ27),SUM(AT27:AZ27)=0)),"Revisar las celdas correspondientes a CANTIDAD DE INCULPADOS. Se indica una cantidad diferente segun SEXO y EDAD o no se indico cantidad alguna",IF(AND(ISBLANK(BA27),X27=BUSCADOR!$A$27),"Se indico una persona desaparecida. Completar la casilla APARECIO",IF(AND(ISBLANK(BB27),OR(Y27=BUSCADOR!$B$49,BUSCADOR!$B$50=Y27,Y27=BUSCADOR!$B$46)),"Completar la casilla ELEMENTO SUSTRAIDO",IF(OR(AND(BB27=OTROS[[#Headers],[OTROS]],ISBLANK(BC27)),AND(BB27=ABIGEATO[[#Headers],[ABIGEATO]],ISBLANK(BC27))),"Completar la celda SUBCATEGORIA",IF(AND(OR(BB27=MOTOCICLETA[[#Headers],[MOTOCICLETA]],BB27=AUTOMOTOR[[#Headers],[AUTOMOTOR]]),OR(ISBLANK(BC27),ISBLANK(BD27),ISBLANK(BE27),ISBLANK(BF27))),"Se indico un AUTOMOTOR o MOTOCICLETA en ELEMENTOS SUSTRAIDOS, completar las celdas SUBCATEGORIA, DENOMINACION, AÑO y MODELO", IF(AND(ISBLANK(BB27)&lt;&gt;TRUE,ISBLANK(BJ27)),"Completar MODUS OPERANDI",IF(AND(ISBLANK(BK27),OR(BJ27=BUSCADOR!$H$232,BJ27=BUSCADOR!$I$232)),"Completar ESPECIALIDAD",IF(OR(AND(H27='SAT-Homicidios Dolosos'!$B$5,'SAT-Homicidios Dolosos'!$A$5&lt;&gt;"OK"),AND(H27='SAT-Homicidios Dolosos'!$B$8,'SAT-Homicidios Dolosos'!$A$8&lt;&gt;"OK")),"Se indico un HOMICIDIO, existen CELDAS VACIAS en la hoja SAT-HOMICIDIOS DOLOSOS Completar los datos indicados",IF(OR(AND(H27='SAT-Muertes Viales'!$E$21,'SAT-Muertes Viales'!$A$21&lt;&gt;"OK"),AND(H27='SAT-Muertes Viales'!$E$25,'SAT-Muertes Viales'!$A$25&lt;&gt;"OK"),AND(H27='SAT-Muertes Viales'!$E$29,'SAT-Muertes Viales'!$A$29&lt;&gt;"OK")),"Se indico un HOMICIDIO POR SINIESTRO VIAL, existen CELDAS VACIAS en la hoja SAT-MUERTES VIALES Completar los datos indicados",IF(OR(AND(H27='SAT-Suicidios'!$B$19,'SAT-Suicidios'!$A$19&lt;&gt;"OK"),AND(H27='SAT-Suicidios'!$B$22,'SAT-Suicidios'!$A$22&lt;&gt;"OK"),AND(H27='SAT-Suicidios'!$B$25,'SAT-Suicidios'!$A$25&lt;&gt;"OK")),"Se indico un SUICIDIO, existen CELDAS VACIAS en la hoja SAT-SUICIDIOS Completar los datos indicados",IF(IFERROR(MATCH(X27,BUSCADOR!$A$2:$A$112,0),-1)&lt;0,"No se indico delito",IF(AND(ISBLANK(BL27),OR(X27=BUSCADOR!$A$111,X27=BUSCADOR!$A$110)),"Llenar la casilla DETALLES, COMENTARIOS con una descripcion de la causa",IF(AND(X27="MUERTE DUDOSA",ISBLANK(BL27)=FALSE),"SE INDICO MUERTE DUDOSA, NOS CONTACTAREMOS PARA MAS INFORMACION","FILA CORRECTA"))))))))))))))))))))))))))))))</f>
        <v>No se indico delito</v>
      </c>
      <c r="C27" s="42"/>
      <c r="D27" s="90"/>
      <c r="E27" s="47"/>
      <c r="F27" s="88"/>
      <c r="G27" s="221" t="str">
        <f t="shared" si="9"/>
        <v>Comisaría 15°</v>
      </c>
      <c r="H27" s="46"/>
      <c r="I27" s="52"/>
      <c r="J27" s="27"/>
      <c r="K27" s="27"/>
      <c r="L27" s="27"/>
      <c r="M27" s="27"/>
      <c r="N27" s="92"/>
      <c r="O27" s="55" t="str">
        <f t="shared" si="10"/>
        <v/>
      </c>
      <c r="P27" s="56" t="str">
        <f t="shared" si="11"/>
        <v/>
      </c>
      <c r="Q27" s="52"/>
      <c r="R27" s="46"/>
      <c r="S27" s="62"/>
      <c r="T27" s="57" t="str">
        <f>IFERROR(VLOOKUP(X27,BUSCADOR!$A$2:$E$112,5,FALSE),"")</f>
        <v/>
      </c>
      <c r="U27" s="107" t="str">
        <f t="shared" si="0"/>
        <v/>
      </c>
      <c r="V27" s="28" t="str">
        <f>IFERROR(VLOOKUP(X27,BUSCADOR!$A$2:$E$112,4,FALSE),"")</f>
        <v/>
      </c>
      <c r="W27" s="107" t="str">
        <f t="shared" si="3"/>
        <v/>
      </c>
      <c r="X27" s="27"/>
      <c r="Y27" s="58" t="str">
        <f>IFERROR(VLOOKUP(X27,BUSCADOR!$A$2:$B$112,2,FALSE),"")</f>
        <v/>
      </c>
      <c r="Z27" s="101" t="str">
        <f t="shared" si="4"/>
        <v>__</v>
      </c>
      <c r="AA27" s="103" t="str">
        <f t="shared" si="5"/>
        <v>___</v>
      </c>
      <c r="AB27" s="104" t="str">
        <f t="shared" si="6"/>
        <v>____</v>
      </c>
      <c r="AC27" s="104" t="str">
        <f t="shared" si="6"/>
        <v>_____</v>
      </c>
      <c r="AD27" s="83"/>
      <c r="AE27" s="45"/>
      <c r="AF27" s="66"/>
      <c r="AG27" s="212"/>
      <c r="AH27" s="213"/>
      <c r="AI27" s="214"/>
      <c r="AJ27" s="219"/>
      <c r="AK27" s="213"/>
      <c r="AL27" s="213"/>
      <c r="AM27" s="213"/>
      <c r="AN27" s="213"/>
      <c r="AO27" s="219"/>
      <c r="AP27" s="95"/>
      <c r="AQ27" s="186" t="str">
        <f t="shared" si="1"/>
        <v/>
      </c>
      <c r="AR27" s="66"/>
      <c r="AS27" s="76"/>
      <c r="AT27" s="225"/>
      <c r="AU27" s="213"/>
      <c r="AV27" s="214"/>
      <c r="AW27" s="226"/>
      <c r="AX27" s="213"/>
      <c r="AY27" s="213"/>
      <c r="AZ27" s="227"/>
      <c r="BA27" s="65"/>
      <c r="BB27" s="52"/>
      <c r="BC27" s="27"/>
      <c r="BD27" s="27"/>
      <c r="BE27" s="27"/>
      <c r="BF27" s="79"/>
      <c r="BG27" s="52"/>
      <c r="BH27" s="69"/>
      <c r="BI27" s="188" t="str">
        <f>IF(Y27=BUSCADOR!$B$46,"HURTO_",IF(OR(Y27=BUSCADOR!$B$49,Y27=BUSCADOR!$B$50),"ROBO_",""))</f>
        <v/>
      </c>
      <c r="BJ27" s="50"/>
      <c r="BK27" s="45"/>
      <c r="BL27" s="66"/>
      <c r="BM27" s="1" t="b">
        <f t="shared" si="7"/>
        <v>0</v>
      </c>
    </row>
    <row r="28" spans="1:65" ht="117.6" customHeight="1" x14ac:dyDescent="0.25">
      <c r="A28" s="171">
        <v>26</v>
      </c>
      <c r="B28" s="41" t="str">
        <f>IF(AND(BM28,ISBLANK(C28)),"Completar FECHA DE DENUNCIA",IF(AND(BM28,OR(ISBLANK(D28),ISBLANK(E28),ISBLANK(H28))),"Completar las celdas FECHA, HORA Y PREVENTIVO. En caso de no conocer la fecha u horario colocar INDETERMINADO",IF(AND(BM28,ISBLANK(G28)),"Completar COMISARIA",IF(AND(BM28,OR(ISBLANK(I28),ISBLANK(L28),ISBLANK(M28),O28="")),"Completar las celdas LOCALIDAD, CALLE, ALTURA Y DIRECCION SEGUN  GOOGLE MAPS",IF(AND(ISBLANK(J28),OR(I28=AÑELO[[#Headers],[AÑELO]],CENTENARIO[[#Headers],[CENTENARIO]]='PLANILLA DJ'!I28,CUTRAL_CO[[#Headers],[CUTRAL_CO]],JUNIN_DE_LOS_ANDES[[#Headers],[JUNIN_DE_LOS_ANDES]]='PLANILLA DJ'!I28,'PLANILLA DJ'!I28=NEUQUEN[[#Headers],[NEUQUEN]],PLAZA_HUINCUL[[#Headers],[PLAZA_HUINCUL]]='PLANILLA DJ'!I28,'PLANILLA DJ'!I28=PLOTTIER[[#Headers],[PLOTTIER]])),"COMPLETAR BARRIO",IF(AND(BM28,ISBLANK(Q28)),"Completar Nombre de VICTIMA o DENUNCIANTE",IF(AND(BM28,ISBLANK(R28)),"Completar TIPO DE ACTUACION",IF(AND(R28=BUSCADOR!$B$140,OR(X28&lt;&gt;BUSCADOR!$A$110,ISBLANK(X28))),"Se indico A CONSIDERACION en ACTUACION, indicar en el buscador de delitos A CONSIDERACION tambien",IF(AND(ISBLANK(X28)&lt;&gt;TRUE,IFERROR(MATCH(X28,BUSCADOR!$A$2:$A$112,0),-1)&lt;0),"EN EL BUSCADOR DE DELITOS NO agregar comentarios como SU INVESTIGACION, REPORTE, etc. Limitarse SOLAMENTE a poner A CONSIDERACION u otro valor que coincida en el buscador",IF(AND(ISBLANK(AD28),OR(Y28=BUSCADOR!$B$49,BUSCADOR!$B$50=Y28,Y28=BUSCADOR!$B$46,Y28=BUSCADOR!$B$2,Y28=BUSCADOR!$B$7,BUSCADOR!$B$109=Y28,X28=BUSCADOR!$A$58,X28=BUSCADOR!$A$59)),"Completar la celda TIPO DE LUGAR",IF(AND(ISBLANK(AE28),OR(AD28=BUSCADOR!$E$149,BUSCADOR!$E$150=AD28,AD28=BUSCADOR!$F$148)),"Completar DETALLE ESTABLECIMIENTO",IF(AND(ISBLANK(AF28),BM28),"Completar la celda MOTIVO QUE ORIGINA EL REGISTRO DEL HECHO",IF(AND(SUM(AG28:AI28)=0,OR(Y28=BUSCADOR!$B$2,BUSCADOR!$B$6=Y28,Y28=BUSCADOR!$B$7,BUSCADOR!$B$8=Y28,Y28=BUSCADOR!$B$9,BUSCADOR!$B$12=Y28,Y28=BUSCADOR!$B$13,BUSCADOR!$B$14=Y28,Y28=BUSCADOR!$B$17,BUSCADOR!$B$18=Y28,Y28=BUSCADOR!$B$20,BUSCADOR!$B$29=Y28,BUSCADOR!$B$34=Y28,BUSCADOR!$B$35=Y28,Y28=BUSCADOR!$B$109,Y28=BUSCADOR!$B$51,BUSCADOR!$B$50=Y28,Y28=BUSCADOR!$B$47,Y28=BUSCADOR!$B$58,Y28=BUSCADOR!$B$21,Y28=BUSCADOR!$B$22,Y28=BUSCADOR!$B$23,Y28=BUSCADOR!$B$24)),"El delito indicado debe presentar un numero de victimas. Completar la celda CANTIDAD DE VICTIMAS",IF(AND(SUM(AJ28:AO28)&gt;0,ISBLANK(AP28)),"Completar celda VULNERABILIDAD DE LA VICTIMA",IF(SUM(AG28:AI28)&lt;&gt;SUM(AJ28:AO28),"Se indico una CANTIDAD DE VICTIMAS SEGUN SEXO diferente a SEGUN GENERO",IF(AND(ISBLANK(AR28),OR(Y28=BUSCADOR!$B$49,BUSCADOR!$B$50=Y28,Y28=BUSCADOR!$B$46,Y28=BUSCADOR!$B$109,BUSCADOR!$B$2=Y28,X28=BUSCADOR!$A$58,X28=BUSCADOR!$A$59)),"Completar la celda TIPO DE ARMA, MODALIDAD O MECANISMO",IF(AND(ISBLANK(AS28),OR(Y28=BUSCADOR!$B$51,BUSCADOR!$B$50=Y28,Y28=BUSCADOR!$B$47,BUSCADOR!$A$58=X28,X28=BUSCADOR!$A$59)),"Completar la celda CONOCIDO, en la seccion de los inculpados",IF(AND(AS28=BUSCADOR!$B$127,OR(Y28=BUSCADOR!$B$51,BUSCADOR!$B$50,Y28,BUSCADOR!$B$46),OR(SUM(AT28:AV28)&lt;&gt;SUM(AW28:AZ28),SUM(AT28:AZ28)=0)),"Revisar las celdas correspondientes a CANTIDAD DE INCULPADOS. Se indica una cantidad diferente segun SEXO y EDAD o no se indico cantidad alguna",IF(AND(ISBLANK(BA28),X28=BUSCADOR!$A$27),"Se indico una persona desaparecida. Completar la casilla APARECIO",IF(AND(ISBLANK(BB28),OR(Y28=BUSCADOR!$B$49,BUSCADOR!$B$50=Y28,Y28=BUSCADOR!$B$46)),"Completar la casilla ELEMENTO SUSTRAIDO",IF(OR(AND(BB28=OTROS[[#Headers],[OTROS]],ISBLANK(BC28)),AND(BB28=ABIGEATO[[#Headers],[ABIGEATO]],ISBLANK(BC28))),"Completar la celda SUBCATEGORIA",IF(AND(OR(BB28=MOTOCICLETA[[#Headers],[MOTOCICLETA]],BB28=AUTOMOTOR[[#Headers],[AUTOMOTOR]]),OR(ISBLANK(BC28),ISBLANK(BD28),ISBLANK(BE28),ISBLANK(BF28))),"Se indico un AUTOMOTOR o MOTOCICLETA en ELEMENTOS SUSTRAIDOS, completar las celdas SUBCATEGORIA, DENOMINACION, AÑO y MODELO", IF(AND(ISBLANK(BB28)&lt;&gt;TRUE,ISBLANK(BJ28)),"Completar MODUS OPERANDI",IF(AND(ISBLANK(BK28),OR(BJ28=BUSCADOR!$H$232,BJ28=BUSCADOR!$I$232)),"Completar ESPECIALIDAD",IF(OR(AND(H28='SAT-Homicidios Dolosos'!$B$5,'SAT-Homicidios Dolosos'!$A$5&lt;&gt;"OK"),AND(H28='SAT-Homicidios Dolosos'!$B$8,'SAT-Homicidios Dolosos'!$A$8&lt;&gt;"OK")),"Se indico un HOMICIDIO, existen CELDAS VACIAS en la hoja SAT-HOMICIDIOS DOLOSOS Completar los datos indicados",IF(OR(AND(H28='SAT-Muertes Viales'!$E$21,'SAT-Muertes Viales'!$A$21&lt;&gt;"OK"),AND(H28='SAT-Muertes Viales'!$E$25,'SAT-Muertes Viales'!$A$25&lt;&gt;"OK"),AND(H28='SAT-Muertes Viales'!$E$29,'SAT-Muertes Viales'!$A$29&lt;&gt;"OK")),"Se indico un HOMICIDIO POR SINIESTRO VIAL, existen CELDAS VACIAS en la hoja SAT-MUERTES VIALES Completar los datos indicados",IF(OR(AND(H28='SAT-Suicidios'!$B$19,'SAT-Suicidios'!$A$19&lt;&gt;"OK"),AND(H28='SAT-Suicidios'!$B$22,'SAT-Suicidios'!$A$22&lt;&gt;"OK"),AND(H28='SAT-Suicidios'!$B$25,'SAT-Suicidios'!$A$25&lt;&gt;"OK")),"Se indico un SUICIDIO, existen CELDAS VACIAS en la hoja SAT-SUICIDIOS Completar los datos indicados",IF(IFERROR(MATCH(X28,BUSCADOR!$A$2:$A$112,0),-1)&lt;0,"No se indico delito",IF(AND(ISBLANK(BL28),OR(X28=BUSCADOR!$A$111,X28=BUSCADOR!$A$110)),"Llenar la casilla DETALLES, COMENTARIOS con una descripcion de la causa",IF(AND(X28="MUERTE DUDOSA",ISBLANK(BL28)=FALSE),"SE INDICO MUERTE DUDOSA, NOS CONTACTAREMOS PARA MAS INFORMACION","FILA CORRECTA"))))))))))))))))))))))))))))))</f>
        <v>No se indico delito</v>
      </c>
      <c r="C28" s="42"/>
      <c r="D28" s="90"/>
      <c r="E28" s="47"/>
      <c r="F28" s="88"/>
      <c r="G28" s="221" t="str">
        <f t="shared" si="9"/>
        <v>Comisaría 15°</v>
      </c>
      <c r="H28" s="46"/>
      <c r="I28" s="52"/>
      <c r="J28" s="27"/>
      <c r="K28" s="27"/>
      <c r="L28" s="27"/>
      <c r="M28" s="27"/>
      <c r="N28" s="92"/>
      <c r="O28" s="55" t="str">
        <f t="shared" si="10"/>
        <v/>
      </c>
      <c r="P28" s="56" t="str">
        <f t="shared" si="11"/>
        <v/>
      </c>
      <c r="Q28" s="52"/>
      <c r="R28" s="46"/>
      <c r="S28" s="62"/>
      <c r="T28" s="57" t="str">
        <f>IFERROR(VLOOKUP(X28,BUSCADOR!$A$2:$E$112,5,FALSE),"")</f>
        <v/>
      </c>
      <c r="U28" s="107" t="str">
        <f t="shared" si="0"/>
        <v/>
      </c>
      <c r="V28" s="28" t="str">
        <f>IFERROR(VLOOKUP(X28,BUSCADOR!$A$2:$E$112,4,FALSE),"")</f>
        <v/>
      </c>
      <c r="W28" s="107" t="str">
        <f t="shared" si="3"/>
        <v/>
      </c>
      <c r="X28" s="27"/>
      <c r="Y28" s="58" t="str">
        <f>IFERROR(VLOOKUP(X28,BUSCADOR!$A$2:$B$112,2,FALSE),"")</f>
        <v/>
      </c>
      <c r="Z28" s="101" t="str">
        <f t="shared" si="4"/>
        <v>__</v>
      </c>
      <c r="AA28" s="103" t="str">
        <f t="shared" si="5"/>
        <v>___</v>
      </c>
      <c r="AB28" s="104" t="str">
        <f t="shared" si="6"/>
        <v>____</v>
      </c>
      <c r="AC28" s="104" t="str">
        <f t="shared" si="6"/>
        <v>_____</v>
      </c>
      <c r="AD28" s="83"/>
      <c r="AE28" s="45"/>
      <c r="AF28" s="66"/>
      <c r="AG28" s="212"/>
      <c r="AH28" s="213"/>
      <c r="AI28" s="214"/>
      <c r="AJ28" s="219"/>
      <c r="AK28" s="213"/>
      <c r="AL28" s="213"/>
      <c r="AM28" s="213"/>
      <c r="AN28" s="213"/>
      <c r="AO28" s="219"/>
      <c r="AP28" s="95"/>
      <c r="AQ28" s="186" t="str">
        <f t="shared" si="1"/>
        <v/>
      </c>
      <c r="AR28" s="66"/>
      <c r="AS28" s="76"/>
      <c r="AT28" s="225"/>
      <c r="AU28" s="213"/>
      <c r="AV28" s="214"/>
      <c r="AW28" s="226"/>
      <c r="AX28" s="213"/>
      <c r="AY28" s="213"/>
      <c r="AZ28" s="227"/>
      <c r="BA28" s="65"/>
      <c r="BB28" s="52"/>
      <c r="BC28" s="27"/>
      <c r="BD28" s="27"/>
      <c r="BE28" s="27"/>
      <c r="BF28" s="79"/>
      <c r="BG28" s="52"/>
      <c r="BH28" s="69"/>
      <c r="BI28" s="188" t="str">
        <f>IF(Y28=BUSCADOR!$B$46,"HURTO_",IF(OR(Y28=BUSCADOR!$B$49,Y28=BUSCADOR!$B$50),"ROBO_",""))</f>
        <v/>
      </c>
      <c r="BJ28" s="50"/>
      <c r="BK28" s="45"/>
      <c r="BL28" s="66"/>
      <c r="BM28" s="1" t="b">
        <f t="shared" si="7"/>
        <v>0</v>
      </c>
    </row>
    <row r="29" spans="1:65" ht="117.6" customHeight="1" x14ac:dyDescent="0.25">
      <c r="A29" s="171">
        <v>27</v>
      </c>
      <c r="B29" s="41" t="str">
        <f>IF(AND(BM29,ISBLANK(C29)),"Completar FECHA DE DENUNCIA",IF(AND(BM29,OR(ISBLANK(D29),ISBLANK(E29),ISBLANK(H29))),"Completar las celdas FECHA, HORA Y PREVENTIVO. En caso de no conocer la fecha u horario colocar INDETERMINADO",IF(AND(BM29,ISBLANK(G29)),"Completar COMISARIA",IF(AND(BM29,OR(ISBLANK(I29),ISBLANK(L29),ISBLANK(M29),O29="")),"Completar las celdas LOCALIDAD, CALLE, ALTURA Y DIRECCION SEGUN  GOOGLE MAPS",IF(AND(ISBLANK(J29),OR(I29=AÑELO[[#Headers],[AÑELO]],CENTENARIO[[#Headers],[CENTENARIO]]='PLANILLA DJ'!I29,CUTRAL_CO[[#Headers],[CUTRAL_CO]],JUNIN_DE_LOS_ANDES[[#Headers],[JUNIN_DE_LOS_ANDES]]='PLANILLA DJ'!I29,'PLANILLA DJ'!I29=NEUQUEN[[#Headers],[NEUQUEN]],PLAZA_HUINCUL[[#Headers],[PLAZA_HUINCUL]]='PLANILLA DJ'!I29,'PLANILLA DJ'!I29=PLOTTIER[[#Headers],[PLOTTIER]])),"COMPLETAR BARRIO",IF(AND(BM29,ISBLANK(Q29)),"Completar Nombre de VICTIMA o DENUNCIANTE",IF(AND(BM29,ISBLANK(R29)),"Completar TIPO DE ACTUACION",IF(AND(R29=BUSCADOR!$B$140,OR(X29&lt;&gt;BUSCADOR!$A$110,ISBLANK(X29))),"Se indico A CONSIDERACION en ACTUACION, indicar en el buscador de delitos A CONSIDERACION tambien",IF(AND(ISBLANK(X29)&lt;&gt;TRUE,IFERROR(MATCH(X29,BUSCADOR!$A$2:$A$112,0),-1)&lt;0),"EN EL BUSCADOR DE DELITOS NO agregar comentarios como SU INVESTIGACION, REPORTE, etc. Limitarse SOLAMENTE a poner A CONSIDERACION u otro valor que coincida en el buscador",IF(AND(ISBLANK(AD29),OR(Y29=BUSCADOR!$B$49,BUSCADOR!$B$50=Y29,Y29=BUSCADOR!$B$46,Y29=BUSCADOR!$B$2,Y29=BUSCADOR!$B$7,BUSCADOR!$B$109=Y29,X29=BUSCADOR!$A$58,X29=BUSCADOR!$A$59)),"Completar la celda TIPO DE LUGAR",IF(AND(ISBLANK(AE29),OR(AD29=BUSCADOR!$E$149,BUSCADOR!$E$150=AD29,AD29=BUSCADOR!$F$148)),"Completar DETALLE ESTABLECIMIENTO",IF(AND(ISBLANK(AF29),BM29),"Completar la celda MOTIVO QUE ORIGINA EL REGISTRO DEL HECHO",IF(AND(SUM(AG29:AI29)=0,OR(Y29=BUSCADOR!$B$2,BUSCADOR!$B$6=Y29,Y29=BUSCADOR!$B$7,BUSCADOR!$B$8=Y29,Y29=BUSCADOR!$B$9,BUSCADOR!$B$12=Y29,Y29=BUSCADOR!$B$13,BUSCADOR!$B$14=Y29,Y29=BUSCADOR!$B$17,BUSCADOR!$B$18=Y29,Y29=BUSCADOR!$B$20,BUSCADOR!$B$29=Y29,BUSCADOR!$B$34=Y29,BUSCADOR!$B$35=Y29,Y29=BUSCADOR!$B$109,Y29=BUSCADOR!$B$51,BUSCADOR!$B$50=Y29,Y29=BUSCADOR!$B$47,Y29=BUSCADOR!$B$58,Y29=BUSCADOR!$B$21,Y29=BUSCADOR!$B$22,Y29=BUSCADOR!$B$23,Y29=BUSCADOR!$B$24)),"El delito indicado debe presentar un numero de victimas. Completar la celda CANTIDAD DE VICTIMAS",IF(AND(SUM(AJ29:AO29)&gt;0,ISBLANK(AP29)),"Completar celda VULNERABILIDAD DE LA VICTIMA",IF(SUM(AG29:AI29)&lt;&gt;SUM(AJ29:AO29),"Se indico una CANTIDAD DE VICTIMAS SEGUN SEXO diferente a SEGUN GENERO",IF(AND(ISBLANK(AR29),OR(Y29=BUSCADOR!$B$49,BUSCADOR!$B$50=Y29,Y29=BUSCADOR!$B$46,Y29=BUSCADOR!$B$109,BUSCADOR!$B$2=Y29,X29=BUSCADOR!$A$58,X29=BUSCADOR!$A$59)),"Completar la celda TIPO DE ARMA, MODALIDAD O MECANISMO",IF(AND(ISBLANK(AS29),OR(Y29=BUSCADOR!$B$51,BUSCADOR!$B$50=Y29,Y29=BUSCADOR!$B$47,BUSCADOR!$A$58=X29,X29=BUSCADOR!$A$59)),"Completar la celda CONOCIDO, en la seccion de los inculpados",IF(AND(AS29=BUSCADOR!$B$127,OR(Y29=BUSCADOR!$B$51,BUSCADOR!$B$50,Y29,BUSCADOR!$B$46),OR(SUM(AT29:AV29)&lt;&gt;SUM(AW29:AZ29),SUM(AT29:AZ29)=0)),"Revisar las celdas correspondientes a CANTIDAD DE INCULPADOS. Se indica una cantidad diferente segun SEXO y EDAD o no se indico cantidad alguna",IF(AND(ISBLANK(BA29),X29=BUSCADOR!$A$27),"Se indico una persona desaparecida. Completar la casilla APARECIO",IF(AND(ISBLANK(BB29),OR(Y29=BUSCADOR!$B$49,BUSCADOR!$B$50=Y29,Y29=BUSCADOR!$B$46)),"Completar la casilla ELEMENTO SUSTRAIDO",IF(OR(AND(BB29=OTROS[[#Headers],[OTROS]],ISBLANK(BC29)),AND(BB29=ABIGEATO[[#Headers],[ABIGEATO]],ISBLANK(BC29))),"Completar la celda SUBCATEGORIA",IF(AND(OR(BB29=MOTOCICLETA[[#Headers],[MOTOCICLETA]],BB29=AUTOMOTOR[[#Headers],[AUTOMOTOR]]),OR(ISBLANK(BC29),ISBLANK(BD29),ISBLANK(BE29),ISBLANK(BF29))),"Se indico un AUTOMOTOR o MOTOCICLETA en ELEMENTOS SUSTRAIDOS, completar las celdas SUBCATEGORIA, DENOMINACION, AÑO y MODELO", IF(AND(ISBLANK(BB29)&lt;&gt;TRUE,ISBLANK(BJ29)),"Completar MODUS OPERANDI",IF(AND(ISBLANK(BK29),OR(BJ29=BUSCADOR!$H$232,BJ29=BUSCADOR!$I$232)),"Completar ESPECIALIDAD",IF(OR(AND(H29='SAT-Homicidios Dolosos'!$B$5,'SAT-Homicidios Dolosos'!$A$5&lt;&gt;"OK"),AND(H29='SAT-Homicidios Dolosos'!$B$8,'SAT-Homicidios Dolosos'!$A$8&lt;&gt;"OK")),"Se indico un HOMICIDIO, existen CELDAS VACIAS en la hoja SAT-HOMICIDIOS DOLOSOS Completar los datos indicados",IF(OR(AND(H29='SAT-Muertes Viales'!$E$21,'SAT-Muertes Viales'!$A$21&lt;&gt;"OK"),AND(H29='SAT-Muertes Viales'!$E$25,'SAT-Muertes Viales'!$A$25&lt;&gt;"OK"),AND(H29='SAT-Muertes Viales'!$E$29,'SAT-Muertes Viales'!$A$29&lt;&gt;"OK")),"Se indico un HOMICIDIO POR SINIESTRO VIAL, existen CELDAS VACIAS en la hoja SAT-MUERTES VIALES Completar los datos indicados",IF(OR(AND(H29='SAT-Suicidios'!$B$19,'SAT-Suicidios'!$A$19&lt;&gt;"OK"),AND(H29='SAT-Suicidios'!$B$22,'SAT-Suicidios'!$A$22&lt;&gt;"OK"),AND(H29='SAT-Suicidios'!$B$25,'SAT-Suicidios'!$A$25&lt;&gt;"OK")),"Se indico un SUICIDIO, existen CELDAS VACIAS en la hoja SAT-SUICIDIOS Completar los datos indicados",IF(IFERROR(MATCH(X29,BUSCADOR!$A$2:$A$112,0),-1)&lt;0,"No se indico delito",IF(AND(ISBLANK(BL29),OR(X29=BUSCADOR!$A$111,X29=BUSCADOR!$A$110)),"Llenar la casilla DETALLES, COMENTARIOS con una descripcion de la causa",IF(AND(X29="MUERTE DUDOSA",ISBLANK(BL29)=FALSE),"SE INDICO MUERTE DUDOSA, NOS CONTACTAREMOS PARA MAS INFORMACION","FILA CORRECTA"))))))))))))))))))))))))))))))</f>
        <v>No se indico delito</v>
      </c>
      <c r="C29" s="42"/>
      <c r="D29" s="90"/>
      <c r="E29" s="47"/>
      <c r="F29" s="88"/>
      <c r="G29" s="221" t="str">
        <f t="shared" si="9"/>
        <v>Comisaría 15°</v>
      </c>
      <c r="H29" s="46"/>
      <c r="I29" s="52"/>
      <c r="J29" s="27"/>
      <c r="K29" s="27"/>
      <c r="L29" s="27"/>
      <c r="M29" s="27"/>
      <c r="N29" s="93"/>
      <c r="O29" s="55" t="str">
        <f t="shared" si="10"/>
        <v/>
      </c>
      <c r="P29" s="56" t="str">
        <f t="shared" si="11"/>
        <v/>
      </c>
      <c r="Q29" s="52"/>
      <c r="R29" s="46"/>
      <c r="S29" s="62"/>
      <c r="T29" s="57" t="str">
        <f>IFERROR(VLOOKUP(X29,BUSCADOR!$A$2:$E$112,5,FALSE),"")</f>
        <v/>
      </c>
      <c r="U29" s="107" t="str">
        <f t="shared" si="0"/>
        <v/>
      </c>
      <c r="V29" s="28" t="str">
        <f>IFERROR(VLOOKUP(X29,BUSCADOR!$A$2:$E$112,4,FALSE),"")</f>
        <v/>
      </c>
      <c r="W29" s="107" t="str">
        <f t="shared" si="3"/>
        <v/>
      </c>
      <c r="X29" s="27"/>
      <c r="Y29" s="58" t="str">
        <f>IFERROR(VLOOKUP(X29,BUSCADOR!$A$2:$B$112,2,FALSE),"")</f>
        <v/>
      </c>
      <c r="Z29" s="101" t="str">
        <f t="shared" si="4"/>
        <v>__</v>
      </c>
      <c r="AA29" s="103" t="str">
        <f t="shared" si="5"/>
        <v>___</v>
      </c>
      <c r="AB29" s="104" t="str">
        <f t="shared" si="6"/>
        <v>____</v>
      </c>
      <c r="AC29" s="104" t="str">
        <f t="shared" si="6"/>
        <v>_____</v>
      </c>
      <c r="AD29" s="83"/>
      <c r="AE29" s="45"/>
      <c r="AF29" s="66"/>
      <c r="AG29" s="212"/>
      <c r="AH29" s="213"/>
      <c r="AI29" s="214"/>
      <c r="AJ29" s="219"/>
      <c r="AK29" s="213"/>
      <c r="AL29" s="213"/>
      <c r="AM29" s="213"/>
      <c r="AN29" s="213"/>
      <c r="AO29" s="219"/>
      <c r="AP29" s="95"/>
      <c r="AQ29" s="186" t="str">
        <f t="shared" si="1"/>
        <v/>
      </c>
      <c r="AR29" s="66"/>
      <c r="AS29" s="76"/>
      <c r="AT29" s="225"/>
      <c r="AU29" s="213"/>
      <c r="AV29" s="214"/>
      <c r="AW29" s="226"/>
      <c r="AX29" s="213"/>
      <c r="AY29" s="213"/>
      <c r="AZ29" s="227"/>
      <c r="BA29" s="65"/>
      <c r="BB29" s="52"/>
      <c r="BC29" s="27"/>
      <c r="BD29" s="27"/>
      <c r="BE29" s="27"/>
      <c r="BF29" s="79"/>
      <c r="BG29" s="52"/>
      <c r="BH29" s="69"/>
      <c r="BI29" s="188" t="str">
        <f>IF(Y29=BUSCADOR!$B$46,"HURTO_",IF(OR(Y29=BUSCADOR!$B$49,Y29=BUSCADOR!$B$50),"ROBO_",""))</f>
        <v/>
      </c>
      <c r="BJ29" s="50"/>
      <c r="BK29" s="45"/>
      <c r="BL29" s="66"/>
      <c r="BM29" s="1" t="b">
        <f t="shared" si="7"/>
        <v>0</v>
      </c>
    </row>
    <row r="30" spans="1:65" ht="117.6" customHeight="1" x14ac:dyDescent="0.25">
      <c r="A30" s="171">
        <v>28</v>
      </c>
      <c r="B30" s="41" t="str">
        <f>IF(AND(BM30,ISBLANK(C30)),"Completar FECHA DE DENUNCIA",IF(AND(BM30,OR(ISBLANK(D30),ISBLANK(E30),ISBLANK(H30))),"Completar las celdas FECHA, HORA Y PREVENTIVO. En caso de no conocer la fecha u horario colocar INDETERMINADO",IF(AND(BM30,ISBLANK(G30)),"Completar COMISARIA",IF(AND(BM30,OR(ISBLANK(I30),ISBLANK(L30),ISBLANK(M30),O30="")),"Completar las celdas LOCALIDAD, CALLE, ALTURA Y DIRECCION SEGUN  GOOGLE MAPS",IF(AND(ISBLANK(J30),OR(I30=AÑELO[[#Headers],[AÑELO]],CENTENARIO[[#Headers],[CENTENARIO]]='PLANILLA DJ'!I30,CUTRAL_CO[[#Headers],[CUTRAL_CO]],JUNIN_DE_LOS_ANDES[[#Headers],[JUNIN_DE_LOS_ANDES]]='PLANILLA DJ'!I30,'PLANILLA DJ'!I30=NEUQUEN[[#Headers],[NEUQUEN]],PLAZA_HUINCUL[[#Headers],[PLAZA_HUINCUL]]='PLANILLA DJ'!I30,'PLANILLA DJ'!I30=PLOTTIER[[#Headers],[PLOTTIER]])),"COMPLETAR BARRIO",IF(AND(BM30,ISBLANK(Q30)),"Completar Nombre de VICTIMA o DENUNCIANTE",IF(AND(BM30,ISBLANK(R30)),"Completar TIPO DE ACTUACION",IF(AND(R30=BUSCADOR!$B$140,OR(X30&lt;&gt;BUSCADOR!$A$110,ISBLANK(X30))),"Se indico A CONSIDERACION en ACTUACION, indicar en el buscador de delitos A CONSIDERACION tambien",IF(AND(ISBLANK(X30)&lt;&gt;TRUE,IFERROR(MATCH(X30,BUSCADOR!$A$2:$A$112,0),-1)&lt;0),"EN EL BUSCADOR DE DELITOS NO agregar comentarios como SU INVESTIGACION, REPORTE, etc. Limitarse SOLAMENTE a poner A CONSIDERACION u otro valor que coincida en el buscador",IF(AND(ISBLANK(AD30),OR(Y30=BUSCADOR!$B$49,BUSCADOR!$B$50=Y30,Y30=BUSCADOR!$B$46,Y30=BUSCADOR!$B$2,Y30=BUSCADOR!$B$7,BUSCADOR!$B$109=Y30,X30=BUSCADOR!$A$58,X30=BUSCADOR!$A$59)),"Completar la celda TIPO DE LUGAR",IF(AND(ISBLANK(AE30),OR(AD30=BUSCADOR!$E$149,BUSCADOR!$E$150=AD30,AD30=BUSCADOR!$F$148)),"Completar DETALLE ESTABLECIMIENTO",IF(AND(ISBLANK(AF30),BM30),"Completar la celda MOTIVO QUE ORIGINA EL REGISTRO DEL HECHO",IF(AND(SUM(AG30:AI30)=0,OR(Y30=BUSCADOR!$B$2,BUSCADOR!$B$6=Y30,Y30=BUSCADOR!$B$7,BUSCADOR!$B$8=Y30,Y30=BUSCADOR!$B$9,BUSCADOR!$B$12=Y30,Y30=BUSCADOR!$B$13,BUSCADOR!$B$14=Y30,Y30=BUSCADOR!$B$17,BUSCADOR!$B$18=Y30,Y30=BUSCADOR!$B$20,BUSCADOR!$B$29=Y30,BUSCADOR!$B$34=Y30,BUSCADOR!$B$35=Y30,Y30=BUSCADOR!$B$109,Y30=BUSCADOR!$B$51,BUSCADOR!$B$50=Y30,Y30=BUSCADOR!$B$47,Y30=BUSCADOR!$B$58,Y30=BUSCADOR!$B$21,Y30=BUSCADOR!$B$22,Y30=BUSCADOR!$B$23,Y30=BUSCADOR!$B$24)),"El delito indicado debe presentar un numero de victimas. Completar la celda CANTIDAD DE VICTIMAS",IF(AND(SUM(AJ30:AO30)&gt;0,ISBLANK(AP30)),"Completar celda VULNERABILIDAD DE LA VICTIMA",IF(SUM(AG30:AI30)&lt;&gt;SUM(AJ30:AO30),"Se indico una CANTIDAD DE VICTIMAS SEGUN SEXO diferente a SEGUN GENERO",IF(AND(ISBLANK(AR30),OR(Y30=BUSCADOR!$B$49,BUSCADOR!$B$50=Y30,Y30=BUSCADOR!$B$46,Y30=BUSCADOR!$B$109,BUSCADOR!$B$2=Y30,X30=BUSCADOR!$A$58,X30=BUSCADOR!$A$59)),"Completar la celda TIPO DE ARMA, MODALIDAD O MECANISMO",IF(AND(ISBLANK(AS30),OR(Y30=BUSCADOR!$B$51,BUSCADOR!$B$50=Y30,Y30=BUSCADOR!$B$47,BUSCADOR!$A$58=X30,X30=BUSCADOR!$A$59)),"Completar la celda CONOCIDO, en la seccion de los inculpados",IF(AND(AS30=BUSCADOR!$B$127,OR(Y30=BUSCADOR!$B$51,BUSCADOR!$B$50,Y30,BUSCADOR!$B$46),OR(SUM(AT30:AV30)&lt;&gt;SUM(AW30:AZ30),SUM(AT30:AZ30)=0)),"Revisar las celdas correspondientes a CANTIDAD DE INCULPADOS. Se indica una cantidad diferente segun SEXO y EDAD o no se indico cantidad alguna",IF(AND(ISBLANK(BA30),X30=BUSCADOR!$A$27),"Se indico una persona desaparecida. Completar la casilla APARECIO",IF(AND(ISBLANK(BB30),OR(Y30=BUSCADOR!$B$49,BUSCADOR!$B$50=Y30,Y30=BUSCADOR!$B$46)),"Completar la casilla ELEMENTO SUSTRAIDO",IF(OR(AND(BB30=OTROS[[#Headers],[OTROS]],ISBLANK(BC30)),AND(BB30=ABIGEATO[[#Headers],[ABIGEATO]],ISBLANK(BC30))),"Completar la celda SUBCATEGORIA",IF(AND(OR(BB30=MOTOCICLETA[[#Headers],[MOTOCICLETA]],BB30=AUTOMOTOR[[#Headers],[AUTOMOTOR]]),OR(ISBLANK(BC30),ISBLANK(BD30),ISBLANK(BE30),ISBLANK(BF30))),"Se indico un AUTOMOTOR o MOTOCICLETA en ELEMENTOS SUSTRAIDOS, completar las celdas SUBCATEGORIA, DENOMINACION, AÑO y MODELO", IF(AND(ISBLANK(BB30)&lt;&gt;TRUE,ISBLANK(BJ30)),"Completar MODUS OPERANDI",IF(AND(ISBLANK(BK30),OR(BJ30=BUSCADOR!$H$232,BJ30=BUSCADOR!$I$232)),"Completar ESPECIALIDAD",IF(OR(AND(H30='SAT-Homicidios Dolosos'!$B$5,'SAT-Homicidios Dolosos'!$A$5&lt;&gt;"OK"),AND(H30='SAT-Homicidios Dolosos'!$B$8,'SAT-Homicidios Dolosos'!$A$8&lt;&gt;"OK")),"Se indico un HOMICIDIO, existen CELDAS VACIAS en la hoja SAT-HOMICIDIOS DOLOSOS Completar los datos indicados",IF(OR(AND(H30='SAT-Muertes Viales'!$E$21,'SAT-Muertes Viales'!$A$21&lt;&gt;"OK"),AND(H30='SAT-Muertes Viales'!$E$25,'SAT-Muertes Viales'!$A$25&lt;&gt;"OK"),AND(H30='SAT-Muertes Viales'!$E$29,'SAT-Muertes Viales'!$A$29&lt;&gt;"OK")),"Se indico un HOMICIDIO POR SINIESTRO VIAL, existen CELDAS VACIAS en la hoja SAT-MUERTES VIALES Completar los datos indicados",IF(OR(AND(H30='SAT-Suicidios'!$B$19,'SAT-Suicidios'!$A$19&lt;&gt;"OK"),AND(H30='SAT-Suicidios'!$B$22,'SAT-Suicidios'!$A$22&lt;&gt;"OK"),AND(H30='SAT-Suicidios'!$B$25,'SAT-Suicidios'!$A$25&lt;&gt;"OK")),"Se indico un SUICIDIO, existen CELDAS VACIAS en la hoja SAT-SUICIDIOS Completar los datos indicados",IF(IFERROR(MATCH(X30,BUSCADOR!$A$2:$A$112,0),-1)&lt;0,"No se indico delito",IF(AND(ISBLANK(BL30),OR(X30=BUSCADOR!$A$111,X30=BUSCADOR!$A$110)),"Llenar la casilla DETALLES, COMENTARIOS con una descripcion de la causa",IF(AND(X30="MUERTE DUDOSA",ISBLANK(BL30)=FALSE),"SE INDICO MUERTE DUDOSA, NOS CONTACTAREMOS PARA MAS INFORMACION","FILA CORRECTA"))))))))))))))))))))))))))))))</f>
        <v>No se indico delito</v>
      </c>
      <c r="C30" s="42"/>
      <c r="D30" s="90"/>
      <c r="E30" s="47"/>
      <c r="F30" s="88"/>
      <c r="G30" s="221" t="str">
        <f t="shared" si="9"/>
        <v>Comisaría 15°</v>
      </c>
      <c r="H30" s="46"/>
      <c r="I30" s="52"/>
      <c r="J30" s="27"/>
      <c r="K30" s="27"/>
      <c r="L30" s="27"/>
      <c r="M30" s="27"/>
      <c r="N30" s="92"/>
      <c r="O30" s="55" t="str">
        <f t="shared" si="10"/>
        <v/>
      </c>
      <c r="P30" s="56" t="str">
        <f t="shared" si="11"/>
        <v/>
      </c>
      <c r="Q30" s="52"/>
      <c r="R30" s="46"/>
      <c r="S30" s="62"/>
      <c r="T30" s="57" t="str">
        <f>IFERROR(VLOOKUP(X30,BUSCADOR!$A$2:$E$112,5,FALSE),"")</f>
        <v/>
      </c>
      <c r="U30" s="107" t="str">
        <f t="shared" si="0"/>
        <v/>
      </c>
      <c r="V30" s="28" t="str">
        <f>IFERROR(VLOOKUP(X30,BUSCADOR!$A$2:$E$112,4,FALSE),"")</f>
        <v/>
      </c>
      <c r="W30" s="107" t="str">
        <f t="shared" si="3"/>
        <v/>
      </c>
      <c r="X30" s="27"/>
      <c r="Y30" s="58" t="str">
        <f>IFERROR(VLOOKUP(X30,BUSCADOR!$A$2:$B$112,2,FALSE),"")</f>
        <v/>
      </c>
      <c r="Z30" s="101" t="str">
        <f t="shared" si="4"/>
        <v>__</v>
      </c>
      <c r="AA30" s="103" t="str">
        <f t="shared" si="5"/>
        <v>___</v>
      </c>
      <c r="AB30" s="104" t="str">
        <f t="shared" si="6"/>
        <v>____</v>
      </c>
      <c r="AC30" s="104" t="str">
        <f t="shared" si="6"/>
        <v>_____</v>
      </c>
      <c r="AD30" s="83"/>
      <c r="AE30" s="45"/>
      <c r="AF30" s="66"/>
      <c r="AG30" s="212"/>
      <c r="AH30" s="213"/>
      <c r="AI30" s="214"/>
      <c r="AJ30" s="219"/>
      <c r="AK30" s="213"/>
      <c r="AL30" s="213"/>
      <c r="AM30" s="213"/>
      <c r="AN30" s="213"/>
      <c r="AO30" s="219"/>
      <c r="AP30" s="95"/>
      <c r="AQ30" s="186" t="str">
        <f t="shared" si="1"/>
        <v/>
      </c>
      <c r="AR30" s="66"/>
      <c r="AS30" s="76"/>
      <c r="AT30" s="225"/>
      <c r="AU30" s="213"/>
      <c r="AV30" s="214"/>
      <c r="AW30" s="226"/>
      <c r="AX30" s="213"/>
      <c r="AY30" s="213"/>
      <c r="AZ30" s="227"/>
      <c r="BA30" s="65"/>
      <c r="BB30" s="52"/>
      <c r="BC30" s="27"/>
      <c r="BD30" s="27"/>
      <c r="BE30" s="27"/>
      <c r="BF30" s="79"/>
      <c r="BG30" s="52"/>
      <c r="BH30" s="69"/>
      <c r="BI30" s="188" t="str">
        <f>IF(Y30=BUSCADOR!$B$46,"HURTO_",IF(OR(Y30=BUSCADOR!$B$49,Y30=BUSCADOR!$B$50),"ROBO_",""))</f>
        <v/>
      </c>
      <c r="BJ30" s="50"/>
      <c r="BK30" s="45"/>
      <c r="BL30" s="66"/>
      <c r="BM30" s="1" t="b">
        <f t="shared" si="7"/>
        <v>0</v>
      </c>
    </row>
    <row r="31" spans="1:65" ht="117.6" customHeight="1" x14ac:dyDescent="0.25">
      <c r="A31" s="171">
        <v>29</v>
      </c>
      <c r="B31" s="41" t="str">
        <f>IF(AND(BM31,ISBLANK(C31)),"Completar FECHA DE DENUNCIA",IF(AND(BM31,OR(ISBLANK(D31),ISBLANK(E31),ISBLANK(H31))),"Completar las celdas FECHA, HORA Y PREVENTIVO. En caso de no conocer la fecha u horario colocar INDETERMINADO",IF(AND(BM31,ISBLANK(G31)),"Completar COMISARIA",IF(AND(BM31,OR(ISBLANK(I31),ISBLANK(L31),ISBLANK(M31),O31="")),"Completar las celdas LOCALIDAD, CALLE, ALTURA Y DIRECCION SEGUN  GOOGLE MAPS",IF(AND(ISBLANK(J31),OR(I31=AÑELO[[#Headers],[AÑELO]],CENTENARIO[[#Headers],[CENTENARIO]]='PLANILLA DJ'!I31,CUTRAL_CO[[#Headers],[CUTRAL_CO]],JUNIN_DE_LOS_ANDES[[#Headers],[JUNIN_DE_LOS_ANDES]]='PLANILLA DJ'!I31,'PLANILLA DJ'!I31=NEUQUEN[[#Headers],[NEUQUEN]],PLAZA_HUINCUL[[#Headers],[PLAZA_HUINCUL]]='PLANILLA DJ'!I31,'PLANILLA DJ'!I31=PLOTTIER[[#Headers],[PLOTTIER]])),"COMPLETAR BARRIO",IF(AND(BM31,ISBLANK(Q31)),"Completar Nombre de VICTIMA o DENUNCIANTE",IF(AND(BM31,ISBLANK(R31)),"Completar TIPO DE ACTUACION",IF(AND(R31=BUSCADOR!$B$140,OR(X31&lt;&gt;BUSCADOR!$A$110,ISBLANK(X31))),"Se indico A CONSIDERACION en ACTUACION, indicar en el buscador de delitos A CONSIDERACION tambien",IF(AND(ISBLANK(X31)&lt;&gt;TRUE,IFERROR(MATCH(X31,BUSCADOR!$A$2:$A$112,0),-1)&lt;0),"EN EL BUSCADOR DE DELITOS NO agregar comentarios como SU INVESTIGACION, REPORTE, etc. Limitarse SOLAMENTE a poner A CONSIDERACION u otro valor que coincida en el buscador",IF(AND(ISBLANK(AD31),OR(Y31=BUSCADOR!$B$49,BUSCADOR!$B$50=Y31,Y31=BUSCADOR!$B$46,Y31=BUSCADOR!$B$2,Y31=BUSCADOR!$B$7,BUSCADOR!$B$109=Y31,X31=BUSCADOR!$A$58,X31=BUSCADOR!$A$59)),"Completar la celda TIPO DE LUGAR",IF(AND(ISBLANK(AE31),OR(AD31=BUSCADOR!$E$149,BUSCADOR!$E$150=AD31,AD31=BUSCADOR!$F$148)),"Completar DETALLE ESTABLECIMIENTO",IF(AND(ISBLANK(AF31),BM31),"Completar la celda MOTIVO QUE ORIGINA EL REGISTRO DEL HECHO",IF(AND(SUM(AG31:AI31)=0,OR(Y31=BUSCADOR!$B$2,BUSCADOR!$B$6=Y31,Y31=BUSCADOR!$B$7,BUSCADOR!$B$8=Y31,Y31=BUSCADOR!$B$9,BUSCADOR!$B$12=Y31,Y31=BUSCADOR!$B$13,BUSCADOR!$B$14=Y31,Y31=BUSCADOR!$B$17,BUSCADOR!$B$18=Y31,Y31=BUSCADOR!$B$20,BUSCADOR!$B$29=Y31,BUSCADOR!$B$34=Y31,BUSCADOR!$B$35=Y31,Y31=BUSCADOR!$B$109,Y31=BUSCADOR!$B$51,BUSCADOR!$B$50=Y31,Y31=BUSCADOR!$B$47,Y31=BUSCADOR!$B$58,Y31=BUSCADOR!$B$21,Y31=BUSCADOR!$B$22,Y31=BUSCADOR!$B$23,Y31=BUSCADOR!$B$24)),"El delito indicado debe presentar un numero de victimas. Completar la celda CANTIDAD DE VICTIMAS",IF(AND(SUM(AJ31:AO31)&gt;0,ISBLANK(AP31)),"Completar celda VULNERABILIDAD DE LA VICTIMA",IF(SUM(AG31:AI31)&lt;&gt;SUM(AJ31:AO31),"Se indico una CANTIDAD DE VICTIMAS SEGUN SEXO diferente a SEGUN GENERO",IF(AND(ISBLANK(AR31),OR(Y31=BUSCADOR!$B$49,BUSCADOR!$B$50=Y31,Y31=BUSCADOR!$B$46,Y31=BUSCADOR!$B$109,BUSCADOR!$B$2=Y31,X31=BUSCADOR!$A$58,X31=BUSCADOR!$A$59)),"Completar la celda TIPO DE ARMA, MODALIDAD O MECANISMO",IF(AND(ISBLANK(AS31),OR(Y31=BUSCADOR!$B$51,BUSCADOR!$B$50=Y31,Y31=BUSCADOR!$B$47,BUSCADOR!$A$58=X31,X31=BUSCADOR!$A$59)),"Completar la celda CONOCIDO, en la seccion de los inculpados",IF(AND(AS31=BUSCADOR!$B$127,OR(Y31=BUSCADOR!$B$51,BUSCADOR!$B$50,Y31,BUSCADOR!$B$46),OR(SUM(AT31:AV31)&lt;&gt;SUM(AW31:AZ31),SUM(AT31:AZ31)=0)),"Revisar las celdas correspondientes a CANTIDAD DE INCULPADOS. Se indica una cantidad diferente segun SEXO y EDAD o no se indico cantidad alguna",IF(AND(ISBLANK(BA31),X31=BUSCADOR!$A$27),"Se indico una persona desaparecida. Completar la casilla APARECIO",IF(AND(ISBLANK(BB31),OR(Y31=BUSCADOR!$B$49,BUSCADOR!$B$50=Y31,Y31=BUSCADOR!$B$46)),"Completar la casilla ELEMENTO SUSTRAIDO",IF(OR(AND(BB31=OTROS[[#Headers],[OTROS]],ISBLANK(BC31)),AND(BB31=ABIGEATO[[#Headers],[ABIGEATO]],ISBLANK(BC31))),"Completar la celda SUBCATEGORIA",IF(AND(OR(BB31=MOTOCICLETA[[#Headers],[MOTOCICLETA]],BB31=AUTOMOTOR[[#Headers],[AUTOMOTOR]]),OR(ISBLANK(BC31),ISBLANK(BD31),ISBLANK(BE31),ISBLANK(BF31))),"Se indico un AUTOMOTOR o MOTOCICLETA en ELEMENTOS SUSTRAIDOS, completar las celdas SUBCATEGORIA, DENOMINACION, AÑO y MODELO", IF(AND(ISBLANK(BB31)&lt;&gt;TRUE,ISBLANK(BJ31)),"Completar MODUS OPERANDI",IF(AND(ISBLANK(BK31),OR(BJ31=BUSCADOR!$H$232,BJ31=BUSCADOR!$I$232)),"Completar ESPECIALIDAD",IF(OR(AND(H31='SAT-Homicidios Dolosos'!$B$5,'SAT-Homicidios Dolosos'!$A$5&lt;&gt;"OK"),AND(H31='SAT-Homicidios Dolosos'!$B$8,'SAT-Homicidios Dolosos'!$A$8&lt;&gt;"OK")),"Se indico un HOMICIDIO, existen CELDAS VACIAS en la hoja SAT-HOMICIDIOS DOLOSOS Completar los datos indicados",IF(OR(AND(H31='SAT-Muertes Viales'!$E$21,'SAT-Muertes Viales'!$A$21&lt;&gt;"OK"),AND(H31='SAT-Muertes Viales'!$E$25,'SAT-Muertes Viales'!$A$25&lt;&gt;"OK"),AND(H31='SAT-Muertes Viales'!$E$29,'SAT-Muertes Viales'!$A$29&lt;&gt;"OK")),"Se indico un HOMICIDIO POR SINIESTRO VIAL, existen CELDAS VACIAS en la hoja SAT-MUERTES VIALES Completar los datos indicados",IF(OR(AND(H31='SAT-Suicidios'!$B$19,'SAT-Suicidios'!$A$19&lt;&gt;"OK"),AND(H31='SAT-Suicidios'!$B$22,'SAT-Suicidios'!$A$22&lt;&gt;"OK"),AND(H31='SAT-Suicidios'!$B$25,'SAT-Suicidios'!$A$25&lt;&gt;"OK")),"Se indico un SUICIDIO, existen CELDAS VACIAS en la hoja SAT-SUICIDIOS Completar los datos indicados",IF(IFERROR(MATCH(X31,BUSCADOR!$A$2:$A$112,0),-1)&lt;0,"No se indico delito",IF(AND(ISBLANK(BL31),OR(X31=BUSCADOR!$A$111,X31=BUSCADOR!$A$110)),"Llenar la casilla DETALLES, COMENTARIOS con una descripcion de la causa",IF(AND(X31="MUERTE DUDOSA",ISBLANK(BL31)=FALSE),"SE INDICO MUERTE DUDOSA, NOS CONTACTAREMOS PARA MAS INFORMACION","FILA CORRECTA"))))))))))))))))))))))))))))))</f>
        <v>No se indico delito</v>
      </c>
      <c r="C31" s="42"/>
      <c r="D31" s="90"/>
      <c r="E31" s="47"/>
      <c r="F31" s="88"/>
      <c r="G31" s="221" t="str">
        <f t="shared" si="9"/>
        <v>Comisaría 15°</v>
      </c>
      <c r="H31" s="46"/>
      <c r="I31" s="52"/>
      <c r="J31" s="27"/>
      <c r="K31" s="27"/>
      <c r="L31" s="27"/>
      <c r="M31" s="27"/>
      <c r="N31" s="46"/>
      <c r="O31" s="55" t="str">
        <f t="shared" si="10"/>
        <v/>
      </c>
      <c r="P31" s="56" t="str">
        <f t="shared" si="11"/>
        <v/>
      </c>
      <c r="Q31" s="52"/>
      <c r="R31" s="46"/>
      <c r="S31" s="62"/>
      <c r="T31" s="57" t="str">
        <f>IFERROR(VLOOKUP(X31,BUSCADOR!$A$2:$E$112,5,FALSE),"")</f>
        <v/>
      </c>
      <c r="U31" s="107" t="str">
        <f t="shared" si="0"/>
        <v/>
      </c>
      <c r="V31" s="28" t="str">
        <f>IFERROR(VLOOKUP(X31,BUSCADOR!$A$2:$E$112,4,FALSE),"")</f>
        <v/>
      </c>
      <c r="W31" s="107" t="str">
        <f t="shared" si="3"/>
        <v/>
      </c>
      <c r="X31" s="27"/>
      <c r="Y31" s="58" t="str">
        <f>IFERROR(VLOOKUP(X31,BUSCADOR!$A$2:$B$112,2,FALSE),"")</f>
        <v/>
      </c>
      <c r="Z31" s="101" t="str">
        <f t="shared" si="4"/>
        <v>__</v>
      </c>
      <c r="AA31" s="103" t="str">
        <f t="shared" si="5"/>
        <v>___</v>
      </c>
      <c r="AB31" s="104" t="str">
        <f t="shared" si="6"/>
        <v>____</v>
      </c>
      <c r="AC31" s="104" t="str">
        <f t="shared" si="6"/>
        <v>_____</v>
      </c>
      <c r="AD31" s="83"/>
      <c r="AE31" s="45"/>
      <c r="AF31" s="66"/>
      <c r="AG31" s="212"/>
      <c r="AH31" s="213"/>
      <c r="AI31" s="214"/>
      <c r="AJ31" s="219"/>
      <c r="AK31" s="213"/>
      <c r="AL31" s="213"/>
      <c r="AM31" s="213"/>
      <c r="AN31" s="213"/>
      <c r="AO31" s="219"/>
      <c r="AP31" s="95"/>
      <c r="AQ31" s="186" t="str">
        <f t="shared" si="1"/>
        <v/>
      </c>
      <c r="AR31" s="66"/>
      <c r="AS31" s="76"/>
      <c r="AT31" s="225"/>
      <c r="AU31" s="213"/>
      <c r="AV31" s="214"/>
      <c r="AW31" s="226"/>
      <c r="AX31" s="213"/>
      <c r="AY31" s="213"/>
      <c r="AZ31" s="227"/>
      <c r="BA31" s="65"/>
      <c r="BB31" s="52"/>
      <c r="BC31" s="27"/>
      <c r="BD31" s="27"/>
      <c r="BE31" s="27"/>
      <c r="BF31" s="79"/>
      <c r="BG31" s="52"/>
      <c r="BH31" s="69"/>
      <c r="BI31" s="188" t="str">
        <f>IF(Y31=BUSCADOR!$B$46,"HURTO_",IF(OR(Y31=BUSCADOR!$B$49,Y31=BUSCADOR!$B$50),"ROBO_",""))</f>
        <v/>
      </c>
      <c r="BJ31" s="50"/>
      <c r="BK31" s="45"/>
      <c r="BL31" s="66"/>
      <c r="BM31" s="1" t="b">
        <f t="shared" si="7"/>
        <v>0</v>
      </c>
    </row>
    <row r="32" spans="1:65" ht="117.6" customHeight="1" x14ac:dyDescent="0.25">
      <c r="A32" s="171">
        <v>30</v>
      </c>
      <c r="B32" s="41" t="str">
        <f>IF(AND(BM32,ISBLANK(C32)),"Completar FECHA DE DENUNCIA",IF(AND(BM32,OR(ISBLANK(D32),ISBLANK(E32),ISBLANK(H32))),"Completar las celdas FECHA, HORA Y PREVENTIVO. En caso de no conocer la fecha u horario colocar INDETERMINADO",IF(AND(BM32,ISBLANK(G32)),"Completar COMISARIA",IF(AND(BM32,OR(ISBLANK(I32),ISBLANK(L32),ISBLANK(M32),O32="")),"Completar las celdas LOCALIDAD, CALLE, ALTURA Y DIRECCION SEGUN  GOOGLE MAPS",IF(AND(ISBLANK(J32),OR(I32=AÑELO[[#Headers],[AÑELO]],CENTENARIO[[#Headers],[CENTENARIO]]='PLANILLA DJ'!I32,CUTRAL_CO[[#Headers],[CUTRAL_CO]],JUNIN_DE_LOS_ANDES[[#Headers],[JUNIN_DE_LOS_ANDES]]='PLANILLA DJ'!I32,'PLANILLA DJ'!I32=NEUQUEN[[#Headers],[NEUQUEN]],PLAZA_HUINCUL[[#Headers],[PLAZA_HUINCUL]]='PLANILLA DJ'!I32,'PLANILLA DJ'!I32=PLOTTIER[[#Headers],[PLOTTIER]])),"COMPLETAR BARRIO",IF(AND(BM32,ISBLANK(Q32)),"Completar Nombre de VICTIMA o DENUNCIANTE",IF(AND(BM32,ISBLANK(R32)),"Completar TIPO DE ACTUACION",IF(AND(R32=BUSCADOR!$B$140,OR(X32&lt;&gt;BUSCADOR!$A$110,ISBLANK(X32))),"Se indico A CONSIDERACION en ACTUACION, indicar en el buscador de delitos A CONSIDERACION tambien",IF(AND(ISBLANK(X32)&lt;&gt;TRUE,IFERROR(MATCH(X32,BUSCADOR!$A$2:$A$112,0),-1)&lt;0),"EN EL BUSCADOR DE DELITOS NO agregar comentarios como SU INVESTIGACION, REPORTE, etc. Limitarse SOLAMENTE a poner A CONSIDERACION u otro valor que coincida en el buscador",IF(AND(ISBLANK(AD32),OR(Y32=BUSCADOR!$B$49,BUSCADOR!$B$50=Y32,Y32=BUSCADOR!$B$46,Y32=BUSCADOR!$B$2,Y32=BUSCADOR!$B$7,BUSCADOR!$B$109=Y32,X32=BUSCADOR!$A$58,X32=BUSCADOR!$A$59)),"Completar la celda TIPO DE LUGAR",IF(AND(ISBLANK(AE32),OR(AD32=BUSCADOR!$E$149,BUSCADOR!$E$150=AD32,AD32=BUSCADOR!$F$148)),"Completar DETALLE ESTABLECIMIENTO",IF(AND(ISBLANK(AF32),BM32),"Completar la celda MOTIVO QUE ORIGINA EL REGISTRO DEL HECHO",IF(AND(SUM(AG32:AI32)=0,OR(Y32=BUSCADOR!$B$2,BUSCADOR!$B$6=Y32,Y32=BUSCADOR!$B$7,BUSCADOR!$B$8=Y32,Y32=BUSCADOR!$B$9,BUSCADOR!$B$12=Y32,Y32=BUSCADOR!$B$13,BUSCADOR!$B$14=Y32,Y32=BUSCADOR!$B$17,BUSCADOR!$B$18=Y32,Y32=BUSCADOR!$B$20,BUSCADOR!$B$29=Y32,BUSCADOR!$B$34=Y32,BUSCADOR!$B$35=Y32,Y32=BUSCADOR!$B$109,Y32=BUSCADOR!$B$51,BUSCADOR!$B$50=Y32,Y32=BUSCADOR!$B$47,Y32=BUSCADOR!$B$58,Y32=BUSCADOR!$B$21,Y32=BUSCADOR!$B$22,Y32=BUSCADOR!$B$23,Y32=BUSCADOR!$B$24)),"El delito indicado debe presentar un numero de victimas. Completar la celda CANTIDAD DE VICTIMAS",IF(AND(SUM(AJ32:AO32)&gt;0,ISBLANK(AP32)),"Completar celda VULNERABILIDAD DE LA VICTIMA",IF(SUM(AG32:AI32)&lt;&gt;SUM(AJ32:AO32),"Se indico una CANTIDAD DE VICTIMAS SEGUN SEXO diferente a SEGUN GENERO",IF(AND(ISBLANK(AR32),OR(Y32=BUSCADOR!$B$49,BUSCADOR!$B$50=Y32,Y32=BUSCADOR!$B$46,Y32=BUSCADOR!$B$109,BUSCADOR!$B$2=Y32,X32=BUSCADOR!$A$58,X32=BUSCADOR!$A$59)),"Completar la celda TIPO DE ARMA, MODALIDAD O MECANISMO",IF(AND(ISBLANK(AS32),OR(Y32=BUSCADOR!$B$51,BUSCADOR!$B$50=Y32,Y32=BUSCADOR!$B$47,BUSCADOR!$A$58=X32,X32=BUSCADOR!$A$59)),"Completar la celda CONOCIDO, en la seccion de los inculpados",IF(AND(AS32=BUSCADOR!$B$127,OR(Y32=BUSCADOR!$B$51,BUSCADOR!$B$50,Y32,BUSCADOR!$B$46),OR(SUM(AT32:AV32)&lt;&gt;SUM(AW32:AZ32),SUM(AT32:AZ32)=0)),"Revisar las celdas correspondientes a CANTIDAD DE INCULPADOS. Se indica una cantidad diferente segun SEXO y EDAD o no se indico cantidad alguna",IF(AND(ISBLANK(BA32),X32=BUSCADOR!$A$27),"Se indico una persona desaparecida. Completar la casilla APARECIO",IF(AND(ISBLANK(BB32),OR(Y32=BUSCADOR!$B$49,BUSCADOR!$B$50=Y32,Y32=BUSCADOR!$B$46)),"Completar la casilla ELEMENTO SUSTRAIDO",IF(OR(AND(BB32=OTROS[[#Headers],[OTROS]],ISBLANK(BC32)),AND(BB32=ABIGEATO[[#Headers],[ABIGEATO]],ISBLANK(BC32))),"Completar la celda SUBCATEGORIA",IF(AND(OR(BB32=MOTOCICLETA[[#Headers],[MOTOCICLETA]],BB32=AUTOMOTOR[[#Headers],[AUTOMOTOR]]),OR(ISBLANK(BC32),ISBLANK(BD32),ISBLANK(BE32),ISBLANK(BF32))),"Se indico un AUTOMOTOR o MOTOCICLETA en ELEMENTOS SUSTRAIDOS, completar las celdas SUBCATEGORIA, DENOMINACION, AÑO y MODELO", IF(AND(ISBLANK(BB32)&lt;&gt;TRUE,ISBLANK(BJ32)),"Completar MODUS OPERANDI",IF(AND(ISBLANK(BK32),OR(BJ32=BUSCADOR!$H$232,BJ32=BUSCADOR!$I$232)),"Completar ESPECIALIDAD",IF(OR(AND(H32='SAT-Homicidios Dolosos'!$B$5,'SAT-Homicidios Dolosos'!$A$5&lt;&gt;"OK"),AND(H32='SAT-Homicidios Dolosos'!$B$8,'SAT-Homicidios Dolosos'!$A$8&lt;&gt;"OK")),"Se indico un HOMICIDIO, existen CELDAS VACIAS en la hoja SAT-HOMICIDIOS DOLOSOS Completar los datos indicados",IF(OR(AND(H32='SAT-Muertes Viales'!$E$21,'SAT-Muertes Viales'!$A$21&lt;&gt;"OK"),AND(H32='SAT-Muertes Viales'!$E$25,'SAT-Muertes Viales'!$A$25&lt;&gt;"OK"),AND(H32='SAT-Muertes Viales'!$E$29,'SAT-Muertes Viales'!$A$29&lt;&gt;"OK")),"Se indico un HOMICIDIO POR SINIESTRO VIAL, existen CELDAS VACIAS en la hoja SAT-MUERTES VIALES Completar los datos indicados",IF(OR(AND(H32='SAT-Suicidios'!$B$19,'SAT-Suicidios'!$A$19&lt;&gt;"OK"),AND(H32='SAT-Suicidios'!$B$22,'SAT-Suicidios'!$A$22&lt;&gt;"OK"),AND(H32='SAT-Suicidios'!$B$25,'SAT-Suicidios'!$A$25&lt;&gt;"OK")),"Se indico un SUICIDIO, existen CELDAS VACIAS en la hoja SAT-SUICIDIOS Completar los datos indicados",IF(IFERROR(MATCH(X32,BUSCADOR!$A$2:$A$112,0),-1)&lt;0,"No se indico delito",IF(AND(ISBLANK(BL32),OR(X32=BUSCADOR!$A$111,X32=BUSCADOR!$A$110)),"Llenar la casilla DETALLES, COMENTARIOS con una descripcion de la causa",IF(AND(X32="MUERTE DUDOSA",ISBLANK(BL32)=FALSE),"SE INDICO MUERTE DUDOSA, NOS CONTACTAREMOS PARA MAS INFORMACION","FILA CORRECTA"))))))))))))))))))))))))))))))</f>
        <v>No se indico delito</v>
      </c>
      <c r="C32" s="42"/>
      <c r="D32" s="90"/>
      <c r="E32" s="47"/>
      <c r="F32" s="88"/>
      <c r="G32" s="221" t="str">
        <f t="shared" si="9"/>
        <v>Comisaría 15°</v>
      </c>
      <c r="H32" s="46"/>
      <c r="I32" s="52"/>
      <c r="J32" s="27"/>
      <c r="K32" s="27"/>
      <c r="L32" s="27"/>
      <c r="M32" s="27"/>
      <c r="N32" s="46"/>
      <c r="O32" s="55" t="str">
        <f t="shared" si="10"/>
        <v/>
      </c>
      <c r="P32" s="56" t="str">
        <f t="shared" si="11"/>
        <v/>
      </c>
      <c r="Q32" s="52"/>
      <c r="R32" s="46"/>
      <c r="S32" s="62"/>
      <c r="T32" s="57" t="str">
        <f>IFERROR(VLOOKUP(X32,BUSCADOR!$A$2:$E$112,5,FALSE),"")</f>
        <v/>
      </c>
      <c r="U32" s="107" t="str">
        <f t="shared" si="0"/>
        <v/>
      </c>
      <c r="V32" s="28" t="str">
        <f>IFERROR(VLOOKUP(X32,BUSCADOR!$A$2:$E$112,4,FALSE),"")</f>
        <v/>
      </c>
      <c r="W32" s="107" t="str">
        <f t="shared" si="3"/>
        <v/>
      </c>
      <c r="X32" s="27"/>
      <c r="Y32" s="58" t="str">
        <f>IFERROR(VLOOKUP(X32,BUSCADOR!$A$2:$B$112,2,FALSE),"")</f>
        <v/>
      </c>
      <c r="Z32" s="101" t="str">
        <f t="shared" si="4"/>
        <v>__</v>
      </c>
      <c r="AA32" s="103" t="str">
        <f t="shared" si="5"/>
        <v>___</v>
      </c>
      <c r="AB32" s="104" t="str">
        <f t="shared" si="6"/>
        <v>____</v>
      </c>
      <c r="AC32" s="104" t="str">
        <f t="shared" si="6"/>
        <v>_____</v>
      </c>
      <c r="AD32" s="83"/>
      <c r="AE32" s="45"/>
      <c r="AF32" s="66"/>
      <c r="AG32" s="212"/>
      <c r="AH32" s="213"/>
      <c r="AI32" s="214"/>
      <c r="AJ32" s="219"/>
      <c r="AK32" s="213"/>
      <c r="AL32" s="213"/>
      <c r="AM32" s="213"/>
      <c r="AN32" s="213"/>
      <c r="AO32" s="219"/>
      <c r="AP32" s="95"/>
      <c r="AQ32" s="186" t="str">
        <f t="shared" si="1"/>
        <v/>
      </c>
      <c r="AR32" s="66"/>
      <c r="AS32" s="76"/>
      <c r="AT32" s="225"/>
      <c r="AU32" s="213"/>
      <c r="AV32" s="214"/>
      <c r="AW32" s="226"/>
      <c r="AX32" s="213"/>
      <c r="AY32" s="213"/>
      <c r="AZ32" s="227"/>
      <c r="BA32" s="65"/>
      <c r="BB32" s="52"/>
      <c r="BC32" s="27"/>
      <c r="BD32" s="27"/>
      <c r="BE32" s="27"/>
      <c r="BF32" s="79"/>
      <c r="BG32" s="52"/>
      <c r="BH32" s="69"/>
      <c r="BI32" s="188" t="str">
        <f>IF(Y32=BUSCADOR!$B$46,"HURTO_",IF(OR(Y32=BUSCADOR!$B$49,Y32=BUSCADOR!$B$50),"ROBO_",""))</f>
        <v/>
      </c>
      <c r="BJ32" s="50"/>
      <c r="BK32" s="45"/>
      <c r="BL32" s="66"/>
      <c r="BM32" s="1" t="b">
        <f t="shared" si="7"/>
        <v>0</v>
      </c>
    </row>
    <row r="33" spans="1:65" ht="117.6" customHeight="1" x14ac:dyDescent="0.25">
      <c r="A33" s="171">
        <v>31</v>
      </c>
      <c r="B33" s="41" t="str">
        <f>IF(AND(BM33,ISBLANK(C33)),"Completar FECHA DE DENUNCIA",IF(AND(BM33,OR(ISBLANK(D33),ISBLANK(E33),ISBLANK(H33))),"Completar las celdas FECHA, HORA Y PREVENTIVO. En caso de no conocer la fecha u horario colocar INDETERMINADO",IF(AND(BM33,ISBLANK(G33)),"Completar COMISARIA",IF(AND(BM33,OR(ISBLANK(I33),ISBLANK(L33),ISBLANK(M33),O33="")),"Completar las celdas LOCALIDAD, CALLE, ALTURA Y DIRECCION SEGUN  GOOGLE MAPS",IF(AND(ISBLANK(J33),OR(I33=AÑELO[[#Headers],[AÑELO]],CENTENARIO[[#Headers],[CENTENARIO]]='PLANILLA DJ'!I33,CUTRAL_CO[[#Headers],[CUTRAL_CO]],JUNIN_DE_LOS_ANDES[[#Headers],[JUNIN_DE_LOS_ANDES]]='PLANILLA DJ'!I33,'PLANILLA DJ'!I33=NEUQUEN[[#Headers],[NEUQUEN]],PLAZA_HUINCUL[[#Headers],[PLAZA_HUINCUL]]='PLANILLA DJ'!I33,'PLANILLA DJ'!I33=PLOTTIER[[#Headers],[PLOTTIER]])),"COMPLETAR BARRIO",IF(AND(BM33,ISBLANK(Q33)),"Completar Nombre de VICTIMA o DENUNCIANTE",IF(AND(BM33,ISBLANK(R33)),"Completar TIPO DE ACTUACION",IF(AND(R33=BUSCADOR!$B$140,OR(X33&lt;&gt;BUSCADOR!$A$110,ISBLANK(X33))),"Se indico A CONSIDERACION en ACTUACION, indicar en el buscador de delitos A CONSIDERACION tambien",IF(AND(ISBLANK(X33)&lt;&gt;TRUE,IFERROR(MATCH(X33,BUSCADOR!$A$2:$A$112,0),-1)&lt;0),"EN EL BUSCADOR DE DELITOS NO agregar comentarios como SU INVESTIGACION, REPORTE, etc. Limitarse SOLAMENTE a poner A CONSIDERACION u otro valor que coincida en el buscador",IF(AND(ISBLANK(AD33),OR(Y33=BUSCADOR!$B$49,BUSCADOR!$B$50=Y33,Y33=BUSCADOR!$B$46,Y33=BUSCADOR!$B$2,Y33=BUSCADOR!$B$7,BUSCADOR!$B$109=Y33,X33=BUSCADOR!$A$58,X33=BUSCADOR!$A$59)),"Completar la celda TIPO DE LUGAR",IF(AND(ISBLANK(AE33),OR(AD33=BUSCADOR!$E$149,BUSCADOR!$E$150=AD33,AD33=BUSCADOR!$F$148)),"Completar DETALLE ESTABLECIMIENTO",IF(AND(ISBLANK(AF33),BM33),"Completar la celda MOTIVO QUE ORIGINA EL REGISTRO DEL HECHO",IF(AND(SUM(AG33:AI33)=0,OR(Y33=BUSCADOR!$B$2,BUSCADOR!$B$6=Y33,Y33=BUSCADOR!$B$7,BUSCADOR!$B$8=Y33,Y33=BUSCADOR!$B$9,BUSCADOR!$B$12=Y33,Y33=BUSCADOR!$B$13,BUSCADOR!$B$14=Y33,Y33=BUSCADOR!$B$17,BUSCADOR!$B$18=Y33,Y33=BUSCADOR!$B$20,BUSCADOR!$B$29=Y33,BUSCADOR!$B$34=Y33,BUSCADOR!$B$35=Y33,Y33=BUSCADOR!$B$109,Y33=BUSCADOR!$B$51,BUSCADOR!$B$50=Y33,Y33=BUSCADOR!$B$47,Y33=BUSCADOR!$B$58,Y33=BUSCADOR!$B$21,Y33=BUSCADOR!$B$22,Y33=BUSCADOR!$B$23,Y33=BUSCADOR!$B$24)),"El delito indicado debe presentar un numero de victimas. Completar la celda CANTIDAD DE VICTIMAS",IF(AND(SUM(AJ33:AO33)&gt;0,ISBLANK(AP33)),"Completar celda VULNERABILIDAD DE LA VICTIMA",IF(SUM(AG33:AI33)&lt;&gt;SUM(AJ33:AO33),"Se indico una CANTIDAD DE VICTIMAS SEGUN SEXO diferente a SEGUN GENERO",IF(AND(ISBLANK(AR33),OR(Y33=BUSCADOR!$B$49,BUSCADOR!$B$50=Y33,Y33=BUSCADOR!$B$46,Y33=BUSCADOR!$B$109,BUSCADOR!$B$2=Y33,X33=BUSCADOR!$A$58,X33=BUSCADOR!$A$59)),"Completar la celda TIPO DE ARMA, MODALIDAD O MECANISMO",IF(AND(ISBLANK(AS33),OR(Y33=BUSCADOR!$B$51,BUSCADOR!$B$50=Y33,Y33=BUSCADOR!$B$47,BUSCADOR!$A$58=X33,X33=BUSCADOR!$A$59)),"Completar la celda CONOCIDO, en la seccion de los inculpados",IF(AND(AS33=BUSCADOR!$B$127,OR(Y33=BUSCADOR!$B$51,BUSCADOR!$B$50,Y33,BUSCADOR!$B$46),OR(SUM(AT33:AV33)&lt;&gt;SUM(AW33:AZ33),SUM(AT33:AZ33)=0)),"Revisar las celdas correspondientes a CANTIDAD DE INCULPADOS. Se indica una cantidad diferente segun SEXO y EDAD o no se indico cantidad alguna",IF(AND(ISBLANK(BA33),X33=BUSCADOR!$A$27),"Se indico una persona desaparecida. Completar la casilla APARECIO",IF(AND(ISBLANK(BB33),OR(Y33=BUSCADOR!$B$49,BUSCADOR!$B$50=Y33,Y33=BUSCADOR!$B$46)),"Completar la casilla ELEMENTO SUSTRAIDO",IF(OR(AND(BB33=OTROS[[#Headers],[OTROS]],ISBLANK(BC33)),AND(BB33=ABIGEATO[[#Headers],[ABIGEATO]],ISBLANK(BC33))),"Completar la celda SUBCATEGORIA",IF(AND(OR(BB33=MOTOCICLETA[[#Headers],[MOTOCICLETA]],BB33=AUTOMOTOR[[#Headers],[AUTOMOTOR]]),OR(ISBLANK(BC33),ISBLANK(BD33),ISBLANK(BE33),ISBLANK(BF33))),"Se indico un AUTOMOTOR o MOTOCICLETA en ELEMENTOS SUSTRAIDOS, completar las celdas SUBCATEGORIA, DENOMINACION, AÑO y MODELO", IF(AND(ISBLANK(BB33)&lt;&gt;TRUE,ISBLANK(BJ33)),"Completar MODUS OPERANDI",IF(AND(ISBLANK(BK33),OR(BJ33=BUSCADOR!$H$232,BJ33=BUSCADOR!$I$232)),"Completar ESPECIALIDAD",IF(OR(AND(H33='SAT-Homicidios Dolosos'!$B$5,'SAT-Homicidios Dolosos'!$A$5&lt;&gt;"OK"),AND(H33='SAT-Homicidios Dolosos'!$B$8,'SAT-Homicidios Dolosos'!$A$8&lt;&gt;"OK")),"Se indico un HOMICIDIO, existen CELDAS VACIAS en la hoja SAT-HOMICIDIOS DOLOSOS Completar los datos indicados",IF(OR(AND(H33='SAT-Muertes Viales'!$E$21,'SAT-Muertes Viales'!$A$21&lt;&gt;"OK"),AND(H33='SAT-Muertes Viales'!$E$25,'SAT-Muertes Viales'!$A$25&lt;&gt;"OK"),AND(H33='SAT-Muertes Viales'!$E$29,'SAT-Muertes Viales'!$A$29&lt;&gt;"OK")),"Se indico un HOMICIDIO POR SINIESTRO VIAL, existen CELDAS VACIAS en la hoja SAT-MUERTES VIALES Completar los datos indicados",IF(OR(AND(H33='SAT-Suicidios'!$B$19,'SAT-Suicidios'!$A$19&lt;&gt;"OK"),AND(H33='SAT-Suicidios'!$B$22,'SAT-Suicidios'!$A$22&lt;&gt;"OK"),AND(H33='SAT-Suicidios'!$B$25,'SAT-Suicidios'!$A$25&lt;&gt;"OK")),"Se indico un SUICIDIO, existen CELDAS VACIAS en la hoja SAT-SUICIDIOS Completar los datos indicados",IF(IFERROR(MATCH(X33,BUSCADOR!$A$2:$A$112,0),-1)&lt;0,"No se indico delito",IF(AND(ISBLANK(BL33),OR(X33=BUSCADOR!$A$111,X33=BUSCADOR!$A$110)),"Llenar la casilla DETALLES, COMENTARIOS con una descripcion de la causa",IF(AND(X33="MUERTE DUDOSA",ISBLANK(BL33)=FALSE),"SE INDICO MUERTE DUDOSA, NOS CONTACTAREMOS PARA MAS INFORMACION","FILA CORRECTA"))))))))))))))))))))))))))))))</f>
        <v>No se indico delito</v>
      </c>
      <c r="C33" s="42"/>
      <c r="D33" s="90"/>
      <c r="E33" s="47"/>
      <c r="F33" s="88"/>
      <c r="G33" s="221" t="str">
        <f t="shared" si="9"/>
        <v>Comisaría 15°</v>
      </c>
      <c r="H33" s="46"/>
      <c r="I33" s="52"/>
      <c r="J33" s="27"/>
      <c r="K33" s="27"/>
      <c r="L33" s="27"/>
      <c r="M33" s="27"/>
      <c r="N33" s="46"/>
      <c r="O33" s="55" t="str">
        <f t="shared" si="10"/>
        <v/>
      </c>
      <c r="P33" s="56" t="str">
        <f t="shared" si="11"/>
        <v/>
      </c>
      <c r="Q33" s="52"/>
      <c r="R33" s="46"/>
      <c r="S33" s="62"/>
      <c r="T33" s="57" t="str">
        <f>IFERROR(VLOOKUP(X33,BUSCADOR!$A$2:$E$112,5,FALSE),"")</f>
        <v/>
      </c>
      <c r="U33" s="107" t="str">
        <f t="shared" si="0"/>
        <v/>
      </c>
      <c r="V33" s="28" t="str">
        <f>IFERROR(VLOOKUP(X33,BUSCADOR!$A$2:$E$112,4,FALSE),"")</f>
        <v/>
      </c>
      <c r="W33" s="107" t="str">
        <f t="shared" si="3"/>
        <v/>
      </c>
      <c r="X33" s="27"/>
      <c r="Y33" s="58" t="str">
        <f>IFERROR(VLOOKUP(X33,BUSCADOR!$A$2:$B$112,2,FALSE),"")</f>
        <v/>
      </c>
      <c r="Z33" s="101" t="str">
        <f t="shared" si="4"/>
        <v>__</v>
      </c>
      <c r="AA33" s="103" t="str">
        <f t="shared" si="5"/>
        <v>___</v>
      </c>
      <c r="AB33" s="104" t="str">
        <f t="shared" si="6"/>
        <v>____</v>
      </c>
      <c r="AC33" s="104" t="str">
        <f t="shared" si="6"/>
        <v>_____</v>
      </c>
      <c r="AD33" s="83"/>
      <c r="AE33" s="45"/>
      <c r="AF33" s="66"/>
      <c r="AG33" s="212"/>
      <c r="AH33" s="213"/>
      <c r="AI33" s="214"/>
      <c r="AJ33" s="219"/>
      <c r="AK33" s="213"/>
      <c r="AL33" s="213"/>
      <c r="AM33" s="213"/>
      <c r="AN33" s="213"/>
      <c r="AO33" s="219"/>
      <c r="AP33" s="95"/>
      <c r="AQ33" s="186" t="str">
        <f t="shared" si="1"/>
        <v/>
      </c>
      <c r="AR33" s="66"/>
      <c r="AS33" s="76"/>
      <c r="AT33" s="225"/>
      <c r="AU33" s="213"/>
      <c r="AV33" s="214"/>
      <c r="AW33" s="226"/>
      <c r="AX33" s="213"/>
      <c r="AY33" s="213"/>
      <c r="AZ33" s="227"/>
      <c r="BA33" s="65"/>
      <c r="BB33" s="52"/>
      <c r="BC33" s="27"/>
      <c r="BD33" s="27"/>
      <c r="BE33" s="27"/>
      <c r="BF33" s="79"/>
      <c r="BG33" s="52"/>
      <c r="BH33" s="69"/>
      <c r="BI33" s="188" t="str">
        <f>IF(Y33=BUSCADOR!$B$46,"HURTO_",IF(OR(Y33=BUSCADOR!$B$49,Y33=BUSCADOR!$B$50),"ROBO_",""))</f>
        <v/>
      </c>
      <c r="BJ33" s="50"/>
      <c r="BK33" s="45"/>
      <c r="BL33" s="66"/>
      <c r="BM33" s="1" t="b">
        <f t="shared" si="7"/>
        <v>0</v>
      </c>
    </row>
    <row r="34" spans="1:65" ht="117.6" customHeight="1" x14ac:dyDescent="0.25">
      <c r="A34" s="171">
        <v>32</v>
      </c>
      <c r="B34" s="41" t="str">
        <f>IF(AND(BM34,ISBLANK(C34)),"Completar FECHA DE DENUNCIA",IF(AND(BM34,OR(ISBLANK(D34),ISBLANK(E34),ISBLANK(H34))),"Completar las celdas FECHA, HORA Y PREVENTIVO. En caso de no conocer la fecha u horario colocar INDETERMINADO",IF(AND(BM34,ISBLANK(G34)),"Completar COMISARIA",IF(AND(BM34,OR(ISBLANK(I34),ISBLANK(L34),ISBLANK(M34),O34="")),"Completar las celdas LOCALIDAD, CALLE, ALTURA Y DIRECCION SEGUN  GOOGLE MAPS",IF(AND(ISBLANK(J34),OR(I34=AÑELO[[#Headers],[AÑELO]],CENTENARIO[[#Headers],[CENTENARIO]]='PLANILLA DJ'!I34,CUTRAL_CO[[#Headers],[CUTRAL_CO]],JUNIN_DE_LOS_ANDES[[#Headers],[JUNIN_DE_LOS_ANDES]]='PLANILLA DJ'!I34,'PLANILLA DJ'!I34=NEUQUEN[[#Headers],[NEUQUEN]],PLAZA_HUINCUL[[#Headers],[PLAZA_HUINCUL]]='PLANILLA DJ'!I34,'PLANILLA DJ'!I34=PLOTTIER[[#Headers],[PLOTTIER]])),"COMPLETAR BARRIO",IF(AND(BM34,ISBLANK(Q34)),"Completar Nombre de VICTIMA o DENUNCIANTE",IF(AND(BM34,ISBLANK(R34)),"Completar TIPO DE ACTUACION",IF(AND(R34=BUSCADOR!$B$140,OR(X34&lt;&gt;BUSCADOR!$A$110,ISBLANK(X34))),"Se indico A CONSIDERACION en ACTUACION, indicar en el buscador de delitos A CONSIDERACION tambien",IF(AND(ISBLANK(X34)&lt;&gt;TRUE,IFERROR(MATCH(X34,BUSCADOR!$A$2:$A$112,0),-1)&lt;0),"EN EL BUSCADOR DE DELITOS NO agregar comentarios como SU INVESTIGACION, REPORTE, etc. Limitarse SOLAMENTE a poner A CONSIDERACION u otro valor que coincida en el buscador",IF(AND(ISBLANK(AD34),OR(Y34=BUSCADOR!$B$49,BUSCADOR!$B$50=Y34,Y34=BUSCADOR!$B$46,Y34=BUSCADOR!$B$2,Y34=BUSCADOR!$B$7,BUSCADOR!$B$109=Y34,X34=BUSCADOR!$A$58,X34=BUSCADOR!$A$59)),"Completar la celda TIPO DE LUGAR",IF(AND(ISBLANK(AE34),OR(AD34=BUSCADOR!$E$149,BUSCADOR!$E$150=AD34,AD34=BUSCADOR!$F$148)),"Completar DETALLE ESTABLECIMIENTO",IF(AND(ISBLANK(AF34),BM34),"Completar la celda MOTIVO QUE ORIGINA EL REGISTRO DEL HECHO",IF(AND(SUM(AG34:AI34)=0,OR(Y34=BUSCADOR!$B$2,BUSCADOR!$B$6=Y34,Y34=BUSCADOR!$B$7,BUSCADOR!$B$8=Y34,Y34=BUSCADOR!$B$9,BUSCADOR!$B$12=Y34,Y34=BUSCADOR!$B$13,BUSCADOR!$B$14=Y34,Y34=BUSCADOR!$B$17,BUSCADOR!$B$18=Y34,Y34=BUSCADOR!$B$20,BUSCADOR!$B$29=Y34,BUSCADOR!$B$34=Y34,BUSCADOR!$B$35=Y34,Y34=BUSCADOR!$B$109,Y34=BUSCADOR!$B$51,BUSCADOR!$B$50=Y34,Y34=BUSCADOR!$B$47,Y34=BUSCADOR!$B$58,Y34=BUSCADOR!$B$21,Y34=BUSCADOR!$B$22,Y34=BUSCADOR!$B$23,Y34=BUSCADOR!$B$24)),"El delito indicado debe presentar un numero de victimas. Completar la celda CANTIDAD DE VICTIMAS",IF(AND(SUM(AJ34:AO34)&gt;0,ISBLANK(AP34)),"Completar celda VULNERABILIDAD DE LA VICTIMA",IF(SUM(AG34:AI34)&lt;&gt;SUM(AJ34:AO34),"Se indico una CANTIDAD DE VICTIMAS SEGUN SEXO diferente a SEGUN GENERO",IF(AND(ISBLANK(AR34),OR(Y34=BUSCADOR!$B$49,BUSCADOR!$B$50=Y34,Y34=BUSCADOR!$B$46,Y34=BUSCADOR!$B$109,BUSCADOR!$B$2=Y34,X34=BUSCADOR!$A$58,X34=BUSCADOR!$A$59)),"Completar la celda TIPO DE ARMA, MODALIDAD O MECANISMO",IF(AND(ISBLANK(AS34),OR(Y34=BUSCADOR!$B$51,BUSCADOR!$B$50=Y34,Y34=BUSCADOR!$B$47,BUSCADOR!$A$58=X34,X34=BUSCADOR!$A$59)),"Completar la celda CONOCIDO, en la seccion de los inculpados",IF(AND(AS34=BUSCADOR!$B$127,OR(Y34=BUSCADOR!$B$51,BUSCADOR!$B$50,Y34,BUSCADOR!$B$46),OR(SUM(AT34:AV34)&lt;&gt;SUM(AW34:AZ34),SUM(AT34:AZ34)=0)),"Revisar las celdas correspondientes a CANTIDAD DE INCULPADOS. Se indica una cantidad diferente segun SEXO y EDAD o no se indico cantidad alguna",IF(AND(ISBLANK(BA34),X34=BUSCADOR!$A$27),"Se indico una persona desaparecida. Completar la casilla APARECIO",IF(AND(ISBLANK(BB34),OR(Y34=BUSCADOR!$B$49,BUSCADOR!$B$50=Y34,Y34=BUSCADOR!$B$46)),"Completar la casilla ELEMENTO SUSTRAIDO",IF(OR(AND(BB34=OTROS[[#Headers],[OTROS]],ISBLANK(BC34)),AND(BB34=ABIGEATO[[#Headers],[ABIGEATO]],ISBLANK(BC34))),"Completar la celda SUBCATEGORIA",IF(AND(OR(BB34=MOTOCICLETA[[#Headers],[MOTOCICLETA]],BB34=AUTOMOTOR[[#Headers],[AUTOMOTOR]]),OR(ISBLANK(BC34),ISBLANK(BD34),ISBLANK(BE34),ISBLANK(BF34))),"Se indico un AUTOMOTOR o MOTOCICLETA en ELEMENTOS SUSTRAIDOS, completar las celdas SUBCATEGORIA, DENOMINACION, AÑO y MODELO", IF(AND(ISBLANK(BB34)&lt;&gt;TRUE,ISBLANK(BJ34)),"Completar MODUS OPERANDI",IF(AND(ISBLANK(BK34),OR(BJ34=BUSCADOR!$H$232,BJ34=BUSCADOR!$I$232)),"Completar ESPECIALIDAD",IF(OR(AND(H34='SAT-Homicidios Dolosos'!$B$5,'SAT-Homicidios Dolosos'!$A$5&lt;&gt;"OK"),AND(H34='SAT-Homicidios Dolosos'!$B$8,'SAT-Homicidios Dolosos'!$A$8&lt;&gt;"OK")),"Se indico un HOMICIDIO, existen CELDAS VACIAS en la hoja SAT-HOMICIDIOS DOLOSOS Completar los datos indicados",IF(OR(AND(H34='SAT-Muertes Viales'!$E$21,'SAT-Muertes Viales'!$A$21&lt;&gt;"OK"),AND(H34='SAT-Muertes Viales'!$E$25,'SAT-Muertes Viales'!$A$25&lt;&gt;"OK"),AND(H34='SAT-Muertes Viales'!$E$29,'SAT-Muertes Viales'!$A$29&lt;&gt;"OK")),"Se indico un HOMICIDIO POR SINIESTRO VIAL, existen CELDAS VACIAS en la hoja SAT-MUERTES VIALES Completar los datos indicados",IF(OR(AND(H34='SAT-Suicidios'!$B$19,'SAT-Suicidios'!$A$19&lt;&gt;"OK"),AND(H34='SAT-Suicidios'!$B$22,'SAT-Suicidios'!$A$22&lt;&gt;"OK"),AND(H34='SAT-Suicidios'!$B$25,'SAT-Suicidios'!$A$25&lt;&gt;"OK")),"Se indico un SUICIDIO, existen CELDAS VACIAS en la hoja SAT-SUICIDIOS Completar los datos indicados",IF(IFERROR(MATCH(X34,BUSCADOR!$A$2:$A$112,0),-1)&lt;0,"No se indico delito",IF(AND(ISBLANK(BL34),OR(X34=BUSCADOR!$A$111,X34=BUSCADOR!$A$110)),"Llenar la casilla DETALLES, COMENTARIOS con una descripcion de la causa",IF(AND(X34="MUERTE DUDOSA",ISBLANK(BL34)=FALSE),"SE INDICO MUERTE DUDOSA, NOS CONTACTAREMOS PARA MAS INFORMACION","FILA CORRECTA"))))))))))))))))))))))))))))))</f>
        <v>No se indico delito</v>
      </c>
      <c r="C34" s="42"/>
      <c r="D34" s="90"/>
      <c r="E34" s="47"/>
      <c r="F34" s="88"/>
      <c r="G34" s="221" t="str">
        <f t="shared" si="9"/>
        <v>Comisaría 15°</v>
      </c>
      <c r="H34" s="46"/>
      <c r="I34" s="52"/>
      <c r="J34" s="27"/>
      <c r="K34" s="27"/>
      <c r="L34" s="27"/>
      <c r="M34" s="27"/>
      <c r="N34" s="46"/>
      <c r="O34" s="55" t="str">
        <f t="shared" si="10"/>
        <v/>
      </c>
      <c r="P34" s="56" t="str">
        <f t="shared" si="11"/>
        <v/>
      </c>
      <c r="Q34" s="52"/>
      <c r="R34" s="46"/>
      <c r="S34" s="62"/>
      <c r="T34" s="57" t="str">
        <f>IFERROR(VLOOKUP(X34,BUSCADOR!$A$2:$E$112,5,FALSE),"")</f>
        <v/>
      </c>
      <c r="U34" s="107" t="str">
        <f t="shared" si="0"/>
        <v/>
      </c>
      <c r="V34" s="28" t="str">
        <f>IFERROR(VLOOKUP(X34,BUSCADOR!$A$2:$E$112,4,FALSE),"")</f>
        <v/>
      </c>
      <c r="W34" s="107" t="str">
        <f t="shared" si="3"/>
        <v/>
      </c>
      <c r="X34" s="27"/>
      <c r="Y34" s="58" t="str">
        <f>IFERROR(VLOOKUP(X34,BUSCADOR!$A$2:$B$112,2,FALSE),"")</f>
        <v/>
      </c>
      <c r="Z34" s="101" t="str">
        <f t="shared" si="4"/>
        <v>__</v>
      </c>
      <c r="AA34" s="103" t="str">
        <f t="shared" si="5"/>
        <v>___</v>
      </c>
      <c r="AB34" s="104" t="str">
        <f t="shared" si="6"/>
        <v>____</v>
      </c>
      <c r="AC34" s="104" t="str">
        <f t="shared" si="6"/>
        <v>_____</v>
      </c>
      <c r="AD34" s="83"/>
      <c r="AE34" s="45"/>
      <c r="AF34" s="66"/>
      <c r="AG34" s="212"/>
      <c r="AH34" s="213"/>
      <c r="AI34" s="214"/>
      <c r="AJ34" s="219"/>
      <c r="AK34" s="213"/>
      <c r="AL34" s="213"/>
      <c r="AM34" s="213"/>
      <c r="AN34" s="213"/>
      <c r="AO34" s="219"/>
      <c r="AP34" s="95"/>
      <c r="AQ34" s="186" t="str">
        <f t="shared" si="1"/>
        <v/>
      </c>
      <c r="AR34" s="66"/>
      <c r="AS34" s="76"/>
      <c r="AT34" s="225"/>
      <c r="AU34" s="213"/>
      <c r="AV34" s="214"/>
      <c r="AW34" s="226"/>
      <c r="AX34" s="213"/>
      <c r="AY34" s="213"/>
      <c r="AZ34" s="227"/>
      <c r="BA34" s="65"/>
      <c r="BB34" s="52"/>
      <c r="BC34" s="27"/>
      <c r="BD34" s="27"/>
      <c r="BE34" s="27"/>
      <c r="BF34" s="79"/>
      <c r="BG34" s="52"/>
      <c r="BH34" s="69"/>
      <c r="BI34" s="188" t="str">
        <f>IF(Y34=BUSCADOR!$B$46,"HURTO_",IF(OR(Y34=BUSCADOR!$B$49,Y34=BUSCADOR!$B$50),"ROBO_",""))</f>
        <v/>
      </c>
      <c r="BJ34" s="50"/>
      <c r="BK34" s="45"/>
      <c r="BL34" s="66"/>
      <c r="BM34" s="1" t="b">
        <f t="shared" si="7"/>
        <v>0</v>
      </c>
    </row>
    <row r="35" spans="1:65" ht="117.6" customHeight="1" x14ac:dyDescent="0.25">
      <c r="A35" s="171">
        <v>33</v>
      </c>
      <c r="B35" s="41" t="str">
        <f>IF(AND(BM35,ISBLANK(C35)),"Completar FECHA DE DENUNCIA",IF(AND(BM35,OR(ISBLANK(D35),ISBLANK(E35),ISBLANK(H35))),"Completar las celdas FECHA, HORA Y PREVENTIVO. En caso de no conocer la fecha u horario colocar INDETERMINADO",IF(AND(BM35,ISBLANK(G35)),"Completar COMISARIA",IF(AND(BM35,OR(ISBLANK(I35),ISBLANK(L35),ISBLANK(M35),O35="")),"Completar las celdas LOCALIDAD, CALLE, ALTURA Y DIRECCION SEGUN  GOOGLE MAPS",IF(AND(ISBLANK(J35),OR(I35=AÑELO[[#Headers],[AÑELO]],CENTENARIO[[#Headers],[CENTENARIO]]='PLANILLA DJ'!I35,CUTRAL_CO[[#Headers],[CUTRAL_CO]],JUNIN_DE_LOS_ANDES[[#Headers],[JUNIN_DE_LOS_ANDES]]='PLANILLA DJ'!I35,'PLANILLA DJ'!I35=NEUQUEN[[#Headers],[NEUQUEN]],PLAZA_HUINCUL[[#Headers],[PLAZA_HUINCUL]]='PLANILLA DJ'!I35,'PLANILLA DJ'!I35=PLOTTIER[[#Headers],[PLOTTIER]])),"COMPLETAR BARRIO",IF(AND(BM35,ISBLANK(Q35)),"Completar Nombre de VICTIMA o DENUNCIANTE",IF(AND(BM35,ISBLANK(R35)),"Completar TIPO DE ACTUACION",IF(AND(R35=BUSCADOR!$B$140,OR(X35&lt;&gt;BUSCADOR!$A$110,ISBLANK(X35))),"Se indico A CONSIDERACION en ACTUACION, indicar en el buscador de delitos A CONSIDERACION tambien",IF(AND(ISBLANK(X35)&lt;&gt;TRUE,IFERROR(MATCH(X35,BUSCADOR!$A$2:$A$112,0),-1)&lt;0),"EN EL BUSCADOR DE DELITOS NO agregar comentarios como SU INVESTIGACION, REPORTE, etc. Limitarse SOLAMENTE a poner A CONSIDERACION u otro valor que coincida en el buscador",IF(AND(ISBLANK(AD35),OR(Y35=BUSCADOR!$B$49,BUSCADOR!$B$50=Y35,Y35=BUSCADOR!$B$46,Y35=BUSCADOR!$B$2,Y35=BUSCADOR!$B$7,BUSCADOR!$B$109=Y35,X35=BUSCADOR!$A$58,X35=BUSCADOR!$A$59)),"Completar la celda TIPO DE LUGAR",IF(AND(ISBLANK(AE35),OR(AD35=BUSCADOR!$E$149,BUSCADOR!$E$150=AD35,AD35=BUSCADOR!$F$148)),"Completar DETALLE ESTABLECIMIENTO",IF(AND(ISBLANK(AF35),BM35),"Completar la celda MOTIVO QUE ORIGINA EL REGISTRO DEL HECHO",IF(AND(SUM(AG35:AI35)=0,OR(Y35=BUSCADOR!$B$2,BUSCADOR!$B$6=Y35,Y35=BUSCADOR!$B$7,BUSCADOR!$B$8=Y35,Y35=BUSCADOR!$B$9,BUSCADOR!$B$12=Y35,Y35=BUSCADOR!$B$13,BUSCADOR!$B$14=Y35,Y35=BUSCADOR!$B$17,BUSCADOR!$B$18=Y35,Y35=BUSCADOR!$B$20,BUSCADOR!$B$29=Y35,BUSCADOR!$B$34=Y35,BUSCADOR!$B$35=Y35,Y35=BUSCADOR!$B$109,Y35=BUSCADOR!$B$51,BUSCADOR!$B$50=Y35,Y35=BUSCADOR!$B$47,Y35=BUSCADOR!$B$58,Y35=BUSCADOR!$B$21,Y35=BUSCADOR!$B$22,Y35=BUSCADOR!$B$23,Y35=BUSCADOR!$B$24)),"El delito indicado debe presentar un numero de victimas. Completar la celda CANTIDAD DE VICTIMAS",IF(AND(SUM(AJ35:AO35)&gt;0,ISBLANK(AP35)),"Completar celda VULNERABILIDAD DE LA VICTIMA",IF(SUM(AG35:AI35)&lt;&gt;SUM(AJ35:AO35),"Se indico una CANTIDAD DE VICTIMAS SEGUN SEXO diferente a SEGUN GENERO",IF(AND(ISBLANK(AR35),OR(Y35=BUSCADOR!$B$49,BUSCADOR!$B$50=Y35,Y35=BUSCADOR!$B$46,Y35=BUSCADOR!$B$109,BUSCADOR!$B$2=Y35,X35=BUSCADOR!$A$58,X35=BUSCADOR!$A$59)),"Completar la celda TIPO DE ARMA, MODALIDAD O MECANISMO",IF(AND(ISBLANK(AS35),OR(Y35=BUSCADOR!$B$51,BUSCADOR!$B$50=Y35,Y35=BUSCADOR!$B$47,BUSCADOR!$A$58=X35,X35=BUSCADOR!$A$59)),"Completar la celda CONOCIDO, en la seccion de los inculpados",IF(AND(AS35=BUSCADOR!$B$127,OR(Y35=BUSCADOR!$B$51,BUSCADOR!$B$50,Y35,BUSCADOR!$B$46),OR(SUM(AT35:AV35)&lt;&gt;SUM(AW35:AZ35),SUM(AT35:AZ35)=0)),"Revisar las celdas correspondientes a CANTIDAD DE INCULPADOS. Se indica una cantidad diferente segun SEXO y EDAD o no se indico cantidad alguna",IF(AND(ISBLANK(BA35),X35=BUSCADOR!$A$27),"Se indico una persona desaparecida. Completar la casilla APARECIO",IF(AND(ISBLANK(BB35),OR(Y35=BUSCADOR!$B$49,BUSCADOR!$B$50=Y35,Y35=BUSCADOR!$B$46)),"Completar la casilla ELEMENTO SUSTRAIDO",IF(OR(AND(BB35=OTROS[[#Headers],[OTROS]],ISBLANK(BC35)),AND(BB35=ABIGEATO[[#Headers],[ABIGEATO]],ISBLANK(BC35))),"Completar la celda SUBCATEGORIA",IF(AND(OR(BB35=MOTOCICLETA[[#Headers],[MOTOCICLETA]],BB35=AUTOMOTOR[[#Headers],[AUTOMOTOR]]),OR(ISBLANK(BC35),ISBLANK(BD35),ISBLANK(BE35),ISBLANK(BF35))),"Se indico un AUTOMOTOR o MOTOCICLETA en ELEMENTOS SUSTRAIDOS, completar las celdas SUBCATEGORIA, DENOMINACION, AÑO y MODELO", IF(AND(ISBLANK(BB35)&lt;&gt;TRUE,ISBLANK(BJ35)),"Completar MODUS OPERANDI",IF(AND(ISBLANK(BK35),OR(BJ35=BUSCADOR!$H$232,BJ35=BUSCADOR!$I$232)),"Completar ESPECIALIDAD",IF(OR(AND(H35='SAT-Homicidios Dolosos'!$B$5,'SAT-Homicidios Dolosos'!$A$5&lt;&gt;"OK"),AND(H35='SAT-Homicidios Dolosos'!$B$8,'SAT-Homicidios Dolosos'!$A$8&lt;&gt;"OK")),"Se indico un HOMICIDIO, existen CELDAS VACIAS en la hoja SAT-HOMICIDIOS DOLOSOS Completar los datos indicados",IF(OR(AND(H35='SAT-Muertes Viales'!$E$21,'SAT-Muertes Viales'!$A$21&lt;&gt;"OK"),AND(H35='SAT-Muertes Viales'!$E$25,'SAT-Muertes Viales'!$A$25&lt;&gt;"OK"),AND(H35='SAT-Muertes Viales'!$E$29,'SAT-Muertes Viales'!$A$29&lt;&gt;"OK")),"Se indico un HOMICIDIO POR SINIESTRO VIAL, existen CELDAS VACIAS en la hoja SAT-MUERTES VIALES Completar los datos indicados",IF(OR(AND(H35='SAT-Suicidios'!$B$19,'SAT-Suicidios'!$A$19&lt;&gt;"OK"),AND(H35='SAT-Suicidios'!$B$22,'SAT-Suicidios'!$A$22&lt;&gt;"OK"),AND(H35='SAT-Suicidios'!$B$25,'SAT-Suicidios'!$A$25&lt;&gt;"OK")),"Se indico un SUICIDIO, existen CELDAS VACIAS en la hoja SAT-SUICIDIOS Completar los datos indicados",IF(IFERROR(MATCH(X35,BUSCADOR!$A$2:$A$112,0),-1)&lt;0,"No se indico delito",IF(AND(ISBLANK(BL35),OR(X35=BUSCADOR!$A$111,X35=BUSCADOR!$A$110)),"Llenar la casilla DETALLES, COMENTARIOS con una descripcion de la causa",IF(AND(X35="MUERTE DUDOSA",ISBLANK(BL35)=FALSE),"SE INDICO MUERTE DUDOSA, NOS CONTACTAREMOS PARA MAS INFORMACION","FILA CORRECTA"))))))))))))))))))))))))))))))</f>
        <v>No se indico delito</v>
      </c>
      <c r="C35" s="42"/>
      <c r="D35" s="90"/>
      <c r="E35" s="47"/>
      <c r="F35" s="88"/>
      <c r="G35" s="221" t="str">
        <f t="shared" si="9"/>
        <v>Comisaría 15°</v>
      </c>
      <c r="H35" s="46"/>
      <c r="I35" s="52"/>
      <c r="J35" s="27"/>
      <c r="K35" s="27"/>
      <c r="L35" s="27"/>
      <c r="M35" s="27"/>
      <c r="N35" s="46"/>
      <c r="O35" s="55" t="str">
        <f t="shared" si="10"/>
        <v/>
      </c>
      <c r="P35" s="56" t="str">
        <f t="shared" si="11"/>
        <v/>
      </c>
      <c r="Q35" s="52"/>
      <c r="R35" s="46"/>
      <c r="S35" s="62"/>
      <c r="T35" s="57" t="str">
        <f>IFERROR(VLOOKUP(X35,BUSCADOR!$A$2:$E$112,5,FALSE),"")</f>
        <v/>
      </c>
      <c r="U35" s="107" t="str">
        <f t="shared" si="0"/>
        <v/>
      </c>
      <c r="V35" s="28" t="str">
        <f>IFERROR(VLOOKUP(X35,BUSCADOR!$A$2:$E$112,4,FALSE),"")</f>
        <v/>
      </c>
      <c r="W35" s="107" t="str">
        <f t="shared" si="3"/>
        <v/>
      </c>
      <c r="X35" s="27"/>
      <c r="Y35" s="58" t="str">
        <f>IFERROR(VLOOKUP(X35,BUSCADOR!$A$2:$B$112,2,FALSE),"")</f>
        <v/>
      </c>
      <c r="Z35" s="101" t="str">
        <f t="shared" si="4"/>
        <v>__</v>
      </c>
      <c r="AA35" s="103" t="str">
        <f t="shared" si="5"/>
        <v>___</v>
      </c>
      <c r="AB35" s="104" t="str">
        <f t="shared" si="6"/>
        <v>____</v>
      </c>
      <c r="AC35" s="104" t="str">
        <f t="shared" si="6"/>
        <v>_____</v>
      </c>
      <c r="AD35" s="83"/>
      <c r="AE35" s="45"/>
      <c r="AF35" s="66"/>
      <c r="AG35" s="212"/>
      <c r="AH35" s="213"/>
      <c r="AI35" s="214"/>
      <c r="AJ35" s="219"/>
      <c r="AK35" s="213"/>
      <c r="AL35" s="213"/>
      <c r="AM35" s="213"/>
      <c r="AN35" s="213"/>
      <c r="AO35" s="219"/>
      <c r="AP35" s="95"/>
      <c r="AQ35" s="186" t="str">
        <f t="shared" si="1"/>
        <v/>
      </c>
      <c r="AR35" s="66"/>
      <c r="AS35" s="76"/>
      <c r="AT35" s="225"/>
      <c r="AU35" s="213"/>
      <c r="AV35" s="214"/>
      <c r="AW35" s="226"/>
      <c r="AX35" s="213"/>
      <c r="AY35" s="213"/>
      <c r="AZ35" s="227"/>
      <c r="BA35" s="65"/>
      <c r="BB35" s="52"/>
      <c r="BC35" s="27"/>
      <c r="BD35" s="27"/>
      <c r="BE35" s="27"/>
      <c r="BF35" s="79"/>
      <c r="BG35" s="52"/>
      <c r="BH35" s="69"/>
      <c r="BI35" s="188" t="str">
        <f>IF(Y35=BUSCADOR!$B$46,"HURTO_",IF(OR(Y35=BUSCADOR!$B$49,Y35=BUSCADOR!$B$50),"ROBO_",""))</f>
        <v/>
      </c>
      <c r="BJ35" s="50"/>
      <c r="BK35" s="45"/>
      <c r="BL35" s="66"/>
      <c r="BM35" s="1" t="b">
        <f t="shared" si="7"/>
        <v>0</v>
      </c>
    </row>
    <row r="36" spans="1:65" ht="117.6" customHeight="1" x14ac:dyDescent="0.25">
      <c r="A36" s="171">
        <v>34</v>
      </c>
      <c r="B36" s="41" t="str">
        <f>IF(AND(BM36,ISBLANK(C36)),"Completar FECHA DE DENUNCIA",IF(AND(BM36,OR(ISBLANK(D36),ISBLANK(E36),ISBLANK(H36))),"Completar las celdas FECHA, HORA Y PREVENTIVO. En caso de no conocer la fecha u horario colocar INDETERMINADO",IF(AND(BM36,ISBLANK(G36)),"Completar COMISARIA",IF(AND(BM36,OR(ISBLANK(I36),ISBLANK(L36),ISBLANK(M36),O36="")),"Completar las celdas LOCALIDAD, CALLE, ALTURA Y DIRECCION SEGUN  GOOGLE MAPS",IF(AND(ISBLANK(J36),OR(I36=AÑELO[[#Headers],[AÑELO]],CENTENARIO[[#Headers],[CENTENARIO]]='PLANILLA DJ'!I36,CUTRAL_CO[[#Headers],[CUTRAL_CO]],JUNIN_DE_LOS_ANDES[[#Headers],[JUNIN_DE_LOS_ANDES]]='PLANILLA DJ'!I36,'PLANILLA DJ'!I36=NEUQUEN[[#Headers],[NEUQUEN]],PLAZA_HUINCUL[[#Headers],[PLAZA_HUINCUL]]='PLANILLA DJ'!I36,'PLANILLA DJ'!I36=PLOTTIER[[#Headers],[PLOTTIER]])),"COMPLETAR BARRIO",IF(AND(BM36,ISBLANK(Q36)),"Completar Nombre de VICTIMA o DENUNCIANTE",IF(AND(BM36,ISBLANK(R36)),"Completar TIPO DE ACTUACION",IF(AND(R36=BUSCADOR!$B$140,OR(X36&lt;&gt;BUSCADOR!$A$110,ISBLANK(X36))),"Se indico A CONSIDERACION en ACTUACION, indicar en el buscador de delitos A CONSIDERACION tambien",IF(AND(ISBLANK(X36)&lt;&gt;TRUE,IFERROR(MATCH(X36,BUSCADOR!$A$2:$A$112,0),-1)&lt;0),"EN EL BUSCADOR DE DELITOS NO agregar comentarios como SU INVESTIGACION, REPORTE, etc. Limitarse SOLAMENTE a poner A CONSIDERACION u otro valor que coincida en el buscador",IF(AND(ISBLANK(AD36),OR(Y36=BUSCADOR!$B$49,BUSCADOR!$B$50=Y36,Y36=BUSCADOR!$B$46,Y36=BUSCADOR!$B$2,Y36=BUSCADOR!$B$7,BUSCADOR!$B$109=Y36,X36=BUSCADOR!$A$58,X36=BUSCADOR!$A$59)),"Completar la celda TIPO DE LUGAR",IF(AND(ISBLANK(AE36),OR(AD36=BUSCADOR!$E$149,BUSCADOR!$E$150=AD36,AD36=BUSCADOR!$F$148)),"Completar DETALLE ESTABLECIMIENTO",IF(AND(ISBLANK(AF36),BM36),"Completar la celda MOTIVO QUE ORIGINA EL REGISTRO DEL HECHO",IF(AND(SUM(AG36:AI36)=0,OR(Y36=BUSCADOR!$B$2,BUSCADOR!$B$6=Y36,Y36=BUSCADOR!$B$7,BUSCADOR!$B$8=Y36,Y36=BUSCADOR!$B$9,BUSCADOR!$B$12=Y36,Y36=BUSCADOR!$B$13,BUSCADOR!$B$14=Y36,Y36=BUSCADOR!$B$17,BUSCADOR!$B$18=Y36,Y36=BUSCADOR!$B$20,BUSCADOR!$B$29=Y36,BUSCADOR!$B$34=Y36,BUSCADOR!$B$35=Y36,Y36=BUSCADOR!$B$109,Y36=BUSCADOR!$B$51,BUSCADOR!$B$50=Y36,Y36=BUSCADOR!$B$47,Y36=BUSCADOR!$B$58,Y36=BUSCADOR!$B$21,Y36=BUSCADOR!$B$22,Y36=BUSCADOR!$B$23,Y36=BUSCADOR!$B$24)),"El delito indicado debe presentar un numero de victimas. Completar la celda CANTIDAD DE VICTIMAS",IF(AND(SUM(AJ36:AO36)&gt;0,ISBLANK(AP36)),"Completar celda VULNERABILIDAD DE LA VICTIMA",IF(SUM(AG36:AI36)&lt;&gt;SUM(AJ36:AO36),"Se indico una CANTIDAD DE VICTIMAS SEGUN SEXO diferente a SEGUN GENERO",IF(AND(ISBLANK(AR36),OR(Y36=BUSCADOR!$B$49,BUSCADOR!$B$50=Y36,Y36=BUSCADOR!$B$46,Y36=BUSCADOR!$B$109,BUSCADOR!$B$2=Y36,X36=BUSCADOR!$A$58,X36=BUSCADOR!$A$59)),"Completar la celda TIPO DE ARMA, MODALIDAD O MECANISMO",IF(AND(ISBLANK(AS36),OR(Y36=BUSCADOR!$B$51,BUSCADOR!$B$50=Y36,Y36=BUSCADOR!$B$47,BUSCADOR!$A$58=X36,X36=BUSCADOR!$A$59)),"Completar la celda CONOCIDO, en la seccion de los inculpados",IF(AND(AS36=BUSCADOR!$B$127,OR(Y36=BUSCADOR!$B$51,BUSCADOR!$B$50,Y36,BUSCADOR!$B$46),OR(SUM(AT36:AV36)&lt;&gt;SUM(AW36:AZ36),SUM(AT36:AZ36)=0)),"Revisar las celdas correspondientes a CANTIDAD DE INCULPADOS. Se indica una cantidad diferente segun SEXO y EDAD o no se indico cantidad alguna",IF(AND(ISBLANK(BA36),X36=BUSCADOR!$A$27),"Se indico una persona desaparecida. Completar la casilla APARECIO",IF(AND(ISBLANK(BB36),OR(Y36=BUSCADOR!$B$49,BUSCADOR!$B$50=Y36,Y36=BUSCADOR!$B$46)),"Completar la casilla ELEMENTO SUSTRAIDO",IF(OR(AND(BB36=OTROS[[#Headers],[OTROS]],ISBLANK(BC36)),AND(BB36=ABIGEATO[[#Headers],[ABIGEATO]],ISBLANK(BC36))),"Completar la celda SUBCATEGORIA",IF(AND(OR(BB36=MOTOCICLETA[[#Headers],[MOTOCICLETA]],BB36=AUTOMOTOR[[#Headers],[AUTOMOTOR]]),OR(ISBLANK(BC36),ISBLANK(BD36),ISBLANK(BE36),ISBLANK(BF36))),"Se indico un AUTOMOTOR o MOTOCICLETA en ELEMENTOS SUSTRAIDOS, completar las celdas SUBCATEGORIA, DENOMINACION, AÑO y MODELO", IF(AND(ISBLANK(BB36)&lt;&gt;TRUE,ISBLANK(BJ36)),"Completar MODUS OPERANDI",IF(AND(ISBLANK(BK36),OR(BJ36=BUSCADOR!$H$232,BJ36=BUSCADOR!$I$232)),"Completar ESPECIALIDAD",IF(OR(AND(H36='SAT-Homicidios Dolosos'!$B$5,'SAT-Homicidios Dolosos'!$A$5&lt;&gt;"OK"),AND(H36='SAT-Homicidios Dolosos'!$B$8,'SAT-Homicidios Dolosos'!$A$8&lt;&gt;"OK")),"Se indico un HOMICIDIO, existen CELDAS VACIAS en la hoja SAT-HOMICIDIOS DOLOSOS Completar los datos indicados",IF(OR(AND(H36='SAT-Muertes Viales'!$E$21,'SAT-Muertes Viales'!$A$21&lt;&gt;"OK"),AND(H36='SAT-Muertes Viales'!$E$25,'SAT-Muertes Viales'!$A$25&lt;&gt;"OK"),AND(H36='SAT-Muertes Viales'!$E$29,'SAT-Muertes Viales'!$A$29&lt;&gt;"OK")),"Se indico un HOMICIDIO POR SINIESTRO VIAL, existen CELDAS VACIAS en la hoja SAT-MUERTES VIALES Completar los datos indicados",IF(OR(AND(H36='SAT-Suicidios'!$B$19,'SAT-Suicidios'!$A$19&lt;&gt;"OK"),AND(H36='SAT-Suicidios'!$B$22,'SAT-Suicidios'!$A$22&lt;&gt;"OK"),AND(H36='SAT-Suicidios'!$B$25,'SAT-Suicidios'!$A$25&lt;&gt;"OK")),"Se indico un SUICIDIO, existen CELDAS VACIAS en la hoja SAT-SUICIDIOS Completar los datos indicados",IF(IFERROR(MATCH(X36,BUSCADOR!$A$2:$A$112,0),-1)&lt;0,"No se indico delito",IF(AND(ISBLANK(BL36),OR(X36=BUSCADOR!$A$111,X36=BUSCADOR!$A$110)),"Llenar la casilla DETALLES, COMENTARIOS con una descripcion de la causa",IF(AND(X36="MUERTE DUDOSA",ISBLANK(BL36)=FALSE),"SE INDICO MUERTE DUDOSA, NOS CONTACTAREMOS PARA MAS INFORMACION","FILA CORRECTA"))))))))))))))))))))))))))))))</f>
        <v>No se indico delito</v>
      </c>
      <c r="C36" s="42"/>
      <c r="D36" s="90"/>
      <c r="E36" s="47"/>
      <c r="F36" s="88"/>
      <c r="G36" s="221" t="str">
        <f t="shared" si="9"/>
        <v>Comisaría 15°</v>
      </c>
      <c r="H36" s="46"/>
      <c r="I36" s="52"/>
      <c r="J36" s="27"/>
      <c r="K36" s="27"/>
      <c r="L36" s="27"/>
      <c r="M36" s="27"/>
      <c r="N36" s="46"/>
      <c r="O36" s="55" t="str">
        <f t="shared" si="10"/>
        <v/>
      </c>
      <c r="P36" s="56" t="str">
        <f t="shared" si="11"/>
        <v/>
      </c>
      <c r="Q36" s="52"/>
      <c r="R36" s="46"/>
      <c r="S36" s="62"/>
      <c r="T36" s="57" t="str">
        <f>IFERROR(VLOOKUP(X36,BUSCADOR!$A$2:$E$112,5,FALSE),"")</f>
        <v/>
      </c>
      <c r="U36" s="107" t="str">
        <f t="shared" si="0"/>
        <v/>
      </c>
      <c r="V36" s="28" t="str">
        <f>IFERROR(VLOOKUP(X36,BUSCADOR!$A$2:$E$112,4,FALSE),"")</f>
        <v/>
      </c>
      <c r="W36" s="107" t="str">
        <f t="shared" si="3"/>
        <v/>
      </c>
      <c r="X36" s="27"/>
      <c r="Y36" s="58" t="str">
        <f>IFERROR(VLOOKUP(X36,BUSCADOR!$A$2:$B$112,2,FALSE),"")</f>
        <v/>
      </c>
      <c r="Z36" s="101" t="str">
        <f t="shared" si="4"/>
        <v>__</v>
      </c>
      <c r="AA36" s="103" t="str">
        <f t="shared" si="5"/>
        <v>___</v>
      </c>
      <c r="AB36" s="104" t="str">
        <f t="shared" si="6"/>
        <v>____</v>
      </c>
      <c r="AC36" s="104" t="str">
        <f t="shared" si="6"/>
        <v>_____</v>
      </c>
      <c r="AD36" s="83"/>
      <c r="AE36" s="45"/>
      <c r="AF36" s="66"/>
      <c r="AG36" s="212"/>
      <c r="AH36" s="213"/>
      <c r="AI36" s="214"/>
      <c r="AJ36" s="219"/>
      <c r="AK36" s="213"/>
      <c r="AL36" s="213"/>
      <c r="AM36" s="213"/>
      <c r="AN36" s="213"/>
      <c r="AO36" s="219"/>
      <c r="AP36" s="95"/>
      <c r="AQ36" s="186" t="str">
        <f t="shared" si="1"/>
        <v/>
      </c>
      <c r="AR36" s="66"/>
      <c r="AS36" s="76"/>
      <c r="AT36" s="225"/>
      <c r="AU36" s="213"/>
      <c r="AV36" s="214"/>
      <c r="AW36" s="226"/>
      <c r="AX36" s="213"/>
      <c r="AY36" s="213"/>
      <c r="AZ36" s="227"/>
      <c r="BA36" s="65"/>
      <c r="BB36" s="52"/>
      <c r="BC36" s="27"/>
      <c r="BD36" s="27"/>
      <c r="BE36" s="27"/>
      <c r="BF36" s="79"/>
      <c r="BG36" s="52"/>
      <c r="BH36" s="69"/>
      <c r="BI36" s="188" t="str">
        <f>IF(Y36=BUSCADOR!$B$46,"HURTO_",IF(OR(Y36=BUSCADOR!$B$49,Y36=BUSCADOR!$B$50),"ROBO_",""))</f>
        <v/>
      </c>
      <c r="BJ36" s="50"/>
      <c r="BK36" s="45"/>
      <c r="BL36" s="66"/>
      <c r="BM36" s="1" t="b">
        <f t="shared" si="7"/>
        <v>0</v>
      </c>
    </row>
    <row r="37" spans="1:65" ht="117.6" customHeight="1" x14ac:dyDescent="0.25">
      <c r="A37" s="171">
        <v>35</v>
      </c>
      <c r="B37" s="41" t="str">
        <f>IF(AND(BM37,ISBLANK(C37)),"Completar FECHA DE DENUNCIA",IF(AND(BM37,OR(ISBLANK(D37),ISBLANK(E37),ISBLANK(H37))),"Completar las celdas FECHA, HORA Y PREVENTIVO. En caso de no conocer la fecha u horario colocar INDETERMINADO",IF(AND(BM37,ISBLANK(G37)),"Completar COMISARIA",IF(AND(BM37,OR(ISBLANK(I37),ISBLANK(L37),ISBLANK(M37),O37="")),"Completar las celdas LOCALIDAD, CALLE, ALTURA Y DIRECCION SEGUN  GOOGLE MAPS",IF(AND(ISBLANK(J37),OR(I37=AÑELO[[#Headers],[AÑELO]],CENTENARIO[[#Headers],[CENTENARIO]]='PLANILLA DJ'!I37,CUTRAL_CO[[#Headers],[CUTRAL_CO]],JUNIN_DE_LOS_ANDES[[#Headers],[JUNIN_DE_LOS_ANDES]]='PLANILLA DJ'!I37,'PLANILLA DJ'!I37=NEUQUEN[[#Headers],[NEUQUEN]],PLAZA_HUINCUL[[#Headers],[PLAZA_HUINCUL]]='PLANILLA DJ'!I37,'PLANILLA DJ'!I37=PLOTTIER[[#Headers],[PLOTTIER]])),"COMPLETAR BARRIO",IF(AND(BM37,ISBLANK(Q37)),"Completar Nombre de VICTIMA o DENUNCIANTE",IF(AND(BM37,ISBLANK(R37)),"Completar TIPO DE ACTUACION",IF(AND(R37=BUSCADOR!$B$140,OR(X37&lt;&gt;BUSCADOR!$A$110,ISBLANK(X37))),"Se indico A CONSIDERACION en ACTUACION, indicar en el buscador de delitos A CONSIDERACION tambien",IF(AND(ISBLANK(X37)&lt;&gt;TRUE,IFERROR(MATCH(X37,BUSCADOR!$A$2:$A$112,0),-1)&lt;0),"EN EL BUSCADOR DE DELITOS NO agregar comentarios como SU INVESTIGACION, REPORTE, etc. Limitarse SOLAMENTE a poner A CONSIDERACION u otro valor que coincida en el buscador",IF(AND(ISBLANK(AD37),OR(Y37=BUSCADOR!$B$49,BUSCADOR!$B$50=Y37,Y37=BUSCADOR!$B$46,Y37=BUSCADOR!$B$2,Y37=BUSCADOR!$B$7,BUSCADOR!$B$109=Y37,X37=BUSCADOR!$A$58,X37=BUSCADOR!$A$59)),"Completar la celda TIPO DE LUGAR",IF(AND(ISBLANK(AE37),OR(AD37=BUSCADOR!$E$149,BUSCADOR!$E$150=AD37,AD37=BUSCADOR!$F$148)),"Completar DETALLE ESTABLECIMIENTO",IF(AND(ISBLANK(AF37),BM37),"Completar la celda MOTIVO QUE ORIGINA EL REGISTRO DEL HECHO",IF(AND(SUM(AG37:AI37)=0,OR(Y37=BUSCADOR!$B$2,BUSCADOR!$B$6=Y37,Y37=BUSCADOR!$B$7,BUSCADOR!$B$8=Y37,Y37=BUSCADOR!$B$9,BUSCADOR!$B$12=Y37,Y37=BUSCADOR!$B$13,BUSCADOR!$B$14=Y37,Y37=BUSCADOR!$B$17,BUSCADOR!$B$18=Y37,Y37=BUSCADOR!$B$20,BUSCADOR!$B$29=Y37,BUSCADOR!$B$34=Y37,BUSCADOR!$B$35=Y37,Y37=BUSCADOR!$B$109,Y37=BUSCADOR!$B$51,BUSCADOR!$B$50=Y37,Y37=BUSCADOR!$B$47,Y37=BUSCADOR!$B$58,Y37=BUSCADOR!$B$21,Y37=BUSCADOR!$B$22,Y37=BUSCADOR!$B$23,Y37=BUSCADOR!$B$24)),"El delito indicado debe presentar un numero de victimas. Completar la celda CANTIDAD DE VICTIMAS",IF(AND(SUM(AJ37:AO37)&gt;0,ISBLANK(AP37)),"Completar celda VULNERABILIDAD DE LA VICTIMA",IF(SUM(AG37:AI37)&lt;&gt;SUM(AJ37:AO37),"Se indico una CANTIDAD DE VICTIMAS SEGUN SEXO diferente a SEGUN GENERO",IF(AND(ISBLANK(AR37),OR(Y37=BUSCADOR!$B$49,BUSCADOR!$B$50=Y37,Y37=BUSCADOR!$B$46,Y37=BUSCADOR!$B$109,BUSCADOR!$B$2=Y37,X37=BUSCADOR!$A$58,X37=BUSCADOR!$A$59)),"Completar la celda TIPO DE ARMA, MODALIDAD O MECANISMO",IF(AND(ISBLANK(AS37),OR(Y37=BUSCADOR!$B$51,BUSCADOR!$B$50=Y37,Y37=BUSCADOR!$B$47,BUSCADOR!$A$58=X37,X37=BUSCADOR!$A$59)),"Completar la celda CONOCIDO, en la seccion de los inculpados",IF(AND(AS37=BUSCADOR!$B$127,OR(Y37=BUSCADOR!$B$51,BUSCADOR!$B$50,Y37,BUSCADOR!$B$46),OR(SUM(AT37:AV37)&lt;&gt;SUM(AW37:AZ37),SUM(AT37:AZ37)=0)),"Revisar las celdas correspondientes a CANTIDAD DE INCULPADOS. Se indica una cantidad diferente segun SEXO y EDAD o no se indico cantidad alguna",IF(AND(ISBLANK(BA37),X37=BUSCADOR!$A$27),"Se indico una persona desaparecida. Completar la casilla APARECIO",IF(AND(ISBLANK(BB37),OR(Y37=BUSCADOR!$B$49,BUSCADOR!$B$50=Y37,Y37=BUSCADOR!$B$46)),"Completar la casilla ELEMENTO SUSTRAIDO",IF(OR(AND(BB37=OTROS[[#Headers],[OTROS]],ISBLANK(BC37)),AND(BB37=ABIGEATO[[#Headers],[ABIGEATO]],ISBLANK(BC37))),"Completar la celda SUBCATEGORIA",IF(AND(OR(BB37=MOTOCICLETA[[#Headers],[MOTOCICLETA]],BB37=AUTOMOTOR[[#Headers],[AUTOMOTOR]]),OR(ISBLANK(BC37),ISBLANK(BD37),ISBLANK(BE37),ISBLANK(BF37))),"Se indico un AUTOMOTOR o MOTOCICLETA en ELEMENTOS SUSTRAIDOS, completar las celdas SUBCATEGORIA, DENOMINACION, AÑO y MODELO", IF(AND(ISBLANK(BB37)&lt;&gt;TRUE,ISBLANK(BJ37)),"Completar MODUS OPERANDI",IF(AND(ISBLANK(BK37),OR(BJ37=BUSCADOR!$H$232,BJ37=BUSCADOR!$I$232)),"Completar ESPECIALIDAD",IF(OR(AND(H37='SAT-Homicidios Dolosos'!$B$5,'SAT-Homicidios Dolosos'!$A$5&lt;&gt;"OK"),AND(H37='SAT-Homicidios Dolosos'!$B$8,'SAT-Homicidios Dolosos'!$A$8&lt;&gt;"OK")),"Se indico un HOMICIDIO, existen CELDAS VACIAS en la hoja SAT-HOMICIDIOS DOLOSOS Completar los datos indicados",IF(OR(AND(H37='SAT-Muertes Viales'!$E$21,'SAT-Muertes Viales'!$A$21&lt;&gt;"OK"),AND(H37='SAT-Muertes Viales'!$E$25,'SAT-Muertes Viales'!$A$25&lt;&gt;"OK"),AND(H37='SAT-Muertes Viales'!$E$29,'SAT-Muertes Viales'!$A$29&lt;&gt;"OK")),"Se indico un HOMICIDIO POR SINIESTRO VIAL, existen CELDAS VACIAS en la hoja SAT-MUERTES VIALES Completar los datos indicados",IF(OR(AND(H37='SAT-Suicidios'!$B$19,'SAT-Suicidios'!$A$19&lt;&gt;"OK"),AND(H37='SAT-Suicidios'!$B$22,'SAT-Suicidios'!$A$22&lt;&gt;"OK"),AND(H37='SAT-Suicidios'!$B$25,'SAT-Suicidios'!$A$25&lt;&gt;"OK")),"Se indico un SUICIDIO, existen CELDAS VACIAS en la hoja SAT-SUICIDIOS Completar los datos indicados",IF(IFERROR(MATCH(X37,BUSCADOR!$A$2:$A$112,0),-1)&lt;0,"No se indico delito",IF(AND(ISBLANK(BL37),OR(X37=BUSCADOR!$A$111,X37=BUSCADOR!$A$110)),"Llenar la casilla DETALLES, COMENTARIOS con una descripcion de la causa",IF(AND(X37="MUERTE DUDOSA",ISBLANK(BL37)=FALSE),"SE INDICO MUERTE DUDOSA, NOS CONTACTAREMOS PARA MAS INFORMACION","FILA CORRECTA"))))))))))))))))))))))))))))))</f>
        <v>No se indico delito</v>
      </c>
      <c r="C37" s="42"/>
      <c r="D37" s="90"/>
      <c r="E37" s="47"/>
      <c r="F37" s="88"/>
      <c r="G37" s="221" t="str">
        <f t="shared" si="9"/>
        <v>Comisaría 15°</v>
      </c>
      <c r="H37" s="46"/>
      <c r="I37" s="52"/>
      <c r="J37" s="27"/>
      <c r="K37" s="27"/>
      <c r="L37" s="27"/>
      <c r="M37" s="27"/>
      <c r="N37" s="46"/>
      <c r="O37" s="55" t="str">
        <f t="shared" si="10"/>
        <v/>
      </c>
      <c r="P37" s="56" t="str">
        <f t="shared" si="11"/>
        <v/>
      </c>
      <c r="Q37" s="52"/>
      <c r="R37" s="46"/>
      <c r="S37" s="62"/>
      <c r="T37" s="57" t="str">
        <f>IFERROR(VLOOKUP(X37,BUSCADOR!$A$2:$E$112,5,FALSE),"")</f>
        <v/>
      </c>
      <c r="U37" s="107" t="str">
        <f t="shared" si="0"/>
        <v/>
      </c>
      <c r="V37" s="28" t="str">
        <f>IFERROR(VLOOKUP(X37,BUSCADOR!$A$2:$E$112,4,FALSE),"")</f>
        <v/>
      </c>
      <c r="W37" s="107" t="str">
        <f t="shared" si="3"/>
        <v/>
      </c>
      <c r="X37" s="27"/>
      <c r="Y37" s="58" t="str">
        <f>IFERROR(VLOOKUP(X37,BUSCADOR!$A$2:$B$112,2,FALSE),"")</f>
        <v/>
      </c>
      <c r="Z37" s="101" t="str">
        <f t="shared" si="4"/>
        <v>__</v>
      </c>
      <c r="AA37" s="103" t="str">
        <f t="shared" si="5"/>
        <v>___</v>
      </c>
      <c r="AB37" s="104" t="str">
        <f t="shared" si="6"/>
        <v>____</v>
      </c>
      <c r="AC37" s="104" t="str">
        <f t="shared" si="6"/>
        <v>_____</v>
      </c>
      <c r="AD37" s="83"/>
      <c r="AE37" s="45"/>
      <c r="AF37" s="66"/>
      <c r="AG37" s="212"/>
      <c r="AH37" s="213"/>
      <c r="AI37" s="214"/>
      <c r="AJ37" s="219"/>
      <c r="AK37" s="213"/>
      <c r="AL37" s="213"/>
      <c r="AM37" s="213"/>
      <c r="AN37" s="213"/>
      <c r="AO37" s="219"/>
      <c r="AP37" s="95"/>
      <c r="AQ37" s="186" t="str">
        <f t="shared" si="1"/>
        <v/>
      </c>
      <c r="AR37" s="66"/>
      <c r="AS37" s="76"/>
      <c r="AT37" s="225"/>
      <c r="AU37" s="213"/>
      <c r="AV37" s="214"/>
      <c r="AW37" s="226"/>
      <c r="AX37" s="213"/>
      <c r="AY37" s="213"/>
      <c r="AZ37" s="227"/>
      <c r="BA37" s="65"/>
      <c r="BB37" s="52"/>
      <c r="BC37" s="27"/>
      <c r="BD37" s="27"/>
      <c r="BE37" s="27"/>
      <c r="BF37" s="79"/>
      <c r="BG37" s="52"/>
      <c r="BH37" s="69"/>
      <c r="BI37" s="188" t="str">
        <f>IF(Y37=BUSCADOR!$B$46,"HURTO_",IF(OR(Y37=BUSCADOR!$B$49,Y37=BUSCADOR!$B$50),"ROBO_",""))</f>
        <v/>
      </c>
      <c r="BJ37" s="50"/>
      <c r="BK37" s="45"/>
      <c r="BL37" s="66"/>
      <c r="BM37" s="1" t="b">
        <f t="shared" si="7"/>
        <v>0</v>
      </c>
    </row>
    <row r="38" spans="1:65" ht="117.6" customHeight="1" x14ac:dyDescent="0.25">
      <c r="A38" s="171">
        <v>36</v>
      </c>
      <c r="B38" s="41" t="str">
        <f>IF(AND(BM38,ISBLANK(C38)),"Completar FECHA DE DENUNCIA",IF(AND(BM38,OR(ISBLANK(D38),ISBLANK(E38),ISBLANK(H38))),"Completar las celdas FECHA, HORA Y PREVENTIVO. En caso de no conocer la fecha u horario colocar INDETERMINADO",IF(AND(BM38,ISBLANK(G38)),"Completar COMISARIA",IF(AND(BM38,OR(ISBLANK(I38),ISBLANK(L38),ISBLANK(M38),O38="")),"Completar las celdas LOCALIDAD, CALLE, ALTURA Y DIRECCION SEGUN  GOOGLE MAPS",IF(AND(ISBLANK(J38),OR(I38=AÑELO[[#Headers],[AÑELO]],CENTENARIO[[#Headers],[CENTENARIO]]='PLANILLA DJ'!I38,CUTRAL_CO[[#Headers],[CUTRAL_CO]],JUNIN_DE_LOS_ANDES[[#Headers],[JUNIN_DE_LOS_ANDES]]='PLANILLA DJ'!I38,'PLANILLA DJ'!I38=NEUQUEN[[#Headers],[NEUQUEN]],PLAZA_HUINCUL[[#Headers],[PLAZA_HUINCUL]]='PLANILLA DJ'!I38,'PLANILLA DJ'!I38=PLOTTIER[[#Headers],[PLOTTIER]])),"COMPLETAR BARRIO",IF(AND(BM38,ISBLANK(Q38)),"Completar Nombre de VICTIMA o DENUNCIANTE",IF(AND(BM38,ISBLANK(R38)),"Completar TIPO DE ACTUACION",IF(AND(R38=BUSCADOR!$B$140,OR(X38&lt;&gt;BUSCADOR!$A$110,ISBLANK(X38))),"Se indico A CONSIDERACION en ACTUACION, indicar en el buscador de delitos A CONSIDERACION tambien",IF(AND(ISBLANK(X38)&lt;&gt;TRUE,IFERROR(MATCH(X38,BUSCADOR!$A$2:$A$112,0),-1)&lt;0),"EN EL BUSCADOR DE DELITOS NO agregar comentarios como SU INVESTIGACION, REPORTE, etc. Limitarse SOLAMENTE a poner A CONSIDERACION u otro valor que coincida en el buscador",IF(AND(ISBLANK(AD38),OR(Y38=BUSCADOR!$B$49,BUSCADOR!$B$50=Y38,Y38=BUSCADOR!$B$46,Y38=BUSCADOR!$B$2,Y38=BUSCADOR!$B$7,BUSCADOR!$B$109=Y38,X38=BUSCADOR!$A$58,X38=BUSCADOR!$A$59)),"Completar la celda TIPO DE LUGAR",IF(AND(ISBLANK(AE38),OR(AD38=BUSCADOR!$E$149,BUSCADOR!$E$150=AD38,AD38=BUSCADOR!$F$148)),"Completar DETALLE ESTABLECIMIENTO",IF(AND(ISBLANK(AF38),BM38),"Completar la celda MOTIVO QUE ORIGINA EL REGISTRO DEL HECHO",IF(AND(SUM(AG38:AI38)=0,OR(Y38=BUSCADOR!$B$2,BUSCADOR!$B$6=Y38,Y38=BUSCADOR!$B$7,BUSCADOR!$B$8=Y38,Y38=BUSCADOR!$B$9,BUSCADOR!$B$12=Y38,Y38=BUSCADOR!$B$13,BUSCADOR!$B$14=Y38,Y38=BUSCADOR!$B$17,BUSCADOR!$B$18=Y38,Y38=BUSCADOR!$B$20,BUSCADOR!$B$29=Y38,BUSCADOR!$B$34=Y38,BUSCADOR!$B$35=Y38,Y38=BUSCADOR!$B$109,Y38=BUSCADOR!$B$51,BUSCADOR!$B$50=Y38,Y38=BUSCADOR!$B$47,Y38=BUSCADOR!$B$58,Y38=BUSCADOR!$B$21,Y38=BUSCADOR!$B$22,Y38=BUSCADOR!$B$23,Y38=BUSCADOR!$B$24)),"El delito indicado debe presentar un numero de victimas. Completar la celda CANTIDAD DE VICTIMAS",IF(AND(SUM(AJ38:AO38)&gt;0,ISBLANK(AP38)),"Completar celda VULNERABILIDAD DE LA VICTIMA",IF(SUM(AG38:AI38)&lt;&gt;SUM(AJ38:AO38),"Se indico una CANTIDAD DE VICTIMAS SEGUN SEXO diferente a SEGUN GENERO",IF(AND(ISBLANK(AR38),OR(Y38=BUSCADOR!$B$49,BUSCADOR!$B$50=Y38,Y38=BUSCADOR!$B$46,Y38=BUSCADOR!$B$109,BUSCADOR!$B$2=Y38,X38=BUSCADOR!$A$58,X38=BUSCADOR!$A$59)),"Completar la celda TIPO DE ARMA, MODALIDAD O MECANISMO",IF(AND(ISBLANK(AS38),OR(Y38=BUSCADOR!$B$51,BUSCADOR!$B$50=Y38,Y38=BUSCADOR!$B$47,BUSCADOR!$A$58=X38,X38=BUSCADOR!$A$59)),"Completar la celda CONOCIDO, en la seccion de los inculpados",IF(AND(AS38=BUSCADOR!$B$127,OR(Y38=BUSCADOR!$B$51,BUSCADOR!$B$50,Y38,BUSCADOR!$B$46),OR(SUM(AT38:AV38)&lt;&gt;SUM(AW38:AZ38),SUM(AT38:AZ38)=0)),"Revisar las celdas correspondientes a CANTIDAD DE INCULPADOS. Se indica una cantidad diferente segun SEXO y EDAD o no se indico cantidad alguna",IF(AND(ISBLANK(BA38),X38=BUSCADOR!$A$27),"Se indico una persona desaparecida. Completar la casilla APARECIO",IF(AND(ISBLANK(BB38),OR(Y38=BUSCADOR!$B$49,BUSCADOR!$B$50=Y38,Y38=BUSCADOR!$B$46)),"Completar la casilla ELEMENTO SUSTRAIDO",IF(OR(AND(BB38=OTROS[[#Headers],[OTROS]],ISBLANK(BC38)),AND(BB38=ABIGEATO[[#Headers],[ABIGEATO]],ISBLANK(BC38))),"Completar la celda SUBCATEGORIA",IF(AND(OR(BB38=MOTOCICLETA[[#Headers],[MOTOCICLETA]],BB38=AUTOMOTOR[[#Headers],[AUTOMOTOR]]),OR(ISBLANK(BC38),ISBLANK(BD38),ISBLANK(BE38),ISBLANK(BF38))),"Se indico un AUTOMOTOR o MOTOCICLETA en ELEMENTOS SUSTRAIDOS, completar las celdas SUBCATEGORIA, DENOMINACION, AÑO y MODELO", IF(AND(ISBLANK(BB38)&lt;&gt;TRUE,ISBLANK(BJ38)),"Completar MODUS OPERANDI",IF(AND(ISBLANK(BK38),OR(BJ38=BUSCADOR!$H$232,BJ38=BUSCADOR!$I$232)),"Completar ESPECIALIDAD",IF(OR(AND(H38='SAT-Homicidios Dolosos'!$B$5,'SAT-Homicidios Dolosos'!$A$5&lt;&gt;"OK"),AND(H38='SAT-Homicidios Dolosos'!$B$8,'SAT-Homicidios Dolosos'!$A$8&lt;&gt;"OK")),"Se indico un HOMICIDIO, existen CELDAS VACIAS en la hoja SAT-HOMICIDIOS DOLOSOS Completar los datos indicados",IF(OR(AND(H38='SAT-Muertes Viales'!$E$21,'SAT-Muertes Viales'!$A$21&lt;&gt;"OK"),AND(H38='SAT-Muertes Viales'!$E$25,'SAT-Muertes Viales'!$A$25&lt;&gt;"OK"),AND(H38='SAT-Muertes Viales'!$E$29,'SAT-Muertes Viales'!$A$29&lt;&gt;"OK")),"Se indico un HOMICIDIO POR SINIESTRO VIAL, existen CELDAS VACIAS en la hoja SAT-MUERTES VIALES Completar los datos indicados",IF(OR(AND(H38='SAT-Suicidios'!$B$19,'SAT-Suicidios'!$A$19&lt;&gt;"OK"),AND(H38='SAT-Suicidios'!$B$22,'SAT-Suicidios'!$A$22&lt;&gt;"OK"),AND(H38='SAT-Suicidios'!$B$25,'SAT-Suicidios'!$A$25&lt;&gt;"OK")),"Se indico un SUICIDIO, existen CELDAS VACIAS en la hoja SAT-SUICIDIOS Completar los datos indicados",IF(IFERROR(MATCH(X38,BUSCADOR!$A$2:$A$112,0),-1)&lt;0,"No se indico delito",IF(AND(ISBLANK(BL38),OR(X38=BUSCADOR!$A$111,X38=BUSCADOR!$A$110)),"Llenar la casilla DETALLES, COMENTARIOS con una descripcion de la causa",IF(AND(X38="MUERTE DUDOSA",ISBLANK(BL38)=FALSE),"SE INDICO MUERTE DUDOSA, NOS CONTACTAREMOS PARA MAS INFORMACION","FILA CORRECTA"))))))))))))))))))))))))))))))</f>
        <v>No se indico delito</v>
      </c>
      <c r="C38" s="42"/>
      <c r="D38" s="90"/>
      <c r="E38" s="47"/>
      <c r="F38" s="88"/>
      <c r="G38" s="221" t="str">
        <f t="shared" si="9"/>
        <v>Comisaría 15°</v>
      </c>
      <c r="H38" s="46"/>
      <c r="I38" s="52"/>
      <c r="J38" s="27"/>
      <c r="K38" s="27"/>
      <c r="L38" s="27"/>
      <c r="M38" s="27"/>
      <c r="N38" s="46"/>
      <c r="O38" s="55" t="str">
        <f t="shared" si="10"/>
        <v/>
      </c>
      <c r="P38" s="56" t="str">
        <f t="shared" si="11"/>
        <v/>
      </c>
      <c r="Q38" s="52"/>
      <c r="R38" s="46"/>
      <c r="S38" s="62"/>
      <c r="T38" s="57" t="str">
        <f>IFERROR(VLOOKUP(X38,BUSCADOR!$A$2:$E$112,5,FALSE),"")</f>
        <v/>
      </c>
      <c r="U38" s="107" t="str">
        <f t="shared" si="0"/>
        <v/>
      </c>
      <c r="V38" s="28" t="str">
        <f>IFERROR(VLOOKUP(X38,BUSCADOR!$A$2:$E$112,4,FALSE),"")</f>
        <v/>
      </c>
      <c r="W38" s="107" t="str">
        <f t="shared" si="3"/>
        <v/>
      </c>
      <c r="X38" s="27"/>
      <c r="Y38" s="58" t="str">
        <f>IFERROR(VLOOKUP(X38,BUSCADOR!$A$2:$B$112,2,FALSE),"")</f>
        <v/>
      </c>
      <c r="Z38" s="101" t="str">
        <f t="shared" si="4"/>
        <v>__</v>
      </c>
      <c r="AA38" s="103" t="str">
        <f t="shared" si="5"/>
        <v>___</v>
      </c>
      <c r="AB38" s="104" t="str">
        <f t="shared" si="6"/>
        <v>____</v>
      </c>
      <c r="AC38" s="104" t="str">
        <f t="shared" si="6"/>
        <v>_____</v>
      </c>
      <c r="AD38" s="83"/>
      <c r="AE38" s="45"/>
      <c r="AF38" s="66"/>
      <c r="AG38" s="212"/>
      <c r="AH38" s="213"/>
      <c r="AI38" s="214"/>
      <c r="AJ38" s="219"/>
      <c r="AK38" s="213"/>
      <c r="AL38" s="213"/>
      <c r="AM38" s="213"/>
      <c r="AN38" s="213"/>
      <c r="AO38" s="219"/>
      <c r="AP38" s="95"/>
      <c r="AQ38" s="186" t="str">
        <f t="shared" si="1"/>
        <v/>
      </c>
      <c r="AR38" s="66"/>
      <c r="AS38" s="76"/>
      <c r="AT38" s="225"/>
      <c r="AU38" s="213"/>
      <c r="AV38" s="214"/>
      <c r="AW38" s="226"/>
      <c r="AX38" s="213"/>
      <c r="AY38" s="213"/>
      <c r="AZ38" s="227"/>
      <c r="BA38" s="65"/>
      <c r="BB38" s="52"/>
      <c r="BC38" s="27"/>
      <c r="BD38" s="27"/>
      <c r="BE38" s="27"/>
      <c r="BF38" s="79"/>
      <c r="BG38" s="52"/>
      <c r="BH38" s="69"/>
      <c r="BI38" s="188" t="str">
        <f>IF(Y38=BUSCADOR!$B$46,"HURTO_",IF(OR(Y38=BUSCADOR!$B$49,Y38=BUSCADOR!$B$50),"ROBO_",""))</f>
        <v/>
      </c>
      <c r="BJ38" s="50"/>
      <c r="BK38" s="45"/>
      <c r="BL38" s="66"/>
      <c r="BM38" s="1" t="b">
        <f t="shared" si="7"/>
        <v>0</v>
      </c>
    </row>
    <row r="39" spans="1:65" ht="117.6" customHeight="1" x14ac:dyDescent="0.25">
      <c r="A39" s="171">
        <v>37</v>
      </c>
      <c r="B39" s="41" t="str">
        <f>IF(AND(BM39,ISBLANK(C39)),"Completar FECHA DE DENUNCIA",IF(AND(BM39,OR(ISBLANK(D39),ISBLANK(E39),ISBLANK(H39))),"Completar las celdas FECHA, HORA Y PREVENTIVO. En caso de no conocer la fecha u horario colocar INDETERMINADO",IF(AND(BM39,ISBLANK(G39)),"Completar COMISARIA",IF(AND(BM39,OR(ISBLANK(I39),ISBLANK(L39),ISBLANK(M39),O39="")),"Completar las celdas LOCALIDAD, CALLE, ALTURA Y DIRECCION SEGUN  GOOGLE MAPS",IF(AND(ISBLANK(J39),OR(I39=AÑELO[[#Headers],[AÑELO]],CENTENARIO[[#Headers],[CENTENARIO]]='PLANILLA DJ'!I39,CUTRAL_CO[[#Headers],[CUTRAL_CO]],JUNIN_DE_LOS_ANDES[[#Headers],[JUNIN_DE_LOS_ANDES]]='PLANILLA DJ'!I39,'PLANILLA DJ'!I39=NEUQUEN[[#Headers],[NEUQUEN]],PLAZA_HUINCUL[[#Headers],[PLAZA_HUINCUL]]='PLANILLA DJ'!I39,'PLANILLA DJ'!I39=PLOTTIER[[#Headers],[PLOTTIER]])),"COMPLETAR BARRIO",IF(AND(BM39,ISBLANK(Q39)),"Completar Nombre de VICTIMA o DENUNCIANTE",IF(AND(BM39,ISBLANK(R39)),"Completar TIPO DE ACTUACION",IF(AND(R39=BUSCADOR!$B$140,OR(X39&lt;&gt;BUSCADOR!$A$110,ISBLANK(X39))),"Se indico A CONSIDERACION en ACTUACION, indicar en el buscador de delitos A CONSIDERACION tambien",IF(AND(ISBLANK(X39)&lt;&gt;TRUE,IFERROR(MATCH(X39,BUSCADOR!$A$2:$A$112,0),-1)&lt;0),"EN EL BUSCADOR DE DELITOS NO agregar comentarios como SU INVESTIGACION, REPORTE, etc. Limitarse SOLAMENTE a poner A CONSIDERACION u otro valor que coincida en el buscador",IF(AND(ISBLANK(AD39),OR(Y39=BUSCADOR!$B$49,BUSCADOR!$B$50=Y39,Y39=BUSCADOR!$B$46,Y39=BUSCADOR!$B$2,Y39=BUSCADOR!$B$7,BUSCADOR!$B$109=Y39,X39=BUSCADOR!$A$58,X39=BUSCADOR!$A$59)),"Completar la celda TIPO DE LUGAR",IF(AND(ISBLANK(AE39),OR(AD39=BUSCADOR!$E$149,BUSCADOR!$E$150=AD39,AD39=BUSCADOR!$F$148)),"Completar DETALLE ESTABLECIMIENTO",IF(AND(ISBLANK(AF39),BM39),"Completar la celda MOTIVO QUE ORIGINA EL REGISTRO DEL HECHO",IF(AND(SUM(AG39:AI39)=0,OR(Y39=BUSCADOR!$B$2,BUSCADOR!$B$6=Y39,Y39=BUSCADOR!$B$7,BUSCADOR!$B$8=Y39,Y39=BUSCADOR!$B$9,BUSCADOR!$B$12=Y39,Y39=BUSCADOR!$B$13,BUSCADOR!$B$14=Y39,Y39=BUSCADOR!$B$17,BUSCADOR!$B$18=Y39,Y39=BUSCADOR!$B$20,BUSCADOR!$B$29=Y39,BUSCADOR!$B$34=Y39,BUSCADOR!$B$35=Y39,Y39=BUSCADOR!$B$109,Y39=BUSCADOR!$B$51,BUSCADOR!$B$50=Y39,Y39=BUSCADOR!$B$47,Y39=BUSCADOR!$B$58,Y39=BUSCADOR!$B$21,Y39=BUSCADOR!$B$22,Y39=BUSCADOR!$B$23,Y39=BUSCADOR!$B$24)),"El delito indicado debe presentar un numero de victimas. Completar la celda CANTIDAD DE VICTIMAS",IF(AND(SUM(AJ39:AO39)&gt;0,ISBLANK(AP39)),"Completar celda VULNERABILIDAD DE LA VICTIMA",IF(SUM(AG39:AI39)&lt;&gt;SUM(AJ39:AO39),"Se indico una CANTIDAD DE VICTIMAS SEGUN SEXO diferente a SEGUN GENERO",IF(AND(ISBLANK(AR39),OR(Y39=BUSCADOR!$B$49,BUSCADOR!$B$50=Y39,Y39=BUSCADOR!$B$46,Y39=BUSCADOR!$B$109,BUSCADOR!$B$2=Y39,X39=BUSCADOR!$A$58,X39=BUSCADOR!$A$59)),"Completar la celda TIPO DE ARMA, MODALIDAD O MECANISMO",IF(AND(ISBLANK(AS39),OR(Y39=BUSCADOR!$B$51,BUSCADOR!$B$50=Y39,Y39=BUSCADOR!$B$47,BUSCADOR!$A$58=X39,X39=BUSCADOR!$A$59)),"Completar la celda CONOCIDO, en la seccion de los inculpados",IF(AND(AS39=BUSCADOR!$B$127,OR(Y39=BUSCADOR!$B$51,BUSCADOR!$B$50,Y39,BUSCADOR!$B$46),OR(SUM(AT39:AV39)&lt;&gt;SUM(AW39:AZ39),SUM(AT39:AZ39)=0)),"Revisar las celdas correspondientes a CANTIDAD DE INCULPADOS. Se indica una cantidad diferente segun SEXO y EDAD o no se indico cantidad alguna",IF(AND(ISBLANK(BA39),X39=BUSCADOR!$A$27),"Se indico una persona desaparecida. Completar la casilla APARECIO",IF(AND(ISBLANK(BB39),OR(Y39=BUSCADOR!$B$49,BUSCADOR!$B$50=Y39,Y39=BUSCADOR!$B$46)),"Completar la casilla ELEMENTO SUSTRAIDO",IF(OR(AND(BB39=OTROS[[#Headers],[OTROS]],ISBLANK(BC39)),AND(BB39=ABIGEATO[[#Headers],[ABIGEATO]],ISBLANK(BC39))),"Completar la celda SUBCATEGORIA",IF(AND(OR(BB39=MOTOCICLETA[[#Headers],[MOTOCICLETA]],BB39=AUTOMOTOR[[#Headers],[AUTOMOTOR]]),OR(ISBLANK(BC39),ISBLANK(BD39),ISBLANK(BE39),ISBLANK(BF39))),"Se indico un AUTOMOTOR o MOTOCICLETA en ELEMENTOS SUSTRAIDOS, completar las celdas SUBCATEGORIA, DENOMINACION, AÑO y MODELO", IF(AND(ISBLANK(BB39)&lt;&gt;TRUE,ISBLANK(BJ39)),"Completar MODUS OPERANDI",IF(AND(ISBLANK(BK39),OR(BJ39=BUSCADOR!$H$232,BJ39=BUSCADOR!$I$232)),"Completar ESPECIALIDAD",IF(OR(AND(H39='SAT-Homicidios Dolosos'!$B$5,'SAT-Homicidios Dolosos'!$A$5&lt;&gt;"OK"),AND(H39='SAT-Homicidios Dolosos'!$B$8,'SAT-Homicidios Dolosos'!$A$8&lt;&gt;"OK")),"Se indico un HOMICIDIO, existen CELDAS VACIAS en la hoja SAT-HOMICIDIOS DOLOSOS Completar los datos indicados",IF(OR(AND(H39='SAT-Muertes Viales'!$E$21,'SAT-Muertes Viales'!$A$21&lt;&gt;"OK"),AND(H39='SAT-Muertes Viales'!$E$25,'SAT-Muertes Viales'!$A$25&lt;&gt;"OK"),AND(H39='SAT-Muertes Viales'!$E$29,'SAT-Muertes Viales'!$A$29&lt;&gt;"OK")),"Se indico un HOMICIDIO POR SINIESTRO VIAL, existen CELDAS VACIAS en la hoja SAT-MUERTES VIALES Completar los datos indicados",IF(OR(AND(H39='SAT-Suicidios'!$B$19,'SAT-Suicidios'!$A$19&lt;&gt;"OK"),AND(H39='SAT-Suicidios'!$B$22,'SAT-Suicidios'!$A$22&lt;&gt;"OK"),AND(H39='SAT-Suicidios'!$B$25,'SAT-Suicidios'!$A$25&lt;&gt;"OK")),"Se indico un SUICIDIO, existen CELDAS VACIAS en la hoja SAT-SUICIDIOS Completar los datos indicados",IF(IFERROR(MATCH(X39,BUSCADOR!$A$2:$A$112,0),-1)&lt;0,"No se indico delito",IF(AND(ISBLANK(BL39),OR(X39=BUSCADOR!$A$111,X39=BUSCADOR!$A$110)),"Llenar la casilla DETALLES, COMENTARIOS con una descripcion de la causa",IF(AND(X39="MUERTE DUDOSA",ISBLANK(BL39)=FALSE),"SE INDICO MUERTE DUDOSA, NOS CONTACTAREMOS PARA MAS INFORMACION","FILA CORRECTA"))))))))))))))))))))))))))))))</f>
        <v>No se indico delito</v>
      </c>
      <c r="C39" s="42"/>
      <c r="D39" s="90"/>
      <c r="E39" s="47"/>
      <c r="F39" s="88"/>
      <c r="G39" s="221" t="str">
        <f t="shared" si="9"/>
        <v>Comisaría 15°</v>
      </c>
      <c r="H39" s="46"/>
      <c r="I39" s="52"/>
      <c r="J39" s="27"/>
      <c r="K39" s="27"/>
      <c r="L39" s="27"/>
      <c r="M39" s="27"/>
      <c r="N39" s="46"/>
      <c r="O39" s="55" t="str">
        <f t="shared" si="10"/>
        <v/>
      </c>
      <c r="P39" s="56" t="str">
        <f t="shared" si="11"/>
        <v/>
      </c>
      <c r="Q39" s="52"/>
      <c r="R39" s="46"/>
      <c r="S39" s="62"/>
      <c r="T39" s="57" t="str">
        <f>IFERROR(VLOOKUP(X39,BUSCADOR!$A$2:$E$112,5,FALSE),"")</f>
        <v/>
      </c>
      <c r="U39" s="107" t="str">
        <f t="shared" si="0"/>
        <v/>
      </c>
      <c r="V39" s="28" t="str">
        <f>IFERROR(VLOOKUP(X39,BUSCADOR!$A$2:$E$112,4,FALSE),"")</f>
        <v/>
      </c>
      <c r="W39" s="107" t="str">
        <f t="shared" si="3"/>
        <v/>
      </c>
      <c r="X39" s="27"/>
      <c r="Y39" s="58" t="str">
        <f>IFERROR(VLOOKUP(X39,BUSCADOR!$A$2:$B$112,2,FALSE),"")</f>
        <v/>
      </c>
      <c r="Z39" s="101" t="str">
        <f t="shared" si="4"/>
        <v>__</v>
      </c>
      <c r="AA39" s="103" t="str">
        <f t="shared" si="5"/>
        <v>___</v>
      </c>
      <c r="AB39" s="104" t="str">
        <f t="shared" si="6"/>
        <v>____</v>
      </c>
      <c r="AC39" s="104" t="str">
        <f t="shared" si="6"/>
        <v>_____</v>
      </c>
      <c r="AD39" s="83"/>
      <c r="AE39" s="45"/>
      <c r="AF39" s="66"/>
      <c r="AG39" s="212"/>
      <c r="AH39" s="213"/>
      <c r="AI39" s="214"/>
      <c r="AJ39" s="219"/>
      <c r="AK39" s="213"/>
      <c r="AL39" s="213"/>
      <c r="AM39" s="213"/>
      <c r="AN39" s="213"/>
      <c r="AO39" s="219"/>
      <c r="AP39" s="95"/>
      <c r="AQ39" s="186" t="str">
        <f t="shared" si="1"/>
        <v/>
      </c>
      <c r="AR39" s="66"/>
      <c r="AS39" s="76"/>
      <c r="AT39" s="225"/>
      <c r="AU39" s="213"/>
      <c r="AV39" s="214"/>
      <c r="AW39" s="226"/>
      <c r="AX39" s="213"/>
      <c r="AY39" s="213"/>
      <c r="AZ39" s="227"/>
      <c r="BA39" s="65"/>
      <c r="BB39" s="52"/>
      <c r="BC39" s="27"/>
      <c r="BD39" s="27"/>
      <c r="BE39" s="27"/>
      <c r="BF39" s="79"/>
      <c r="BG39" s="52"/>
      <c r="BH39" s="69"/>
      <c r="BI39" s="188" t="str">
        <f>IF(Y39=BUSCADOR!$B$46,"HURTO_",IF(OR(Y39=BUSCADOR!$B$49,Y39=BUSCADOR!$B$50),"ROBO_",""))</f>
        <v/>
      </c>
      <c r="BJ39" s="50"/>
      <c r="BK39" s="45"/>
      <c r="BL39" s="66"/>
      <c r="BM39" s="1" t="b">
        <f t="shared" si="7"/>
        <v>0</v>
      </c>
    </row>
    <row r="40" spans="1:65" ht="117.6" customHeight="1" x14ac:dyDescent="0.25">
      <c r="A40" s="171">
        <v>38</v>
      </c>
      <c r="B40" s="41" t="str">
        <f>IF(AND(BM40,ISBLANK(C40)),"Completar FECHA DE DENUNCIA",IF(AND(BM40,OR(ISBLANK(D40),ISBLANK(E40),ISBLANK(H40))),"Completar las celdas FECHA, HORA Y PREVENTIVO. En caso de no conocer la fecha u horario colocar INDETERMINADO",IF(AND(BM40,ISBLANK(G40)),"Completar COMISARIA",IF(AND(BM40,OR(ISBLANK(I40),ISBLANK(L40),ISBLANK(M40),O40="")),"Completar las celdas LOCALIDAD, CALLE, ALTURA Y DIRECCION SEGUN  GOOGLE MAPS",IF(AND(ISBLANK(J40),OR(I40=AÑELO[[#Headers],[AÑELO]],CENTENARIO[[#Headers],[CENTENARIO]]='PLANILLA DJ'!I40,CUTRAL_CO[[#Headers],[CUTRAL_CO]],JUNIN_DE_LOS_ANDES[[#Headers],[JUNIN_DE_LOS_ANDES]]='PLANILLA DJ'!I40,'PLANILLA DJ'!I40=NEUQUEN[[#Headers],[NEUQUEN]],PLAZA_HUINCUL[[#Headers],[PLAZA_HUINCUL]]='PLANILLA DJ'!I40,'PLANILLA DJ'!I40=PLOTTIER[[#Headers],[PLOTTIER]])),"COMPLETAR BARRIO",IF(AND(BM40,ISBLANK(Q40)),"Completar Nombre de VICTIMA o DENUNCIANTE",IF(AND(BM40,ISBLANK(R40)),"Completar TIPO DE ACTUACION",IF(AND(R40=BUSCADOR!$B$140,OR(X40&lt;&gt;BUSCADOR!$A$110,ISBLANK(X40))),"Se indico A CONSIDERACION en ACTUACION, indicar en el buscador de delitos A CONSIDERACION tambien",IF(AND(ISBLANK(X40)&lt;&gt;TRUE,IFERROR(MATCH(X40,BUSCADOR!$A$2:$A$112,0),-1)&lt;0),"EN EL BUSCADOR DE DELITOS NO agregar comentarios como SU INVESTIGACION, REPORTE, etc. Limitarse SOLAMENTE a poner A CONSIDERACION u otro valor que coincida en el buscador",IF(AND(ISBLANK(AD40),OR(Y40=BUSCADOR!$B$49,BUSCADOR!$B$50=Y40,Y40=BUSCADOR!$B$46,Y40=BUSCADOR!$B$2,Y40=BUSCADOR!$B$7,BUSCADOR!$B$109=Y40,X40=BUSCADOR!$A$58,X40=BUSCADOR!$A$59)),"Completar la celda TIPO DE LUGAR",IF(AND(ISBLANK(AE40),OR(AD40=BUSCADOR!$E$149,BUSCADOR!$E$150=AD40,AD40=BUSCADOR!$F$148)),"Completar DETALLE ESTABLECIMIENTO",IF(AND(ISBLANK(AF40),BM40),"Completar la celda MOTIVO QUE ORIGINA EL REGISTRO DEL HECHO",IF(AND(SUM(AG40:AI40)=0,OR(Y40=BUSCADOR!$B$2,BUSCADOR!$B$6=Y40,Y40=BUSCADOR!$B$7,BUSCADOR!$B$8=Y40,Y40=BUSCADOR!$B$9,BUSCADOR!$B$12=Y40,Y40=BUSCADOR!$B$13,BUSCADOR!$B$14=Y40,Y40=BUSCADOR!$B$17,BUSCADOR!$B$18=Y40,Y40=BUSCADOR!$B$20,BUSCADOR!$B$29=Y40,BUSCADOR!$B$34=Y40,BUSCADOR!$B$35=Y40,Y40=BUSCADOR!$B$109,Y40=BUSCADOR!$B$51,BUSCADOR!$B$50=Y40,Y40=BUSCADOR!$B$47,Y40=BUSCADOR!$B$58,Y40=BUSCADOR!$B$21,Y40=BUSCADOR!$B$22,Y40=BUSCADOR!$B$23,Y40=BUSCADOR!$B$24)),"El delito indicado debe presentar un numero de victimas. Completar la celda CANTIDAD DE VICTIMAS",IF(AND(SUM(AJ40:AO40)&gt;0,ISBLANK(AP40)),"Completar celda VULNERABILIDAD DE LA VICTIMA",IF(SUM(AG40:AI40)&lt;&gt;SUM(AJ40:AO40),"Se indico una CANTIDAD DE VICTIMAS SEGUN SEXO diferente a SEGUN GENERO",IF(AND(ISBLANK(AR40),OR(Y40=BUSCADOR!$B$49,BUSCADOR!$B$50=Y40,Y40=BUSCADOR!$B$46,Y40=BUSCADOR!$B$109,BUSCADOR!$B$2=Y40,X40=BUSCADOR!$A$58,X40=BUSCADOR!$A$59)),"Completar la celda TIPO DE ARMA, MODALIDAD O MECANISMO",IF(AND(ISBLANK(AS40),OR(Y40=BUSCADOR!$B$51,BUSCADOR!$B$50=Y40,Y40=BUSCADOR!$B$47,BUSCADOR!$A$58=X40,X40=BUSCADOR!$A$59)),"Completar la celda CONOCIDO, en la seccion de los inculpados",IF(AND(AS40=BUSCADOR!$B$127,OR(Y40=BUSCADOR!$B$51,BUSCADOR!$B$50,Y40,BUSCADOR!$B$46),OR(SUM(AT40:AV40)&lt;&gt;SUM(AW40:AZ40),SUM(AT40:AZ40)=0)),"Revisar las celdas correspondientes a CANTIDAD DE INCULPADOS. Se indica una cantidad diferente segun SEXO y EDAD o no se indico cantidad alguna",IF(AND(ISBLANK(BA40),X40=BUSCADOR!$A$27),"Se indico una persona desaparecida. Completar la casilla APARECIO",IF(AND(ISBLANK(BB40),OR(Y40=BUSCADOR!$B$49,BUSCADOR!$B$50=Y40,Y40=BUSCADOR!$B$46)),"Completar la casilla ELEMENTO SUSTRAIDO",IF(OR(AND(BB40=OTROS[[#Headers],[OTROS]],ISBLANK(BC40)),AND(BB40=ABIGEATO[[#Headers],[ABIGEATO]],ISBLANK(BC40))),"Completar la celda SUBCATEGORIA",IF(AND(OR(BB40=MOTOCICLETA[[#Headers],[MOTOCICLETA]],BB40=AUTOMOTOR[[#Headers],[AUTOMOTOR]]),OR(ISBLANK(BC40),ISBLANK(BD40),ISBLANK(BE40),ISBLANK(BF40))),"Se indico un AUTOMOTOR o MOTOCICLETA en ELEMENTOS SUSTRAIDOS, completar las celdas SUBCATEGORIA, DENOMINACION, AÑO y MODELO", IF(AND(ISBLANK(BB40)&lt;&gt;TRUE,ISBLANK(BJ40)),"Completar MODUS OPERANDI",IF(AND(ISBLANK(BK40),OR(BJ40=BUSCADOR!$H$232,BJ40=BUSCADOR!$I$232)),"Completar ESPECIALIDAD",IF(OR(AND(H40='SAT-Homicidios Dolosos'!$B$5,'SAT-Homicidios Dolosos'!$A$5&lt;&gt;"OK"),AND(H40='SAT-Homicidios Dolosos'!$B$8,'SAT-Homicidios Dolosos'!$A$8&lt;&gt;"OK")),"Se indico un HOMICIDIO, existen CELDAS VACIAS en la hoja SAT-HOMICIDIOS DOLOSOS Completar los datos indicados",IF(OR(AND(H40='SAT-Muertes Viales'!$E$21,'SAT-Muertes Viales'!$A$21&lt;&gt;"OK"),AND(H40='SAT-Muertes Viales'!$E$25,'SAT-Muertes Viales'!$A$25&lt;&gt;"OK"),AND(H40='SAT-Muertes Viales'!$E$29,'SAT-Muertes Viales'!$A$29&lt;&gt;"OK")),"Se indico un HOMICIDIO POR SINIESTRO VIAL, existen CELDAS VACIAS en la hoja SAT-MUERTES VIALES Completar los datos indicados",IF(OR(AND(H40='SAT-Suicidios'!$B$19,'SAT-Suicidios'!$A$19&lt;&gt;"OK"),AND(H40='SAT-Suicidios'!$B$22,'SAT-Suicidios'!$A$22&lt;&gt;"OK"),AND(H40='SAT-Suicidios'!$B$25,'SAT-Suicidios'!$A$25&lt;&gt;"OK")),"Se indico un SUICIDIO, existen CELDAS VACIAS en la hoja SAT-SUICIDIOS Completar los datos indicados",IF(IFERROR(MATCH(X40,BUSCADOR!$A$2:$A$112,0),-1)&lt;0,"No se indico delito",IF(AND(ISBLANK(BL40),OR(X40=BUSCADOR!$A$111,X40=BUSCADOR!$A$110)),"Llenar la casilla DETALLES, COMENTARIOS con una descripcion de la causa",IF(AND(X40="MUERTE DUDOSA",ISBLANK(BL40)=FALSE),"SE INDICO MUERTE DUDOSA, NOS CONTACTAREMOS PARA MAS INFORMACION","FILA CORRECTA"))))))))))))))))))))))))))))))</f>
        <v>No se indico delito</v>
      </c>
      <c r="C40" s="42"/>
      <c r="D40" s="90"/>
      <c r="E40" s="47"/>
      <c r="F40" s="88"/>
      <c r="G40" s="221" t="str">
        <f t="shared" si="9"/>
        <v>Comisaría 15°</v>
      </c>
      <c r="H40" s="46"/>
      <c r="I40" s="52"/>
      <c r="J40" s="27"/>
      <c r="K40" s="27"/>
      <c r="L40" s="27"/>
      <c r="M40" s="27"/>
      <c r="N40" s="46"/>
      <c r="O40" s="55" t="str">
        <f t="shared" si="10"/>
        <v/>
      </c>
      <c r="P40" s="56" t="str">
        <f t="shared" si="11"/>
        <v/>
      </c>
      <c r="Q40" s="52"/>
      <c r="R40" s="46"/>
      <c r="S40" s="62"/>
      <c r="T40" s="57" t="str">
        <f>IFERROR(VLOOKUP(X40,BUSCADOR!$A$2:$E$112,5,FALSE),"")</f>
        <v/>
      </c>
      <c r="U40" s="107" t="str">
        <f t="shared" si="0"/>
        <v/>
      </c>
      <c r="V40" s="28" t="str">
        <f>IFERROR(VLOOKUP(X40,BUSCADOR!$A$2:$E$112,4,FALSE),"")</f>
        <v/>
      </c>
      <c r="W40" s="107" t="str">
        <f t="shared" si="3"/>
        <v/>
      </c>
      <c r="X40" s="27"/>
      <c r="Y40" s="58" t="str">
        <f>IFERROR(VLOOKUP(X40,BUSCADOR!$A$2:$B$112,2,FALSE),"")</f>
        <v/>
      </c>
      <c r="Z40" s="101" t="str">
        <f t="shared" si="4"/>
        <v>__</v>
      </c>
      <c r="AA40" s="103" t="str">
        <f t="shared" si="5"/>
        <v>___</v>
      </c>
      <c r="AB40" s="104" t="str">
        <f t="shared" si="6"/>
        <v>____</v>
      </c>
      <c r="AC40" s="104" t="str">
        <f t="shared" si="6"/>
        <v>_____</v>
      </c>
      <c r="AD40" s="83"/>
      <c r="AE40" s="45"/>
      <c r="AF40" s="66"/>
      <c r="AG40" s="212"/>
      <c r="AH40" s="213"/>
      <c r="AI40" s="214"/>
      <c r="AJ40" s="219"/>
      <c r="AK40" s="213"/>
      <c r="AL40" s="213"/>
      <c r="AM40" s="213"/>
      <c r="AN40" s="213"/>
      <c r="AO40" s="219"/>
      <c r="AP40" s="95"/>
      <c r="AQ40" s="186" t="str">
        <f t="shared" si="1"/>
        <v/>
      </c>
      <c r="AR40" s="66"/>
      <c r="AS40" s="76"/>
      <c r="AT40" s="225"/>
      <c r="AU40" s="213"/>
      <c r="AV40" s="214"/>
      <c r="AW40" s="226"/>
      <c r="AX40" s="213"/>
      <c r="AY40" s="213"/>
      <c r="AZ40" s="227"/>
      <c r="BA40" s="65"/>
      <c r="BB40" s="52"/>
      <c r="BC40" s="27"/>
      <c r="BD40" s="27"/>
      <c r="BE40" s="27"/>
      <c r="BF40" s="79"/>
      <c r="BG40" s="52"/>
      <c r="BH40" s="69"/>
      <c r="BI40" s="188" t="str">
        <f>IF(Y40=BUSCADOR!$B$46,"HURTO_",IF(OR(Y40=BUSCADOR!$B$49,Y40=BUSCADOR!$B$50),"ROBO_",""))</f>
        <v/>
      </c>
      <c r="BJ40" s="50"/>
      <c r="BK40" s="45"/>
      <c r="BL40" s="66"/>
      <c r="BM40" s="1" t="b">
        <f t="shared" si="7"/>
        <v>0</v>
      </c>
    </row>
    <row r="41" spans="1:65" ht="117.6" customHeight="1" x14ac:dyDescent="0.25">
      <c r="A41" s="171">
        <v>39</v>
      </c>
      <c r="B41" s="41" t="str">
        <f>IF(AND(BM41,ISBLANK(C41)),"Completar FECHA DE DENUNCIA",IF(AND(BM41,OR(ISBLANK(D41),ISBLANK(E41),ISBLANK(H41))),"Completar las celdas FECHA, HORA Y PREVENTIVO. En caso de no conocer la fecha u horario colocar INDETERMINADO",IF(AND(BM41,ISBLANK(G41)),"Completar COMISARIA",IF(AND(BM41,OR(ISBLANK(I41),ISBLANK(L41),ISBLANK(M41),O41="")),"Completar las celdas LOCALIDAD, CALLE, ALTURA Y DIRECCION SEGUN  GOOGLE MAPS",IF(AND(ISBLANK(J41),OR(I41=AÑELO[[#Headers],[AÑELO]],CENTENARIO[[#Headers],[CENTENARIO]]='PLANILLA DJ'!I41,CUTRAL_CO[[#Headers],[CUTRAL_CO]],JUNIN_DE_LOS_ANDES[[#Headers],[JUNIN_DE_LOS_ANDES]]='PLANILLA DJ'!I41,'PLANILLA DJ'!I41=NEUQUEN[[#Headers],[NEUQUEN]],PLAZA_HUINCUL[[#Headers],[PLAZA_HUINCUL]]='PLANILLA DJ'!I41,'PLANILLA DJ'!I41=PLOTTIER[[#Headers],[PLOTTIER]])),"COMPLETAR BARRIO",IF(AND(BM41,ISBLANK(Q41)),"Completar Nombre de VICTIMA o DENUNCIANTE",IF(AND(BM41,ISBLANK(R41)),"Completar TIPO DE ACTUACION",IF(AND(R41=BUSCADOR!$B$140,OR(X41&lt;&gt;BUSCADOR!$A$110,ISBLANK(X41))),"Se indico A CONSIDERACION en ACTUACION, indicar en el buscador de delitos A CONSIDERACION tambien",IF(AND(ISBLANK(X41)&lt;&gt;TRUE,IFERROR(MATCH(X41,BUSCADOR!$A$2:$A$112,0),-1)&lt;0),"EN EL BUSCADOR DE DELITOS NO agregar comentarios como SU INVESTIGACION, REPORTE, etc. Limitarse SOLAMENTE a poner A CONSIDERACION u otro valor que coincida en el buscador",IF(AND(ISBLANK(AD41),OR(Y41=BUSCADOR!$B$49,BUSCADOR!$B$50=Y41,Y41=BUSCADOR!$B$46,Y41=BUSCADOR!$B$2,Y41=BUSCADOR!$B$7,BUSCADOR!$B$109=Y41,X41=BUSCADOR!$A$58,X41=BUSCADOR!$A$59)),"Completar la celda TIPO DE LUGAR",IF(AND(ISBLANK(AE41),OR(AD41=BUSCADOR!$E$149,BUSCADOR!$E$150=AD41,AD41=BUSCADOR!$F$148)),"Completar DETALLE ESTABLECIMIENTO",IF(AND(ISBLANK(AF41),BM41),"Completar la celda MOTIVO QUE ORIGINA EL REGISTRO DEL HECHO",IF(AND(SUM(AG41:AI41)=0,OR(Y41=BUSCADOR!$B$2,BUSCADOR!$B$6=Y41,Y41=BUSCADOR!$B$7,BUSCADOR!$B$8=Y41,Y41=BUSCADOR!$B$9,BUSCADOR!$B$12=Y41,Y41=BUSCADOR!$B$13,BUSCADOR!$B$14=Y41,Y41=BUSCADOR!$B$17,BUSCADOR!$B$18=Y41,Y41=BUSCADOR!$B$20,BUSCADOR!$B$29=Y41,BUSCADOR!$B$34=Y41,BUSCADOR!$B$35=Y41,Y41=BUSCADOR!$B$109,Y41=BUSCADOR!$B$51,BUSCADOR!$B$50=Y41,Y41=BUSCADOR!$B$47,Y41=BUSCADOR!$B$58,Y41=BUSCADOR!$B$21,Y41=BUSCADOR!$B$22,Y41=BUSCADOR!$B$23,Y41=BUSCADOR!$B$24)),"El delito indicado debe presentar un numero de victimas. Completar la celda CANTIDAD DE VICTIMAS",IF(AND(SUM(AJ41:AO41)&gt;0,ISBLANK(AP41)),"Completar celda VULNERABILIDAD DE LA VICTIMA",IF(SUM(AG41:AI41)&lt;&gt;SUM(AJ41:AO41),"Se indico una CANTIDAD DE VICTIMAS SEGUN SEXO diferente a SEGUN GENERO",IF(AND(ISBLANK(AR41),OR(Y41=BUSCADOR!$B$49,BUSCADOR!$B$50=Y41,Y41=BUSCADOR!$B$46,Y41=BUSCADOR!$B$109,BUSCADOR!$B$2=Y41,X41=BUSCADOR!$A$58,X41=BUSCADOR!$A$59)),"Completar la celda TIPO DE ARMA, MODALIDAD O MECANISMO",IF(AND(ISBLANK(AS41),OR(Y41=BUSCADOR!$B$51,BUSCADOR!$B$50=Y41,Y41=BUSCADOR!$B$47,BUSCADOR!$A$58=X41,X41=BUSCADOR!$A$59)),"Completar la celda CONOCIDO, en la seccion de los inculpados",IF(AND(AS41=BUSCADOR!$B$127,OR(Y41=BUSCADOR!$B$51,BUSCADOR!$B$50,Y41,BUSCADOR!$B$46),OR(SUM(AT41:AV41)&lt;&gt;SUM(AW41:AZ41),SUM(AT41:AZ41)=0)),"Revisar las celdas correspondientes a CANTIDAD DE INCULPADOS. Se indica una cantidad diferente segun SEXO y EDAD o no se indico cantidad alguna",IF(AND(ISBLANK(BA41),X41=BUSCADOR!$A$27),"Se indico una persona desaparecida. Completar la casilla APARECIO",IF(AND(ISBLANK(BB41),OR(Y41=BUSCADOR!$B$49,BUSCADOR!$B$50=Y41,Y41=BUSCADOR!$B$46)),"Completar la casilla ELEMENTO SUSTRAIDO",IF(OR(AND(BB41=OTROS[[#Headers],[OTROS]],ISBLANK(BC41)),AND(BB41=ABIGEATO[[#Headers],[ABIGEATO]],ISBLANK(BC41))),"Completar la celda SUBCATEGORIA",IF(AND(OR(BB41=MOTOCICLETA[[#Headers],[MOTOCICLETA]],BB41=AUTOMOTOR[[#Headers],[AUTOMOTOR]]),OR(ISBLANK(BC41),ISBLANK(BD41),ISBLANK(BE41),ISBLANK(BF41))),"Se indico un AUTOMOTOR o MOTOCICLETA en ELEMENTOS SUSTRAIDOS, completar las celdas SUBCATEGORIA, DENOMINACION, AÑO y MODELO", IF(AND(ISBLANK(BB41)&lt;&gt;TRUE,ISBLANK(BJ41)),"Completar MODUS OPERANDI",IF(AND(ISBLANK(BK41),OR(BJ41=BUSCADOR!$H$232,BJ41=BUSCADOR!$I$232)),"Completar ESPECIALIDAD",IF(OR(AND(H41='SAT-Homicidios Dolosos'!$B$5,'SAT-Homicidios Dolosos'!$A$5&lt;&gt;"OK"),AND(H41='SAT-Homicidios Dolosos'!$B$8,'SAT-Homicidios Dolosos'!$A$8&lt;&gt;"OK")),"Se indico un HOMICIDIO, existen CELDAS VACIAS en la hoja SAT-HOMICIDIOS DOLOSOS Completar los datos indicados",IF(OR(AND(H41='SAT-Muertes Viales'!$E$21,'SAT-Muertes Viales'!$A$21&lt;&gt;"OK"),AND(H41='SAT-Muertes Viales'!$E$25,'SAT-Muertes Viales'!$A$25&lt;&gt;"OK"),AND(H41='SAT-Muertes Viales'!$E$29,'SAT-Muertes Viales'!$A$29&lt;&gt;"OK")),"Se indico un HOMICIDIO POR SINIESTRO VIAL, existen CELDAS VACIAS en la hoja SAT-MUERTES VIALES Completar los datos indicados",IF(OR(AND(H41='SAT-Suicidios'!$B$19,'SAT-Suicidios'!$A$19&lt;&gt;"OK"),AND(H41='SAT-Suicidios'!$B$22,'SAT-Suicidios'!$A$22&lt;&gt;"OK"),AND(H41='SAT-Suicidios'!$B$25,'SAT-Suicidios'!$A$25&lt;&gt;"OK")),"Se indico un SUICIDIO, existen CELDAS VACIAS en la hoja SAT-SUICIDIOS Completar los datos indicados",IF(IFERROR(MATCH(X41,BUSCADOR!$A$2:$A$112,0),-1)&lt;0,"No se indico delito",IF(AND(ISBLANK(BL41),OR(X41=BUSCADOR!$A$111,X41=BUSCADOR!$A$110)),"Llenar la casilla DETALLES, COMENTARIOS con una descripcion de la causa",IF(AND(X41="MUERTE DUDOSA",ISBLANK(BL41)=FALSE),"SE INDICO MUERTE DUDOSA, NOS CONTACTAREMOS PARA MAS INFORMACION","FILA CORRECTA"))))))))))))))))))))))))))))))</f>
        <v>No se indico delito</v>
      </c>
      <c r="C41" s="42"/>
      <c r="D41" s="90"/>
      <c r="E41" s="47"/>
      <c r="F41" s="88"/>
      <c r="G41" s="221" t="str">
        <f t="shared" si="9"/>
        <v>Comisaría 15°</v>
      </c>
      <c r="H41" s="46"/>
      <c r="I41" s="52"/>
      <c r="J41" s="27"/>
      <c r="K41" s="27"/>
      <c r="L41" s="27"/>
      <c r="M41" s="27"/>
      <c r="N41" s="46"/>
      <c r="O41" s="55" t="str">
        <f t="shared" si="10"/>
        <v/>
      </c>
      <c r="P41" s="56" t="str">
        <f t="shared" si="11"/>
        <v/>
      </c>
      <c r="Q41" s="52"/>
      <c r="R41" s="46"/>
      <c r="S41" s="62"/>
      <c r="T41" s="57" t="str">
        <f>IFERROR(VLOOKUP(X41,BUSCADOR!$A$2:$E$112,5,FALSE),"")</f>
        <v/>
      </c>
      <c r="U41" s="107" t="str">
        <f t="shared" si="0"/>
        <v/>
      </c>
      <c r="V41" s="28" t="str">
        <f>IFERROR(VLOOKUP(X41,BUSCADOR!$A$2:$E$112,4,FALSE),"")</f>
        <v/>
      </c>
      <c r="W41" s="107" t="str">
        <f t="shared" si="3"/>
        <v/>
      </c>
      <c r="X41" s="27"/>
      <c r="Y41" s="58" t="str">
        <f>IFERROR(VLOOKUP(X41,BUSCADOR!$A$2:$B$112,2,FALSE),"")</f>
        <v/>
      </c>
      <c r="Z41" s="101" t="str">
        <f t="shared" si="4"/>
        <v>__</v>
      </c>
      <c r="AA41" s="103" t="str">
        <f t="shared" si="5"/>
        <v>___</v>
      </c>
      <c r="AB41" s="104" t="str">
        <f t="shared" si="6"/>
        <v>____</v>
      </c>
      <c r="AC41" s="104" t="str">
        <f t="shared" si="6"/>
        <v>_____</v>
      </c>
      <c r="AD41" s="83"/>
      <c r="AE41" s="45"/>
      <c r="AF41" s="66"/>
      <c r="AG41" s="212"/>
      <c r="AH41" s="213"/>
      <c r="AI41" s="214"/>
      <c r="AJ41" s="219"/>
      <c r="AK41" s="213"/>
      <c r="AL41" s="213"/>
      <c r="AM41" s="213"/>
      <c r="AN41" s="213"/>
      <c r="AO41" s="219"/>
      <c r="AP41" s="95"/>
      <c r="AQ41" s="186" t="str">
        <f t="shared" si="1"/>
        <v/>
      </c>
      <c r="AR41" s="66"/>
      <c r="AS41" s="76"/>
      <c r="AT41" s="225"/>
      <c r="AU41" s="213"/>
      <c r="AV41" s="214"/>
      <c r="AW41" s="226"/>
      <c r="AX41" s="213"/>
      <c r="AY41" s="213"/>
      <c r="AZ41" s="227"/>
      <c r="BA41" s="65"/>
      <c r="BB41" s="52"/>
      <c r="BC41" s="27"/>
      <c r="BD41" s="27"/>
      <c r="BE41" s="27"/>
      <c r="BF41" s="79"/>
      <c r="BG41" s="52"/>
      <c r="BH41" s="69"/>
      <c r="BI41" s="188" t="str">
        <f>IF(Y41=BUSCADOR!$B$46,"HURTO_",IF(OR(Y41=BUSCADOR!$B$49,Y41=BUSCADOR!$B$50),"ROBO_",""))</f>
        <v/>
      </c>
      <c r="BJ41" s="50"/>
      <c r="BK41" s="45"/>
      <c r="BL41" s="66"/>
      <c r="BM41" s="1" t="b">
        <f t="shared" si="7"/>
        <v>0</v>
      </c>
    </row>
    <row r="42" spans="1:65" ht="117.6" customHeight="1" x14ac:dyDescent="0.25">
      <c r="A42" s="171">
        <v>40</v>
      </c>
      <c r="B42" s="41" t="str">
        <f>IF(AND(BM42,ISBLANK(C42)),"Completar FECHA DE DENUNCIA",IF(AND(BM42,OR(ISBLANK(D42),ISBLANK(E42),ISBLANK(H42))),"Completar las celdas FECHA, HORA Y PREVENTIVO. En caso de no conocer la fecha u horario colocar INDETERMINADO",IF(AND(BM42,ISBLANK(G42)),"Completar COMISARIA",IF(AND(BM42,OR(ISBLANK(I42),ISBLANK(L42),ISBLANK(M42),O42="")),"Completar las celdas LOCALIDAD, CALLE, ALTURA Y DIRECCION SEGUN  GOOGLE MAPS",IF(AND(ISBLANK(J42),OR(I42=AÑELO[[#Headers],[AÑELO]],CENTENARIO[[#Headers],[CENTENARIO]]='PLANILLA DJ'!I42,CUTRAL_CO[[#Headers],[CUTRAL_CO]],JUNIN_DE_LOS_ANDES[[#Headers],[JUNIN_DE_LOS_ANDES]]='PLANILLA DJ'!I42,'PLANILLA DJ'!I42=NEUQUEN[[#Headers],[NEUQUEN]],PLAZA_HUINCUL[[#Headers],[PLAZA_HUINCUL]]='PLANILLA DJ'!I42,'PLANILLA DJ'!I42=PLOTTIER[[#Headers],[PLOTTIER]])),"COMPLETAR BARRIO",IF(AND(BM42,ISBLANK(Q42)),"Completar Nombre de VICTIMA o DENUNCIANTE",IF(AND(BM42,ISBLANK(R42)),"Completar TIPO DE ACTUACION",IF(AND(R42=BUSCADOR!$B$140,OR(X42&lt;&gt;BUSCADOR!$A$110,ISBLANK(X42))),"Se indico A CONSIDERACION en ACTUACION, indicar en el buscador de delitos A CONSIDERACION tambien",IF(AND(ISBLANK(X42)&lt;&gt;TRUE,IFERROR(MATCH(X42,BUSCADOR!$A$2:$A$112,0),-1)&lt;0),"EN EL BUSCADOR DE DELITOS NO agregar comentarios como SU INVESTIGACION, REPORTE, etc. Limitarse SOLAMENTE a poner A CONSIDERACION u otro valor que coincida en el buscador",IF(AND(ISBLANK(AD42),OR(Y42=BUSCADOR!$B$49,BUSCADOR!$B$50=Y42,Y42=BUSCADOR!$B$46,Y42=BUSCADOR!$B$2,Y42=BUSCADOR!$B$7,BUSCADOR!$B$109=Y42,X42=BUSCADOR!$A$58,X42=BUSCADOR!$A$59)),"Completar la celda TIPO DE LUGAR",IF(AND(ISBLANK(AE42),OR(AD42=BUSCADOR!$E$149,BUSCADOR!$E$150=AD42,AD42=BUSCADOR!$F$148)),"Completar DETALLE ESTABLECIMIENTO",IF(AND(ISBLANK(AF42),BM42),"Completar la celda MOTIVO QUE ORIGINA EL REGISTRO DEL HECHO",IF(AND(SUM(AG42:AI42)=0,OR(Y42=BUSCADOR!$B$2,BUSCADOR!$B$6=Y42,Y42=BUSCADOR!$B$7,BUSCADOR!$B$8=Y42,Y42=BUSCADOR!$B$9,BUSCADOR!$B$12=Y42,Y42=BUSCADOR!$B$13,BUSCADOR!$B$14=Y42,Y42=BUSCADOR!$B$17,BUSCADOR!$B$18=Y42,Y42=BUSCADOR!$B$20,BUSCADOR!$B$29=Y42,BUSCADOR!$B$34=Y42,BUSCADOR!$B$35=Y42,Y42=BUSCADOR!$B$109,Y42=BUSCADOR!$B$51,BUSCADOR!$B$50=Y42,Y42=BUSCADOR!$B$47,Y42=BUSCADOR!$B$58,Y42=BUSCADOR!$B$21,Y42=BUSCADOR!$B$22,Y42=BUSCADOR!$B$23,Y42=BUSCADOR!$B$24)),"El delito indicado debe presentar un numero de victimas. Completar la celda CANTIDAD DE VICTIMAS",IF(AND(SUM(AJ42:AO42)&gt;0,ISBLANK(AP42)),"Completar celda VULNERABILIDAD DE LA VICTIMA",IF(SUM(AG42:AI42)&lt;&gt;SUM(AJ42:AO42),"Se indico una CANTIDAD DE VICTIMAS SEGUN SEXO diferente a SEGUN GENERO",IF(AND(ISBLANK(AR42),OR(Y42=BUSCADOR!$B$49,BUSCADOR!$B$50=Y42,Y42=BUSCADOR!$B$46,Y42=BUSCADOR!$B$109,BUSCADOR!$B$2=Y42,X42=BUSCADOR!$A$58,X42=BUSCADOR!$A$59)),"Completar la celda TIPO DE ARMA, MODALIDAD O MECANISMO",IF(AND(ISBLANK(AS42),OR(Y42=BUSCADOR!$B$51,BUSCADOR!$B$50=Y42,Y42=BUSCADOR!$B$47,BUSCADOR!$A$58=X42,X42=BUSCADOR!$A$59)),"Completar la celda CONOCIDO, en la seccion de los inculpados",IF(AND(AS42=BUSCADOR!$B$127,OR(Y42=BUSCADOR!$B$51,BUSCADOR!$B$50,Y42,BUSCADOR!$B$46),OR(SUM(AT42:AV42)&lt;&gt;SUM(AW42:AZ42),SUM(AT42:AZ42)=0)),"Revisar las celdas correspondientes a CANTIDAD DE INCULPADOS. Se indica una cantidad diferente segun SEXO y EDAD o no se indico cantidad alguna",IF(AND(ISBLANK(BA42),X42=BUSCADOR!$A$27),"Se indico una persona desaparecida. Completar la casilla APARECIO",IF(AND(ISBLANK(BB42),OR(Y42=BUSCADOR!$B$49,BUSCADOR!$B$50=Y42,Y42=BUSCADOR!$B$46)),"Completar la casilla ELEMENTO SUSTRAIDO",IF(OR(AND(BB42=OTROS[[#Headers],[OTROS]],ISBLANK(BC42)),AND(BB42=ABIGEATO[[#Headers],[ABIGEATO]],ISBLANK(BC42))),"Completar la celda SUBCATEGORIA",IF(AND(OR(BB42=MOTOCICLETA[[#Headers],[MOTOCICLETA]],BB42=AUTOMOTOR[[#Headers],[AUTOMOTOR]]),OR(ISBLANK(BC42),ISBLANK(BD42),ISBLANK(BE42),ISBLANK(BF42))),"Se indico un AUTOMOTOR o MOTOCICLETA en ELEMENTOS SUSTRAIDOS, completar las celdas SUBCATEGORIA, DENOMINACION, AÑO y MODELO", IF(AND(ISBLANK(BB42)&lt;&gt;TRUE,ISBLANK(BJ42)),"Completar MODUS OPERANDI",IF(AND(ISBLANK(BK42),OR(BJ42=BUSCADOR!$H$232,BJ42=BUSCADOR!$I$232)),"Completar ESPECIALIDAD",IF(OR(AND(H42='SAT-Homicidios Dolosos'!$B$5,'SAT-Homicidios Dolosos'!$A$5&lt;&gt;"OK"),AND(H42='SAT-Homicidios Dolosos'!$B$8,'SAT-Homicidios Dolosos'!$A$8&lt;&gt;"OK")),"Se indico un HOMICIDIO, existen CELDAS VACIAS en la hoja SAT-HOMICIDIOS DOLOSOS Completar los datos indicados",IF(OR(AND(H42='SAT-Muertes Viales'!$E$21,'SAT-Muertes Viales'!$A$21&lt;&gt;"OK"),AND(H42='SAT-Muertes Viales'!$E$25,'SAT-Muertes Viales'!$A$25&lt;&gt;"OK"),AND(H42='SAT-Muertes Viales'!$E$29,'SAT-Muertes Viales'!$A$29&lt;&gt;"OK")),"Se indico un HOMICIDIO POR SINIESTRO VIAL, existen CELDAS VACIAS en la hoja SAT-MUERTES VIALES Completar los datos indicados",IF(OR(AND(H42='SAT-Suicidios'!$B$19,'SAT-Suicidios'!$A$19&lt;&gt;"OK"),AND(H42='SAT-Suicidios'!$B$22,'SAT-Suicidios'!$A$22&lt;&gt;"OK"),AND(H42='SAT-Suicidios'!$B$25,'SAT-Suicidios'!$A$25&lt;&gt;"OK")),"Se indico un SUICIDIO, existen CELDAS VACIAS en la hoja SAT-SUICIDIOS Completar los datos indicados",IF(IFERROR(MATCH(X42,BUSCADOR!$A$2:$A$112,0),-1)&lt;0,"No se indico delito",IF(AND(ISBLANK(BL42),OR(X42=BUSCADOR!$A$111,X42=BUSCADOR!$A$110)),"Llenar la casilla DETALLES, COMENTARIOS con una descripcion de la causa",IF(AND(X42="MUERTE DUDOSA",ISBLANK(BL42)=FALSE),"SE INDICO MUERTE DUDOSA, NOS CONTACTAREMOS PARA MAS INFORMACION","FILA CORRECTA"))))))))))))))))))))))))))))))</f>
        <v>No se indico delito</v>
      </c>
      <c r="C42" s="42"/>
      <c r="D42" s="90"/>
      <c r="E42" s="47"/>
      <c r="F42" s="88"/>
      <c r="G42" s="221" t="str">
        <f t="shared" si="9"/>
        <v>Comisaría 15°</v>
      </c>
      <c r="H42" s="46"/>
      <c r="I42" s="52"/>
      <c r="J42" s="27"/>
      <c r="K42" s="27"/>
      <c r="L42" s="27"/>
      <c r="M42" s="27"/>
      <c r="N42" s="46"/>
      <c r="O42" s="55" t="str">
        <f t="shared" si="10"/>
        <v/>
      </c>
      <c r="P42" s="56" t="str">
        <f t="shared" si="11"/>
        <v/>
      </c>
      <c r="Q42" s="52"/>
      <c r="R42" s="46"/>
      <c r="S42" s="62"/>
      <c r="T42" s="57" t="str">
        <f>IFERROR(VLOOKUP(X42,BUSCADOR!$A$2:$E$112,5,FALSE),"")</f>
        <v/>
      </c>
      <c r="U42" s="107" t="str">
        <f t="shared" ref="U42:U102" si="12">MID(T42,1,100)</f>
        <v/>
      </c>
      <c r="V42" s="28" t="str">
        <f>IFERROR(VLOOKUP(X42,BUSCADOR!$A$2:$E$112,4,FALSE),"")</f>
        <v/>
      </c>
      <c r="W42" s="107" t="str">
        <f t="shared" ref="W42:W102" si="13">MID(V42,1,100)</f>
        <v/>
      </c>
      <c r="X42" s="27"/>
      <c r="Y42" s="58" t="str">
        <f>IFERROR(VLOOKUP(X42,BUSCADOR!$A$2:$B$112,2,FALSE),"")</f>
        <v/>
      </c>
      <c r="Z42" s="101" t="str">
        <f t="shared" si="4"/>
        <v>__</v>
      </c>
      <c r="AA42" s="103" t="str">
        <f t="shared" si="5"/>
        <v>___</v>
      </c>
      <c r="AB42" s="104" t="str">
        <f t="shared" si="6"/>
        <v>____</v>
      </c>
      <c r="AC42" s="104" t="str">
        <f t="shared" si="6"/>
        <v>_____</v>
      </c>
      <c r="AD42" s="83"/>
      <c r="AE42" s="45"/>
      <c r="AF42" s="66"/>
      <c r="AG42" s="212"/>
      <c r="AH42" s="213"/>
      <c r="AI42" s="214"/>
      <c r="AJ42" s="219"/>
      <c r="AK42" s="213"/>
      <c r="AL42" s="213"/>
      <c r="AM42" s="213"/>
      <c r="AN42" s="213"/>
      <c r="AO42" s="219"/>
      <c r="AP42" s="95"/>
      <c r="AQ42" s="186" t="str">
        <f t="shared" si="1"/>
        <v/>
      </c>
      <c r="AR42" s="66"/>
      <c r="AS42" s="76"/>
      <c r="AT42" s="225"/>
      <c r="AU42" s="213"/>
      <c r="AV42" s="214"/>
      <c r="AW42" s="226"/>
      <c r="AX42" s="213"/>
      <c r="AY42" s="213"/>
      <c r="AZ42" s="227"/>
      <c r="BA42" s="65"/>
      <c r="BB42" s="52"/>
      <c r="BC42" s="27"/>
      <c r="BD42" s="27"/>
      <c r="BE42" s="27"/>
      <c r="BF42" s="79"/>
      <c r="BG42" s="52"/>
      <c r="BH42" s="69"/>
      <c r="BI42" s="188" t="str">
        <f>IF(Y42=BUSCADOR!$B$46,"HURTO_",IF(OR(Y42=BUSCADOR!$B$49,Y42=BUSCADOR!$B$50),"ROBO_",""))</f>
        <v/>
      </c>
      <c r="BJ42" s="50"/>
      <c r="BK42" s="45"/>
      <c r="BL42" s="66"/>
      <c r="BM42" s="1" t="b">
        <f t="shared" si="7"/>
        <v>0</v>
      </c>
    </row>
    <row r="43" spans="1:65" ht="117.6" customHeight="1" x14ac:dyDescent="0.25">
      <c r="A43" s="171">
        <v>41</v>
      </c>
      <c r="B43" s="41" t="str">
        <f>IF(AND(BM43,ISBLANK(C43)),"Completar FECHA DE DENUNCIA",IF(AND(BM43,OR(ISBLANK(D43),ISBLANK(E43),ISBLANK(H43))),"Completar las celdas FECHA, HORA Y PREVENTIVO. En caso de no conocer la fecha u horario colocar INDETERMINADO",IF(AND(BM43,ISBLANK(G43)),"Completar COMISARIA",IF(AND(BM43,OR(ISBLANK(I43),ISBLANK(L43),ISBLANK(M43),O43="")),"Completar las celdas LOCALIDAD, CALLE, ALTURA Y DIRECCION SEGUN  GOOGLE MAPS",IF(AND(ISBLANK(J43),OR(I43=AÑELO[[#Headers],[AÑELO]],CENTENARIO[[#Headers],[CENTENARIO]]='PLANILLA DJ'!I43,CUTRAL_CO[[#Headers],[CUTRAL_CO]],JUNIN_DE_LOS_ANDES[[#Headers],[JUNIN_DE_LOS_ANDES]]='PLANILLA DJ'!I43,'PLANILLA DJ'!I43=NEUQUEN[[#Headers],[NEUQUEN]],PLAZA_HUINCUL[[#Headers],[PLAZA_HUINCUL]]='PLANILLA DJ'!I43,'PLANILLA DJ'!I43=PLOTTIER[[#Headers],[PLOTTIER]])),"COMPLETAR BARRIO",IF(AND(BM43,ISBLANK(Q43)),"Completar Nombre de VICTIMA o DENUNCIANTE",IF(AND(BM43,ISBLANK(R43)),"Completar TIPO DE ACTUACION",IF(AND(R43=BUSCADOR!$B$140,OR(X43&lt;&gt;BUSCADOR!$A$110,ISBLANK(X43))),"Se indico A CONSIDERACION en ACTUACION, indicar en el buscador de delitos A CONSIDERACION tambien",IF(AND(ISBLANK(X43)&lt;&gt;TRUE,IFERROR(MATCH(X43,BUSCADOR!$A$2:$A$112,0),-1)&lt;0),"EN EL BUSCADOR DE DELITOS NO agregar comentarios como SU INVESTIGACION, REPORTE, etc. Limitarse SOLAMENTE a poner A CONSIDERACION u otro valor que coincida en el buscador",IF(AND(ISBLANK(AD43),OR(Y43=BUSCADOR!$B$49,BUSCADOR!$B$50=Y43,Y43=BUSCADOR!$B$46,Y43=BUSCADOR!$B$2,Y43=BUSCADOR!$B$7,BUSCADOR!$B$109=Y43,X43=BUSCADOR!$A$58,X43=BUSCADOR!$A$59)),"Completar la celda TIPO DE LUGAR",IF(AND(ISBLANK(AE43),OR(AD43=BUSCADOR!$E$149,BUSCADOR!$E$150=AD43,AD43=BUSCADOR!$F$148)),"Completar DETALLE ESTABLECIMIENTO",IF(AND(ISBLANK(AF43),BM43),"Completar la celda MOTIVO QUE ORIGINA EL REGISTRO DEL HECHO",IF(AND(SUM(AG43:AI43)=0,OR(Y43=BUSCADOR!$B$2,BUSCADOR!$B$6=Y43,Y43=BUSCADOR!$B$7,BUSCADOR!$B$8=Y43,Y43=BUSCADOR!$B$9,BUSCADOR!$B$12=Y43,Y43=BUSCADOR!$B$13,BUSCADOR!$B$14=Y43,Y43=BUSCADOR!$B$17,BUSCADOR!$B$18=Y43,Y43=BUSCADOR!$B$20,BUSCADOR!$B$29=Y43,BUSCADOR!$B$34=Y43,BUSCADOR!$B$35=Y43,Y43=BUSCADOR!$B$109,Y43=BUSCADOR!$B$51,BUSCADOR!$B$50=Y43,Y43=BUSCADOR!$B$47,Y43=BUSCADOR!$B$58,Y43=BUSCADOR!$B$21,Y43=BUSCADOR!$B$22,Y43=BUSCADOR!$B$23,Y43=BUSCADOR!$B$24)),"El delito indicado debe presentar un numero de victimas. Completar la celda CANTIDAD DE VICTIMAS",IF(AND(SUM(AJ43:AO43)&gt;0,ISBLANK(AP43)),"Completar celda VULNERABILIDAD DE LA VICTIMA",IF(SUM(AG43:AI43)&lt;&gt;SUM(AJ43:AO43),"Se indico una CANTIDAD DE VICTIMAS SEGUN SEXO diferente a SEGUN GENERO",IF(AND(ISBLANK(AR43),OR(Y43=BUSCADOR!$B$49,BUSCADOR!$B$50=Y43,Y43=BUSCADOR!$B$46,Y43=BUSCADOR!$B$109,BUSCADOR!$B$2=Y43,X43=BUSCADOR!$A$58,X43=BUSCADOR!$A$59)),"Completar la celda TIPO DE ARMA, MODALIDAD O MECANISMO",IF(AND(ISBLANK(AS43),OR(Y43=BUSCADOR!$B$51,BUSCADOR!$B$50=Y43,Y43=BUSCADOR!$B$47,BUSCADOR!$A$58=X43,X43=BUSCADOR!$A$59)),"Completar la celda CONOCIDO, en la seccion de los inculpados",IF(AND(AS43=BUSCADOR!$B$127,OR(Y43=BUSCADOR!$B$51,BUSCADOR!$B$50,Y43,BUSCADOR!$B$46),OR(SUM(AT43:AV43)&lt;&gt;SUM(AW43:AZ43),SUM(AT43:AZ43)=0)),"Revisar las celdas correspondientes a CANTIDAD DE INCULPADOS. Se indica una cantidad diferente segun SEXO y EDAD o no se indico cantidad alguna",IF(AND(ISBLANK(BA43),X43=BUSCADOR!$A$27),"Se indico una persona desaparecida. Completar la casilla APARECIO",IF(AND(ISBLANK(BB43),OR(Y43=BUSCADOR!$B$49,BUSCADOR!$B$50=Y43,Y43=BUSCADOR!$B$46)),"Completar la casilla ELEMENTO SUSTRAIDO",IF(OR(AND(BB43=OTROS[[#Headers],[OTROS]],ISBLANK(BC43)),AND(BB43=ABIGEATO[[#Headers],[ABIGEATO]],ISBLANK(BC43))),"Completar la celda SUBCATEGORIA",IF(AND(OR(BB43=MOTOCICLETA[[#Headers],[MOTOCICLETA]],BB43=AUTOMOTOR[[#Headers],[AUTOMOTOR]]),OR(ISBLANK(BC43),ISBLANK(BD43),ISBLANK(BE43),ISBLANK(BF43))),"Se indico un AUTOMOTOR o MOTOCICLETA en ELEMENTOS SUSTRAIDOS, completar las celdas SUBCATEGORIA, DENOMINACION, AÑO y MODELO", IF(AND(ISBLANK(BB43)&lt;&gt;TRUE,ISBLANK(BJ43)),"Completar MODUS OPERANDI",IF(AND(ISBLANK(BK43),OR(BJ43=BUSCADOR!$H$232,BJ43=BUSCADOR!$I$232)),"Completar ESPECIALIDAD",IF(OR(AND(H43='SAT-Homicidios Dolosos'!$B$5,'SAT-Homicidios Dolosos'!$A$5&lt;&gt;"OK"),AND(H43='SAT-Homicidios Dolosos'!$B$8,'SAT-Homicidios Dolosos'!$A$8&lt;&gt;"OK")),"Se indico un HOMICIDIO, existen CELDAS VACIAS en la hoja SAT-HOMICIDIOS DOLOSOS Completar los datos indicados",IF(OR(AND(H43='SAT-Muertes Viales'!$E$21,'SAT-Muertes Viales'!$A$21&lt;&gt;"OK"),AND(H43='SAT-Muertes Viales'!$E$25,'SAT-Muertes Viales'!$A$25&lt;&gt;"OK"),AND(H43='SAT-Muertes Viales'!$E$29,'SAT-Muertes Viales'!$A$29&lt;&gt;"OK")),"Se indico un HOMICIDIO POR SINIESTRO VIAL, existen CELDAS VACIAS en la hoja SAT-MUERTES VIALES Completar los datos indicados",IF(OR(AND(H43='SAT-Suicidios'!$B$19,'SAT-Suicidios'!$A$19&lt;&gt;"OK"),AND(H43='SAT-Suicidios'!$B$22,'SAT-Suicidios'!$A$22&lt;&gt;"OK"),AND(H43='SAT-Suicidios'!$B$25,'SAT-Suicidios'!$A$25&lt;&gt;"OK")),"Se indico un SUICIDIO, existen CELDAS VACIAS en la hoja SAT-SUICIDIOS Completar los datos indicados",IF(IFERROR(MATCH(X43,BUSCADOR!$A$2:$A$112,0),-1)&lt;0,"No se indico delito",IF(AND(ISBLANK(BL43),OR(X43=BUSCADOR!$A$111,X43=BUSCADOR!$A$110)),"Llenar la casilla DETALLES, COMENTARIOS con una descripcion de la causa",IF(AND(X43="MUERTE DUDOSA",ISBLANK(BL43)=FALSE),"SE INDICO MUERTE DUDOSA, NOS CONTACTAREMOS PARA MAS INFORMACION","FILA CORRECTA"))))))))))))))))))))))))))))))</f>
        <v>No se indico delito</v>
      </c>
      <c r="C43" s="42"/>
      <c r="D43" s="90"/>
      <c r="E43" s="47"/>
      <c r="F43" s="88"/>
      <c r="G43" s="221" t="str">
        <f t="shared" si="9"/>
        <v>Comisaría 15°</v>
      </c>
      <c r="H43" s="46"/>
      <c r="I43" s="52"/>
      <c r="J43" s="27"/>
      <c r="K43" s="27"/>
      <c r="L43" s="27"/>
      <c r="M43" s="27"/>
      <c r="N43" s="46"/>
      <c r="O43" s="55" t="str">
        <f t="shared" si="10"/>
        <v/>
      </c>
      <c r="P43" s="56" t="str">
        <f t="shared" si="11"/>
        <v/>
      </c>
      <c r="Q43" s="52"/>
      <c r="R43" s="46"/>
      <c r="S43" s="62"/>
      <c r="T43" s="57" t="str">
        <f>IFERROR(VLOOKUP(X43,BUSCADOR!$A$2:$E$112,5,FALSE),"")</f>
        <v/>
      </c>
      <c r="U43" s="107" t="str">
        <f t="shared" si="12"/>
        <v/>
      </c>
      <c r="V43" s="28" t="str">
        <f>IFERROR(VLOOKUP(X43,BUSCADOR!$A$2:$E$112,4,FALSE),"")</f>
        <v/>
      </c>
      <c r="W43" s="107" t="str">
        <f t="shared" si="13"/>
        <v/>
      </c>
      <c r="X43" s="27"/>
      <c r="Y43" s="58" t="str">
        <f>IFERROR(VLOOKUP(X43,BUSCADOR!$A$2:$B$112,2,FALSE),"")</f>
        <v/>
      </c>
      <c r="Z43" s="101" t="str">
        <f t="shared" si="4"/>
        <v>__</v>
      </c>
      <c r="AA43" s="103" t="str">
        <f t="shared" si="5"/>
        <v>___</v>
      </c>
      <c r="AB43" s="104" t="str">
        <f t="shared" si="6"/>
        <v>____</v>
      </c>
      <c r="AC43" s="104" t="str">
        <f t="shared" si="6"/>
        <v>_____</v>
      </c>
      <c r="AD43" s="83"/>
      <c r="AE43" s="45"/>
      <c r="AF43" s="66"/>
      <c r="AG43" s="212"/>
      <c r="AH43" s="213"/>
      <c r="AI43" s="214"/>
      <c r="AJ43" s="219"/>
      <c r="AK43" s="213"/>
      <c r="AL43" s="213"/>
      <c r="AM43" s="213"/>
      <c r="AN43" s="213"/>
      <c r="AO43" s="219"/>
      <c r="AP43" s="95"/>
      <c r="AQ43" s="186" t="str">
        <f t="shared" si="1"/>
        <v/>
      </c>
      <c r="AR43" s="66"/>
      <c r="AS43" s="76"/>
      <c r="AT43" s="225"/>
      <c r="AU43" s="213"/>
      <c r="AV43" s="214"/>
      <c r="AW43" s="226"/>
      <c r="AX43" s="213"/>
      <c r="AY43" s="213"/>
      <c r="AZ43" s="227"/>
      <c r="BA43" s="65"/>
      <c r="BB43" s="52"/>
      <c r="BC43" s="27"/>
      <c r="BD43" s="27"/>
      <c r="BE43" s="27"/>
      <c r="BF43" s="79"/>
      <c r="BG43" s="52"/>
      <c r="BH43" s="69"/>
      <c r="BI43" s="188" t="str">
        <f>IF(Y43=BUSCADOR!$B$46,"HURTO_",IF(OR(Y43=BUSCADOR!$B$49,Y43=BUSCADOR!$B$50),"ROBO_",""))</f>
        <v/>
      </c>
      <c r="BJ43" s="50"/>
      <c r="BK43" s="45"/>
      <c r="BL43" s="66"/>
      <c r="BM43" s="1" t="b">
        <f t="shared" si="7"/>
        <v>0</v>
      </c>
    </row>
    <row r="44" spans="1:65" ht="117.6" customHeight="1" x14ac:dyDescent="0.25">
      <c r="A44" s="171">
        <v>42</v>
      </c>
      <c r="B44" s="41" t="str">
        <f>IF(AND(BM44,ISBLANK(C44)),"Completar FECHA DE DENUNCIA",IF(AND(BM44,OR(ISBLANK(D44),ISBLANK(E44),ISBLANK(H44))),"Completar las celdas FECHA, HORA Y PREVENTIVO. En caso de no conocer la fecha u horario colocar INDETERMINADO",IF(AND(BM44,ISBLANK(G44)),"Completar COMISARIA",IF(AND(BM44,OR(ISBLANK(I44),ISBLANK(L44),ISBLANK(M44),O44="")),"Completar las celdas LOCALIDAD, CALLE, ALTURA Y DIRECCION SEGUN  GOOGLE MAPS",IF(AND(ISBLANK(J44),OR(I44=AÑELO[[#Headers],[AÑELO]],CENTENARIO[[#Headers],[CENTENARIO]]='PLANILLA DJ'!I44,CUTRAL_CO[[#Headers],[CUTRAL_CO]],JUNIN_DE_LOS_ANDES[[#Headers],[JUNIN_DE_LOS_ANDES]]='PLANILLA DJ'!I44,'PLANILLA DJ'!I44=NEUQUEN[[#Headers],[NEUQUEN]],PLAZA_HUINCUL[[#Headers],[PLAZA_HUINCUL]]='PLANILLA DJ'!I44,'PLANILLA DJ'!I44=PLOTTIER[[#Headers],[PLOTTIER]])),"COMPLETAR BARRIO",IF(AND(BM44,ISBLANK(Q44)),"Completar Nombre de VICTIMA o DENUNCIANTE",IF(AND(BM44,ISBLANK(R44)),"Completar TIPO DE ACTUACION",IF(AND(R44=BUSCADOR!$B$140,OR(X44&lt;&gt;BUSCADOR!$A$110,ISBLANK(X44))),"Se indico A CONSIDERACION en ACTUACION, indicar en el buscador de delitos A CONSIDERACION tambien",IF(AND(ISBLANK(X44)&lt;&gt;TRUE,IFERROR(MATCH(X44,BUSCADOR!$A$2:$A$112,0),-1)&lt;0),"EN EL BUSCADOR DE DELITOS NO agregar comentarios como SU INVESTIGACION, REPORTE, etc. Limitarse SOLAMENTE a poner A CONSIDERACION u otro valor que coincida en el buscador",IF(AND(ISBLANK(AD44),OR(Y44=BUSCADOR!$B$49,BUSCADOR!$B$50=Y44,Y44=BUSCADOR!$B$46,Y44=BUSCADOR!$B$2,Y44=BUSCADOR!$B$7,BUSCADOR!$B$109=Y44,X44=BUSCADOR!$A$58,X44=BUSCADOR!$A$59)),"Completar la celda TIPO DE LUGAR",IF(AND(ISBLANK(AE44),OR(AD44=BUSCADOR!$E$149,BUSCADOR!$E$150=AD44,AD44=BUSCADOR!$F$148)),"Completar DETALLE ESTABLECIMIENTO",IF(AND(ISBLANK(AF44),BM44),"Completar la celda MOTIVO QUE ORIGINA EL REGISTRO DEL HECHO",IF(AND(SUM(AG44:AI44)=0,OR(Y44=BUSCADOR!$B$2,BUSCADOR!$B$6=Y44,Y44=BUSCADOR!$B$7,BUSCADOR!$B$8=Y44,Y44=BUSCADOR!$B$9,BUSCADOR!$B$12=Y44,Y44=BUSCADOR!$B$13,BUSCADOR!$B$14=Y44,Y44=BUSCADOR!$B$17,BUSCADOR!$B$18=Y44,Y44=BUSCADOR!$B$20,BUSCADOR!$B$29=Y44,BUSCADOR!$B$34=Y44,BUSCADOR!$B$35=Y44,Y44=BUSCADOR!$B$109,Y44=BUSCADOR!$B$51,BUSCADOR!$B$50=Y44,Y44=BUSCADOR!$B$47,Y44=BUSCADOR!$B$58,Y44=BUSCADOR!$B$21,Y44=BUSCADOR!$B$22,Y44=BUSCADOR!$B$23,Y44=BUSCADOR!$B$24)),"El delito indicado debe presentar un numero de victimas. Completar la celda CANTIDAD DE VICTIMAS",IF(AND(SUM(AJ44:AO44)&gt;0,ISBLANK(AP44)),"Completar celda VULNERABILIDAD DE LA VICTIMA",IF(SUM(AG44:AI44)&lt;&gt;SUM(AJ44:AO44),"Se indico una CANTIDAD DE VICTIMAS SEGUN SEXO diferente a SEGUN GENERO",IF(AND(ISBLANK(AR44),OR(Y44=BUSCADOR!$B$49,BUSCADOR!$B$50=Y44,Y44=BUSCADOR!$B$46,Y44=BUSCADOR!$B$109,BUSCADOR!$B$2=Y44,X44=BUSCADOR!$A$58,X44=BUSCADOR!$A$59)),"Completar la celda TIPO DE ARMA, MODALIDAD O MECANISMO",IF(AND(ISBLANK(AS44),OR(Y44=BUSCADOR!$B$51,BUSCADOR!$B$50=Y44,Y44=BUSCADOR!$B$47,BUSCADOR!$A$58=X44,X44=BUSCADOR!$A$59)),"Completar la celda CONOCIDO, en la seccion de los inculpados",IF(AND(AS44=BUSCADOR!$B$127,OR(Y44=BUSCADOR!$B$51,BUSCADOR!$B$50,Y44,BUSCADOR!$B$46),OR(SUM(AT44:AV44)&lt;&gt;SUM(AW44:AZ44),SUM(AT44:AZ44)=0)),"Revisar las celdas correspondientes a CANTIDAD DE INCULPADOS. Se indica una cantidad diferente segun SEXO y EDAD o no se indico cantidad alguna",IF(AND(ISBLANK(BA44),X44=BUSCADOR!$A$27),"Se indico una persona desaparecida. Completar la casilla APARECIO",IF(AND(ISBLANK(BB44),OR(Y44=BUSCADOR!$B$49,BUSCADOR!$B$50=Y44,Y44=BUSCADOR!$B$46)),"Completar la casilla ELEMENTO SUSTRAIDO",IF(OR(AND(BB44=OTROS[[#Headers],[OTROS]],ISBLANK(BC44)),AND(BB44=ABIGEATO[[#Headers],[ABIGEATO]],ISBLANK(BC44))),"Completar la celda SUBCATEGORIA",IF(AND(OR(BB44=MOTOCICLETA[[#Headers],[MOTOCICLETA]],BB44=AUTOMOTOR[[#Headers],[AUTOMOTOR]]),OR(ISBLANK(BC44),ISBLANK(BD44),ISBLANK(BE44),ISBLANK(BF44))),"Se indico un AUTOMOTOR o MOTOCICLETA en ELEMENTOS SUSTRAIDOS, completar las celdas SUBCATEGORIA, DENOMINACION, AÑO y MODELO", IF(AND(ISBLANK(BB44)&lt;&gt;TRUE,ISBLANK(BJ44)),"Completar MODUS OPERANDI",IF(AND(ISBLANK(BK44),OR(BJ44=BUSCADOR!$H$232,BJ44=BUSCADOR!$I$232)),"Completar ESPECIALIDAD",IF(OR(AND(H44='SAT-Homicidios Dolosos'!$B$5,'SAT-Homicidios Dolosos'!$A$5&lt;&gt;"OK"),AND(H44='SAT-Homicidios Dolosos'!$B$8,'SAT-Homicidios Dolosos'!$A$8&lt;&gt;"OK")),"Se indico un HOMICIDIO, existen CELDAS VACIAS en la hoja SAT-HOMICIDIOS DOLOSOS Completar los datos indicados",IF(OR(AND(H44='SAT-Muertes Viales'!$E$21,'SAT-Muertes Viales'!$A$21&lt;&gt;"OK"),AND(H44='SAT-Muertes Viales'!$E$25,'SAT-Muertes Viales'!$A$25&lt;&gt;"OK"),AND(H44='SAT-Muertes Viales'!$E$29,'SAT-Muertes Viales'!$A$29&lt;&gt;"OK")),"Se indico un HOMICIDIO POR SINIESTRO VIAL, existen CELDAS VACIAS en la hoja SAT-MUERTES VIALES Completar los datos indicados",IF(OR(AND(H44='SAT-Suicidios'!$B$19,'SAT-Suicidios'!$A$19&lt;&gt;"OK"),AND(H44='SAT-Suicidios'!$B$22,'SAT-Suicidios'!$A$22&lt;&gt;"OK"),AND(H44='SAT-Suicidios'!$B$25,'SAT-Suicidios'!$A$25&lt;&gt;"OK")),"Se indico un SUICIDIO, existen CELDAS VACIAS en la hoja SAT-SUICIDIOS Completar los datos indicados",IF(IFERROR(MATCH(X44,BUSCADOR!$A$2:$A$112,0),-1)&lt;0,"No se indico delito",IF(AND(ISBLANK(BL44),OR(X44=BUSCADOR!$A$111,X44=BUSCADOR!$A$110)),"Llenar la casilla DETALLES, COMENTARIOS con una descripcion de la causa",IF(AND(X44="MUERTE DUDOSA",ISBLANK(BL44)=FALSE),"SE INDICO MUERTE DUDOSA, NOS CONTACTAREMOS PARA MAS INFORMACION","FILA CORRECTA"))))))))))))))))))))))))))))))</f>
        <v>No se indico delito</v>
      </c>
      <c r="C44" s="42"/>
      <c r="D44" s="90"/>
      <c r="E44" s="47"/>
      <c r="F44" s="88"/>
      <c r="G44" s="221" t="str">
        <f t="shared" si="9"/>
        <v>Comisaría 15°</v>
      </c>
      <c r="H44" s="46"/>
      <c r="I44" s="52"/>
      <c r="J44" s="27"/>
      <c r="K44" s="27"/>
      <c r="L44" s="27"/>
      <c r="M44" s="27"/>
      <c r="N44" s="46"/>
      <c r="O44" s="55" t="str">
        <f t="shared" si="10"/>
        <v/>
      </c>
      <c r="P44" s="56" t="str">
        <f t="shared" si="11"/>
        <v/>
      </c>
      <c r="Q44" s="52"/>
      <c r="R44" s="46"/>
      <c r="S44" s="62"/>
      <c r="T44" s="57" t="str">
        <f>IFERROR(VLOOKUP(X44,BUSCADOR!$A$2:$E$112,5,FALSE),"")</f>
        <v/>
      </c>
      <c r="U44" s="107" t="str">
        <f t="shared" si="12"/>
        <v/>
      </c>
      <c r="V44" s="28" t="str">
        <f>IFERROR(VLOOKUP(X44,BUSCADOR!$A$2:$E$112,4,FALSE),"")</f>
        <v/>
      </c>
      <c r="W44" s="107" t="str">
        <f t="shared" si="13"/>
        <v/>
      </c>
      <c r="X44" s="27"/>
      <c r="Y44" s="58" t="str">
        <f>IFERROR(VLOOKUP(X44,BUSCADOR!$A$2:$B$112,2,FALSE),"")</f>
        <v/>
      </c>
      <c r="Z44" s="101" t="str">
        <f t="shared" si="4"/>
        <v>__</v>
      </c>
      <c r="AA44" s="103" t="str">
        <f t="shared" si="5"/>
        <v>___</v>
      </c>
      <c r="AB44" s="104" t="str">
        <f t="shared" si="6"/>
        <v>____</v>
      </c>
      <c r="AC44" s="104" t="str">
        <f t="shared" si="6"/>
        <v>_____</v>
      </c>
      <c r="AD44" s="83"/>
      <c r="AE44" s="45"/>
      <c r="AF44" s="66"/>
      <c r="AG44" s="212"/>
      <c r="AH44" s="213"/>
      <c r="AI44" s="214"/>
      <c r="AJ44" s="219"/>
      <c r="AK44" s="213"/>
      <c r="AL44" s="213"/>
      <c r="AM44" s="213"/>
      <c r="AN44" s="213"/>
      <c r="AO44" s="219"/>
      <c r="AP44" s="95"/>
      <c r="AQ44" s="186" t="str">
        <f t="shared" si="1"/>
        <v/>
      </c>
      <c r="AR44" s="66"/>
      <c r="AS44" s="76"/>
      <c r="AT44" s="225"/>
      <c r="AU44" s="213"/>
      <c r="AV44" s="214"/>
      <c r="AW44" s="226"/>
      <c r="AX44" s="213"/>
      <c r="AY44" s="213"/>
      <c r="AZ44" s="227"/>
      <c r="BA44" s="65"/>
      <c r="BB44" s="52"/>
      <c r="BC44" s="27"/>
      <c r="BD44" s="27"/>
      <c r="BE44" s="27"/>
      <c r="BF44" s="79"/>
      <c r="BG44" s="52"/>
      <c r="BH44" s="69"/>
      <c r="BI44" s="188" t="str">
        <f>IF(Y44=BUSCADOR!$B$46,"HURTO_",IF(OR(Y44=BUSCADOR!$B$49,Y44=BUSCADOR!$B$50),"ROBO_",""))</f>
        <v/>
      </c>
      <c r="BJ44" s="50"/>
      <c r="BK44" s="45"/>
      <c r="BL44" s="66"/>
      <c r="BM44" s="1" t="b">
        <f t="shared" si="7"/>
        <v>0</v>
      </c>
    </row>
    <row r="45" spans="1:65" ht="117.6" customHeight="1" x14ac:dyDescent="0.25">
      <c r="A45" s="171">
        <v>43</v>
      </c>
      <c r="B45" s="41" t="str">
        <f>IF(AND(BM45,ISBLANK(C45)),"Completar FECHA DE DENUNCIA",IF(AND(BM45,OR(ISBLANK(D45),ISBLANK(E45),ISBLANK(H45))),"Completar las celdas FECHA, HORA Y PREVENTIVO. En caso de no conocer la fecha u horario colocar INDETERMINADO",IF(AND(BM45,ISBLANK(G45)),"Completar COMISARIA",IF(AND(BM45,OR(ISBLANK(I45),ISBLANK(L45),ISBLANK(M45),O45="")),"Completar las celdas LOCALIDAD, CALLE, ALTURA Y DIRECCION SEGUN  GOOGLE MAPS",IF(AND(ISBLANK(J45),OR(I45=AÑELO[[#Headers],[AÑELO]],CENTENARIO[[#Headers],[CENTENARIO]]='PLANILLA DJ'!I45,CUTRAL_CO[[#Headers],[CUTRAL_CO]],JUNIN_DE_LOS_ANDES[[#Headers],[JUNIN_DE_LOS_ANDES]]='PLANILLA DJ'!I45,'PLANILLA DJ'!I45=NEUQUEN[[#Headers],[NEUQUEN]],PLAZA_HUINCUL[[#Headers],[PLAZA_HUINCUL]]='PLANILLA DJ'!I45,'PLANILLA DJ'!I45=PLOTTIER[[#Headers],[PLOTTIER]])),"COMPLETAR BARRIO",IF(AND(BM45,ISBLANK(Q45)),"Completar Nombre de VICTIMA o DENUNCIANTE",IF(AND(BM45,ISBLANK(R45)),"Completar TIPO DE ACTUACION",IF(AND(R45=BUSCADOR!$B$140,OR(X45&lt;&gt;BUSCADOR!$A$110,ISBLANK(X45))),"Se indico A CONSIDERACION en ACTUACION, indicar en el buscador de delitos A CONSIDERACION tambien",IF(AND(ISBLANK(X45)&lt;&gt;TRUE,IFERROR(MATCH(X45,BUSCADOR!$A$2:$A$112,0),-1)&lt;0),"EN EL BUSCADOR DE DELITOS NO agregar comentarios como SU INVESTIGACION, REPORTE, etc. Limitarse SOLAMENTE a poner A CONSIDERACION u otro valor que coincida en el buscador",IF(AND(ISBLANK(AD45),OR(Y45=BUSCADOR!$B$49,BUSCADOR!$B$50=Y45,Y45=BUSCADOR!$B$46,Y45=BUSCADOR!$B$2,Y45=BUSCADOR!$B$7,BUSCADOR!$B$109=Y45,X45=BUSCADOR!$A$58,X45=BUSCADOR!$A$59)),"Completar la celda TIPO DE LUGAR",IF(AND(ISBLANK(AE45),OR(AD45=BUSCADOR!$E$149,BUSCADOR!$E$150=AD45,AD45=BUSCADOR!$F$148)),"Completar DETALLE ESTABLECIMIENTO",IF(AND(ISBLANK(AF45),BM45),"Completar la celda MOTIVO QUE ORIGINA EL REGISTRO DEL HECHO",IF(AND(SUM(AG45:AI45)=0,OR(Y45=BUSCADOR!$B$2,BUSCADOR!$B$6=Y45,Y45=BUSCADOR!$B$7,BUSCADOR!$B$8=Y45,Y45=BUSCADOR!$B$9,BUSCADOR!$B$12=Y45,Y45=BUSCADOR!$B$13,BUSCADOR!$B$14=Y45,Y45=BUSCADOR!$B$17,BUSCADOR!$B$18=Y45,Y45=BUSCADOR!$B$20,BUSCADOR!$B$29=Y45,BUSCADOR!$B$34=Y45,BUSCADOR!$B$35=Y45,Y45=BUSCADOR!$B$109,Y45=BUSCADOR!$B$51,BUSCADOR!$B$50=Y45,Y45=BUSCADOR!$B$47,Y45=BUSCADOR!$B$58,Y45=BUSCADOR!$B$21,Y45=BUSCADOR!$B$22,Y45=BUSCADOR!$B$23,Y45=BUSCADOR!$B$24)),"El delito indicado debe presentar un numero de victimas. Completar la celda CANTIDAD DE VICTIMAS",IF(AND(SUM(AJ45:AO45)&gt;0,ISBLANK(AP45)),"Completar celda VULNERABILIDAD DE LA VICTIMA",IF(SUM(AG45:AI45)&lt;&gt;SUM(AJ45:AO45),"Se indico una CANTIDAD DE VICTIMAS SEGUN SEXO diferente a SEGUN GENERO",IF(AND(ISBLANK(AR45),OR(Y45=BUSCADOR!$B$49,BUSCADOR!$B$50=Y45,Y45=BUSCADOR!$B$46,Y45=BUSCADOR!$B$109,BUSCADOR!$B$2=Y45,X45=BUSCADOR!$A$58,X45=BUSCADOR!$A$59)),"Completar la celda TIPO DE ARMA, MODALIDAD O MECANISMO",IF(AND(ISBLANK(AS45),OR(Y45=BUSCADOR!$B$51,BUSCADOR!$B$50=Y45,Y45=BUSCADOR!$B$47,BUSCADOR!$A$58=X45,X45=BUSCADOR!$A$59)),"Completar la celda CONOCIDO, en la seccion de los inculpados",IF(AND(AS45=BUSCADOR!$B$127,OR(Y45=BUSCADOR!$B$51,BUSCADOR!$B$50,Y45,BUSCADOR!$B$46),OR(SUM(AT45:AV45)&lt;&gt;SUM(AW45:AZ45),SUM(AT45:AZ45)=0)),"Revisar las celdas correspondientes a CANTIDAD DE INCULPADOS. Se indica una cantidad diferente segun SEXO y EDAD o no se indico cantidad alguna",IF(AND(ISBLANK(BA45),X45=BUSCADOR!$A$27),"Se indico una persona desaparecida. Completar la casilla APARECIO",IF(AND(ISBLANK(BB45),OR(Y45=BUSCADOR!$B$49,BUSCADOR!$B$50=Y45,Y45=BUSCADOR!$B$46)),"Completar la casilla ELEMENTO SUSTRAIDO",IF(OR(AND(BB45=OTROS[[#Headers],[OTROS]],ISBLANK(BC45)),AND(BB45=ABIGEATO[[#Headers],[ABIGEATO]],ISBLANK(BC45))),"Completar la celda SUBCATEGORIA",IF(AND(OR(BB45=MOTOCICLETA[[#Headers],[MOTOCICLETA]],BB45=AUTOMOTOR[[#Headers],[AUTOMOTOR]]),OR(ISBLANK(BC45),ISBLANK(BD45),ISBLANK(BE45),ISBLANK(BF45))),"Se indico un AUTOMOTOR o MOTOCICLETA en ELEMENTOS SUSTRAIDOS, completar las celdas SUBCATEGORIA, DENOMINACION, AÑO y MODELO", IF(AND(ISBLANK(BB45)&lt;&gt;TRUE,ISBLANK(BJ45)),"Completar MODUS OPERANDI",IF(AND(ISBLANK(BK45),OR(BJ45=BUSCADOR!$H$232,BJ45=BUSCADOR!$I$232)),"Completar ESPECIALIDAD",IF(OR(AND(H45='SAT-Homicidios Dolosos'!$B$5,'SAT-Homicidios Dolosos'!$A$5&lt;&gt;"OK"),AND(H45='SAT-Homicidios Dolosos'!$B$8,'SAT-Homicidios Dolosos'!$A$8&lt;&gt;"OK")),"Se indico un HOMICIDIO, existen CELDAS VACIAS en la hoja SAT-HOMICIDIOS DOLOSOS Completar los datos indicados",IF(OR(AND(H45='SAT-Muertes Viales'!$E$21,'SAT-Muertes Viales'!$A$21&lt;&gt;"OK"),AND(H45='SAT-Muertes Viales'!$E$25,'SAT-Muertes Viales'!$A$25&lt;&gt;"OK"),AND(H45='SAT-Muertes Viales'!$E$29,'SAT-Muertes Viales'!$A$29&lt;&gt;"OK")),"Se indico un HOMICIDIO POR SINIESTRO VIAL, existen CELDAS VACIAS en la hoja SAT-MUERTES VIALES Completar los datos indicados",IF(OR(AND(H45='SAT-Suicidios'!$B$19,'SAT-Suicidios'!$A$19&lt;&gt;"OK"),AND(H45='SAT-Suicidios'!$B$22,'SAT-Suicidios'!$A$22&lt;&gt;"OK"),AND(H45='SAT-Suicidios'!$B$25,'SAT-Suicidios'!$A$25&lt;&gt;"OK")),"Se indico un SUICIDIO, existen CELDAS VACIAS en la hoja SAT-SUICIDIOS Completar los datos indicados",IF(IFERROR(MATCH(X45,BUSCADOR!$A$2:$A$112,0),-1)&lt;0,"No se indico delito",IF(AND(ISBLANK(BL45),OR(X45=BUSCADOR!$A$111,X45=BUSCADOR!$A$110)),"Llenar la casilla DETALLES, COMENTARIOS con una descripcion de la causa",IF(AND(X45="MUERTE DUDOSA",ISBLANK(BL45)=FALSE),"SE INDICO MUERTE DUDOSA, NOS CONTACTAREMOS PARA MAS INFORMACION","FILA CORRECTA"))))))))))))))))))))))))))))))</f>
        <v>No se indico delito</v>
      </c>
      <c r="C45" s="42"/>
      <c r="D45" s="90"/>
      <c r="E45" s="47"/>
      <c r="F45" s="88"/>
      <c r="G45" s="221" t="str">
        <f t="shared" si="9"/>
        <v>Comisaría 15°</v>
      </c>
      <c r="H45" s="46"/>
      <c r="I45" s="52"/>
      <c r="J45" s="27"/>
      <c r="K45" s="27"/>
      <c r="L45" s="27"/>
      <c r="M45" s="27"/>
      <c r="N45" s="46"/>
      <c r="O45" s="55" t="str">
        <f t="shared" si="10"/>
        <v/>
      </c>
      <c r="P45" s="56" t="str">
        <f t="shared" si="11"/>
        <v/>
      </c>
      <c r="Q45" s="52"/>
      <c r="R45" s="46"/>
      <c r="S45" s="62"/>
      <c r="T45" s="57" t="str">
        <f>IFERROR(VLOOKUP(X45,BUSCADOR!$A$2:$E$112,5,FALSE),"")</f>
        <v/>
      </c>
      <c r="U45" s="107" t="str">
        <f t="shared" si="12"/>
        <v/>
      </c>
      <c r="V45" s="28" t="str">
        <f>IFERROR(VLOOKUP(X45,BUSCADOR!$A$2:$E$112,4,FALSE),"")</f>
        <v/>
      </c>
      <c r="W45" s="107" t="str">
        <f t="shared" si="13"/>
        <v/>
      </c>
      <c r="X45" s="27"/>
      <c r="Y45" s="58" t="str">
        <f>IFERROR(VLOOKUP(X45,BUSCADOR!$A$2:$B$112,2,FALSE),"")</f>
        <v/>
      </c>
      <c r="Z45" s="101" t="str">
        <f t="shared" si="4"/>
        <v>__</v>
      </c>
      <c r="AA45" s="103" t="str">
        <f t="shared" si="5"/>
        <v>___</v>
      </c>
      <c r="AB45" s="104" t="str">
        <f t="shared" si="6"/>
        <v>____</v>
      </c>
      <c r="AC45" s="104" t="str">
        <f t="shared" si="6"/>
        <v>_____</v>
      </c>
      <c r="AD45" s="83"/>
      <c r="AE45" s="45"/>
      <c r="AF45" s="66"/>
      <c r="AG45" s="212"/>
      <c r="AH45" s="213"/>
      <c r="AI45" s="214"/>
      <c r="AJ45" s="219"/>
      <c r="AK45" s="213"/>
      <c r="AL45" s="213"/>
      <c r="AM45" s="213"/>
      <c r="AN45" s="213"/>
      <c r="AO45" s="219"/>
      <c r="AP45" s="95"/>
      <c r="AQ45" s="186" t="str">
        <f t="shared" si="1"/>
        <v/>
      </c>
      <c r="AR45" s="66"/>
      <c r="AS45" s="76"/>
      <c r="AT45" s="225"/>
      <c r="AU45" s="213"/>
      <c r="AV45" s="214"/>
      <c r="AW45" s="226"/>
      <c r="AX45" s="213"/>
      <c r="AY45" s="213"/>
      <c r="AZ45" s="227"/>
      <c r="BA45" s="65"/>
      <c r="BB45" s="52"/>
      <c r="BC45" s="27"/>
      <c r="BD45" s="27"/>
      <c r="BE45" s="27"/>
      <c r="BF45" s="79"/>
      <c r="BG45" s="52"/>
      <c r="BH45" s="69"/>
      <c r="BI45" s="188" t="str">
        <f>IF(Y45=BUSCADOR!$B$46,"HURTO_",IF(OR(Y45=BUSCADOR!$B$49,Y45=BUSCADOR!$B$50),"ROBO_",""))</f>
        <v/>
      </c>
      <c r="BJ45" s="50"/>
      <c r="BK45" s="45"/>
      <c r="BL45" s="66"/>
      <c r="BM45" s="1" t="b">
        <f t="shared" si="7"/>
        <v>0</v>
      </c>
    </row>
    <row r="46" spans="1:65" ht="117.6" customHeight="1" x14ac:dyDescent="0.25">
      <c r="A46" s="171">
        <v>44</v>
      </c>
      <c r="B46" s="41" t="str">
        <f>IF(AND(BM46,ISBLANK(C46)),"Completar FECHA DE DENUNCIA",IF(AND(BM46,OR(ISBLANK(D46),ISBLANK(E46),ISBLANK(H46))),"Completar las celdas FECHA, HORA Y PREVENTIVO. En caso de no conocer la fecha u horario colocar INDETERMINADO",IF(AND(BM46,ISBLANK(G46)),"Completar COMISARIA",IF(AND(BM46,OR(ISBLANK(I46),ISBLANK(L46),ISBLANK(M46),O46="")),"Completar las celdas LOCALIDAD, CALLE, ALTURA Y DIRECCION SEGUN  GOOGLE MAPS",IF(AND(ISBLANK(J46),OR(I46=AÑELO[[#Headers],[AÑELO]],CENTENARIO[[#Headers],[CENTENARIO]]='PLANILLA DJ'!I46,CUTRAL_CO[[#Headers],[CUTRAL_CO]],JUNIN_DE_LOS_ANDES[[#Headers],[JUNIN_DE_LOS_ANDES]]='PLANILLA DJ'!I46,'PLANILLA DJ'!I46=NEUQUEN[[#Headers],[NEUQUEN]],PLAZA_HUINCUL[[#Headers],[PLAZA_HUINCUL]]='PLANILLA DJ'!I46,'PLANILLA DJ'!I46=PLOTTIER[[#Headers],[PLOTTIER]])),"COMPLETAR BARRIO",IF(AND(BM46,ISBLANK(Q46)),"Completar Nombre de VICTIMA o DENUNCIANTE",IF(AND(BM46,ISBLANK(R46)),"Completar TIPO DE ACTUACION",IF(AND(R46=BUSCADOR!$B$140,OR(X46&lt;&gt;BUSCADOR!$A$110,ISBLANK(X46))),"Se indico A CONSIDERACION en ACTUACION, indicar en el buscador de delitos A CONSIDERACION tambien",IF(AND(ISBLANK(X46)&lt;&gt;TRUE,IFERROR(MATCH(X46,BUSCADOR!$A$2:$A$112,0),-1)&lt;0),"EN EL BUSCADOR DE DELITOS NO agregar comentarios como SU INVESTIGACION, REPORTE, etc. Limitarse SOLAMENTE a poner A CONSIDERACION u otro valor que coincida en el buscador",IF(AND(ISBLANK(AD46),OR(Y46=BUSCADOR!$B$49,BUSCADOR!$B$50=Y46,Y46=BUSCADOR!$B$46,Y46=BUSCADOR!$B$2,Y46=BUSCADOR!$B$7,BUSCADOR!$B$109=Y46,X46=BUSCADOR!$A$58,X46=BUSCADOR!$A$59)),"Completar la celda TIPO DE LUGAR",IF(AND(ISBLANK(AE46),OR(AD46=BUSCADOR!$E$149,BUSCADOR!$E$150=AD46,AD46=BUSCADOR!$F$148)),"Completar DETALLE ESTABLECIMIENTO",IF(AND(ISBLANK(AF46),BM46),"Completar la celda MOTIVO QUE ORIGINA EL REGISTRO DEL HECHO",IF(AND(SUM(AG46:AI46)=0,OR(Y46=BUSCADOR!$B$2,BUSCADOR!$B$6=Y46,Y46=BUSCADOR!$B$7,BUSCADOR!$B$8=Y46,Y46=BUSCADOR!$B$9,BUSCADOR!$B$12=Y46,Y46=BUSCADOR!$B$13,BUSCADOR!$B$14=Y46,Y46=BUSCADOR!$B$17,BUSCADOR!$B$18=Y46,Y46=BUSCADOR!$B$20,BUSCADOR!$B$29=Y46,BUSCADOR!$B$34=Y46,BUSCADOR!$B$35=Y46,Y46=BUSCADOR!$B$109,Y46=BUSCADOR!$B$51,BUSCADOR!$B$50=Y46,Y46=BUSCADOR!$B$47,Y46=BUSCADOR!$B$58,Y46=BUSCADOR!$B$21,Y46=BUSCADOR!$B$22,Y46=BUSCADOR!$B$23,Y46=BUSCADOR!$B$24)),"El delito indicado debe presentar un numero de victimas. Completar la celda CANTIDAD DE VICTIMAS",IF(AND(SUM(AJ46:AO46)&gt;0,ISBLANK(AP46)),"Completar celda VULNERABILIDAD DE LA VICTIMA",IF(SUM(AG46:AI46)&lt;&gt;SUM(AJ46:AO46),"Se indico una CANTIDAD DE VICTIMAS SEGUN SEXO diferente a SEGUN GENERO",IF(AND(ISBLANK(AR46),OR(Y46=BUSCADOR!$B$49,BUSCADOR!$B$50=Y46,Y46=BUSCADOR!$B$46,Y46=BUSCADOR!$B$109,BUSCADOR!$B$2=Y46,X46=BUSCADOR!$A$58,X46=BUSCADOR!$A$59)),"Completar la celda TIPO DE ARMA, MODALIDAD O MECANISMO",IF(AND(ISBLANK(AS46),OR(Y46=BUSCADOR!$B$51,BUSCADOR!$B$50=Y46,Y46=BUSCADOR!$B$47,BUSCADOR!$A$58=X46,X46=BUSCADOR!$A$59)),"Completar la celda CONOCIDO, en la seccion de los inculpados",IF(AND(AS46=BUSCADOR!$B$127,OR(Y46=BUSCADOR!$B$51,BUSCADOR!$B$50,Y46,BUSCADOR!$B$46),OR(SUM(AT46:AV46)&lt;&gt;SUM(AW46:AZ46),SUM(AT46:AZ46)=0)),"Revisar las celdas correspondientes a CANTIDAD DE INCULPADOS. Se indica una cantidad diferente segun SEXO y EDAD o no se indico cantidad alguna",IF(AND(ISBLANK(BA46),X46=BUSCADOR!$A$27),"Se indico una persona desaparecida. Completar la casilla APARECIO",IF(AND(ISBLANK(BB46),OR(Y46=BUSCADOR!$B$49,BUSCADOR!$B$50=Y46,Y46=BUSCADOR!$B$46)),"Completar la casilla ELEMENTO SUSTRAIDO",IF(OR(AND(BB46=OTROS[[#Headers],[OTROS]],ISBLANK(BC46)),AND(BB46=ABIGEATO[[#Headers],[ABIGEATO]],ISBLANK(BC46))),"Completar la celda SUBCATEGORIA",IF(AND(OR(BB46=MOTOCICLETA[[#Headers],[MOTOCICLETA]],BB46=AUTOMOTOR[[#Headers],[AUTOMOTOR]]),OR(ISBLANK(BC46),ISBLANK(BD46),ISBLANK(BE46),ISBLANK(BF46))),"Se indico un AUTOMOTOR o MOTOCICLETA en ELEMENTOS SUSTRAIDOS, completar las celdas SUBCATEGORIA, DENOMINACION, AÑO y MODELO", IF(AND(ISBLANK(BB46)&lt;&gt;TRUE,ISBLANK(BJ46)),"Completar MODUS OPERANDI",IF(AND(ISBLANK(BK46),OR(BJ46=BUSCADOR!$H$232,BJ46=BUSCADOR!$I$232)),"Completar ESPECIALIDAD",IF(OR(AND(H46='SAT-Homicidios Dolosos'!$B$5,'SAT-Homicidios Dolosos'!$A$5&lt;&gt;"OK"),AND(H46='SAT-Homicidios Dolosos'!$B$8,'SAT-Homicidios Dolosos'!$A$8&lt;&gt;"OK")),"Se indico un HOMICIDIO, existen CELDAS VACIAS en la hoja SAT-HOMICIDIOS DOLOSOS Completar los datos indicados",IF(OR(AND(H46='SAT-Muertes Viales'!$E$21,'SAT-Muertes Viales'!$A$21&lt;&gt;"OK"),AND(H46='SAT-Muertes Viales'!$E$25,'SAT-Muertes Viales'!$A$25&lt;&gt;"OK"),AND(H46='SAT-Muertes Viales'!$E$29,'SAT-Muertes Viales'!$A$29&lt;&gt;"OK")),"Se indico un HOMICIDIO POR SINIESTRO VIAL, existen CELDAS VACIAS en la hoja SAT-MUERTES VIALES Completar los datos indicados",IF(OR(AND(H46='SAT-Suicidios'!$B$19,'SAT-Suicidios'!$A$19&lt;&gt;"OK"),AND(H46='SAT-Suicidios'!$B$22,'SAT-Suicidios'!$A$22&lt;&gt;"OK"),AND(H46='SAT-Suicidios'!$B$25,'SAT-Suicidios'!$A$25&lt;&gt;"OK")),"Se indico un SUICIDIO, existen CELDAS VACIAS en la hoja SAT-SUICIDIOS Completar los datos indicados",IF(IFERROR(MATCH(X46,BUSCADOR!$A$2:$A$112,0),-1)&lt;0,"No se indico delito",IF(AND(ISBLANK(BL46),OR(X46=BUSCADOR!$A$111,X46=BUSCADOR!$A$110)),"Llenar la casilla DETALLES, COMENTARIOS con una descripcion de la causa",IF(AND(X46="MUERTE DUDOSA",ISBLANK(BL46)=FALSE),"SE INDICO MUERTE DUDOSA, NOS CONTACTAREMOS PARA MAS INFORMACION","FILA CORRECTA"))))))))))))))))))))))))))))))</f>
        <v>No se indico delito</v>
      </c>
      <c r="C46" s="42"/>
      <c r="D46" s="90"/>
      <c r="E46" s="47"/>
      <c r="F46" s="88"/>
      <c r="G46" s="221" t="str">
        <f t="shared" si="9"/>
        <v>Comisaría 15°</v>
      </c>
      <c r="H46" s="46"/>
      <c r="I46" s="52"/>
      <c r="J46" s="27"/>
      <c r="K46" s="27"/>
      <c r="L46" s="27"/>
      <c r="M46" s="27"/>
      <c r="N46" s="46"/>
      <c r="O46" s="55" t="str">
        <f t="shared" si="10"/>
        <v/>
      </c>
      <c r="P46" s="56" t="str">
        <f t="shared" si="11"/>
        <v/>
      </c>
      <c r="Q46" s="52"/>
      <c r="R46" s="46"/>
      <c r="S46" s="62"/>
      <c r="T46" s="57" t="str">
        <f>IFERROR(VLOOKUP(X46,BUSCADOR!$A$2:$E$112,5,FALSE),"")</f>
        <v/>
      </c>
      <c r="U46" s="107" t="str">
        <f t="shared" si="12"/>
        <v/>
      </c>
      <c r="V46" s="28" t="str">
        <f>IFERROR(VLOOKUP(X46,BUSCADOR!$A$2:$E$112,4,FALSE),"")</f>
        <v/>
      </c>
      <c r="W46" s="107" t="str">
        <f t="shared" si="13"/>
        <v/>
      </c>
      <c r="X46" s="27"/>
      <c r="Y46" s="58" t="str">
        <f>IFERROR(VLOOKUP(X46,BUSCADOR!$A$2:$B$112,2,FALSE),"")</f>
        <v/>
      </c>
      <c r="Z46" s="101" t="str">
        <f t="shared" si="4"/>
        <v>__</v>
      </c>
      <c r="AA46" s="103" t="str">
        <f t="shared" si="5"/>
        <v>___</v>
      </c>
      <c r="AB46" s="104" t="str">
        <f t="shared" si="6"/>
        <v>____</v>
      </c>
      <c r="AC46" s="104" t="str">
        <f t="shared" si="6"/>
        <v>_____</v>
      </c>
      <c r="AD46" s="83"/>
      <c r="AE46" s="45"/>
      <c r="AF46" s="66"/>
      <c r="AG46" s="212"/>
      <c r="AH46" s="213"/>
      <c r="AI46" s="214"/>
      <c r="AJ46" s="219"/>
      <c r="AK46" s="213"/>
      <c r="AL46" s="213"/>
      <c r="AM46" s="213"/>
      <c r="AN46" s="213"/>
      <c r="AO46" s="219"/>
      <c r="AP46" s="95"/>
      <c r="AQ46" s="186" t="str">
        <f t="shared" si="1"/>
        <v/>
      </c>
      <c r="AR46" s="66"/>
      <c r="AS46" s="76"/>
      <c r="AT46" s="225"/>
      <c r="AU46" s="213"/>
      <c r="AV46" s="214"/>
      <c r="AW46" s="226"/>
      <c r="AX46" s="213"/>
      <c r="AY46" s="213"/>
      <c r="AZ46" s="227"/>
      <c r="BA46" s="65"/>
      <c r="BB46" s="52"/>
      <c r="BC46" s="27"/>
      <c r="BD46" s="27"/>
      <c r="BE46" s="27"/>
      <c r="BF46" s="79"/>
      <c r="BG46" s="52"/>
      <c r="BH46" s="69"/>
      <c r="BI46" s="188" t="str">
        <f>IF(Y46=BUSCADOR!$B$46,"HURTO_",IF(OR(Y46=BUSCADOR!$B$49,Y46=BUSCADOR!$B$50),"ROBO_",""))</f>
        <v/>
      </c>
      <c r="BJ46" s="50"/>
      <c r="BK46" s="45"/>
      <c r="BL46" s="66"/>
      <c r="BM46" s="1" t="b">
        <f t="shared" si="7"/>
        <v>0</v>
      </c>
    </row>
    <row r="47" spans="1:65" ht="117.6" customHeight="1" x14ac:dyDescent="0.25">
      <c r="A47" s="171">
        <v>45</v>
      </c>
      <c r="B47" s="41" t="str">
        <f>IF(AND(BM47,ISBLANK(C47)),"Completar FECHA DE DENUNCIA",IF(AND(BM47,OR(ISBLANK(D47),ISBLANK(E47),ISBLANK(H47))),"Completar las celdas FECHA, HORA Y PREVENTIVO. En caso de no conocer la fecha u horario colocar INDETERMINADO",IF(AND(BM47,ISBLANK(G47)),"Completar COMISARIA",IF(AND(BM47,OR(ISBLANK(I47),ISBLANK(L47),ISBLANK(M47),O47="")),"Completar las celdas LOCALIDAD, CALLE, ALTURA Y DIRECCION SEGUN  GOOGLE MAPS",IF(AND(ISBLANK(J47),OR(I47=AÑELO[[#Headers],[AÑELO]],CENTENARIO[[#Headers],[CENTENARIO]]='PLANILLA DJ'!I47,CUTRAL_CO[[#Headers],[CUTRAL_CO]],JUNIN_DE_LOS_ANDES[[#Headers],[JUNIN_DE_LOS_ANDES]]='PLANILLA DJ'!I47,'PLANILLA DJ'!I47=NEUQUEN[[#Headers],[NEUQUEN]],PLAZA_HUINCUL[[#Headers],[PLAZA_HUINCUL]]='PLANILLA DJ'!I47,'PLANILLA DJ'!I47=PLOTTIER[[#Headers],[PLOTTIER]])),"COMPLETAR BARRIO",IF(AND(BM47,ISBLANK(Q47)),"Completar Nombre de VICTIMA o DENUNCIANTE",IF(AND(BM47,ISBLANK(R47)),"Completar TIPO DE ACTUACION",IF(AND(R47=BUSCADOR!$B$140,OR(X47&lt;&gt;BUSCADOR!$A$110,ISBLANK(X47))),"Se indico A CONSIDERACION en ACTUACION, indicar en el buscador de delitos A CONSIDERACION tambien",IF(AND(ISBLANK(X47)&lt;&gt;TRUE,IFERROR(MATCH(X47,BUSCADOR!$A$2:$A$112,0),-1)&lt;0),"EN EL BUSCADOR DE DELITOS NO agregar comentarios como SU INVESTIGACION, REPORTE, etc. Limitarse SOLAMENTE a poner A CONSIDERACION u otro valor que coincida en el buscador",IF(AND(ISBLANK(AD47),OR(Y47=BUSCADOR!$B$49,BUSCADOR!$B$50=Y47,Y47=BUSCADOR!$B$46,Y47=BUSCADOR!$B$2,Y47=BUSCADOR!$B$7,BUSCADOR!$B$109=Y47,X47=BUSCADOR!$A$58,X47=BUSCADOR!$A$59)),"Completar la celda TIPO DE LUGAR",IF(AND(ISBLANK(AE47),OR(AD47=BUSCADOR!$E$149,BUSCADOR!$E$150=AD47,AD47=BUSCADOR!$F$148)),"Completar DETALLE ESTABLECIMIENTO",IF(AND(ISBLANK(AF47),BM47),"Completar la celda MOTIVO QUE ORIGINA EL REGISTRO DEL HECHO",IF(AND(SUM(AG47:AI47)=0,OR(Y47=BUSCADOR!$B$2,BUSCADOR!$B$6=Y47,Y47=BUSCADOR!$B$7,BUSCADOR!$B$8=Y47,Y47=BUSCADOR!$B$9,BUSCADOR!$B$12=Y47,Y47=BUSCADOR!$B$13,BUSCADOR!$B$14=Y47,Y47=BUSCADOR!$B$17,BUSCADOR!$B$18=Y47,Y47=BUSCADOR!$B$20,BUSCADOR!$B$29=Y47,BUSCADOR!$B$34=Y47,BUSCADOR!$B$35=Y47,Y47=BUSCADOR!$B$109,Y47=BUSCADOR!$B$51,BUSCADOR!$B$50=Y47,Y47=BUSCADOR!$B$47,Y47=BUSCADOR!$B$58,Y47=BUSCADOR!$B$21,Y47=BUSCADOR!$B$22,Y47=BUSCADOR!$B$23,Y47=BUSCADOR!$B$24)),"El delito indicado debe presentar un numero de victimas. Completar la celda CANTIDAD DE VICTIMAS",IF(AND(SUM(AJ47:AO47)&gt;0,ISBLANK(AP47)),"Completar celda VULNERABILIDAD DE LA VICTIMA",IF(SUM(AG47:AI47)&lt;&gt;SUM(AJ47:AO47),"Se indico una CANTIDAD DE VICTIMAS SEGUN SEXO diferente a SEGUN GENERO",IF(AND(ISBLANK(AR47),OR(Y47=BUSCADOR!$B$49,BUSCADOR!$B$50=Y47,Y47=BUSCADOR!$B$46,Y47=BUSCADOR!$B$109,BUSCADOR!$B$2=Y47,X47=BUSCADOR!$A$58,X47=BUSCADOR!$A$59)),"Completar la celda TIPO DE ARMA, MODALIDAD O MECANISMO",IF(AND(ISBLANK(AS47),OR(Y47=BUSCADOR!$B$51,BUSCADOR!$B$50=Y47,Y47=BUSCADOR!$B$47,BUSCADOR!$A$58=X47,X47=BUSCADOR!$A$59)),"Completar la celda CONOCIDO, en la seccion de los inculpados",IF(AND(AS47=BUSCADOR!$B$127,OR(Y47=BUSCADOR!$B$51,BUSCADOR!$B$50,Y47,BUSCADOR!$B$46),OR(SUM(AT47:AV47)&lt;&gt;SUM(AW47:AZ47),SUM(AT47:AZ47)=0)),"Revisar las celdas correspondientes a CANTIDAD DE INCULPADOS. Se indica una cantidad diferente segun SEXO y EDAD o no se indico cantidad alguna",IF(AND(ISBLANK(BA47),X47=BUSCADOR!$A$27),"Se indico una persona desaparecida. Completar la casilla APARECIO",IF(AND(ISBLANK(BB47),OR(Y47=BUSCADOR!$B$49,BUSCADOR!$B$50=Y47,Y47=BUSCADOR!$B$46)),"Completar la casilla ELEMENTO SUSTRAIDO",IF(OR(AND(BB47=OTROS[[#Headers],[OTROS]],ISBLANK(BC47)),AND(BB47=ABIGEATO[[#Headers],[ABIGEATO]],ISBLANK(BC47))),"Completar la celda SUBCATEGORIA",IF(AND(OR(BB47=MOTOCICLETA[[#Headers],[MOTOCICLETA]],BB47=AUTOMOTOR[[#Headers],[AUTOMOTOR]]),OR(ISBLANK(BC47),ISBLANK(BD47),ISBLANK(BE47),ISBLANK(BF47))),"Se indico un AUTOMOTOR o MOTOCICLETA en ELEMENTOS SUSTRAIDOS, completar las celdas SUBCATEGORIA, DENOMINACION, AÑO y MODELO", IF(AND(ISBLANK(BB47)&lt;&gt;TRUE,ISBLANK(BJ47)),"Completar MODUS OPERANDI",IF(AND(ISBLANK(BK47),OR(BJ47=BUSCADOR!$H$232,BJ47=BUSCADOR!$I$232)),"Completar ESPECIALIDAD",IF(OR(AND(H47='SAT-Homicidios Dolosos'!$B$5,'SAT-Homicidios Dolosos'!$A$5&lt;&gt;"OK"),AND(H47='SAT-Homicidios Dolosos'!$B$8,'SAT-Homicidios Dolosos'!$A$8&lt;&gt;"OK")),"Se indico un HOMICIDIO, existen CELDAS VACIAS en la hoja SAT-HOMICIDIOS DOLOSOS Completar los datos indicados",IF(OR(AND(H47='SAT-Muertes Viales'!$E$21,'SAT-Muertes Viales'!$A$21&lt;&gt;"OK"),AND(H47='SAT-Muertes Viales'!$E$25,'SAT-Muertes Viales'!$A$25&lt;&gt;"OK"),AND(H47='SAT-Muertes Viales'!$E$29,'SAT-Muertes Viales'!$A$29&lt;&gt;"OK")),"Se indico un HOMICIDIO POR SINIESTRO VIAL, existen CELDAS VACIAS en la hoja SAT-MUERTES VIALES Completar los datos indicados",IF(OR(AND(H47='SAT-Suicidios'!$B$19,'SAT-Suicidios'!$A$19&lt;&gt;"OK"),AND(H47='SAT-Suicidios'!$B$22,'SAT-Suicidios'!$A$22&lt;&gt;"OK"),AND(H47='SAT-Suicidios'!$B$25,'SAT-Suicidios'!$A$25&lt;&gt;"OK")),"Se indico un SUICIDIO, existen CELDAS VACIAS en la hoja SAT-SUICIDIOS Completar los datos indicados",IF(IFERROR(MATCH(X47,BUSCADOR!$A$2:$A$112,0),-1)&lt;0,"No se indico delito",IF(AND(ISBLANK(BL47),OR(X47=BUSCADOR!$A$111,X47=BUSCADOR!$A$110)),"Llenar la casilla DETALLES, COMENTARIOS con una descripcion de la causa",IF(AND(X47="MUERTE DUDOSA",ISBLANK(BL47)=FALSE),"SE INDICO MUERTE DUDOSA, NOS CONTACTAREMOS PARA MAS INFORMACION","FILA CORRECTA"))))))))))))))))))))))))))))))</f>
        <v>No se indico delito</v>
      </c>
      <c r="C47" s="42"/>
      <c r="D47" s="90"/>
      <c r="E47" s="47"/>
      <c r="F47" s="88"/>
      <c r="G47" s="221" t="str">
        <f t="shared" si="9"/>
        <v>Comisaría 15°</v>
      </c>
      <c r="H47" s="46"/>
      <c r="I47" s="52"/>
      <c r="J47" s="27"/>
      <c r="K47" s="27"/>
      <c r="L47" s="27"/>
      <c r="M47" s="27"/>
      <c r="N47" s="46"/>
      <c r="O47" s="55" t="str">
        <f t="shared" si="10"/>
        <v/>
      </c>
      <c r="P47" s="56" t="str">
        <f t="shared" si="11"/>
        <v/>
      </c>
      <c r="Q47" s="52"/>
      <c r="R47" s="46"/>
      <c r="S47" s="62"/>
      <c r="T47" s="57" t="str">
        <f>IFERROR(VLOOKUP(X47,BUSCADOR!$A$2:$E$112,5,FALSE),"")</f>
        <v/>
      </c>
      <c r="U47" s="107" t="str">
        <f t="shared" si="12"/>
        <v/>
      </c>
      <c r="V47" s="28" t="str">
        <f>IFERROR(VLOOKUP(X47,BUSCADOR!$A$2:$E$112,4,FALSE),"")</f>
        <v/>
      </c>
      <c r="W47" s="107" t="str">
        <f t="shared" si="13"/>
        <v/>
      </c>
      <c r="X47" s="27"/>
      <c r="Y47" s="58" t="str">
        <f>IFERROR(VLOOKUP(X47,BUSCADOR!$A$2:$B$112,2,FALSE),"")</f>
        <v/>
      </c>
      <c r="Z47" s="101" t="str">
        <f t="shared" si="4"/>
        <v>__</v>
      </c>
      <c r="AA47" s="103" t="str">
        <f t="shared" si="5"/>
        <v>___</v>
      </c>
      <c r="AB47" s="104" t="str">
        <f t="shared" si="6"/>
        <v>____</v>
      </c>
      <c r="AC47" s="104" t="str">
        <f t="shared" si="6"/>
        <v>_____</v>
      </c>
      <c r="AD47" s="83"/>
      <c r="AE47" s="45"/>
      <c r="AF47" s="66"/>
      <c r="AG47" s="212"/>
      <c r="AH47" s="213"/>
      <c r="AI47" s="214"/>
      <c r="AJ47" s="219"/>
      <c r="AK47" s="213"/>
      <c r="AL47" s="213"/>
      <c r="AM47" s="213"/>
      <c r="AN47" s="213"/>
      <c r="AO47" s="219"/>
      <c r="AP47" s="95"/>
      <c r="AQ47" s="186" t="str">
        <f t="shared" si="1"/>
        <v/>
      </c>
      <c r="AR47" s="66"/>
      <c r="AS47" s="76"/>
      <c r="AT47" s="225"/>
      <c r="AU47" s="213"/>
      <c r="AV47" s="214"/>
      <c r="AW47" s="226"/>
      <c r="AX47" s="213"/>
      <c r="AY47" s="213"/>
      <c r="AZ47" s="227"/>
      <c r="BA47" s="65"/>
      <c r="BB47" s="52"/>
      <c r="BC47" s="27"/>
      <c r="BD47" s="27"/>
      <c r="BE47" s="27"/>
      <c r="BF47" s="79"/>
      <c r="BG47" s="52"/>
      <c r="BH47" s="69"/>
      <c r="BI47" s="188" t="str">
        <f>IF(Y47=BUSCADOR!$B$46,"HURTO_",IF(OR(Y47=BUSCADOR!$B$49,Y47=BUSCADOR!$B$50),"ROBO_",""))</f>
        <v/>
      </c>
      <c r="BJ47" s="50"/>
      <c r="BK47" s="45"/>
      <c r="BL47" s="66"/>
      <c r="BM47" s="1" t="b">
        <f t="shared" si="7"/>
        <v>0</v>
      </c>
    </row>
    <row r="48" spans="1:65" ht="117.6" customHeight="1" x14ac:dyDescent="0.25">
      <c r="A48" s="171">
        <v>46</v>
      </c>
      <c r="B48" s="41" t="str">
        <f>IF(AND(BM48,ISBLANK(C48)),"Completar FECHA DE DENUNCIA",IF(AND(BM48,OR(ISBLANK(D48),ISBLANK(E48),ISBLANK(H48))),"Completar las celdas FECHA, HORA Y PREVENTIVO. En caso de no conocer la fecha u horario colocar INDETERMINADO",IF(AND(BM48,ISBLANK(G48)),"Completar COMISARIA",IF(AND(BM48,OR(ISBLANK(I48),ISBLANK(L48),ISBLANK(M48),O48="")),"Completar las celdas LOCALIDAD, CALLE, ALTURA Y DIRECCION SEGUN  GOOGLE MAPS",IF(AND(ISBLANK(J48),OR(I48=AÑELO[[#Headers],[AÑELO]],CENTENARIO[[#Headers],[CENTENARIO]]='PLANILLA DJ'!I48,CUTRAL_CO[[#Headers],[CUTRAL_CO]],JUNIN_DE_LOS_ANDES[[#Headers],[JUNIN_DE_LOS_ANDES]]='PLANILLA DJ'!I48,'PLANILLA DJ'!I48=NEUQUEN[[#Headers],[NEUQUEN]],PLAZA_HUINCUL[[#Headers],[PLAZA_HUINCUL]]='PLANILLA DJ'!I48,'PLANILLA DJ'!I48=PLOTTIER[[#Headers],[PLOTTIER]])),"COMPLETAR BARRIO",IF(AND(BM48,ISBLANK(Q48)),"Completar Nombre de VICTIMA o DENUNCIANTE",IF(AND(BM48,ISBLANK(R48)),"Completar TIPO DE ACTUACION",IF(AND(R48=BUSCADOR!$B$140,OR(X48&lt;&gt;BUSCADOR!$A$110,ISBLANK(X48))),"Se indico A CONSIDERACION en ACTUACION, indicar en el buscador de delitos A CONSIDERACION tambien",IF(AND(ISBLANK(X48)&lt;&gt;TRUE,IFERROR(MATCH(X48,BUSCADOR!$A$2:$A$112,0),-1)&lt;0),"EN EL BUSCADOR DE DELITOS NO agregar comentarios como SU INVESTIGACION, REPORTE, etc. Limitarse SOLAMENTE a poner A CONSIDERACION u otro valor que coincida en el buscador",IF(AND(ISBLANK(AD48),OR(Y48=BUSCADOR!$B$49,BUSCADOR!$B$50=Y48,Y48=BUSCADOR!$B$46,Y48=BUSCADOR!$B$2,Y48=BUSCADOR!$B$7,BUSCADOR!$B$109=Y48,X48=BUSCADOR!$A$58,X48=BUSCADOR!$A$59)),"Completar la celda TIPO DE LUGAR",IF(AND(ISBLANK(AE48),OR(AD48=BUSCADOR!$E$149,BUSCADOR!$E$150=AD48,AD48=BUSCADOR!$F$148)),"Completar DETALLE ESTABLECIMIENTO",IF(AND(ISBLANK(AF48),BM48),"Completar la celda MOTIVO QUE ORIGINA EL REGISTRO DEL HECHO",IF(AND(SUM(AG48:AI48)=0,OR(Y48=BUSCADOR!$B$2,BUSCADOR!$B$6=Y48,Y48=BUSCADOR!$B$7,BUSCADOR!$B$8=Y48,Y48=BUSCADOR!$B$9,BUSCADOR!$B$12=Y48,Y48=BUSCADOR!$B$13,BUSCADOR!$B$14=Y48,Y48=BUSCADOR!$B$17,BUSCADOR!$B$18=Y48,Y48=BUSCADOR!$B$20,BUSCADOR!$B$29=Y48,BUSCADOR!$B$34=Y48,BUSCADOR!$B$35=Y48,Y48=BUSCADOR!$B$109,Y48=BUSCADOR!$B$51,BUSCADOR!$B$50=Y48,Y48=BUSCADOR!$B$47,Y48=BUSCADOR!$B$58,Y48=BUSCADOR!$B$21,Y48=BUSCADOR!$B$22,Y48=BUSCADOR!$B$23,Y48=BUSCADOR!$B$24)),"El delito indicado debe presentar un numero de victimas. Completar la celda CANTIDAD DE VICTIMAS",IF(AND(SUM(AJ48:AO48)&gt;0,ISBLANK(AP48)),"Completar celda VULNERABILIDAD DE LA VICTIMA",IF(SUM(AG48:AI48)&lt;&gt;SUM(AJ48:AO48),"Se indico una CANTIDAD DE VICTIMAS SEGUN SEXO diferente a SEGUN GENERO",IF(AND(ISBLANK(AR48),OR(Y48=BUSCADOR!$B$49,BUSCADOR!$B$50=Y48,Y48=BUSCADOR!$B$46,Y48=BUSCADOR!$B$109,BUSCADOR!$B$2=Y48,X48=BUSCADOR!$A$58,X48=BUSCADOR!$A$59)),"Completar la celda TIPO DE ARMA, MODALIDAD O MECANISMO",IF(AND(ISBLANK(AS48),OR(Y48=BUSCADOR!$B$51,BUSCADOR!$B$50=Y48,Y48=BUSCADOR!$B$47,BUSCADOR!$A$58=X48,X48=BUSCADOR!$A$59)),"Completar la celda CONOCIDO, en la seccion de los inculpados",IF(AND(AS48=BUSCADOR!$B$127,OR(Y48=BUSCADOR!$B$51,BUSCADOR!$B$50,Y48,BUSCADOR!$B$46),OR(SUM(AT48:AV48)&lt;&gt;SUM(AW48:AZ48),SUM(AT48:AZ48)=0)),"Revisar las celdas correspondientes a CANTIDAD DE INCULPADOS. Se indica una cantidad diferente segun SEXO y EDAD o no se indico cantidad alguna",IF(AND(ISBLANK(BA48),X48=BUSCADOR!$A$27),"Se indico una persona desaparecida. Completar la casilla APARECIO",IF(AND(ISBLANK(BB48),OR(Y48=BUSCADOR!$B$49,BUSCADOR!$B$50=Y48,Y48=BUSCADOR!$B$46)),"Completar la casilla ELEMENTO SUSTRAIDO",IF(OR(AND(BB48=OTROS[[#Headers],[OTROS]],ISBLANK(BC48)),AND(BB48=ABIGEATO[[#Headers],[ABIGEATO]],ISBLANK(BC48))),"Completar la celda SUBCATEGORIA",IF(AND(OR(BB48=MOTOCICLETA[[#Headers],[MOTOCICLETA]],BB48=AUTOMOTOR[[#Headers],[AUTOMOTOR]]),OR(ISBLANK(BC48),ISBLANK(BD48),ISBLANK(BE48),ISBLANK(BF48))),"Se indico un AUTOMOTOR o MOTOCICLETA en ELEMENTOS SUSTRAIDOS, completar las celdas SUBCATEGORIA, DENOMINACION, AÑO y MODELO", IF(AND(ISBLANK(BB48)&lt;&gt;TRUE,ISBLANK(BJ48)),"Completar MODUS OPERANDI",IF(AND(ISBLANK(BK48),OR(BJ48=BUSCADOR!$H$232,BJ48=BUSCADOR!$I$232)),"Completar ESPECIALIDAD",IF(OR(AND(H48='SAT-Homicidios Dolosos'!$B$5,'SAT-Homicidios Dolosos'!$A$5&lt;&gt;"OK"),AND(H48='SAT-Homicidios Dolosos'!$B$8,'SAT-Homicidios Dolosos'!$A$8&lt;&gt;"OK")),"Se indico un HOMICIDIO, existen CELDAS VACIAS en la hoja SAT-HOMICIDIOS DOLOSOS Completar los datos indicados",IF(OR(AND(H48='SAT-Muertes Viales'!$E$21,'SAT-Muertes Viales'!$A$21&lt;&gt;"OK"),AND(H48='SAT-Muertes Viales'!$E$25,'SAT-Muertes Viales'!$A$25&lt;&gt;"OK"),AND(H48='SAT-Muertes Viales'!$E$29,'SAT-Muertes Viales'!$A$29&lt;&gt;"OK")),"Se indico un HOMICIDIO POR SINIESTRO VIAL, existen CELDAS VACIAS en la hoja SAT-MUERTES VIALES Completar los datos indicados",IF(OR(AND(H48='SAT-Suicidios'!$B$19,'SAT-Suicidios'!$A$19&lt;&gt;"OK"),AND(H48='SAT-Suicidios'!$B$22,'SAT-Suicidios'!$A$22&lt;&gt;"OK"),AND(H48='SAT-Suicidios'!$B$25,'SAT-Suicidios'!$A$25&lt;&gt;"OK")),"Se indico un SUICIDIO, existen CELDAS VACIAS en la hoja SAT-SUICIDIOS Completar los datos indicados",IF(IFERROR(MATCH(X48,BUSCADOR!$A$2:$A$112,0),-1)&lt;0,"No se indico delito",IF(AND(ISBLANK(BL48),OR(X48=BUSCADOR!$A$111,X48=BUSCADOR!$A$110)),"Llenar la casilla DETALLES, COMENTARIOS con una descripcion de la causa",IF(AND(X48="MUERTE DUDOSA",ISBLANK(BL48)=FALSE),"SE INDICO MUERTE DUDOSA, NOS CONTACTAREMOS PARA MAS INFORMACION","FILA CORRECTA"))))))))))))))))))))))))))))))</f>
        <v>No se indico delito</v>
      </c>
      <c r="C48" s="42"/>
      <c r="D48" s="90"/>
      <c r="E48" s="47"/>
      <c r="F48" s="88"/>
      <c r="G48" s="221" t="str">
        <f t="shared" si="9"/>
        <v>Comisaría 15°</v>
      </c>
      <c r="H48" s="46"/>
      <c r="I48" s="52"/>
      <c r="J48" s="27"/>
      <c r="K48" s="27"/>
      <c r="L48" s="27"/>
      <c r="M48" s="27"/>
      <c r="N48" s="46"/>
      <c r="O48" s="55" t="str">
        <f t="shared" si="10"/>
        <v/>
      </c>
      <c r="P48" s="56" t="str">
        <f t="shared" si="11"/>
        <v/>
      </c>
      <c r="Q48" s="52"/>
      <c r="R48" s="46"/>
      <c r="S48" s="62"/>
      <c r="T48" s="57" t="str">
        <f>IFERROR(VLOOKUP(X48,BUSCADOR!$A$2:$E$112,5,FALSE),"")</f>
        <v/>
      </c>
      <c r="U48" s="107" t="str">
        <f t="shared" si="12"/>
        <v/>
      </c>
      <c r="V48" s="28" t="str">
        <f>IFERROR(VLOOKUP(X48,BUSCADOR!$A$2:$E$112,4,FALSE),"")</f>
        <v/>
      </c>
      <c r="W48" s="107" t="str">
        <f t="shared" si="13"/>
        <v/>
      </c>
      <c r="X48" s="27"/>
      <c r="Y48" s="58" t="str">
        <f>IFERROR(VLOOKUP(X48,BUSCADOR!$A$2:$B$112,2,FALSE),"")</f>
        <v/>
      </c>
      <c r="Z48" s="101" t="str">
        <f t="shared" si="4"/>
        <v>__</v>
      </c>
      <c r="AA48" s="103" t="str">
        <f t="shared" si="5"/>
        <v>___</v>
      </c>
      <c r="AB48" s="104" t="str">
        <f t="shared" si="6"/>
        <v>____</v>
      </c>
      <c r="AC48" s="104" t="str">
        <f t="shared" si="6"/>
        <v>_____</v>
      </c>
      <c r="AD48" s="83"/>
      <c r="AE48" s="45"/>
      <c r="AF48" s="66"/>
      <c r="AG48" s="212"/>
      <c r="AH48" s="213"/>
      <c r="AI48" s="214"/>
      <c r="AJ48" s="219"/>
      <c r="AK48" s="213"/>
      <c r="AL48" s="213"/>
      <c r="AM48" s="213"/>
      <c r="AN48" s="213"/>
      <c r="AO48" s="219"/>
      <c r="AP48" s="95"/>
      <c r="AQ48" s="186" t="str">
        <f t="shared" si="1"/>
        <v/>
      </c>
      <c r="AR48" s="66"/>
      <c r="AS48" s="76"/>
      <c r="AT48" s="225"/>
      <c r="AU48" s="213"/>
      <c r="AV48" s="214"/>
      <c r="AW48" s="226"/>
      <c r="AX48" s="213"/>
      <c r="AY48" s="213"/>
      <c r="AZ48" s="227"/>
      <c r="BA48" s="65"/>
      <c r="BB48" s="52"/>
      <c r="BC48" s="27"/>
      <c r="BD48" s="27"/>
      <c r="BE48" s="27"/>
      <c r="BF48" s="79"/>
      <c r="BG48" s="52"/>
      <c r="BH48" s="69"/>
      <c r="BI48" s="188" t="str">
        <f>IF(Y48=BUSCADOR!$B$46,"HURTO_",IF(OR(Y48=BUSCADOR!$B$49,Y48=BUSCADOR!$B$50),"ROBO_",""))</f>
        <v/>
      </c>
      <c r="BJ48" s="50"/>
      <c r="BK48" s="45"/>
      <c r="BL48" s="66"/>
      <c r="BM48" s="1" t="b">
        <f t="shared" si="7"/>
        <v>0</v>
      </c>
    </row>
    <row r="49" spans="1:65" ht="117.6" customHeight="1" x14ac:dyDescent="0.25">
      <c r="A49" s="171">
        <v>47</v>
      </c>
      <c r="B49" s="41" t="str">
        <f>IF(AND(BM49,ISBLANK(C49)),"Completar FECHA DE DENUNCIA",IF(AND(BM49,OR(ISBLANK(D49),ISBLANK(E49),ISBLANK(H49))),"Completar las celdas FECHA, HORA Y PREVENTIVO. En caso de no conocer la fecha u horario colocar INDETERMINADO",IF(AND(BM49,ISBLANK(G49)),"Completar COMISARIA",IF(AND(BM49,OR(ISBLANK(I49),ISBLANK(L49),ISBLANK(M49),O49="")),"Completar las celdas LOCALIDAD, CALLE, ALTURA Y DIRECCION SEGUN  GOOGLE MAPS",IF(AND(ISBLANK(J49),OR(I49=AÑELO[[#Headers],[AÑELO]],CENTENARIO[[#Headers],[CENTENARIO]]='PLANILLA DJ'!I49,CUTRAL_CO[[#Headers],[CUTRAL_CO]],JUNIN_DE_LOS_ANDES[[#Headers],[JUNIN_DE_LOS_ANDES]]='PLANILLA DJ'!I49,'PLANILLA DJ'!I49=NEUQUEN[[#Headers],[NEUQUEN]],PLAZA_HUINCUL[[#Headers],[PLAZA_HUINCUL]]='PLANILLA DJ'!I49,'PLANILLA DJ'!I49=PLOTTIER[[#Headers],[PLOTTIER]])),"COMPLETAR BARRIO",IF(AND(BM49,ISBLANK(Q49)),"Completar Nombre de VICTIMA o DENUNCIANTE",IF(AND(BM49,ISBLANK(R49)),"Completar TIPO DE ACTUACION",IF(AND(R49=BUSCADOR!$B$140,OR(X49&lt;&gt;BUSCADOR!$A$110,ISBLANK(X49))),"Se indico A CONSIDERACION en ACTUACION, indicar en el buscador de delitos A CONSIDERACION tambien",IF(AND(ISBLANK(X49)&lt;&gt;TRUE,IFERROR(MATCH(X49,BUSCADOR!$A$2:$A$112,0),-1)&lt;0),"EN EL BUSCADOR DE DELITOS NO agregar comentarios como SU INVESTIGACION, REPORTE, etc. Limitarse SOLAMENTE a poner A CONSIDERACION u otro valor que coincida en el buscador",IF(AND(ISBLANK(AD49),OR(Y49=BUSCADOR!$B$49,BUSCADOR!$B$50=Y49,Y49=BUSCADOR!$B$46,Y49=BUSCADOR!$B$2,Y49=BUSCADOR!$B$7,BUSCADOR!$B$109=Y49,X49=BUSCADOR!$A$58,X49=BUSCADOR!$A$59)),"Completar la celda TIPO DE LUGAR",IF(AND(ISBLANK(AE49),OR(AD49=BUSCADOR!$E$149,BUSCADOR!$E$150=AD49,AD49=BUSCADOR!$F$148)),"Completar DETALLE ESTABLECIMIENTO",IF(AND(ISBLANK(AF49),BM49),"Completar la celda MOTIVO QUE ORIGINA EL REGISTRO DEL HECHO",IF(AND(SUM(AG49:AI49)=0,OR(Y49=BUSCADOR!$B$2,BUSCADOR!$B$6=Y49,Y49=BUSCADOR!$B$7,BUSCADOR!$B$8=Y49,Y49=BUSCADOR!$B$9,BUSCADOR!$B$12=Y49,Y49=BUSCADOR!$B$13,BUSCADOR!$B$14=Y49,Y49=BUSCADOR!$B$17,BUSCADOR!$B$18=Y49,Y49=BUSCADOR!$B$20,BUSCADOR!$B$29=Y49,BUSCADOR!$B$34=Y49,BUSCADOR!$B$35=Y49,Y49=BUSCADOR!$B$109,Y49=BUSCADOR!$B$51,BUSCADOR!$B$50=Y49,Y49=BUSCADOR!$B$47,Y49=BUSCADOR!$B$58,Y49=BUSCADOR!$B$21,Y49=BUSCADOR!$B$22,Y49=BUSCADOR!$B$23,Y49=BUSCADOR!$B$24)),"El delito indicado debe presentar un numero de victimas. Completar la celda CANTIDAD DE VICTIMAS",IF(AND(SUM(AJ49:AO49)&gt;0,ISBLANK(AP49)),"Completar celda VULNERABILIDAD DE LA VICTIMA",IF(SUM(AG49:AI49)&lt;&gt;SUM(AJ49:AO49),"Se indico una CANTIDAD DE VICTIMAS SEGUN SEXO diferente a SEGUN GENERO",IF(AND(ISBLANK(AR49),OR(Y49=BUSCADOR!$B$49,BUSCADOR!$B$50=Y49,Y49=BUSCADOR!$B$46,Y49=BUSCADOR!$B$109,BUSCADOR!$B$2=Y49,X49=BUSCADOR!$A$58,X49=BUSCADOR!$A$59)),"Completar la celda TIPO DE ARMA, MODALIDAD O MECANISMO",IF(AND(ISBLANK(AS49),OR(Y49=BUSCADOR!$B$51,BUSCADOR!$B$50=Y49,Y49=BUSCADOR!$B$47,BUSCADOR!$A$58=X49,X49=BUSCADOR!$A$59)),"Completar la celda CONOCIDO, en la seccion de los inculpados",IF(AND(AS49=BUSCADOR!$B$127,OR(Y49=BUSCADOR!$B$51,BUSCADOR!$B$50,Y49,BUSCADOR!$B$46),OR(SUM(AT49:AV49)&lt;&gt;SUM(AW49:AZ49),SUM(AT49:AZ49)=0)),"Revisar las celdas correspondientes a CANTIDAD DE INCULPADOS. Se indica una cantidad diferente segun SEXO y EDAD o no se indico cantidad alguna",IF(AND(ISBLANK(BA49),X49=BUSCADOR!$A$27),"Se indico una persona desaparecida. Completar la casilla APARECIO",IF(AND(ISBLANK(BB49),OR(Y49=BUSCADOR!$B$49,BUSCADOR!$B$50=Y49,Y49=BUSCADOR!$B$46)),"Completar la casilla ELEMENTO SUSTRAIDO",IF(OR(AND(BB49=OTROS[[#Headers],[OTROS]],ISBLANK(BC49)),AND(BB49=ABIGEATO[[#Headers],[ABIGEATO]],ISBLANK(BC49))),"Completar la celda SUBCATEGORIA",IF(AND(OR(BB49=MOTOCICLETA[[#Headers],[MOTOCICLETA]],BB49=AUTOMOTOR[[#Headers],[AUTOMOTOR]]),OR(ISBLANK(BC49),ISBLANK(BD49),ISBLANK(BE49),ISBLANK(BF49))),"Se indico un AUTOMOTOR o MOTOCICLETA en ELEMENTOS SUSTRAIDOS, completar las celdas SUBCATEGORIA, DENOMINACION, AÑO y MODELO", IF(AND(ISBLANK(BB49)&lt;&gt;TRUE,ISBLANK(BJ49)),"Completar MODUS OPERANDI",IF(AND(ISBLANK(BK49),OR(BJ49=BUSCADOR!$H$232,BJ49=BUSCADOR!$I$232)),"Completar ESPECIALIDAD",IF(OR(AND(H49='SAT-Homicidios Dolosos'!$B$5,'SAT-Homicidios Dolosos'!$A$5&lt;&gt;"OK"),AND(H49='SAT-Homicidios Dolosos'!$B$8,'SAT-Homicidios Dolosos'!$A$8&lt;&gt;"OK")),"Se indico un HOMICIDIO, existen CELDAS VACIAS en la hoja SAT-HOMICIDIOS DOLOSOS Completar los datos indicados",IF(OR(AND(H49='SAT-Muertes Viales'!$E$21,'SAT-Muertes Viales'!$A$21&lt;&gt;"OK"),AND(H49='SAT-Muertes Viales'!$E$25,'SAT-Muertes Viales'!$A$25&lt;&gt;"OK"),AND(H49='SAT-Muertes Viales'!$E$29,'SAT-Muertes Viales'!$A$29&lt;&gt;"OK")),"Se indico un HOMICIDIO POR SINIESTRO VIAL, existen CELDAS VACIAS en la hoja SAT-MUERTES VIALES Completar los datos indicados",IF(OR(AND(H49='SAT-Suicidios'!$B$19,'SAT-Suicidios'!$A$19&lt;&gt;"OK"),AND(H49='SAT-Suicidios'!$B$22,'SAT-Suicidios'!$A$22&lt;&gt;"OK"),AND(H49='SAT-Suicidios'!$B$25,'SAT-Suicidios'!$A$25&lt;&gt;"OK")),"Se indico un SUICIDIO, existen CELDAS VACIAS en la hoja SAT-SUICIDIOS Completar los datos indicados",IF(IFERROR(MATCH(X49,BUSCADOR!$A$2:$A$112,0),-1)&lt;0,"No se indico delito",IF(AND(ISBLANK(BL49),OR(X49=BUSCADOR!$A$111,X49=BUSCADOR!$A$110)),"Llenar la casilla DETALLES, COMENTARIOS con una descripcion de la causa",IF(AND(X49="MUERTE DUDOSA",ISBLANK(BL49)=FALSE),"SE INDICO MUERTE DUDOSA, NOS CONTACTAREMOS PARA MAS INFORMACION","FILA CORRECTA"))))))))))))))))))))))))))))))</f>
        <v>No se indico delito</v>
      </c>
      <c r="C49" s="42"/>
      <c r="D49" s="90"/>
      <c r="E49" s="47"/>
      <c r="F49" s="88"/>
      <c r="G49" s="221" t="str">
        <f t="shared" si="9"/>
        <v>Comisaría 15°</v>
      </c>
      <c r="H49" s="46"/>
      <c r="I49" s="52"/>
      <c r="J49" s="27"/>
      <c r="K49" s="27"/>
      <c r="L49" s="27"/>
      <c r="M49" s="27"/>
      <c r="N49" s="46"/>
      <c r="O49" s="55" t="str">
        <f t="shared" si="10"/>
        <v/>
      </c>
      <c r="P49" s="56" t="str">
        <f t="shared" si="11"/>
        <v/>
      </c>
      <c r="Q49" s="52"/>
      <c r="R49" s="46"/>
      <c r="S49" s="62"/>
      <c r="T49" s="57" t="str">
        <f>IFERROR(VLOOKUP(X49,BUSCADOR!$A$2:$E$112,5,FALSE),"")</f>
        <v/>
      </c>
      <c r="U49" s="107" t="str">
        <f t="shared" si="12"/>
        <v/>
      </c>
      <c r="V49" s="28" t="str">
        <f>IFERROR(VLOOKUP(X49,BUSCADOR!$A$2:$E$112,4,FALSE),"")</f>
        <v/>
      </c>
      <c r="W49" s="107" t="str">
        <f t="shared" si="13"/>
        <v/>
      </c>
      <c r="X49" s="27"/>
      <c r="Y49" s="58" t="str">
        <f>IFERROR(VLOOKUP(X49,BUSCADOR!$A$2:$B$112,2,FALSE),"")</f>
        <v/>
      </c>
      <c r="Z49" s="101" t="str">
        <f t="shared" si="4"/>
        <v>__</v>
      </c>
      <c r="AA49" s="103" t="str">
        <f t="shared" si="5"/>
        <v>___</v>
      </c>
      <c r="AB49" s="104" t="str">
        <f t="shared" si="6"/>
        <v>____</v>
      </c>
      <c r="AC49" s="104" t="str">
        <f t="shared" si="6"/>
        <v>_____</v>
      </c>
      <c r="AD49" s="83"/>
      <c r="AE49" s="45"/>
      <c r="AF49" s="66"/>
      <c r="AG49" s="212"/>
      <c r="AH49" s="213"/>
      <c r="AI49" s="214"/>
      <c r="AJ49" s="219"/>
      <c r="AK49" s="213"/>
      <c r="AL49" s="213"/>
      <c r="AM49" s="213"/>
      <c r="AN49" s="213"/>
      <c r="AO49" s="219"/>
      <c r="AP49" s="95"/>
      <c r="AQ49" s="186" t="str">
        <f t="shared" si="1"/>
        <v/>
      </c>
      <c r="AR49" s="66"/>
      <c r="AS49" s="76"/>
      <c r="AT49" s="225"/>
      <c r="AU49" s="213"/>
      <c r="AV49" s="214"/>
      <c r="AW49" s="226"/>
      <c r="AX49" s="213"/>
      <c r="AY49" s="213"/>
      <c r="AZ49" s="227"/>
      <c r="BA49" s="65"/>
      <c r="BB49" s="52"/>
      <c r="BC49" s="27"/>
      <c r="BD49" s="27"/>
      <c r="BE49" s="27"/>
      <c r="BF49" s="79"/>
      <c r="BG49" s="52"/>
      <c r="BH49" s="69"/>
      <c r="BI49" s="188" t="str">
        <f>IF(Y49=BUSCADOR!$B$46,"HURTO_",IF(OR(Y49=BUSCADOR!$B$49,Y49=BUSCADOR!$B$50),"ROBO_",""))</f>
        <v/>
      </c>
      <c r="BJ49" s="50"/>
      <c r="BK49" s="45"/>
      <c r="BL49" s="66"/>
      <c r="BM49" s="1" t="b">
        <f t="shared" si="7"/>
        <v>0</v>
      </c>
    </row>
    <row r="50" spans="1:65" ht="117.6" customHeight="1" x14ac:dyDescent="0.25">
      <c r="A50" s="171">
        <v>48</v>
      </c>
      <c r="B50" s="41" t="str">
        <f>IF(AND(BM50,ISBLANK(C50)),"Completar FECHA DE DENUNCIA",IF(AND(BM50,OR(ISBLANK(D50),ISBLANK(E50),ISBLANK(H50))),"Completar las celdas FECHA, HORA Y PREVENTIVO. En caso de no conocer la fecha u horario colocar INDETERMINADO",IF(AND(BM50,ISBLANK(G50)),"Completar COMISARIA",IF(AND(BM50,OR(ISBLANK(I50),ISBLANK(L50),ISBLANK(M50),O50="")),"Completar las celdas LOCALIDAD, CALLE, ALTURA Y DIRECCION SEGUN  GOOGLE MAPS",IF(AND(ISBLANK(J50),OR(I50=AÑELO[[#Headers],[AÑELO]],CENTENARIO[[#Headers],[CENTENARIO]]='PLANILLA DJ'!I50,CUTRAL_CO[[#Headers],[CUTRAL_CO]],JUNIN_DE_LOS_ANDES[[#Headers],[JUNIN_DE_LOS_ANDES]]='PLANILLA DJ'!I50,'PLANILLA DJ'!I50=NEUQUEN[[#Headers],[NEUQUEN]],PLAZA_HUINCUL[[#Headers],[PLAZA_HUINCUL]]='PLANILLA DJ'!I50,'PLANILLA DJ'!I50=PLOTTIER[[#Headers],[PLOTTIER]])),"COMPLETAR BARRIO",IF(AND(BM50,ISBLANK(Q50)),"Completar Nombre de VICTIMA o DENUNCIANTE",IF(AND(BM50,ISBLANK(R50)),"Completar TIPO DE ACTUACION",IF(AND(R50=BUSCADOR!$B$140,OR(X50&lt;&gt;BUSCADOR!$A$110,ISBLANK(X50))),"Se indico A CONSIDERACION en ACTUACION, indicar en el buscador de delitos A CONSIDERACION tambien",IF(AND(ISBLANK(X50)&lt;&gt;TRUE,IFERROR(MATCH(X50,BUSCADOR!$A$2:$A$112,0),-1)&lt;0),"EN EL BUSCADOR DE DELITOS NO agregar comentarios como SU INVESTIGACION, REPORTE, etc. Limitarse SOLAMENTE a poner A CONSIDERACION u otro valor que coincida en el buscador",IF(AND(ISBLANK(AD50),OR(Y50=BUSCADOR!$B$49,BUSCADOR!$B$50=Y50,Y50=BUSCADOR!$B$46,Y50=BUSCADOR!$B$2,Y50=BUSCADOR!$B$7,BUSCADOR!$B$109=Y50,X50=BUSCADOR!$A$58,X50=BUSCADOR!$A$59)),"Completar la celda TIPO DE LUGAR",IF(AND(ISBLANK(AE50),OR(AD50=BUSCADOR!$E$149,BUSCADOR!$E$150=AD50,AD50=BUSCADOR!$F$148)),"Completar DETALLE ESTABLECIMIENTO",IF(AND(ISBLANK(AF50),BM50),"Completar la celda MOTIVO QUE ORIGINA EL REGISTRO DEL HECHO",IF(AND(SUM(AG50:AI50)=0,OR(Y50=BUSCADOR!$B$2,BUSCADOR!$B$6=Y50,Y50=BUSCADOR!$B$7,BUSCADOR!$B$8=Y50,Y50=BUSCADOR!$B$9,BUSCADOR!$B$12=Y50,Y50=BUSCADOR!$B$13,BUSCADOR!$B$14=Y50,Y50=BUSCADOR!$B$17,BUSCADOR!$B$18=Y50,Y50=BUSCADOR!$B$20,BUSCADOR!$B$29=Y50,BUSCADOR!$B$34=Y50,BUSCADOR!$B$35=Y50,Y50=BUSCADOR!$B$109,Y50=BUSCADOR!$B$51,BUSCADOR!$B$50=Y50,Y50=BUSCADOR!$B$47,Y50=BUSCADOR!$B$58,Y50=BUSCADOR!$B$21,Y50=BUSCADOR!$B$22,Y50=BUSCADOR!$B$23,Y50=BUSCADOR!$B$24)),"El delito indicado debe presentar un numero de victimas. Completar la celda CANTIDAD DE VICTIMAS",IF(AND(SUM(AJ50:AO50)&gt;0,ISBLANK(AP50)),"Completar celda VULNERABILIDAD DE LA VICTIMA",IF(SUM(AG50:AI50)&lt;&gt;SUM(AJ50:AO50),"Se indico una CANTIDAD DE VICTIMAS SEGUN SEXO diferente a SEGUN GENERO",IF(AND(ISBLANK(AR50),OR(Y50=BUSCADOR!$B$49,BUSCADOR!$B$50=Y50,Y50=BUSCADOR!$B$46,Y50=BUSCADOR!$B$109,BUSCADOR!$B$2=Y50,X50=BUSCADOR!$A$58,X50=BUSCADOR!$A$59)),"Completar la celda TIPO DE ARMA, MODALIDAD O MECANISMO",IF(AND(ISBLANK(AS50),OR(Y50=BUSCADOR!$B$51,BUSCADOR!$B$50=Y50,Y50=BUSCADOR!$B$47,BUSCADOR!$A$58=X50,X50=BUSCADOR!$A$59)),"Completar la celda CONOCIDO, en la seccion de los inculpados",IF(AND(AS50=BUSCADOR!$B$127,OR(Y50=BUSCADOR!$B$51,BUSCADOR!$B$50,Y50,BUSCADOR!$B$46),OR(SUM(AT50:AV50)&lt;&gt;SUM(AW50:AZ50),SUM(AT50:AZ50)=0)),"Revisar las celdas correspondientes a CANTIDAD DE INCULPADOS. Se indica una cantidad diferente segun SEXO y EDAD o no se indico cantidad alguna",IF(AND(ISBLANK(BA50),X50=BUSCADOR!$A$27),"Se indico una persona desaparecida. Completar la casilla APARECIO",IF(AND(ISBLANK(BB50),OR(Y50=BUSCADOR!$B$49,BUSCADOR!$B$50=Y50,Y50=BUSCADOR!$B$46)),"Completar la casilla ELEMENTO SUSTRAIDO",IF(OR(AND(BB50=OTROS[[#Headers],[OTROS]],ISBLANK(BC50)),AND(BB50=ABIGEATO[[#Headers],[ABIGEATO]],ISBLANK(BC50))),"Completar la celda SUBCATEGORIA",IF(AND(OR(BB50=MOTOCICLETA[[#Headers],[MOTOCICLETA]],BB50=AUTOMOTOR[[#Headers],[AUTOMOTOR]]),OR(ISBLANK(BC50),ISBLANK(BD50),ISBLANK(BE50),ISBLANK(BF50))),"Se indico un AUTOMOTOR o MOTOCICLETA en ELEMENTOS SUSTRAIDOS, completar las celdas SUBCATEGORIA, DENOMINACION, AÑO y MODELO", IF(AND(ISBLANK(BB50)&lt;&gt;TRUE,ISBLANK(BJ50)),"Completar MODUS OPERANDI",IF(AND(ISBLANK(BK50),OR(BJ50=BUSCADOR!$H$232,BJ50=BUSCADOR!$I$232)),"Completar ESPECIALIDAD",IF(OR(AND(H50='SAT-Homicidios Dolosos'!$B$5,'SAT-Homicidios Dolosos'!$A$5&lt;&gt;"OK"),AND(H50='SAT-Homicidios Dolosos'!$B$8,'SAT-Homicidios Dolosos'!$A$8&lt;&gt;"OK")),"Se indico un HOMICIDIO, existen CELDAS VACIAS en la hoja SAT-HOMICIDIOS DOLOSOS Completar los datos indicados",IF(OR(AND(H50='SAT-Muertes Viales'!$E$21,'SAT-Muertes Viales'!$A$21&lt;&gt;"OK"),AND(H50='SAT-Muertes Viales'!$E$25,'SAT-Muertes Viales'!$A$25&lt;&gt;"OK"),AND(H50='SAT-Muertes Viales'!$E$29,'SAT-Muertes Viales'!$A$29&lt;&gt;"OK")),"Se indico un HOMICIDIO POR SINIESTRO VIAL, existen CELDAS VACIAS en la hoja SAT-MUERTES VIALES Completar los datos indicados",IF(OR(AND(H50='SAT-Suicidios'!$B$19,'SAT-Suicidios'!$A$19&lt;&gt;"OK"),AND(H50='SAT-Suicidios'!$B$22,'SAT-Suicidios'!$A$22&lt;&gt;"OK"),AND(H50='SAT-Suicidios'!$B$25,'SAT-Suicidios'!$A$25&lt;&gt;"OK")),"Se indico un SUICIDIO, existen CELDAS VACIAS en la hoja SAT-SUICIDIOS Completar los datos indicados",IF(IFERROR(MATCH(X50,BUSCADOR!$A$2:$A$112,0),-1)&lt;0,"No se indico delito",IF(AND(ISBLANK(BL50),OR(X50=BUSCADOR!$A$111,X50=BUSCADOR!$A$110)),"Llenar la casilla DETALLES, COMENTARIOS con una descripcion de la causa",IF(AND(X50="MUERTE DUDOSA",ISBLANK(BL50)=FALSE),"SE INDICO MUERTE DUDOSA, NOS CONTACTAREMOS PARA MAS INFORMACION","FILA CORRECTA"))))))))))))))))))))))))))))))</f>
        <v>No se indico delito</v>
      </c>
      <c r="C50" s="42"/>
      <c r="D50" s="90"/>
      <c r="E50" s="47"/>
      <c r="F50" s="88"/>
      <c r="G50" s="221" t="str">
        <f t="shared" si="9"/>
        <v>Comisaría 15°</v>
      </c>
      <c r="H50" s="46"/>
      <c r="I50" s="52"/>
      <c r="J50" s="27"/>
      <c r="K50" s="27"/>
      <c r="L50" s="27"/>
      <c r="M50" s="27"/>
      <c r="N50" s="46"/>
      <c r="O50" s="55" t="str">
        <f t="shared" si="10"/>
        <v/>
      </c>
      <c r="P50" s="56" t="str">
        <f t="shared" si="11"/>
        <v/>
      </c>
      <c r="Q50" s="52"/>
      <c r="R50" s="46"/>
      <c r="S50" s="62"/>
      <c r="T50" s="57" t="str">
        <f>IFERROR(VLOOKUP(X50,BUSCADOR!$A$2:$E$112,5,FALSE),"")</f>
        <v/>
      </c>
      <c r="U50" s="107" t="str">
        <f t="shared" si="12"/>
        <v/>
      </c>
      <c r="V50" s="28" t="str">
        <f>IFERROR(VLOOKUP(X50,BUSCADOR!$A$2:$E$112,4,FALSE),"")</f>
        <v/>
      </c>
      <c r="W50" s="107" t="str">
        <f t="shared" si="13"/>
        <v/>
      </c>
      <c r="X50" s="27"/>
      <c r="Y50" s="58" t="str">
        <f>IFERROR(VLOOKUP(X50,BUSCADOR!$A$2:$B$112,2,FALSE),"")</f>
        <v/>
      </c>
      <c r="Z50" s="101" t="str">
        <f t="shared" si="4"/>
        <v>__</v>
      </c>
      <c r="AA50" s="103" t="str">
        <f t="shared" si="5"/>
        <v>___</v>
      </c>
      <c r="AB50" s="104" t="str">
        <f t="shared" si="6"/>
        <v>____</v>
      </c>
      <c r="AC50" s="104" t="str">
        <f t="shared" si="6"/>
        <v>_____</v>
      </c>
      <c r="AD50" s="83"/>
      <c r="AE50" s="45"/>
      <c r="AF50" s="66"/>
      <c r="AG50" s="212"/>
      <c r="AH50" s="213"/>
      <c r="AI50" s="214"/>
      <c r="AJ50" s="219"/>
      <c r="AK50" s="213"/>
      <c r="AL50" s="213"/>
      <c r="AM50" s="213"/>
      <c r="AN50" s="213"/>
      <c r="AO50" s="219"/>
      <c r="AP50" s="95"/>
      <c r="AQ50" s="186" t="str">
        <f t="shared" si="1"/>
        <v/>
      </c>
      <c r="AR50" s="66"/>
      <c r="AS50" s="76"/>
      <c r="AT50" s="225"/>
      <c r="AU50" s="213"/>
      <c r="AV50" s="214"/>
      <c r="AW50" s="226"/>
      <c r="AX50" s="213"/>
      <c r="AY50" s="213"/>
      <c r="AZ50" s="227"/>
      <c r="BA50" s="65"/>
      <c r="BB50" s="52"/>
      <c r="BC50" s="27"/>
      <c r="BD50" s="27"/>
      <c r="BE50" s="27"/>
      <c r="BF50" s="79"/>
      <c r="BG50" s="52"/>
      <c r="BH50" s="69"/>
      <c r="BI50" s="188" t="str">
        <f>IF(Y50=BUSCADOR!$B$46,"HURTO_",IF(OR(Y50=BUSCADOR!$B$49,Y50=BUSCADOR!$B$50),"ROBO_",""))</f>
        <v/>
      </c>
      <c r="BJ50" s="50"/>
      <c r="BK50" s="45"/>
      <c r="BL50" s="66"/>
      <c r="BM50" s="1" t="b">
        <f t="shared" si="7"/>
        <v>0</v>
      </c>
    </row>
    <row r="51" spans="1:65" ht="117.6" customHeight="1" x14ac:dyDescent="0.25">
      <c r="A51" s="171">
        <v>49</v>
      </c>
      <c r="B51" s="41" t="str">
        <f>IF(AND(BM51,ISBLANK(C51)),"Completar FECHA DE DENUNCIA",IF(AND(BM51,OR(ISBLANK(D51),ISBLANK(E51),ISBLANK(H51))),"Completar las celdas FECHA, HORA Y PREVENTIVO. En caso de no conocer la fecha u horario colocar INDETERMINADO",IF(AND(BM51,ISBLANK(G51)),"Completar COMISARIA",IF(AND(BM51,OR(ISBLANK(I51),ISBLANK(L51),ISBLANK(M51),O51="")),"Completar las celdas LOCALIDAD, CALLE, ALTURA Y DIRECCION SEGUN  GOOGLE MAPS",IF(AND(ISBLANK(J51),OR(I51=AÑELO[[#Headers],[AÑELO]],CENTENARIO[[#Headers],[CENTENARIO]]='PLANILLA DJ'!I51,CUTRAL_CO[[#Headers],[CUTRAL_CO]],JUNIN_DE_LOS_ANDES[[#Headers],[JUNIN_DE_LOS_ANDES]]='PLANILLA DJ'!I51,'PLANILLA DJ'!I51=NEUQUEN[[#Headers],[NEUQUEN]],PLAZA_HUINCUL[[#Headers],[PLAZA_HUINCUL]]='PLANILLA DJ'!I51,'PLANILLA DJ'!I51=PLOTTIER[[#Headers],[PLOTTIER]])),"COMPLETAR BARRIO",IF(AND(BM51,ISBLANK(Q51)),"Completar Nombre de VICTIMA o DENUNCIANTE",IF(AND(BM51,ISBLANK(R51)),"Completar TIPO DE ACTUACION",IF(AND(R51=BUSCADOR!$B$140,OR(X51&lt;&gt;BUSCADOR!$A$110,ISBLANK(X51))),"Se indico A CONSIDERACION en ACTUACION, indicar en el buscador de delitos A CONSIDERACION tambien",IF(AND(ISBLANK(X51)&lt;&gt;TRUE,IFERROR(MATCH(X51,BUSCADOR!$A$2:$A$112,0),-1)&lt;0),"EN EL BUSCADOR DE DELITOS NO agregar comentarios como SU INVESTIGACION, REPORTE, etc. Limitarse SOLAMENTE a poner A CONSIDERACION u otro valor que coincida en el buscador",IF(AND(ISBLANK(AD51),OR(Y51=BUSCADOR!$B$49,BUSCADOR!$B$50=Y51,Y51=BUSCADOR!$B$46,Y51=BUSCADOR!$B$2,Y51=BUSCADOR!$B$7,BUSCADOR!$B$109=Y51,X51=BUSCADOR!$A$58,X51=BUSCADOR!$A$59)),"Completar la celda TIPO DE LUGAR",IF(AND(ISBLANK(AE51),OR(AD51=BUSCADOR!$E$149,BUSCADOR!$E$150=AD51,AD51=BUSCADOR!$F$148)),"Completar DETALLE ESTABLECIMIENTO",IF(AND(ISBLANK(AF51),BM51),"Completar la celda MOTIVO QUE ORIGINA EL REGISTRO DEL HECHO",IF(AND(SUM(AG51:AI51)=0,OR(Y51=BUSCADOR!$B$2,BUSCADOR!$B$6=Y51,Y51=BUSCADOR!$B$7,BUSCADOR!$B$8=Y51,Y51=BUSCADOR!$B$9,BUSCADOR!$B$12=Y51,Y51=BUSCADOR!$B$13,BUSCADOR!$B$14=Y51,Y51=BUSCADOR!$B$17,BUSCADOR!$B$18=Y51,Y51=BUSCADOR!$B$20,BUSCADOR!$B$29=Y51,BUSCADOR!$B$34=Y51,BUSCADOR!$B$35=Y51,Y51=BUSCADOR!$B$109,Y51=BUSCADOR!$B$51,BUSCADOR!$B$50=Y51,Y51=BUSCADOR!$B$47,Y51=BUSCADOR!$B$58,Y51=BUSCADOR!$B$21,Y51=BUSCADOR!$B$22,Y51=BUSCADOR!$B$23,Y51=BUSCADOR!$B$24)),"El delito indicado debe presentar un numero de victimas. Completar la celda CANTIDAD DE VICTIMAS",IF(AND(SUM(AJ51:AO51)&gt;0,ISBLANK(AP51)),"Completar celda VULNERABILIDAD DE LA VICTIMA",IF(SUM(AG51:AI51)&lt;&gt;SUM(AJ51:AO51),"Se indico una CANTIDAD DE VICTIMAS SEGUN SEXO diferente a SEGUN GENERO",IF(AND(ISBLANK(AR51),OR(Y51=BUSCADOR!$B$49,BUSCADOR!$B$50=Y51,Y51=BUSCADOR!$B$46,Y51=BUSCADOR!$B$109,BUSCADOR!$B$2=Y51,X51=BUSCADOR!$A$58,X51=BUSCADOR!$A$59)),"Completar la celda TIPO DE ARMA, MODALIDAD O MECANISMO",IF(AND(ISBLANK(AS51),OR(Y51=BUSCADOR!$B$51,BUSCADOR!$B$50=Y51,Y51=BUSCADOR!$B$47,BUSCADOR!$A$58=X51,X51=BUSCADOR!$A$59)),"Completar la celda CONOCIDO, en la seccion de los inculpados",IF(AND(AS51=BUSCADOR!$B$127,OR(Y51=BUSCADOR!$B$51,BUSCADOR!$B$50,Y51,BUSCADOR!$B$46),OR(SUM(AT51:AV51)&lt;&gt;SUM(AW51:AZ51),SUM(AT51:AZ51)=0)),"Revisar las celdas correspondientes a CANTIDAD DE INCULPADOS. Se indica una cantidad diferente segun SEXO y EDAD o no se indico cantidad alguna",IF(AND(ISBLANK(BA51),X51=BUSCADOR!$A$27),"Se indico una persona desaparecida. Completar la casilla APARECIO",IF(AND(ISBLANK(BB51),OR(Y51=BUSCADOR!$B$49,BUSCADOR!$B$50=Y51,Y51=BUSCADOR!$B$46)),"Completar la casilla ELEMENTO SUSTRAIDO",IF(OR(AND(BB51=OTROS[[#Headers],[OTROS]],ISBLANK(BC51)),AND(BB51=ABIGEATO[[#Headers],[ABIGEATO]],ISBLANK(BC51))),"Completar la celda SUBCATEGORIA",IF(AND(OR(BB51=MOTOCICLETA[[#Headers],[MOTOCICLETA]],BB51=AUTOMOTOR[[#Headers],[AUTOMOTOR]]),OR(ISBLANK(BC51),ISBLANK(BD51),ISBLANK(BE51),ISBLANK(BF51))),"Se indico un AUTOMOTOR o MOTOCICLETA en ELEMENTOS SUSTRAIDOS, completar las celdas SUBCATEGORIA, DENOMINACION, AÑO y MODELO", IF(AND(ISBLANK(BB51)&lt;&gt;TRUE,ISBLANK(BJ51)),"Completar MODUS OPERANDI",IF(AND(ISBLANK(BK51),OR(BJ51=BUSCADOR!$H$232,BJ51=BUSCADOR!$I$232)),"Completar ESPECIALIDAD",IF(OR(AND(H51='SAT-Homicidios Dolosos'!$B$5,'SAT-Homicidios Dolosos'!$A$5&lt;&gt;"OK"),AND(H51='SAT-Homicidios Dolosos'!$B$8,'SAT-Homicidios Dolosos'!$A$8&lt;&gt;"OK")),"Se indico un HOMICIDIO, existen CELDAS VACIAS en la hoja SAT-HOMICIDIOS DOLOSOS Completar los datos indicados",IF(OR(AND(H51='SAT-Muertes Viales'!$E$21,'SAT-Muertes Viales'!$A$21&lt;&gt;"OK"),AND(H51='SAT-Muertes Viales'!$E$25,'SAT-Muertes Viales'!$A$25&lt;&gt;"OK"),AND(H51='SAT-Muertes Viales'!$E$29,'SAT-Muertes Viales'!$A$29&lt;&gt;"OK")),"Se indico un HOMICIDIO POR SINIESTRO VIAL, existen CELDAS VACIAS en la hoja SAT-MUERTES VIALES Completar los datos indicados",IF(OR(AND(H51='SAT-Suicidios'!$B$19,'SAT-Suicidios'!$A$19&lt;&gt;"OK"),AND(H51='SAT-Suicidios'!$B$22,'SAT-Suicidios'!$A$22&lt;&gt;"OK"),AND(H51='SAT-Suicidios'!$B$25,'SAT-Suicidios'!$A$25&lt;&gt;"OK")),"Se indico un SUICIDIO, existen CELDAS VACIAS en la hoja SAT-SUICIDIOS Completar los datos indicados",IF(IFERROR(MATCH(X51,BUSCADOR!$A$2:$A$112,0),-1)&lt;0,"No se indico delito",IF(AND(ISBLANK(BL51),OR(X51=BUSCADOR!$A$111,X51=BUSCADOR!$A$110)),"Llenar la casilla DETALLES, COMENTARIOS con una descripcion de la causa",IF(AND(X51="MUERTE DUDOSA",ISBLANK(BL51)=FALSE),"SE INDICO MUERTE DUDOSA, NOS CONTACTAREMOS PARA MAS INFORMACION","FILA CORRECTA"))))))))))))))))))))))))))))))</f>
        <v>No se indico delito</v>
      </c>
      <c r="C51" s="42"/>
      <c r="D51" s="90"/>
      <c r="E51" s="47"/>
      <c r="F51" s="88"/>
      <c r="G51" s="221" t="str">
        <f t="shared" si="9"/>
        <v>Comisaría 15°</v>
      </c>
      <c r="H51" s="46"/>
      <c r="I51" s="52"/>
      <c r="J51" s="27"/>
      <c r="K51" s="27"/>
      <c r="L51" s="27"/>
      <c r="M51" s="27"/>
      <c r="N51" s="46"/>
      <c r="O51" s="55" t="str">
        <f t="shared" si="10"/>
        <v/>
      </c>
      <c r="P51" s="56" t="str">
        <f t="shared" si="11"/>
        <v/>
      </c>
      <c r="Q51" s="52"/>
      <c r="R51" s="46"/>
      <c r="S51" s="62"/>
      <c r="T51" s="57" t="str">
        <f>IFERROR(VLOOKUP(X51,BUSCADOR!$A$2:$E$112,5,FALSE),"")</f>
        <v/>
      </c>
      <c r="U51" s="107" t="str">
        <f t="shared" si="12"/>
        <v/>
      </c>
      <c r="V51" s="28" t="str">
        <f>IFERROR(VLOOKUP(X51,BUSCADOR!$A$2:$E$112,4,FALSE),"")</f>
        <v/>
      </c>
      <c r="W51" s="107" t="str">
        <f t="shared" si="13"/>
        <v/>
      </c>
      <c r="X51" s="27"/>
      <c r="Y51" s="58" t="str">
        <f>IFERROR(VLOOKUP(X51,BUSCADOR!$A$2:$B$112,2,FALSE),"")</f>
        <v/>
      </c>
      <c r="Z51" s="101" t="str">
        <f t="shared" si="4"/>
        <v>__</v>
      </c>
      <c r="AA51" s="103" t="str">
        <f t="shared" si="5"/>
        <v>___</v>
      </c>
      <c r="AB51" s="104" t="str">
        <f t="shared" si="6"/>
        <v>____</v>
      </c>
      <c r="AC51" s="104" t="str">
        <f t="shared" si="6"/>
        <v>_____</v>
      </c>
      <c r="AD51" s="83"/>
      <c r="AE51" s="45"/>
      <c r="AF51" s="66"/>
      <c r="AG51" s="212"/>
      <c r="AH51" s="213"/>
      <c r="AI51" s="214"/>
      <c r="AJ51" s="219"/>
      <c r="AK51" s="213"/>
      <c r="AL51" s="213"/>
      <c r="AM51" s="213"/>
      <c r="AN51" s="213"/>
      <c r="AO51" s="219"/>
      <c r="AP51" s="95"/>
      <c r="AQ51" s="186" t="str">
        <f t="shared" si="1"/>
        <v/>
      </c>
      <c r="AR51" s="66"/>
      <c r="AS51" s="76"/>
      <c r="AT51" s="225"/>
      <c r="AU51" s="213"/>
      <c r="AV51" s="214"/>
      <c r="AW51" s="226"/>
      <c r="AX51" s="213"/>
      <c r="AY51" s="213"/>
      <c r="AZ51" s="227"/>
      <c r="BA51" s="65"/>
      <c r="BB51" s="52"/>
      <c r="BC51" s="27"/>
      <c r="BD51" s="27"/>
      <c r="BE51" s="27"/>
      <c r="BF51" s="79"/>
      <c r="BG51" s="52"/>
      <c r="BH51" s="69"/>
      <c r="BI51" s="188" t="str">
        <f>IF(Y51=BUSCADOR!$B$46,"HURTO_",IF(OR(Y51=BUSCADOR!$B$49,Y51=BUSCADOR!$B$50),"ROBO_",""))</f>
        <v/>
      </c>
      <c r="BJ51" s="50"/>
      <c r="BK51" s="45"/>
      <c r="BL51" s="66"/>
      <c r="BM51" s="1" t="b">
        <f t="shared" si="7"/>
        <v>0</v>
      </c>
    </row>
    <row r="52" spans="1:65" ht="117.6" customHeight="1" x14ac:dyDescent="0.25">
      <c r="A52" s="171">
        <v>50</v>
      </c>
      <c r="B52" s="41" t="str">
        <f>IF(AND(BM52,ISBLANK(C52)),"Completar FECHA DE DENUNCIA",IF(AND(BM52,OR(ISBLANK(D52),ISBLANK(E52),ISBLANK(H52))),"Completar las celdas FECHA, HORA Y PREVENTIVO. En caso de no conocer la fecha u horario colocar INDETERMINADO",IF(AND(BM52,ISBLANK(G52)),"Completar COMISARIA",IF(AND(BM52,OR(ISBLANK(I52),ISBLANK(L52),ISBLANK(M52),O52="")),"Completar las celdas LOCALIDAD, CALLE, ALTURA Y DIRECCION SEGUN  GOOGLE MAPS",IF(AND(ISBLANK(J52),OR(I52=AÑELO[[#Headers],[AÑELO]],CENTENARIO[[#Headers],[CENTENARIO]]='PLANILLA DJ'!I52,CUTRAL_CO[[#Headers],[CUTRAL_CO]],JUNIN_DE_LOS_ANDES[[#Headers],[JUNIN_DE_LOS_ANDES]]='PLANILLA DJ'!I52,'PLANILLA DJ'!I52=NEUQUEN[[#Headers],[NEUQUEN]],PLAZA_HUINCUL[[#Headers],[PLAZA_HUINCUL]]='PLANILLA DJ'!I52,'PLANILLA DJ'!I52=PLOTTIER[[#Headers],[PLOTTIER]])),"COMPLETAR BARRIO",IF(AND(BM52,ISBLANK(Q52)),"Completar Nombre de VICTIMA o DENUNCIANTE",IF(AND(BM52,ISBLANK(R52)),"Completar TIPO DE ACTUACION",IF(AND(R52=BUSCADOR!$B$140,OR(X52&lt;&gt;BUSCADOR!$A$110,ISBLANK(X52))),"Se indico A CONSIDERACION en ACTUACION, indicar en el buscador de delitos A CONSIDERACION tambien",IF(AND(ISBLANK(X52)&lt;&gt;TRUE,IFERROR(MATCH(X52,BUSCADOR!$A$2:$A$112,0),-1)&lt;0),"EN EL BUSCADOR DE DELITOS NO agregar comentarios como SU INVESTIGACION, REPORTE, etc. Limitarse SOLAMENTE a poner A CONSIDERACION u otro valor que coincida en el buscador",IF(AND(ISBLANK(AD52),OR(Y52=BUSCADOR!$B$49,BUSCADOR!$B$50=Y52,Y52=BUSCADOR!$B$46,Y52=BUSCADOR!$B$2,Y52=BUSCADOR!$B$7,BUSCADOR!$B$109=Y52,X52=BUSCADOR!$A$58,X52=BUSCADOR!$A$59)),"Completar la celda TIPO DE LUGAR",IF(AND(ISBLANK(AE52),OR(AD52=BUSCADOR!$E$149,BUSCADOR!$E$150=AD52,AD52=BUSCADOR!$F$148)),"Completar DETALLE ESTABLECIMIENTO",IF(AND(ISBLANK(AF52),BM52),"Completar la celda MOTIVO QUE ORIGINA EL REGISTRO DEL HECHO",IF(AND(SUM(AG52:AI52)=0,OR(Y52=BUSCADOR!$B$2,BUSCADOR!$B$6=Y52,Y52=BUSCADOR!$B$7,BUSCADOR!$B$8=Y52,Y52=BUSCADOR!$B$9,BUSCADOR!$B$12=Y52,Y52=BUSCADOR!$B$13,BUSCADOR!$B$14=Y52,Y52=BUSCADOR!$B$17,BUSCADOR!$B$18=Y52,Y52=BUSCADOR!$B$20,BUSCADOR!$B$29=Y52,BUSCADOR!$B$34=Y52,BUSCADOR!$B$35=Y52,Y52=BUSCADOR!$B$109,Y52=BUSCADOR!$B$51,BUSCADOR!$B$50=Y52,Y52=BUSCADOR!$B$47,Y52=BUSCADOR!$B$58,Y52=BUSCADOR!$B$21,Y52=BUSCADOR!$B$22,Y52=BUSCADOR!$B$23,Y52=BUSCADOR!$B$24)),"El delito indicado debe presentar un numero de victimas. Completar la celda CANTIDAD DE VICTIMAS",IF(AND(SUM(AJ52:AO52)&gt;0,ISBLANK(AP52)),"Completar celda VULNERABILIDAD DE LA VICTIMA",IF(SUM(AG52:AI52)&lt;&gt;SUM(AJ52:AO52),"Se indico una CANTIDAD DE VICTIMAS SEGUN SEXO diferente a SEGUN GENERO",IF(AND(ISBLANK(AR52),OR(Y52=BUSCADOR!$B$49,BUSCADOR!$B$50=Y52,Y52=BUSCADOR!$B$46,Y52=BUSCADOR!$B$109,BUSCADOR!$B$2=Y52,X52=BUSCADOR!$A$58,X52=BUSCADOR!$A$59)),"Completar la celda TIPO DE ARMA, MODALIDAD O MECANISMO",IF(AND(ISBLANK(AS52),OR(Y52=BUSCADOR!$B$51,BUSCADOR!$B$50=Y52,Y52=BUSCADOR!$B$47,BUSCADOR!$A$58=X52,X52=BUSCADOR!$A$59)),"Completar la celda CONOCIDO, en la seccion de los inculpados",IF(AND(AS52=BUSCADOR!$B$127,OR(Y52=BUSCADOR!$B$51,BUSCADOR!$B$50,Y52,BUSCADOR!$B$46),OR(SUM(AT52:AV52)&lt;&gt;SUM(AW52:AZ52),SUM(AT52:AZ52)=0)),"Revisar las celdas correspondientes a CANTIDAD DE INCULPADOS. Se indica una cantidad diferente segun SEXO y EDAD o no se indico cantidad alguna",IF(AND(ISBLANK(BA52),X52=BUSCADOR!$A$27),"Se indico una persona desaparecida. Completar la casilla APARECIO",IF(AND(ISBLANK(BB52),OR(Y52=BUSCADOR!$B$49,BUSCADOR!$B$50=Y52,Y52=BUSCADOR!$B$46)),"Completar la casilla ELEMENTO SUSTRAIDO",IF(OR(AND(BB52=OTROS[[#Headers],[OTROS]],ISBLANK(BC52)),AND(BB52=ABIGEATO[[#Headers],[ABIGEATO]],ISBLANK(BC52))),"Completar la celda SUBCATEGORIA",IF(AND(OR(BB52=MOTOCICLETA[[#Headers],[MOTOCICLETA]],BB52=AUTOMOTOR[[#Headers],[AUTOMOTOR]]),OR(ISBLANK(BC52),ISBLANK(BD52),ISBLANK(BE52),ISBLANK(BF52))),"Se indico un AUTOMOTOR o MOTOCICLETA en ELEMENTOS SUSTRAIDOS, completar las celdas SUBCATEGORIA, DENOMINACION, AÑO y MODELO", IF(AND(ISBLANK(BB52)&lt;&gt;TRUE,ISBLANK(BJ52)),"Completar MODUS OPERANDI",IF(AND(ISBLANK(BK52),OR(BJ52=BUSCADOR!$H$232,BJ52=BUSCADOR!$I$232)),"Completar ESPECIALIDAD",IF(OR(AND(H52='SAT-Homicidios Dolosos'!$B$5,'SAT-Homicidios Dolosos'!$A$5&lt;&gt;"OK"),AND(H52='SAT-Homicidios Dolosos'!$B$8,'SAT-Homicidios Dolosos'!$A$8&lt;&gt;"OK")),"Se indico un HOMICIDIO, existen CELDAS VACIAS en la hoja SAT-HOMICIDIOS DOLOSOS Completar los datos indicados",IF(OR(AND(H52='SAT-Muertes Viales'!$E$21,'SAT-Muertes Viales'!$A$21&lt;&gt;"OK"),AND(H52='SAT-Muertes Viales'!$E$25,'SAT-Muertes Viales'!$A$25&lt;&gt;"OK"),AND(H52='SAT-Muertes Viales'!$E$29,'SAT-Muertes Viales'!$A$29&lt;&gt;"OK")),"Se indico un HOMICIDIO POR SINIESTRO VIAL, existen CELDAS VACIAS en la hoja SAT-MUERTES VIALES Completar los datos indicados",IF(OR(AND(H52='SAT-Suicidios'!$B$19,'SAT-Suicidios'!$A$19&lt;&gt;"OK"),AND(H52='SAT-Suicidios'!$B$22,'SAT-Suicidios'!$A$22&lt;&gt;"OK"),AND(H52='SAT-Suicidios'!$B$25,'SAT-Suicidios'!$A$25&lt;&gt;"OK")),"Se indico un SUICIDIO, existen CELDAS VACIAS en la hoja SAT-SUICIDIOS Completar los datos indicados",IF(IFERROR(MATCH(X52,BUSCADOR!$A$2:$A$112,0),-1)&lt;0,"No se indico delito",IF(AND(ISBLANK(BL52),OR(X52=BUSCADOR!$A$111,X52=BUSCADOR!$A$110)),"Llenar la casilla DETALLES, COMENTARIOS con una descripcion de la causa",IF(AND(X52="MUERTE DUDOSA",ISBLANK(BL52)=FALSE),"SE INDICO MUERTE DUDOSA, NOS CONTACTAREMOS PARA MAS INFORMACION","FILA CORRECTA"))))))))))))))))))))))))))))))</f>
        <v>No se indico delito</v>
      </c>
      <c r="C52" s="42"/>
      <c r="D52" s="90"/>
      <c r="E52" s="47"/>
      <c r="F52" s="88"/>
      <c r="G52" s="221" t="str">
        <f t="shared" si="9"/>
        <v>Comisaría 15°</v>
      </c>
      <c r="H52" s="46"/>
      <c r="I52" s="52"/>
      <c r="J52" s="27"/>
      <c r="K52" s="27"/>
      <c r="L52" s="27"/>
      <c r="M52" s="27"/>
      <c r="N52" s="46"/>
      <c r="O52" s="55" t="str">
        <f t="shared" si="10"/>
        <v/>
      </c>
      <c r="P52" s="56" t="str">
        <f t="shared" si="11"/>
        <v/>
      </c>
      <c r="Q52" s="52"/>
      <c r="R52" s="46"/>
      <c r="S52" s="62"/>
      <c r="T52" s="57" t="str">
        <f>IFERROR(VLOOKUP(X52,BUSCADOR!$A$2:$E$112,5,FALSE),"")</f>
        <v/>
      </c>
      <c r="U52" s="107" t="str">
        <f t="shared" si="12"/>
        <v/>
      </c>
      <c r="V52" s="28" t="str">
        <f>IFERROR(VLOOKUP(X52,BUSCADOR!$A$2:$E$112,4,FALSE),"")</f>
        <v/>
      </c>
      <c r="W52" s="107" t="str">
        <f t="shared" si="13"/>
        <v/>
      </c>
      <c r="X52" s="27"/>
      <c r="Y52" s="58" t="str">
        <f>IFERROR(VLOOKUP(X52,BUSCADOR!$A$2:$B$112,2,FALSE),"")</f>
        <v/>
      </c>
      <c r="Z52" s="101" t="str">
        <f t="shared" si="4"/>
        <v>__</v>
      </c>
      <c r="AA52" s="103" t="str">
        <f t="shared" si="5"/>
        <v>___</v>
      </c>
      <c r="AB52" s="104" t="str">
        <f t="shared" si="6"/>
        <v>____</v>
      </c>
      <c r="AC52" s="104" t="str">
        <f t="shared" si="6"/>
        <v>_____</v>
      </c>
      <c r="AD52" s="83"/>
      <c r="AE52" s="45"/>
      <c r="AF52" s="66"/>
      <c r="AG52" s="212"/>
      <c r="AH52" s="213"/>
      <c r="AI52" s="214"/>
      <c r="AJ52" s="219"/>
      <c r="AK52" s="213"/>
      <c r="AL52" s="213"/>
      <c r="AM52" s="213"/>
      <c r="AN52" s="213"/>
      <c r="AO52" s="219"/>
      <c r="AP52" s="95"/>
      <c r="AQ52" s="186" t="str">
        <f t="shared" si="1"/>
        <v/>
      </c>
      <c r="AR52" s="66"/>
      <c r="AS52" s="76"/>
      <c r="AT52" s="225"/>
      <c r="AU52" s="213"/>
      <c r="AV52" s="214"/>
      <c r="AW52" s="226"/>
      <c r="AX52" s="213"/>
      <c r="AY52" s="213"/>
      <c r="AZ52" s="227"/>
      <c r="BA52" s="65"/>
      <c r="BB52" s="52"/>
      <c r="BC52" s="27"/>
      <c r="BD52" s="27"/>
      <c r="BE52" s="27"/>
      <c r="BF52" s="79"/>
      <c r="BG52" s="52"/>
      <c r="BH52" s="69"/>
      <c r="BI52" s="188" t="str">
        <f>IF(Y52=BUSCADOR!$B$46,"HURTO_",IF(OR(Y52=BUSCADOR!$B$49,Y52=BUSCADOR!$B$50),"ROBO_",""))</f>
        <v/>
      </c>
      <c r="BJ52" s="50"/>
      <c r="BK52" s="45"/>
      <c r="BL52" s="66"/>
      <c r="BM52" s="1" t="b">
        <f t="shared" si="7"/>
        <v>0</v>
      </c>
    </row>
    <row r="53" spans="1:65" ht="117.6" customHeight="1" x14ac:dyDescent="0.25">
      <c r="A53" s="171">
        <v>51</v>
      </c>
      <c r="B53" s="41" t="str">
        <f>IF(AND(BM53,ISBLANK(C53)),"Completar FECHA DE DENUNCIA",IF(AND(BM53,OR(ISBLANK(D53),ISBLANK(E53),ISBLANK(H53))),"Completar las celdas FECHA, HORA Y PREVENTIVO. En caso de no conocer la fecha u horario colocar INDETERMINADO",IF(AND(BM53,ISBLANK(G53)),"Completar COMISARIA",IF(AND(BM53,OR(ISBLANK(I53),ISBLANK(L53),ISBLANK(M53),O53="")),"Completar las celdas LOCALIDAD, CALLE, ALTURA Y DIRECCION SEGUN  GOOGLE MAPS",IF(AND(ISBLANK(J53),OR(I53=AÑELO[[#Headers],[AÑELO]],CENTENARIO[[#Headers],[CENTENARIO]]='PLANILLA DJ'!I53,CUTRAL_CO[[#Headers],[CUTRAL_CO]],JUNIN_DE_LOS_ANDES[[#Headers],[JUNIN_DE_LOS_ANDES]]='PLANILLA DJ'!I53,'PLANILLA DJ'!I53=NEUQUEN[[#Headers],[NEUQUEN]],PLAZA_HUINCUL[[#Headers],[PLAZA_HUINCUL]]='PLANILLA DJ'!I53,'PLANILLA DJ'!I53=PLOTTIER[[#Headers],[PLOTTIER]])),"COMPLETAR BARRIO",IF(AND(BM53,ISBLANK(Q53)),"Completar Nombre de VICTIMA o DENUNCIANTE",IF(AND(BM53,ISBLANK(R53)),"Completar TIPO DE ACTUACION",IF(AND(R53=BUSCADOR!$B$140,OR(X53&lt;&gt;BUSCADOR!$A$110,ISBLANK(X53))),"Se indico A CONSIDERACION en ACTUACION, indicar en el buscador de delitos A CONSIDERACION tambien",IF(AND(ISBLANK(X53)&lt;&gt;TRUE,IFERROR(MATCH(X53,BUSCADOR!$A$2:$A$112,0),-1)&lt;0),"EN EL BUSCADOR DE DELITOS NO agregar comentarios como SU INVESTIGACION, REPORTE, etc. Limitarse SOLAMENTE a poner A CONSIDERACION u otro valor que coincida en el buscador",IF(AND(ISBLANK(AD53),OR(Y53=BUSCADOR!$B$49,BUSCADOR!$B$50=Y53,Y53=BUSCADOR!$B$46,Y53=BUSCADOR!$B$2,Y53=BUSCADOR!$B$7,BUSCADOR!$B$109=Y53,X53=BUSCADOR!$A$58,X53=BUSCADOR!$A$59)),"Completar la celda TIPO DE LUGAR",IF(AND(ISBLANK(AE53),OR(AD53=BUSCADOR!$E$149,BUSCADOR!$E$150=AD53,AD53=BUSCADOR!$F$148)),"Completar DETALLE ESTABLECIMIENTO",IF(AND(ISBLANK(AF53),BM53),"Completar la celda MOTIVO QUE ORIGINA EL REGISTRO DEL HECHO",IF(AND(SUM(AG53:AI53)=0,OR(Y53=BUSCADOR!$B$2,BUSCADOR!$B$6=Y53,Y53=BUSCADOR!$B$7,BUSCADOR!$B$8=Y53,Y53=BUSCADOR!$B$9,BUSCADOR!$B$12=Y53,Y53=BUSCADOR!$B$13,BUSCADOR!$B$14=Y53,Y53=BUSCADOR!$B$17,BUSCADOR!$B$18=Y53,Y53=BUSCADOR!$B$20,BUSCADOR!$B$29=Y53,BUSCADOR!$B$34=Y53,BUSCADOR!$B$35=Y53,Y53=BUSCADOR!$B$109,Y53=BUSCADOR!$B$51,BUSCADOR!$B$50=Y53,Y53=BUSCADOR!$B$47,Y53=BUSCADOR!$B$58,Y53=BUSCADOR!$B$21,Y53=BUSCADOR!$B$22,Y53=BUSCADOR!$B$23,Y53=BUSCADOR!$B$24)),"El delito indicado debe presentar un numero de victimas. Completar la celda CANTIDAD DE VICTIMAS",IF(AND(SUM(AJ53:AO53)&gt;0,ISBLANK(AP53)),"Completar celda VULNERABILIDAD DE LA VICTIMA",IF(SUM(AG53:AI53)&lt;&gt;SUM(AJ53:AO53),"Se indico una CANTIDAD DE VICTIMAS SEGUN SEXO diferente a SEGUN GENERO",IF(AND(ISBLANK(AR53),OR(Y53=BUSCADOR!$B$49,BUSCADOR!$B$50=Y53,Y53=BUSCADOR!$B$46,Y53=BUSCADOR!$B$109,BUSCADOR!$B$2=Y53,X53=BUSCADOR!$A$58,X53=BUSCADOR!$A$59)),"Completar la celda TIPO DE ARMA, MODALIDAD O MECANISMO",IF(AND(ISBLANK(AS53),OR(Y53=BUSCADOR!$B$51,BUSCADOR!$B$50=Y53,Y53=BUSCADOR!$B$47,BUSCADOR!$A$58=X53,X53=BUSCADOR!$A$59)),"Completar la celda CONOCIDO, en la seccion de los inculpados",IF(AND(AS53=BUSCADOR!$B$127,OR(Y53=BUSCADOR!$B$51,BUSCADOR!$B$50,Y53,BUSCADOR!$B$46),OR(SUM(AT53:AV53)&lt;&gt;SUM(AW53:AZ53),SUM(AT53:AZ53)=0)),"Revisar las celdas correspondientes a CANTIDAD DE INCULPADOS. Se indica una cantidad diferente segun SEXO y EDAD o no se indico cantidad alguna",IF(AND(ISBLANK(BA53),X53=BUSCADOR!$A$27),"Se indico una persona desaparecida. Completar la casilla APARECIO",IF(AND(ISBLANK(BB53),OR(Y53=BUSCADOR!$B$49,BUSCADOR!$B$50=Y53,Y53=BUSCADOR!$B$46)),"Completar la casilla ELEMENTO SUSTRAIDO",IF(OR(AND(BB53=OTROS[[#Headers],[OTROS]],ISBLANK(BC53)),AND(BB53=ABIGEATO[[#Headers],[ABIGEATO]],ISBLANK(BC53))),"Completar la celda SUBCATEGORIA",IF(AND(OR(BB53=MOTOCICLETA[[#Headers],[MOTOCICLETA]],BB53=AUTOMOTOR[[#Headers],[AUTOMOTOR]]),OR(ISBLANK(BC53),ISBLANK(BD53),ISBLANK(BE53),ISBLANK(BF53))),"Se indico un AUTOMOTOR o MOTOCICLETA en ELEMENTOS SUSTRAIDOS, completar las celdas SUBCATEGORIA, DENOMINACION, AÑO y MODELO", IF(AND(ISBLANK(BB53)&lt;&gt;TRUE,ISBLANK(BJ53)),"Completar MODUS OPERANDI",IF(AND(ISBLANK(BK53),OR(BJ53=BUSCADOR!$H$232,BJ53=BUSCADOR!$I$232)),"Completar ESPECIALIDAD",IF(OR(AND(H53='SAT-Homicidios Dolosos'!$B$5,'SAT-Homicidios Dolosos'!$A$5&lt;&gt;"OK"),AND(H53='SAT-Homicidios Dolosos'!$B$8,'SAT-Homicidios Dolosos'!$A$8&lt;&gt;"OK")),"Se indico un HOMICIDIO, existen CELDAS VACIAS en la hoja SAT-HOMICIDIOS DOLOSOS Completar los datos indicados",IF(OR(AND(H53='SAT-Muertes Viales'!$E$21,'SAT-Muertes Viales'!$A$21&lt;&gt;"OK"),AND(H53='SAT-Muertes Viales'!$E$25,'SAT-Muertes Viales'!$A$25&lt;&gt;"OK"),AND(H53='SAT-Muertes Viales'!$E$29,'SAT-Muertes Viales'!$A$29&lt;&gt;"OK")),"Se indico un HOMICIDIO POR SINIESTRO VIAL, existen CELDAS VACIAS en la hoja SAT-MUERTES VIALES Completar los datos indicados",IF(OR(AND(H53='SAT-Suicidios'!$B$19,'SAT-Suicidios'!$A$19&lt;&gt;"OK"),AND(H53='SAT-Suicidios'!$B$22,'SAT-Suicidios'!$A$22&lt;&gt;"OK"),AND(H53='SAT-Suicidios'!$B$25,'SAT-Suicidios'!$A$25&lt;&gt;"OK")),"Se indico un SUICIDIO, existen CELDAS VACIAS en la hoja SAT-SUICIDIOS Completar los datos indicados",IF(IFERROR(MATCH(X53,BUSCADOR!$A$2:$A$112,0),-1)&lt;0,"No se indico delito",IF(AND(ISBLANK(BL53),OR(X53=BUSCADOR!$A$111,X53=BUSCADOR!$A$110)),"Llenar la casilla DETALLES, COMENTARIOS con una descripcion de la causa",IF(AND(X53="MUERTE DUDOSA",ISBLANK(BL53)=FALSE),"SE INDICO MUERTE DUDOSA, NOS CONTACTAREMOS PARA MAS INFORMACION","FILA CORRECTA"))))))))))))))))))))))))))))))</f>
        <v>No se indico delito</v>
      </c>
      <c r="C53" s="42"/>
      <c r="D53" s="90"/>
      <c r="E53" s="47"/>
      <c r="F53" s="88"/>
      <c r="G53" s="221" t="str">
        <f t="shared" si="9"/>
        <v>Comisaría 15°</v>
      </c>
      <c r="H53" s="46"/>
      <c r="I53" s="52"/>
      <c r="J53" s="27"/>
      <c r="K53" s="27"/>
      <c r="L53" s="27"/>
      <c r="M53" s="27"/>
      <c r="N53" s="46"/>
      <c r="O53" s="55" t="str">
        <f t="shared" si="10"/>
        <v/>
      </c>
      <c r="P53" s="56" t="str">
        <f t="shared" si="11"/>
        <v/>
      </c>
      <c r="Q53" s="52"/>
      <c r="R53" s="46"/>
      <c r="S53" s="62"/>
      <c r="T53" s="57" t="str">
        <f>IFERROR(VLOOKUP(X53,BUSCADOR!$A$2:$E$112,5,FALSE),"")</f>
        <v/>
      </c>
      <c r="U53" s="107" t="str">
        <f t="shared" si="12"/>
        <v/>
      </c>
      <c r="V53" s="28" t="str">
        <f>IFERROR(VLOOKUP(X53,BUSCADOR!$A$2:$E$112,4,FALSE),"")</f>
        <v/>
      </c>
      <c r="W53" s="107" t="str">
        <f t="shared" si="13"/>
        <v/>
      </c>
      <c r="X53" s="27"/>
      <c r="Y53" s="58" t="str">
        <f>IFERROR(VLOOKUP(X53,BUSCADOR!$A$2:$B$112,2,FALSE),"")</f>
        <v/>
      </c>
      <c r="Z53" s="101" t="str">
        <f t="shared" si="4"/>
        <v>__</v>
      </c>
      <c r="AA53" s="103" t="str">
        <f t="shared" si="5"/>
        <v>___</v>
      </c>
      <c r="AB53" s="104" t="str">
        <f t="shared" si="6"/>
        <v>____</v>
      </c>
      <c r="AC53" s="104" t="str">
        <f t="shared" si="6"/>
        <v>_____</v>
      </c>
      <c r="AD53" s="83"/>
      <c r="AE53" s="45"/>
      <c r="AF53" s="66"/>
      <c r="AG53" s="212"/>
      <c r="AH53" s="213"/>
      <c r="AI53" s="214"/>
      <c r="AJ53" s="219"/>
      <c r="AK53" s="213"/>
      <c r="AL53" s="213"/>
      <c r="AM53" s="213"/>
      <c r="AN53" s="213"/>
      <c r="AO53" s="219"/>
      <c r="AP53" s="95"/>
      <c r="AQ53" s="186" t="str">
        <f t="shared" si="1"/>
        <v/>
      </c>
      <c r="AR53" s="66"/>
      <c r="AS53" s="76"/>
      <c r="AT53" s="225"/>
      <c r="AU53" s="213"/>
      <c r="AV53" s="214"/>
      <c r="AW53" s="226"/>
      <c r="AX53" s="213"/>
      <c r="AY53" s="213"/>
      <c r="AZ53" s="227"/>
      <c r="BA53" s="65"/>
      <c r="BB53" s="52"/>
      <c r="BC53" s="27"/>
      <c r="BD53" s="27"/>
      <c r="BE53" s="27"/>
      <c r="BF53" s="79"/>
      <c r="BG53" s="52"/>
      <c r="BH53" s="69"/>
      <c r="BI53" s="188" t="str">
        <f>IF(Y53=BUSCADOR!$B$46,"HURTO_",IF(OR(Y53=BUSCADOR!$B$49,Y53=BUSCADOR!$B$50),"ROBO_",""))</f>
        <v/>
      </c>
      <c r="BJ53" s="50"/>
      <c r="BK53" s="45"/>
      <c r="BL53" s="66"/>
      <c r="BM53" s="1" t="b">
        <f t="shared" si="7"/>
        <v>0</v>
      </c>
    </row>
    <row r="54" spans="1:65" ht="117.6" customHeight="1" x14ac:dyDescent="0.25">
      <c r="A54" s="171">
        <v>52</v>
      </c>
      <c r="B54" s="41" t="str">
        <f>IF(AND(BM54,ISBLANK(C54)),"Completar FECHA DE DENUNCIA",IF(AND(BM54,OR(ISBLANK(D54),ISBLANK(E54),ISBLANK(H54))),"Completar las celdas FECHA, HORA Y PREVENTIVO. En caso de no conocer la fecha u horario colocar INDETERMINADO",IF(AND(BM54,ISBLANK(G54)),"Completar COMISARIA",IF(AND(BM54,OR(ISBLANK(I54),ISBLANK(L54),ISBLANK(M54),O54="")),"Completar las celdas LOCALIDAD, CALLE, ALTURA Y DIRECCION SEGUN  GOOGLE MAPS",IF(AND(ISBLANK(J54),OR(I54=AÑELO[[#Headers],[AÑELO]],CENTENARIO[[#Headers],[CENTENARIO]]='PLANILLA DJ'!I54,CUTRAL_CO[[#Headers],[CUTRAL_CO]],JUNIN_DE_LOS_ANDES[[#Headers],[JUNIN_DE_LOS_ANDES]]='PLANILLA DJ'!I54,'PLANILLA DJ'!I54=NEUQUEN[[#Headers],[NEUQUEN]],PLAZA_HUINCUL[[#Headers],[PLAZA_HUINCUL]]='PLANILLA DJ'!I54,'PLANILLA DJ'!I54=PLOTTIER[[#Headers],[PLOTTIER]])),"COMPLETAR BARRIO",IF(AND(BM54,ISBLANK(Q54)),"Completar Nombre de VICTIMA o DENUNCIANTE",IF(AND(BM54,ISBLANK(R54)),"Completar TIPO DE ACTUACION",IF(AND(R54=BUSCADOR!$B$140,OR(X54&lt;&gt;BUSCADOR!$A$110,ISBLANK(X54))),"Se indico A CONSIDERACION en ACTUACION, indicar en el buscador de delitos A CONSIDERACION tambien",IF(AND(ISBLANK(X54)&lt;&gt;TRUE,IFERROR(MATCH(X54,BUSCADOR!$A$2:$A$112,0),-1)&lt;0),"EN EL BUSCADOR DE DELITOS NO agregar comentarios como SU INVESTIGACION, REPORTE, etc. Limitarse SOLAMENTE a poner A CONSIDERACION u otro valor que coincida en el buscador",IF(AND(ISBLANK(AD54),OR(Y54=BUSCADOR!$B$49,BUSCADOR!$B$50=Y54,Y54=BUSCADOR!$B$46,Y54=BUSCADOR!$B$2,Y54=BUSCADOR!$B$7,BUSCADOR!$B$109=Y54,X54=BUSCADOR!$A$58,X54=BUSCADOR!$A$59)),"Completar la celda TIPO DE LUGAR",IF(AND(ISBLANK(AE54),OR(AD54=BUSCADOR!$E$149,BUSCADOR!$E$150=AD54,AD54=BUSCADOR!$F$148)),"Completar DETALLE ESTABLECIMIENTO",IF(AND(ISBLANK(AF54),BM54),"Completar la celda MOTIVO QUE ORIGINA EL REGISTRO DEL HECHO",IF(AND(SUM(AG54:AI54)=0,OR(Y54=BUSCADOR!$B$2,BUSCADOR!$B$6=Y54,Y54=BUSCADOR!$B$7,BUSCADOR!$B$8=Y54,Y54=BUSCADOR!$B$9,BUSCADOR!$B$12=Y54,Y54=BUSCADOR!$B$13,BUSCADOR!$B$14=Y54,Y54=BUSCADOR!$B$17,BUSCADOR!$B$18=Y54,Y54=BUSCADOR!$B$20,BUSCADOR!$B$29=Y54,BUSCADOR!$B$34=Y54,BUSCADOR!$B$35=Y54,Y54=BUSCADOR!$B$109,Y54=BUSCADOR!$B$51,BUSCADOR!$B$50=Y54,Y54=BUSCADOR!$B$47,Y54=BUSCADOR!$B$58,Y54=BUSCADOR!$B$21,Y54=BUSCADOR!$B$22,Y54=BUSCADOR!$B$23,Y54=BUSCADOR!$B$24)),"El delito indicado debe presentar un numero de victimas. Completar la celda CANTIDAD DE VICTIMAS",IF(AND(SUM(AJ54:AO54)&gt;0,ISBLANK(AP54)),"Completar celda VULNERABILIDAD DE LA VICTIMA",IF(SUM(AG54:AI54)&lt;&gt;SUM(AJ54:AO54),"Se indico una CANTIDAD DE VICTIMAS SEGUN SEXO diferente a SEGUN GENERO",IF(AND(ISBLANK(AR54),OR(Y54=BUSCADOR!$B$49,BUSCADOR!$B$50=Y54,Y54=BUSCADOR!$B$46,Y54=BUSCADOR!$B$109,BUSCADOR!$B$2=Y54,X54=BUSCADOR!$A$58,X54=BUSCADOR!$A$59)),"Completar la celda TIPO DE ARMA, MODALIDAD O MECANISMO",IF(AND(ISBLANK(AS54),OR(Y54=BUSCADOR!$B$51,BUSCADOR!$B$50=Y54,Y54=BUSCADOR!$B$47,BUSCADOR!$A$58=X54,X54=BUSCADOR!$A$59)),"Completar la celda CONOCIDO, en la seccion de los inculpados",IF(AND(AS54=BUSCADOR!$B$127,OR(Y54=BUSCADOR!$B$51,BUSCADOR!$B$50,Y54,BUSCADOR!$B$46),OR(SUM(AT54:AV54)&lt;&gt;SUM(AW54:AZ54),SUM(AT54:AZ54)=0)),"Revisar las celdas correspondientes a CANTIDAD DE INCULPADOS. Se indica una cantidad diferente segun SEXO y EDAD o no se indico cantidad alguna",IF(AND(ISBLANK(BA54),X54=BUSCADOR!$A$27),"Se indico una persona desaparecida. Completar la casilla APARECIO",IF(AND(ISBLANK(BB54),OR(Y54=BUSCADOR!$B$49,BUSCADOR!$B$50=Y54,Y54=BUSCADOR!$B$46)),"Completar la casilla ELEMENTO SUSTRAIDO",IF(OR(AND(BB54=OTROS[[#Headers],[OTROS]],ISBLANK(BC54)),AND(BB54=ABIGEATO[[#Headers],[ABIGEATO]],ISBLANK(BC54))),"Completar la celda SUBCATEGORIA",IF(AND(OR(BB54=MOTOCICLETA[[#Headers],[MOTOCICLETA]],BB54=AUTOMOTOR[[#Headers],[AUTOMOTOR]]),OR(ISBLANK(BC54),ISBLANK(BD54),ISBLANK(BE54),ISBLANK(BF54))),"Se indico un AUTOMOTOR o MOTOCICLETA en ELEMENTOS SUSTRAIDOS, completar las celdas SUBCATEGORIA, DENOMINACION, AÑO y MODELO", IF(AND(ISBLANK(BB54)&lt;&gt;TRUE,ISBLANK(BJ54)),"Completar MODUS OPERANDI",IF(AND(ISBLANK(BK54),OR(BJ54=BUSCADOR!$H$232,BJ54=BUSCADOR!$I$232)),"Completar ESPECIALIDAD",IF(OR(AND(H54='SAT-Homicidios Dolosos'!$B$5,'SAT-Homicidios Dolosos'!$A$5&lt;&gt;"OK"),AND(H54='SAT-Homicidios Dolosos'!$B$8,'SAT-Homicidios Dolosos'!$A$8&lt;&gt;"OK")),"Se indico un HOMICIDIO, existen CELDAS VACIAS en la hoja SAT-HOMICIDIOS DOLOSOS Completar los datos indicados",IF(OR(AND(H54='SAT-Muertes Viales'!$E$21,'SAT-Muertes Viales'!$A$21&lt;&gt;"OK"),AND(H54='SAT-Muertes Viales'!$E$25,'SAT-Muertes Viales'!$A$25&lt;&gt;"OK"),AND(H54='SAT-Muertes Viales'!$E$29,'SAT-Muertes Viales'!$A$29&lt;&gt;"OK")),"Se indico un HOMICIDIO POR SINIESTRO VIAL, existen CELDAS VACIAS en la hoja SAT-MUERTES VIALES Completar los datos indicados",IF(OR(AND(H54='SAT-Suicidios'!$B$19,'SAT-Suicidios'!$A$19&lt;&gt;"OK"),AND(H54='SAT-Suicidios'!$B$22,'SAT-Suicidios'!$A$22&lt;&gt;"OK"),AND(H54='SAT-Suicidios'!$B$25,'SAT-Suicidios'!$A$25&lt;&gt;"OK")),"Se indico un SUICIDIO, existen CELDAS VACIAS en la hoja SAT-SUICIDIOS Completar los datos indicados",IF(IFERROR(MATCH(X54,BUSCADOR!$A$2:$A$112,0),-1)&lt;0,"No se indico delito",IF(AND(ISBLANK(BL54),OR(X54=BUSCADOR!$A$111,X54=BUSCADOR!$A$110)),"Llenar la casilla DETALLES, COMENTARIOS con una descripcion de la causa",IF(AND(X54="MUERTE DUDOSA",ISBLANK(BL54)=FALSE),"SE INDICO MUERTE DUDOSA, NOS CONTACTAREMOS PARA MAS INFORMACION","FILA CORRECTA"))))))))))))))))))))))))))))))</f>
        <v>No se indico delito</v>
      </c>
      <c r="C54" s="42"/>
      <c r="D54" s="90"/>
      <c r="E54" s="47"/>
      <c r="F54" s="88"/>
      <c r="G54" s="221" t="str">
        <f t="shared" si="9"/>
        <v>Comisaría 15°</v>
      </c>
      <c r="H54" s="46"/>
      <c r="I54" s="52"/>
      <c r="J54" s="27"/>
      <c r="K54" s="27"/>
      <c r="L54" s="27"/>
      <c r="M54" s="27"/>
      <c r="N54" s="46"/>
      <c r="O54" s="55" t="str">
        <f t="shared" si="10"/>
        <v/>
      </c>
      <c r="P54" s="56" t="str">
        <f t="shared" si="11"/>
        <v/>
      </c>
      <c r="Q54" s="52"/>
      <c r="R54" s="46"/>
      <c r="S54" s="62"/>
      <c r="T54" s="57" t="str">
        <f>IFERROR(VLOOKUP(X54,BUSCADOR!$A$2:$E$112,5,FALSE),"")</f>
        <v/>
      </c>
      <c r="U54" s="107" t="str">
        <f t="shared" si="12"/>
        <v/>
      </c>
      <c r="V54" s="28" t="str">
        <f>IFERROR(VLOOKUP(X54,BUSCADOR!$A$2:$E$112,4,FALSE),"")</f>
        <v/>
      </c>
      <c r="W54" s="107" t="str">
        <f t="shared" si="13"/>
        <v/>
      </c>
      <c r="X54" s="27"/>
      <c r="Y54" s="58" t="str">
        <f>IFERROR(VLOOKUP(X54,BUSCADOR!$A$2:$B$112,2,FALSE),"")</f>
        <v/>
      </c>
      <c r="Z54" s="101" t="str">
        <f t="shared" si="4"/>
        <v>__</v>
      </c>
      <c r="AA54" s="103" t="str">
        <f t="shared" si="5"/>
        <v>___</v>
      </c>
      <c r="AB54" s="104" t="str">
        <f t="shared" si="6"/>
        <v>____</v>
      </c>
      <c r="AC54" s="104" t="str">
        <f t="shared" si="6"/>
        <v>_____</v>
      </c>
      <c r="AD54" s="83"/>
      <c r="AE54" s="45"/>
      <c r="AF54" s="66"/>
      <c r="AG54" s="212"/>
      <c r="AH54" s="213"/>
      <c r="AI54" s="214"/>
      <c r="AJ54" s="219"/>
      <c r="AK54" s="213"/>
      <c r="AL54" s="213"/>
      <c r="AM54" s="213"/>
      <c r="AN54" s="213"/>
      <c r="AO54" s="219"/>
      <c r="AP54" s="95"/>
      <c r="AQ54" s="186" t="str">
        <f t="shared" si="1"/>
        <v/>
      </c>
      <c r="AR54" s="66"/>
      <c r="AS54" s="76"/>
      <c r="AT54" s="225"/>
      <c r="AU54" s="213"/>
      <c r="AV54" s="214"/>
      <c r="AW54" s="226"/>
      <c r="AX54" s="213"/>
      <c r="AY54" s="213"/>
      <c r="AZ54" s="227"/>
      <c r="BA54" s="65"/>
      <c r="BB54" s="52"/>
      <c r="BC54" s="27"/>
      <c r="BD54" s="27"/>
      <c r="BE54" s="27"/>
      <c r="BF54" s="79"/>
      <c r="BG54" s="52"/>
      <c r="BH54" s="69"/>
      <c r="BI54" s="188" t="str">
        <f>IF(Y54=BUSCADOR!$B$46,"HURTO_",IF(OR(Y54=BUSCADOR!$B$49,Y54=BUSCADOR!$B$50),"ROBO_",""))</f>
        <v/>
      </c>
      <c r="BJ54" s="50"/>
      <c r="BK54" s="45"/>
      <c r="BL54" s="66"/>
      <c r="BM54" s="1" t="b">
        <f t="shared" si="7"/>
        <v>0</v>
      </c>
    </row>
    <row r="55" spans="1:65" ht="117.6" customHeight="1" x14ac:dyDescent="0.25">
      <c r="A55" s="171">
        <v>53</v>
      </c>
      <c r="B55" s="41" t="str">
        <f>IF(AND(BM55,ISBLANK(C55)),"Completar FECHA DE DENUNCIA",IF(AND(BM55,OR(ISBLANK(D55),ISBLANK(E55),ISBLANK(H55))),"Completar las celdas FECHA, HORA Y PREVENTIVO. En caso de no conocer la fecha u horario colocar INDETERMINADO",IF(AND(BM55,ISBLANK(G55)),"Completar COMISARIA",IF(AND(BM55,OR(ISBLANK(I55),ISBLANK(L55),ISBLANK(M55),O55="")),"Completar las celdas LOCALIDAD, CALLE, ALTURA Y DIRECCION SEGUN  GOOGLE MAPS",IF(AND(ISBLANK(J55),OR(I55=AÑELO[[#Headers],[AÑELO]],CENTENARIO[[#Headers],[CENTENARIO]]='PLANILLA DJ'!I55,CUTRAL_CO[[#Headers],[CUTRAL_CO]],JUNIN_DE_LOS_ANDES[[#Headers],[JUNIN_DE_LOS_ANDES]]='PLANILLA DJ'!I55,'PLANILLA DJ'!I55=NEUQUEN[[#Headers],[NEUQUEN]],PLAZA_HUINCUL[[#Headers],[PLAZA_HUINCUL]]='PLANILLA DJ'!I55,'PLANILLA DJ'!I55=PLOTTIER[[#Headers],[PLOTTIER]])),"COMPLETAR BARRIO",IF(AND(BM55,ISBLANK(Q55)),"Completar Nombre de VICTIMA o DENUNCIANTE",IF(AND(BM55,ISBLANK(R55)),"Completar TIPO DE ACTUACION",IF(AND(R55=BUSCADOR!$B$140,OR(X55&lt;&gt;BUSCADOR!$A$110,ISBLANK(X55))),"Se indico A CONSIDERACION en ACTUACION, indicar en el buscador de delitos A CONSIDERACION tambien",IF(AND(ISBLANK(X55)&lt;&gt;TRUE,IFERROR(MATCH(X55,BUSCADOR!$A$2:$A$112,0),-1)&lt;0),"EN EL BUSCADOR DE DELITOS NO agregar comentarios como SU INVESTIGACION, REPORTE, etc. Limitarse SOLAMENTE a poner A CONSIDERACION u otro valor que coincida en el buscador",IF(AND(ISBLANK(AD55),OR(Y55=BUSCADOR!$B$49,BUSCADOR!$B$50=Y55,Y55=BUSCADOR!$B$46,Y55=BUSCADOR!$B$2,Y55=BUSCADOR!$B$7,BUSCADOR!$B$109=Y55,X55=BUSCADOR!$A$58,X55=BUSCADOR!$A$59)),"Completar la celda TIPO DE LUGAR",IF(AND(ISBLANK(AE55),OR(AD55=BUSCADOR!$E$149,BUSCADOR!$E$150=AD55,AD55=BUSCADOR!$F$148)),"Completar DETALLE ESTABLECIMIENTO",IF(AND(ISBLANK(AF55),BM55),"Completar la celda MOTIVO QUE ORIGINA EL REGISTRO DEL HECHO",IF(AND(SUM(AG55:AI55)=0,OR(Y55=BUSCADOR!$B$2,BUSCADOR!$B$6=Y55,Y55=BUSCADOR!$B$7,BUSCADOR!$B$8=Y55,Y55=BUSCADOR!$B$9,BUSCADOR!$B$12=Y55,Y55=BUSCADOR!$B$13,BUSCADOR!$B$14=Y55,Y55=BUSCADOR!$B$17,BUSCADOR!$B$18=Y55,Y55=BUSCADOR!$B$20,BUSCADOR!$B$29=Y55,BUSCADOR!$B$34=Y55,BUSCADOR!$B$35=Y55,Y55=BUSCADOR!$B$109,Y55=BUSCADOR!$B$51,BUSCADOR!$B$50=Y55,Y55=BUSCADOR!$B$47,Y55=BUSCADOR!$B$58,Y55=BUSCADOR!$B$21,Y55=BUSCADOR!$B$22,Y55=BUSCADOR!$B$23,Y55=BUSCADOR!$B$24)),"El delito indicado debe presentar un numero de victimas. Completar la celda CANTIDAD DE VICTIMAS",IF(AND(SUM(AJ55:AO55)&gt;0,ISBLANK(AP55)),"Completar celda VULNERABILIDAD DE LA VICTIMA",IF(SUM(AG55:AI55)&lt;&gt;SUM(AJ55:AO55),"Se indico una CANTIDAD DE VICTIMAS SEGUN SEXO diferente a SEGUN GENERO",IF(AND(ISBLANK(AR55),OR(Y55=BUSCADOR!$B$49,BUSCADOR!$B$50=Y55,Y55=BUSCADOR!$B$46,Y55=BUSCADOR!$B$109,BUSCADOR!$B$2=Y55,X55=BUSCADOR!$A$58,X55=BUSCADOR!$A$59)),"Completar la celda TIPO DE ARMA, MODALIDAD O MECANISMO",IF(AND(ISBLANK(AS55),OR(Y55=BUSCADOR!$B$51,BUSCADOR!$B$50=Y55,Y55=BUSCADOR!$B$47,BUSCADOR!$A$58=X55,X55=BUSCADOR!$A$59)),"Completar la celda CONOCIDO, en la seccion de los inculpados",IF(AND(AS55=BUSCADOR!$B$127,OR(Y55=BUSCADOR!$B$51,BUSCADOR!$B$50,Y55,BUSCADOR!$B$46),OR(SUM(AT55:AV55)&lt;&gt;SUM(AW55:AZ55),SUM(AT55:AZ55)=0)),"Revisar las celdas correspondientes a CANTIDAD DE INCULPADOS. Se indica una cantidad diferente segun SEXO y EDAD o no se indico cantidad alguna",IF(AND(ISBLANK(BA55),X55=BUSCADOR!$A$27),"Se indico una persona desaparecida. Completar la casilla APARECIO",IF(AND(ISBLANK(BB55),OR(Y55=BUSCADOR!$B$49,BUSCADOR!$B$50=Y55,Y55=BUSCADOR!$B$46)),"Completar la casilla ELEMENTO SUSTRAIDO",IF(OR(AND(BB55=OTROS[[#Headers],[OTROS]],ISBLANK(BC55)),AND(BB55=ABIGEATO[[#Headers],[ABIGEATO]],ISBLANK(BC55))),"Completar la celda SUBCATEGORIA",IF(AND(OR(BB55=MOTOCICLETA[[#Headers],[MOTOCICLETA]],BB55=AUTOMOTOR[[#Headers],[AUTOMOTOR]]),OR(ISBLANK(BC55),ISBLANK(BD55),ISBLANK(BE55),ISBLANK(BF55))),"Se indico un AUTOMOTOR o MOTOCICLETA en ELEMENTOS SUSTRAIDOS, completar las celdas SUBCATEGORIA, DENOMINACION, AÑO y MODELO", IF(AND(ISBLANK(BB55)&lt;&gt;TRUE,ISBLANK(BJ55)),"Completar MODUS OPERANDI",IF(AND(ISBLANK(BK55),OR(BJ55=BUSCADOR!$H$232,BJ55=BUSCADOR!$I$232)),"Completar ESPECIALIDAD",IF(OR(AND(H55='SAT-Homicidios Dolosos'!$B$5,'SAT-Homicidios Dolosos'!$A$5&lt;&gt;"OK"),AND(H55='SAT-Homicidios Dolosos'!$B$8,'SAT-Homicidios Dolosos'!$A$8&lt;&gt;"OK")),"Se indico un HOMICIDIO, existen CELDAS VACIAS en la hoja SAT-HOMICIDIOS DOLOSOS Completar los datos indicados",IF(OR(AND(H55='SAT-Muertes Viales'!$E$21,'SAT-Muertes Viales'!$A$21&lt;&gt;"OK"),AND(H55='SAT-Muertes Viales'!$E$25,'SAT-Muertes Viales'!$A$25&lt;&gt;"OK"),AND(H55='SAT-Muertes Viales'!$E$29,'SAT-Muertes Viales'!$A$29&lt;&gt;"OK")),"Se indico un HOMICIDIO POR SINIESTRO VIAL, existen CELDAS VACIAS en la hoja SAT-MUERTES VIALES Completar los datos indicados",IF(OR(AND(H55='SAT-Suicidios'!$B$19,'SAT-Suicidios'!$A$19&lt;&gt;"OK"),AND(H55='SAT-Suicidios'!$B$22,'SAT-Suicidios'!$A$22&lt;&gt;"OK"),AND(H55='SAT-Suicidios'!$B$25,'SAT-Suicidios'!$A$25&lt;&gt;"OK")),"Se indico un SUICIDIO, existen CELDAS VACIAS en la hoja SAT-SUICIDIOS Completar los datos indicados",IF(IFERROR(MATCH(X55,BUSCADOR!$A$2:$A$112,0),-1)&lt;0,"No se indico delito",IF(AND(ISBLANK(BL55),OR(X55=BUSCADOR!$A$111,X55=BUSCADOR!$A$110)),"Llenar la casilla DETALLES, COMENTARIOS con una descripcion de la causa",IF(AND(X55="MUERTE DUDOSA",ISBLANK(BL55)=FALSE),"SE INDICO MUERTE DUDOSA, NOS CONTACTAREMOS PARA MAS INFORMACION","FILA CORRECTA"))))))))))))))))))))))))))))))</f>
        <v>No se indico delito</v>
      </c>
      <c r="C55" s="42"/>
      <c r="D55" s="90"/>
      <c r="E55" s="47"/>
      <c r="F55" s="88"/>
      <c r="G55" s="221" t="str">
        <f t="shared" si="9"/>
        <v>Comisaría 15°</v>
      </c>
      <c r="H55" s="46"/>
      <c r="I55" s="52"/>
      <c r="J55" s="27"/>
      <c r="K55" s="27"/>
      <c r="L55" s="27"/>
      <c r="M55" s="27"/>
      <c r="N55" s="46"/>
      <c r="O55" s="55" t="str">
        <f t="shared" si="10"/>
        <v/>
      </c>
      <c r="P55" s="56" t="str">
        <f t="shared" si="11"/>
        <v/>
      </c>
      <c r="Q55" s="52"/>
      <c r="R55" s="46"/>
      <c r="S55" s="62"/>
      <c r="T55" s="57" t="str">
        <f>IFERROR(VLOOKUP(X55,BUSCADOR!$A$2:$E$112,5,FALSE),"")</f>
        <v/>
      </c>
      <c r="U55" s="107" t="str">
        <f t="shared" si="12"/>
        <v/>
      </c>
      <c r="V55" s="28" t="str">
        <f>IFERROR(VLOOKUP(X55,BUSCADOR!$A$2:$E$112,4,FALSE),"")</f>
        <v/>
      </c>
      <c r="W55" s="107" t="str">
        <f t="shared" si="13"/>
        <v/>
      </c>
      <c r="X55" s="27"/>
      <c r="Y55" s="58" t="str">
        <f>IFERROR(VLOOKUP(X55,BUSCADOR!$A$2:$B$112,2,FALSE),"")</f>
        <v/>
      </c>
      <c r="Z55" s="101" t="str">
        <f t="shared" si="4"/>
        <v>__</v>
      </c>
      <c r="AA55" s="103" t="str">
        <f t="shared" si="5"/>
        <v>___</v>
      </c>
      <c r="AB55" s="104" t="str">
        <f t="shared" si="6"/>
        <v>____</v>
      </c>
      <c r="AC55" s="104" t="str">
        <f t="shared" si="6"/>
        <v>_____</v>
      </c>
      <c r="AD55" s="83"/>
      <c r="AE55" s="45"/>
      <c r="AF55" s="66"/>
      <c r="AG55" s="212"/>
      <c r="AH55" s="213"/>
      <c r="AI55" s="214"/>
      <c r="AJ55" s="219"/>
      <c r="AK55" s="213"/>
      <c r="AL55" s="213"/>
      <c r="AM55" s="213"/>
      <c r="AN55" s="213"/>
      <c r="AO55" s="219"/>
      <c r="AP55" s="95"/>
      <c r="AQ55" s="186" t="str">
        <f t="shared" si="1"/>
        <v/>
      </c>
      <c r="AR55" s="66"/>
      <c r="AS55" s="76"/>
      <c r="AT55" s="225"/>
      <c r="AU55" s="213"/>
      <c r="AV55" s="214"/>
      <c r="AW55" s="226"/>
      <c r="AX55" s="213"/>
      <c r="AY55" s="213"/>
      <c r="AZ55" s="227"/>
      <c r="BA55" s="65"/>
      <c r="BB55" s="52"/>
      <c r="BC55" s="27"/>
      <c r="BD55" s="27"/>
      <c r="BE55" s="27"/>
      <c r="BF55" s="79"/>
      <c r="BG55" s="52"/>
      <c r="BH55" s="69"/>
      <c r="BI55" s="188" t="str">
        <f>IF(Y55=BUSCADOR!$B$46,"HURTO_",IF(OR(Y55=BUSCADOR!$B$49,Y55=BUSCADOR!$B$50),"ROBO_",""))</f>
        <v/>
      </c>
      <c r="BJ55" s="50"/>
      <c r="BK55" s="45"/>
      <c r="BL55" s="66"/>
      <c r="BM55" s="1" t="b">
        <f t="shared" si="7"/>
        <v>0</v>
      </c>
    </row>
    <row r="56" spans="1:65" ht="117.6" customHeight="1" x14ac:dyDescent="0.25">
      <c r="A56" s="171">
        <v>54</v>
      </c>
      <c r="B56" s="41" t="str">
        <f>IF(AND(BM56,ISBLANK(C56)),"Completar FECHA DE DENUNCIA",IF(AND(BM56,OR(ISBLANK(D56),ISBLANK(E56),ISBLANK(H56))),"Completar las celdas FECHA, HORA Y PREVENTIVO. En caso de no conocer la fecha u horario colocar INDETERMINADO",IF(AND(BM56,ISBLANK(G56)),"Completar COMISARIA",IF(AND(BM56,OR(ISBLANK(I56),ISBLANK(L56),ISBLANK(M56),O56="")),"Completar las celdas LOCALIDAD, CALLE, ALTURA Y DIRECCION SEGUN  GOOGLE MAPS",IF(AND(ISBLANK(J56),OR(I56=AÑELO[[#Headers],[AÑELO]],CENTENARIO[[#Headers],[CENTENARIO]]='PLANILLA DJ'!I56,CUTRAL_CO[[#Headers],[CUTRAL_CO]],JUNIN_DE_LOS_ANDES[[#Headers],[JUNIN_DE_LOS_ANDES]]='PLANILLA DJ'!I56,'PLANILLA DJ'!I56=NEUQUEN[[#Headers],[NEUQUEN]],PLAZA_HUINCUL[[#Headers],[PLAZA_HUINCUL]]='PLANILLA DJ'!I56,'PLANILLA DJ'!I56=PLOTTIER[[#Headers],[PLOTTIER]])),"COMPLETAR BARRIO",IF(AND(BM56,ISBLANK(Q56)),"Completar Nombre de VICTIMA o DENUNCIANTE",IF(AND(BM56,ISBLANK(R56)),"Completar TIPO DE ACTUACION",IF(AND(R56=BUSCADOR!$B$140,OR(X56&lt;&gt;BUSCADOR!$A$110,ISBLANK(X56))),"Se indico A CONSIDERACION en ACTUACION, indicar en el buscador de delitos A CONSIDERACION tambien",IF(AND(ISBLANK(X56)&lt;&gt;TRUE,IFERROR(MATCH(X56,BUSCADOR!$A$2:$A$112,0),-1)&lt;0),"EN EL BUSCADOR DE DELITOS NO agregar comentarios como SU INVESTIGACION, REPORTE, etc. Limitarse SOLAMENTE a poner A CONSIDERACION u otro valor que coincida en el buscador",IF(AND(ISBLANK(AD56),OR(Y56=BUSCADOR!$B$49,BUSCADOR!$B$50=Y56,Y56=BUSCADOR!$B$46,Y56=BUSCADOR!$B$2,Y56=BUSCADOR!$B$7,BUSCADOR!$B$109=Y56,X56=BUSCADOR!$A$58,X56=BUSCADOR!$A$59)),"Completar la celda TIPO DE LUGAR",IF(AND(ISBLANK(AE56),OR(AD56=BUSCADOR!$E$149,BUSCADOR!$E$150=AD56,AD56=BUSCADOR!$F$148)),"Completar DETALLE ESTABLECIMIENTO",IF(AND(ISBLANK(AF56),BM56),"Completar la celda MOTIVO QUE ORIGINA EL REGISTRO DEL HECHO",IF(AND(SUM(AG56:AI56)=0,OR(Y56=BUSCADOR!$B$2,BUSCADOR!$B$6=Y56,Y56=BUSCADOR!$B$7,BUSCADOR!$B$8=Y56,Y56=BUSCADOR!$B$9,BUSCADOR!$B$12=Y56,Y56=BUSCADOR!$B$13,BUSCADOR!$B$14=Y56,Y56=BUSCADOR!$B$17,BUSCADOR!$B$18=Y56,Y56=BUSCADOR!$B$20,BUSCADOR!$B$29=Y56,BUSCADOR!$B$34=Y56,BUSCADOR!$B$35=Y56,Y56=BUSCADOR!$B$109,Y56=BUSCADOR!$B$51,BUSCADOR!$B$50=Y56,Y56=BUSCADOR!$B$47,Y56=BUSCADOR!$B$58,Y56=BUSCADOR!$B$21,Y56=BUSCADOR!$B$22,Y56=BUSCADOR!$B$23,Y56=BUSCADOR!$B$24)),"El delito indicado debe presentar un numero de victimas. Completar la celda CANTIDAD DE VICTIMAS",IF(AND(SUM(AJ56:AO56)&gt;0,ISBLANK(AP56)),"Completar celda VULNERABILIDAD DE LA VICTIMA",IF(SUM(AG56:AI56)&lt;&gt;SUM(AJ56:AO56),"Se indico una CANTIDAD DE VICTIMAS SEGUN SEXO diferente a SEGUN GENERO",IF(AND(ISBLANK(AR56),OR(Y56=BUSCADOR!$B$49,BUSCADOR!$B$50=Y56,Y56=BUSCADOR!$B$46,Y56=BUSCADOR!$B$109,BUSCADOR!$B$2=Y56,X56=BUSCADOR!$A$58,X56=BUSCADOR!$A$59)),"Completar la celda TIPO DE ARMA, MODALIDAD O MECANISMO",IF(AND(ISBLANK(AS56),OR(Y56=BUSCADOR!$B$51,BUSCADOR!$B$50=Y56,Y56=BUSCADOR!$B$47,BUSCADOR!$A$58=X56,X56=BUSCADOR!$A$59)),"Completar la celda CONOCIDO, en la seccion de los inculpados",IF(AND(AS56=BUSCADOR!$B$127,OR(Y56=BUSCADOR!$B$51,BUSCADOR!$B$50,Y56,BUSCADOR!$B$46),OR(SUM(AT56:AV56)&lt;&gt;SUM(AW56:AZ56),SUM(AT56:AZ56)=0)),"Revisar las celdas correspondientes a CANTIDAD DE INCULPADOS. Se indica una cantidad diferente segun SEXO y EDAD o no se indico cantidad alguna",IF(AND(ISBLANK(BA56),X56=BUSCADOR!$A$27),"Se indico una persona desaparecida. Completar la casilla APARECIO",IF(AND(ISBLANK(BB56),OR(Y56=BUSCADOR!$B$49,BUSCADOR!$B$50=Y56,Y56=BUSCADOR!$B$46)),"Completar la casilla ELEMENTO SUSTRAIDO",IF(OR(AND(BB56=OTROS[[#Headers],[OTROS]],ISBLANK(BC56)),AND(BB56=ABIGEATO[[#Headers],[ABIGEATO]],ISBLANK(BC56))),"Completar la celda SUBCATEGORIA",IF(AND(OR(BB56=MOTOCICLETA[[#Headers],[MOTOCICLETA]],BB56=AUTOMOTOR[[#Headers],[AUTOMOTOR]]),OR(ISBLANK(BC56),ISBLANK(BD56),ISBLANK(BE56),ISBLANK(BF56))),"Se indico un AUTOMOTOR o MOTOCICLETA en ELEMENTOS SUSTRAIDOS, completar las celdas SUBCATEGORIA, DENOMINACION, AÑO y MODELO", IF(AND(ISBLANK(BB56)&lt;&gt;TRUE,ISBLANK(BJ56)),"Completar MODUS OPERANDI",IF(AND(ISBLANK(BK56),OR(BJ56=BUSCADOR!$H$232,BJ56=BUSCADOR!$I$232)),"Completar ESPECIALIDAD",IF(OR(AND(H56='SAT-Homicidios Dolosos'!$B$5,'SAT-Homicidios Dolosos'!$A$5&lt;&gt;"OK"),AND(H56='SAT-Homicidios Dolosos'!$B$8,'SAT-Homicidios Dolosos'!$A$8&lt;&gt;"OK")),"Se indico un HOMICIDIO, existen CELDAS VACIAS en la hoja SAT-HOMICIDIOS DOLOSOS Completar los datos indicados",IF(OR(AND(H56='SAT-Muertes Viales'!$E$21,'SAT-Muertes Viales'!$A$21&lt;&gt;"OK"),AND(H56='SAT-Muertes Viales'!$E$25,'SAT-Muertes Viales'!$A$25&lt;&gt;"OK"),AND(H56='SAT-Muertes Viales'!$E$29,'SAT-Muertes Viales'!$A$29&lt;&gt;"OK")),"Se indico un HOMICIDIO POR SINIESTRO VIAL, existen CELDAS VACIAS en la hoja SAT-MUERTES VIALES Completar los datos indicados",IF(OR(AND(H56='SAT-Suicidios'!$B$19,'SAT-Suicidios'!$A$19&lt;&gt;"OK"),AND(H56='SAT-Suicidios'!$B$22,'SAT-Suicidios'!$A$22&lt;&gt;"OK"),AND(H56='SAT-Suicidios'!$B$25,'SAT-Suicidios'!$A$25&lt;&gt;"OK")),"Se indico un SUICIDIO, existen CELDAS VACIAS en la hoja SAT-SUICIDIOS Completar los datos indicados",IF(IFERROR(MATCH(X56,BUSCADOR!$A$2:$A$112,0),-1)&lt;0,"No se indico delito",IF(AND(ISBLANK(BL56),OR(X56=BUSCADOR!$A$111,X56=BUSCADOR!$A$110)),"Llenar la casilla DETALLES, COMENTARIOS con una descripcion de la causa",IF(AND(X56="MUERTE DUDOSA",ISBLANK(BL56)=FALSE),"SE INDICO MUERTE DUDOSA, NOS CONTACTAREMOS PARA MAS INFORMACION","FILA CORRECTA"))))))))))))))))))))))))))))))</f>
        <v>No se indico delito</v>
      </c>
      <c r="C56" s="42"/>
      <c r="D56" s="90"/>
      <c r="E56" s="47"/>
      <c r="F56" s="88"/>
      <c r="G56" s="221" t="str">
        <f t="shared" si="9"/>
        <v>Comisaría 15°</v>
      </c>
      <c r="H56" s="46"/>
      <c r="I56" s="52"/>
      <c r="J56" s="27"/>
      <c r="K56" s="27"/>
      <c r="L56" s="27"/>
      <c r="M56" s="27"/>
      <c r="N56" s="46"/>
      <c r="O56" s="55" t="str">
        <f t="shared" si="10"/>
        <v/>
      </c>
      <c r="P56" s="56" t="str">
        <f t="shared" si="11"/>
        <v/>
      </c>
      <c r="Q56" s="52"/>
      <c r="R56" s="46"/>
      <c r="S56" s="62"/>
      <c r="T56" s="57" t="str">
        <f>IFERROR(VLOOKUP(X56,BUSCADOR!$A$2:$E$112,5,FALSE),"")</f>
        <v/>
      </c>
      <c r="U56" s="107" t="str">
        <f t="shared" si="12"/>
        <v/>
      </c>
      <c r="V56" s="28" t="str">
        <f>IFERROR(VLOOKUP(X56,BUSCADOR!$A$2:$E$112,4,FALSE),"")</f>
        <v/>
      </c>
      <c r="W56" s="107" t="str">
        <f t="shared" si="13"/>
        <v/>
      </c>
      <c r="X56" s="27"/>
      <c r="Y56" s="58" t="str">
        <f>IFERROR(VLOOKUP(X56,BUSCADOR!$A$2:$B$112,2,FALSE),"")</f>
        <v/>
      </c>
      <c r="Z56" s="101" t="str">
        <f t="shared" si="4"/>
        <v>__</v>
      </c>
      <c r="AA56" s="103" t="str">
        <f t="shared" si="5"/>
        <v>___</v>
      </c>
      <c r="AB56" s="104" t="str">
        <f t="shared" si="6"/>
        <v>____</v>
      </c>
      <c r="AC56" s="104" t="str">
        <f t="shared" si="6"/>
        <v>_____</v>
      </c>
      <c r="AD56" s="83"/>
      <c r="AE56" s="45"/>
      <c r="AF56" s="66"/>
      <c r="AG56" s="212"/>
      <c r="AH56" s="213"/>
      <c r="AI56" s="214"/>
      <c r="AJ56" s="219"/>
      <c r="AK56" s="213"/>
      <c r="AL56" s="213"/>
      <c r="AM56" s="213"/>
      <c r="AN56" s="213"/>
      <c r="AO56" s="219"/>
      <c r="AP56" s="95"/>
      <c r="AQ56" s="186" t="str">
        <f t="shared" si="1"/>
        <v/>
      </c>
      <c r="AR56" s="66"/>
      <c r="AS56" s="76"/>
      <c r="AT56" s="225"/>
      <c r="AU56" s="213"/>
      <c r="AV56" s="214"/>
      <c r="AW56" s="226"/>
      <c r="AX56" s="213"/>
      <c r="AY56" s="213"/>
      <c r="AZ56" s="227"/>
      <c r="BA56" s="65"/>
      <c r="BB56" s="52"/>
      <c r="BC56" s="27"/>
      <c r="BD56" s="27"/>
      <c r="BE56" s="27"/>
      <c r="BF56" s="79"/>
      <c r="BG56" s="52"/>
      <c r="BH56" s="69"/>
      <c r="BI56" s="188" t="str">
        <f>IF(Y56=BUSCADOR!$B$46,"HURTO_",IF(OR(Y56=BUSCADOR!$B$49,Y56=BUSCADOR!$B$50),"ROBO_",""))</f>
        <v/>
      </c>
      <c r="BJ56" s="50"/>
      <c r="BK56" s="45"/>
      <c r="BL56" s="66"/>
      <c r="BM56" s="1" t="b">
        <f t="shared" si="7"/>
        <v>0</v>
      </c>
    </row>
    <row r="57" spans="1:65" ht="117.6" customHeight="1" x14ac:dyDescent="0.25">
      <c r="A57" s="171">
        <v>55</v>
      </c>
      <c r="B57" s="41" t="str">
        <f>IF(AND(BM57,ISBLANK(C57)),"Completar FECHA DE DENUNCIA",IF(AND(BM57,OR(ISBLANK(D57),ISBLANK(E57),ISBLANK(H57))),"Completar las celdas FECHA, HORA Y PREVENTIVO. En caso de no conocer la fecha u horario colocar INDETERMINADO",IF(AND(BM57,ISBLANK(G57)),"Completar COMISARIA",IF(AND(BM57,OR(ISBLANK(I57),ISBLANK(L57),ISBLANK(M57),O57="")),"Completar las celdas LOCALIDAD, CALLE, ALTURA Y DIRECCION SEGUN  GOOGLE MAPS",IF(AND(ISBLANK(J57),OR(I57=AÑELO[[#Headers],[AÑELO]],CENTENARIO[[#Headers],[CENTENARIO]]='PLANILLA DJ'!I57,CUTRAL_CO[[#Headers],[CUTRAL_CO]],JUNIN_DE_LOS_ANDES[[#Headers],[JUNIN_DE_LOS_ANDES]]='PLANILLA DJ'!I57,'PLANILLA DJ'!I57=NEUQUEN[[#Headers],[NEUQUEN]],PLAZA_HUINCUL[[#Headers],[PLAZA_HUINCUL]]='PLANILLA DJ'!I57,'PLANILLA DJ'!I57=PLOTTIER[[#Headers],[PLOTTIER]])),"COMPLETAR BARRIO",IF(AND(BM57,ISBLANK(Q57)),"Completar Nombre de VICTIMA o DENUNCIANTE",IF(AND(BM57,ISBLANK(R57)),"Completar TIPO DE ACTUACION",IF(AND(R57=BUSCADOR!$B$140,OR(X57&lt;&gt;BUSCADOR!$A$110,ISBLANK(X57))),"Se indico A CONSIDERACION en ACTUACION, indicar en el buscador de delitos A CONSIDERACION tambien",IF(AND(ISBLANK(X57)&lt;&gt;TRUE,IFERROR(MATCH(X57,BUSCADOR!$A$2:$A$112,0),-1)&lt;0),"EN EL BUSCADOR DE DELITOS NO agregar comentarios como SU INVESTIGACION, REPORTE, etc. Limitarse SOLAMENTE a poner A CONSIDERACION u otro valor que coincida en el buscador",IF(AND(ISBLANK(AD57),OR(Y57=BUSCADOR!$B$49,BUSCADOR!$B$50=Y57,Y57=BUSCADOR!$B$46,Y57=BUSCADOR!$B$2,Y57=BUSCADOR!$B$7,BUSCADOR!$B$109=Y57,X57=BUSCADOR!$A$58,X57=BUSCADOR!$A$59)),"Completar la celda TIPO DE LUGAR",IF(AND(ISBLANK(AE57),OR(AD57=BUSCADOR!$E$149,BUSCADOR!$E$150=AD57,AD57=BUSCADOR!$F$148)),"Completar DETALLE ESTABLECIMIENTO",IF(AND(ISBLANK(AF57),BM57),"Completar la celda MOTIVO QUE ORIGINA EL REGISTRO DEL HECHO",IF(AND(SUM(AG57:AI57)=0,OR(Y57=BUSCADOR!$B$2,BUSCADOR!$B$6=Y57,Y57=BUSCADOR!$B$7,BUSCADOR!$B$8=Y57,Y57=BUSCADOR!$B$9,BUSCADOR!$B$12=Y57,Y57=BUSCADOR!$B$13,BUSCADOR!$B$14=Y57,Y57=BUSCADOR!$B$17,BUSCADOR!$B$18=Y57,Y57=BUSCADOR!$B$20,BUSCADOR!$B$29=Y57,BUSCADOR!$B$34=Y57,BUSCADOR!$B$35=Y57,Y57=BUSCADOR!$B$109,Y57=BUSCADOR!$B$51,BUSCADOR!$B$50=Y57,Y57=BUSCADOR!$B$47,Y57=BUSCADOR!$B$58,Y57=BUSCADOR!$B$21,Y57=BUSCADOR!$B$22,Y57=BUSCADOR!$B$23,Y57=BUSCADOR!$B$24)),"El delito indicado debe presentar un numero de victimas. Completar la celda CANTIDAD DE VICTIMAS",IF(AND(SUM(AJ57:AO57)&gt;0,ISBLANK(AP57)),"Completar celda VULNERABILIDAD DE LA VICTIMA",IF(SUM(AG57:AI57)&lt;&gt;SUM(AJ57:AO57),"Se indico una CANTIDAD DE VICTIMAS SEGUN SEXO diferente a SEGUN GENERO",IF(AND(ISBLANK(AR57),OR(Y57=BUSCADOR!$B$49,BUSCADOR!$B$50=Y57,Y57=BUSCADOR!$B$46,Y57=BUSCADOR!$B$109,BUSCADOR!$B$2=Y57,X57=BUSCADOR!$A$58,X57=BUSCADOR!$A$59)),"Completar la celda TIPO DE ARMA, MODALIDAD O MECANISMO",IF(AND(ISBLANK(AS57),OR(Y57=BUSCADOR!$B$51,BUSCADOR!$B$50=Y57,Y57=BUSCADOR!$B$47,BUSCADOR!$A$58=X57,X57=BUSCADOR!$A$59)),"Completar la celda CONOCIDO, en la seccion de los inculpados",IF(AND(AS57=BUSCADOR!$B$127,OR(Y57=BUSCADOR!$B$51,BUSCADOR!$B$50,Y57,BUSCADOR!$B$46),OR(SUM(AT57:AV57)&lt;&gt;SUM(AW57:AZ57),SUM(AT57:AZ57)=0)),"Revisar las celdas correspondientes a CANTIDAD DE INCULPADOS. Se indica una cantidad diferente segun SEXO y EDAD o no se indico cantidad alguna",IF(AND(ISBLANK(BA57),X57=BUSCADOR!$A$27),"Se indico una persona desaparecida. Completar la casilla APARECIO",IF(AND(ISBLANK(BB57),OR(Y57=BUSCADOR!$B$49,BUSCADOR!$B$50=Y57,Y57=BUSCADOR!$B$46)),"Completar la casilla ELEMENTO SUSTRAIDO",IF(OR(AND(BB57=OTROS[[#Headers],[OTROS]],ISBLANK(BC57)),AND(BB57=ABIGEATO[[#Headers],[ABIGEATO]],ISBLANK(BC57))),"Completar la celda SUBCATEGORIA",IF(AND(OR(BB57=MOTOCICLETA[[#Headers],[MOTOCICLETA]],BB57=AUTOMOTOR[[#Headers],[AUTOMOTOR]]),OR(ISBLANK(BC57),ISBLANK(BD57),ISBLANK(BE57),ISBLANK(BF57))),"Se indico un AUTOMOTOR o MOTOCICLETA en ELEMENTOS SUSTRAIDOS, completar las celdas SUBCATEGORIA, DENOMINACION, AÑO y MODELO", IF(AND(ISBLANK(BB57)&lt;&gt;TRUE,ISBLANK(BJ57)),"Completar MODUS OPERANDI",IF(AND(ISBLANK(BK57),OR(BJ57=BUSCADOR!$H$232,BJ57=BUSCADOR!$I$232)),"Completar ESPECIALIDAD",IF(OR(AND(H57='SAT-Homicidios Dolosos'!$B$5,'SAT-Homicidios Dolosos'!$A$5&lt;&gt;"OK"),AND(H57='SAT-Homicidios Dolosos'!$B$8,'SAT-Homicidios Dolosos'!$A$8&lt;&gt;"OK")),"Se indico un HOMICIDIO, existen CELDAS VACIAS en la hoja SAT-HOMICIDIOS DOLOSOS Completar los datos indicados",IF(OR(AND(H57='SAT-Muertes Viales'!$E$21,'SAT-Muertes Viales'!$A$21&lt;&gt;"OK"),AND(H57='SAT-Muertes Viales'!$E$25,'SAT-Muertes Viales'!$A$25&lt;&gt;"OK"),AND(H57='SAT-Muertes Viales'!$E$29,'SAT-Muertes Viales'!$A$29&lt;&gt;"OK")),"Se indico un HOMICIDIO POR SINIESTRO VIAL, existen CELDAS VACIAS en la hoja SAT-MUERTES VIALES Completar los datos indicados",IF(OR(AND(H57='SAT-Suicidios'!$B$19,'SAT-Suicidios'!$A$19&lt;&gt;"OK"),AND(H57='SAT-Suicidios'!$B$22,'SAT-Suicidios'!$A$22&lt;&gt;"OK"),AND(H57='SAT-Suicidios'!$B$25,'SAT-Suicidios'!$A$25&lt;&gt;"OK")),"Se indico un SUICIDIO, existen CELDAS VACIAS en la hoja SAT-SUICIDIOS Completar los datos indicados",IF(IFERROR(MATCH(X57,BUSCADOR!$A$2:$A$112,0),-1)&lt;0,"No se indico delito",IF(AND(ISBLANK(BL57),OR(X57=BUSCADOR!$A$111,X57=BUSCADOR!$A$110)),"Llenar la casilla DETALLES, COMENTARIOS con una descripcion de la causa",IF(AND(X57="MUERTE DUDOSA",ISBLANK(BL57)=FALSE),"SE INDICO MUERTE DUDOSA, NOS CONTACTAREMOS PARA MAS INFORMACION","FILA CORRECTA"))))))))))))))))))))))))))))))</f>
        <v>No se indico delito</v>
      </c>
      <c r="C57" s="42"/>
      <c r="D57" s="90"/>
      <c r="E57" s="47"/>
      <c r="F57" s="88"/>
      <c r="G57" s="221" t="str">
        <f t="shared" si="9"/>
        <v>Comisaría 15°</v>
      </c>
      <c r="H57" s="46"/>
      <c r="I57" s="52"/>
      <c r="J57" s="27"/>
      <c r="K57" s="27"/>
      <c r="L57" s="27"/>
      <c r="M57" s="27"/>
      <c r="N57" s="46"/>
      <c r="O57" s="55" t="str">
        <f t="shared" si="10"/>
        <v/>
      </c>
      <c r="P57" s="56" t="str">
        <f t="shared" si="11"/>
        <v/>
      </c>
      <c r="Q57" s="52"/>
      <c r="R57" s="46"/>
      <c r="S57" s="62"/>
      <c r="T57" s="57" t="str">
        <f>IFERROR(VLOOKUP(X57,BUSCADOR!$A$2:$E$112,5,FALSE),"")</f>
        <v/>
      </c>
      <c r="U57" s="107" t="str">
        <f t="shared" si="12"/>
        <v/>
      </c>
      <c r="V57" s="28" t="str">
        <f>IFERROR(VLOOKUP(X57,BUSCADOR!$A$2:$E$112,4,FALSE),"")</f>
        <v/>
      </c>
      <c r="W57" s="107" t="str">
        <f t="shared" si="13"/>
        <v/>
      </c>
      <c r="X57" s="27"/>
      <c r="Y57" s="58" t="str">
        <f>IFERROR(VLOOKUP(X57,BUSCADOR!$A$2:$B$112,2,FALSE),"")</f>
        <v/>
      </c>
      <c r="Z57" s="101" t="str">
        <f t="shared" si="4"/>
        <v>__</v>
      </c>
      <c r="AA57" s="103" t="str">
        <f t="shared" si="5"/>
        <v>___</v>
      </c>
      <c r="AB57" s="104" t="str">
        <f t="shared" si="6"/>
        <v>____</v>
      </c>
      <c r="AC57" s="104" t="str">
        <f t="shared" si="6"/>
        <v>_____</v>
      </c>
      <c r="AD57" s="83"/>
      <c r="AE57" s="45"/>
      <c r="AF57" s="66"/>
      <c r="AG57" s="212"/>
      <c r="AH57" s="213"/>
      <c r="AI57" s="214"/>
      <c r="AJ57" s="219"/>
      <c r="AK57" s="213"/>
      <c r="AL57" s="213"/>
      <c r="AM57" s="213"/>
      <c r="AN57" s="213"/>
      <c r="AO57" s="219"/>
      <c r="AP57" s="95"/>
      <c r="AQ57" s="186" t="str">
        <f t="shared" si="1"/>
        <v/>
      </c>
      <c r="AR57" s="66"/>
      <c r="AS57" s="76"/>
      <c r="AT57" s="225"/>
      <c r="AU57" s="213"/>
      <c r="AV57" s="214"/>
      <c r="AW57" s="226"/>
      <c r="AX57" s="213"/>
      <c r="AY57" s="213"/>
      <c r="AZ57" s="227"/>
      <c r="BA57" s="65"/>
      <c r="BB57" s="52"/>
      <c r="BC57" s="27"/>
      <c r="BD57" s="27"/>
      <c r="BE57" s="27"/>
      <c r="BF57" s="79"/>
      <c r="BG57" s="52"/>
      <c r="BH57" s="69"/>
      <c r="BI57" s="188" t="str">
        <f>IF(Y57=BUSCADOR!$B$46,"HURTO_",IF(OR(Y57=BUSCADOR!$B$49,Y57=BUSCADOR!$B$50),"ROBO_",""))</f>
        <v/>
      </c>
      <c r="BJ57" s="50"/>
      <c r="BK57" s="45"/>
      <c r="BL57" s="66"/>
      <c r="BM57" s="1" t="b">
        <f t="shared" si="7"/>
        <v>0</v>
      </c>
    </row>
    <row r="58" spans="1:65" ht="117.6" customHeight="1" x14ac:dyDescent="0.25">
      <c r="A58" s="171">
        <v>56</v>
      </c>
      <c r="B58" s="41" t="str">
        <f>IF(AND(BM58,ISBLANK(C58)),"Completar FECHA DE DENUNCIA",IF(AND(BM58,OR(ISBLANK(D58),ISBLANK(E58),ISBLANK(H58))),"Completar las celdas FECHA, HORA Y PREVENTIVO. En caso de no conocer la fecha u horario colocar INDETERMINADO",IF(AND(BM58,ISBLANK(G58)),"Completar COMISARIA",IF(AND(BM58,OR(ISBLANK(I58),ISBLANK(L58),ISBLANK(M58),O58="")),"Completar las celdas LOCALIDAD, CALLE, ALTURA Y DIRECCION SEGUN  GOOGLE MAPS",IF(AND(ISBLANK(J58),OR(I58=AÑELO[[#Headers],[AÑELO]],CENTENARIO[[#Headers],[CENTENARIO]]='PLANILLA DJ'!I58,CUTRAL_CO[[#Headers],[CUTRAL_CO]],JUNIN_DE_LOS_ANDES[[#Headers],[JUNIN_DE_LOS_ANDES]]='PLANILLA DJ'!I58,'PLANILLA DJ'!I58=NEUQUEN[[#Headers],[NEUQUEN]],PLAZA_HUINCUL[[#Headers],[PLAZA_HUINCUL]]='PLANILLA DJ'!I58,'PLANILLA DJ'!I58=PLOTTIER[[#Headers],[PLOTTIER]])),"COMPLETAR BARRIO",IF(AND(BM58,ISBLANK(Q58)),"Completar Nombre de VICTIMA o DENUNCIANTE",IF(AND(BM58,ISBLANK(R58)),"Completar TIPO DE ACTUACION",IF(AND(R58=BUSCADOR!$B$140,OR(X58&lt;&gt;BUSCADOR!$A$110,ISBLANK(X58))),"Se indico A CONSIDERACION en ACTUACION, indicar en el buscador de delitos A CONSIDERACION tambien",IF(AND(ISBLANK(X58)&lt;&gt;TRUE,IFERROR(MATCH(X58,BUSCADOR!$A$2:$A$112,0),-1)&lt;0),"EN EL BUSCADOR DE DELITOS NO agregar comentarios como SU INVESTIGACION, REPORTE, etc. Limitarse SOLAMENTE a poner A CONSIDERACION u otro valor que coincida en el buscador",IF(AND(ISBLANK(AD58),OR(Y58=BUSCADOR!$B$49,BUSCADOR!$B$50=Y58,Y58=BUSCADOR!$B$46,Y58=BUSCADOR!$B$2,Y58=BUSCADOR!$B$7,BUSCADOR!$B$109=Y58,X58=BUSCADOR!$A$58,X58=BUSCADOR!$A$59)),"Completar la celda TIPO DE LUGAR",IF(AND(ISBLANK(AE58),OR(AD58=BUSCADOR!$E$149,BUSCADOR!$E$150=AD58,AD58=BUSCADOR!$F$148)),"Completar DETALLE ESTABLECIMIENTO",IF(AND(ISBLANK(AF58),BM58),"Completar la celda MOTIVO QUE ORIGINA EL REGISTRO DEL HECHO",IF(AND(SUM(AG58:AI58)=0,OR(Y58=BUSCADOR!$B$2,BUSCADOR!$B$6=Y58,Y58=BUSCADOR!$B$7,BUSCADOR!$B$8=Y58,Y58=BUSCADOR!$B$9,BUSCADOR!$B$12=Y58,Y58=BUSCADOR!$B$13,BUSCADOR!$B$14=Y58,Y58=BUSCADOR!$B$17,BUSCADOR!$B$18=Y58,Y58=BUSCADOR!$B$20,BUSCADOR!$B$29=Y58,BUSCADOR!$B$34=Y58,BUSCADOR!$B$35=Y58,Y58=BUSCADOR!$B$109,Y58=BUSCADOR!$B$51,BUSCADOR!$B$50=Y58,Y58=BUSCADOR!$B$47,Y58=BUSCADOR!$B$58,Y58=BUSCADOR!$B$21,Y58=BUSCADOR!$B$22,Y58=BUSCADOR!$B$23,Y58=BUSCADOR!$B$24)),"El delito indicado debe presentar un numero de victimas. Completar la celda CANTIDAD DE VICTIMAS",IF(AND(SUM(AJ58:AO58)&gt;0,ISBLANK(AP58)),"Completar celda VULNERABILIDAD DE LA VICTIMA",IF(SUM(AG58:AI58)&lt;&gt;SUM(AJ58:AO58),"Se indico una CANTIDAD DE VICTIMAS SEGUN SEXO diferente a SEGUN GENERO",IF(AND(ISBLANK(AR58),OR(Y58=BUSCADOR!$B$49,BUSCADOR!$B$50=Y58,Y58=BUSCADOR!$B$46,Y58=BUSCADOR!$B$109,BUSCADOR!$B$2=Y58,X58=BUSCADOR!$A$58,X58=BUSCADOR!$A$59)),"Completar la celda TIPO DE ARMA, MODALIDAD O MECANISMO",IF(AND(ISBLANK(AS58),OR(Y58=BUSCADOR!$B$51,BUSCADOR!$B$50=Y58,Y58=BUSCADOR!$B$47,BUSCADOR!$A$58=X58,X58=BUSCADOR!$A$59)),"Completar la celda CONOCIDO, en la seccion de los inculpados",IF(AND(AS58=BUSCADOR!$B$127,OR(Y58=BUSCADOR!$B$51,BUSCADOR!$B$50,Y58,BUSCADOR!$B$46),OR(SUM(AT58:AV58)&lt;&gt;SUM(AW58:AZ58),SUM(AT58:AZ58)=0)),"Revisar las celdas correspondientes a CANTIDAD DE INCULPADOS. Se indica una cantidad diferente segun SEXO y EDAD o no se indico cantidad alguna",IF(AND(ISBLANK(BA58),X58=BUSCADOR!$A$27),"Se indico una persona desaparecida. Completar la casilla APARECIO",IF(AND(ISBLANK(BB58),OR(Y58=BUSCADOR!$B$49,BUSCADOR!$B$50=Y58,Y58=BUSCADOR!$B$46)),"Completar la casilla ELEMENTO SUSTRAIDO",IF(OR(AND(BB58=OTROS[[#Headers],[OTROS]],ISBLANK(BC58)),AND(BB58=ABIGEATO[[#Headers],[ABIGEATO]],ISBLANK(BC58))),"Completar la celda SUBCATEGORIA",IF(AND(OR(BB58=MOTOCICLETA[[#Headers],[MOTOCICLETA]],BB58=AUTOMOTOR[[#Headers],[AUTOMOTOR]]),OR(ISBLANK(BC58),ISBLANK(BD58),ISBLANK(BE58),ISBLANK(BF58))),"Se indico un AUTOMOTOR o MOTOCICLETA en ELEMENTOS SUSTRAIDOS, completar las celdas SUBCATEGORIA, DENOMINACION, AÑO y MODELO", IF(AND(ISBLANK(BB58)&lt;&gt;TRUE,ISBLANK(BJ58)),"Completar MODUS OPERANDI",IF(AND(ISBLANK(BK58),OR(BJ58=BUSCADOR!$H$232,BJ58=BUSCADOR!$I$232)),"Completar ESPECIALIDAD",IF(OR(AND(H58='SAT-Homicidios Dolosos'!$B$5,'SAT-Homicidios Dolosos'!$A$5&lt;&gt;"OK"),AND(H58='SAT-Homicidios Dolosos'!$B$8,'SAT-Homicidios Dolosos'!$A$8&lt;&gt;"OK")),"Se indico un HOMICIDIO, existen CELDAS VACIAS en la hoja SAT-HOMICIDIOS DOLOSOS Completar los datos indicados",IF(OR(AND(H58='SAT-Muertes Viales'!$E$21,'SAT-Muertes Viales'!$A$21&lt;&gt;"OK"),AND(H58='SAT-Muertes Viales'!$E$25,'SAT-Muertes Viales'!$A$25&lt;&gt;"OK"),AND(H58='SAT-Muertes Viales'!$E$29,'SAT-Muertes Viales'!$A$29&lt;&gt;"OK")),"Se indico un HOMICIDIO POR SINIESTRO VIAL, existen CELDAS VACIAS en la hoja SAT-MUERTES VIALES Completar los datos indicados",IF(OR(AND(H58='SAT-Suicidios'!$B$19,'SAT-Suicidios'!$A$19&lt;&gt;"OK"),AND(H58='SAT-Suicidios'!$B$22,'SAT-Suicidios'!$A$22&lt;&gt;"OK"),AND(H58='SAT-Suicidios'!$B$25,'SAT-Suicidios'!$A$25&lt;&gt;"OK")),"Se indico un SUICIDIO, existen CELDAS VACIAS en la hoja SAT-SUICIDIOS Completar los datos indicados",IF(IFERROR(MATCH(X58,BUSCADOR!$A$2:$A$112,0),-1)&lt;0,"No se indico delito",IF(AND(ISBLANK(BL58),OR(X58=BUSCADOR!$A$111,X58=BUSCADOR!$A$110)),"Llenar la casilla DETALLES, COMENTARIOS con una descripcion de la causa",IF(AND(X58="MUERTE DUDOSA",ISBLANK(BL58)=FALSE),"SE INDICO MUERTE DUDOSA, NOS CONTACTAREMOS PARA MAS INFORMACION","FILA CORRECTA"))))))))))))))))))))))))))))))</f>
        <v>No se indico delito</v>
      </c>
      <c r="C58" s="42"/>
      <c r="D58" s="90"/>
      <c r="E58" s="47"/>
      <c r="F58" s="88"/>
      <c r="G58" s="221" t="str">
        <f t="shared" si="9"/>
        <v>Comisaría 15°</v>
      </c>
      <c r="H58" s="46"/>
      <c r="I58" s="52"/>
      <c r="J58" s="27"/>
      <c r="K58" s="27"/>
      <c r="L58" s="27"/>
      <c r="M58" s="27"/>
      <c r="N58" s="46"/>
      <c r="O58" s="55" t="str">
        <f t="shared" si="10"/>
        <v/>
      </c>
      <c r="P58" s="56" t="str">
        <f t="shared" si="11"/>
        <v/>
      </c>
      <c r="Q58" s="52"/>
      <c r="R58" s="46"/>
      <c r="S58" s="62"/>
      <c r="T58" s="57" t="str">
        <f>IFERROR(VLOOKUP(X58,BUSCADOR!$A$2:$E$112,5,FALSE),"")</f>
        <v/>
      </c>
      <c r="U58" s="107" t="str">
        <f t="shared" si="12"/>
        <v/>
      </c>
      <c r="V58" s="28" t="str">
        <f>IFERROR(VLOOKUP(X58,BUSCADOR!$A$2:$E$112,4,FALSE),"")</f>
        <v/>
      </c>
      <c r="W58" s="107" t="str">
        <f t="shared" si="13"/>
        <v/>
      </c>
      <c r="X58" s="27"/>
      <c r="Y58" s="58" t="str">
        <f>IFERROR(VLOOKUP(X58,BUSCADOR!$A$2:$B$112,2,FALSE),"")</f>
        <v/>
      </c>
      <c r="Z58" s="101" t="str">
        <f t="shared" si="4"/>
        <v>__</v>
      </c>
      <c r="AA58" s="103" t="str">
        <f t="shared" si="5"/>
        <v>___</v>
      </c>
      <c r="AB58" s="104" t="str">
        <f t="shared" si="6"/>
        <v>____</v>
      </c>
      <c r="AC58" s="104" t="str">
        <f t="shared" si="6"/>
        <v>_____</v>
      </c>
      <c r="AD58" s="83"/>
      <c r="AE58" s="45"/>
      <c r="AF58" s="66"/>
      <c r="AG58" s="212"/>
      <c r="AH58" s="213"/>
      <c r="AI58" s="214"/>
      <c r="AJ58" s="219"/>
      <c r="AK58" s="213"/>
      <c r="AL58" s="213"/>
      <c r="AM58" s="213"/>
      <c r="AN58" s="213"/>
      <c r="AO58" s="219"/>
      <c r="AP58" s="95"/>
      <c r="AQ58" s="186" t="str">
        <f t="shared" si="1"/>
        <v/>
      </c>
      <c r="AR58" s="66"/>
      <c r="AS58" s="76"/>
      <c r="AT58" s="225"/>
      <c r="AU58" s="213"/>
      <c r="AV58" s="214"/>
      <c r="AW58" s="226"/>
      <c r="AX58" s="213"/>
      <c r="AY58" s="213"/>
      <c r="AZ58" s="227"/>
      <c r="BA58" s="65"/>
      <c r="BB58" s="52"/>
      <c r="BC58" s="27"/>
      <c r="BD58" s="27"/>
      <c r="BE58" s="27"/>
      <c r="BF58" s="79"/>
      <c r="BG58" s="52"/>
      <c r="BH58" s="69"/>
      <c r="BI58" s="188" t="str">
        <f>IF(Y58=BUSCADOR!$B$46,"HURTO_",IF(OR(Y58=BUSCADOR!$B$49,Y58=BUSCADOR!$B$50),"ROBO_",""))</f>
        <v/>
      </c>
      <c r="BJ58" s="50"/>
      <c r="BK58" s="45"/>
      <c r="BL58" s="66"/>
      <c r="BM58" s="1" t="b">
        <f t="shared" si="7"/>
        <v>0</v>
      </c>
    </row>
    <row r="59" spans="1:65" ht="117.6" customHeight="1" x14ac:dyDescent="0.25">
      <c r="A59" s="171">
        <v>57</v>
      </c>
      <c r="B59" s="41" t="str">
        <f>IF(AND(BM59,ISBLANK(C59)),"Completar FECHA DE DENUNCIA",IF(AND(BM59,OR(ISBLANK(D59),ISBLANK(E59),ISBLANK(H59))),"Completar las celdas FECHA, HORA Y PREVENTIVO. En caso de no conocer la fecha u horario colocar INDETERMINADO",IF(AND(BM59,ISBLANK(G59)),"Completar COMISARIA",IF(AND(BM59,OR(ISBLANK(I59),ISBLANK(L59),ISBLANK(M59),O59="")),"Completar las celdas LOCALIDAD, CALLE, ALTURA Y DIRECCION SEGUN  GOOGLE MAPS",IF(AND(ISBLANK(J59),OR(I59=AÑELO[[#Headers],[AÑELO]],CENTENARIO[[#Headers],[CENTENARIO]]='PLANILLA DJ'!I59,CUTRAL_CO[[#Headers],[CUTRAL_CO]],JUNIN_DE_LOS_ANDES[[#Headers],[JUNIN_DE_LOS_ANDES]]='PLANILLA DJ'!I59,'PLANILLA DJ'!I59=NEUQUEN[[#Headers],[NEUQUEN]],PLAZA_HUINCUL[[#Headers],[PLAZA_HUINCUL]]='PLANILLA DJ'!I59,'PLANILLA DJ'!I59=PLOTTIER[[#Headers],[PLOTTIER]])),"COMPLETAR BARRIO",IF(AND(BM59,ISBLANK(Q59)),"Completar Nombre de VICTIMA o DENUNCIANTE",IF(AND(BM59,ISBLANK(R59)),"Completar TIPO DE ACTUACION",IF(AND(R59=BUSCADOR!$B$140,OR(X59&lt;&gt;BUSCADOR!$A$110,ISBLANK(X59))),"Se indico A CONSIDERACION en ACTUACION, indicar en el buscador de delitos A CONSIDERACION tambien",IF(AND(ISBLANK(X59)&lt;&gt;TRUE,IFERROR(MATCH(X59,BUSCADOR!$A$2:$A$112,0),-1)&lt;0),"EN EL BUSCADOR DE DELITOS NO agregar comentarios como SU INVESTIGACION, REPORTE, etc. Limitarse SOLAMENTE a poner A CONSIDERACION u otro valor que coincida en el buscador",IF(AND(ISBLANK(AD59),OR(Y59=BUSCADOR!$B$49,BUSCADOR!$B$50=Y59,Y59=BUSCADOR!$B$46,Y59=BUSCADOR!$B$2,Y59=BUSCADOR!$B$7,BUSCADOR!$B$109=Y59,X59=BUSCADOR!$A$58,X59=BUSCADOR!$A$59)),"Completar la celda TIPO DE LUGAR",IF(AND(ISBLANK(AE59),OR(AD59=BUSCADOR!$E$149,BUSCADOR!$E$150=AD59,AD59=BUSCADOR!$F$148)),"Completar DETALLE ESTABLECIMIENTO",IF(AND(ISBLANK(AF59),BM59),"Completar la celda MOTIVO QUE ORIGINA EL REGISTRO DEL HECHO",IF(AND(SUM(AG59:AI59)=0,OR(Y59=BUSCADOR!$B$2,BUSCADOR!$B$6=Y59,Y59=BUSCADOR!$B$7,BUSCADOR!$B$8=Y59,Y59=BUSCADOR!$B$9,BUSCADOR!$B$12=Y59,Y59=BUSCADOR!$B$13,BUSCADOR!$B$14=Y59,Y59=BUSCADOR!$B$17,BUSCADOR!$B$18=Y59,Y59=BUSCADOR!$B$20,BUSCADOR!$B$29=Y59,BUSCADOR!$B$34=Y59,BUSCADOR!$B$35=Y59,Y59=BUSCADOR!$B$109,Y59=BUSCADOR!$B$51,BUSCADOR!$B$50=Y59,Y59=BUSCADOR!$B$47,Y59=BUSCADOR!$B$58,Y59=BUSCADOR!$B$21,Y59=BUSCADOR!$B$22,Y59=BUSCADOR!$B$23,Y59=BUSCADOR!$B$24)),"El delito indicado debe presentar un numero de victimas. Completar la celda CANTIDAD DE VICTIMAS",IF(AND(SUM(AJ59:AO59)&gt;0,ISBLANK(AP59)),"Completar celda VULNERABILIDAD DE LA VICTIMA",IF(SUM(AG59:AI59)&lt;&gt;SUM(AJ59:AO59),"Se indico una CANTIDAD DE VICTIMAS SEGUN SEXO diferente a SEGUN GENERO",IF(AND(ISBLANK(AR59),OR(Y59=BUSCADOR!$B$49,BUSCADOR!$B$50=Y59,Y59=BUSCADOR!$B$46,Y59=BUSCADOR!$B$109,BUSCADOR!$B$2=Y59,X59=BUSCADOR!$A$58,X59=BUSCADOR!$A$59)),"Completar la celda TIPO DE ARMA, MODALIDAD O MECANISMO",IF(AND(ISBLANK(AS59),OR(Y59=BUSCADOR!$B$51,BUSCADOR!$B$50=Y59,Y59=BUSCADOR!$B$47,BUSCADOR!$A$58=X59,X59=BUSCADOR!$A$59)),"Completar la celda CONOCIDO, en la seccion de los inculpados",IF(AND(AS59=BUSCADOR!$B$127,OR(Y59=BUSCADOR!$B$51,BUSCADOR!$B$50,Y59,BUSCADOR!$B$46),OR(SUM(AT59:AV59)&lt;&gt;SUM(AW59:AZ59),SUM(AT59:AZ59)=0)),"Revisar las celdas correspondientes a CANTIDAD DE INCULPADOS. Se indica una cantidad diferente segun SEXO y EDAD o no se indico cantidad alguna",IF(AND(ISBLANK(BA59),X59=BUSCADOR!$A$27),"Se indico una persona desaparecida. Completar la casilla APARECIO",IF(AND(ISBLANK(BB59),OR(Y59=BUSCADOR!$B$49,BUSCADOR!$B$50=Y59,Y59=BUSCADOR!$B$46)),"Completar la casilla ELEMENTO SUSTRAIDO",IF(OR(AND(BB59=OTROS[[#Headers],[OTROS]],ISBLANK(BC59)),AND(BB59=ABIGEATO[[#Headers],[ABIGEATO]],ISBLANK(BC59))),"Completar la celda SUBCATEGORIA",IF(AND(OR(BB59=MOTOCICLETA[[#Headers],[MOTOCICLETA]],BB59=AUTOMOTOR[[#Headers],[AUTOMOTOR]]),OR(ISBLANK(BC59),ISBLANK(BD59),ISBLANK(BE59),ISBLANK(BF59))),"Se indico un AUTOMOTOR o MOTOCICLETA en ELEMENTOS SUSTRAIDOS, completar las celdas SUBCATEGORIA, DENOMINACION, AÑO y MODELO", IF(AND(ISBLANK(BB59)&lt;&gt;TRUE,ISBLANK(BJ59)),"Completar MODUS OPERANDI",IF(AND(ISBLANK(BK59),OR(BJ59=BUSCADOR!$H$232,BJ59=BUSCADOR!$I$232)),"Completar ESPECIALIDAD",IF(OR(AND(H59='SAT-Homicidios Dolosos'!$B$5,'SAT-Homicidios Dolosos'!$A$5&lt;&gt;"OK"),AND(H59='SAT-Homicidios Dolosos'!$B$8,'SAT-Homicidios Dolosos'!$A$8&lt;&gt;"OK")),"Se indico un HOMICIDIO, existen CELDAS VACIAS en la hoja SAT-HOMICIDIOS DOLOSOS Completar los datos indicados",IF(OR(AND(H59='SAT-Muertes Viales'!$E$21,'SAT-Muertes Viales'!$A$21&lt;&gt;"OK"),AND(H59='SAT-Muertes Viales'!$E$25,'SAT-Muertes Viales'!$A$25&lt;&gt;"OK"),AND(H59='SAT-Muertes Viales'!$E$29,'SAT-Muertes Viales'!$A$29&lt;&gt;"OK")),"Se indico un HOMICIDIO POR SINIESTRO VIAL, existen CELDAS VACIAS en la hoja SAT-MUERTES VIALES Completar los datos indicados",IF(OR(AND(H59='SAT-Suicidios'!$B$19,'SAT-Suicidios'!$A$19&lt;&gt;"OK"),AND(H59='SAT-Suicidios'!$B$22,'SAT-Suicidios'!$A$22&lt;&gt;"OK"),AND(H59='SAT-Suicidios'!$B$25,'SAT-Suicidios'!$A$25&lt;&gt;"OK")),"Se indico un SUICIDIO, existen CELDAS VACIAS en la hoja SAT-SUICIDIOS Completar los datos indicados",IF(IFERROR(MATCH(X59,BUSCADOR!$A$2:$A$112,0),-1)&lt;0,"No se indico delito",IF(AND(ISBLANK(BL59),OR(X59=BUSCADOR!$A$111,X59=BUSCADOR!$A$110)),"Llenar la casilla DETALLES, COMENTARIOS con una descripcion de la causa",IF(AND(X59="MUERTE DUDOSA",ISBLANK(BL59)=FALSE),"SE INDICO MUERTE DUDOSA, NOS CONTACTAREMOS PARA MAS INFORMACION","FILA CORRECTA"))))))))))))))))))))))))))))))</f>
        <v>No se indico delito</v>
      </c>
      <c r="C59" s="42"/>
      <c r="D59" s="90"/>
      <c r="E59" s="47"/>
      <c r="F59" s="88"/>
      <c r="G59" s="221" t="str">
        <f t="shared" si="9"/>
        <v>Comisaría 15°</v>
      </c>
      <c r="H59" s="46"/>
      <c r="I59" s="52"/>
      <c r="J59" s="27"/>
      <c r="K59" s="27"/>
      <c r="L59" s="27"/>
      <c r="M59" s="27"/>
      <c r="N59" s="46"/>
      <c r="O59" s="55" t="str">
        <f t="shared" si="10"/>
        <v/>
      </c>
      <c r="P59" s="56" t="str">
        <f t="shared" si="11"/>
        <v/>
      </c>
      <c r="Q59" s="52"/>
      <c r="R59" s="46"/>
      <c r="S59" s="62"/>
      <c r="T59" s="57" t="str">
        <f>IFERROR(VLOOKUP(X59,BUSCADOR!$A$2:$E$112,5,FALSE),"")</f>
        <v/>
      </c>
      <c r="U59" s="107" t="str">
        <f t="shared" si="12"/>
        <v/>
      </c>
      <c r="V59" s="28" t="str">
        <f>IFERROR(VLOOKUP(X59,BUSCADOR!$A$2:$E$112,4,FALSE),"")</f>
        <v/>
      </c>
      <c r="W59" s="107" t="str">
        <f t="shared" si="13"/>
        <v/>
      </c>
      <c r="X59" s="27"/>
      <c r="Y59" s="58" t="str">
        <f>IFERROR(VLOOKUP(X59,BUSCADOR!$A$2:$B$112,2,FALSE),"")</f>
        <v/>
      </c>
      <c r="Z59" s="101" t="str">
        <f t="shared" si="4"/>
        <v>__</v>
      </c>
      <c r="AA59" s="103" t="str">
        <f t="shared" si="5"/>
        <v>___</v>
      </c>
      <c r="AB59" s="104" t="str">
        <f t="shared" si="6"/>
        <v>____</v>
      </c>
      <c r="AC59" s="104" t="str">
        <f t="shared" si="6"/>
        <v>_____</v>
      </c>
      <c r="AD59" s="83"/>
      <c r="AE59" s="45"/>
      <c r="AF59" s="66"/>
      <c r="AG59" s="212"/>
      <c r="AH59" s="213"/>
      <c r="AI59" s="214"/>
      <c r="AJ59" s="219"/>
      <c r="AK59" s="213"/>
      <c r="AL59" s="213"/>
      <c r="AM59" s="213"/>
      <c r="AN59" s="213"/>
      <c r="AO59" s="219"/>
      <c r="AP59" s="95"/>
      <c r="AQ59" s="186" t="str">
        <f t="shared" si="1"/>
        <v/>
      </c>
      <c r="AR59" s="66"/>
      <c r="AS59" s="76"/>
      <c r="AT59" s="225"/>
      <c r="AU59" s="213"/>
      <c r="AV59" s="214"/>
      <c r="AW59" s="226"/>
      <c r="AX59" s="213"/>
      <c r="AY59" s="213"/>
      <c r="AZ59" s="227"/>
      <c r="BA59" s="65"/>
      <c r="BB59" s="52"/>
      <c r="BC59" s="27"/>
      <c r="BD59" s="27"/>
      <c r="BE59" s="27"/>
      <c r="BF59" s="79"/>
      <c r="BG59" s="52"/>
      <c r="BH59" s="69"/>
      <c r="BI59" s="188" t="str">
        <f>IF(Y59=BUSCADOR!$B$46,"HURTO_",IF(OR(Y59=BUSCADOR!$B$49,Y59=BUSCADOR!$B$50),"ROBO_",""))</f>
        <v/>
      </c>
      <c r="BJ59" s="50"/>
      <c r="BK59" s="45"/>
      <c r="BL59" s="66"/>
      <c r="BM59" s="1" t="b">
        <f t="shared" si="7"/>
        <v>0</v>
      </c>
    </row>
    <row r="60" spans="1:65" ht="117.6" customHeight="1" x14ac:dyDescent="0.25">
      <c r="A60" s="171">
        <v>58</v>
      </c>
      <c r="B60" s="41" t="str">
        <f>IF(AND(BM60,ISBLANK(C60)),"Completar FECHA DE DENUNCIA",IF(AND(BM60,OR(ISBLANK(D60),ISBLANK(E60),ISBLANK(H60))),"Completar las celdas FECHA, HORA Y PREVENTIVO. En caso de no conocer la fecha u horario colocar INDETERMINADO",IF(AND(BM60,ISBLANK(G60)),"Completar COMISARIA",IF(AND(BM60,OR(ISBLANK(I60),ISBLANK(L60),ISBLANK(M60),O60="")),"Completar las celdas LOCALIDAD, CALLE, ALTURA Y DIRECCION SEGUN  GOOGLE MAPS",IF(AND(ISBLANK(J60),OR(I60=AÑELO[[#Headers],[AÑELO]],CENTENARIO[[#Headers],[CENTENARIO]]='PLANILLA DJ'!I60,CUTRAL_CO[[#Headers],[CUTRAL_CO]],JUNIN_DE_LOS_ANDES[[#Headers],[JUNIN_DE_LOS_ANDES]]='PLANILLA DJ'!I60,'PLANILLA DJ'!I60=NEUQUEN[[#Headers],[NEUQUEN]],PLAZA_HUINCUL[[#Headers],[PLAZA_HUINCUL]]='PLANILLA DJ'!I60,'PLANILLA DJ'!I60=PLOTTIER[[#Headers],[PLOTTIER]])),"COMPLETAR BARRIO",IF(AND(BM60,ISBLANK(Q60)),"Completar Nombre de VICTIMA o DENUNCIANTE",IF(AND(BM60,ISBLANK(R60)),"Completar TIPO DE ACTUACION",IF(AND(R60=BUSCADOR!$B$140,OR(X60&lt;&gt;BUSCADOR!$A$110,ISBLANK(X60))),"Se indico A CONSIDERACION en ACTUACION, indicar en el buscador de delitos A CONSIDERACION tambien",IF(AND(ISBLANK(X60)&lt;&gt;TRUE,IFERROR(MATCH(X60,BUSCADOR!$A$2:$A$112,0),-1)&lt;0),"EN EL BUSCADOR DE DELITOS NO agregar comentarios como SU INVESTIGACION, REPORTE, etc. Limitarse SOLAMENTE a poner A CONSIDERACION u otro valor que coincida en el buscador",IF(AND(ISBLANK(AD60),OR(Y60=BUSCADOR!$B$49,BUSCADOR!$B$50=Y60,Y60=BUSCADOR!$B$46,Y60=BUSCADOR!$B$2,Y60=BUSCADOR!$B$7,BUSCADOR!$B$109=Y60,X60=BUSCADOR!$A$58,X60=BUSCADOR!$A$59)),"Completar la celda TIPO DE LUGAR",IF(AND(ISBLANK(AE60),OR(AD60=BUSCADOR!$E$149,BUSCADOR!$E$150=AD60,AD60=BUSCADOR!$F$148)),"Completar DETALLE ESTABLECIMIENTO",IF(AND(ISBLANK(AF60),BM60),"Completar la celda MOTIVO QUE ORIGINA EL REGISTRO DEL HECHO",IF(AND(SUM(AG60:AI60)=0,OR(Y60=BUSCADOR!$B$2,BUSCADOR!$B$6=Y60,Y60=BUSCADOR!$B$7,BUSCADOR!$B$8=Y60,Y60=BUSCADOR!$B$9,BUSCADOR!$B$12=Y60,Y60=BUSCADOR!$B$13,BUSCADOR!$B$14=Y60,Y60=BUSCADOR!$B$17,BUSCADOR!$B$18=Y60,Y60=BUSCADOR!$B$20,BUSCADOR!$B$29=Y60,BUSCADOR!$B$34=Y60,BUSCADOR!$B$35=Y60,Y60=BUSCADOR!$B$109,Y60=BUSCADOR!$B$51,BUSCADOR!$B$50=Y60,Y60=BUSCADOR!$B$47,Y60=BUSCADOR!$B$58,Y60=BUSCADOR!$B$21,Y60=BUSCADOR!$B$22,Y60=BUSCADOR!$B$23,Y60=BUSCADOR!$B$24)),"El delito indicado debe presentar un numero de victimas. Completar la celda CANTIDAD DE VICTIMAS",IF(AND(SUM(AJ60:AO60)&gt;0,ISBLANK(AP60)),"Completar celda VULNERABILIDAD DE LA VICTIMA",IF(SUM(AG60:AI60)&lt;&gt;SUM(AJ60:AO60),"Se indico una CANTIDAD DE VICTIMAS SEGUN SEXO diferente a SEGUN GENERO",IF(AND(ISBLANK(AR60),OR(Y60=BUSCADOR!$B$49,BUSCADOR!$B$50=Y60,Y60=BUSCADOR!$B$46,Y60=BUSCADOR!$B$109,BUSCADOR!$B$2=Y60,X60=BUSCADOR!$A$58,X60=BUSCADOR!$A$59)),"Completar la celda TIPO DE ARMA, MODALIDAD O MECANISMO",IF(AND(ISBLANK(AS60),OR(Y60=BUSCADOR!$B$51,BUSCADOR!$B$50=Y60,Y60=BUSCADOR!$B$47,BUSCADOR!$A$58=X60,X60=BUSCADOR!$A$59)),"Completar la celda CONOCIDO, en la seccion de los inculpados",IF(AND(AS60=BUSCADOR!$B$127,OR(Y60=BUSCADOR!$B$51,BUSCADOR!$B$50,Y60,BUSCADOR!$B$46),OR(SUM(AT60:AV60)&lt;&gt;SUM(AW60:AZ60),SUM(AT60:AZ60)=0)),"Revisar las celdas correspondientes a CANTIDAD DE INCULPADOS. Se indica una cantidad diferente segun SEXO y EDAD o no se indico cantidad alguna",IF(AND(ISBLANK(BA60),X60=BUSCADOR!$A$27),"Se indico una persona desaparecida. Completar la casilla APARECIO",IF(AND(ISBLANK(BB60),OR(Y60=BUSCADOR!$B$49,BUSCADOR!$B$50=Y60,Y60=BUSCADOR!$B$46)),"Completar la casilla ELEMENTO SUSTRAIDO",IF(OR(AND(BB60=OTROS[[#Headers],[OTROS]],ISBLANK(BC60)),AND(BB60=ABIGEATO[[#Headers],[ABIGEATO]],ISBLANK(BC60))),"Completar la celda SUBCATEGORIA",IF(AND(OR(BB60=MOTOCICLETA[[#Headers],[MOTOCICLETA]],BB60=AUTOMOTOR[[#Headers],[AUTOMOTOR]]),OR(ISBLANK(BC60),ISBLANK(BD60),ISBLANK(BE60),ISBLANK(BF60))),"Se indico un AUTOMOTOR o MOTOCICLETA en ELEMENTOS SUSTRAIDOS, completar las celdas SUBCATEGORIA, DENOMINACION, AÑO y MODELO", IF(AND(ISBLANK(BB60)&lt;&gt;TRUE,ISBLANK(BJ60)),"Completar MODUS OPERANDI",IF(AND(ISBLANK(BK60),OR(BJ60=BUSCADOR!$H$232,BJ60=BUSCADOR!$I$232)),"Completar ESPECIALIDAD",IF(OR(AND(H60='SAT-Homicidios Dolosos'!$B$5,'SAT-Homicidios Dolosos'!$A$5&lt;&gt;"OK"),AND(H60='SAT-Homicidios Dolosos'!$B$8,'SAT-Homicidios Dolosos'!$A$8&lt;&gt;"OK")),"Se indico un HOMICIDIO, existen CELDAS VACIAS en la hoja SAT-HOMICIDIOS DOLOSOS Completar los datos indicados",IF(OR(AND(H60='SAT-Muertes Viales'!$E$21,'SAT-Muertes Viales'!$A$21&lt;&gt;"OK"),AND(H60='SAT-Muertes Viales'!$E$25,'SAT-Muertes Viales'!$A$25&lt;&gt;"OK"),AND(H60='SAT-Muertes Viales'!$E$29,'SAT-Muertes Viales'!$A$29&lt;&gt;"OK")),"Se indico un HOMICIDIO POR SINIESTRO VIAL, existen CELDAS VACIAS en la hoja SAT-MUERTES VIALES Completar los datos indicados",IF(OR(AND(H60='SAT-Suicidios'!$B$19,'SAT-Suicidios'!$A$19&lt;&gt;"OK"),AND(H60='SAT-Suicidios'!$B$22,'SAT-Suicidios'!$A$22&lt;&gt;"OK"),AND(H60='SAT-Suicidios'!$B$25,'SAT-Suicidios'!$A$25&lt;&gt;"OK")),"Se indico un SUICIDIO, existen CELDAS VACIAS en la hoja SAT-SUICIDIOS Completar los datos indicados",IF(IFERROR(MATCH(X60,BUSCADOR!$A$2:$A$112,0),-1)&lt;0,"No se indico delito",IF(AND(ISBLANK(BL60),OR(X60=BUSCADOR!$A$111,X60=BUSCADOR!$A$110)),"Llenar la casilla DETALLES, COMENTARIOS con una descripcion de la causa",IF(AND(X60="MUERTE DUDOSA",ISBLANK(BL60)=FALSE),"SE INDICO MUERTE DUDOSA, NOS CONTACTAREMOS PARA MAS INFORMACION","FILA CORRECTA"))))))))))))))))))))))))))))))</f>
        <v>No se indico delito</v>
      </c>
      <c r="C60" s="42"/>
      <c r="D60" s="90"/>
      <c r="E60" s="47"/>
      <c r="F60" s="88"/>
      <c r="G60" s="221" t="str">
        <f t="shared" si="9"/>
        <v>Comisaría 15°</v>
      </c>
      <c r="H60" s="46"/>
      <c r="I60" s="52"/>
      <c r="J60" s="27"/>
      <c r="K60" s="27"/>
      <c r="L60" s="27"/>
      <c r="M60" s="27"/>
      <c r="N60" s="46"/>
      <c r="O60" s="55" t="str">
        <f t="shared" si="10"/>
        <v/>
      </c>
      <c r="P60" s="56" t="str">
        <f t="shared" si="11"/>
        <v/>
      </c>
      <c r="Q60" s="52"/>
      <c r="R60" s="46"/>
      <c r="S60" s="62"/>
      <c r="T60" s="57" t="str">
        <f>IFERROR(VLOOKUP(X60,BUSCADOR!$A$2:$E$112,5,FALSE),"")</f>
        <v/>
      </c>
      <c r="U60" s="107" t="str">
        <f t="shared" si="12"/>
        <v/>
      </c>
      <c r="V60" s="28" t="str">
        <f>IFERROR(VLOOKUP(X60,BUSCADOR!$A$2:$E$112,4,FALSE),"")</f>
        <v/>
      </c>
      <c r="W60" s="107" t="str">
        <f t="shared" si="13"/>
        <v/>
      </c>
      <c r="X60" s="27"/>
      <c r="Y60" s="58" t="str">
        <f>IFERROR(VLOOKUP(X60,BUSCADOR!$A$2:$B$112,2,FALSE),"")</f>
        <v/>
      </c>
      <c r="Z60" s="101" t="str">
        <f t="shared" si="4"/>
        <v>__</v>
      </c>
      <c r="AA60" s="103" t="str">
        <f t="shared" si="5"/>
        <v>___</v>
      </c>
      <c r="AB60" s="104" t="str">
        <f t="shared" si="6"/>
        <v>____</v>
      </c>
      <c r="AC60" s="104" t="str">
        <f t="shared" si="6"/>
        <v>_____</v>
      </c>
      <c r="AD60" s="83"/>
      <c r="AE60" s="45"/>
      <c r="AF60" s="66"/>
      <c r="AG60" s="212"/>
      <c r="AH60" s="213"/>
      <c r="AI60" s="214"/>
      <c r="AJ60" s="219"/>
      <c r="AK60" s="213"/>
      <c r="AL60" s="213"/>
      <c r="AM60" s="213"/>
      <c r="AN60" s="213"/>
      <c r="AO60" s="219"/>
      <c r="AP60" s="95"/>
      <c r="AQ60" s="186" t="str">
        <f t="shared" si="1"/>
        <v/>
      </c>
      <c r="AR60" s="66"/>
      <c r="AS60" s="76"/>
      <c r="AT60" s="225"/>
      <c r="AU60" s="213"/>
      <c r="AV60" s="214"/>
      <c r="AW60" s="226"/>
      <c r="AX60" s="213"/>
      <c r="AY60" s="213"/>
      <c r="AZ60" s="227"/>
      <c r="BA60" s="65"/>
      <c r="BB60" s="52"/>
      <c r="BC60" s="27"/>
      <c r="BD60" s="27"/>
      <c r="BE60" s="27"/>
      <c r="BF60" s="79"/>
      <c r="BG60" s="52"/>
      <c r="BH60" s="69"/>
      <c r="BI60" s="188" t="str">
        <f>IF(Y60=BUSCADOR!$B$46,"HURTO_",IF(OR(Y60=BUSCADOR!$B$49,Y60=BUSCADOR!$B$50),"ROBO_",""))</f>
        <v/>
      </c>
      <c r="BJ60" s="50"/>
      <c r="BK60" s="45"/>
      <c r="BL60" s="66"/>
      <c r="BM60" s="1" t="b">
        <f t="shared" si="7"/>
        <v>0</v>
      </c>
    </row>
    <row r="61" spans="1:65" ht="117.6" customHeight="1" x14ac:dyDescent="0.25">
      <c r="A61" s="171">
        <v>59</v>
      </c>
      <c r="B61" s="41" t="str">
        <f>IF(AND(BM61,ISBLANK(C61)),"Completar FECHA DE DENUNCIA",IF(AND(BM61,OR(ISBLANK(D61),ISBLANK(E61),ISBLANK(H61))),"Completar las celdas FECHA, HORA Y PREVENTIVO. En caso de no conocer la fecha u horario colocar INDETERMINADO",IF(AND(BM61,ISBLANK(G61)),"Completar COMISARIA",IF(AND(BM61,OR(ISBLANK(I61),ISBLANK(L61),ISBLANK(M61),O61="")),"Completar las celdas LOCALIDAD, CALLE, ALTURA Y DIRECCION SEGUN  GOOGLE MAPS",IF(AND(ISBLANK(J61),OR(I61=AÑELO[[#Headers],[AÑELO]],CENTENARIO[[#Headers],[CENTENARIO]]='PLANILLA DJ'!I61,CUTRAL_CO[[#Headers],[CUTRAL_CO]],JUNIN_DE_LOS_ANDES[[#Headers],[JUNIN_DE_LOS_ANDES]]='PLANILLA DJ'!I61,'PLANILLA DJ'!I61=NEUQUEN[[#Headers],[NEUQUEN]],PLAZA_HUINCUL[[#Headers],[PLAZA_HUINCUL]]='PLANILLA DJ'!I61,'PLANILLA DJ'!I61=PLOTTIER[[#Headers],[PLOTTIER]])),"COMPLETAR BARRIO",IF(AND(BM61,ISBLANK(Q61)),"Completar Nombre de VICTIMA o DENUNCIANTE",IF(AND(BM61,ISBLANK(R61)),"Completar TIPO DE ACTUACION",IF(AND(R61=BUSCADOR!$B$140,OR(X61&lt;&gt;BUSCADOR!$A$110,ISBLANK(X61))),"Se indico A CONSIDERACION en ACTUACION, indicar en el buscador de delitos A CONSIDERACION tambien",IF(AND(ISBLANK(X61)&lt;&gt;TRUE,IFERROR(MATCH(X61,BUSCADOR!$A$2:$A$112,0),-1)&lt;0),"EN EL BUSCADOR DE DELITOS NO agregar comentarios como SU INVESTIGACION, REPORTE, etc. Limitarse SOLAMENTE a poner A CONSIDERACION u otro valor que coincida en el buscador",IF(AND(ISBLANK(AD61),OR(Y61=BUSCADOR!$B$49,BUSCADOR!$B$50=Y61,Y61=BUSCADOR!$B$46,Y61=BUSCADOR!$B$2,Y61=BUSCADOR!$B$7,BUSCADOR!$B$109=Y61,X61=BUSCADOR!$A$58,X61=BUSCADOR!$A$59)),"Completar la celda TIPO DE LUGAR",IF(AND(ISBLANK(AE61),OR(AD61=BUSCADOR!$E$149,BUSCADOR!$E$150=AD61,AD61=BUSCADOR!$F$148)),"Completar DETALLE ESTABLECIMIENTO",IF(AND(ISBLANK(AF61),BM61),"Completar la celda MOTIVO QUE ORIGINA EL REGISTRO DEL HECHO",IF(AND(SUM(AG61:AI61)=0,OR(Y61=BUSCADOR!$B$2,BUSCADOR!$B$6=Y61,Y61=BUSCADOR!$B$7,BUSCADOR!$B$8=Y61,Y61=BUSCADOR!$B$9,BUSCADOR!$B$12=Y61,Y61=BUSCADOR!$B$13,BUSCADOR!$B$14=Y61,Y61=BUSCADOR!$B$17,BUSCADOR!$B$18=Y61,Y61=BUSCADOR!$B$20,BUSCADOR!$B$29=Y61,BUSCADOR!$B$34=Y61,BUSCADOR!$B$35=Y61,Y61=BUSCADOR!$B$109,Y61=BUSCADOR!$B$51,BUSCADOR!$B$50=Y61,Y61=BUSCADOR!$B$47,Y61=BUSCADOR!$B$58,Y61=BUSCADOR!$B$21,Y61=BUSCADOR!$B$22,Y61=BUSCADOR!$B$23,Y61=BUSCADOR!$B$24)),"El delito indicado debe presentar un numero de victimas. Completar la celda CANTIDAD DE VICTIMAS",IF(AND(SUM(AJ61:AO61)&gt;0,ISBLANK(AP61)),"Completar celda VULNERABILIDAD DE LA VICTIMA",IF(SUM(AG61:AI61)&lt;&gt;SUM(AJ61:AO61),"Se indico una CANTIDAD DE VICTIMAS SEGUN SEXO diferente a SEGUN GENERO",IF(AND(ISBLANK(AR61),OR(Y61=BUSCADOR!$B$49,BUSCADOR!$B$50=Y61,Y61=BUSCADOR!$B$46,Y61=BUSCADOR!$B$109,BUSCADOR!$B$2=Y61,X61=BUSCADOR!$A$58,X61=BUSCADOR!$A$59)),"Completar la celda TIPO DE ARMA, MODALIDAD O MECANISMO",IF(AND(ISBLANK(AS61),OR(Y61=BUSCADOR!$B$51,BUSCADOR!$B$50=Y61,Y61=BUSCADOR!$B$47,BUSCADOR!$A$58=X61,X61=BUSCADOR!$A$59)),"Completar la celda CONOCIDO, en la seccion de los inculpados",IF(AND(AS61=BUSCADOR!$B$127,OR(Y61=BUSCADOR!$B$51,BUSCADOR!$B$50,Y61,BUSCADOR!$B$46),OR(SUM(AT61:AV61)&lt;&gt;SUM(AW61:AZ61),SUM(AT61:AZ61)=0)),"Revisar las celdas correspondientes a CANTIDAD DE INCULPADOS. Se indica una cantidad diferente segun SEXO y EDAD o no se indico cantidad alguna",IF(AND(ISBLANK(BA61),X61=BUSCADOR!$A$27),"Se indico una persona desaparecida. Completar la casilla APARECIO",IF(AND(ISBLANK(BB61),OR(Y61=BUSCADOR!$B$49,BUSCADOR!$B$50=Y61,Y61=BUSCADOR!$B$46)),"Completar la casilla ELEMENTO SUSTRAIDO",IF(OR(AND(BB61=OTROS[[#Headers],[OTROS]],ISBLANK(BC61)),AND(BB61=ABIGEATO[[#Headers],[ABIGEATO]],ISBLANK(BC61))),"Completar la celda SUBCATEGORIA",IF(AND(OR(BB61=MOTOCICLETA[[#Headers],[MOTOCICLETA]],BB61=AUTOMOTOR[[#Headers],[AUTOMOTOR]]),OR(ISBLANK(BC61),ISBLANK(BD61),ISBLANK(BE61),ISBLANK(BF61))),"Se indico un AUTOMOTOR o MOTOCICLETA en ELEMENTOS SUSTRAIDOS, completar las celdas SUBCATEGORIA, DENOMINACION, AÑO y MODELO", IF(AND(ISBLANK(BB61)&lt;&gt;TRUE,ISBLANK(BJ61)),"Completar MODUS OPERANDI",IF(AND(ISBLANK(BK61),OR(BJ61=BUSCADOR!$H$232,BJ61=BUSCADOR!$I$232)),"Completar ESPECIALIDAD",IF(OR(AND(H61='SAT-Homicidios Dolosos'!$B$5,'SAT-Homicidios Dolosos'!$A$5&lt;&gt;"OK"),AND(H61='SAT-Homicidios Dolosos'!$B$8,'SAT-Homicidios Dolosos'!$A$8&lt;&gt;"OK")),"Se indico un HOMICIDIO, existen CELDAS VACIAS en la hoja SAT-HOMICIDIOS DOLOSOS Completar los datos indicados",IF(OR(AND(H61='SAT-Muertes Viales'!$E$21,'SAT-Muertes Viales'!$A$21&lt;&gt;"OK"),AND(H61='SAT-Muertes Viales'!$E$25,'SAT-Muertes Viales'!$A$25&lt;&gt;"OK"),AND(H61='SAT-Muertes Viales'!$E$29,'SAT-Muertes Viales'!$A$29&lt;&gt;"OK")),"Se indico un HOMICIDIO POR SINIESTRO VIAL, existen CELDAS VACIAS en la hoja SAT-MUERTES VIALES Completar los datos indicados",IF(OR(AND(H61='SAT-Suicidios'!$B$19,'SAT-Suicidios'!$A$19&lt;&gt;"OK"),AND(H61='SAT-Suicidios'!$B$22,'SAT-Suicidios'!$A$22&lt;&gt;"OK"),AND(H61='SAT-Suicidios'!$B$25,'SAT-Suicidios'!$A$25&lt;&gt;"OK")),"Se indico un SUICIDIO, existen CELDAS VACIAS en la hoja SAT-SUICIDIOS Completar los datos indicados",IF(IFERROR(MATCH(X61,BUSCADOR!$A$2:$A$112,0),-1)&lt;0,"No se indico delito",IF(AND(ISBLANK(BL61),OR(X61=BUSCADOR!$A$111,X61=BUSCADOR!$A$110)),"Llenar la casilla DETALLES, COMENTARIOS con una descripcion de la causa",IF(AND(X61="MUERTE DUDOSA",ISBLANK(BL61)=FALSE),"SE INDICO MUERTE DUDOSA, NOS CONTACTAREMOS PARA MAS INFORMACION","FILA CORRECTA"))))))))))))))))))))))))))))))</f>
        <v>No se indico delito</v>
      </c>
      <c r="C61" s="42"/>
      <c r="D61" s="90"/>
      <c r="E61" s="47"/>
      <c r="F61" s="88"/>
      <c r="G61" s="221" t="str">
        <f t="shared" si="9"/>
        <v>Comisaría 15°</v>
      </c>
      <c r="H61" s="46"/>
      <c r="I61" s="52"/>
      <c r="J61" s="27"/>
      <c r="K61" s="27"/>
      <c r="L61" s="27"/>
      <c r="M61" s="27"/>
      <c r="N61" s="46"/>
      <c r="O61" s="55" t="str">
        <f t="shared" si="10"/>
        <v/>
      </c>
      <c r="P61" s="56" t="str">
        <f t="shared" si="11"/>
        <v/>
      </c>
      <c r="Q61" s="52"/>
      <c r="R61" s="46"/>
      <c r="S61" s="62"/>
      <c r="T61" s="57" t="str">
        <f>IFERROR(VLOOKUP(X61,BUSCADOR!$A$2:$E$112,5,FALSE),"")</f>
        <v/>
      </c>
      <c r="U61" s="107" t="str">
        <f t="shared" si="12"/>
        <v/>
      </c>
      <c r="V61" s="28" t="str">
        <f>IFERROR(VLOOKUP(X61,BUSCADOR!$A$2:$E$112,4,FALSE),"")</f>
        <v/>
      </c>
      <c r="W61" s="107" t="str">
        <f t="shared" si="13"/>
        <v/>
      </c>
      <c r="X61" s="27"/>
      <c r="Y61" s="58" t="str">
        <f>IFERROR(VLOOKUP(X61,BUSCADOR!$A$2:$B$112,2,FALSE),"")</f>
        <v/>
      </c>
      <c r="Z61" s="101" t="str">
        <f t="shared" si="4"/>
        <v>__</v>
      </c>
      <c r="AA61" s="103" t="str">
        <f t="shared" si="5"/>
        <v>___</v>
      </c>
      <c r="AB61" s="104" t="str">
        <f t="shared" si="6"/>
        <v>____</v>
      </c>
      <c r="AC61" s="104" t="str">
        <f t="shared" si="6"/>
        <v>_____</v>
      </c>
      <c r="AD61" s="83"/>
      <c r="AE61" s="45"/>
      <c r="AF61" s="66"/>
      <c r="AG61" s="212"/>
      <c r="AH61" s="213"/>
      <c r="AI61" s="214"/>
      <c r="AJ61" s="219"/>
      <c r="AK61" s="213"/>
      <c r="AL61" s="213"/>
      <c r="AM61" s="213"/>
      <c r="AN61" s="213"/>
      <c r="AO61" s="219"/>
      <c r="AP61" s="95"/>
      <c r="AQ61" s="186" t="str">
        <f t="shared" si="1"/>
        <v/>
      </c>
      <c r="AR61" s="66"/>
      <c r="AS61" s="76"/>
      <c r="AT61" s="225"/>
      <c r="AU61" s="213"/>
      <c r="AV61" s="214"/>
      <c r="AW61" s="226"/>
      <c r="AX61" s="213"/>
      <c r="AY61" s="213"/>
      <c r="AZ61" s="227"/>
      <c r="BA61" s="65"/>
      <c r="BB61" s="52"/>
      <c r="BC61" s="27"/>
      <c r="BD61" s="27"/>
      <c r="BE61" s="27"/>
      <c r="BF61" s="79"/>
      <c r="BG61" s="52"/>
      <c r="BH61" s="69"/>
      <c r="BI61" s="188" t="str">
        <f>IF(Y61=BUSCADOR!$B$46,"HURTO_",IF(OR(Y61=BUSCADOR!$B$49,Y61=BUSCADOR!$B$50),"ROBO_",""))</f>
        <v/>
      </c>
      <c r="BJ61" s="50"/>
      <c r="BK61" s="45"/>
      <c r="BL61" s="66"/>
      <c r="BM61" s="1" t="b">
        <f t="shared" si="7"/>
        <v>0</v>
      </c>
    </row>
    <row r="62" spans="1:65" ht="117.6" customHeight="1" x14ac:dyDescent="0.25">
      <c r="A62" s="171">
        <v>60</v>
      </c>
      <c r="B62" s="41" t="str">
        <f>IF(AND(BM62,ISBLANK(C62)),"Completar FECHA DE DENUNCIA",IF(AND(BM62,OR(ISBLANK(D62),ISBLANK(E62),ISBLANK(H62))),"Completar las celdas FECHA, HORA Y PREVENTIVO. En caso de no conocer la fecha u horario colocar INDETERMINADO",IF(AND(BM62,ISBLANK(G62)),"Completar COMISARIA",IF(AND(BM62,OR(ISBLANK(I62),ISBLANK(L62),ISBLANK(M62),O62="")),"Completar las celdas LOCALIDAD, CALLE, ALTURA Y DIRECCION SEGUN  GOOGLE MAPS",IF(AND(ISBLANK(J62),OR(I62=AÑELO[[#Headers],[AÑELO]],CENTENARIO[[#Headers],[CENTENARIO]]='PLANILLA DJ'!I62,CUTRAL_CO[[#Headers],[CUTRAL_CO]],JUNIN_DE_LOS_ANDES[[#Headers],[JUNIN_DE_LOS_ANDES]]='PLANILLA DJ'!I62,'PLANILLA DJ'!I62=NEUQUEN[[#Headers],[NEUQUEN]],PLAZA_HUINCUL[[#Headers],[PLAZA_HUINCUL]]='PLANILLA DJ'!I62,'PLANILLA DJ'!I62=PLOTTIER[[#Headers],[PLOTTIER]])),"COMPLETAR BARRIO",IF(AND(BM62,ISBLANK(Q62)),"Completar Nombre de VICTIMA o DENUNCIANTE",IF(AND(BM62,ISBLANK(R62)),"Completar TIPO DE ACTUACION",IF(AND(R62=BUSCADOR!$B$140,OR(X62&lt;&gt;BUSCADOR!$A$110,ISBLANK(X62))),"Se indico A CONSIDERACION en ACTUACION, indicar en el buscador de delitos A CONSIDERACION tambien",IF(AND(ISBLANK(X62)&lt;&gt;TRUE,IFERROR(MATCH(X62,BUSCADOR!$A$2:$A$112,0),-1)&lt;0),"EN EL BUSCADOR DE DELITOS NO agregar comentarios como SU INVESTIGACION, REPORTE, etc. Limitarse SOLAMENTE a poner A CONSIDERACION u otro valor que coincida en el buscador",IF(AND(ISBLANK(AD62),OR(Y62=BUSCADOR!$B$49,BUSCADOR!$B$50=Y62,Y62=BUSCADOR!$B$46,Y62=BUSCADOR!$B$2,Y62=BUSCADOR!$B$7,BUSCADOR!$B$109=Y62,X62=BUSCADOR!$A$58,X62=BUSCADOR!$A$59)),"Completar la celda TIPO DE LUGAR",IF(AND(ISBLANK(AE62),OR(AD62=BUSCADOR!$E$149,BUSCADOR!$E$150=AD62,AD62=BUSCADOR!$F$148)),"Completar DETALLE ESTABLECIMIENTO",IF(AND(ISBLANK(AF62),BM62),"Completar la celda MOTIVO QUE ORIGINA EL REGISTRO DEL HECHO",IF(AND(SUM(AG62:AI62)=0,OR(Y62=BUSCADOR!$B$2,BUSCADOR!$B$6=Y62,Y62=BUSCADOR!$B$7,BUSCADOR!$B$8=Y62,Y62=BUSCADOR!$B$9,BUSCADOR!$B$12=Y62,Y62=BUSCADOR!$B$13,BUSCADOR!$B$14=Y62,Y62=BUSCADOR!$B$17,BUSCADOR!$B$18=Y62,Y62=BUSCADOR!$B$20,BUSCADOR!$B$29=Y62,BUSCADOR!$B$34=Y62,BUSCADOR!$B$35=Y62,Y62=BUSCADOR!$B$109,Y62=BUSCADOR!$B$51,BUSCADOR!$B$50=Y62,Y62=BUSCADOR!$B$47,Y62=BUSCADOR!$B$58,Y62=BUSCADOR!$B$21,Y62=BUSCADOR!$B$22,Y62=BUSCADOR!$B$23,Y62=BUSCADOR!$B$24)),"El delito indicado debe presentar un numero de victimas. Completar la celda CANTIDAD DE VICTIMAS",IF(AND(SUM(AJ62:AO62)&gt;0,ISBLANK(AP62)),"Completar celda VULNERABILIDAD DE LA VICTIMA",IF(SUM(AG62:AI62)&lt;&gt;SUM(AJ62:AO62),"Se indico una CANTIDAD DE VICTIMAS SEGUN SEXO diferente a SEGUN GENERO",IF(AND(ISBLANK(AR62),OR(Y62=BUSCADOR!$B$49,BUSCADOR!$B$50=Y62,Y62=BUSCADOR!$B$46,Y62=BUSCADOR!$B$109,BUSCADOR!$B$2=Y62,X62=BUSCADOR!$A$58,X62=BUSCADOR!$A$59)),"Completar la celda TIPO DE ARMA, MODALIDAD O MECANISMO",IF(AND(ISBLANK(AS62),OR(Y62=BUSCADOR!$B$51,BUSCADOR!$B$50=Y62,Y62=BUSCADOR!$B$47,BUSCADOR!$A$58=X62,X62=BUSCADOR!$A$59)),"Completar la celda CONOCIDO, en la seccion de los inculpados",IF(AND(AS62=BUSCADOR!$B$127,OR(Y62=BUSCADOR!$B$51,BUSCADOR!$B$50,Y62,BUSCADOR!$B$46),OR(SUM(AT62:AV62)&lt;&gt;SUM(AW62:AZ62),SUM(AT62:AZ62)=0)),"Revisar las celdas correspondientes a CANTIDAD DE INCULPADOS. Se indica una cantidad diferente segun SEXO y EDAD o no se indico cantidad alguna",IF(AND(ISBLANK(BA62),X62=BUSCADOR!$A$27),"Se indico una persona desaparecida. Completar la casilla APARECIO",IF(AND(ISBLANK(BB62),OR(Y62=BUSCADOR!$B$49,BUSCADOR!$B$50=Y62,Y62=BUSCADOR!$B$46)),"Completar la casilla ELEMENTO SUSTRAIDO",IF(OR(AND(BB62=OTROS[[#Headers],[OTROS]],ISBLANK(BC62)),AND(BB62=ABIGEATO[[#Headers],[ABIGEATO]],ISBLANK(BC62))),"Completar la celda SUBCATEGORIA",IF(AND(OR(BB62=MOTOCICLETA[[#Headers],[MOTOCICLETA]],BB62=AUTOMOTOR[[#Headers],[AUTOMOTOR]]),OR(ISBLANK(BC62),ISBLANK(BD62),ISBLANK(BE62),ISBLANK(BF62))),"Se indico un AUTOMOTOR o MOTOCICLETA en ELEMENTOS SUSTRAIDOS, completar las celdas SUBCATEGORIA, DENOMINACION, AÑO y MODELO", IF(AND(ISBLANK(BB62)&lt;&gt;TRUE,ISBLANK(BJ62)),"Completar MODUS OPERANDI",IF(AND(ISBLANK(BK62),OR(BJ62=BUSCADOR!$H$232,BJ62=BUSCADOR!$I$232)),"Completar ESPECIALIDAD",IF(OR(AND(H62='SAT-Homicidios Dolosos'!$B$5,'SAT-Homicidios Dolosos'!$A$5&lt;&gt;"OK"),AND(H62='SAT-Homicidios Dolosos'!$B$8,'SAT-Homicidios Dolosos'!$A$8&lt;&gt;"OK")),"Se indico un HOMICIDIO, existen CELDAS VACIAS en la hoja SAT-HOMICIDIOS DOLOSOS Completar los datos indicados",IF(OR(AND(H62='SAT-Muertes Viales'!$E$21,'SAT-Muertes Viales'!$A$21&lt;&gt;"OK"),AND(H62='SAT-Muertes Viales'!$E$25,'SAT-Muertes Viales'!$A$25&lt;&gt;"OK"),AND(H62='SAT-Muertes Viales'!$E$29,'SAT-Muertes Viales'!$A$29&lt;&gt;"OK")),"Se indico un HOMICIDIO POR SINIESTRO VIAL, existen CELDAS VACIAS en la hoja SAT-MUERTES VIALES Completar los datos indicados",IF(OR(AND(H62='SAT-Suicidios'!$B$19,'SAT-Suicidios'!$A$19&lt;&gt;"OK"),AND(H62='SAT-Suicidios'!$B$22,'SAT-Suicidios'!$A$22&lt;&gt;"OK"),AND(H62='SAT-Suicidios'!$B$25,'SAT-Suicidios'!$A$25&lt;&gt;"OK")),"Se indico un SUICIDIO, existen CELDAS VACIAS en la hoja SAT-SUICIDIOS Completar los datos indicados",IF(IFERROR(MATCH(X62,BUSCADOR!$A$2:$A$112,0),-1)&lt;0,"No se indico delito",IF(AND(ISBLANK(BL62),OR(X62=BUSCADOR!$A$111,X62=BUSCADOR!$A$110)),"Llenar la casilla DETALLES, COMENTARIOS con una descripcion de la causa",IF(AND(X62="MUERTE DUDOSA",ISBLANK(BL62)=FALSE),"SE INDICO MUERTE DUDOSA, NOS CONTACTAREMOS PARA MAS INFORMACION","FILA CORRECTA"))))))))))))))))))))))))))))))</f>
        <v>No se indico delito</v>
      </c>
      <c r="C62" s="42"/>
      <c r="D62" s="90"/>
      <c r="E62" s="47"/>
      <c r="F62" s="88"/>
      <c r="G62" s="221" t="str">
        <f t="shared" si="9"/>
        <v>Comisaría 15°</v>
      </c>
      <c r="H62" s="46"/>
      <c r="I62" s="52"/>
      <c r="J62" s="27"/>
      <c r="K62" s="27"/>
      <c r="L62" s="27"/>
      <c r="M62" s="27"/>
      <c r="N62" s="46"/>
      <c r="O62" s="55" t="str">
        <f t="shared" si="10"/>
        <v/>
      </c>
      <c r="P62" s="56" t="str">
        <f t="shared" si="11"/>
        <v/>
      </c>
      <c r="Q62" s="52"/>
      <c r="R62" s="46"/>
      <c r="S62" s="62"/>
      <c r="T62" s="57" t="str">
        <f>IFERROR(VLOOKUP(X62,BUSCADOR!$A$2:$E$112,5,FALSE),"")</f>
        <v/>
      </c>
      <c r="U62" s="107" t="str">
        <f t="shared" si="12"/>
        <v/>
      </c>
      <c r="V62" s="28" t="str">
        <f>IFERROR(VLOOKUP(X62,BUSCADOR!$A$2:$E$112,4,FALSE),"")</f>
        <v/>
      </c>
      <c r="W62" s="107" t="str">
        <f t="shared" si="13"/>
        <v/>
      </c>
      <c r="X62" s="27"/>
      <c r="Y62" s="58" t="str">
        <f>IFERROR(VLOOKUP(X62,BUSCADOR!$A$2:$B$112,2,FALSE),"")</f>
        <v/>
      </c>
      <c r="Z62" s="101" t="str">
        <f t="shared" si="4"/>
        <v>__</v>
      </c>
      <c r="AA62" s="103" t="str">
        <f t="shared" si="5"/>
        <v>___</v>
      </c>
      <c r="AB62" s="104" t="str">
        <f t="shared" si="6"/>
        <v>____</v>
      </c>
      <c r="AC62" s="104" t="str">
        <f t="shared" si="6"/>
        <v>_____</v>
      </c>
      <c r="AD62" s="83"/>
      <c r="AE62" s="45"/>
      <c r="AF62" s="66"/>
      <c r="AG62" s="212"/>
      <c r="AH62" s="213"/>
      <c r="AI62" s="214"/>
      <c r="AJ62" s="219"/>
      <c r="AK62" s="213"/>
      <c r="AL62" s="213"/>
      <c r="AM62" s="213"/>
      <c r="AN62" s="213"/>
      <c r="AO62" s="219"/>
      <c r="AP62" s="95"/>
      <c r="AQ62" s="186" t="str">
        <f t="shared" si="1"/>
        <v/>
      </c>
      <c r="AR62" s="66"/>
      <c r="AS62" s="76"/>
      <c r="AT62" s="225"/>
      <c r="AU62" s="213"/>
      <c r="AV62" s="214"/>
      <c r="AW62" s="226"/>
      <c r="AX62" s="213"/>
      <c r="AY62" s="213"/>
      <c r="AZ62" s="227"/>
      <c r="BA62" s="65"/>
      <c r="BB62" s="52"/>
      <c r="BC62" s="27"/>
      <c r="BD62" s="27"/>
      <c r="BE62" s="27"/>
      <c r="BF62" s="79"/>
      <c r="BG62" s="52"/>
      <c r="BH62" s="69"/>
      <c r="BI62" s="188" t="str">
        <f>IF(Y62=BUSCADOR!$B$46,"HURTO_",IF(OR(Y62=BUSCADOR!$B$49,Y62=BUSCADOR!$B$50),"ROBO_",""))</f>
        <v/>
      </c>
      <c r="BJ62" s="50"/>
      <c r="BK62" s="45"/>
      <c r="BL62" s="66"/>
      <c r="BM62" s="1" t="b">
        <f t="shared" si="7"/>
        <v>0</v>
      </c>
    </row>
    <row r="63" spans="1:65" ht="117.6" customHeight="1" x14ac:dyDescent="0.25">
      <c r="A63" s="171">
        <v>61</v>
      </c>
      <c r="B63" s="41" t="str">
        <f>IF(AND(BM63,ISBLANK(C63)),"Completar FECHA DE DENUNCIA",IF(AND(BM63,OR(ISBLANK(D63),ISBLANK(E63),ISBLANK(H63))),"Completar las celdas FECHA, HORA Y PREVENTIVO. En caso de no conocer la fecha u horario colocar INDETERMINADO",IF(AND(BM63,ISBLANK(G63)),"Completar COMISARIA",IF(AND(BM63,OR(ISBLANK(I63),ISBLANK(L63),ISBLANK(M63),O63="")),"Completar las celdas LOCALIDAD, CALLE, ALTURA Y DIRECCION SEGUN  GOOGLE MAPS",IF(AND(ISBLANK(J63),OR(I63=AÑELO[[#Headers],[AÑELO]],CENTENARIO[[#Headers],[CENTENARIO]]='PLANILLA DJ'!I63,CUTRAL_CO[[#Headers],[CUTRAL_CO]],JUNIN_DE_LOS_ANDES[[#Headers],[JUNIN_DE_LOS_ANDES]]='PLANILLA DJ'!I63,'PLANILLA DJ'!I63=NEUQUEN[[#Headers],[NEUQUEN]],PLAZA_HUINCUL[[#Headers],[PLAZA_HUINCUL]]='PLANILLA DJ'!I63,'PLANILLA DJ'!I63=PLOTTIER[[#Headers],[PLOTTIER]])),"COMPLETAR BARRIO",IF(AND(BM63,ISBLANK(Q63)),"Completar Nombre de VICTIMA o DENUNCIANTE",IF(AND(BM63,ISBLANK(R63)),"Completar TIPO DE ACTUACION",IF(AND(R63=BUSCADOR!$B$140,OR(X63&lt;&gt;BUSCADOR!$A$110,ISBLANK(X63))),"Se indico A CONSIDERACION en ACTUACION, indicar en el buscador de delitos A CONSIDERACION tambien",IF(AND(ISBLANK(X63)&lt;&gt;TRUE,IFERROR(MATCH(X63,BUSCADOR!$A$2:$A$112,0),-1)&lt;0),"EN EL BUSCADOR DE DELITOS NO agregar comentarios como SU INVESTIGACION, REPORTE, etc. Limitarse SOLAMENTE a poner A CONSIDERACION u otro valor que coincida en el buscador",IF(AND(ISBLANK(AD63),OR(Y63=BUSCADOR!$B$49,BUSCADOR!$B$50=Y63,Y63=BUSCADOR!$B$46,Y63=BUSCADOR!$B$2,Y63=BUSCADOR!$B$7,BUSCADOR!$B$109=Y63,X63=BUSCADOR!$A$58,X63=BUSCADOR!$A$59)),"Completar la celda TIPO DE LUGAR",IF(AND(ISBLANK(AE63),OR(AD63=BUSCADOR!$E$149,BUSCADOR!$E$150=AD63,AD63=BUSCADOR!$F$148)),"Completar DETALLE ESTABLECIMIENTO",IF(AND(ISBLANK(AF63),BM63),"Completar la celda MOTIVO QUE ORIGINA EL REGISTRO DEL HECHO",IF(AND(SUM(AG63:AI63)=0,OR(Y63=BUSCADOR!$B$2,BUSCADOR!$B$6=Y63,Y63=BUSCADOR!$B$7,BUSCADOR!$B$8=Y63,Y63=BUSCADOR!$B$9,BUSCADOR!$B$12=Y63,Y63=BUSCADOR!$B$13,BUSCADOR!$B$14=Y63,Y63=BUSCADOR!$B$17,BUSCADOR!$B$18=Y63,Y63=BUSCADOR!$B$20,BUSCADOR!$B$29=Y63,BUSCADOR!$B$34=Y63,BUSCADOR!$B$35=Y63,Y63=BUSCADOR!$B$109,Y63=BUSCADOR!$B$51,BUSCADOR!$B$50=Y63,Y63=BUSCADOR!$B$47,Y63=BUSCADOR!$B$58,Y63=BUSCADOR!$B$21,Y63=BUSCADOR!$B$22,Y63=BUSCADOR!$B$23,Y63=BUSCADOR!$B$24)),"El delito indicado debe presentar un numero de victimas. Completar la celda CANTIDAD DE VICTIMAS",IF(AND(SUM(AJ63:AO63)&gt;0,ISBLANK(AP63)),"Completar celda VULNERABILIDAD DE LA VICTIMA",IF(SUM(AG63:AI63)&lt;&gt;SUM(AJ63:AO63),"Se indico una CANTIDAD DE VICTIMAS SEGUN SEXO diferente a SEGUN GENERO",IF(AND(ISBLANK(AR63),OR(Y63=BUSCADOR!$B$49,BUSCADOR!$B$50=Y63,Y63=BUSCADOR!$B$46,Y63=BUSCADOR!$B$109,BUSCADOR!$B$2=Y63,X63=BUSCADOR!$A$58,X63=BUSCADOR!$A$59)),"Completar la celda TIPO DE ARMA, MODALIDAD O MECANISMO",IF(AND(ISBLANK(AS63),OR(Y63=BUSCADOR!$B$51,BUSCADOR!$B$50=Y63,Y63=BUSCADOR!$B$47,BUSCADOR!$A$58=X63,X63=BUSCADOR!$A$59)),"Completar la celda CONOCIDO, en la seccion de los inculpados",IF(AND(AS63=BUSCADOR!$B$127,OR(Y63=BUSCADOR!$B$51,BUSCADOR!$B$50,Y63,BUSCADOR!$B$46),OR(SUM(AT63:AV63)&lt;&gt;SUM(AW63:AZ63),SUM(AT63:AZ63)=0)),"Revisar las celdas correspondientes a CANTIDAD DE INCULPADOS. Se indica una cantidad diferente segun SEXO y EDAD o no se indico cantidad alguna",IF(AND(ISBLANK(BA63),X63=BUSCADOR!$A$27),"Se indico una persona desaparecida. Completar la casilla APARECIO",IF(AND(ISBLANK(BB63),OR(Y63=BUSCADOR!$B$49,BUSCADOR!$B$50=Y63,Y63=BUSCADOR!$B$46)),"Completar la casilla ELEMENTO SUSTRAIDO",IF(OR(AND(BB63=OTROS[[#Headers],[OTROS]],ISBLANK(BC63)),AND(BB63=ABIGEATO[[#Headers],[ABIGEATO]],ISBLANK(BC63))),"Completar la celda SUBCATEGORIA",IF(AND(OR(BB63=MOTOCICLETA[[#Headers],[MOTOCICLETA]],BB63=AUTOMOTOR[[#Headers],[AUTOMOTOR]]),OR(ISBLANK(BC63),ISBLANK(BD63),ISBLANK(BE63),ISBLANK(BF63))),"Se indico un AUTOMOTOR o MOTOCICLETA en ELEMENTOS SUSTRAIDOS, completar las celdas SUBCATEGORIA, DENOMINACION, AÑO y MODELO", IF(AND(ISBLANK(BB63)&lt;&gt;TRUE,ISBLANK(BJ63)),"Completar MODUS OPERANDI",IF(AND(ISBLANK(BK63),OR(BJ63=BUSCADOR!$H$232,BJ63=BUSCADOR!$I$232)),"Completar ESPECIALIDAD",IF(OR(AND(H63='SAT-Homicidios Dolosos'!$B$5,'SAT-Homicidios Dolosos'!$A$5&lt;&gt;"OK"),AND(H63='SAT-Homicidios Dolosos'!$B$8,'SAT-Homicidios Dolosos'!$A$8&lt;&gt;"OK")),"Se indico un HOMICIDIO, existen CELDAS VACIAS en la hoja SAT-HOMICIDIOS DOLOSOS Completar los datos indicados",IF(OR(AND(H63='SAT-Muertes Viales'!$E$21,'SAT-Muertes Viales'!$A$21&lt;&gt;"OK"),AND(H63='SAT-Muertes Viales'!$E$25,'SAT-Muertes Viales'!$A$25&lt;&gt;"OK"),AND(H63='SAT-Muertes Viales'!$E$29,'SAT-Muertes Viales'!$A$29&lt;&gt;"OK")),"Se indico un HOMICIDIO POR SINIESTRO VIAL, existen CELDAS VACIAS en la hoja SAT-MUERTES VIALES Completar los datos indicados",IF(OR(AND(H63='SAT-Suicidios'!$B$19,'SAT-Suicidios'!$A$19&lt;&gt;"OK"),AND(H63='SAT-Suicidios'!$B$22,'SAT-Suicidios'!$A$22&lt;&gt;"OK"),AND(H63='SAT-Suicidios'!$B$25,'SAT-Suicidios'!$A$25&lt;&gt;"OK")),"Se indico un SUICIDIO, existen CELDAS VACIAS en la hoja SAT-SUICIDIOS Completar los datos indicados",IF(IFERROR(MATCH(X63,BUSCADOR!$A$2:$A$112,0),-1)&lt;0,"No se indico delito",IF(AND(ISBLANK(BL63),OR(X63=BUSCADOR!$A$111,X63=BUSCADOR!$A$110)),"Llenar la casilla DETALLES, COMENTARIOS con una descripcion de la causa",IF(AND(X63="MUERTE DUDOSA",ISBLANK(BL63)=FALSE),"SE INDICO MUERTE DUDOSA, NOS CONTACTAREMOS PARA MAS INFORMACION","FILA CORRECTA"))))))))))))))))))))))))))))))</f>
        <v>No se indico delito</v>
      </c>
      <c r="C63" s="42"/>
      <c r="D63" s="90"/>
      <c r="E63" s="47"/>
      <c r="F63" s="88"/>
      <c r="G63" s="221" t="str">
        <f t="shared" si="9"/>
        <v>Comisaría 15°</v>
      </c>
      <c r="H63" s="46"/>
      <c r="I63" s="52"/>
      <c r="J63" s="27"/>
      <c r="K63" s="27"/>
      <c r="L63" s="27"/>
      <c r="M63" s="27"/>
      <c r="N63" s="46"/>
      <c r="O63" s="55" t="str">
        <f t="shared" si="10"/>
        <v/>
      </c>
      <c r="P63" s="56" t="str">
        <f t="shared" si="11"/>
        <v/>
      </c>
      <c r="Q63" s="52"/>
      <c r="R63" s="46"/>
      <c r="S63" s="62"/>
      <c r="T63" s="57" t="str">
        <f>IFERROR(VLOOKUP(X63,BUSCADOR!$A$2:$E$112,5,FALSE),"")</f>
        <v/>
      </c>
      <c r="U63" s="107" t="str">
        <f t="shared" si="12"/>
        <v/>
      </c>
      <c r="V63" s="28" t="str">
        <f>IFERROR(VLOOKUP(X63,BUSCADOR!$A$2:$E$112,4,FALSE),"")</f>
        <v/>
      </c>
      <c r="W63" s="107" t="str">
        <f t="shared" si="13"/>
        <v/>
      </c>
      <c r="X63" s="27"/>
      <c r="Y63" s="58" t="str">
        <f>IFERROR(VLOOKUP(X63,BUSCADOR!$A$2:$B$112,2,FALSE),"")</f>
        <v/>
      </c>
      <c r="Z63" s="101" t="str">
        <f t="shared" si="4"/>
        <v>__</v>
      </c>
      <c r="AA63" s="103" t="str">
        <f t="shared" si="5"/>
        <v>___</v>
      </c>
      <c r="AB63" s="104" t="str">
        <f t="shared" si="6"/>
        <v>____</v>
      </c>
      <c r="AC63" s="104" t="str">
        <f t="shared" si="6"/>
        <v>_____</v>
      </c>
      <c r="AD63" s="83"/>
      <c r="AE63" s="45"/>
      <c r="AF63" s="66"/>
      <c r="AG63" s="212"/>
      <c r="AH63" s="213"/>
      <c r="AI63" s="214"/>
      <c r="AJ63" s="219"/>
      <c r="AK63" s="213"/>
      <c r="AL63" s="213"/>
      <c r="AM63" s="213"/>
      <c r="AN63" s="213"/>
      <c r="AO63" s="219"/>
      <c r="AP63" s="95"/>
      <c r="AQ63" s="186" t="str">
        <f t="shared" si="1"/>
        <v/>
      </c>
      <c r="AR63" s="66"/>
      <c r="AS63" s="76"/>
      <c r="AT63" s="225"/>
      <c r="AU63" s="213"/>
      <c r="AV63" s="214"/>
      <c r="AW63" s="226"/>
      <c r="AX63" s="213"/>
      <c r="AY63" s="213"/>
      <c r="AZ63" s="227"/>
      <c r="BA63" s="65"/>
      <c r="BB63" s="52"/>
      <c r="BC63" s="27"/>
      <c r="BD63" s="27"/>
      <c r="BE63" s="27"/>
      <c r="BF63" s="79"/>
      <c r="BG63" s="52"/>
      <c r="BH63" s="69"/>
      <c r="BI63" s="188" t="str">
        <f>IF(Y63=BUSCADOR!$B$46,"HURTO_",IF(OR(Y63=BUSCADOR!$B$49,Y63=BUSCADOR!$B$50),"ROBO_",""))</f>
        <v/>
      </c>
      <c r="BJ63" s="50"/>
      <c r="BK63" s="45"/>
      <c r="BL63" s="66"/>
      <c r="BM63" s="1" t="b">
        <f t="shared" si="7"/>
        <v>0</v>
      </c>
    </row>
    <row r="64" spans="1:65" ht="117.6" customHeight="1" x14ac:dyDescent="0.25">
      <c r="A64" s="171">
        <v>62</v>
      </c>
      <c r="B64" s="41" t="str">
        <f>IF(AND(BM64,ISBLANK(C64)),"Completar FECHA DE DENUNCIA",IF(AND(BM64,OR(ISBLANK(D64),ISBLANK(E64),ISBLANK(H64))),"Completar las celdas FECHA, HORA Y PREVENTIVO. En caso de no conocer la fecha u horario colocar INDETERMINADO",IF(AND(BM64,ISBLANK(G64)),"Completar COMISARIA",IF(AND(BM64,OR(ISBLANK(I64),ISBLANK(L64),ISBLANK(M64),O64="")),"Completar las celdas LOCALIDAD, CALLE, ALTURA Y DIRECCION SEGUN  GOOGLE MAPS",IF(AND(ISBLANK(J64),OR(I64=AÑELO[[#Headers],[AÑELO]],CENTENARIO[[#Headers],[CENTENARIO]]='PLANILLA DJ'!I64,CUTRAL_CO[[#Headers],[CUTRAL_CO]],JUNIN_DE_LOS_ANDES[[#Headers],[JUNIN_DE_LOS_ANDES]]='PLANILLA DJ'!I64,'PLANILLA DJ'!I64=NEUQUEN[[#Headers],[NEUQUEN]],PLAZA_HUINCUL[[#Headers],[PLAZA_HUINCUL]]='PLANILLA DJ'!I64,'PLANILLA DJ'!I64=PLOTTIER[[#Headers],[PLOTTIER]])),"COMPLETAR BARRIO",IF(AND(BM64,ISBLANK(Q64)),"Completar Nombre de VICTIMA o DENUNCIANTE",IF(AND(BM64,ISBLANK(R64)),"Completar TIPO DE ACTUACION",IF(AND(R64=BUSCADOR!$B$140,OR(X64&lt;&gt;BUSCADOR!$A$110,ISBLANK(X64))),"Se indico A CONSIDERACION en ACTUACION, indicar en el buscador de delitos A CONSIDERACION tambien",IF(AND(ISBLANK(X64)&lt;&gt;TRUE,IFERROR(MATCH(X64,BUSCADOR!$A$2:$A$112,0),-1)&lt;0),"EN EL BUSCADOR DE DELITOS NO agregar comentarios como SU INVESTIGACION, REPORTE, etc. Limitarse SOLAMENTE a poner A CONSIDERACION u otro valor que coincida en el buscador",IF(AND(ISBLANK(AD64),OR(Y64=BUSCADOR!$B$49,BUSCADOR!$B$50=Y64,Y64=BUSCADOR!$B$46,Y64=BUSCADOR!$B$2,Y64=BUSCADOR!$B$7,BUSCADOR!$B$109=Y64,X64=BUSCADOR!$A$58,X64=BUSCADOR!$A$59)),"Completar la celda TIPO DE LUGAR",IF(AND(ISBLANK(AE64),OR(AD64=BUSCADOR!$E$149,BUSCADOR!$E$150=AD64,AD64=BUSCADOR!$F$148)),"Completar DETALLE ESTABLECIMIENTO",IF(AND(ISBLANK(AF64),BM64),"Completar la celda MOTIVO QUE ORIGINA EL REGISTRO DEL HECHO",IF(AND(SUM(AG64:AI64)=0,OR(Y64=BUSCADOR!$B$2,BUSCADOR!$B$6=Y64,Y64=BUSCADOR!$B$7,BUSCADOR!$B$8=Y64,Y64=BUSCADOR!$B$9,BUSCADOR!$B$12=Y64,Y64=BUSCADOR!$B$13,BUSCADOR!$B$14=Y64,Y64=BUSCADOR!$B$17,BUSCADOR!$B$18=Y64,Y64=BUSCADOR!$B$20,BUSCADOR!$B$29=Y64,BUSCADOR!$B$34=Y64,BUSCADOR!$B$35=Y64,Y64=BUSCADOR!$B$109,Y64=BUSCADOR!$B$51,BUSCADOR!$B$50=Y64,Y64=BUSCADOR!$B$47,Y64=BUSCADOR!$B$58,Y64=BUSCADOR!$B$21,Y64=BUSCADOR!$B$22,Y64=BUSCADOR!$B$23,Y64=BUSCADOR!$B$24)),"El delito indicado debe presentar un numero de victimas. Completar la celda CANTIDAD DE VICTIMAS",IF(AND(SUM(AJ64:AO64)&gt;0,ISBLANK(AP64)),"Completar celda VULNERABILIDAD DE LA VICTIMA",IF(SUM(AG64:AI64)&lt;&gt;SUM(AJ64:AO64),"Se indico una CANTIDAD DE VICTIMAS SEGUN SEXO diferente a SEGUN GENERO",IF(AND(ISBLANK(AR64),OR(Y64=BUSCADOR!$B$49,BUSCADOR!$B$50=Y64,Y64=BUSCADOR!$B$46,Y64=BUSCADOR!$B$109,BUSCADOR!$B$2=Y64,X64=BUSCADOR!$A$58,X64=BUSCADOR!$A$59)),"Completar la celda TIPO DE ARMA, MODALIDAD O MECANISMO",IF(AND(ISBLANK(AS64),OR(Y64=BUSCADOR!$B$51,BUSCADOR!$B$50=Y64,Y64=BUSCADOR!$B$47,BUSCADOR!$A$58=X64,X64=BUSCADOR!$A$59)),"Completar la celda CONOCIDO, en la seccion de los inculpados",IF(AND(AS64=BUSCADOR!$B$127,OR(Y64=BUSCADOR!$B$51,BUSCADOR!$B$50,Y64,BUSCADOR!$B$46),OR(SUM(AT64:AV64)&lt;&gt;SUM(AW64:AZ64),SUM(AT64:AZ64)=0)),"Revisar las celdas correspondientes a CANTIDAD DE INCULPADOS. Se indica una cantidad diferente segun SEXO y EDAD o no se indico cantidad alguna",IF(AND(ISBLANK(BA64),X64=BUSCADOR!$A$27),"Se indico una persona desaparecida. Completar la casilla APARECIO",IF(AND(ISBLANK(BB64),OR(Y64=BUSCADOR!$B$49,BUSCADOR!$B$50=Y64,Y64=BUSCADOR!$B$46)),"Completar la casilla ELEMENTO SUSTRAIDO",IF(OR(AND(BB64=OTROS[[#Headers],[OTROS]],ISBLANK(BC64)),AND(BB64=ABIGEATO[[#Headers],[ABIGEATO]],ISBLANK(BC64))),"Completar la celda SUBCATEGORIA",IF(AND(OR(BB64=MOTOCICLETA[[#Headers],[MOTOCICLETA]],BB64=AUTOMOTOR[[#Headers],[AUTOMOTOR]]),OR(ISBLANK(BC64),ISBLANK(BD64),ISBLANK(BE64),ISBLANK(BF64))),"Se indico un AUTOMOTOR o MOTOCICLETA en ELEMENTOS SUSTRAIDOS, completar las celdas SUBCATEGORIA, DENOMINACION, AÑO y MODELO", IF(AND(ISBLANK(BB64)&lt;&gt;TRUE,ISBLANK(BJ64)),"Completar MODUS OPERANDI",IF(AND(ISBLANK(BK64),OR(BJ64=BUSCADOR!$H$232,BJ64=BUSCADOR!$I$232)),"Completar ESPECIALIDAD",IF(OR(AND(H64='SAT-Homicidios Dolosos'!$B$5,'SAT-Homicidios Dolosos'!$A$5&lt;&gt;"OK"),AND(H64='SAT-Homicidios Dolosos'!$B$8,'SAT-Homicidios Dolosos'!$A$8&lt;&gt;"OK")),"Se indico un HOMICIDIO, existen CELDAS VACIAS en la hoja SAT-HOMICIDIOS DOLOSOS Completar los datos indicados",IF(OR(AND(H64='SAT-Muertes Viales'!$E$21,'SAT-Muertes Viales'!$A$21&lt;&gt;"OK"),AND(H64='SAT-Muertes Viales'!$E$25,'SAT-Muertes Viales'!$A$25&lt;&gt;"OK"),AND(H64='SAT-Muertes Viales'!$E$29,'SAT-Muertes Viales'!$A$29&lt;&gt;"OK")),"Se indico un HOMICIDIO POR SINIESTRO VIAL, existen CELDAS VACIAS en la hoja SAT-MUERTES VIALES Completar los datos indicados",IF(OR(AND(H64='SAT-Suicidios'!$B$19,'SAT-Suicidios'!$A$19&lt;&gt;"OK"),AND(H64='SAT-Suicidios'!$B$22,'SAT-Suicidios'!$A$22&lt;&gt;"OK"),AND(H64='SAT-Suicidios'!$B$25,'SAT-Suicidios'!$A$25&lt;&gt;"OK")),"Se indico un SUICIDIO, existen CELDAS VACIAS en la hoja SAT-SUICIDIOS Completar los datos indicados",IF(IFERROR(MATCH(X64,BUSCADOR!$A$2:$A$112,0),-1)&lt;0,"No se indico delito",IF(AND(ISBLANK(BL64),OR(X64=BUSCADOR!$A$111,X64=BUSCADOR!$A$110)),"Llenar la casilla DETALLES, COMENTARIOS con una descripcion de la causa",IF(AND(X64="MUERTE DUDOSA",ISBLANK(BL64)=FALSE),"SE INDICO MUERTE DUDOSA, NOS CONTACTAREMOS PARA MAS INFORMACION","FILA CORRECTA"))))))))))))))))))))))))))))))</f>
        <v>No se indico delito</v>
      </c>
      <c r="C64" s="42"/>
      <c r="D64" s="90"/>
      <c r="E64" s="47"/>
      <c r="F64" s="88"/>
      <c r="G64" s="221" t="str">
        <f t="shared" si="9"/>
        <v>Comisaría 15°</v>
      </c>
      <c r="H64" s="46"/>
      <c r="I64" s="52"/>
      <c r="J64" s="27"/>
      <c r="K64" s="27"/>
      <c r="L64" s="27"/>
      <c r="M64" s="27"/>
      <c r="N64" s="46"/>
      <c r="O64" s="55" t="str">
        <f t="shared" si="10"/>
        <v/>
      </c>
      <c r="P64" s="56" t="str">
        <f t="shared" si="11"/>
        <v/>
      </c>
      <c r="Q64" s="52"/>
      <c r="R64" s="46"/>
      <c r="S64" s="62"/>
      <c r="T64" s="57" t="str">
        <f>IFERROR(VLOOKUP(X64,BUSCADOR!$A$2:$E$112,5,FALSE),"")</f>
        <v/>
      </c>
      <c r="U64" s="107" t="str">
        <f t="shared" si="12"/>
        <v/>
      </c>
      <c r="V64" s="28" t="str">
        <f>IFERROR(VLOOKUP(X64,BUSCADOR!$A$2:$E$112,4,FALSE),"")</f>
        <v/>
      </c>
      <c r="W64" s="107" t="str">
        <f t="shared" si="13"/>
        <v/>
      </c>
      <c r="X64" s="27"/>
      <c r="Y64" s="58" t="str">
        <f>IFERROR(VLOOKUP(X64,BUSCADOR!$A$2:$B$112,2,FALSE),"")</f>
        <v/>
      </c>
      <c r="Z64" s="101" t="str">
        <f t="shared" si="4"/>
        <v>__</v>
      </c>
      <c r="AA64" s="103" t="str">
        <f t="shared" si="5"/>
        <v>___</v>
      </c>
      <c r="AB64" s="104" t="str">
        <f t="shared" si="6"/>
        <v>____</v>
      </c>
      <c r="AC64" s="104" t="str">
        <f t="shared" si="6"/>
        <v>_____</v>
      </c>
      <c r="AD64" s="83"/>
      <c r="AE64" s="45"/>
      <c r="AF64" s="66"/>
      <c r="AG64" s="212"/>
      <c r="AH64" s="213"/>
      <c r="AI64" s="214"/>
      <c r="AJ64" s="219"/>
      <c r="AK64" s="213"/>
      <c r="AL64" s="213"/>
      <c r="AM64" s="213"/>
      <c r="AN64" s="213"/>
      <c r="AO64" s="219"/>
      <c r="AP64" s="95"/>
      <c r="AQ64" s="186" t="str">
        <f t="shared" si="1"/>
        <v/>
      </c>
      <c r="AR64" s="66"/>
      <c r="AS64" s="76"/>
      <c r="AT64" s="225"/>
      <c r="AU64" s="213"/>
      <c r="AV64" s="214"/>
      <c r="AW64" s="226"/>
      <c r="AX64" s="213"/>
      <c r="AY64" s="213"/>
      <c r="AZ64" s="227"/>
      <c r="BA64" s="65"/>
      <c r="BB64" s="52"/>
      <c r="BC64" s="27"/>
      <c r="BD64" s="27"/>
      <c r="BE64" s="27"/>
      <c r="BF64" s="79"/>
      <c r="BG64" s="52"/>
      <c r="BH64" s="69"/>
      <c r="BI64" s="188" t="str">
        <f>IF(Y64=BUSCADOR!$B$46,"HURTO_",IF(OR(Y64=BUSCADOR!$B$49,Y64=BUSCADOR!$B$50),"ROBO_",""))</f>
        <v/>
      </c>
      <c r="BJ64" s="50"/>
      <c r="BK64" s="45"/>
      <c r="BL64" s="66"/>
      <c r="BM64" s="1" t="b">
        <f t="shared" si="7"/>
        <v>0</v>
      </c>
    </row>
    <row r="65" spans="1:65" ht="117.6" customHeight="1" x14ac:dyDescent="0.25">
      <c r="A65" s="171">
        <v>63</v>
      </c>
      <c r="B65" s="41" t="str">
        <f>IF(AND(BM65,ISBLANK(C65)),"Completar FECHA DE DENUNCIA",IF(AND(BM65,OR(ISBLANK(D65),ISBLANK(E65),ISBLANK(H65))),"Completar las celdas FECHA, HORA Y PREVENTIVO. En caso de no conocer la fecha u horario colocar INDETERMINADO",IF(AND(BM65,ISBLANK(G65)),"Completar COMISARIA",IF(AND(BM65,OR(ISBLANK(I65),ISBLANK(L65),ISBLANK(M65),O65="")),"Completar las celdas LOCALIDAD, CALLE, ALTURA Y DIRECCION SEGUN  GOOGLE MAPS",IF(AND(ISBLANK(J65),OR(I65=AÑELO[[#Headers],[AÑELO]],CENTENARIO[[#Headers],[CENTENARIO]]='PLANILLA DJ'!I65,CUTRAL_CO[[#Headers],[CUTRAL_CO]],JUNIN_DE_LOS_ANDES[[#Headers],[JUNIN_DE_LOS_ANDES]]='PLANILLA DJ'!I65,'PLANILLA DJ'!I65=NEUQUEN[[#Headers],[NEUQUEN]],PLAZA_HUINCUL[[#Headers],[PLAZA_HUINCUL]]='PLANILLA DJ'!I65,'PLANILLA DJ'!I65=PLOTTIER[[#Headers],[PLOTTIER]])),"COMPLETAR BARRIO",IF(AND(BM65,ISBLANK(Q65)),"Completar Nombre de VICTIMA o DENUNCIANTE",IF(AND(BM65,ISBLANK(R65)),"Completar TIPO DE ACTUACION",IF(AND(R65=BUSCADOR!$B$140,OR(X65&lt;&gt;BUSCADOR!$A$110,ISBLANK(X65))),"Se indico A CONSIDERACION en ACTUACION, indicar en el buscador de delitos A CONSIDERACION tambien",IF(AND(ISBLANK(X65)&lt;&gt;TRUE,IFERROR(MATCH(X65,BUSCADOR!$A$2:$A$112,0),-1)&lt;0),"EN EL BUSCADOR DE DELITOS NO agregar comentarios como SU INVESTIGACION, REPORTE, etc. Limitarse SOLAMENTE a poner A CONSIDERACION u otro valor que coincida en el buscador",IF(AND(ISBLANK(AD65),OR(Y65=BUSCADOR!$B$49,BUSCADOR!$B$50=Y65,Y65=BUSCADOR!$B$46,Y65=BUSCADOR!$B$2,Y65=BUSCADOR!$B$7,BUSCADOR!$B$109=Y65,X65=BUSCADOR!$A$58,X65=BUSCADOR!$A$59)),"Completar la celda TIPO DE LUGAR",IF(AND(ISBLANK(AE65),OR(AD65=BUSCADOR!$E$149,BUSCADOR!$E$150=AD65,AD65=BUSCADOR!$F$148)),"Completar DETALLE ESTABLECIMIENTO",IF(AND(ISBLANK(AF65),BM65),"Completar la celda MOTIVO QUE ORIGINA EL REGISTRO DEL HECHO",IF(AND(SUM(AG65:AI65)=0,OR(Y65=BUSCADOR!$B$2,BUSCADOR!$B$6=Y65,Y65=BUSCADOR!$B$7,BUSCADOR!$B$8=Y65,Y65=BUSCADOR!$B$9,BUSCADOR!$B$12=Y65,Y65=BUSCADOR!$B$13,BUSCADOR!$B$14=Y65,Y65=BUSCADOR!$B$17,BUSCADOR!$B$18=Y65,Y65=BUSCADOR!$B$20,BUSCADOR!$B$29=Y65,BUSCADOR!$B$34=Y65,BUSCADOR!$B$35=Y65,Y65=BUSCADOR!$B$109,Y65=BUSCADOR!$B$51,BUSCADOR!$B$50=Y65,Y65=BUSCADOR!$B$47,Y65=BUSCADOR!$B$58,Y65=BUSCADOR!$B$21,Y65=BUSCADOR!$B$22,Y65=BUSCADOR!$B$23,Y65=BUSCADOR!$B$24)),"El delito indicado debe presentar un numero de victimas. Completar la celda CANTIDAD DE VICTIMAS",IF(AND(SUM(AJ65:AO65)&gt;0,ISBLANK(AP65)),"Completar celda VULNERABILIDAD DE LA VICTIMA",IF(SUM(AG65:AI65)&lt;&gt;SUM(AJ65:AO65),"Se indico una CANTIDAD DE VICTIMAS SEGUN SEXO diferente a SEGUN GENERO",IF(AND(ISBLANK(AR65),OR(Y65=BUSCADOR!$B$49,BUSCADOR!$B$50=Y65,Y65=BUSCADOR!$B$46,Y65=BUSCADOR!$B$109,BUSCADOR!$B$2=Y65,X65=BUSCADOR!$A$58,X65=BUSCADOR!$A$59)),"Completar la celda TIPO DE ARMA, MODALIDAD O MECANISMO",IF(AND(ISBLANK(AS65),OR(Y65=BUSCADOR!$B$51,BUSCADOR!$B$50=Y65,Y65=BUSCADOR!$B$47,BUSCADOR!$A$58=X65,X65=BUSCADOR!$A$59)),"Completar la celda CONOCIDO, en la seccion de los inculpados",IF(AND(AS65=BUSCADOR!$B$127,OR(Y65=BUSCADOR!$B$51,BUSCADOR!$B$50,Y65,BUSCADOR!$B$46),OR(SUM(AT65:AV65)&lt;&gt;SUM(AW65:AZ65),SUM(AT65:AZ65)=0)),"Revisar las celdas correspondientes a CANTIDAD DE INCULPADOS. Se indica una cantidad diferente segun SEXO y EDAD o no se indico cantidad alguna",IF(AND(ISBLANK(BA65),X65=BUSCADOR!$A$27),"Se indico una persona desaparecida. Completar la casilla APARECIO",IF(AND(ISBLANK(BB65),OR(Y65=BUSCADOR!$B$49,BUSCADOR!$B$50=Y65,Y65=BUSCADOR!$B$46)),"Completar la casilla ELEMENTO SUSTRAIDO",IF(OR(AND(BB65=OTROS[[#Headers],[OTROS]],ISBLANK(BC65)),AND(BB65=ABIGEATO[[#Headers],[ABIGEATO]],ISBLANK(BC65))),"Completar la celda SUBCATEGORIA",IF(AND(OR(BB65=MOTOCICLETA[[#Headers],[MOTOCICLETA]],BB65=AUTOMOTOR[[#Headers],[AUTOMOTOR]]),OR(ISBLANK(BC65),ISBLANK(BD65),ISBLANK(BE65),ISBLANK(BF65))),"Se indico un AUTOMOTOR o MOTOCICLETA en ELEMENTOS SUSTRAIDOS, completar las celdas SUBCATEGORIA, DENOMINACION, AÑO y MODELO", IF(AND(ISBLANK(BB65)&lt;&gt;TRUE,ISBLANK(BJ65)),"Completar MODUS OPERANDI",IF(AND(ISBLANK(BK65),OR(BJ65=BUSCADOR!$H$232,BJ65=BUSCADOR!$I$232)),"Completar ESPECIALIDAD",IF(OR(AND(H65='SAT-Homicidios Dolosos'!$B$5,'SAT-Homicidios Dolosos'!$A$5&lt;&gt;"OK"),AND(H65='SAT-Homicidios Dolosos'!$B$8,'SAT-Homicidios Dolosos'!$A$8&lt;&gt;"OK")),"Se indico un HOMICIDIO, existen CELDAS VACIAS en la hoja SAT-HOMICIDIOS DOLOSOS Completar los datos indicados",IF(OR(AND(H65='SAT-Muertes Viales'!$E$21,'SAT-Muertes Viales'!$A$21&lt;&gt;"OK"),AND(H65='SAT-Muertes Viales'!$E$25,'SAT-Muertes Viales'!$A$25&lt;&gt;"OK"),AND(H65='SAT-Muertes Viales'!$E$29,'SAT-Muertes Viales'!$A$29&lt;&gt;"OK")),"Se indico un HOMICIDIO POR SINIESTRO VIAL, existen CELDAS VACIAS en la hoja SAT-MUERTES VIALES Completar los datos indicados",IF(OR(AND(H65='SAT-Suicidios'!$B$19,'SAT-Suicidios'!$A$19&lt;&gt;"OK"),AND(H65='SAT-Suicidios'!$B$22,'SAT-Suicidios'!$A$22&lt;&gt;"OK"),AND(H65='SAT-Suicidios'!$B$25,'SAT-Suicidios'!$A$25&lt;&gt;"OK")),"Se indico un SUICIDIO, existen CELDAS VACIAS en la hoja SAT-SUICIDIOS Completar los datos indicados",IF(IFERROR(MATCH(X65,BUSCADOR!$A$2:$A$112,0),-1)&lt;0,"No se indico delito",IF(AND(ISBLANK(BL65),OR(X65=BUSCADOR!$A$111,X65=BUSCADOR!$A$110)),"Llenar la casilla DETALLES, COMENTARIOS con una descripcion de la causa",IF(AND(X65="MUERTE DUDOSA",ISBLANK(BL65)=FALSE),"SE INDICO MUERTE DUDOSA, NOS CONTACTAREMOS PARA MAS INFORMACION","FILA CORRECTA"))))))))))))))))))))))))))))))</f>
        <v>No se indico delito</v>
      </c>
      <c r="C65" s="42"/>
      <c r="D65" s="90"/>
      <c r="E65" s="47"/>
      <c r="F65" s="88"/>
      <c r="G65" s="221" t="str">
        <f t="shared" si="9"/>
        <v>Comisaría 15°</v>
      </c>
      <c r="H65" s="46"/>
      <c r="I65" s="52"/>
      <c r="J65" s="27"/>
      <c r="K65" s="27"/>
      <c r="L65" s="27"/>
      <c r="M65" s="27"/>
      <c r="N65" s="46"/>
      <c r="O65" s="55" t="str">
        <f t="shared" si="10"/>
        <v/>
      </c>
      <c r="P65" s="56" t="str">
        <f t="shared" si="11"/>
        <v/>
      </c>
      <c r="Q65" s="52"/>
      <c r="R65" s="46"/>
      <c r="S65" s="62"/>
      <c r="T65" s="57" t="str">
        <f>IFERROR(VLOOKUP(X65,BUSCADOR!$A$2:$E$112,5,FALSE),"")</f>
        <v/>
      </c>
      <c r="U65" s="107" t="str">
        <f t="shared" si="12"/>
        <v/>
      </c>
      <c r="V65" s="28" t="str">
        <f>IFERROR(VLOOKUP(X65,BUSCADOR!$A$2:$E$112,4,FALSE),"")</f>
        <v/>
      </c>
      <c r="W65" s="107" t="str">
        <f t="shared" si="13"/>
        <v/>
      </c>
      <c r="X65" s="27"/>
      <c r="Y65" s="58" t="str">
        <f>IFERROR(VLOOKUP(X65,BUSCADOR!$A$2:$B$112,2,FALSE),"")</f>
        <v/>
      </c>
      <c r="Z65" s="101" t="str">
        <f t="shared" si="4"/>
        <v>__</v>
      </c>
      <c r="AA65" s="103" t="str">
        <f t="shared" si="5"/>
        <v>___</v>
      </c>
      <c r="AB65" s="104" t="str">
        <f t="shared" si="6"/>
        <v>____</v>
      </c>
      <c r="AC65" s="104" t="str">
        <f t="shared" si="6"/>
        <v>_____</v>
      </c>
      <c r="AD65" s="83"/>
      <c r="AE65" s="45"/>
      <c r="AF65" s="66"/>
      <c r="AG65" s="212"/>
      <c r="AH65" s="213"/>
      <c r="AI65" s="214"/>
      <c r="AJ65" s="219"/>
      <c r="AK65" s="213"/>
      <c r="AL65" s="213"/>
      <c r="AM65" s="213"/>
      <c r="AN65" s="213"/>
      <c r="AO65" s="219"/>
      <c r="AP65" s="95"/>
      <c r="AQ65" s="186" t="str">
        <f t="shared" si="1"/>
        <v/>
      </c>
      <c r="AR65" s="66"/>
      <c r="AS65" s="76"/>
      <c r="AT65" s="225"/>
      <c r="AU65" s="213"/>
      <c r="AV65" s="214"/>
      <c r="AW65" s="226"/>
      <c r="AX65" s="213"/>
      <c r="AY65" s="213"/>
      <c r="AZ65" s="227"/>
      <c r="BA65" s="65"/>
      <c r="BB65" s="52"/>
      <c r="BC65" s="27"/>
      <c r="BD65" s="27"/>
      <c r="BE65" s="27"/>
      <c r="BF65" s="79"/>
      <c r="BG65" s="52"/>
      <c r="BH65" s="69"/>
      <c r="BI65" s="188" t="str">
        <f>IF(Y65=BUSCADOR!$B$46,"HURTO_",IF(OR(Y65=BUSCADOR!$B$49,Y65=BUSCADOR!$B$50),"ROBO_",""))</f>
        <v/>
      </c>
      <c r="BJ65" s="50"/>
      <c r="BK65" s="45"/>
      <c r="BL65" s="66"/>
      <c r="BM65" s="1" t="b">
        <f t="shared" si="7"/>
        <v>0</v>
      </c>
    </row>
    <row r="66" spans="1:65" ht="117.6" customHeight="1" x14ac:dyDescent="0.25">
      <c r="A66" s="171">
        <v>64</v>
      </c>
      <c r="B66" s="41" t="str">
        <f>IF(AND(BM66,ISBLANK(C66)),"Completar FECHA DE DENUNCIA",IF(AND(BM66,OR(ISBLANK(D66),ISBLANK(E66),ISBLANK(H66))),"Completar las celdas FECHA, HORA Y PREVENTIVO. En caso de no conocer la fecha u horario colocar INDETERMINADO",IF(AND(BM66,ISBLANK(G66)),"Completar COMISARIA",IF(AND(BM66,OR(ISBLANK(I66),ISBLANK(L66),ISBLANK(M66),O66="")),"Completar las celdas LOCALIDAD, CALLE, ALTURA Y DIRECCION SEGUN  GOOGLE MAPS",IF(AND(ISBLANK(J66),OR(I66=AÑELO[[#Headers],[AÑELO]],CENTENARIO[[#Headers],[CENTENARIO]]='PLANILLA DJ'!I66,CUTRAL_CO[[#Headers],[CUTRAL_CO]],JUNIN_DE_LOS_ANDES[[#Headers],[JUNIN_DE_LOS_ANDES]]='PLANILLA DJ'!I66,'PLANILLA DJ'!I66=NEUQUEN[[#Headers],[NEUQUEN]],PLAZA_HUINCUL[[#Headers],[PLAZA_HUINCUL]]='PLANILLA DJ'!I66,'PLANILLA DJ'!I66=PLOTTIER[[#Headers],[PLOTTIER]])),"COMPLETAR BARRIO",IF(AND(BM66,ISBLANK(Q66)),"Completar Nombre de VICTIMA o DENUNCIANTE",IF(AND(BM66,ISBLANK(R66)),"Completar TIPO DE ACTUACION",IF(AND(R66=BUSCADOR!$B$140,OR(X66&lt;&gt;BUSCADOR!$A$110,ISBLANK(X66))),"Se indico A CONSIDERACION en ACTUACION, indicar en el buscador de delitos A CONSIDERACION tambien",IF(AND(ISBLANK(X66)&lt;&gt;TRUE,IFERROR(MATCH(X66,BUSCADOR!$A$2:$A$112,0),-1)&lt;0),"EN EL BUSCADOR DE DELITOS NO agregar comentarios como SU INVESTIGACION, REPORTE, etc. Limitarse SOLAMENTE a poner A CONSIDERACION u otro valor que coincida en el buscador",IF(AND(ISBLANK(AD66),OR(Y66=BUSCADOR!$B$49,BUSCADOR!$B$50=Y66,Y66=BUSCADOR!$B$46,Y66=BUSCADOR!$B$2,Y66=BUSCADOR!$B$7,BUSCADOR!$B$109=Y66,X66=BUSCADOR!$A$58,X66=BUSCADOR!$A$59)),"Completar la celda TIPO DE LUGAR",IF(AND(ISBLANK(AE66),OR(AD66=BUSCADOR!$E$149,BUSCADOR!$E$150=AD66,AD66=BUSCADOR!$F$148)),"Completar DETALLE ESTABLECIMIENTO",IF(AND(ISBLANK(AF66),BM66),"Completar la celda MOTIVO QUE ORIGINA EL REGISTRO DEL HECHO",IF(AND(SUM(AG66:AI66)=0,OR(Y66=BUSCADOR!$B$2,BUSCADOR!$B$6=Y66,Y66=BUSCADOR!$B$7,BUSCADOR!$B$8=Y66,Y66=BUSCADOR!$B$9,BUSCADOR!$B$12=Y66,Y66=BUSCADOR!$B$13,BUSCADOR!$B$14=Y66,Y66=BUSCADOR!$B$17,BUSCADOR!$B$18=Y66,Y66=BUSCADOR!$B$20,BUSCADOR!$B$29=Y66,BUSCADOR!$B$34=Y66,BUSCADOR!$B$35=Y66,Y66=BUSCADOR!$B$109,Y66=BUSCADOR!$B$51,BUSCADOR!$B$50=Y66,Y66=BUSCADOR!$B$47,Y66=BUSCADOR!$B$58,Y66=BUSCADOR!$B$21,Y66=BUSCADOR!$B$22,Y66=BUSCADOR!$B$23,Y66=BUSCADOR!$B$24)),"El delito indicado debe presentar un numero de victimas. Completar la celda CANTIDAD DE VICTIMAS",IF(AND(SUM(AJ66:AO66)&gt;0,ISBLANK(AP66)),"Completar celda VULNERABILIDAD DE LA VICTIMA",IF(SUM(AG66:AI66)&lt;&gt;SUM(AJ66:AO66),"Se indico una CANTIDAD DE VICTIMAS SEGUN SEXO diferente a SEGUN GENERO",IF(AND(ISBLANK(AR66),OR(Y66=BUSCADOR!$B$49,BUSCADOR!$B$50=Y66,Y66=BUSCADOR!$B$46,Y66=BUSCADOR!$B$109,BUSCADOR!$B$2=Y66,X66=BUSCADOR!$A$58,X66=BUSCADOR!$A$59)),"Completar la celda TIPO DE ARMA, MODALIDAD O MECANISMO",IF(AND(ISBLANK(AS66),OR(Y66=BUSCADOR!$B$51,BUSCADOR!$B$50=Y66,Y66=BUSCADOR!$B$47,BUSCADOR!$A$58=X66,X66=BUSCADOR!$A$59)),"Completar la celda CONOCIDO, en la seccion de los inculpados",IF(AND(AS66=BUSCADOR!$B$127,OR(Y66=BUSCADOR!$B$51,BUSCADOR!$B$50,Y66,BUSCADOR!$B$46),OR(SUM(AT66:AV66)&lt;&gt;SUM(AW66:AZ66),SUM(AT66:AZ66)=0)),"Revisar las celdas correspondientes a CANTIDAD DE INCULPADOS. Se indica una cantidad diferente segun SEXO y EDAD o no se indico cantidad alguna",IF(AND(ISBLANK(BA66),X66=BUSCADOR!$A$27),"Se indico una persona desaparecida. Completar la casilla APARECIO",IF(AND(ISBLANK(BB66),OR(Y66=BUSCADOR!$B$49,BUSCADOR!$B$50=Y66,Y66=BUSCADOR!$B$46)),"Completar la casilla ELEMENTO SUSTRAIDO",IF(OR(AND(BB66=OTROS[[#Headers],[OTROS]],ISBLANK(BC66)),AND(BB66=ABIGEATO[[#Headers],[ABIGEATO]],ISBLANK(BC66))),"Completar la celda SUBCATEGORIA",IF(AND(OR(BB66=MOTOCICLETA[[#Headers],[MOTOCICLETA]],BB66=AUTOMOTOR[[#Headers],[AUTOMOTOR]]),OR(ISBLANK(BC66),ISBLANK(BD66),ISBLANK(BE66),ISBLANK(BF66))),"Se indico un AUTOMOTOR o MOTOCICLETA en ELEMENTOS SUSTRAIDOS, completar las celdas SUBCATEGORIA, DENOMINACION, AÑO y MODELO", IF(AND(ISBLANK(BB66)&lt;&gt;TRUE,ISBLANK(BJ66)),"Completar MODUS OPERANDI",IF(AND(ISBLANK(BK66),OR(BJ66=BUSCADOR!$H$232,BJ66=BUSCADOR!$I$232)),"Completar ESPECIALIDAD",IF(OR(AND(H66='SAT-Homicidios Dolosos'!$B$5,'SAT-Homicidios Dolosos'!$A$5&lt;&gt;"OK"),AND(H66='SAT-Homicidios Dolosos'!$B$8,'SAT-Homicidios Dolosos'!$A$8&lt;&gt;"OK")),"Se indico un HOMICIDIO, existen CELDAS VACIAS en la hoja SAT-HOMICIDIOS DOLOSOS Completar los datos indicados",IF(OR(AND(H66='SAT-Muertes Viales'!$E$21,'SAT-Muertes Viales'!$A$21&lt;&gt;"OK"),AND(H66='SAT-Muertes Viales'!$E$25,'SAT-Muertes Viales'!$A$25&lt;&gt;"OK"),AND(H66='SAT-Muertes Viales'!$E$29,'SAT-Muertes Viales'!$A$29&lt;&gt;"OK")),"Se indico un HOMICIDIO POR SINIESTRO VIAL, existen CELDAS VACIAS en la hoja SAT-MUERTES VIALES Completar los datos indicados",IF(OR(AND(H66='SAT-Suicidios'!$B$19,'SAT-Suicidios'!$A$19&lt;&gt;"OK"),AND(H66='SAT-Suicidios'!$B$22,'SAT-Suicidios'!$A$22&lt;&gt;"OK"),AND(H66='SAT-Suicidios'!$B$25,'SAT-Suicidios'!$A$25&lt;&gt;"OK")),"Se indico un SUICIDIO, existen CELDAS VACIAS en la hoja SAT-SUICIDIOS Completar los datos indicados",IF(IFERROR(MATCH(X66,BUSCADOR!$A$2:$A$112,0),-1)&lt;0,"No se indico delito",IF(AND(ISBLANK(BL66),OR(X66=BUSCADOR!$A$111,X66=BUSCADOR!$A$110)),"Llenar la casilla DETALLES, COMENTARIOS con una descripcion de la causa",IF(AND(X66="MUERTE DUDOSA",ISBLANK(BL66)=FALSE),"SE INDICO MUERTE DUDOSA, NOS CONTACTAREMOS PARA MAS INFORMACION","FILA CORRECTA"))))))))))))))))))))))))))))))</f>
        <v>No se indico delito</v>
      </c>
      <c r="C66" s="42"/>
      <c r="D66" s="90"/>
      <c r="E66" s="47"/>
      <c r="F66" s="88"/>
      <c r="G66" s="221" t="str">
        <f t="shared" si="9"/>
        <v>Comisaría 15°</v>
      </c>
      <c r="H66" s="46"/>
      <c r="I66" s="52"/>
      <c r="J66" s="27"/>
      <c r="K66" s="27"/>
      <c r="L66" s="27"/>
      <c r="M66" s="27"/>
      <c r="N66" s="46"/>
      <c r="O66" s="55" t="str">
        <f t="shared" si="10"/>
        <v/>
      </c>
      <c r="P66" s="56" t="str">
        <f t="shared" si="11"/>
        <v/>
      </c>
      <c r="Q66" s="52"/>
      <c r="R66" s="46"/>
      <c r="S66" s="62"/>
      <c r="T66" s="57" t="str">
        <f>IFERROR(VLOOKUP(X66,BUSCADOR!$A$2:$E$112,5,FALSE),"")</f>
        <v/>
      </c>
      <c r="U66" s="107" t="str">
        <f t="shared" si="12"/>
        <v/>
      </c>
      <c r="V66" s="28" t="str">
        <f>IFERROR(VLOOKUP(X66,BUSCADOR!$A$2:$E$112,4,FALSE),"")</f>
        <v/>
      </c>
      <c r="W66" s="107" t="str">
        <f t="shared" si="13"/>
        <v/>
      </c>
      <c r="X66" s="27"/>
      <c r="Y66" s="58" t="str">
        <f>IFERROR(VLOOKUP(X66,BUSCADOR!$A$2:$B$112,2,FALSE),"")</f>
        <v/>
      </c>
      <c r="Z66" s="101" t="str">
        <f t="shared" si="4"/>
        <v>__</v>
      </c>
      <c r="AA66" s="103" t="str">
        <f t="shared" si="5"/>
        <v>___</v>
      </c>
      <c r="AB66" s="104" t="str">
        <f t="shared" si="6"/>
        <v>____</v>
      </c>
      <c r="AC66" s="104" t="str">
        <f t="shared" si="6"/>
        <v>_____</v>
      </c>
      <c r="AD66" s="83"/>
      <c r="AE66" s="45"/>
      <c r="AF66" s="66"/>
      <c r="AG66" s="212"/>
      <c r="AH66" s="213"/>
      <c r="AI66" s="214"/>
      <c r="AJ66" s="219"/>
      <c r="AK66" s="213"/>
      <c r="AL66" s="213"/>
      <c r="AM66" s="213"/>
      <c r="AN66" s="213"/>
      <c r="AO66" s="219"/>
      <c r="AP66" s="95"/>
      <c r="AQ66" s="186" t="str">
        <f t="shared" si="1"/>
        <v/>
      </c>
      <c r="AR66" s="66"/>
      <c r="AS66" s="76"/>
      <c r="AT66" s="225"/>
      <c r="AU66" s="213"/>
      <c r="AV66" s="214"/>
      <c r="AW66" s="226"/>
      <c r="AX66" s="213"/>
      <c r="AY66" s="213"/>
      <c r="AZ66" s="227"/>
      <c r="BA66" s="65"/>
      <c r="BB66" s="52"/>
      <c r="BC66" s="27"/>
      <c r="BD66" s="27"/>
      <c r="BE66" s="27"/>
      <c r="BF66" s="79"/>
      <c r="BG66" s="52"/>
      <c r="BH66" s="69"/>
      <c r="BI66" s="188" t="str">
        <f>IF(Y66=BUSCADOR!$B$46,"HURTO_",IF(OR(Y66=BUSCADOR!$B$49,Y66=BUSCADOR!$B$50),"ROBO_",""))</f>
        <v/>
      </c>
      <c r="BJ66" s="50"/>
      <c r="BK66" s="45"/>
      <c r="BL66" s="66"/>
      <c r="BM66" s="1" t="b">
        <f t="shared" si="7"/>
        <v>0</v>
      </c>
    </row>
    <row r="67" spans="1:65" ht="117.6" customHeight="1" x14ac:dyDescent="0.25">
      <c r="A67" s="171">
        <v>65</v>
      </c>
      <c r="B67" s="41" t="str">
        <f>IF(AND(BM67,ISBLANK(C67)),"Completar FECHA DE DENUNCIA",IF(AND(BM67,OR(ISBLANK(D67),ISBLANK(E67),ISBLANK(H67))),"Completar las celdas FECHA, HORA Y PREVENTIVO. En caso de no conocer la fecha u horario colocar INDETERMINADO",IF(AND(BM67,ISBLANK(G67)),"Completar COMISARIA",IF(AND(BM67,OR(ISBLANK(I67),ISBLANK(L67),ISBLANK(M67),O67="")),"Completar las celdas LOCALIDAD, CALLE, ALTURA Y DIRECCION SEGUN  GOOGLE MAPS",IF(AND(ISBLANK(J67),OR(I67=AÑELO[[#Headers],[AÑELO]],CENTENARIO[[#Headers],[CENTENARIO]]='PLANILLA DJ'!I67,CUTRAL_CO[[#Headers],[CUTRAL_CO]],JUNIN_DE_LOS_ANDES[[#Headers],[JUNIN_DE_LOS_ANDES]]='PLANILLA DJ'!I67,'PLANILLA DJ'!I67=NEUQUEN[[#Headers],[NEUQUEN]],PLAZA_HUINCUL[[#Headers],[PLAZA_HUINCUL]]='PLANILLA DJ'!I67,'PLANILLA DJ'!I67=PLOTTIER[[#Headers],[PLOTTIER]])),"COMPLETAR BARRIO",IF(AND(BM67,ISBLANK(Q67)),"Completar Nombre de VICTIMA o DENUNCIANTE",IF(AND(BM67,ISBLANK(R67)),"Completar TIPO DE ACTUACION",IF(AND(R67=BUSCADOR!$B$140,OR(X67&lt;&gt;BUSCADOR!$A$110,ISBLANK(X67))),"Se indico A CONSIDERACION en ACTUACION, indicar en el buscador de delitos A CONSIDERACION tambien",IF(AND(ISBLANK(X67)&lt;&gt;TRUE,IFERROR(MATCH(X67,BUSCADOR!$A$2:$A$112,0),-1)&lt;0),"EN EL BUSCADOR DE DELITOS NO agregar comentarios como SU INVESTIGACION, REPORTE, etc. Limitarse SOLAMENTE a poner A CONSIDERACION u otro valor que coincida en el buscador",IF(AND(ISBLANK(AD67),OR(Y67=BUSCADOR!$B$49,BUSCADOR!$B$50=Y67,Y67=BUSCADOR!$B$46,Y67=BUSCADOR!$B$2,Y67=BUSCADOR!$B$7,BUSCADOR!$B$109=Y67,X67=BUSCADOR!$A$58,X67=BUSCADOR!$A$59)),"Completar la celda TIPO DE LUGAR",IF(AND(ISBLANK(AE67),OR(AD67=BUSCADOR!$E$149,BUSCADOR!$E$150=AD67,AD67=BUSCADOR!$F$148)),"Completar DETALLE ESTABLECIMIENTO",IF(AND(ISBLANK(AF67),BM67),"Completar la celda MOTIVO QUE ORIGINA EL REGISTRO DEL HECHO",IF(AND(SUM(AG67:AI67)=0,OR(Y67=BUSCADOR!$B$2,BUSCADOR!$B$6=Y67,Y67=BUSCADOR!$B$7,BUSCADOR!$B$8=Y67,Y67=BUSCADOR!$B$9,BUSCADOR!$B$12=Y67,Y67=BUSCADOR!$B$13,BUSCADOR!$B$14=Y67,Y67=BUSCADOR!$B$17,BUSCADOR!$B$18=Y67,Y67=BUSCADOR!$B$20,BUSCADOR!$B$29=Y67,BUSCADOR!$B$34=Y67,BUSCADOR!$B$35=Y67,Y67=BUSCADOR!$B$109,Y67=BUSCADOR!$B$51,BUSCADOR!$B$50=Y67,Y67=BUSCADOR!$B$47,Y67=BUSCADOR!$B$58,Y67=BUSCADOR!$B$21,Y67=BUSCADOR!$B$22,Y67=BUSCADOR!$B$23,Y67=BUSCADOR!$B$24)),"El delito indicado debe presentar un numero de victimas. Completar la celda CANTIDAD DE VICTIMAS",IF(AND(SUM(AJ67:AO67)&gt;0,ISBLANK(AP67)),"Completar celda VULNERABILIDAD DE LA VICTIMA",IF(SUM(AG67:AI67)&lt;&gt;SUM(AJ67:AO67),"Se indico una CANTIDAD DE VICTIMAS SEGUN SEXO diferente a SEGUN GENERO",IF(AND(ISBLANK(AR67),OR(Y67=BUSCADOR!$B$49,BUSCADOR!$B$50=Y67,Y67=BUSCADOR!$B$46,Y67=BUSCADOR!$B$109,BUSCADOR!$B$2=Y67,X67=BUSCADOR!$A$58,X67=BUSCADOR!$A$59)),"Completar la celda TIPO DE ARMA, MODALIDAD O MECANISMO",IF(AND(ISBLANK(AS67),OR(Y67=BUSCADOR!$B$51,BUSCADOR!$B$50=Y67,Y67=BUSCADOR!$B$47,BUSCADOR!$A$58=X67,X67=BUSCADOR!$A$59)),"Completar la celda CONOCIDO, en la seccion de los inculpados",IF(AND(AS67=BUSCADOR!$B$127,OR(Y67=BUSCADOR!$B$51,BUSCADOR!$B$50,Y67,BUSCADOR!$B$46),OR(SUM(AT67:AV67)&lt;&gt;SUM(AW67:AZ67),SUM(AT67:AZ67)=0)),"Revisar las celdas correspondientes a CANTIDAD DE INCULPADOS. Se indica una cantidad diferente segun SEXO y EDAD o no se indico cantidad alguna",IF(AND(ISBLANK(BA67),X67=BUSCADOR!$A$27),"Se indico una persona desaparecida. Completar la casilla APARECIO",IF(AND(ISBLANK(BB67),OR(Y67=BUSCADOR!$B$49,BUSCADOR!$B$50=Y67,Y67=BUSCADOR!$B$46)),"Completar la casilla ELEMENTO SUSTRAIDO",IF(OR(AND(BB67=OTROS[[#Headers],[OTROS]],ISBLANK(BC67)),AND(BB67=ABIGEATO[[#Headers],[ABIGEATO]],ISBLANK(BC67))),"Completar la celda SUBCATEGORIA",IF(AND(OR(BB67=MOTOCICLETA[[#Headers],[MOTOCICLETA]],BB67=AUTOMOTOR[[#Headers],[AUTOMOTOR]]),OR(ISBLANK(BC67),ISBLANK(BD67),ISBLANK(BE67),ISBLANK(BF67))),"Se indico un AUTOMOTOR o MOTOCICLETA en ELEMENTOS SUSTRAIDOS, completar las celdas SUBCATEGORIA, DENOMINACION, AÑO y MODELO", IF(AND(ISBLANK(BB67)&lt;&gt;TRUE,ISBLANK(BJ67)),"Completar MODUS OPERANDI",IF(AND(ISBLANK(BK67),OR(BJ67=BUSCADOR!$H$232,BJ67=BUSCADOR!$I$232)),"Completar ESPECIALIDAD",IF(OR(AND(H67='SAT-Homicidios Dolosos'!$B$5,'SAT-Homicidios Dolosos'!$A$5&lt;&gt;"OK"),AND(H67='SAT-Homicidios Dolosos'!$B$8,'SAT-Homicidios Dolosos'!$A$8&lt;&gt;"OK")),"Se indico un HOMICIDIO, existen CELDAS VACIAS en la hoja SAT-HOMICIDIOS DOLOSOS Completar los datos indicados",IF(OR(AND(H67='SAT-Muertes Viales'!$E$21,'SAT-Muertes Viales'!$A$21&lt;&gt;"OK"),AND(H67='SAT-Muertes Viales'!$E$25,'SAT-Muertes Viales'!$A$25&lt;&gt;"OK"),AND(H67='SAT-Muertes Viales'!$E$29,'SAT-Muertes Viales'!$A$29&lt;&gt;"OK")),"Se indico un HOMICIDIO POR SINIESTRO VIAL, existen CELDAS VACIAS en la hoja SAT-MUERTES VIALES Completar los datos indicados",IF(OR(AND(H67='SAT-Suicidios'!$B$19,'SAT-Suicidios'!$A$19&lt;&gt;"OK"),AND(H67='SAT-Suicidios'!$B$22,'SAT-Suicidios'!$A$22&lt;&gt;"OK"),AND(H67='SAT-Suicidios'!$B$25,'SAT-Suicidios'!$A$25&lt;&gt;"OK")),"Se indico un SUICIDIO, existen CELDAS VACIAS en la hoja SAT-SUICIDIOS Completar los datos indicados",IF(IFERROR(MATCH(X67,BUSCADOR!$A$2:$A$112,0),-1)&lt;0,"No se indico delito",IF(AND(ISBLANK(BL67),OR(X67=BUSCADOR!$A$111,X67=BUSCADOR!$A$110)),"Llenar la casilla DETALLES, COMENTARIOS con una descripcion de la causa",IF(AND(X67="MUERTE DUDOSA",ISBLANK(BL67)=FALSE),"SE INDICO MUERTE DUDOSA, NOS CONTACTAREMOS PARA MAS INFORMACION","FILA CORRECTA"))))))))))))))))))))))))))))))</f>
        <v>No se indico delito</v>
      </c>
      <c r="C67" s="42"/>
      <c r="D67" s="90"/>
      <c r="E67" s="47"/>
      <c r="F67" s="88"/>
      <c r="G67" s="221" t="str">
        <f t="shared" si="9"/>
        <v>Comisaría 15°</v>
      </c>
      <c r="H67" s="46"/>
      <c r="I67" s="52"/>
      <c r="J67" s="27"/>
      <c r="K67" s="27"/>
      <c r="L67" s="27"/>
      <c r="M67" s="27"/>
      <c r="N67" s="46"/>
      <c r="O67" s="55" t="str">
        <f t="shared" si="10"/>
        <v/>
      </c>
      <c r="P67" s="56" t="str">
        <f t="shared" si="11"/>
        <v/>
      </c>
      <c r="Q67" s="52"/>
      <c r="R67" s="46"/>
      <c r="S67" s="62"/>
      <c r="T67" s="57" t="str">
        <f>IFERROR(VLOOKUP(X67,BUSCADOR!$A$2:$E$112,5,FALSE),"")</f>
        <v/>
      </c>
      <c r="U67" s="107" t="str">
        <f t="shared" si="12"/>
        <v/>
      </c>
      <c r="V67" s="28" t="str">
        <f>IFERROR(VLOOKUP(X67,BUSCADOR!$A$2:$E$112,4,FALSE),"")</f>
        <v/>
      </c>
      <c r="W67" s="107" t="str">
        <f t="shared" si="13"/>
        <v/>
      </c>
      <c r="X67" s="27"/>
      <c r="Y67" s="58" t="str">
        <f>IFERROR(VLOOKUP(X67,BUSCADOR!$A$2:$B$112,2,FALSE),"")</f>
        <v/>
      </c>
      <c r="Z67" s="101" t="str">
        <f t="shared" si="4"/>
        <v>__</v>
      </c>
      <c r="AA67" s="103" t="str">
        <f t="shared" si="5"/>
        <v>___</v>
      </c>
      <c r="AB67" s="104" t="str">
        <f t="shared" si="6"/>
        <v>____</v>
      </c>
      <c r="AC67" s="104" t="str">
        <f t="shared" si="6"/>
        <v>_____</v>
      </c>
      <c r="AD67" s="83"/>
      <c r="AE67" s="45"/>
      <c r="AF67" s="66"/>
      <c r="AG67" s="212"/>
      <c r="AH67" s="213"/>
      <c r="AI67" s="214"/>
      <c r="AJ67" s="219"/>
      <c r="AK67" s="213"/>
      <c r="AL67" s="213"/>
      <c r="AM67" s="213"/>
      <c r="AN67" s="213"/>
      <c r="AO67" s="219"/>
      <c r="AP67" s="95"/>
      <c r="AQ67" s="186" t="str">
        <f t="shared" si="1"/>
        <v/>
      </c>
      <c r="AR67" s="66"/>
      <c r="AS67" s="76"/>
      <c r="AT67" s="225"/>
      <c r="AU67" s="213"/>
      <c r="AV67" s="214"/>
      <c r="AW67" s="226"/>
      <c r="AX67" s="213"/>
      <c r="AY67" s="213"/>
      <c r="AZ67" s="227"/>
      <c r="BA67" s="65"/>
      <c r="BB67" s="52"/>
      <c r="BC67" s="27"/>
      <c r="BD67" s="27"/>
      <c r="BE67" s="27"/>
      <c r="BF67" s="79"/>
      <c r="BG67" s="52"/>
      <c r="BH67" s="69"/>
      <c r="BI67" s="188" t="str">
        <f>IF(Y67=BUSCADOR!$B$46,"HURTO_",IF(OR(Y67=BUSCADOR!$B$49,Y67=BUSCADOR!$B$50),"ROBO_",""))</f>
        <v/>
      </c>
      <c r="BJ67" s="50"/>
      <c r="BK67" s="45"/>
      <c r="BL67" s="66"/>
      <c r="BM67" s="1" t="b">
        <f t="shared" si="7"/>
        <v>0</v>
      </c>
    </row>
    <row r="68" spans="1:65" ht="117.6" customHeight="1" x14ac:dyDescent="0.25">
      <c r="A68" s="171">
        <v>66</v>
      </c>
      <c r="B68" s="41" t="str">
        <f>IF(AND(BM68,ISBLANK(C68)),"Completar FECHA DE DENUNCIA",IF(AND(BM68,OR(ISBLANK(D68),ISBLANK(E68),ISBLANK(H68))),"Completar las celdas FECHA, HORA Y PREVENTIVO. En caso de no conocer la fecha u horario colocar INDETERMINADO",IF(AND(BM68,ISBLANK(G68)),"Completar COMISARIA",IF(AND(BM68,OR(ISBLANK(I68),ISBLANK(L68),ISBLANK(M68),O68="")),"Completar las celdas LOCALIDAD, CALLE, ALTURA Y DIRECCION SEGUN  GOOGLE MAPS",IF(AND(ISBLANK(J68),OR(I68=AÑELO[[#Headers],[AÑELO]],CENTENARIO[[#Headers],[CENTENARIO]]='PLANILLA DJ'!I68,CUTRAL_CO[[#Headers],[CUTRAL_CO]],JUNIN_DE_LOS_ANDES[[#Headers],[JUNIN_DE_LOS_ANDES]]='PLANILLA DJ'!I68,'PLANILLA DJ'!I68=NEUQUEN[[#Headers],[NEUQUEN]],PLAZA_HUINCUL[[#Headers],[PLAZA_HUINCUL]]='PLANILLA DJ'!I68,'PLANILLA DJ'!I68=PLOTTIER[[#Headers],[PLOTTIER]])),"COMPLETAR BARRIO",IF(AND(BM68,ISBLANK(Q68)),"Completar Nombre de VICTIMA o DENUNCIANTE",IF(AND(BM68,ISBLANK(R68)),"Completar TIPO DE ACTUACION",IF(AND(R68=BUSCADOR!$B$140,OR(X68&lt;&gt;BUSCADOR!$A$110,ISBLANK(X68))),"Se indico A CONSIDERACION en ACTUACION, indicar en el buscador de delitos A CONSIDERACION tambien",IF(AND(ISBLANK(X68)&lt;&gt;TRUE,IFERROR(MATCH(X68,BUSCADOR!$A$2:$A$112,0),-1)&lt;0),"EN EL BUSCADOR DE DELITOS NO agregar comentarios como SU INVESTIGACION, REPORTE, etc. Limitarse SOLAMENTE a poner A CONSIDERACION u otro valor que coincida en el buscador",IF(AND(ISBLANK(AD68),OR(Y68=BUSCADOR!$B$49,BUSCADOR!$B$50=Y68,Y68=BUSCADOR!$B$46,Y68=BUSCADOR!$B$2,Y68=BUSCADOR!$B$7,BUSCADOR!$B$109=Y68,X68=BUSCADOR!$A$58,X68=BUSCADOR!$A$59)),"Completar la celda TIPO DE LUGAR",IF(AND(ISBLANK(AE68),OR(AD68=BUSCADOR!$E$149,BUSCADOR!$E$150=AD68,AD68=BUSCADOR!$F$148)),"Completar DETALLE ESTABLECIMIENTO",IF(AND(ISBLANK(AF68),BM68),"Completar la celda MOTIVO QUE ORIGINA EL REGISTRO DEL HECHO",IF(AND(SUM(AG68:AI68)=0,OR(Y68=BUSCADOR!$B$2,BUSCADOR!$B$6=Y68,Y68=BUSCADOR!$B$7,BUSCADOR!$B$8=Y68,Y68=BUSCADOR!$B$9,BUSCADOR!$B$12=Y68,Y68=BUSCADOR!$B$13,BUSCADOR!$B$14=Y68,Y68=BUSCADOR!$B$17,BUSCADOR!$B$18=Y68,Y68=BUSCADOR!$B$20,BUSCADOR!$B$29=Y68,BUSCADOR!$B$34=Y68,BUSCADOR!$B$35=Y68,Y68=BUSCADOR!$B$109,Y68=BUSCADOR!$B$51,BUSCADOR!$B$50=Y68,Y68=BUSCADOR!$B$47,Y68=BUSCADOR!$B$58,Y68=BUSCADOR!$B$21,Y68=BUSCADOR!$B$22,Y68=BUSCADOR!$B$23,Y68=BUSCADOR!$B$24)),"El delito indicado debe presentar un numero de victimas. Completar la celda CANTIDAD DE VICTIMAS",IF(AND(SUM(AJ68:AO68)&gt;0,ISBLANK(AP68)),"Completar celda VULNERABILIDAD DE LA VICTIMA",IF(SUM(AG68:AI68)&lt;&gt;SUM(AJ68:AO68),"Se indico una CANTIDAD DE VICTIMAS SEGUN SEXO diferente a SEGUN GENERO",IF(AND(ISBLANK(AR68),OR(Y68=BUSCADOR!$B$49,BUSCADOR!$B$50=Y68,Y68=BUSCADOR!$B$46,Y68=BUSCADOR!$B$109,BUSCADOR!$B$2=Y68,X68=BUSCADOR!$A$58,X68=BUSCADOR!$A$59)),"Completar la celda TIPO DE ARMA, MODALIDAD O MECANISMO",IF(AND(ISBLANK(AS68),OR(Y68=BUSCADOR!$B$51,BUSCADOR!$B$50=Y68,Y68=BUSCADOR!$B$47,BUSCADOR!$A$58=X68,X68=BUSCADOR!$A$59)),"Completar la celda CONOCIDO, en la seccion de los inculpados",IF(AND(AS68=BUSCADOR!$B$127,OR(Y68=BUSCADOR!$B$51,BUSCADOR!$B$50,Y68,BUSCADOR!$B$46),OR(SUM(AT68:AV68)&lt;&gt;SUM(AW68:AZ68),SUM(AT68:AZ68)=0)),"Revisar las celdas correspondientes a CANTIDAD DE INCULPADOS. Se indica una cantidad diferente segun SEXO y EDAD o no se indico cantidad alguna",IF(AND(ISBLANK(BA68),X68=BUSCADOR!$A$27),"Se indico una persona desaparecida. Completar la casilla APARECIO",IF(AND(ISBLANK(BB68),OR(Y68=BUSCADOR!$B$49,BUSCADOR!$B$50=Y68,Y68=BUSCADOR!$B$46)),"Completar la casilla ELEMENTO SUSTRAIDO",IF(OR(AND(BB68=OTROS[[#Headers],[OTROS]],ISBLANK(BC68)),AND(BB68=ABIGEATO[[#Headers],[ABIGEATO]],ISBLANK(BC68))),"Completar la celda SUBCATEGORIA",IF(AND(OR(BB68=MOTOCICLETA[[#Headers],[MOTOCICLETA]],BB68=AUTOMOTOR[[#Headers],[AUTOMOTOR]]),OR(ISBLANK(BC68),ISBLANK(BD68),ISBLANK(BE68),ISBLANK(BF68))),"Se indico un AUTOMOTOR o MOTOCICLETA en ELEMENTOS SUSTRAIDOS, completar las celdas SUBCATEGORIA, DENOMINACION, AÑO y MODELO", IF(AND(ISBLANK(BB68)&lt;&gt;TRUE,ISBLANK(BJ68)),"Completar MODUS OPERANDI",IF(AND(ISBLANK(BK68),OR(BJ68=BUSCADOR!$H$232,BJ68=BUSCADOR!$I$232)),"Completar ESPECIALIDAD",IF(OR(AND(H68='SAT-Homicidios Dolosos'!$B$5,'SAT-Homicidios Dolosos'!$A$5&lt;&gt;"OK"),AND(H68='SAT-Homicidios Dolosos'!$B$8,'SAT-Homicidios Dolosos'!$A$8&lt;&gt;"OK")),"Se indico un HOMICIDIO, existen CELDAS VACIAS en la hoja SAT-HOMICIDIOS DOLOSOS Completar los datos indicados",IF(OR(AND(H68='SAT-Muertes Viales'!$E$21,'SAT-Muertes Viales'!$A$21&lt;&gt;"OK"),AND(H68='SAT-Muertes Viales'!$E$25,'SAT-Muertes Viales'!$A$25&lt;&gt;"OK"),AND(H68='SAT-Muertes Viales'!$E$29,'SAT-Muertes Viales'!$A$29&lt;&gt;"OK")),"Se indico un HOMICIDIO POR SINIESTRO VIAL, existen CELDAS VACIAS en la hoja SAT-MUERTES VIALES Completar los datos indicados",IF(OR(AND(H68='SAT-Suicidios'!$B$19,'SAT-Suicidios'!$A$19&lt;&gt;"OK"),AND(H68='SAT-Suicidios'!$B$22,'SAT-Suicidios'!$A$22&lt;&gt;"OK"),AND(H68='SAT-Suicidios'!$B$25,'SAT-Suicidios'!$A$25&lt;&gt;"OK")),"Se indico un SUICIDIO, existen CELDAS VACIAS en la hoja SAT-SUICIDIOS Completar los datos indicados",IF(IFERROR(MATCH(X68,BUSCADOR!$A$2:$A$112,0),-1)&lt;0,"No se indico delito",IF(AND(ISBLANK(BL68),OR(X68=BUSCADOR!$A$111,X68=BUSCADOR!$A$110)),"Llenar la casilla DETALLES, COMENTARIOS con una descripcion de la causa",IF(AND(X68="MUERTE DUDOSA",ISBLANK(BL68)=FALSE),"SE INDICO MUERTE DUDOSA, NOS CONTACTAREMOS PARA MAS INFORMACION","FILA CORRECTA"))))))))))))))))))))))))))))))</f>
        <v>No se indico delito</v>
      </c>
      <c r="C68" s="42"/>
      <c r="D68" s="90"/>
      <c r="E68" s="47"/>
      <c r="F68" s="88"/>
      <c r="G68" s="221" t="str">
        <f t="shared" si="9"/>
        <v>Comisaría 15°</v>
      </c>
      <c r="H68" s="46"/>
      <c r="I68" s="52"/>
      <c r="J68" s="27"/>
      <c r="K68" s="27"/>
      <c r="L68" s="27"/>
      <c r="M68" s="27"/>
      <c r="N68" s="46"/>
      <c r="O68" s="55" t="str">
        <f t="shared" si="10"/>
        <v/>
      </c>
      <c r="P68" s="56" t="str">
        <f t="shared" si="11"/>
        <v/>
      </c>
      <c r="Q68" s="52"/>
      <c r="R68" s="46"/>
      <c r="S68" s="62"/>
      <c r="T68" s="57" t="str">
        <f>IFERROR(VLOOKUP(X68,BUSCADOR!$A$2:$E$112,5,FALSE),"")</f>
        <v/>
      </c>
      <c r="U68" s="107" t="str">
        <f t="shared" si="12"/>
        <v/>
      </c>
      <c r="V68" s="28" t="str">
        <f>IFERROR(VLOOKUP(X68,BUSCADOR!$A$2:$E$112,4,FALSE),"")</f>
        <v/>
      </c>
      <c r="W68" s="107" t="str">
        <f t="shared" si="13"/>
        <v/>
      </c>
      <c r="X68" s="27"/>
      <c r="Y68" s="58" t="str">
        <f>IFERROR(VLOOKUP(X68,BUSCADOR!$A$2:$B$112,2,FALSE),"")</f>
        <v/>
      </c>
      <c r="Z68" s="101" t="str">
        <f t="shared" ref="Z68:Z102" si="14">CONCATENATE("__",MID(Y68,1,5))</f>
        <v>__</v>
      </c>
      <c r="AA68" s="103" t="str">
        <f t="shared" ref="AA68:AA102" si="15">CONCATENATE("_",MID(Z68,1,5))</f>
        <v>___</v>
      </c>
      <c r="AB68" s="104" t="str">
        <f t="shared" ref="AB68:AC102" si="16">CONCATENATE("_",MID(AA68,1,6))</f>
        <v>____</v>
      </c>
      <c r="AC68" s="104" t="str">
        <f t="shared" si="16"/>
        <v>_____</v>
      </c>
      <c r="AD68" s="83"/>
      <c r="AE68" s="45"/>
      <c r="AF68" s="66"/>
      <c r="AG68" s="212"/>
      <c r="AH68" s="213"/>
      <c r="AI68" s="214"/>
      <c r="AJ68" s="219"/>
      <c r="AK68" s="213"/>
      <c r="AL68" s="213"/>
      <c r="AM68" s="213"/>
      <c r="AN68" s="213"/>
      <c r="AO68" s="219"/>
      <c r="AP68" s="95"/>
      <c r="AQ68" s="186" t="str">
        <f t="shared" ref="AQ68:AQ102" si="17">IF(SUM(AJ68:AO68),"CALIDAD_VICTIMAS","")</f>
        <v/>
      </c>
      <c r="AR68" s="66"/>
      <c r="AS68" s="76"/>
      <c r="AT68" s="225"/>
      <c r="AU68" s="213"/>
      <c r="AV68" s="214"/>
      <c r="AW68" s="226"/>
      <c r="AX68" s="213"/>
      <c r="AY68" s="213"/>
      <c r="AZ68" s="227"/>
      <c r="BA68" s="65"/>
      <c r="BB68" s="52"/>
      <c r="BC68" s="27"/>
      <c r="BD68" s="27"/>
      <c r="BE68" s="27"/>
      <c r="BF68" s="79"/>
      <c r="BG68" s="52"/>
      <c r="BH68" s="69"/>
      <c r="BI68" s="188" t="str">
        <f>IF(Y68=BUSCADOR!$B$46,"HURTO_",IF(OR(Y68=BUSCADOR!$B$49,Y68=BUSCADOR!$B$50),"ROBO_",""))</f>
        <v/>
      </c>
      <c r="BJ68" s="50"/>
      <c r="BK68" s="45"/>
      <c r="BL68" s="66"/>
      <c r="BM68" s="1" t="b">
        <f t="shared" ref="BM68:BM102" si="18">Y68&lt;&gt;""</f>
        <v>0</v>
      </c>
    </row>
    <row r="69" spans="1:65" ht="117.6" customHeight="1" x14ac:dyDescent="0.25">
      <c r="A69" s="171">
        <v>67</v>
      </c>
      <c r="B69" s="41" t="str">
        <f>IF(AND(BM69,ISBLANK(C69)),"Completar FECHA DE DENUNCIA",IF(AND(BM69,OR(ISBLANK(D69),ISBLANK(E69),ISBLANK(H69))),"Completar las celdas FECHA, HORA Y PREVENTIVO. En caso de no conocer la fecha u horario colocar INDETERMINADO",IF(AND(BM69,ISBLANK(G69)),"Completar COMISARIA",IF(AND(BM69,OR(ISBLANK(I69),ISBLANK(L69),ISBLANK(M69),O69="")),"Completar las celdas LOCALIDAD, CALLE, ALTURA Y DIRECCION SEGUN  GOOGLE MAPS",IF(AND(ISBLANK(J69),OR(I69=AÑELO[[#Headers],[AÑELO]],CENTENARIO[[#Headers],[CENTENARIO]]='PLANILLA DJ'!I69,CUTRAL_CO[[#Headers],[CUTRAL_CO]],JUNIN_DE_LOS_ANDES[[#Headers],[JUNIN_DE_LOS_ANDES]]='PLANILLA DJ'!I69,'PLANILLA DJ'!I69=NEUQUEN[[#Headers],[NEUQUEN]],PLAZA_HUINCUL[[#Headers],[PLAZA_HUINCUL]]='PLANILLA DJ'!I69,'PLANILLA DJ'!I69=PLOTTIER[[#Headers],[PLOTTIER]])),"COMPLETAR BARRIO",IF(AND(BM69,ISBLANK(Q69)),"Completar Nombre de VICTIMA o DENUNCIANTE",IF(AND(BM69,ISBLANK(R69)),"Completar TIPO DE ACTUACION",IF(AND(R69=BUSCADOR!$B$140,OR(X69&lt;&gt;BUSCADOR!$A$110,ISBLANK(X69))),"Se indico A CONSIDERACION en ACTUACION, indicar en el buscador de delitos A CONSIDERACION tambien",IF(AND(ISBLANK(X69)&lt;&gt;TRUE,IFERROR(MATCH(X69,BUSCADOR!$A$2:$A$112,0),-1)&lt;0),"EN EL BUSCADOR DE DELITOS NO agregar comentarios como SU INVESTIGACION, REPORTE, etc. Limitarse SOLAMENTE a poner A CONSIDERACION u otro valor que coincida en el buscador",IF(AND(ISBLANK(AD69),OR(Y69=BUSCADOR!$B$49,BUSCADOR!$B$50=Y69,Y69=BUSCADOR!$B$46,Y69=BUSCADOR!$B$2,Y69=BUSCADOR!$B$7,BUSCADOR!$B$109=Y69,X69=BUSCADOR!$A$58,X69=BUSCADOR!$A$59)),"Completar la celda TIPO DE LUGAR",IF(AND(ISBLANK(AE69),OR(AD69=BUSCADOR!$E$149,BUSCADOR!$E$150=AD69,AD69=BUSCADOR!$F$148)),"Completar DETALLE ESTABLECIMIENTO",IF(AND(ISBLANK(AF69),BM69),"Completar la celda MOTIVO QUE ORIGINA EL REGISTRO DEL HECHO",IF(AND(SUM(AG69:AI69)=0,OR(Y69=BUSCADOR!$B$2,BUSCADOR!$B$6=Y69,Y69=BUSCADOR!$B$7,BUSCADOR!$B$8=Y69,Y69=BUSCADOR!$B$9,BUSCADOR!$B$12=Y69,Y69=BUSCADOR!$B$13,BUSCADOR!$B$14=Y69,Y69=BUSCADOR!$B$17,BUSCADOR!$B$18=Y69,Y69=BUSCADOR!$B$20,BUSCADOR!$B$29=Y69,BUSCADOR!$B$34=Y69,BUSCADOR!$B$35=Y69,Y69=BUSCADOR!$B$109,Y69=BUSCADOR!$B$51,BUSCADOR!$B$50=Y69,Y69=BUSCADOR!$B$47,Y69=BUSCADOR!$B$58,Y69=BUSCADOR!$B$21,Y69=BUSCADOR!$B$22,Y69=BUSCADOR!$B$23,Y69=BUSCADOR!$B$24)),"El delito indicado debe presentar un numero de victimas. Completar la celda CANTIDAD DE VICTIMAS",IF(AND(SUM(AJ69:AO69)&gt;0,ISBLANK(AP69)),"Completar celda VULNERABILIDAD DE LA VICTIMA",IF(SUM(AG69:AI69)&lt;&gt;SUM(AJ69:AO69),"Se indico una CANTIDAD DE VICTIMAS SEGUN SEXO diferente a SEGUN GENERO",IF(AND(ISBLANK(AR69),OR(Y69=BUSCADOR!$B$49,BUSCADOR!$B$50=Y69,Y69=BUSCADOR!$B$46,Y69=BUSCADOR!$B$109,BUSCADOR!$B$2=Y69,X69=BUSCADOR!$A$58,X69=BUSCADOR!$A$59)),"Completar la celda TIPO DE ARMA, MODALIDAD O MECANISMO",IF(AND(ISBLANK(AS69),OR(Y69=BUSCADOR!$B$51,BUSCADOR!$B$50=Y69,Y69=BUSCADOR!$B$47,BUSCADOR!$A$58=X69,X69=BUSCADOR!$A$59)),"Completar la celda CONOCIDO, en la seccion de los inculpados",IF(AND(AS69=BUSCADOR!$B$127,OR(Y69=BUSCADOR!$B$51,BUSCADOR!$B$50,Y69,BUSCADOR!$B$46),OR(SUM(AT69:AV69)&lt;&gt;SUM(AW69:AZ69),SUM(AT69:AZ69)=0)),"Revisar las celdas correspondientes a CANTIDAD DE INCULPADOS. Se indica una cantidad diferente segun SEXO y EDAD o no se indico cantidad alguna",IF(AND(ISBLANK(BA69),X69=BUSCADOR!$A$27),"Se indico una persona desaparecida. Completar la casilla APARECIO",IF(AND(ISBLANK(BB69),OR(Y69=BUSCADOR!$B$49,BUSCADOR!$B$50=Y69,Y69=BUSCADOR!$B$46)),"Completar la casilla ELEMENTO SUSTRAIDO",IF(OR(AND(BB69=OTROS[[#Headers],[OTROS]],ISBLANK(BC69)),AND(BB69=ABIGEATO[[#Headers],[ABIGEATO]],ISBLANK(BC69))),"Completar la celda SUBCATEGORIA",IF(AND(OR(BB69=MOTOCICLETA[[#Headers],[MOTOCICLETA]],BB69=AUTOMOTOR[[#Headers],[AUTOMOTOR]]),OR(ISBLANK(BC69),ISBLANK(BD69),ISBLANK(BE69),ISBLANK(BF69))),"Se indico un AUTOMOTOR o MOTOCICLETA en ELEMENTOS SUSTRAIDOS, completar las celdas SUBCATEGORIA, DENOMINACION, AÑO y MODELO", IF(AND(ISBLANK(BB69)&lt;&gt;TRUE,ISBLANK(BJ69)),"Completar MODUS OPERANDI",IF(AND(ISBLANK(BK69),OR(BJ69=BUSCADOR!$H$232,BJ69=BUSCADOR!$I$232)),"Completar ESPECIALIDAD",IF(OR(AND(H69='SAT-Homicidios Dolosos'!$B$5,'SAT-Homicidios Dolosos'!$A$5&lt;&gt;"OK"),AND(H69='SAT-Homicidios Dolosos'!$B$8,'SAT-Homicidios Dolosos'!$A$8&lt;&gt;"OK")),"Se indico un HOMICIDIO, existen CELDAS VACIAS en la hoja SAT-HOMICIDIOS DOLOSOS Completar los datos indicados",IF(OR(AND(H69='SAT-Muertes Viales'!$E$21,'SAT-Muertes Viales'!$A$21&lt;&gt;"OK"),AND(H69='SAT-Muertes Viales'!$E$25,'SAT-Muertes Viales'!$A$25&lt;&gt;"OK"),AND(H69='SAT-Muertes Viales'!$E$29,'SAT-Muertes Viales'!$A$29&lt;&gt;"OK")),"Se indico un HOMICIDIO POR SINIESTRO VIAL, existen CELDAS VACIAS en la hoja SAT-MUERTES VIALES Completar los datos indicados",IF(OR(AND(H69='SAT-Suicidios'!$B$19,'SAT-Suicidios'!$A$19&lt;&gt;"OK"),AND(H69='SAT-Suicidios'!$B$22,'SAT-Suicidios'!$A$22&lt;&gt;"OK"),AND(H69='SAT-Suicidios'!$B$25,'SAT-Suicidios'!$A$25&lt;&gt;"OK")),"Se indico un SUICIDIO, existen CELDAS VACIAS en la hoja SAT-SUICIDIOS Completar los datos indicados",IF(IFERROR(MATCH(X69,BUSCADOR!$A$2:$A$112,0),-1)&lt;0,"No se indico delito",IF(AND(ISBLANK(BL69),OR(X69=BUSCADOR!$A$111,X69=BUSCADOR!$A$110)),"Llenar la casilla DETALLES, COMENTARIOS con una descripcion de la causa",IF(AND(X69="MUERTE DUDOSA",ISBLANK(BL69)=FALSE),"SE INDICO MUERTE DUDOSA, NOS CONTACTAREMOS PARA MAS INFORMACION","FILA CORRECTA"))))))))))))))))))))))))))))))</f>
        <v>No se indico delito</v>
      </c>
      <c r="C69" s="42"/>
      <c r="D69" s="90"/>
      <c r="E69" s="47"/>
      <c r="F69" s="88"/>
      <c r="G69" s="221" t="str">
        <f t="shared" si="9"/>
        <v>Comisaría 15°</v>
      </c>
      <c r="H69" s="46"/>
      <c r="I69" s="52"/>
      <c r="J69" s="27"/>
      <c r="K69" s="27"/>
      <c r="L69" s="27"/>
      <c r="M69" s="27"/>
      <c r="N69" s="46"/>
      <c r="O69" s="55" t="str">
        <f t="shared" si="10"/>
        <v/>
      </c>
      <c r="P69" s="56" t="str">
        <f t="shared" si="11"/>
        <v/>
      </c>
      <c r="Q69" s="52"/>
      <c r="R69" s="46"/>
      <c r="S69" s="62"/>
      <c r="T69" s="57" t="str">
        <f>IFERROR(VLOOKUP(X69,BUSCADOR!$A$2:$E$112,5,FALSE),"")</f>
        <v/>
      </c>
      <c r="U69" s="107" t="str">
        <f t="shared" si="12"/>
        <v/>
      </c>
      <c r="V69" s="28" t="str">
        <f>IFERROR(VLOOKUP(X69,BUSCADOR!$A$2:$E$112,4,FALSE),"")</f>
        <v/>
      </c>
      <c r="W69" s="107" t="str">
        <f t="shared" si="13"/>
        <v/>
      </c>
      <c r="X69" s="27"/>
      <c r="Y69" s="58" t="str">
        <f>IFERROR(VLOOKUP(X69,BUSCADOR!$A$2:$B$112,2,FALSE),"")</f>
        <v/>
      </c>
      <c r="Z69" s="101" t="str">
        <f t="shared" si="14"/>
        <v>__</v>
      </c>
      <c r="AA69" s="103" t="str">
        <f t="shared" si="15"/>
        <v>___</v>
      </c>
      <c r="AB69" s="104" t="str">
        <f t="shared" si="16"/>
        <v>____</v>
      </c>
      <c r="AC69" s="104" t="str">
        <f t="shared" si="16"/>
        <v>_____</v>
      </c>
      <c r="AD69" s="83"/>
      <c r="AE69" s="45"/>
      <c r="AF69" s="66"/>
      <c r="AG69" s="212"/>
      <c r="AH69" s="213"/>
      <c r="AI69" s="214"/>
      <c r="AJ69" s="219"/>
      <c r="AK69" s="213"/>
      <c r="AL69" s="213"/>
      <c r="AM69" s="213"/>
      <c r="AN69" s="213"/>
      <c r="AO69" s="219"/>
      <c r="AP69" s="95"/>
      <c r="AQ69" s="186" t="str">
        <f t="shared" si="17"/>
        <v/>
      </c>
      <c r="AR69" s="66"/>
      <c r="AS69" s="76"/>
      <c r="AT69" s="225"/>
      <c r="AU69" s="213"/>
      <c r="AV69" s="214"/>
      <c r="AW69" s="226"/>
      <c r="AX69" s="213"/>
      <c r="AY69" s="213"/>
      <c r="AZ69" s="227"/>
      <c r="BA69" s="65"/>
      <c r="BB69" s="52"/>
      <c r="BC69" s="27"/>
      <c r="BD69" s="27"/>
      <c r="BE69" s="27"/>
      <c r="BF69" s="79"/>
      <c r="BG69" s="52"/>
      <c r="BH69" s="69"/>
      <c r="BI69" s="188" t="str">
        <f>IF(Y69=BUSCADOR!$B$46,"HURTO_",IF(OR(Y69=BUSCADOR!$B$49,Y69=BUSCADOR!$B$50),"ROBO_",""))</f>
        <v/>
      </c>
      <c r="BJ69" s="50"/>
      <c r="BK69" s="45"/>
      <c r="BL69" s="66"/>
      <c r="BM69" s="1" t="b">
        <f t="shared" si="18"/>
        <v>0</v>
      </c>
    </row>
    <row r="70" spans="1:65" ht="117.6" customHeight="1" x14ac:dyDescent="0.25">
      <c r="A70" s="171">
        <v>68</v>
      </c>
      <c r="B70" s="41" t="str">
        <f>IF(AND(BM70,ISBLANK(C70)),"Completar FECHA DE DENUNCIA",IF(AND(BM70,OR(ISBLANK(D70),ISBLANK(E70),ISBLANK(H70))),"Completar las celdas FECHA, HORA Y PREVENTIVO. En caso de no conocer la fecha u horario colocar INDETERMINADO",IF(AND(BM70,ISBLANK(G70)),"Completar COMISARIA",IF(AND(BM70,OR(ISBLANK(I70),ISBLANK(L70),ISBLANK(M70),O70="")),"Completar las celdas LOCALIDAD, CALLE, ALTURA Y DIRECCION SEGUN  GOOGLE MAPS",IF(AND(ISBLANK(J70),OR(I70=AÑELO[[#Headers],[AÑELO]],CENTENARIO[[#Headers],[CENTENARIO]]='PLANILLA DJ'!I70,CUTRAL_CO[[#Headers],[CUTRAL_CO]],JUNIN_DE_LOS_ANDES[[#Headers],[JUNIN_DE_LOS_ANDES]]='PLANILLA DJ'!I70,'PLANILLA DJ'!I70=NEUQUEN[[#Headers],[NEUQUEN]],PLAZA_HUINCUL[[#Headers],[PLAZA_HUINCUL]]='PLANILLA DJ'!I70,'PLANILLA DJ'!I70=PLOTTIER[[#Headers],[PLOTTIER]])),"COMPLETAR BARRIO",IF(AND(BM70,ISBLANK(Q70)),"Completar Nombre de VICTIMA o DENUNCIANTE",IF(AND(BM70,ISBLANK(R70)),"Completar TIPO DE ACTUACION",IF(AND(R70=BUSCADOR!$B$140,OR(X70&lt;&gt;BUSCADOR!$A$110,ISBLANK(X70))),"Se indico A CONSIDERACION en ACTUACION, indicar en el buscador de delitos A CONSIDERACION tambien",IF(AND(ISBLANK(X70)&lt;&gt;TRUE,IFERROR(MATCH(X70,BUSCADOR!$A$2:$A$112,0),-1)&lt;0),"EN EL BUSCADOR DE DELITOS NO agregar comentarios como SU INVESTIGACION, REPORTE, etc. Limitarse SOLAMENTE a poner A CONSIDERACION u otro valor que coincida en el buscador",IF(AND(ISBLANK(AD70),OR(Y70=BUSCADOR!$B$49,BUSCADOR!$B$50=Y70,Y70=BUSCADOR!$B$46,Y70=BUSCADOR!$B$2,Y70=BUSCADOR!$B$7,BUSCADOR!$B$109=Y70,X70=BUSCADOR!$A$58,X70=BUSCADOR!$A$59)),"Completar la celda TIPO DE LUGAR",IF(AND(ISBLANK(AE70),OR(AD70=BUSCADOR!$E$149,BUSCADOR!$E$150=AD70,AD70=BUSCADOR!$F$148)),"Completar DETALLE ESTABLECIMIENTO",IF(AND(ISBLANK(AF70),BM70),"Completar la celda MOTIVO QUE ORIGINA EL REGISTRO DEL HECHO",IF(AND(SUM(AG70:AI70)=0,OR(Y70=BUSCADOR!$B$2,BUSCADOR!$B$6=Y70,Y70=BUSCADOR!$B$7,BUSCADOR!$B$8=Y70,Y70=BUSCADOR!$B$9,BUSCADOR!$B$12=Y70,Y70=BUSCADOR!$B$13,BUSCADOR!$B$14=Y70,Y70=BUSCADOR!$B$17,BUSCADOR!$B$18=Y70,Y70=BUSCADOR!$B$20,BUSCADOR!$B$29=Y70,BUSCADOR!$B$34=Y70,BUSCADOR!$B$35=Y70,Y70=BUSCADOR!$B$109,Y70=BUSCADOR!$B$51,BUSCADOR!$B$50=Y70,Y70=BUSCADOR!$B$47,Y70=BUSCADOR!$B$58,Y70=BUSCADOR!$B$21,Y70=BUSCADOR!$B$22,Y70=BUSCADOR!$B$23,Y70=BUSCADOR!$B$24)),"El delito indicado debe presentar un numero de victimas. Completar la celda CANTIDAD DE VICTIMAS",IF(AND(SUM(AJ70:AO70)&gt;0,ISBLANK(AP70)),"Completar celda VULNERABILIDAD DE LA VICTIMA",IF(SUM(AG70:AI70)&lt;&gt;SUM(AJ70:AO70),"Se indico una CANTIDAD DE VICTIMAS SEGUN SEXO diferente a SEGUN GENERO",IF(AND(ISBLANK(AR70),OR(Y70=BUSCADOR!$B$49,BUSCADOR!$B$50=Y70,Y70=BUSCADOR!$B$46,Y70=BUSCADOR!$B$109,BUSCADOR!$B$2=Y70,X70=BUSCADOR!$A$58,X70=BUSCADOR!$A$59)),"Completar la celda TIPO DE ARMA, MODALIDAD O MECANISMO",IF(AND(ISBLANK(AS70),OR(Y70=BUSCADOR!$B$51,BUSCADOR!$B$50=Y70,Y70=BUSCADOR!$B$47,BUSCADOR!$A$58=X70,X70=BUSCADOR!$A$59)),"Completar la celda CONOCIDO, en la seccion de los inculpados",IF(AND(AS70=BUSCADOR!$B$127,OR(Y70=BUSCADOR!$B$51,BUSCADOR!$B$50,Y70,BUSCADOR!$B$46),OR(SUM(AT70:AV70)&lt;&gt;SUM(AW70:AZ70),SUM(AT70:AZ70)=0)),"Revisar las celdas correspondientes a CANTIDAD DE INCULPADOS. Se indica una cantidad diferente segun SEXO y EDAD o no se indico cantidad alguna",IF(AND(ISBLANK(BA70),X70=BUSCADOR!$A$27),"Se indico una persona desaparecida. Completar la casilla APARECIO",IF(AND(ISBLANK(BB70),OR(Y70=BUSCADOR!$B$49,BUSCADOR!$B$50=Y70,Y70=BUSCADOR!$B$46)),"Completar la casilla ELEMENTO SUSTRAIDO",IF(OR(AND(BB70=OTROS[[#Headers],[OTROS]],ISBLANK(BC70)),AND(BB70=ABIGEATO[[#Headers],[ABIGEATO]],ISBLANK(BC70))),"Completar la celda SUBCATEGORIA",IF(AND(OR(BB70=MOTOCICLETA[[#Headers],[MOTOCICLETA]],BB70=AUTOMOTOR[[#Headers],[AUTOMOTOR]]),OR(ISBLANK(BC70),ISBLANK(BD70),ISBLANK(BE70),ISBLANK(BF70))),"Se indico un AUTOMOTOR o MOTOCICLETA en ELEMENTOS SUSTRAIDOS, completar las celdas SUBCATEGORIA, DENOMINACION, AÑO y MODELO", IF(AND(ISBLANK(BB70)&lt;&gt;TRUE,ISBLANK(BJ70)),"Completar MODUS OPERANDI",IF(AND(ISBLANK(BK70),OR(BJ70=BUSCADOR!$H$232,BJ70=BUSCADOR!$I$232)),"Completar ESPECIALIDAD",IF(OR(AND(H70='SAT-Homicidios Dolosos'!$B$5,'SAT-Homicidios Dolosos'!$A$5&lt;&gt;"OK"),AND(H70='SAT-Homicidios Dolosos'!$B$8,'SAT-Homicidios Dolosos'!$A$8&lt;&gt;"OK")),"Se indico un HOMICIDIO, existen CELDAS VACIAS en la hoja SAT-HOMICIDIOS DOLOSOS Completar los datos indicados",IF(OR(AND(H70='SAT-Muertes Viales'!$E$21,'SAT-Muertes Viales'!$A$21&lt;&gt;"OK"),AND(H70='SAT-Muertes Viales'!$E$25,'SAT-Muertes Viales'!$A$25&lt;&gt;"OK"),AND(H70='SAT-Muertes Viales'!$E$29,'SAT-Muertes Viales'!$A$29&lt;&gt;"OK")),"Se indico un HOMICIDIO POR SINIESTRO VIAL, existen CELDAS VACIAS en la hoja SAT-MUERTES VIALES Completar los datos indicados",IF(OR(AND(H70='SAT-Suicidios'!$B$19,'SAT-Suicidios'!$A$19&lt;&gt;"OK"),AND(H70='SAT-Suicidios'!$B$22,'SAT-Suicidios'!$A$22&lt;&gt;"OK"),AND(H70='SAT-Suicidios'!$B$25,'SAT-Suicidios'!$A$25&lt;&gt;"OK")),"Se indico un SUICIDIO, existen CELDAS VACIAS en la hoja SAT-SUICIDIOS Completar los datos indicados",IF(IFERROR(MATCH(X70,BUSCADOR!$A$2:$A$112,0),-1)&lt;0,"No se indico delito",IF(AND(ISBLANK(BL70),OR(X70=BUSCADOR!$A$111,X70=BUSCADOR!$A$110)),"Llenar la casilla DETALLES, COMENTARIOS con una descripcion de la causa",IF(AND(X70="MUERTE DUDOSA",ISBLANK(BL70)=FALSE),"SE INDICO MUERTE DUDOSA, NOS CONTACTAREMOS PARA MAS INFORMACION","FILA CORRECTA"))))))))))))))))))))))))))))))</f>
        <v>No se indico delito</v>
      </c>
      <c r="C70" s="42"/>
      <c r="D70" s="90"/>
      <c r="E70" s="47"/>
      <c r="F70" s="88"/>
      <c r="G70" s="221" t="str">
        <f t="shared" ref="G70:G101" si="19">G69</f>
        <v>Comisaría 15°</v>
      </c>
      <c r="H70" s="46"/>
      <c r="I70" s="52"/>
      <c r="J70" s="27"/>
      <c r="K70" s="27"/>
      <c r="L70" s="27"/>
      <c r="M70" s="27"/>
      <c r="N70" s="46"/>
      <c r="O70" s="55" t="str">
        <f t="shared" si="10"/>
        <v/>
      </c>
      <c r="P70" s="56" t="str">
        <f t="shared" si="11"/>
        <v/>
      </c>
      <c r="Q70" s="52"/>
      <c r="R70" s="46"/>
      <c r="S70" s="62"/>
      <c r="T70" s="57" t="str">
        <f>IFERROR(VLOOKUP(X70,BUSCADOR!$A$2:$E$112,5,FALSE),"")</f>
        <v/>
      </c>
      <c r="U70" s="107" t="str">
        <f t="shared" si="12"/>
        <v/>
      </c>
      <c r="V70" s="28" t="str">
        <f>IFERROR(VLOOKUP(X70,BUSCADOR!$A$2:$E$112,4,FALSE),"")</f>
        <v/>
      </c>
      <c r="W70" s="107" t="str">
        <f t="shared" si="13"/>
        <v/>
      </c>
      <c r="X70" s="27"/>
      <c r="Y70" s="58" t="str">
        <f>IFERROR(VLOOKUP(X70,BUSCADOR!$A$2:$B$112,2,FALSE),"")</f>
        <v/>
      </c>
      <c r="Z70" s="101" t="str">
        <f t="shared" si="14"/>
        <v>__</v>
      </c>
      <c r="AA70" s="103" t="str">
        <f t="shared" si="15"/>
        <v>___</v>
      </c>
      <c r="AB70" s="104" t="str">
        <f t="shared" si="16"/>
        <v>____</v>
      </c>
      <c r="AC70" s="104" t="str">
        <f t="shared" si="16"/>
        <v>_____</v>
      </c>
      <c r="AD70" s="83"/>
      <c r="AE70" s="45"/>
      <c r="AF70" s="66"/>
      <c r="AG70" s="212"/>
      <c r="AH70" s="213"/>
      <c r="AI70" s="214"/>
      <c r="AJ70" s="219"/>
      <c r="AK70" s="213"/>
      <c r="AL70" s="213"/>
      <c r="AM70" s="213"/>
      <c r="AN70" s="213"/>
      <c r="AO70" s="219"/>
      <c r="AP70" s="95"/>
      <c r="AQ70" s="186" t="str">
        <f t="shared" si="17"/>
        <v/>
      </c>
      <c r="AR70" s="66"/>
      <c r="AS70" s="76"/>
      <c r="AT70" s="225"/>
      <c r="AU70" s="213"/>
      <c r="AV70" s="214"/>
      <c r="AW70" s="226"/>
      <c r="AX70" s="213"/>
      <c r="AY70" s="213"/>
      <c r="AZ70" s="227"/>
      <c r="BA70" s="65"/>
      <c r="BB70" s="52"/>
      <c r="BC70" s="27"/>
      <c r="BD70" s="27"/>
      <c r="BE70" s="27"/>
      <c r="BF70" s="79"/>
      <c r="BG70" s="52"/>
      <c r="BH70" s="69"/>
      <c r="BI70" s="188" t="str">
        <f>IF(Y70=BUSCADOR!$B$46,"HURTO_",IF(OR(Y70=BUSCADOR!$B$49,Y70=BUSCADOR!$B$50),"ROBO_",""))</f>
        <v/>
      </c>
      <c r="BJ70" s="50"/>
      <c r="BK70" s="45"/>
      <c r="BL70" s="66"/>
      <c r="BM70" s="1" t="b">
        <f t="shared" si="18"/>
        <v>0</v>
      </c>
    </row>
    <row r="71" spans="1:65" ht="117.6" customHeight="1" x14ac:dyDescent="0.25">
      <c r="A71" s="171">
        <v>69</v>
      </c>
      <c r="B71" s="41" t="str">
        <f>IF(AND(BM71,ISBLANK(C71)),"Completar FECHA DE DENUNCIA",IF(AND(BM71,OR(ISBLANK(D71),ISBLANK(E71),ISBLANK(H71))),"Completar las celdas FECHA, HORA Y PREVENTIVO. En caso de no conocer la fecha u horario colocar INDETERMINADO",IF(AND(BM71,ISBLANK(G71)),"Completar COMISARIA",IF(AND(BM71,OR(ISBLANK(I71),ISBLANK(L71),ISBLANK(M71),O71="")),"Completar las celdas LOCALIDAD, CALLE, ALTURA Y DIRECCION SEGUN  GOOGLE MAPS",IF(AND(ISBLANK(J71),OR(I71=AÑELO[[#Headers],[AÑELO]],CENTENARIO[[#Headers],[CENTENARIO]]='PLANILLA DJ'!I71,CUTRAL_CO[[#Headers],[CUTRAL_CO]],JUNIN_DE_LOS_ANDES[[#Headers],[JUNIN_DE_LOS_ANDES]]='PLANILLA DJ'!I71,'PLANILLA DJ'!I71=NEUQUEN[[#Headers],[NEUQUEN]],PLAZA_HUINCUL[[#Headers],[PLAZA_HUINCUL]]='PLANILLA DJ'!I71,'PLANILLA DJ'!I71=PLOTTIER[[#Headers],[PLOTTIER]])),"COMPLETAR BARRIO",IF(AND(BM71,ISBLANK(Q71)),"Completar Nombre de VICTIMA o DENUNCIANTE",IF(AND(BM71,ISBLANK(R71)),"Completar TIPO DE ACTUACION",IF(AND(R71=BUSCADOR!$B$140,OR(X71&lt;&gt;BUSCADOR!$A$110,ISBLANK(X71))),"Se indico A CONSIDERACION en ACTUACION, indicar en el buscador de delitos A CONSIDERACION tambien",IF(AND(ISBLANK(X71)&lt;&gt;TRUE,IFERROR(MATCH(X71,BUSCADOR!$A$2:$A$112,0),-1)&lt;0),"EN EL BUSCADOR DE DELITOS NO agregar comentarios como SU INVESTIGACION, REPORTE, etc. Limitarse SOLAMENTE a poner A CONSIDERACION u otro valor que coincida en el buscador",IF(AND(ISBLANK(AD71),OR(Y71=BUSCADOR!$B$49,BUSCADOR!$B$50=Y71,Y71=BUSCADOR!$B$46,Y71=BUSCADOR!$B$2,Y71=BUSCADOR!$B$7,BUSCADOR!$B$109=Y71,X71=BUSCADOR!$A$58,X71=BUSCADOR!$A$59)),"Completar la celda TIPO DE LUGAR",IF(AND(ISBLANK(AE71),OR(AD71=BUSCADOR!$E$149,BUSCADOR!$E$150=AD71,AD71=BUSCADOR!$F$148)),"Completar DETALLE ESTABLECIMIENTO",IF(AND(ISBLANK(AF71),BM71),"Completar la celda MOTIVO QUE ORIGINA EL REGISTRO DEL HECHO",IF(AND(SUM(AG71:AI71)=0,OR(Y71=BUSCADOR!$B$2,BUSCADOR!$B$6=Y71,Y71=BUSCADOR!$B$7,BUSCADOR!$B$8=Y71,Y71=BUSCADOR!$B$9,BUSCADOR!$B$12=Y71,Y71=BUSCADOR!$B$13,BUSCADOR!$B$14=Y71,Y71=BUSCADOR!$B$17,BUSCADOR!$B$18=Y71,Y71=BUSCADOR!$B$20,BUSCADOR!$B$29=Y71,BUSCADOR!$B$34=Y71,BUSCADOR!$B$35=Y71,Y71=BUSCADOR!$B$109,Y71=BUSCADOR!$B$51,BUSCADOR!$B$50=Y71,Y71=BUSCADOR!$B$47,Y71=BUSCADOR!$B$58,Y71=BUSCADOR!$B$21,Y71=BUSCADOR!$B$22,Y71=BUSCADOR!$B$23,Y71=BUSCADOR!$B$24)),"El delito indicado debe presentar un numero de victimas. Completar la celda CANTIDAD DE VICTIMAS",IF(AND(SUM(AJ71:AO71)&gt;0,ISBLANK(AP71)),"Completar celda VULNERABILIDAD DE LA VICTIMA",IF(SUM(AG71:AI71)&lt;&gt;SUM(AJ71:AO71),"Se indico una CANTIDAD DE VICTIMAS SEGUN SEXO diferente a SEGUN GENERO",IF(AND(ISBLANK(AR71),OR(Y71=BUSCADOR!$B$49,BUSCADOR!$B$50=Y71,Y71=BUSCADOR!$B$46,Y71=BUSCADOR!$B$109,BUSCADOR!$B$2=Y71,X71=BUSCADOR!$A$58,X71=BUSCADOR!$A$59)),"Completar la celda TIPO DE ARMA, MODALIDAD O MECANISMO",IF(AND(ISBLANK(AS71),OR(Y71=BUSCADOR!$B$51,BUSCADOR!$B$50=Y71,Y71=BUSCADOR!$B$47,BUSCADOR!$A$58=X71,X71=BUSCADOR!$A$59)),"Completar la celda CONOCIDO, en la seccion de los inculpados",IF(AND(AS71=BUSCADOR!$B$127,OR(Y71=BUSCADOR!$B$51,BUSCADOR!$B$50,Y71,BUSCADOR!$B$46),OR(SUM(AT71:AV71)&lt;&gt;SUM(AW71:AZ71),SUM(AT71:AZ71)=0)),"Revisar las celdas correspondientes a CANTIDAD DE INCULPADOS. Se indica una cantidad diferente segun SEXO y EDAD o no se indico cantidad alguna",IF(AND(ISBLANK(BA71),X71=BUSCADOR!$A$27),"Se indico una persona desaparecida. Completar la casilla APARECIO",IF(AND(ISBLANK(BB71),OR(Y71=BUSCADOR!$B$49,BUSCADOR!$B$50=Y71,Y71=BUSCADOR!$B$46)),"Completar la casilla ELEMENTO SUSTRAIDO",IF(OR(AND(BB71=OTROS[[#Headers],[OTROS]],ISBLANK(BC71)),AND(BB71=ABIGEATO[[#Headers],[ABIGEATO]],ISBLANK(BC71))),"Completar la celda SUBCATEGORIA",IF(AND(OR(BB71=MOTOCICLETA[[#Headers],[MOTOCICLETA]],BB71=AUTOMOTOR[[#Headers],[AUTOMOTOR]]),OR(ISBLANK(BC71),ISBLANK(BD71),ISBLANK(BE71),ISBLANK(BF71))),"Se indico un AUTOMOTOR o MOTOCICLETA en ELEMENTOS SUSTRAIDOS, completar las celdas SUBCATEGORIA, DENOMINACION, AÑO y MODELO", IF(AND(ISBLANK(BB71)&lt;&gt;TRUE,ISBLANK(BJ71)),"Completar MODUS OPERANDI",IF(AND(ISBLANK(BK71),OR(BJ71=BUSCADOR!$H$232,BJ71=BUSCADOR!$I$232)),"Completar ESPECIALIDAD",IF(OR(AND(H71='SAT-Homicidios Dolosos'!$B$5,'SAT-Homicidios Dolosos'!$A$5&lt;&gt;"OK"),AND(H71='SAT-Homicidios Dolosos'!$B$8,'SAT-Homicidios Dolosos'!$A$8&lt;&gt;"OK")),"Se indico un HOMICIDIO, existen CELDAS VACIAS en la hoja SAT-HOMICIDIOS DOLOSOS Completar los datos indicados",IF(OR(AND(H71='SAT-Muertes Viales'!$E$21,'SAT-Muertes Viales'!$A$21&lt;&gt;"OK"),AND(H71='SAT-Muertes Viales'!$E$25,'SAT-Muertes Viales'!$A$25&lt;&gt;"OK"),AND(H71='SAT-Muertes Viales'!$E$29,'SAT-Muertes Viales'!$A$29&lt;&gt;"OK")),"Se indico un HOMICIDIO POR SINIESTRO VIAL, existen CELDAS VACIAS en la hoja SAT-MUERTES VIALES Completar los datos indicados",IF(OR(AND(H71='SAT-Suicidios'!$B$19,'SAT-Suicidios'!$A$19&lt;&gt;"OK"),AND(H71='SAT-Suicidios'!$B$22,'SAT-Suicidios'!$A$22&lt;&gt;"OK"),AND(H71='SAT-Suicidios'!$B$25,'SAT-Suicidios'!$A$25&lt;&gt;"OK")),"Se indico un SUICIDIO, existen CELDAS VACIAS en la hoja SAT-SUICIDIOS Completar los datos indicados",IF(IFERROR(MATCH(X71,BUSCADOR!$A$2:$A$112,0),-1)&lt;0,"No se indico delito",IF(AND(ISBLANK(BL71),OR(X71=BUSCADOR!$A$111,X71=BUSCADOR!$A$110)),"Llenar la casilla DETALLES, COMENTARIOS con una descripcion de la causa",IF(AND(X71="MUERTE DUDOSA",ISBLANK(BL71)=FALSE),"SE INDICO MUERTE DUDOSA, NOS CONTACTAREMOS PARA MAS INFORMACION","FILA CORRECTA"))))))))))))))))))))))))))))))</f>
        <v>No se indico delito</v>
      </c>
      <c r="C71" s="42"/>
      <c r="D71" s="90"/>
      <c r="E71" s="47"/>
      <c r="F71" s="88"/>
      <c r="G71" s="221" t="str">
        <f t="shared" si="19"/>
        <v>Comisaría 15°</v>
      </c>
      <c r="H71" s="46"/>
      <c r="I71" s="52"/>
      <c r="J71" s="27"/>
      <c r="K71" s="27"/>
      <c r="L71" s="27"/>
      <c r="M71" s="27"/>
      <c r="N71" s="46"/>
      <c r="O71" s="55" t="str">
        <f t="shared" si="10"/>
        <v/>
      </c>
      <c r="P71" s="56" t="str">
        <f t="shared" si="11"/>
        <v/>
      </c>
      <c r="Q71" s="52"/>
      <c r="R71" s="46"/>
      <c r="S71" s="62"/>
      <c r="T71" s="57" t="str">
        <f>IFERROR(VLOOKUP(X71,BUSCADOR!$A$2:$E$112,5,FALSE),"")</f>
        <v/>
      </c>
      <c r="U71" s="107" t="str">
        <f t="shared" si="12"/>
        <v/>
      </c>
      <c r="V71" s="28" t="str">
        <f>IFERROR(VLOOKUP(X71,BUSCADOR!$A$2:$E$112,4,FALSE),"")</f>
        <v/>
      </c>
      <c r="W71" s="107" t="str">
        <f t="shared" si="13"/>
        <v/>
      </c>
      <c r="X71" s="27"/>
      <c r="Y71" s="58" t="str">
        <f>IFERROR(VLOOKUP(X71,BUSCADOR!$A$2:$B$112,2,FALSE),"")</f>
        <v/>
      </c>
      <c r="Z71" s="101" t="str">
        <f t="shared" si="14"/>
        <v>__</v>
      </c>
      <c r="AA71" s="103" t="str">
        <f t="shared" si="15"/>
        <v>___</v>
      </c>
      <c r="AB71" s="104" t="str">
        <f t="shared" si="16"/>
        <v>____</v>
      </c>
      <c r="AC71" s="104" t="str">
        <f t="shared" si="16"/>
        <v>_____</v>
      </c>
      <c r="AD71" s="83"/>
      <c r="AE71" s="45"/>
      <c r="AF71" s="66"/>
      <c r="AG71" s="212"/>
      <c r="AH71" s="213"/>
      <c r="AI71" s="214"/>
      <c r="AJ71" s="219"/>
      <c r="AK71" s="213"/>
      <c r="AL71" s="213"/>
      <c r="AM71" s="213"/>
      <c r="AN71" s="213"/>
      <c r="AO71" s="219"/>
      <c r="AP71" s="95"/>
      <c r="AQ71" s="186" t="str">
        <f t="shared" si="17"/>
        <v/>
      </c>
      <c r="AR71" s="66"/>
      <c r="AS71" s="76"/>
      <c r="AT71" s="225"/>
      <c r="AU71" s="213"/>
      <c r="AV71" s="214"/>
      <c r="AW71" s="226"/>
      <c r="AX71" s="213"/>
      <c r="AY71" s="213"/>
      <c r="AZ71" s="227"/>
      <c r="BA71" s="65"/>
      <c r="BB71" s="52"/>
      <c r="BC71" s="27"/>
      <c r="BD71" s="27"/>
      <c r="BE71" s="27"/>
      <c r="BF71" s="79"/>
      <c r="BG71" s="52"/>
      <c r="BH71" s="69"/>
      <c r="BI71" s="188" t="str">
        <f>IF(Y71=BUSCADOR!$B$46,"HURTO_",IF(OR(Y71=BUSCADOR!$B$49,Y71=BUSCADOR!$B$50),"ROBO_",""))</f>
        <v/>
      </c>
      <c r="BJ71" s="50"/>
      <c r="BK71" s="45"/>
      <c r="BL71" s="66"/>
      <c r="BM71" s="1" t="b">
        <f t="shared" si="18"/>
        <v>0</v>
      </c>
    </row>
    <row r="72" spans="1:65" ht="117.6" customHeight="1" x14ac:dyDescent="0.25">
      <c r="A72" s="171">
        <v>70</v>
      </c>
      <c r="B72" s="41" t="str">
        <f>IF(AND(BM72,ISBLANK(C72)),"Completar FECHA DE DENUNCIA",IF(AND(BM72,OR(ISBLANK(D72),ISBLANK(E72),ISBLANK(H72))),"Completar las celdas FECHA, HORA Y PREVENTIVO. En caso de no conocer la fecha u horario colocar INDETERMINADO",IF(AND(BM72,ISBLANK(G72)),"Completar COMISARIA",IF(AND(BM72,OR(ISBLANK(I72),ISBLANK(L72),ISBLANK(M72),O72="")),"Completar las celdas LOCALIDAD, CALLE, ALTURA Y DIRECCION SEGUN  GOOGLE MAPS",IF(AND(ISBLANK(J72),OR(I72=AÑELO[[#Headers],[AÑELO]],CENTENARIO[[#Headers],[CENTENARIO]]='PLANILLA DJ'!I72,CUTRAL_CO[[#Headers],[CUTRAL_CO]],JUNIN_DE_LOS_ANDES[[#Headers],[JUNIN_DE_LOS_ANDES]]='PLANILLA DJ'!I72,'PLANILLA DJ'!I72=NEUQUEN[[#Headers],[NEUQUEN]],PLAZA_HUINCUL[[#Headers],[PLAZA_HUINCUL]]='PLANILLA DJ'!I72,'PLANILLA DJ'!I72=PLOTTIER[[#Headers],[PLOTTIER]])),"COMPLETAR BARRIO",IF(AND(BM72,ISBLANK(Q72)),"Completar Nombre de VICTIMA o DENUNCIANTE",IF(AND(BM72,ISBLANK(R72)),"Completar TIPO DE ACTUACION",IF(AND(R72=BUSCADOR!$B$140,OR(X72&lt;&gt;BUSCADOR!$A$110,ISBLANK(X72))),"Se indico A CONSIDERACION en ACTUACION, indicar en el buscador de delitos A CONSIDERACION tambien",IF(AND(ISBLANK(X72)&lt;&gt;TRUE,IFERROR(MATCH(X72,BUSCADOR!$A$2:$A$112,0),-1)&lt;0),"EN EL BUSCADOR DE DELITOS NO agregar comentarios como SU INVESTIGACION, REPORTE, etc. Limitarse SOLAMENTE a poner A CONSIDERACION u otro valor que coincida en el buscador",IF(AND(ISBLANK(AD72),OR(Y72=BUSCADOR!$B$49,BUSCADOR!$B$50=Y72,Y72=BUSCADOR!$B$46,Y72=BUSCADOR!$B$2,Y72=BUSCADOR!$B$7,BUSCADOR!$B$109=Y72,X72=BUSCADOR!$A$58,X72=BUSCADOR!$A$59)),"Completar la celda TIPO DE LUGAR",IF(AND(ISBLANK(AE72),OR(AD72=BUSCADOR!$E$149,BUSCADOR!$E$150=AD72,AD72=BUSCADOR!$F$148)),"Completar DETALLE ESTABLECIMIENTO",IF(AND(ISBLANK(AF72),BM72),"Completar la celda MOTIVO QUE ORIGINA EL REGISTRO DEL HECHO",IF(AND(SUM(AG72:AI72)=0,OR(Y72=BUSCADOR!$B$2,BUSCADOR!$B$6=Y72,Y72=BUSCADOR!$B$7,BUSCADOR!$B$8=Y72,Y72=BUSCADOR!$B$9,BUSCADOR!$B$12=Y72,Y72=BUSCADOR!$B$13,BUSCADOR!$B$14=Y72,Y72=BUSCADOR!$B$17,BUSCADOR!$B$18=Y72,Y72=BUSCADOR!$B$20,BUSCADOR!$B$29=Y72,BUSCADOR!$B$34=Y72,BUSCADOR!$B$35=Y72,Y72=BUSCADOR!$B$109,Y72=BUSCADOR!$B$51,BUSCADOR!$B$50=Y72,Y72=BUSCADOR!$B$47,Y72=BUSCADOR!$B$58,Y72=BUSCADOR!$B$21,Y72=BUSCADOR!$B$22,Y72=BUSCADOR!$B$23,Y72=BUSCADOR!$B$24)),"El delito indicado debe presentar un numero de victimas. Completar la celda CANTIDAD DE VICTIMAS",IF(AND(SUM(AJ72:AO72)&gt;0,ISBLANK(AP72)),"Completar celda VULNERABILIDAD DE LA VICTIMA",IF(SUM(AG72:AI72)&lt;&gt;SUM(AJ72:AO72),"Se indico una CANTIDAD DE VICTIMAS SEGUN SEXO diferente a SEGUN GENERO",IF(AND(ISBLANK(AR72),OR(Y72=BUSCADOR!$B$49,BUSCADOR!$B$50=Y72,Y72=BUSCADOR!$B$46,Y72=BUSCADOR!$B$109,BUSCADOR!$B$2=Y72,X72=BUSCADOR!$A$58,X72=BUSCADOR!$A$59)),"Completar la celda TIPO DE ARMA, MODALIDAD O MECANISMO",IF(AND(ISBLANK(AS72),OR(Y72=BUSCADOR!$B$51,BUSCADOR!$B$50=Y72,Y72=BUSCADOR!$B$47,BUSCADOR!$A$58=X72,X72=BUSCADOR!$A$59)),"Completar la celda CONOCIDO, en la seccion de los inculpados",IF(AND(AS72=BUSCADOR!$B$127,OR(Y72=BUSCADOR!$B$51,BUSCADOR!$B$50,Y72,BUSCADOR!$B$46),OR(SUM(AT72:AV72)&lt;&gt;SUM(AW72:AZ72),SUM(AT72:AZ72)=0)),"Revisar las celdas correspondientes a CANTIDAD DE INCULPADOS. Se indica una cantidad diferente segun SEXO y EDAD o no se indico cantidad alguna",IF(AND(ISBLANK(BA72),X72=BUSCADOR!$A$27),"Se indico una persona desaparecida. Completar la casilla APARECIO",IF(AND(ISBLANK(BB72),OR(Y72=BUSCADOR!$B$49,BUSCADOR!$B$50=Y72,Y72=BUSCADOR!$B$46)),"Completar la casilla ELEMENTO SUSTRAIDO",IF(OR(AND(BB72=OTROS[[#Headers],[OTROS]],ISBLANK(BC72)),AND(BB72=ABIGEATO[[#Headers],[ABIGEATO]],ISBLANK(BC72))),"Completar la celda SUBCATEGORIA",IF(AND(OR(BB72=MOTOCICLETA[[#Headers],[MOTOCICLETA]],BB72=AUTOMOTOR[[#Headers],[AUTOMOTOR]]),OR(ISBLANK(BC72),ISBLANK(BD72),ISBLANK(BE72),ISBLANK(BF72))),"Se indico un AUTOMOTOR o MOTOCICLETA en ELEMENTOS SUSTRAIDOS, completar las celdas SUBCATEGORIA, DENOMINACION, AÑO y MODELO", IF(AND(ISBLANK(BB72)&lt;&gt;TRUE,ISBLANK(BJ72)),"Completar MODUS OPERANDI",IF(AND(ISBLANK(BK72),OR(BJ72=BUSCADOR!$H$232,BJ72=BUSCADOR!$I$232)),"Completar ESPECIALIDAD",IF(OR(AND(H72='SAT-Homicidios Dolosos'!$B$5,'SAT-Homicidios Dolosos'!$A$5&lt;&gt;"OK"),AND(H72='SAT-Homicidios Dolosos'!$B$8,'SAT-Homicidios Dolosos'!$A$8&lt;&gt;"OK")),"Se indico un HOMICIDIO, existen CELDAS VACIAS en la hoja SAT-HOMICIDIOS DOLOSOS Completar los datos indicados",IF(OR(AND(H72='SAT-Muertes Viales'!$E$21,'SAT-Muertes Viales'!$A$21&lt;&gt;"OK"),AND(H72='SAT-Muertes Viales'!$E$25,'SAT-Muertes Viales'!$A$25&lt;&gt;"OK"),AND(H72='SAT-Muertes Viales'!$E$29,'SAT-Muertes Viales'!$A$29&lt;&gt;"OK")),"Se indico un HOMICIDIO POR SINIESTRO VIAL, existen CELDAS VACIAS en la hoja SAT-MUERTES VIALES Completar los datos indicados",IF(OR(AND(H72='SAT-Suicidios'!$B$19,'SAT-Suicidios'!$A$19&lt;&gt;"OK"),AND(H72='SAT-Suicidios'!$B$22,'SAT-Suicidios'!$A$22&lt;&gt;"OK"),AND(H72='SAT-Suicidios'!$B$25,'SAT-Suicidios'!$A$25&lt;&gt;"OK")),"Se indico un SUICIDIO, existen CELDAS VACIAS en la hoja SAT-SUICIDIOS Completar los datos indicados",IF(IFERROR(MATCH(X72,BUSCADOR!$A$2:$A$112,0),-1)&lt;0,"No se indico delito",IF(AND(ISBLANK(BL72),OR(X72=BUSCADOR!$A$111,X72=BUSCADOR!$A$110)),"Llenar la casilla DETALLES, COMENTARIOS con una descripcion de la causa",IF(AND(X72="MUERTE DUDOSA",ISBLANK(BL72)=FALSE),"SE INDICO MUERTE DUDOSA, NOS CONTACTAREMOS PARA MAS INFORMACION","FILA CORRECTA"))))))))))))))))))))))))))))))</f>
        <v>No se indico delito</v>
      </c>
      <c r="C72" s="42"/>
      <c r="D72" s="90"/>
      <c r="E72" s="47"/>
      <c r="F72" s="88"/>
      <c r="G72" s="221" t="str">
        <f t="shared" si="19"/>
        <v>Comisaría 15°</v>
      </c>
      <c r="H72" s="46"/>
      <c r="I72" s="52"/>
      <c r="J72" s="27"/>
      <c r="K72" s="27"/>
      <c r="L72" s="27"/>
      <c r="M72" s="27"/>
      <c r="N72" s="46"/>
      <c r="O72" s="55" t="str">
        <f t="shared" si="10"/>
        <v/>
      </c>
      <c r="P72" s="56" t="str">
        <f t="shared" si="11"/>
        <v/>
      </c>
      <c r="Q72" s="52"/>
      <c r="R72" s="46"/>
      <c r="S72" s="62"/>
      <c r="T72" s="57" t="str">
        <f>IFERROR(VLOOKUP(X72,BUSCADOR!$A$2:$E$112,5,FALSE),"")</f>
        <v/>
      </c>
      <c r="U72" s="107" t="str">
        <f t="shared" si="12"/>
        <v/>
      </c>
      <c r="V72" s="28" t="str">
        <f>IFERROR(VLOOKUP(X72,BUSCADOR!$A$2:$E$112,4,FALSE),"")</f>
        <v/>
      </c>
      <c r="W72" s="107" t="str">
        <f t="shared" si="13"/>
        <v/>
      </c>
      <c r="X72" s="27"/>
      <c r="Y72" s="58" t="str">
        <f>IFERROR(VLOOKUP(X72,BUSCADOR!$A$2:$B$112,2,FALSE),"")</f>
        <v/>
      </c>
      <c r="Z72" s="101" t="str">
        <f t="shared" si="14"/>
        <v>__</v>
      </c>
      <c r="AA72" s="103" t="str">
        <f t="shared" si="15"/>
        <v>___</v>
      </c>
      <c r="AB72" s="104" t="str">
        <f t="shared" si="16"/>
        <v>____</v>
      </c>
      <c r="AC72" s="104" t="str">
        <f t="shared" si="16"/>
        <v>_____</v>
      </c>
      <c r="AD72" s="83"/>
      <c r="AE72" s="45"/>
      <c r="AF72" s="66"/>
      <c r="AG72" s="212"/>
      <c r="AH72" s="213"/>
      <c r="AI72" s="214"/>
      <c r="AJ72" s="219"/>
      <c r="AK72" s="213"/>
      <c r="AL72" s="213"/>
      <c r="AM72" s="213"/>
      <c r="AN72" s="213"/>
      <c r="AO72" s="219"/>
      <c r="AP72" s="95"/>
      <c r="AQ72" s="186" t="str">
        <f t="shared" si="17"/>
        <v/>
      </c>
      <c r="AR72" s="66"/>
      <c r="AS72" s="76"/>
      <c r="AT72" s="225"/>
      <c r="AU72" s="213"/>
      <c r="AV72" s="214"/>
      <c r="AW72" s="226"/>
      <c r="AX72" s="213"/>
      <c r="AY72" s="213"/>
      <c r="AZ72" s="227"/>
      <c r="BA72" s="65"/>
      <c r="BB72" s="52"/>
      <c r="BC72" s="27"/>
      <c r="BD72" s="27"/>
      <c r="BE72" s="27"/>
      <c r="BF72" s="79"/>
      <c r="BG72" s="52"/>
      <c r="BH72" s="69"/>
      <c r="BI72" s="188" t="str">
        <f>IF(Y72=BUSCADOR!$B$46,"HURTO_",IF(OR(Y72=BUSCADOR!$B$49,Y72=BUSCADOR!$B$50),"ROBO_",""))</f>
        <v/>
      </c>
      <c r="BJ72" s="50"/>
      <c r="BK72" s="45"/>
      <c r="BL72" s="66"/>
      <c r="BM72" s="1" t="b">
        <f t="shared" si="18"/>
        <v>0</v>
      </c>
    </row>
    <row r="73" spans="1:65" ht="117.6" customHeight="1" x14ac:dyDescent="0.25">
      <c r="A73" s="171">
        <v>71</v>
      </c>
      <c r="B73" s="41" t="str">
        <f>IF(AND(BM73,ISBLANK(C73)),"Completar FECHA DE DENUNCIA",IF(AND(BM73,OR(ISBLANK(D73),ISBLANK(E73),ISBLANK(H73))),"Completar las celdas FECHA, HORA Y PREVENTIVO. En caso de no conocer la fecha u horario colocar INDETERMINADO",IF(AND(BM73,ISBLANK(G73)),"Completar COMISARIA",IF(AND(BM73,OR(ISBLANK(I73),ISBLANK(L73),ISBLANK(M73),O73="")),"Completar las celdas LOCALIDAD, CALLE, ALTURA Y DIRECCION SEGUN  GOOGLE MAPS",IF(AND(ISBLANK(J73),OR(I73=AÑELO[[#Headers],[AÑELO]],CENTENARIO[[#Headers],[CENTENARIO]]='PLANILLA DJ'!I73,CUTRAL_CO[[#Headers],[CUTRAL_CO]],JUNIN_DE_LOS_ANDES[[#Headers],[JUNIN_DE_LOS_ANDES]]='PLANILLA DJ'!I73,'PLANILLA DJ'!I73=NEUQUEN[[#Headers],[NEUQUEN]],PLAZA_HUINCUL[[#Headers],[PLAZA_HUINCUL]]='PLANILLA DJ'!I73,'PLANILLA DJ'!I73=PLOTTIER[[#Headers],[PLOTTIER]])),"COMPLETAR BARRIO",IF(AND(BM73,ISBLANK(Q73)),"Completar Nombre de VICTIMA o DENUNCIANTE",IF(AND(BM73,ISBLANK(R73)),"Completar TIPO DE ACTUACION",IF(AND(R73=BUSCADOR!$B$140,OR(X73&lt;&gt;BUSCADOR!$A$110,ISBLANK(X73))),"Se indico A CONSIDERACION en ACTUACION, indicar en el buscador de delitos A CONSIDERACION tambien",IF(AND(ISBLANK(X73)&lt;&gt;TRUE,IFERROR(MATCH(X73,BUSCADOR!$A$2:$A$112,0),-1)&lt;0),"EN EL BUSCADOR DE DELITOS NO agregar comentarios como SU INVESTIGACION, REPORTE, etc. Limitarse SOLAMENTE a poner A CONSIDERACION u otro valor que coincida en el buscador",IF(AND(ISBLANK(AD73),OR(Y73=BUSCADOR!$B$49,BUSCADOR!$B$50=Y73,Y73=BUSCADOR!$B$46,Y73=BUSCADOR!$B$2,Y73=BUSCADOR!$B$7,BUSCADOR!$B$109=Y73,X73=BUSCADOR!$A$58,X73=BUSCADOR!$A$59)),"Completar la celda TIPO DE LUGAR",IF(AND(ISBLANK(AE73),OR(AD73=BUSCADOR!$E$149,BUSCADOR!$E$150=AD73,AD73=BUSCADOR!$F$148)),"Completar DETALLE ESTABLECIMIENTO",IF(AND(ISBLANK(AF73),BM73),"Completar la celda MOTIVO QUE ORIGINA EL REGISTRO DEL HECHO",IF(AND(SUM(AG73:AI73)=0,OR(Y73=BUSCADOR!$B$2,BUSCADOR!$B$6=Y73,Y73=BUSCADOR!$B$7,BUSCADOR!$B$8=Y73,Y73=BUSCADOR!$B$9,BUSCADOR!$B$12=Y73,Y73=BUSCADOR!$B$13,BUSCADOR!$B$14=Y73,Y73=BUSCADOR!$B$17,BUSCADOR!$B$18=Y73,Y73=BUSCADOR!$B$20,BUSCADOR!$B$29=Y73,BUSCADOR!$B$34=Y73,BUSCADOR!$B$35=Y73,Y73=BUSCADOR!$B$109,Y73=BUSCADOR!$B$51,BUSCADOR!$B$50=Y73,Y73=BUSCADOR!$B$47,Y73=BUSCADOR!$B$58,Y73=BUSCADOR!$B$21,Y73=BUSCADOR!$B$22,Y73=BUSCADOR!$B$23,Y73=BUSCADOR!$B$24)),"El delito indicado debe presentar un numero de victimas. Completar la celda CANTIDAD DE VICTIMAS",IF(AND(SUM(AJ73:AO73)&gt;0,ISBLANK(AP73)),"Completar celda VULNERABILIDAD DE LA VICTIMA",IF(SUM(AG73:AI73)&lt;&gt;SUM(AJ73:AO73),"Se indico una CANTIDAD DE VICTIMAS SEGUN SEXO diferente a SEGUN GENERO",IF(AND(ISBLANK(AR73),OR(Y73=BUSCADOR!$B$49,BUSCADOR!$B$50=Y73,Y73=BUSCADOR!$B$46,Y73=BUSCADOR!$B$109,BUSCADOR!$B$2=Y73,X73=BUSCADOR!$A$58,X73=BUSCADOR!$A$59)),"Completar la celda TIPO DE ARMA, MODALIDAD O MECANISMO",IF(AND(ISBLANK(AS73),OR(Y73=BUSCADOR!$B$51,BUSCADOR!$B$50=Y73,Y73=BUSCADOR!$B$47,BUSCADOR!$A$58=X73,X73=BUSCADOR!$A$59)),"Completar la celda CONOCIDO, en la seccion de los inculpados",IF(AND(AS73=BUSCADOR!$B$127,OR(Y73=BUSCADOR!$B$51,BUSCADOR!$B$50,Y73,BUSCADOR!$B$46),OR(SUM(AT73:AV73)&lt;&gt;SUM(AW73:AZ73),SUM(AT73:AZ73)=0)),"Revisar las celdas correspondientes a CANTIDAD DE INCULPADOS. Se indica una cantidad diferente segun SEXO y EDAD o no se indico cantidad alguna",IF(AND(ISBLANK(BA73),X73=BUSCADOR!$A$27),"Se indico una persona desaparecida. Completar la casilla APARECIO",IF(AND(ISBLANK(BB73),OR(Y73=BUSCADOR!$B$49,BUSCADOR!$B$50=Y73,Y73=BUSCADOR!$B$46)),"Completar la casilla ELEMENTO SUSTRAIDO",IF(OR(AND(BB73=OTROS[[#Headers],[OTROS]],ISBLANK(BC73)),AND(BB73=ABIGEATO[[#Headers],[ABIGEATO]],ISBLANK(BC73))),"Completar la celda SUBCATEGORIA",IF(AND(OR(BB73=MOTOCICLETA[[#Headers],[MOTOCICLETA]],BB73=AUTOMOTOR[[#Headers],[AUTOMOTOR]]),OR(ISBLANK(BC73),ISBLANK(BD73),ISBLANK(BE73),ISBLANK(BF73))),"Se indico un AUTOMOTOR o MOTOCICLETA en ELEMENTOS SUSTRAIDOS, completar las celdas SUBCATEGORIA, DENOMINACION, AÑO y MODELO", IF(AND(ISBLANK(BB73)&lt;&gt;TRUE,ISBLANK(BJ73)),"Completar MODUS OPERANDI",IF(AND(ISBLANK(BK73),OR(BJ73=BUSCADOR!$H$232,BJ73=BUSCADOR!$I$232)),"Completar ESPECIALIDAD",IF(OR(AND(H73='SAT-Homicidios Dolosos'!$B$5,'SAT-Homicidios Dolosos'!$A$5&lt;&gt;"OK"),AND(H73='SAT-Homicidios Dolosos'!$B$8,'SAT-Homicidios Dolosos'!$A$8&lt;&gt;"OK")),"Se indico un HOMICIDIO, existen CELDAS VACIAS en la hoja SAT-HOMICIDIOS DOLOSOS Completar los datos indicados",IF(OR(AND(H73='SAT-Muertes Viales'!$E$21,'SAT-Muertes Viales'!$A$21&lt;&gt;"OK"),AND(H73='SAT-Muertes Viales'!$E$25,'SAT-Muertes Viales'!$A$25&lt;&gt;"OK"),AND(H73='SAT-Muertes Viales'!$E$29,'SAT-Muertes Viales'!$A$29&lt;&gt;"OK")),"Se indico un HOMICIDIO POR SINIESTRO VIAL, existen CELDAS VACIAS en la hoja SAT-MUERTES VIALES Completar los datos indicados",IF(OR(AND(H73='SAT-Suicidios'!$B$19,'SAT-Suicidios'!$A$19&lt;&gt;"OK"),AND(H73='SAT-Suicidios'!$B$22,'SAT-Suicidios'!$A$22&lt;&gt;"OK"),AND(H73='SAT-Suicidios'!$B$25,'SAT-Suicidios'!$A$25&lt;&gt;"OK")),"Se indico un SUICIDIO, existen CELDAS VACIAS en la hoja SAT-SUICIDIOS Completar los datos indicados",IF(IFERROR(MATCH(X73,BUSCADOR!$A$2:$A$112,0),-1)&lt;0,"No se indico delito",IF(AND(ISBLANK(BL73),OR(X73=BUSCADOR!$A$111,X73=BUSCADOR!$A$110)),"Llenar la casilla DETALLES, COMENTARIOS con una descripcion de la causa",IF(AND(X73="MUERTE DUDOSA",ISBLANK(BL73)=FALSE),"SE INDICO MUERTE DUDOSA, NOS CONTACTAREMOS PARA MAS INFORMACION","FILA CORRECTA"))))))))))))))))))))))))))))))</f>
        <v>No se indico delito</v>
      </c>
      <c r="C73" s="42"/>
      <c r="D73" s="90"/>
      <c r="E73" s="47"/>
      <c r="F73" s="88"/>
      <c r="G73" s="221" t="str">
        <f t="shared" si="19"/>
        <v>Comisaría 15°</v>
      </c>
      <c r="H73" s="46"/>
      <c r="I73" s="52"/>
      <c r="J73" s="27"/>
      <c r="K73" s="27"/>
      <c r="L73" s="27"/>
      <c r="M73" s="27"/>
      <c r="N73" s="46"/>
      <c r="O73" s="55" t="str">
        <f t="shared" si="10"/>
        <v/>
      </c>
      <c r="P73" s="56" t="str">
        <f t="shared" si="11"/>
        <v/>
      </c>
      <c r="Q73" s="52"/>
      <c r="R73" s="46"/>
      <c r="S73" s="62"/>
      <c r="T73" s="57" t="str">
        <f>IFERROR(VLOOKUP(X73,BUSCADOR!$A$2:$E$112,5,FALSE),"")</f>
        <v/>
      </c>
      <c r="U73" s="107" t="str">
        <f t="shared" si="12"/>
        <v/>
      </c>
      <c r="V73" s="28" t="str">
        <f>IFERROR(VLOOKUP(X73,BUSCADOR!$A$2:$E$112,4,FALSE),"")</f>
        <v/>
      </c>
      <c r="W73" s="107" t="str">
        <f t="shared" si="13"/>
        <v/>
      </c>
      <c r="X73" s="27"/>
      <c r="Y73" s="58" t="str">
        <f>IFERROR(VLOOKUP(X73,BUSCADOR!$A$2:$B$112,2,FALSE),"")</f>
        <v/>
      </c>
      <c r="Z73" s="101" t="str">
        <f t="shared" si="14"/>
        <v>__</v>
      </c>
      <c r="AA73" s="103" t="str">
        <f t="shared" si="15"/>
        <v>___</v>
      </c>
      <c r="AB73" s="104" t="str">
        <f t="shared" si="16"/>
        <v>____</v>
      </c>
      <c r="AC73" s="104" t="str">
        <f t="shared" si="16"/>
        <v>_____</v>
      </c>
      <c r="AD73" s="83"/>
      <c r="AE73" s="45"/>
      <c r="AF73" s="66"/>
      <c r="AG73" s="212"/>
      <c r="AH73" s="213"/>
      <c r="AI73" s="214"/>
      <c r="AJ73" s="219"/>
      <c r="AK73" s="213"/>
      <c r="AL73" s="213"/>
      <c r="AM73" s="213"/>
      <c r="AN73" s="213"/>
      <c r="AO73" s="219"/>
      <c r="AP73" s="95"/>
      <c r="AQ73" s="186" t="str">
        <f t="shared" si="17"/>
        <v/>
      </c>
      <c r="AR73" s="66"/>
      <c r="AS73" s="76"/>
      <c r="AT73" s="225"/>
      <c r="AU73" s="213"/>
      <c r="AV73" s="214"/>
      <c r="AW73" s="226"/>
      <c r="AX73" s="213"/>
      <c r="AY73" s="213"/>
      <c r="AZ73" s="227"/>
      <c r="BA73" s="65"/>
      <c r="BB73" s="52"/>
      <c r="BC73" s="27"/>
      <c r="BD73" s="27"/>
      <c r="BE73" s="27"/>
      <c r="BF73" s="79"/>
      <c r="BG73" s="52"/>
      <c r="BH73" s="69"/>
      <c r="BI73" s="188" t="str">
        <f>IF(Y73=BUSCADOR!$B$46,"HURTO_",IF(OR(Y73=BUSCADOR!$B$49,Y73=BUSCADOR!$B$50),"ROBO_",""))</f>
        <v/>
      </c>
      <c r="BJ73" s="50"/>
      <c r="BK73" s="45"/>
      <c r="BL73" s="66"/>
      <c r="BM73" s="1" t="b">
        <f t="shared" si="18"/>
        <v>0</v>
      </c>
    </row>
    <row r="74" spans="1:65" ht="117.6" customHeight="1" x14ac:dyDescent="0.25">
      <c r="A74" s="171">
        <v>72</v>
      </c>
      <c r="B74" s="41" t="str">
        <f>IF(AND(BM74,ISBLANK(C74)),"Completar FECHA DE DENUNCIA",IF(AND(BM74,OR(ISBLANK(D74),ISBLANK(E74),ISBLANK(H74))),"Completar las celdas FECHA, HORA Y PREVENTIVO. En caso de no conocer la fecha u horario colocar INDETERMINADO",IF(AND(BM74,ISBLANK(G74)),"Completar COMISARIA",IF(AND(BM74,OR(ISBLANK(I74),ISBLANK(L74),ISBLANK(M74),O74="")),"Completar las celdas LOCALIDAD, CALLE, ALTURA Y DIRECCION SEGUN  GOOGLE MAPS",IF(AND(ISBLANK(J74),OR(I74=AÑELO[[#Headers],[AÑELO]],CENTENARIO[[#Headers],[CENTENARIO]]='PLANILLA DJ'!I74,CUTRAL_CO[[#Headers],[CUTRAL_CO]],JUNIN_DE_LOS_ANDES[[#Headers],[JUNIN_DE_LOS_ANDES]]='PLANILLA DJ'!I74,'PLANILLA DJ'!I74=NEUQUEN[[#Headers],[NEUQUEN]],PLAZA_HUINCUL[[#Headers],[PLAZA_HUINCUL]]='PLANILLA DJ'!I74,'PLANILLA DJ'!I74=PLOTTIER[[#Headers],[PLOTTIER]])),"COMPLETAR BARRIO",IF(AND(BM74,ISBLANK(Q74)),"Completar Nombre de VICTIMA o DENUNCIANTE",IF(AND(BM74,ISBLANK(R74)),"Completar TIPO DE ACTUACION",IF(AND(R74=BUSCADOR!$B$140,OR(X74&lt;&gt;BUSCADOR!$A$110,ISBLANK(X74))),"Se indico A CONSIDERACION en ACTUACION, indicar en el buscador de delitos A CONSIDERACION tambien",IF(AND(ISBLANK(X74)&lt;&gt;TRUE,IFERROR(MATCH(X74,BUSCADOR!$A$2:$A$112,0),-1)&lt;0),"EN EL BUSCADOR DE DELITOS NO agregar comentarios como SU INVESTIGACION, REPORTE, etc. Limitarse SOLAMENTE a poner A CONSIDERACION u otro valor que coincida en el buscador",IF(AND(ISBLANK(AD74),OR(Y74=BUSCADOR!$B$49,BUSCADOR!$B$50=Y74,Y74=BUSCADOR!$B$46,Y74=BUSCADOR!$B$2,Y74=BUSCADOR!$B$7,BUSCADOR!$B$109=Y74,X74=BUSCADOR!$A$58,X74=BUSCADOR!$A$59)),"Completar la celda TIPO DE LUGAR",IF(AND(ISBLANK(AE74),OR(AD74=BUSCADOR!$E$149,BUSCADOR!$E$150=AD74,AD74=BUSCADOR!$F$148)),"Completar DETALLE ESTABLECIMIENTO",IF(AND(ISBLANK(AF74),BM74),"Completar la celda MOTIVO QUE ORIGINA EL REGISTRO DEL HECHO",IF(AND(SUM(AG74:AI74)=0,OR(Y74=BUSCADOR!$B$2,BUSCADOR!$B$6=Y74,Y74=BUSCADOR!$B$7,BUSCADOR!$B$8=Y74,Y74=BUSCADOR!$B$9,BUSCADOR!$B$12=Y74,Y74=BUSCADOR!$B$13,BUSCADOR!$B$14=Y74,Y74=BUSCADOR!$B$17,BUSCADOR!$B$18=Y74,Y74=BUSCADOR!$B$20,BUSCADOR!$B$29=Y74,BUSCADOR!$B$34=Y74,BUSCADOR!$B$35=Y74,Y74=BUSCADOR!$B$109,Y74=BUSCADOR!$B$51,BUSCADOR!$B$50=Y74,Y74=BUSCADOR!$B$47,Y74=BUSCADOR!$B$58,Y74=BUSCADOR!$B$21,Y74=BUSCADOR!$B$22,Y74=BUSCADOR!$B$23,Y74=BUSCADOR!$B$24)),"El delito indicado debe presentar un numero de victimas. Completar la celda CANTIDAD DE VICTIMAS",IF(AND(SUM(AJ74:AO74)&gt;0,ISBLANK(AP74)),"Completar celda VULNERABILIDAD DE LA VICTIMA",IF(SUM(AG74:AI74)&lt;&gt;SUM(AJ74:AO74),"Se indico una CANTIDAD DE VICTIMAS SEGUN SEXO diferente a SEGUN GENERO",IF(AND(ISBLANK(AR74),OR(Y74=BUSCADOR!$B$49,BUSCADOR!$B$50=Y74,Y74=BUSCADOR!$B$46,Y74=BUSCADOR!$B$109,BUSCADOR!$B$2=Y74,X74=BUSCADOR!$A$58,X74=BUSCADOR!$A$59)),"Completar la celda TIPO DE ARMA, MODALIDAD O MECANISMO",IF(AND(ISBLANK(AS74),OR(Y74=BUSCADOR!$B$51,BUSCADOR!$B$50=Y74,Y74=BUSCADOR!$B$47,BUSCADOR!$A$58=X74,X74=BUSCADOR!$A$59)),"Completar la celda CONOCIDO, en la seccion de los inculpados",IF(AND(AS74=BUSCADOR!$B$127,OR(Y74=BUSCADOR!$B$51,BUSCADOR!$B$50,Y74,BUSCADOR!$B$46),OR(SUM(AT74:AV74)&lt;&gt;SUM(AW74:AZ74),SUM(AT74:AZ74)=0)),"Revisar las celdas correspondientes a CANTIDAD DE INCULPADOS. Se indica una cantidad diferente segun SEXO y EDAD o no se indico cantidad alguna",IF(AND(ISBLANK(BA74),X74=BUSCADOR!$A$27),"Se indico una persona desaparecida. Completar la casilla APARECIO",IF(AND(ISBLANK(BB74),OR(Y74=BUSCADOR!$B$49,BUSCADOR!$B$50=Y74,Y74=BUSCADOR!$B$46)),"Completar la casilla ELEMENTO SUSTRAIDO",IF(OR(AND(BB74=OTROS[[#Headers],[OTROS]],ISBLANK(BC74)),AND(BB74=ABIGEATO[[#Headers],[ABIGEATO]],ISBLANK(BC74))),"Completar la celda SUBCATEGORIA",IF(AND(OR(BB74=MOTOCICLETA[[#Headers],[MOTOCICLETA]],BB74=AUTOMOTOR[[#Headers],[AUTOMOTOR]]),OR(ISBLANK(BC74),ISBLANK(BD74),ISBLANK(BE74),ISBLANK(BF74))),"Se indico un AUTOMOTOR o MOTOCICLETA en ELEMENTOS SUSTRAIDOS, completar las celdas SUBCATEGORIA, DENOMINACION, AÑO y MODELO", IF(AND(ISBLANK(BB74)&lt;&gt;TRUE,ISBLANK(BJ74)),"Completar MODUS OPERANDI",IF(AND(ISBLANK(BK74),OR(BJ74=BUSCADOR!$H$232,BJ74=BUSCADOR!$I$232)),"Completar ESPECIALIDAD",IF(OR(AND(H74='SAT-Homicidios Dolosos'!$B$5,'SAT-Homicidios Dolosos'!$A$5&lt;&gt;"OK"),AND(H74='SAT-Homicidios Dolosos'!$B$8,'SAT-Homicidios Dolosos'!$A$8&lt;&gt;"OK")),"Se indico un HOMICIDIO, existen CELDAS VACIAS en la hoja SAT-HOMICIDIOS DOLOSOS Completar los datos indicados",IF(OR(AND(H74='SAT-Muertes Viales'!$E$21,'SAT-Muertes Viales'!$A$21&lt;&gt;"OK"),AND(H74='SAT-Muertes Viales'!$E$25,'SAT-Muertes Viales'!$A$25&lt;&gt;"OK"),AND(H74='SAT-Muertes Viales'!$E$29,'SAT-Muertes Viales'!$A$29&lt;&gt;"OK")),"Se indico un HOMICIDIO POR SINIESTRO VIAL, existen CELDAS VACIAS en la hoja SAT-MUERTES VIALES Completar los datos indicados",IF(OR(AND(H74='SAT-Suicidios'!$B$19,'SAT-Suicidios'!$A$19&lt;&gt;"OK"),AND(H74='SAT-Suicidios'!$B$22,'SAT-Suicidios'!$A$22&lt;&gt;"OK"),AND(H74='SAT-Suicidios'!$B$25,'SAT-Suicidios'!$A$25&lt;&gt;"OK")),"Se indico un SUICIDIO, existen CELDAS VACIAS en la hoja SAT-SUICIDIOS Completar los datos indicados",IF(IFERROR(MATCH(X74,BUSCADOR!$A$2:$A$112,0),-1)&lt;0,"No se indico delito",IF(AND(ISBLANK(BL74),OR(X74=BUSCADOR!$A$111,X74=BUSCADOR!$A$110)),"Llenar la casilla DETALLES, COMENTARIOS con una descripcion de la causa",IF(AND(X74="MUERTE DUDOSA",ISBLANK(BL74)=FALSE),"SE INDICO MUERTE DUDOSA, NOS CONTACTAREMOS PARA MAS INFORMACION","FILA CORRECTA"))))))))))))))))))))))))))))))</f>
        <v>No se indico delito</v>
      </c>
      <c r="C74" s="42"/>
      <c r="D74" s="90"/>
      <c r="E74" s="47"/>
      <c r="F74" s="88"/>
      <c r="G74" s="221" t="str">
        <f t="shared" si="19"/>
        <v>Comisaría 15°</v>
      </c>
      <c r="H74" s="46"/>
      <c r="I74" s="52"/>
      <c r="J74" s="27"/>
      <c r="K74" s="27"/>
      <c r="L74" s="27"/>
      <c r="M74" s="27"/>
      <c r="N74" s="46"/>
      <c r="O74" s="55" t="str">
        <f t="shared" si="10"/>
        <v/>
      </c>
      <c r="P74" s="56" t="str">
        <f t="shared" si="11"/>
        <v/>
      </c>
      <c r="Q74" s="52"/>
      <c r="R74" s="46"/>
      <c r="S74" s="62"/>
      <c r="T74" s="57" t="str">
        <f>IFERROR(VLOOKUP(X74,BUSCADOR!$A$2:$E$112,5,FALSE),"")</f>
        <v/>
      </c>
      <c r="U74" s="107" t="str">
        <f t="shared" si="12"/>
        <v/>
      </c>
      <c r="V74" s="28" t="str">
        <f>IFERROR(VLOOKUP(X74,BUSCADOR!$A$2:$E$112,4,FALSE),"")</f>
        <v/>
      </c>
      <c r="W74" s="107" t="str">
        <f t="shared" si="13"/>
        <v/>
      </c>
      <c r="X74" s="27"/>
      <c r="Y74" s="58" t="str">
        <f>IFERROR(VLOOKUP(X74,BUSCADOR!$A$2:$B$112,2,FALSE),"")</f>
        <v/>
      </c>
      <c r="Z74" s="101" t="str">
        <f t="shared" si="14"/>
        <v>__</v>
      </c>
      <c r="AA74" s="103" t="str">
        <f t="shared" si="15"/>
        <v>___</v>
      </c>
      <c r="AB74" s="104" t="str">
        <f t="shared" si="16"/>
        <v>____</v>
      </c>
      <c r="AC74" s="104" t="str">
        <f t="shared" si="16"/>
        <v>_____</v>
      </c>
      <c r="AD74" s="83"/>
      <c r="AE74" s="45"/>
      <c r="AF74" s="66"/>
      <c r="AG74" s="212"/>
      <c r="AH74" s="213"/>
      <c r="AI74" s="214"/>
      <c r="AJ74" s="219"/>
      <c r="AK74" s="213"/>
      <c r="AL74" s="213"/>
      <c r="AM74" s="213"/>
      <c r="AN74" s="213"/>
      <c r="AO74" s="219"/>
      <c r="AP74" s="95"/>
      <c r="AQ74" s="186" t="str">
        <f t="shared" si="17"/>
        <v/>
      </c>
      <c r="AR74" s="66"/>
      <c r="AS74" s="76"/>
      <c r="AT74" s="225"/>
      <c r="AU74" s="213"/>
      <c r="AV74" s="214"/>
      <c r="AW74" s="226"/>
      <c r="AX74" s="213"/>
      <c r="AY74" s="213"/>
      <c r="AZ74" s="227"/>
      <c r="BA74" s="65"/>
      <c r="BB74" s="52"/>
      <c r="BC74" s="27"/>
      <c r="BD74" s="27"/>
      <c r="BE74" s="27"/>
      <c r="BF74" s="79"/>
      <c r="BG74" s="52"/>
      <c r="BH74" s="69"/>
      <c r="BI74" s="188" t="str">
        <f>IF(Y74=BUSCADOR!$B$46,"HURTO_",IF(OR(Y74=BUSCADOR!$B$49,Y74=BUSCADOR!$B$50),"ROBO_",""))</f>
        <v/>
      </c>
      <c r="BJ74" s="50"/>
      <c r="BK74" s="45"/>
      <c r="BL74" s="66"/>
      <c r="BM74" s="1" t="b">
        <f t="shared" si="18"/>
        <v>0</v>
      </c>
    </row>
    <row r="75" spans="1:65" ht="117.6" customHeight="1" x14ac:dyDescent="0.25">
      <c r="A75" s="171">
        <v>73</v>
      </c>
      <c r="B75" s="41" t="str">
        <f>IF(AND(BM75,ISBLANK(C75)),"Completar FECHA DE DENUNCIA",IF(AND(BM75,OR(ISBLANK(D75),ISBLANK(E75),ISBLANK(H75))),"Completar las celdas FECHA, HORA Y PREVENTIVO. En caso de no conocer la fecha u horario colocar INDETERMINADO",IF(AND(BM75,ISBLANK(G75)),"Completar COMISARIA",IF(AND(BM75,OR(ISBLANK(I75),ISBLANK(L75),ISBLANK(M75),O75="")),"Completar las celdas LOCALIDAD, CALLE, ALTURA Y DIRECCION SEGUN  GOOGLE MAPS",IF(AND(ISBLANK(J75),OR(I75=AÑELO[[#Headers],[AÑELO]],CENTENARIO[[#Headers],[CENTENARIO]]='PLANILLA DJ'!I75,CUTRAL_CO[[#Headers],[CUTRAL_CO]],JUNIN_DE_LOS_ANDES[[#Headers],[JUNIN_DE_LOS_ANDES]]='PLANILLA DJ'!I75,'PLANILLA DJ'!I75=NEUQUEN[[#Headers],[NEUQUEN]],PLAZA_HUINCUL[[#Headers],[PLAZA_HUINCUL]]='PLANILLA DJ'!I75,'PLANILLA DJ'!I75=PLOTTIER[[#Headers],[PLOTTIER]])),"COMPLETAR BARRIO",IF(AND(BM75,ISBLANK(Q75)),"Completar Nombre de VICTIMA o DENUNCIANTE",IF(AND(BM75,ISBLANK(R75)),"Completar TIPO DE ACTUACION",IF(AND(R75=BUSCADOR!$B$140,OR(X75&lt;&gt;BUSCADOR!$A$110,ISBLANK(X75))),"Se indico A CONSIDERACION en ACTUACION, indicar en el buscador de delitos A CONSIDERACION tambien",IF(AND(ISBLANK(X75)&lt;&gt;TRUE,IFERROR(MATCH(X75,BUSCADOR!$A$2:$A$112,0),-1)&lt;0),"EN EL BUSCADOR DE DELITOS NO agregar comentarios como SU INVESTIGACION, REPORTE, etc. Limitarse SOLAMENTE a poner A CONSIDERACION u otro valor que coincida en el buscador",IF(AND(ISBLANK(AD75),OR(Y75=BUSCADOR!$B$49,BUSCADOR!$B$50=Y75,Y75=BUSCADOR!$B$46,Y75=BUSCADOR!$B$2,Y75=BUSCADOR!$B$7,BUSCADOR!$B$109=Y75,X75=BUSCADOR!$A$58,X75=BUSCADOR!$A$59)),"Completar la celda TIPO DE LUGAR",IF(AND(ISBLANK(AE75),OR(AD75=BUSCADOR!$E$149,BUSCADOR!$E$150=AD75,AD75=BUSCADOR!$F$148)),"Completar DETALLE ESTABLECIMIENTO",IF(AND(ISBLANK(AF75),BM75),"Completar la celda MOTIVO QUE ORIGINA EL REGISTRO DEL HECHO",IF(AND(SUM(AG75:AI75)=0,OR(Y75=BUSCADOR!$B$2,BUSCADOR!$B$6=Y75,Y75=BUSCADOR!$B$7,BUSCADOR!$B$8=Y75,Y75=BUSCADOR!$B$9,BUSCADOR!$B$12=Y75,Y75=BUSCADOR!$B$13,BUSCADOR!$B$14=Y75,Y75=BUSCADOR!$B$17,BUSCADOR!$B$18=Y75,Y75=BUSCADOR!$B$20,BUSCADOR!$B$29=Y75,BUSCADOR!$B$34=Y75,BUSCADOR!$B$35=Y75,Y75=BUSCADOR!$B$109,Y75=BUSCADOR!$B$51,BUSCADOR!$B$50=Y75,Y75=BUSCADOR!$B$47,Y75=BUSCADOR!$B$58,Y75=BUSCADOR!$B$21,Y75=BUSCADOR!$B$22,Y75=BUSCADOR!$B$23,Y75=BUSCADOR!$B$24)),"El delito indicado debe presentar un numero de victimas. Completar la celda CANTIDAD DE VICTIMAS",IF(AND(SUM(AJ75:AO75)&gt;0,ISBLANK(AP75)),"Completar celda VULNERABILIDAD DE LA VICTIMA",IF(SUM(AG75:AI75)&lt;&gt;SUM(AJ75:AO75),"Se indico una CANTIDAD DE VICTIMAS SEGUN SEXO diferente a SEGUN GENERO",IF(AND(ISBLANK(AR75),OR(Y75=BUSCADOR!$B$49,BUSCADOR!$B$50=Y75,Y75=BUSCADOR!$B$46,Y75=BUSCADOR!$B$109,BUSCADOR!$B$2=Y75,X75=BUSCADOR!$A$58,X75=BUSCADOR!$A$59)),"Completar la celda TIPO DE ARMA, MODALIDAD O MECANISMO",IF(AND(ISBLANK(AS75),OR(Y75=BUSCADOR!$B$51,BUSCADOR!$B$50=Y75,Y75=BUSCADOR!$B$47,BUSCADOR!$A$58=X75,X75=BUSCADOR!$A$59)),"Completar la celda CONOCIDO, en la seccion de los inculpados",IF(AND(AS75=BUSCADOR!$B$127,OR(Y75=BUSCADOR!$B$51,BUSCADOR!$B$50,Y75,BUSCADOR!$B$46),OR(SUM(AT75:AV75)&lt;&gt;SUM(AW75:AZ75),SUM(AT75:AZ75)=0)),"Revisar las celdas correspondientes a CANTIDAD DE INCULPADOS. Se indica una cantidad diferente segun SEXO y EDAD o no se indico cantidad alguna",IF(AND(ISBLANK(BA75),X75=BUSCADOR!$A$27),"Se indico una persona desaparecida. Completar la casilla APARECIO",IF(AND(ISBLANK(BB75),OR(Y75=BUSCADOR!$B$49,BUSCADOR!$B$50=Y75,Y75=BUSCADOR!$B$46)),"Completar la casilla ELEMENTO SUSTRAIDO",IF(OR(AND(BB75=OTROS[[#Headers],[OTROS]],ISBLANK(BC75)),AND(BB75=ABIGEATO[[#Headers],[ABIGEATO]],ISBLANK(BC75))),"Completar la celda SUBCATEGORIA",IF(AND(OR(BB75=MOTOCICLETA[[#Headers],[MOTOCICLETA]],BB75=AUTOMOTOR[[#Headers],[AUTOMOTOR]]),OR(ISBLANK(BC75),ISBLANK(BD75),ISBLANK(BE75),ISBLANK(BF75))),"Se indico un AUTOMOTOR o MOTOCICLETA en ELEMENTOS SUSTRAIDOS, completar las celdas SUBCATEGORIA, DENOMINACION, AÑO y MODELO", IF(AND(ISBLANK(BB75)&lt;&gt;TRUE,ISBLANK(BJ75)),"Completar MODUS OPERANDI",IF(AND(ISBLANK(BK75),OR(BJ75=BUSCADOR!$H$232,BJ75=BUSCADOR!$I$232)),"Completar ESPECIALIDAD",IF(OR(AND(H75='SAT-Homicidios Dolosos'!$B$5,'SAT-Homicidios Dolosos'!$A$5&lt;&gt;"OK"),AND(H75='SAT-Homicidios Dolosos'!$B$8,'SAT-Homicidios Dolosos'!$A$8&lt;&gt;"OK")),"Se indico un HOMICIDIO, existen CELDAS VACIAS en la hoja SAT-HOMICIDIOS DOLOSOS Completar los datos indicados",IF(OR(AND(H75='SAT-Muertes Viales'!$E$21,'SAT-Muertes Viales'!$A$21&lt;&gt;"OK"),AND(H75='SAT-Muertes Viales'!$E$25,'SAT-Muertes Viales'!$A$25&lt;&gt;"OK"),AND(H75='SAT-Muertes Viales'!$E$29,'SAT-Muertes Viales'!$A$29&lt;&gt;"OK")),"Se indico un HOMICIDIO POR SINIESTRO VIAL, existen CELDAS VACIAS en la hoja SAT-MUERTES VIALES Completar los datos indicados",IF(OR(AND(H75='SAT-Suicidios'!$B$19,'SAT-Suicidios'!$A$19&lt;&gt;"OK"),AND(H75='SAT-Suicidios'!$B$22,'SAT-Suicidios'!$A$22&lt;&gt;"OK"),AND(H75='SAT-Suicidios'!$B$25,'SAT-Suicidios'!$A$25&lt;&gt;"OK")),"Se indico un SUICIDIO, existen CELDAS VACIAS en la hoja SAT-SUICIDIOS Completar los datos indicados",IF(IFERROR(MATCH(X75,BUSCADOR!$A$2:$A$112,0),-1)&lt;0,"No se indico delito",IF(AND(ISBLANK(BL75),OR(X75=BUSCADOR!$A$111,X75=BUSCADOR!$A$110)),"Llenar la casilla DETALLES, COMENTARIOS con una descripcion de la causa",IF(AND(X75="MUERTE DUDOSA",ISBLANK(BL75)=FALSE),"SE INDICO MUERTE DUDOSA, NOS CONTACTAREMOS PARA MAS INFORMACION","FILA CORRECTA"))))))))))))))))))))))))))))))</f>
        <v>No se indico delito</v>
      </c>
      <c r="C75" s="42"/>
      <c r="D75" s="90"/>
      <c r="E75" s="47"/>
      <c r="F75" s="88"/>
      <c r="G75" s="221" t="str">
        <f t="shared" si="19"/>
        <v>Comisaría 15°</v>
      </c>
      <c r="H75" s="46"/>
      <c r="I75" s="52"/>
      <c r="J75" s="27"/>
      <c r="K75" s="27"/>
      <c r="L75" s="27"/>
      <c r="M75" s="27"/>
      <c r="N75" s="46"/>
      <c r="O75" s="55" t="str">
        <f t="shared" si="10"/>
        <v/>
      </c>
      <c r="P75" s="56" t="str">
        <f t="shared" si="11"/>
        <v/>
      </c>
      <c r="Q75" s="52"/>
      <c r="R75" s="46"/>
      <c r="S75" s="62"/>
      <c r="T75" s="57" t="str">
        <f>IFERROR(VLOOKUP(X75,BUSCADOR!$A$2:$E$112,5,FALSE),"")</f>
        <v/>
      </c>
      <c r="U75" s="107" t="str">
        <f t="shared" si="12"/>
        <v/>
      </c>
      <c r="V75" s="28" t="str">
        <f>IFERROR(VLOOKUP(X75,BUSCADOR!$A$2:$E$112,4,FALSE),"")</f>
        <v/>
      </c>
      <c r="W75" s="107" t="str">
        <f t="shared" si="13"/>
        <v/>
      </c>
      <c r="X75" s="27"/>
      <c r="Y75" s="58" t="str">
        <f>IFERROR(VLOOKUP(X75,BUSCADOR!$A$2:$B$112,2,FALSE),"")</f>
        <v/>
      </c>
      <c r="Z75" s="101" t="str">
        <f t="shared" si="14"/>
        <v>__</v>
      </c>
      <c r="AA75" s="103" t="str">
        <f t="shared" si="15"/>
        <v>___</v>
      </c>
      <c r="AB75" s="104" t="str">
        <f t="shared" si="16"/>
        <v>____</v>
      </c>
      <c r="AC75" s="104" t="str">
        <f t="shared" si="16"/>
        <v>_____</v>
      </c>
      <c r="AD75" s="83"/>
      <c r="AE75" s="45"/>
      <c r="AF75" s="66"/>
      <c r="AG75" s="212"/>
      <c r="AH75" s="213"/>
      <c r="AI75" s="214"/>
      <c r="AJ75" s="219"/>
      <c r="AK75" s="213"/>
      <c r="AL75" s="213"/>
      <c r="AM75" s="213"/>
      <c r="AN75" s="213"/>
      <c r="AO75" s="219"/>
      <c r="AP75" s="95"/>
      <c r="AQ75" s="186" t="str">
        <f t="shared" si="17"/>
        <v/>
      </c>
      <c r="AR75" s="66"/>
      <c r="AS75" s="76"/>
      <c r="AT75" s="225"/>
      <c r="AU75" s="213"/>
      <c r="AV75" s="214"/>
      <c r="AW75" s="226"/>
      <c r="AX75" s="213"/>
      <c r="AY75" s="213"/>
      <c r="AZ75" s="227"/>
      <c r="BA75" s="65"/>
      <c r="BB75" s="52"/>
      <c r="BC75" s="27"/>
      <c r="BD75" s="27"/>
      <c r="BE75" s="27"/>
      <c r="BF75" s="79"/>
      <c r="BG75" s="52"/>
      <c r="BH75" s="69"/>
      <c r="BI75" s="188" t="str">
        <f>IF(Y75=BUSCADOR!$B$46,"HURTO_",IF(OR(Y75=BUSCADOR!$B$49,Y75=BUSCADOR!$B$50),"ROBO_",""))</f>
        <v/>
      </c>
      <c r="BJ75" s="50"/>
      <c r="BK75" s="45"/>
      <c r="BL75" s="66"/>
      <c r="BM75" s="1" t="b">
        <f t="shared" si="18"/>
        <v>0</v>
      </c>
    </row>
    <row r="76" spans="1:65" ht="117.6" customHeight="1" x14ac:dyDescent="0.25">
      <c r="A76" s="171">
        <v>74</v>
      </c>
      <c r="B76" s="41" t="str">
        <f>IF(AND(BM76,ISBLANK(C76)),"Completar FECHA DE DENUNCIA",IF(AND(BM76,OR(ISBLANK(D76),ISBLANK(E76),ISBLANK(H76))),"Completar las celdas FECHA, HORA Y PREVENTIVO. En caso de no conocer la fecha u horario colocar INDETERMINADO",IF(AND(BM76,ISBLANK(G76)),"Completar COMISARIA",IF(AND(BM76,OR(ISBLANK(I76),ISBLANK(L76),ISBLANK(M76),O76="")),"Completar las celdas LOCALIDAD, CALLE, ALTURA Y DIRECCION SEGUN  GOOGLE MAPS",IF(AND(ISBLANK(J76),OR(I76=AÑELO[[#Headers],[AÑELO]],CENTENARIO[[#Headers],[CENTENARIO]]='PLANILLA DJ'!I76,CUTRAL_CO[[#Headers],[CUTRAL_CO]],JUNIN_DE_LOS_ANDES[[#Headers],[JUNIN_DE_LOS_ANDES]]='PLANILLA DJ'!I76,'PLANILLA DJ'!I76=NEUQUEN[[#Headers],[NEUQUEN]],PLAZA_HUINCUL[[#Headers],[PLAZA_HUINCUL]]='PLANILLA DJ'!I76,'PLANILLA DJ'!I76=PLOTTIER[[#Headers],[PLOTTIER]])),"COMPLETAR BARRIO",IF(AND(BM76,ISBLANK(Q76)),"Completar Nombre de VICTIMA o DENUNCIANTE",IF(AND(BM76,ISBLANK(R76)),"Completar TIPO DE ACTUACION",IF(AND(R76=BUSCADOR!$B$140,OR(X76&lt;&gt;BUSCADOR!$A$110,ISBLANK(X76))),"Se indico A CONSIDERACION en ACTUACION, indicar en el buscador de delitos A CONSIDERACION tambien",IF(AND(ISBLANK(X76)&lt;&gt;TRUE,IFERROR(MATCH(X76,BUSCADOR!$A$2:$A$112,0),-1)&lt;0),"EN EL BUSCADOR DE DELITOS NO agregar comentarios como SU INVESTIGACION, REPORTE, etc. Limitarse SOLAMENTE a poner A CONSIDERACION u otro valor que coincida en el buscador",IF(AND(ISBLANK(AD76),OR(Y76=BUSCADOR!$B$49,BUSCADOR!$B$50=Y76,Y76=BUSCADOR!$B$46,Y76=BUSCADOR!$B$2,Y76=BUSCADOR!$B$7,BUSCADOR!$B$109=Y76,X76=BUSCADOR!$A$58,X76=BUSCADOR!$A$59)),"Completar la celda TIPO DE LUGAR",IF(AND(ISBLANK(AE76),OR(AD76=BUSCADOR!$E$149,BUSCADOR!$E$150=AD76,AD76=BUSCADOR!$F$148)),"Completar DETALLE ESTABLECIMIENTO",IF(AND(ISBLANK(AF76),BM76),"Completar la celda MOTIVO QUE ORIGINA EL REGISTRO DEL HECHO",IF(AND(SUM(AG76:AI76)=0,OR(Y76=BUSCADOR!$B$2,BUSCADOR!$B$6=Y76,Y76=BUSCADOR!$B$7,BUSCADOR!$B$8=Y76,Y76=BUSCADOR!$B$9,BUSCADOR!$B$12=Y76,Y76=BUSCADOR!$B$13,BUSCADOR!$B$14=Y76,Y76=BUSCADOR!$B$17,BUSCADOR!$B$18=Y76,Y76=BUSCADOR!$B$20,BUSCADOR!$B$29=Y76,BUSCADOR!$B$34=Y76,BUSCADOR!$B$35=Y76,Y76=BUSCADOR!$B$109,Y76=BUSCADOR!$B$51,BUSCADOR!$B$50=Y76,Y76=BUSCADOR!$B$47,Y76=BUSCADOR!$B$58,Y76=BUSCADOR!$B$21,Y76=BUSCADOR!$B$22,Y76=BUSCADOR!$B$23,Y76=BUSCADOR!$B$24)),"El delito indicado debe presentar un numero de victimas. Completar la celda CANTIDAD DE VICTIMAS",IF(AND(SUM(AJ76:AO76)&gt;0,ISBLANK(AP76)),"Completar celda VULNERABILIDAD DE LA VICTIMA",IF(SUM(AG76:AI76)&lt;&gt;SUM(AJ76:AO76),"Se indico una CANTIDAD DE VICTIMAS SEGUN SEXO diferente a SEGUN GENERO",IF(AND(ISBLANK(AR76),OR(Y76=BUSCADOR!$B$49,BUSCADOR!$B$50=Y76,Y76=BUSCADOR!$B$46,Y76=BUSCADOR!$B$109,BUSCADOR!$B$2=Y76,X76=BUSCADOR!$A$58,X76=BUSCADOR!$A$59)),"Completar la celda TIPO DE ARMA, MODALIDAD O MECANISMO",IF(AND(ISBLANK(AS76),OR(Y76=BUSCADOR!$B$51,BUSCADOR!$B$50=Y76,Y76=BUSCADOR!$B$47,BUSCADOR!$A$58=X76,X76=BUSCADOR!$A$59)),"Completar la celda CONOCIDO, en la seccion de los inculpados",IF(AND(AS76=BUSCADOR!$B$127,OR(Y76=BUSCADOR!$B$51,BUSCADOR!$B$50,Y76,BUSCADOR!$B$46),OR(SUM(AT76:AV76)&lt;&gt;SUM(AW76:AZ76),SUM(AT76:AZ76)=0)),"Revisar las celdas correspondientes a CANTIDAD DE INCULPADOS. Se indica una cantidad diferente segun SEXO y EDAD o no se indico cantidad alguna",IF(AND(ISBLANK(BA76),X76=BUSCADOR!$A$27),"Se indico una persona desaparecida. Completar la casilla APARECIO",IF(AND(ISBLANK(BB76),OR(Y76=BUSCADOR!$B$49,BUSCADOR!$B$50=Y76,Y76=BUSCADOR!$B$46)),"Completar la casilla ELEMENTO SUSTRAIDO",IF(OR(AND(BB76=OTROS[[#Headers],[OTROS]],ISBLANK(BC76)),AND(BB76=ABIGEATO[[#Headers],[ABIGEATO]],ISBLANK(BC76))),"Completar la celda SUBCATEGORIA",IF(AND(OR(BB76=MOTOCICLETA[[#Headers],[MOTOCICLETA]],BB76=AUTOMOTOR[[#Headers],[AUTOMOTOR]]),OR(ISBLANK(BC76),ISBLANK(BD76),ISBLANK(BE76),ISBLANK(BF76))),"Se indico un AUTOMOTOR o MOTOCICLETA en ELEMENTOS SUSTRAIDOS, completar las celdas SUBCATEGORIA, DENOMINACION, AÑO y MODELO", IF(AND(ISBLANK(BB76)&lt;&gt;TRUE,ISBLANK(BJ76)),"Completar MODUS OPERANDI",IF(AND(ISBLANK(BK76),OR(BJ76=BUSCADOR!$H$232,BJ76=BUSCADOR!$I$232)),"Completar ESPECIALIDAD",IF(OR(AND(H76='SAT-Homicidios Dolosos'!$B$5,'SAT-Homicidios Dolosos'!$A$5&lt;&gt;"OK"),AND(H76='SAT-Homicidios Dolosos'!$B$8,'SAT-Homicidios Dolosos'!$A$8&lt;&gt;"OK")),"Se indico un HOMICIDIO, existen CELDAS VACIAS en la hoja SAT-HOMICIDIOS DOLOSOS Completar los datos indicados",IF(OR(AND(H76='SAT-Muertes Viales'!$E$21,'SAT-Muertes Viales'!$A$21&lt;&gt;"OK"),AND(H76='SAT-Muertes Viales'!$E$25,'SAT-Muertes Viales'!$A$25&lt;&gt;"OK"),AND(H76='SAT-Muertes Viales'!$E$29,'SAT-Muertes Viales'!$A$29&lt;&gt;"OK")),"Se indico un HOMICIDIO POR SINIESTRO VIAL, existen CELDAS VACIAS en la hoja SAT-MUERTES VIALES Completar los datos indicados",IF(OR(AND(H76='SAT-Suicidios'!$B$19,'SAT-Suicidios'!$A$19&lt;&gt;"OK"),AND(H76='SAT-Suicidios'!$B$22,'SAT-Suicidios'!$A$22&lt;&gt;"OK"),AND(H76='SAT-Suicidios'!$B$25,'SAT-Suicidios'!$A$25&lt;&gt;"OK")),"Se indico un SUICIDIO, existen CELDAS VACIAS en la hoja SAT-SUICIDIOS Completar los datos indicados",IF(IFERROR(MATCH(X76,BUSCADOR!$A$2:$A$112,0),-1)&lt;0,"No se indico delito",IF(AND(ISBLANK(BL76),OR(X76=BUSCADOR!$A$111,X76=BUSCADOR!$A$110)),"Llenar la casilla DETALLES, COMENTARIOS con una descripcion de la causa",IF(AND(X76="MUERTE DUDOSA",ISBLANK(BL76)=FALSE),"SE INDICO MUERTE DUDOSA, NOS CONTACTAREMOS PARA MAS INFORMACION","FILA CORRECTA"))))))))))))))))))))))))))))))</f>
        <v>No se indico delito</v>
      </c>
      <c r="C76" s="42"/>
      <c r="D76" s="90"/>
      <c r="E76" s="47"/>
      <c r="F76" s="88"/>
      <c r="G76" s="221" t="str">
        <f t="shared" si="19"/>
        <v>Comisaría 15°</v>
      </c>
      <c r="H76" s="46"/>
      <c r="I76" s="52"/>
      <c r="J76" s="27"/>
      <c r="K76" s="27"/>
      <c r="L76" s="27"/>
      <c r="M76" s="27"/>
      <c r="N76" s="46"/>
      <c r="O76" s="55" t="str">
        <f t="shared" si="10"/>
        <v/>
      </c>
      <c r="P76" s="56" t="str">
        <f t="shared" si="11"/>
        <v/>
      </c>
      <c r="Q76" s="52"/>
      <c r="R76" s="46"/>
      <c r="S76" s="62"/>
      <c r="T76" s="57" t="str">
        <f>IFERROR(VLOOKUP(X76,BUSCADOR!$A$2:$E$112,5,FALSE),"")</f>
        <v/>
      </c>
      <c r="U76" s="107" t="str">
        <f t="shared" si="12"/>
        <v/>
      </c>
      <c r="V76" s="28" t="str">
        <f>IFERROR(VLOOKUP(X76,BUSCADOR!$A$2:$E$112,4,FALSE),"")</f>
        <v/>
      </c>
      <c r="W76" s="107" t="str">
        <f t="shared" si="13"/>
        <v/>
      </c>
      <c r="X76" s="27"/>
      <c r="Y76" s="58" t="str">
        <f>IFERROR(VLOOKUP(X76,BUSCADOR!$A$2:$B$112,2,FALSE),"")</f>
        <v/>
      </c>
      <c r="Z76" s="101" t="str">
        <f t="shared" si="14"/>
        <v>__</v>
      </c>
      <c r="AA76" s="103" t="str">
        <f t="shared" si="15"/>
        <v>___</v>
      </c>
      <c r="AB76" s="104" t="str">
        <f t="shared" si="16"/>
        <v>____</v>
      </c>
      <c r="AC76" s="104" t="str">
        <f t="shared" si="16"/>
        <v>_____</v>
      </c>
      <c r="AD76" s="83"/>
      <c r="AE76" s="45"/>
      <c r="AF76" s="66"/>
      <c r="AG76" s="212"/>
      <c r="AH76" s="213"/>
      <c r="AI76" s="214"/>
      <c r="AJ76" s="219"/>
      <c r="AK76" s="213"/>
      <c r="AL76" s="213"/>
      <c r="AM76" s="213"/>
      <c r="AN76" s="213"/>
      <c r="AO76" s="219"/>
      <c r="AP76" s="95"/>
      <c r="AQ76" s="186" t="str">
        <f t="shared" si="17"/>
        <v/>
      </c>
      <c r="AR76" s="66"/>
      <c r="AS76" s="76"/>
      <c r="AT76" s="225"/>
      <c r="AU76" s="213"/>
      <c r="AV76" s="214"/>
      <c r="AW76" s="226"/>
      <c r="AX76" s="213"/>
      <c r="AY76" s="213"/>
      <c r="AZ76" s="227"/>
      <c r="BA76" s="65"/>
      <c r="BB76" s="52"/>
      <c r="BC76" s="27"/>
      <c r="BD76" s="27"/>
      <c r="BE76" s="27"/>
      <c r="BF76" s="79"/>
      <c r="BG76" s="52"/>
      <c r="BH76" s="69"/>
      <c r="BI76" s="188" t="str">
        <f>IF(Y76=BUSCADOR!$B$46,"HURTO_",IF(OR(Y76=BUSCADOR!$B$49,Y76=BUSCADOR!$B$50),"ROBO_",""))</f>
        <v/>
      </c>
      <c r="BJ76" s="50"/>
      <c r="BK76" s="45"/>
      <c r="BL76" s="66"/>
      <c r="BM76" s="1" t="b">
        <f t="shared" si="18"/>
        <v>0</v>
      </c>
    </row>
    <row r="77" spans="1:65" ht="117.6" customHeight="1" x14ac:dyDescent="0.25">
      <c r="A77" s="171">
        <v>75</v>
      </c>
      <c r="B77" s="41" t="str">
        <f>IF(AND(BM77,ISBLANK(C77)),"Completar FECHA DE DENUNCIA",IF(AND(BM77,OR(ISBLANK(D77),ISBLANK(E77),ISBLANK(H77))),"Completar las celdas FECHA, HORA Y PREVENTIVO. En caso de no conocer la fecha u horario colocar INDETERMINADO",IF(AND(BM77,ISBLANK(G77)),"Completar COMISARIA",IF(AND(BM77,OR(ISBLANK(I77),ISBLANK(L77),ISBLANK(M77),O77="")),"Completar las celdas LOCALIDAD, CALLE, ALTURA Y DIRECCION SEGUN  GOOGLE MAPS",IF(AND(ISBLANK(J77),OR(I77=AÑELO[[#Headers],[AÑELO]],CENTENARIO[[#Headers],[CENTENARIO]]='PLANILLA DJ'!I77,CUTRAL_CO[[#Headers],[CUTRAL_CO]],JUNIN_DE_LOS_ANDES[[#Headers],[JUNIN_DE_LOS_ANDES]]='PLANILLA DJ'!I77,'PLANILLA DJ'!I77=NEUQUEN[[#Headers],[NEUQUEN]],PLAZA_HUINCUL[[#Headers],[PLAZA_HUINCUL]]='PLANILLA DJ'!I77,'PLANILLA DJ'!I77=PLOTTIER[[#Headers],[PLOTTIER]])),"COMPLETAR BARRIO",IF(AND(BM77,ISBLANK(Q77)),"Completar Nombre de VICTIMA o DENUNCIANTE",IF(AND(BM77,ISBLANK(R77)),"Completar TIPO DE ACTUACION",IF(AND(R77=BUSCADOR!$B$140,OR(X77&lt;&gt;BUSCADOR!$A$110,ISBLANK(X77))),"Se indico A CONSIDERACION en ACTUACION, indicar en el buscador de delitos A CONSIDERACION tambien",IF(AND(ISBLANK(X77)&lt;&gt;TRUE,IFERROR(MATCH(X77,BUSCADOR!$A$2:$A$112,0),-1)&lt;0),"EN EL BUSCADOR DE DELITOS NO agregar comentarios como SU INVESTIGACION, REPORTE, etc. Limitarse SOLAMENTE a poner A CONSIDERACION u otro valor que coincida en el buscador",IF(AND(ISBLANK(AD77),OR(Y77=BUSCADOR!$B$49,BUSCADOR!$B$50=Y77,Y77=BUSCADOR!$B$46,Y77=BUSCADOR!$B$2,Y77=BUSCADOR!$B$7,BUSCADOR!$B$109=Y77,X77=BUSCADOR!$A$58,X77=BUSCADOR!$A$59)),"Completar la celda TIPO DE LUGAR",IF(AND(ISBLANK(AE77),OR(AD77=BUSCADOR!$E$149,BUSCADOR!$E$150=AD77,AD77=BUSCADOR!$F$148)),"Completar DETALLE ESTABLECIMIENTO",IF(AND(ISBLANK(AF77),BM77),"Completar la celda MOTIVO QUE ORIGINA EL REGISTRO DEL HECHO",IF(AND(SUM(AG77:AI77)=0,OR(Y77=BUSCADOR!$B$2,BUSCADOR!$B$6=Y77,Y77=BUSCADOR!$B$7,BUSCADOR!$B$8=Y77,Y77=BUSCADOR!$B$9,BUSCADOR!$B$12=Y77,Y77=BUSCADOR!$B$13,BUSCADOR!$B$14=Y77,Y77=BUSCADOR!$B$17,BUSCADOR!$B$18=Y77,Y77=BUSCADOR!$B$20,BUSCADOR!$B$29=Y77,BUSCADOR!$B$34=Y77,BUSCADOR!$B$35=Y77,Y77=BUSCADOR!$B$109,Y77=BUSCADOR!$B$51,BUSCADOR!$B$50=Y77,Y77=BUSCADOR!$B$47,Y77=BUSCADOR!$B$58,Y77=BUSCADOR!$B$21,Y77=BUSCADOR!$B$22,Y77=BUSCADOR!$B$23,Y77=BUSCADOR!$B$24)),"El delito indicado debe presentar un numero de victimas. Completar la celda CANTIDAD DE VICTIMAS",IF(AND(SUM(AJ77:AO77)&gt;0,ISBLANK(AP77)),"Completar celda VULNERABILIDAD DE LA VICTIMA",IF(SUM(AG77:AI77)&lt;&gt;SUM(AJ77:AO77),"Se indico una CANTIDAD DE VICTIMAS SEGUN SEXO diferente a SEGUN GENERO",IF(AND(ISBLANK(AR77),OR(Y77=BUSCADOR!$B$49,BUSCADOR!$B$50=Y77,Y77=BUSCADOR!$B$46,Y77=BUSCADOR!$B$109,BUSCADOR!$B$2=Y77,X77=BUSCADOR!$A$58,X77=BUSCADOR!$A$59)),"Completar la celda TIPO DE ARMA, MODALIDAD O MECANISMO",IF(AND(ISBLANK(AS77),OR(Y77=BUSCADOR!$B$51,BUSCADOR!$B$50=Y77,Y77=BUSCADOR!$B$47,BUSCADOR!$A$58=X77,X77=BUSCADOR!$A$59)),"Completar la celda CONOCIDO, en la seccion de los inculpados",IF(AND(AS77=BUSCADOR!$B$127,OR(Y77=BUSCADOR!$B$51,BUSCADOR!$B$50,Y77,BUSCADOR!$B$46),OR(SUM(AT77:AV77)&lt;&gt;SUM(AW77:AZ77),SUM(AT77:AZ77)=0)),"Revisar las celdas correspondientes a CANTIDAD DE INCULPADOS. Se indica una cantidad diferente segun SEXO y EDAD o no se indico cantidad alguna",IF(AND(ISBLANK(BA77),X77=BUSCADOR!$A$27),"Se indico una persona desaparecida. Completar la casilla APARECIO",IF(AND(ISBLANK(BB77),OR(Y77=BUSCADOR!$B$49,BUSCADOR!$B$50=Y77,Y77=BUSCADOR!$B$46)),"Completar la casilla ELEMENTO SUSTRAIDO",IF(OR(AND(BB77=OTROS[[#Headers],[OTROS]],ISBLANK(BC77)),AND(BB77=ABIGEATO[[#Headers],[ABIGEATO]],ISBLANK(BC77))),"Completar la celda SUBCATEGORIA",IF(AND(OR(BB77=MOTOCICLETA[[#Headers],[MOTOCICLETA]],BB77=AUTOMOTOR[[#Headers],[AUTOMOTOR]]),OR(ISBLANK(BC77),ISBLANK(BD77),ISBLANK(BE77),ISBLANK(BF77))),"Se indico un AUTOMOTOR o MOTOCICLETA en ELEMENTOS SUSTRAIDOS, completar las celdas SUBCATEGORIA, DENOMINACION, AÑO y MODELO", IF(AND(ISBLANK(BB77)&lt;&gt;TRUE,ISBLANK(BJ77)),"Completar MODUS OPERANDI",IF(AND(ISBLANK(BK77),OR(BJ77=BUSCADOR!$H$232,BJ77=BUSCADOR!$I$232)),"Completar ESPECIALIDAD",IF(OR(AND(H77='SAT-Homicidios Dolosos'!$B$5,'SAT-Homicidios Dolosos'!$A$5&lt;&gt;"OK"),AND(H77='SAT-Homicidios Dolosos'!$B$8,'SAT-Homicidios Dolosos'!$A$8&lt;&gt;"OK")),"Se indico un HOMICIDIO, existen CELDAS VACIAS en la hoja SAT-HOMICIDIOS DOLOSOS Completar los datos indicados",IF(OR(AND(H77='SAT-Muertes Viales'!$E$21,'SAT-Muertes Viales'!$A$21&lt;&gt;"OK"),AND(H77='SAT-Muertes Viales'!$E$25,'SAT-Muertes Viales'!$A$25&lt;&gt;"OK"),AND(H77='SAT-Muertes Viales'!$E$29,'SAT-Muertes Viales'!$A$29&lt;&gt;"OK")),"Se indico un HOMICIDIO POR SINIESTRO VIAL, existen CELDAS VACIAS en la hoja SAT-MUERTES VIALES Completar los datos indicados",IF(OR(AND(H77='SAT-Suicidios'!$B$19,'SAT-Suicidios'!$A$19&lt;&gt;"OK"),AND(H77='SAT-Suicidios'!$B$22,'SAT-Suicidios'!$A$22&lt;&gt;"OK"),AND(H77='SAT-Suicidios'!$B$25,'SAT-Suicidios'!$A$25&lt;&gt;"OK")),"Se indico un SUICIDIO, existen CELDAS VACIAS en la hoja SAT-SUICIDIOS Completar los datos indicados",IF(IFERROR(MATCH(X77,BUSCADOR!$A$2:$A$112,0),-1)&lt;0,"No se indico delito",IF(AND(ISBLANK(BL77),OR(X77=BUSCADOR!$A$111,X77=BUSCADOR!$A$110)),"Llenar la casilla DETALLES, COMENTARIOS con una descripcion de la causa",IF(AND(X77="MUERTE DUDOSA",ISBLANK(BL77)=FALSE),"SE INDICO MUERTE DUDOSA, NOS CONTACTAREMOS PARA MAS INFORMACION","FILA CORRECTA"))))))))))))))))))))))))))))))</f>
        <v>No se indico delito</v>
      </c>
      <c r="C77" s="42"/>
      <c r="D77" s="90"/>
      <c r="E77" s="47"/>
      <c r="F77" s="88"/>
      <c r="G77" s="221" t="str">
        <f t="shared" si="19"/>
        <v>Comisaría 15°</v>
      </c>
      <c r="H77" s="46"/>
      <c r="I77" s="52"/>
      <c r="J77" s="27"/>
      <c r="K77" s="27"/>
      <c r="L77" s="27"/>
      <c r="M77" s="27"/>
      <c r="N77" s="46"/>
      <c r="O77" s="55" t="str">
        <f t="shared" si="10"/>
        <v/>
      </c>
      <c r="P77" s="56" t="str">
        <f t="shared" si="11"/>
        <v/>
      </c>
      <c r="Q77" s="52"/>
      <c r="R77" s="46"/>
      <c r="S77" s="62"/>
      <c r="T77" s="57" t="str">
        <f>IFERROR(VLOOKUP(X77,BUSCADOR!$A$2:$E$112,5,FALSE),"")</f>
        <v/>
      </c>
      <c r="U77" s="107" t="str">
        <f t="shared" si="12"/>
        <v/>
      </c>
      <c r="V77" s="28" t="str">
        <f>IFERROR(VLOOKUP(X77,BUSCADOR!$A$2:$E$112,4,FALSE),"")</f>
        <v/>
      </c>
      <c r="W77" s="107" t="str">
        <f t="shared" si="13"/>
        <v/>
      </c>
      <c r="X77" s="27"/>
      <c r="Y77" s="58" t="str">
        <f>IFERROR(VLOOKUP(X77,BUSCADOR!$A$2:$B$112,2,FALSE),"")</f>
        <v/>
      </c>
      <c r="Z77" s="101" t="str">
        <f t="shared" si="14"/>
        <v>__</v>
      </c>
      <c r="AA77" s="103" t="str">
        <f t="shared" si="15"/>
        <v>___</v>
      </c>
      <c r="AB77" s="104" t="str">
        <f t="shared" si="16"/>
        <v>____</v>
      </c>
      <c r="AC77" s="104" t="str">
        <f t="shared" si="16"/>
        <v>_____</v>
      </c>
      <c r="AD77" s="83"/>
      <c r="AE77" s="45"/>
      <c r="AF77" s="66"/>
      <c r="AG77" s="212"/>
      <c r="AH77" s="213"/>
      <c r="AI77" s="214"/>
      <c r="AJ77" s="219"/>
      <c r="AK77" s="213"/>
      <c r="AL77" s="213"/>
      <c r="AM77" s="213"/>
      <c r="AN77" s="213"/>
      <c r="AO77" s="219"/>
      <c r="AP77" s="95"/>
      <c r="AQ77" s="186" t="str">
        <f t="shared" si="17"/>
        <v/>
      </c>
      <c r="AR77" s="66"/>
      <c r="AS77" s="76"/>
      <c r="AT77" s="225"/>
      <c r="AU77" s="213"/>
      <c r="AV77" s="214"/>
      <c r="AW77" s="226"/>
      <c r="AX77" s="213"/>
      <c r="AY77" s="213"/>
      <c r="AZ77" s="227"/>
      <c r="BA77" s="65"/>
      <c r="BB77" s="52"/>
      <c r="BC77" s="27"/>
      <c r="BD77" s="27"/>
      <c r="BE77" s="27"/>
      <c r="BF77" s="79"/>
      <c r="BG77" s="52"/>
      <c r="BH77" s="69"/>
      <c r="BI77" s="188" t="str">
        <f>IF(Y77=BUSCADOR!$B$46,"HURTO_",IF(OR(Y77=BUSCADOR!$B$49,Y77=BUSCADOR!$B$50),"ROBO_",""))</f>
        <v/>
      </c>
      <c r="BJ77" s="50"/>
      <c r="BK77" s="45"/>
      <c r="BL77" s="66"/>
      <c r="BM77" s="1" t="b">
        <f t="shared" si="18"/>
        <v>0</v>
      </c>
    </row>
    <row r="78" spans="1:65" ht="117.6" customHeight="1" x14ac:dyDescent="0.25">
      <c r="A78" s="171">
        <v>76</v>
      </c>
      <c r="B78" s="41" t="str">
        <f>IF(AND(BM78,ISBLANK(C78)),"Completar FECHA DE DENUNCIA",IF(AND(BM78,OR(ISBLANK(D78),ISBLANK(E78),ISBLANK(H78))),"Completar las celdas FECHA, HORA Y PREVENTIVO. En caso de no conocer la fecha u horario colocar INDETERMINADO",IF(AND(BM78,ISBLANK(G78)),"Completar COMISARIA",IF(AND(BM78,OR(ISBLANK(I78),ISBLANK(L78),ISBLANK(M78),O78="")),"Completar las celdas LOCALIDAD, CALLE, ALTURA Y DIRECCION SEGUN  GOOGLE MAPS",IF(AND(ISBLANK(J78),OR(I78=AÑELO[[#Headers],[AÑELO]],CENTENARIO[[#Headers],[CENTENARIO]]='PLANILLA DJ'!I78,CUTRAL_CO[[#Headers],[CUTRAL_CO]],JUNIN_DE_LOS_ANDES[[#Headers],[JUNIN_DE_LOS_ANDES]]='PLANILLA DJ'!I78,'PLANILLA DJ'!I78=NEUQUEN[[#Headers],[NEUQUEN]],PLAZA_HUINCUL[[#Headers],[PLAZA_HUINCUL]]='PLANILLA DJ'!I78,'PLANILLA DJ'!I78=PLOTTIER[[#Headers],[PLOTTIER]])),"COMPLETAR BARRIO",IF(AND(BM78,ISBLANK(Q78)),"Completar Nombre de VICTIMA o DENUNCIANTE",IF(AND(BM78,ISBLANK(R78)),"Completar TIPO DE ACTUACION",IF(AND(R78=BUSCADOR!$B$140,OR(X78&lt;&gt;BUSCADOR!$A$110,ISBLANK(X78))),"Se indico A CONSIDERACION en ACTUACION, indicar en el buscador de delitos A CONSIDERACION tambien",IF(AND(ISBLANK(X78)&lt;&gt;TRUE,IFERROR(MATCH(X78,BUSCADOR!$A$2:$A$112,0),-1)&lt;0),"EN EL BUSCADOR DE DELITOS NO agregar comentarios como SU INVESTIGACION, REPORTE, etc. Limitarse SOLAMENTE a poner A CONSIDERACION u otro valor que coincida en el buscador",IF(AND(ISBLANK(AD78),OR(Y78=BUSCADOR!$B$49,BUSCADOR!$B$50=Y78,Y78=BUSCADOR!$B$46,Y78=BUSCADOR!$B$2,Y78=BUSCADOR!$B$7,BUSCADOR!$B$109=Y78,X78=BUSCADOR!$A$58,X78=BUSCADOR!$A$59)),"Completar la celda TIPO DE LUGAR",IF(AND(ISBLANK(AE78),OR(AD78=BUSCADOR!$E$149,BUSCADOR!$E$150=AD78,AD78=BUSCADOR!$F$148)),"Completar DETALLE ESTABLECIMIENTO",IF(AND(ISBLANK(AF78),BM78),"Completar la celda MOTIVO QUE ORIGINA EL REGISTRO DEL HECHO",IF(AND(SUM(AG78:AI78)=0,OR(Y78=BUSCADOR!$B$2,BUSCADOR!$B$6=Y78,Y78=BUSCADOR!$B$7,BUSCADOR!$B$8=Y78,Y78=BUSCADOR!$B$9,BUSCADOR!$B$12=Y78,Y78=BUSCADOR!$B$13,BUSCADOR!$B$14=Y78,Y78=BUSCADOR!$B$17,BUSCADOR!$B$18=Y78,Y78=BUSCADOR!$B$20,BUSCADOR!$B$29=Y78,BUSCADOR!$B$34=Y78,BUSCADOR!$B$35=Y78,Y78=BUSCADOR!$B$109,Y78=BUSCADOR!$B$51,BUSCADOR!$B$50=Y78,Y78=BUSCADOR!$B$47,Y78=BUSCADOR!$B$58,Y78=BUSCADOR!$B$21,Y78=BUSCADOR!$B$22,Y78=BUSCADOR!$B$23,Y78=BUSCADOR!$B$24)),"El delito indicado debe presentar un numero de victimas. Completar la celda CANTIDAD DE VICTIMAS",IF(AND(SUM(AJ78:AO78)&gt;0,ISBLANK(AP78)),"Completar celda VULNERABILIDAD DE LA VICTIMA",IF(SUM(AG78:AI78)&lt;&gt;SUM(AJ78:AO78),"Se indico una CANTIDAD DE VICTIMAS SEGUN SEXO diferente a SEGUN GENERO",IF(AND(ISBLANK(AR78),OR(Y78=BUSCADOR!$B$49,BUSCADOR!$B$50=Y78,Y78=BUSCADOR!$B$46,Y78=BUSCADOR!$B$109,BUSCADOR!$B$2=Y78,X78=BUSCADOR!$A$58,X78=BUSCADOR!$A$59)),"Completar la celda TIPO DE ARMA, MODALIDAD O MECANISMO",IF(AND(ISBLANK(AS78),OR(Y78=BUSCADOR!$B$51,BUSCADOR!$B$50=Y78,Y78=BUSCADOR!$B$47,BUSCADOR!$A$58=X78,X78=BUSCADOR!$A$59)),"Completar la celda CONOCIDO, en la seccion de los inculpados",IF(AND(AS78=BUSCADOR!$B$127,OR(Y78=BUSCADOR!$B$51,BUSCADOR!$B$50,Y78,BUSCADOR!$B$46),OR(SUM(AT78:AV78)&lt;&gt;SUM(AW78:AZ78),SUM(AT78:AZ78)=0)),"Revisar las celdas correspondientes a CANTIDAD DE INCULPADOS. Se indica una cantidad diferente segun SEXO y EDAD o no se indico cantidad alguna",IF(AND(ISBLANK(BA78),X78=BUSCADOR!$A$27),"Se indico una persona desaparecida. Completar la casilla APARECIO",IF(AND(ISBLANK(BB78),OR(Y78=BUSCADOR!$B$49,BUSCADOR!$B$50=Y78,Y78=BUSCADOR!$B$46)),"Completar la casilla ELEMENTO SUSTRAIDO",IF(OR(AND(BB78=OTROS[[#Headers],[OTROS]],ISBLANK(BC78)),AND(BB78=ABIGEATO[[#Headers],[ABIGEATO]],ISBLANK(BC78))),"Completar la celda SUBCATEGORIA",IF(AND(OR(BB78=MOTOCICLETA[[#Headers],[MOTOCICLETA]],BB78=AUTOMOTOR[[#Headers],[AUTOMOTOR]]),OR(ISBLANK(BC78),ISBLANK(BD78),ISBLANK(BE78),ISBLANK(BF78))),"Se indico un AUTOMOTOR o MOTOCICLETA en ELEMENTOS SUSTRAIDOS, completar las celdas SUBCATEGORIA, DENOMINACION, AÑO y MODELO", IF(AND(ISBLANK(BB78)&lt;&gt;TRUE,ISBLANK(BJ78)),"Completar MODUS OPERANDI",IF(AND(ISBLANK(BK78),OR(BJ78=BUSCADOR!$H$232,BJ78=BUSCADOR!$I$232)),"Completar ESPECIALIDAD",IF(OR(AND(H78='SAT-Homicidios Dolosos'!$B$5,'SAT-Homicidios Dolosos'!$A$5&lt;&gt;"OK"),AND(H78='SAT-Homicidios Dolosos'!$B$8,'SAT-Homicidios Dolosos'!$A$8&lt;&gt;"OK")),"Se indico un HOMICIDIO, existen CELDAS VACIAS en la hoja SAT-HOMICIDIOS DOLOSOS Completar los datos indicados",IF(OR(AND(H78='SAT-Muertes Viales'!$E$21,'SAT-Muertes Viales'!$A$21&lt;&gt;"OK"),AND(H78='SAT-Muertes Viales'!$E$25,'SAT-Muertes Viales'!$A$25&lt;&gt;"OK"),AND(H78='SAT-Muertes Viales'!$E$29,'SAT-Muertes Viales'!$A$29&lt;&gt;"OK")),"Se indico un HOMICIDIO POR SINIESTRO VIAL, existen CELDAS VACIAS en la hoja SAT-MUERTES VIALES Completar los datos indicados",IF(OR(AND(H78='SAT-Suicidios'!$B$19,'SAT-Suicidios'!$A$19&lt;&gt;"OK"),AND(H78='SAT-Suicidios'!$B$22,'SAT-Suicidios'!$A$22&lt;&gt;"OK"),AND(H78='SAT-Suicidios'!$B$25,'SAT-Suicidios'!$A$25&lt;&gt;"OK")),"Se indico un SUICIDIO, existen CELDAS VACIAS en la hoja SAT-SUICIDIOS Completar los datos indicados",IF(IFERROR(MATCH(X78,BUSCADOR!$A$2:$A$112,0),-1)&lt;0,"No se indico delito",IF(AND(ISBLANK(BL78),OR(X78=BUSCADOR!$A$111,X78=BUSCADOR!$A$110)),"Llenar la casilla DETALLES, COMENTARIOS con una descripcion de la causa",IF(AND(X78="MUERTE DUDOSA",ISBLANK(BL78)=FALSE),"SE INDICO MUERTE DUDOSA, NOS CONTACTAREMOS PARA MAS INFORMACION","FILA CORRECTA"))))))))))))))))))))))))))))))</f>
        <v>No se indico delito</v>
      </c>
      <c r="C78" s="42"/>
      <c r="D78" s="90"/>
      <c r="E78" s="47"/>
      <c r="F78" s="88"/>
      <c r="G78" s="221" t="str">
        <f t="shared" si="19"/>
        <v>Comisaría 15°</v>
      </c>
      <c r="H78" s="46"/>
      <c r="I78" s="52"/>
      <c r="J78" s="27"/>
      <c r="K78" s="27"/>
      <c r="L78" s="27"/>
      <c r="M78" s="27"/>
      <c r="N78" s="46"/>
      <c r="O78" s="55" t="str">
        <f t="shared" si="10"/>
        <v/>
      </c>
      <c r="P78" s="56" t="str">
        <f t="shared" si="11"/>
        <v/>
      </c>
      <c r="Q78" s="52"/>
      <c r="R78" s="46"/>
      <c r="S78" s="62"/>
      <c r="T78" s="57" t="str">
        <f>IFERROR(VLOOKUP(X78,BUSCADOR!$A$2:$E$112,5,FALSE),"")</f>
        <v/>
      </c>
      <c r="U78" s="107" t="str">
        <f t="shared" si="12"/>
        <v/>
      </c>
      <c r="V78" s="28" t="str">
        <f>IFERROR(VLOOKUP(X78,BUSCADOR!$A$2:$E$112,4,FALSE),"")</f>
        <v/>
      </c>
      <c r="W78" s="107" t="str">
        <f t="shared" si="13"/>
        <v/>
      </c>
      <c r="X78" s="27"/>
      <c r="Y78" s="58" t="str">
        <f>IFERROR(VLOOKUP(X78,BUSCADOR!$A$2:$B$112,2,FALSE),"")</f>
        <v/>
      </c>
      <c r="Z78" s="101" t="str">
        <f t="shared" si="14"/>
        <v>__</v>
      </c>
      <c r="AA78" s="103" t="str">
        <f t="shared" si="15"/>
        <v>___</v>
      </c>
      <c r="AB78" s="104" t="str">
        <f t="shared" si="16"/>
        <v>____</v>
      </c>
      <c r="AC78" s="104" t="str">
        <f t="shared" si="16"/>
        <v>_____</v>
      </c>
      <c r="AD78" s="83"/>
      <c r="AE78" s="45"/>
      <c r="AF78" s="66"/>
      <c r="AG78" s="212"/>
      <c r="AH78" s="213"/>
      <c r="AI78" s="214"/>
      <c r="AJ78" s="219"/>
      <c r="AK78" s="213"/>
      <c r="AL78" s="213"/>
      <c r="AM78" s="213"/>
      <c r="AN78" s="213"/>
      <c r="AO78" s="219"/>
      <c r="AP78" s="95"/>
      <c r="AQ78" s="186" t="str">
        <f t="shared" si="17"/>
        <v/>
      </c>
      <c r="AR78" s="66"/>
      <c r="AS78" s="76"/>
      <c r="AT78" s="225"/>
      <c r="AU78" s="213"/>
      <c r="AV78" s="214"/>
      <c r="AW78" s="226"/>
      <c r="AX78" s="213"/>
      <c r="AY78" s="213"/>
      <c r="AZ78" s="227"/>
      <c r="BA78" s="65"/>
      <c r="BB78" s="52"/>
      <c r="BC78" s="27"/>
      <c r="BD78" s="27"/>
      <c r="BE78" s="27"/>
      <c r="BF78" s="79"/>
      <c r="BG78" s="52"/>
      <c r="BH78" s="69"/>
      <c r="BI78" s="188" t="str">
        <f>IF(Y78=BUSCADOR!$B$46,"HURTO_",IF(OR(Y78=BUSCADOR!$B$49,Y78=BUSCADOR!$B$50),"ROBO_",""))</f>
        <v/>
      </c>
      <c r="BJ78" s="50"/>
      <c r="BK78" s="45"/>
      <c r="BL78" s="66"/>
      <c r="BM78" s="1" t="b">
        <f t="shared" si="18"/>
        <v>0</v>
      </c>
    </row>
    <row r="79" spans="1:65" ht="117.6" customHeight="1" x14ac:dyDescent="0.25">
      <c r="A79" s="171">
        <v>77</v>
      </c>
      <c r="B79" s="41" t="str">
        <f>IF(AND(BM79,ISBLANK(C79)),"Completar FECHA DE DENUNCIA",IF(AND(BM79,OR(ISBLANK(D79),ISBLANK(E79),ISBLANK(H79))),"Completar las celdas FECHA, HORA Y PREVENTIVO. En caso de no conocer la fecha u horario colocar INDETERMINADO",IF(AND(BM79,ISBLANK(G79)),"Completar COMISARIA",IF(AND(BM79,OR(ISBLANK(I79),ISBLANK(L79),ISBLANK(M79),O79="")),"Completar las celdas LOCALIDAD, CALLE, ALTURA Y DIRECCION SEGUN  GOOGLE MAPS",IF(AND(ISBLANK(J79),OR(I79=AÑELO[[#Headers],[AÑELO]],CENTENARIO[[#Headers],[CENTENARIO]]='PLANILLA DJ'!I79,CUTRAL_CO[[#Headers],[CUTRAL_CO]],JUNIN_DE_LOS_ANDES[[#Headers],[JUNIN_DE_LOS_ANDES]]='PLANILLA DJ'!I79,'PLANILLA DJ'!I79=NEUQUEN[[#Headers],[NEUQUEN]],PLAZA_HUINCUL[[#Headers],[PLAZA_HUINCUL]]='PLANILLA DJ'!I79,'PLANILLA DJ'!I79=PLOTTIER[[#Headers],[PLOTTIER]])),"COMPLETAR BARRIO",IF(AND(BM79,ISBLANK(Q79)),"Completar Nombre de VICTIMA o DENUNCIANTE",IF(AND(BM79,ISBLANK(R79)),"Completar TIPO DE ACTUACION",IF(AND(R79=BUSCADOR!$B$140,OR(X79&lt;&gt;BUSCADOR!$A$110,ISBLANK(X79))),"Se indico A CONSIDERACION en ACTUACION, indicar en el buscador de delitos A CONSIDERACION tambien",IF(AND(ISBLANK(X79)&lt;&gt;TRUE,IFERROR(MATCH(X79,BUSCADOR!$A$2:$A$112,0),-1)&lt;0),"EN EL BUSCADOR DE DELITOS NO agregar comentarios como SU INVESTIGACION, REPORTE, etc. Limitarse SOLAMENTE a poner A CONSIDERACION u otro valor que coincida en el buscador",IF(AND(ISBLANK(AD79),OR(Y79=BUSCADOR!$B$49,BUSCADOR!$B$50=Y79,Y79=BUSCADOR!$B$46,Y79=BUSCADOR!$B$2,Y79=BUSCADOR!$B$7,BUSCADOR!$B$109=Y79,X79=BUSCADOR!$A$58,X79=BUSCADOR!$A$59)),"Completar la celda TIPO DE LUGAR",IF(AND(ISBLANK(AE79),OR(AD79=BUSCADOR!$E$149,BUSCADOR!$E$150=AD79,AD79=BUSCADOR!$F$148)),"Completar DETALLE ESTABLECIMIENTO",IF(AND(ISBLANK(AF79),BM79),"Completar la celda MOTIVO QUE ORIGINA EL REGISTRO DEL HECHO",IF(AND(SUM(AG79:AI79)=0,OR(Y79=BUSCADOR!$B$2,BUSCADOR!$B$6=Y79,Y79=BUSCADOR!$B$7,BUSCADOR!$B$8=Y79,Y79=BUSCADOR!$B$9,BUSCADOR!$B$12=Y79,Y79=BUSCADOR!$B$13,BUSCADOR!$B$14=Y79,Y79=BUSCADOR!$B$17,BUSCADOR!$B$18=Y79,Y79=BUSCADOR!$B$20,BUSCADOR!$B$29=Y79,BUSCADOR!$B$34=Y79,BUSCADOR!$B$35=Y79,Y79=BUSCADOR!$B$109,Y79=BUSCADOR!$B$51,BUSCADOR!$B$50=Y79,Y79=BUSCADOR!$B$47,Y79=BUSCADOR!$B$58,Y79=BUSCADOR!$B$21,Y79=BUSCADOR!$B$22,Y79=BUSCADOR!$B$23,Y79=BUSCADOR!$B$24)),"El delito indicado debe presentar un numero de victimas. Completar la celda CANTIDAD DE VICTIMAS",IF(AND(SUM(AJ79:AO79)&gt;0,ISBLANK(AP79)),"Completar celda VULNERABILIDAD DE LA VICTIMA",IF(SUM(AG79:AI79)&lt;&gt;SUM(AJ79:AO79),"Se indico una CANTIDAD DE VICTIMAS SEGUN SEXO diferente a SEGUN GENERO",IF(AND(ISBLANK(AR79),OR(Y79=BUSCADOR!$B$49,BUSCADOR!$B$50=Y79,Y79=BUSCADOR!$B$46,Y79=BUSCADOR!$B$109,BUSCADOR!$B$2=Y79,X79=BUSCADOR!$A$58,X79=BUSCADOR!$A$59)),"Completar la celda TIPO DE ARMA, MODALIDAD O MECANISMO",IF(AND(ISBLANK(AS79),OR(Y79=BUSCADOR!$B$51,BUSCADOR!$B$50=Y79,Y79=BUSCADOR!$B$47,BUSCADOR!$A$58=X79,X79=BUSCADOR!$A$59)),"Completar la celda CONOCIDO, en la seccion de los inculpados",IF(AND(AS79=BUSCADOR!$B$127,OR(Y79=BUSCADOR!$B$51,BUSCADOR!$B$50,Y79,BUSCADOR!$B$46),OR(SUM(AT79:AV79)&lt;&gt;SUM(AW79:AZ79),SUM(AT79:AZ79)=0)),"Revisar las celdas correspondientes a CANTIDAD DE INCULPADOS. Se indica una cantidad diferente segun SEXO y EDAD o no se indico cantidad alguna",IF(AND(ISBLANK(BA79),X79=BUSCADOR!$A$27),"Se indico una persona desaparecida. Completar la casilla APARECIO",IF(AND(ISBLANK(BB79),OR(Y79=BUSCADOR!$B$49,BUSCADOR!$B$50=Y79,Y79=BUSCADOR!$B$46)),"Completar la casilla ELEMENTO SUSTRAIDO",IF(OR(AND(BB79=OTROS[[#Headers],[OTROS]],ISBLANK(BC79)),AND(BB79=ABIGEATO[[#Headers],[ABIGEATO]],ISBLANK(BC79))),"Completar la celda SUBCATEGORIA",IF(AND(OR(BB79=MOTOCICLETA[[#Headers],[MOTOCICLETA]],BB79=AUTOMOTOR[[#Headers],[AUTOMOTOR]]),OR(ISBLANK(BC79),ISBLANK(BD79),ISBLANK(BE79),ISBLANK(BF79))),"Se indico un AUTOMOTOR o MOTOCICLETA en ELEMENTOS SUSTRAIDOS, completar las celdas SUBCATEGORIA, DENOMINACION, AÑO y MODELO", IF(AND(ISBLANK(BB79)&lt;&gt;TRUE,ISBLANK(BJ79)),"Completar MODUS OPERANDI",IF(AND(ISBLANK(BK79),OR(BJ79=BUSCADOR!$H$232,BJ79=BUSCADOR!$I$232)),"Completar ESPECIALIDAD",IF(OR(AND(H79='SAT-Homicidios Dolosos'!$B$5,'SAT-Homicidios Dolosos'!$A$5&lt;&gt;"OK"),AND(H79='SAT-Homicidios Dolosos'!$B$8,'SAT-Homicidios Dolosos'!$A$8&lt;&gt;"OK")),"Se indico un HOMICIDIO, existen CELDAS VACIAS en la hoja SAT-HOMICIDIOS DOLOSOS Completar los datos indicados",IF(OR(AND(H79='SAT-Muertes Viales'!$E$21,'SAT-Muertes Viales'!$A$21&lt;&gt;"OK"),AND(H79='SAT-Muertes Viales'!$E$25,'SAT-Muertes Viales'!$A$25&lt;&gt;"OK"),AND(H79='SAT-Muertes Viales'!$E$29,'SAT-Muertes Viales'!$A$29&lt;&gt;"OK")),"Se indico un HOMICIDIO POR SINIESTRO VIAL, existen CELDAS VACIAS en la hoja SAT-MUERTES VIALES Completar los datos indicados",IF(OR(AND(H79='SAT-Suicidios'!$B$19,'SAT-Suicidios'!$A$19&lt;&gt;"OK"),AND(H79='SAT-Suicidios'!$B$22,'SAT-Suicidios'!$A$22&lt;&gt;"OK"),AND(H79='SAT-Suicidios'!$B$25,'SAT-Suicidios'!$A$25&lt;&gt;"OK")),"Se indico un SUICIDIO, existen CELDAS VACIAS en la hoja SAT-SUICIDIOS Completar los datos indicados",IF(IFERROR(MATCH(X79,BUSCADOR!$A$2:$A$112,0),-1)&lt;0,"No se indico delito",IF(AND(ISBLANK(BL79),OR(X79=BUSCADOR!$A$111,X79=BUSCADOR!$A$110)),"Llenar la casilla DETALLES, COMENTARIOS con una descripcion de la causa",IF(AND(X79="MUERTE DUDOSA",ISBLANK(BL79)=FALSE),"SE INDICO MUERTE DUDOSA, NOS CONTACTAREMOS PARA MAS INFORMACION","FILA CORRECTA"))))))))))))))))))))))))))))))</f>
        <v>No se indico delito</v>
      </c>
      <c r="C79" s="42"/>
      <c r="D79" s="90"/>
      <c r="E79" s="47"/>
      <c r="F79" s="88"/>
      <c r="G79" s="221" t="str">
        <f t="shared" si="19"/>
        <v>Comisaría 15°</v>
      </c>
      <c r="H79" s="46"/>
      <c r="I79" s="52"/>
      <c r="J79" s="27"/>
      <c r="K79" s="27"/>
      <c r="L79" s="27"/>
      <c r="M79" s="27"/>
      <c r="N79" s="46"/>
      <c r="O79" s="55" t="str">
        <f t="shared" si="10"/>
        <v/>
      </c>
      <c r="P79" s="56" t="str">
        <f t="shared" si="11"/>
        <v/>
      </c>
      <c r="Q79" s="52"/>
      <c r="R79" s="46"/>
      <c r="S79" s="62"/>
      <c r="T79" s="57" t="str">
        <f>IFERROR(VLOOKUP(X79,BUSCADOR!$A$2:$E$112,5,FALSE),"")</f>
        <v/>
      </c>
      <c r="U79" s="107" t="str">
        <f t="shared" si="12"/>
        <v/>
      </c>
      <c r="V79" s="28" t="str">
        <f>IFERROR(VLOOKUP(X79,BUSCADOR!$A$2:$E$112,4,FALSE),"")</f>
        <v/>
      </c>
      <c r="W79" s="107" t="str">
        <f t="shared" si="13"/>
        <v/>
      </c>
      <c r="X79" s="27"/>
      <c r="Y79" s="58" t="str">
        <f>IFERROR(VLOOKUP(X79,BUSCADOR!$A$2:$B$112,2,FALSE),"")</f>
        <v/>
      </c>
      <c r="Z79" s="101" t="str">
        <f t="shared" si="14"/>
        <v>__</v>
      </c>
      <c r="AA79" s="103" t="str">
        <f t="shared" si="15"/>
        <v>___</v>
      </c>
      <c r="AB79" s="104" t="str">
        <f t="shared" si="16"/>
        <v>____</v>
      </c>
      <c r="AC79" s="104" t="str">
        <f t="shared" si="16"/>
        <v>_____</v>
      </c>
      <c r="AD79" s="83"/>
      <c r="AE79" s="45"/>
      <c r="AF79" s="66"/>
      <c r="AG79" s="212"/>
      <c r="AH79" s="213"/>
      <c r="AI79" s="214"/>
      <c r="AJ79" s="219"/>
      <c r="AK79" s="213"/>
      <c r="AL79" s="213"/>
      <c r="AM79" s="213"/>
      <c r="AN79" s="213"/>
      <c r="AO79" s="219"/>
      <c r="AP79" s="95"/>
      <c r="AQ79" s="186" t="str">
        <f t="shared" si="17"/>
        <v/>
      </c>
      <c r="AR79" s="66"/>
      <c r="AS79" s="76"/>
      <c r="AT79" s="225"/>
      <c r="AU79" s="213"/>
      <c r="AV79" s="214"/>
      <c r="AW79" s="226"/>
      <c r="AX79" s="213"/>
      <c r="AY79" s="213"/>
      <c r="AZ79" s="227"/>
      <c r="BA79" s="65"/>
      <c r="BB79" s="52"/>
      <c r="BC79" s="27"/>
      <c r="BD79" s="27"/>
      <c r="BE79" s="27"/>
      <c r="BF79" s="79"/>
      <c r="BG79" s="52"/>
      <c r="BH79" s="69"/>
      <c r="BI79" s="188" t="str">
        <f>IF(Y79=BUSCADOR!$B$46,"HURTO_",IF(OR(Y79=BUSCADOR!$B$49,Y79=BUSCADOR!$B$50),"ROBO_",""))</f>
        <v/>
      </c>
      <c r="BJ79" s="50"/>
      <c r="BK79" s="45"/>
      <c r="BL79" s="66"/>
      <c r="BM79" s="1" t="b">
        <f t="shared" si="18"/>
        <v>0</v>
      </c>
    </row>
    <row r="80" spans="1:65" ht="117.6" customHeight="1" x14ac:dyDescent="0.25">
      <c r="A80" s="171">
        <v>78</v>
      </c>
      <c r="B80" s="41" t="str">
        <f>IF(AND(BM80,ISBLANK(C80)),"Completar FECHA DE DENUNCIA",IF(AND(BM80,OR(ISBLANK(D80),ISBLANK(E80),ISBLANK(H80))),"Completar las celdas FECHA, HORA Y PREVENTIVO. En caso de no conocer la fecha u horario colocar INDETERMINADO",IF(AND(BM80,ISBLANK(G80)),"Completar COMISARIA",IF(AND(BM80,OR(ISBLANK(I80),ISBLANK(L80),ISBLANK(M80),O80="")),"Completar las celdas LOCALIDAD, CALLE, ALTURA Y DIRECCION SEGUN  GOOGLE MAPS",IF(AND(ISBLANK(J80),OR(I80=AÑELO[[#Headers],[AÑELO]],CENTENARIO[[#Headers],[CENTENARIO]]='PLANILLA DJ'!I80,CUTRAL_CO[[#Headers],[CUTRAL_CO]],JUNIN_DE_LOS_ANDES[[#Headers],[JUNIN_DE_LOS_ANDES]]='PLANILLA DJ'!I80,'PLANILLA DJ'!I80=NEUQUEN[[#Headers],[NEUQUEN]],PLAZA_HUINCUL[[#Headers],[PLAZA_HUINCUL]]='PLANILLA DJ'!I80,'PLANILLA DJ'!I80=PLOTTIER[[#Headers],[PLOTTIER]])),"COMPLETAR BARRIO",IF(AND(BM80,ISBLANK(Q80)),"Completar Nombre de VICTIMA o DENUNCIANTE",IF(AND(BM80,ISBLANK(R80)),"Completar TIPO DE ACTUACION",IF(AND(R80=BUSCADOR!$B$140,OR(X80&lt;&gt;BUSCADOR!$A$110,ISBLANK(X80))),"Se indico A CONSIDERACION en ACTUACION, indicar en el buscador de delitos A CONSIDERACION tambien",IF(AND(ISBLANK(X80)&lt;&gt;TRUE,IFERROR(MATCH(X80,BUSCADOR!$A$2:$A$112,0),-1)&lt;0),"EN EL BUSCADOR DE DELITOS NO agregar comentarios como SU INVESTIGACION, REPORTE, etc. Limitarse SOLAMENTE a poner A CONSIDERACION u otro valor que coincida en el buscador",IF(AND(ISBLANK(AD80),OR(Y80=BUSCADOR!$B$49,BUSCADOR!$B$50=Y80,Y80=BUSCADOR!$B$46,Y80=BUSCADOR!$B$2,Y80=BUSCADOR!$B$7,BUSCADOR!$B$109=Y80,X80=BUSCADOR!$A$58,X80=BUSCADOR!$A$59)),"Completar la celda TIPO DE LUGAR",IF(AND(ISBLANK(AE80),OR(AD80=BUSCADOR!$E$149,BUSCADOR!$E$150=AD80,AD80=BUSCADOR!$F$148)),"Completar DETALLE ESTABLECIMIENTO",IF(AND(ISBLANK(AF80),BM80),"Completar la celda MOTIVO QUE ORIGINA EL REGISTRO DEL HECHO",IF(AND(SUM(AG80:AI80)=0,OR(Y80=BUSCADOR!$B$2,BUSCADOR!$B$6=Y80,Y80=BUSCADOR!$B$7,BUSCADOR!$B$8=Y80,Y80=BUSCADOR!$B$9,BUSCADOR!$B$12=Y80,Y80=BUSCADOR!$B$13,BUSCADOR!$B$14=Y80,Y80=BUSCADOR!$B$17,BUSCADOR!$B$18=Y80,Y80=BUSCADOR!$B$20,BUSCADOR!$B$29=Y80,BUSCADOR!$B$34=Y80,BUSCADOR!$B$35=Y80,Y80=BUSCADOR!$B$109,Y80=BUSCADOR!$B$51,BUSCADOR!$B$50=Y80,Y80=BUSCADOR!$B$47,Y80=BUSCADOR!$B$58,Y80=BUSCADOR!$B$21,Y80=BUSCADOR!$B$22,Y80=BUSCADOR!$B$23,Y80=BUSCADOR!$B$24)),"El delito indicado debe presentar un numero de victimas. Completar la celda CANTIDAD DE VICTIMAS",IF(AND(SUM(AJ80:AO80)&gt;0,ISBLANK(AP80)),"Completar celda VULNERABILIDAD DE LA VICTIMA",IF(SUM(AG80:AI80)&lt;&gt;SUM(AJ80:AO80),"Se indico una CANTIDAD DE VICTIMAS SEGUN SEXO diferente a SEGUN GENERO",IF(AND(ISBLANK(AR80),OR(Y80=BUSCADOR!$B$49,BUSCADOR!$B$50=Y80,Y80=BUSCADOR!$B$46,Y80=BUSCADOR!$B$109,BUSCADOR!$B$2=Y80,X80=BUSCADOR!$A$58,X80=BUSCADOR!$A$59)),"Completar la celda TIPO DE ARMA, MODALIDAD O MECANISMO",IF(AND(ISBLANK(AS80),OR(Y80=BUSCADOR!$B$51,BUSCADOR!$B$50=Y80,Y80=BUSCADOR!$B$47,BUSCADOR!$A$58=X80,X80=BUSCADOR!$A$59)),"Completar la celda CONOCIDO, en la seccion de los inculpados",IF(AND(AS80=BUSCADOR!$B$127,OR(Y80=BUSCADOR!$B$51,BUSCADOR!$B$50,Y80,BUSCADOR!$B$46),OR(SUM(AT80:AV80)&lt;&gt;SUM(AW80:AZ80),SUM(AT80:AZ80)=0)),"Revisar las celdas correspondientes a CANTIDAD DE INCULPADOS. Se indica una cantidad diferente segun SEXO y EDAD o no se indico cantidad alguna",IF(AND(ISBLANK(BA80),X80=BUSCADOR!$A$27),"Se indico una persona desaparecida. Completar la casilla APARECIO",IF(AND(ISBLANK(BB80),OR(Y80=BUSCADOR!$B$49,BUSCADOR!$B$50=Y80,Y80=BUSCADOR!$B$46)),"Completar la casilla ELEMENTO SUSTRAIDO",IF(OR(AND(BB80=OTROS[[#Headers],[OTROS]],ISBLANK(BC80)),AND(BB80=ABIGEATO[[#Headers],[ABIGEATO]],ISBLANK(BC80))),"Completar la celda SUBCATEGORIA",IF(AND(OR(BB80=MOTOCICLETA[[#Headers],[MOTOCICLETA]],BB80=AUTOMOTOR[[#Headers],[AUTOMOTOR]]),OR(ISBLANK(BC80),ISBLANK(BD80),ISBLANK(BE80),ISBLANK(BF80))),"Se indico un AUTOMOTOR o MOTOCICLETA en ELEMENTOS SUSTRAIDOS, completar las celdas SUBCATEGORIA, DENOMINACION, AÑO y MODELO", IF(AND(ISBLANK(BB80)&lt;&gt;TRUE,ISBLANK(BJ80)),"Completar MODUS OPERANDI",IF(AND(ISBLANK(BK80),OR(BJ80=BUSCADOR!$H$232,BJ80=BUSCADOR!$I$232)),"Completar ESPECIALIDAD",IF(OR(AND(H80='SAT-Homicidios Dolosos'!$B$5,'SAT-Homicidios Dolosos'!$A$5&lt;&gt;"OK"),AND(H80='SAT-Homicidios Dolosos'!$B$8,'SAT-Homicidios Dolosos'!$A$8&lt;&gt;"OK")),"Se indico un HOMICIDIO, existen CELDAS VACIAS en la hoja SAT-HOMICIDIOS DOLOSOS Completar los datos indicados",IF(OR(AND(H80='SAT-Muertes Viales'!$E$21,'SAT-Muertes Viales'!$A$21&lt;&gt;"OK"),AND(H80='SAT-Muertes Viales'!$E$25,'SAT-Muertes Viales'!$A$25&lt;&gt;"OK"),AND(H80='SAT-Muertes Viales'!$E$29,'SAT-Muertes Viales'!$A$29&lt;&gt;"OK")),"Se indico un HOMICIDIO POR SINIESTRO VIAL, existen CELDAS VACIAS en la hoja SAT-MUERTES VIALES Completar los datos indicados",IF(OR(AND(H80='SAT-Suicidios'!$B$19,'SAT-Suicidios'!$A$19&lt;&gt;"OK"),AND(H80='SAT-Suicidios'!$B$22,'SAT-Suicidios'!$A$22&lt;&gt;"OK"),AND(H80='SAT-Suicidios'!$B$25,'SAT-Suicidios'!$A$25&lt;&gt;"OK")),"Se indico un SUICIDIO, existen CELDAS VACIAS en la hoja SAT-SUICIDIOS Completar los datos indicados",IF(IFERROR(MATCH(X80,BUSCADOR!$A$2:$A$112,0),-1)&lt;0,"No se indico delito",IF(AND(ISBLANK(BL80),OR(X80=BUSCADOR!$A$111,X80=BUSCADOR!$A$110)),"Llenar la casilla DETALLES, COMENTARIOS con una descripcion de la causa",IF(AND(X80="MUERTE DUDOSA",ISBLANK(BL80)=FALSE),"SE INDICO MUERTE DUDOSA, NOS CONTACTAREMOS PARA MAS INFORMACION","FILA CORRECTA"))))))))))))))))))))))))))))))</f>
        <v>No se indico delito</v>
      </c>
      <c r="C80" s="42"/>
      <c r="D80" s="90"/>
      <c r="E80" s="47"/>
      <c r="F80" s="88"/>
      <c r="G80" s="221" t="str">
        <f t="shared" si="19"/>
        <v>Comisaría 15°</v>
      </c>
      <c r="H80" s="46"/>
      <c r="I80" s="52"/>
      <c r="J80" s="27"/>
      <c r="K80" s="27"/>
      <c r="L80" s="27"/>
      <c r="M80" s="27"/>
      <c r="N80" s="46"/>
      <c r="O80" s="55" t="str">
        <f t="shared" si="10"/>
        <v/>
      </c>
      <c r="P80" s="56" t="str">
        <f t="shared" si="11"/>
        <v/>
      </c>
      <c r="Q80" s="52"/>
      <c r="R80" s="46"/>
      <c r="S80" s="62"/>
      <c r="T80" s="57" t="str">
        <f>IFERROR(VLOOKUP(X80,BUSCADOR!$A$2:$E$112,5,FALSE),"")</f>
        <v/>
      </c>
      <c r="U80" s="107" t="str">
        <f t="shared" si="12"/>
        <v/>
      </c>
      <c r="V80" s="28" t="str">
        <f>IFERROR(VLOOKUP(X80,BUSCADOR!$A$2:$E$112,4,FALSE),"")</f>
        <v/>
      </c>
      <c r="W80" s="107" t="str">
        <f t="shared" si="13"/>
        <v/>
      </c>
      <c r="X80" s="27"/>
      <c r="Y80" s="58" t="str">
        <f>IFERROR(VLOOKUP(X80,BUSCADOR!$A$2:$B$112,2,FALSE),"")</f>
        <v/>
      </c>
      <c r="Z80" s="101" t="str">
        <f t="shared" si="14"/>
        <v>__</v>
      </c>
      <c r="AA80" s="103" t="str">
        <f t="shared" si="15"/>
        <v>___</v>
      </c>
      <c r="AB80" s="104" t="str">
        <f t="shared" si="16"/>
        <v>____</v>
      </c>
      <c r="AC80" s="104" t="str">
        <f t="shared" si="16"/>
        <v>_____</v>
      </c>
      <c r="AD80" s="83"/>
      <c r="AE80" s="45"/>
      <c r="AF80" s="66"/>
      <c r="AG80" s="212"/>
      <c r="AH80" s="213"/>
      <c r="AI80" s="214"/>
      <c r="AJ80" s="219"/>
      <c r="AK80" s="213"/>
      <c r="AL80" s="213"/>
      <c r="AM80" s="213"/>
      <c r="AN80" s="213"/>
      <c r="AO80" s="219"/>
      <c r="AP80" s="95"/>
      <c r="AQ80" s="186" t="str">
        <f t="shared" si="17"/>
        <v/>
      </c>
      <c r="AR80" s="66"/>
      <c r="AS80" s="76"/>
      <c r="AT80" s="225"/>
      <c r="AU80" s="213"/>
      <c r="AV80" s="214"/>
      <c r="AW80" s="226"/>
      <c r="AX80" s="213"/>
      <c r="AY80" s="213"/>
      <c r="AZ80" s="227"/>
      <c r="BA80" s="65"/>
      <c r="BB80" s="52"/>
      <c r="BC80" s="27"/>
      <c r="BD80" s="27"/>
      <c r="BE80" s="27"/>
      <c r="BF80" s="79"/>
      <c r="BG80" s="52"/>
      <c r="BH80" s="69"/>
      <c r="BI80" s="188" t="str">
        <f>IF(Y80=BUSCADOR!$B$46,"HURTO_",IF(OR(Y80=BUSCADOR!$B$49,Y80=BUSCADOR!$B$50),"ROBO_",""))</f>
        <v/>
      </c>
      <c r="BJ80" s="50"/>
      <c r="BK80" s="45"/>
      <c r="BL80" s="66"/>
      <c r="BM80" s="1" t="b">
        <f t="shared" si="18"/>
        <v>0</v>
      </c>
    </row>
    <row r="81" spans="1:65" ht="117.6" customHeight="1" x14ac:dyDescent="0.25">
      <c r="A81" s="171">
        <v>79</v>
      </c>
      <c r="B81" s="41" t="str">
        <f>IF(AND(BM81,ISBLANK(C81)),"Completar FECHA DE DENUNCIA",IF(AND(BM81,OR(ISBLANK(D81),ISBLANK(E81),ISBLANK(H81))),"Completar las celdas FECHA, HORA Y PREVENTIVO. En caso de no conocer la fecha u horario colocar INDETERMINADO",IF(AND(BM81,ISBLANK(G81)),"Completar COMISARIA",IF(AND(BM81,OR(ISBLANK(I81),ISBLANK(L81),ISBLANK(M81),O81="")),"Completar las celdas LOCALIDAD, CALLE, ALTURA Y DIRECCION SEGUN  GOOGLE MAPS",IF(AND(ISBLANK(J81),OR(I81=AÑELO[[#Headers],[AÑELO]],CENTENARIO[[#Headers],[CENTENARIO]]='PLANILLA DJ'!I81,CUTRAL_CO[[#Headers],[CUTRAL_CO]],JUNIN_DE_LOS_ANDES[[#Headers],[JUNIN_DE_LOS_ANDES]]='PLANILLA DJ'!I81,'PLANILLA DJ'!I81=NEUQUEN[[#Headers],[NEUQUEN]],PLAZA_HUINCUL[[#Headers],[PLAZA_HUINCUL]]='PLANILLA DJ'!I81,'PLANILLA DJ'!I81=PLOTTIER[[#Headers],[PLOTTIER]])),"COMPLETAR BARRIO",IF(AND(BM81,ISBLANK(Q81)),"Completar Nombre de VICTIMA o DENUNCIANTE",IF(AND(BM81,ISBLANK(R81)),"Completar TIPO DE ACTUACION",IF(AND(R81=BUSCADOR!$B$140,OR(X81&lt;&gt;BUSCADOR!$A$110,ISBLANK(X81))),"Se indico A CONSIDERACION en ACTUACION, indicar en el buscador de delitos A CONSIDERACION tambien",IF(AND(ISBLANK(X81)&lt;&gt;TRUE,IFERROR(MATCH(X81,BUSCADOR!$A$2:$A$112,0),-1)&lt;0),"EN EL BUSCADOR DE DELITOS NO agregar comentarios como SU INVESTIGACION, REPORTE, etc. Limitarse SOLAMENTE a poner A CONSIDERACION u otro valor que coincida en el buscador",IF(AND(ISBLANK(AD81),OR(Y81=BUSCADOR!$B$49,BUSCADOR!$B$50=Y81,Y81=BUSCADOR!$B$46,Y81=BUSCADOR!$B$2,Y81=BUSCADOR!$B$7,BUSCADOR!$B$109=Y81,X81=BUSCADOR!$A$58,X81=BUSCADOR!$A$59)),"Completar la celda TIPO DE LUGAR",IF(AND(ISBLANK(AE81),OR(AD81=BUSCADOR!$E$149,BUSCADOR!$E$150=AD81,AD81=BUSCADOR!$F$148)),"Completar DETALLE ESTABLECIMIENTO",IF(AND(ISBLANK(AF81),BM81),"Completar la celda MOTIVO QUE ORIGINA EL REGISTRO DEL HECHO",IF(AND(SUM(AG81:AI81)=0,OR(Y81=BUSCADOR!$B$2,BUSCADOR!$B$6=Y81,Y81=BUSCADOR!$B$7,BUSCADOR!$B$8=Y81,Y81=BUSCADOR!$B$9,BUSCADOR!$B$12=Y81,Y81=BUSCADOR!$B$13,BUSCADOR!$B$14=Y81,Y81=BUSCADOR!$B$17,BUSCADOR!$B$18=Y81,Y81=BUSCADOR!$B$20,BUSCADOR!$B$29=Y81,BUSCADOR!$B$34=Y81,BUSCADOR!$B$35=Y81,Y81=BUSCADOR!$B$109,Y81=BUSCADOR!$B$51,BUSCADOR!$B$50=Y81,Y81=BUSCADOR!$B$47,Y81=BUSCADOR!$B$58,Y81=BUSCADOR!$B$21,Y81=BUSCADOR!$B$22,Y81=BUSCADOR!$B$23,Y81=BUSCADOR!$B$24)),"El delito indicado debe presentar un numero de victimas. Completar la celda CANTIDAD DE VICTIMAS",IF(AND(SUM(AJ81:AO81)&gt;0,ISBLANK(AP81)),"Completar celda VULNERABILIDAD DE LA VICTIMA",IF(SUM(AG81:AI81)&lt;&gt;SUM(AJ81:AO81),"Se indico una CANTIDAD DE VICTIMAS SEGUN SEXO diferente a SEGUN GENERO",IF(AND(ISBLANK(AR81),OR(Y81=BUSCADOR!$B$49,BUSCADOR!$B$50=Y81,Y81=BUSCADOR!$B$46,Y81=BUSCADOR!$B$109,BUSCADOR!$B$2=Y81,X81=BUSCADOR!$A$58,X81=BUSCADOR!$A$59)),"Completar la celda TIPO DE ARMA, MODALIDAD O MECANISMO",IF(AND(ISBLANK(AS81),OR(Y81=BUSCADOR!$B$51,BUSCADOR!$B$50=Y81,Y81=BUSCADOR!$B$47,BUSCADOR!$A$58=X81,X81=BUSCADOR!$A$59)),"Completar la celda CONOCIDO, en la seccion de los inculpados",IF(AND(AS81=BUSCADOR!$B$127,OR(Y81=BUSCADOR!$B$51,BUSCADOR!$B$50,Y81,BUSCADOR!$B$46),OR(SUM(AT81:AV81)&lt;&gt;SUM(AW81:AZ81),SUM(AT81:AZ81)=0)),"Revisar las celdas correspondientes a CANTIDAD DE INCULPADOS. Se indica una cantidad diferente segun SEXO y EDAD o no se indico cantidad alguna",IF(AND(ISBLANK(BA81),X81=BUSCADOR!$A$27),"Se indico una persona desaparecida. Completar la casilla APARECIO",IF(AND(ISBLANK(BB81),OR(Y81=BUSCADOR!$B$49,BUSCADOR!$B$50=Y81,Y81=BUSCADOR!$B$46)),"Completar la casilla ELEMENTO SUSTRAIDO",IF(OR(AND(BB81=OTROS[[#Headers],[OTROS]],ISBLANK(BC81)),AND(BB81=ABIGEATO[[#Headers],[ABIGEATO]],ISBLANK(BC81))),"Completar la celda SUBCATEGORIA",IF(AND(OR(BB81=MOTOCICLETA[[#Headers],[MOTOCICLETA]],BB81=AUTOMOTOR[[#Headers],[AUTOMOTOR]]),OR(ISBLANK(BC81),ISBLANK(BD81),ISBLANK(BE81),ISBLANK(BF81))),"Se indico un AUTOMOTOR o MOTOCICLETA en ELEMENTOS SUSTRAIDOS, completar las celdas SUBCATEGORIA, DENOMINACION, AÑO y MODELO", IF(AND(ISBLANK(BB81)&lt;&gt;TRUE,ISBLANK(BJ81)),"Completar MODUS OPERANDI",IF(AND(ISBLANK(BK81),OR(BJ81=BUSCADOR!$H$232,BJ81=BUSCADOR!$I$232)),"Completar ESPECIALIDAD",IF(OR(AND(H81='SAT-Homicidios Dolosos'!$B$5,'SAT-Homicidios Dolosos'!$A$5&lt;&gt;"OK"),AND(H81='SAT-Homicidios Dolosos'!$B$8,'SAT-Homicidios Dolosos'!$A$8&lt;&gt;"OK")),"Se indico un HOMICIDIO, existen CELDAS VACIAS en la hoja SAT-HOMICIDIOS DOLOSOS Completar los datos indicados",IF(OR(AND(H81='SAT-Muertes Viales'!$E$21,'SAT-Muertes Viales'!$A$21&lt;&gt;"OK"),AND(H81='SAT-Muertes Viales'!$E$25,'SAT-Muertes Viales'!$A$25&lt;&gt;"OK"),AND(H81='SAT-Muertes Viales'!$E$29,'SAT-Muertes Viales'!$A$29&lt;&gt;"OK")),"Se indico un HOMICIDIO POR SINIESTRO VIAL, existen CELDAS VACIAS en la hoja SAT-MUERTES VIALES Completar los datos indicados",IF(OR(AND(H81='SAT-Suicidios'!$B$19,'SAT-Suicidios'!$A$19&lt;&gt;"OK"),AND(H81='SAT-Suicidios'!$B$22,'SAT-Suicidios'!$A$22&lt;&gt;"OK"),AND(H81='SAT-Suicidios'!$B$25,'SAT-Suicidios'!$A$25&lt;&gt;"OK")),"Se indico un SUICIDIO, existen CELDAS VACIAS en la hoja SAT-SUICIDIOS Completar los datos indicados",IF(IFERROR(MATCH(X81,BUSCADOR!$A$2:$A$112,0),-1)&lt;0,"No se indico delito",IF(AND(ISBLANK(BL81),OR(X81=BUSCADOR!$A$111,X81=BUSCADOR!$A$110)),"Llenar la casilla DETALLES, COMENTARIOS con una descripcion de la causa",IF(AND(X81="MUERTE DUDOSA",ISBLANK(BL81)=FALSE),"SE INDICO MUERTE DUDOSA, NOS CONTACTAREMOS PARA MAS INFORMACION","FILA CORRECTA"))))))))))))))))))))))))))))))</f>
        <v>No se indico delito</v>
      </c>
      <c r="C81" s="42"/>
      <c r="D81" s="90"/>
      <c r="E81" s="47"/>
      <c r="F81" s="88"/>
      <c r="G81" s="221" t="str">
        <f t="shared" si="19"/>
        <v>Comisaría 15°</v>
      </c>
      <c r="H81" s="46"/>
      <c r="I81" s="52"/>
      <c r="J81" s="27"/>
      <c r="K81" s="27"/>
      <c r="L81" s="27"/>
      <c r="M81" s="27"/>
      <c r="N81" s="46"/>
      <c r="O81" s="55" t="str">
        <f t="shared" si="10"/>
        <v/>
      </c>
      <c r="P81" s="56" t="str">
        <f t="shared" si="11"/>
        <v/>
      </c>
      <c r="Q81" s="52"/>
      <c r="R81" s="46"/>
      <c r="S81" s="62"/>
      <c r="T81" s="57" t="str">
        <f>IFERROR(VLOOKUP(X81,BUSCADOR!$A$2:$E$112,5,FALSE),"")</f>
        <v/>
      </c>
      <c r="U81" s="107" t="str">
        <f t="shared" si="12"/>
        <v/>
      </c>
      <c r="V81" s="28" t="str">
        <f>IFERROR(VLOOKUP(X81,BUSCADOR!$A$2:$E$112,4,FALSE),"")</f>
        <v/>
      </c>
      <c r="W81" s="107" t="str">
        <f t="shared" si="13"/>
        <v/>
      </c>
      <c r="X81" s="27"/>
      <c r="Y81" s="58" t="str">
        <f>IFERROR(VLOOKUP(X81,BUSCADOR!$A$2:$B$112,2,FALSE),"")</f>
        <v/>
      </c>
      <c r="Z81" s="101" t="str">
        <f t="shared" si="14"/>
        <v>__</v>
      </c>
      <c r="AA81" s="103" t="str">
        <f t="shared" si="15"/>
        <v>___</v>
      </c>
      <c r="AB81" s="104" t="str">
        <f t="shared" si="16"/>
        <v>____</v>
      </c>
      <c r="AC81" s="104" t="str">
        <f t="shared" si="16"/>
        <v>_____</v>
      </c>
      <c r="AD81" s="83"/>
      <c r="AE81" s="45"/>
      <c r="AF81" s="66"/>
      <c r="AG81" s="212"/>
      <c r="AH81" s="213"/>
      <c r="AI81" s="214"/>
      <c r="AJ81" s="219"/>
      <c r="AK81" s="213"/>
      <c r="AL81" s="213"/>
      <c r="AM81" s="213"/>
      <c r="AN81" s="213"/>
      <c r="AO81" s="219"/>
      <c r="AP81" s="95"/>
      <c r="AQ81" s="186" t="str">
        <f t="shared" si="17"/>
        <v/>
      </c>
      <c r="AR81" s="66"/>
      <c r="AS81" s="76"/>
      <c r="AT81" s="225"/>
      <c r="AU81" s="213"/>
      <c r="AV81" s="214"/>
      <c r="AW81" s="226"/>
      <c r="AX81" s="213"/>
      <c r="AY81" s="213"/>
      <c r="AZ81" s="227"/>
      <c r="BA81" s="65"/>
      <c r="BB81" s="52"/>
      <c r="BC81" s="27"/>
      <c r="BD81" s="27"/>
      <c r="BE81" s="27"/>
      <c r="BF81" s="79"/>
      <c r="BG81" s="52"/>
      <c r="BH81" s="69"/>
      <c r="BI81" s="188" t="str">
        <f>IF(Y81=BUSCADOR!$B$46,"HURTO_",IF(OR(Y81=BUSCADOR!$B$49,Y81=BUSCADOR!$B$50),"ROBO_",""))</f>
        <v/>
      </c>
      <c r="BJ81" s="50"/>
      <c r="BK81" s="45"/>
      <c r="BL81" s="66"/>
      <c r="BM81" s="1" t="b">
        <f t="shared" si="18"/>
        <v>0</v>
      </c>
    </row>
    <row r="82" spans="1:65" ht="117.6" customHeight="1" x14ac:dyDescent="0.25">
      <c r="A82" s="171">
        <v>80</v>
      </c>
      <c r="B82" s="41" t="str">
        <f>IF(AND(BM82,ISBLANK(C82)),"Completar FECHA DE DENUNCIA",IF(AND(BM82,OR(ISBLANK(D82),ISBLANK(E82),ISBLANK(H82))),"Completar las celdas FECHA, HORA Y PREVENTIVO. En caso de no conocer la fecha u horario colocar INDETERMINADO",IF(AND(BM82,ISBLANK(G82)),"Completar COMISARIA",IF(AND(BM82,OR(ISBLANK(I82),ISBLANK(L82),ISBLANK(M82),O82="")),"Completar las celdas LOCALIDAD, CALLE, ALTURA Y DIRECCION SEGUN  GOOGLE MAPS",IF(AND(ISBLANK(J82),OR(I82=AÑELO[[#Headers],[AÑELO]],CENTENARIO[[#Headers],[CENTENARIO]]='PLANILLA DJ'!I82,CUTRAL_CO[[#Headers],[CUTRAL_CO]],JUNIN_DE_LOS_ANDES[[#Headers],[JUNIN_DE_LOS_ANDES]]='PLANILLA DJ'!I82,'PLANILLA DJ'!I82=NEUQUEN[[#Headers],[NEUQUEN]],PLAZA_HUINCUL[[#Headers],[PLAZA_HUINCUL]]='PLANILLA DJ'!I82,'PLANILLA DJ'!I82=PLOTTIER[[#Headers],[PLOTTIER]])),"COMPLETAR BARRIO",IF(AND(BM82,ISBLANK(Q82)),"Completar Nombre de VICTIMA o DENUNCIANTE",IF(AND(BM82,ISBLANK(R82)),"Completar TIPO DE ACTUACION",IF(AND(R82=BUSCADOR!$B$140,OR(X82&lt;&gt;BUSCADOR!$A$110,ISBLANK(X82))),"Se indico A CONSIDERACION en ACTUACION, indicar en el buscador de delitos A CONSIDERACION tambien",IF(AND(ISBLANK(X82)&lt;&gt;TRUE,IFERROR(MATCH(X82,BUSCADOR!$A$2:$A$112,0),-1)&lt;0),"EN EL BUSCADOR DE DELITOS NO agregar comentarios como SU INVESTIGACION, REPORTE, etc. Limitarse SOLAMENTE a poner A CONSIDERACION u otro valor que coincida en el buscador",IF(AND(ISBLANK(AD82),OR(Y82=BUSCADOR!$B$49,BUSCADOR!$B$50=Y82,Y82=BUSCADOR!$B$46,Y82=BUSCADOR!$B$2,Y82=BUSCADOR!$B$7,BUSCADOR!$B$109=Y82,X82=BUSCADOR!$A$58,X82=BUSCADOR!$A$59)),"Completar la celda TIPO DE LUGAR",IF(AND(ISBLANK(AE82),OR(AD82=BUSCADOR!$E$149,BUSCADOR!$E$150=AD82,AD82=BUSCADOR!$F$148)),"Completar DETALLE ESTABLECIMIENTO",IF(AND(ISBLANK(AF82),BM82),"Completar la celda MOTIVO QUE ORIGINA EL REGISTRO DEL HECHO",IF(AND(SUM(AG82:AI82)=0,OR(Y82=BUSCADOR!$B$2,BUSCADOR!$B$6=Y82,Y82=BUSCADOR!$B$7,BUSCADOR!$B$8=Y82,Y82=BUSCADOR!$B$9,BUSCADOR!$B$12=Y82,Y82=BUSCADOR!$B$13,BUSCADOR!$B$14=Y82,Y82=BUSCADOR!$B$17,BUSCADOR!$B$18=Y82,Y82=BUSCADOR!$B$20,BUSCADOR!$B$29=Y82,BUSCADOR!$B$34=Y82,BUSCADOR!$B$35=Y82,Y82=BUSCADOR!$B$109,Y82=BUSCADOR!$B$51,BUSCADOR!$B$50=Y82,Y82=BUSCADOR!$B$47,Y82=BUSCADOR!$B$58,Y82=BUSCADOR!$B$21,Y82=BUSCADOR!$B$22,Y82=BUSCADOR!$B$23,Y82=BUSCADOR!$B$24)),"El delito indicado debe presentar un numero de victimas. Completar la celda CANTIDAD DE VICTIMAS",IF(AND(SUM(AJ82:AO82)&gt;0,ISBLANK(AP82)),"Completar celda VULNERABILIDAD DE LA VICTIMA",IF(SUM(AG82:AI82)&lt;&gt;SUM(AJ82:AO82),"Se indico una CANTIDAD DE VICTIMAS SEGUN SEXO diferente a SEGUN GENERO",IF(AND(ISBLANK(AR82),OR(Y82=BUSCADOR!$B$49,BUSCADOR!$B$50=Y82,Y82=BUSCADOR!$B$46,Y82=BUSCADOR!$B$109,BUSCADOR!$B$2=Y82,X82=BUSCADOR!$A$58,X82=BUSCADOR!$A$59)),"Completar la celda TIPO DE ARMA, MODALIDAD O MECANISMO",IF(AND(ISBLANK(AS82),OR(Y82=BUSCADOR!$B$51,BUSCADOR!$B$50=Y82,Y82=BUSCADOR!$B$47,BUSCADOR!$A$58=X82,X82=BUSCADOR!$A$59)),"Completar la celda CONOCIDO, en la seccion de los inculpados",IF(AND(AS82=BUSCADOR!$B$127,OR(Y82=BUSCADOR!$B$51,BUSCADOR!$B$50,Y82,BUSCADOR!$B$46),OR(SUM(AT82:AV82)&lt;&gt;SUM(AW82:AZ82),SUM(AT82:AZ82)=0)),"Revisar las celdas correspondientes a CANTIDAD DE INCULPADOS. Se indica una cantidad diferente segun SEXO y EDAD o no se indico cantidad alguna",IF(AND(ISBLANK(BA82),X82=BUSCADOR!$A$27),"Se indico una persona desaparecida. Completar la casilla APARECIO",IF(AND(ISBLANK(BB82),OR(Y82=BUSCADOR!$B$49,BUSCADOR!$B$50=Y82,Y82=BUSCADOR!$B$46)),"Completar la casilla ELEMENTO SUSTRAIDO",IF(OR(AND(BB82=OTROS[[#Headers],[OTROS]],ISBLANK(BC82)),AND(BB82=ABIGEATO[[#Headers],[ABIGEATO]],ISBLANK(BC82))),"Completar la celda SUBCATEGORIA",IF(AND(OR(BB82=MOTOCICLETA[[#Headers],[MOTOCICLETA]],BB82=AUTOMOTOR[[#Headers],[AUTOMOTOR]]),OR(ISBLANK(BC82),ISBLANK(BD82),ISBLANK(BE82),ISBLANK(BF82))),"Se indico un AUTOMOTOR o MOTOCICLETA en ELEMENTOS SUSTRAIDOS, completar las celdas SUBCATEGORIA, DENOMINACION, AÑO y MODELO", IF(AND(ISBLANK(BB82)&lt;&gt;TRUE,ISBLANK(BJ82)),"Completar MODUS OPERANDI",IF(AND(ISBLANK(BK82),OR(BJ82=BUSCADOR!$H$232,BJ82=BUSCADOR!$I$232)),"Completar ESPECIALIDAD",IF(OR(AND(H82='SAT-Homicidios Dolosos'!$B$5,'SAT-Homicidios Dolosos'!$A$5&lt;&gt;"OK"),AND(H82='SAT-Homicidios Dolosos'!$B$8,'SAT-Homicidios Dolosos'!$A$8&lt;&gt;"OK")),"Se indico un HOMICIDIO, existen CELDAS VACIAS en la hoja SAT-HOMICIDIOS DOLOSOS Completar los datos indicados",IF(OR(AND(H82='SAT-Muertes Viales'!$E$21,'SAT-Muertes Viales'!$A$21&lt;&gt;"OK"),AND(H82='SAT-Muertes Viales'!$E$25,'SAT-Muertes Viales'!$A$25&lt;&gt;"OK"),AND(H82='SAT-Muertes Viales'!$E$29,'SAT-Muertes Viales'!$A$29&lt;&gt;"OK")),"Se indico un HOMICIDIO POR SINIESTRO VIAL, existen CELDAS VACIAS en la hoja SAT-MUERTES VIALES Completar los datos indicados",IF(OR(AND(H82='SAT-Suicidios'!$B$19,'SAT-Suicidios'!$A$19&lt;&gt;"OK"),AND(H82='SAT-Suicidios'!$B$22,'SAT-Suicidios'!$A$22&lt;&gt;"OK"),AND(H82='SAT-Suicidios'!$B$25,'SAT-Suicidios'!$A$25&lt;&gt;"OK")),"Se indico un SUICIDIO, existen CELDAS VACIAS en la hoja SAT-SUICIDIOS Completar los datos indicados",IF(IFERROR(MATCH(X82,BUSCADOR!$A$2:$A$112,0),-1)&lt;0,"No se indico delito",IF(AND(ISBLANK(BL82),OR(X82=BUSCADOR!$A$111,X82=BUSCADOR!$A$110)),"Llenar la casilla DETALLES, COMENTARIOS con una descripcion de la causa",IF(AND(X82="MUERTE DUDOSA",ISBLANK(BL82)=FALSE),"SE INDICO MUERTE DUDOSA, NOS CONTACTAREMOS PARA MAS INFORMACION","FILA CORRECTA"))))))))))))))))))))))))))))))</f>
        <v>No se indico delito</v>
      </c>
      <c r="C82" s="42"/>
      <c r="D82" s="90"/>
      <c r="E82" s="47"/>
      <c r="F82" s="88"/>
      <c r="G82" s="221" t="str">
        <f t="shared" si="19"/>
        <v>Comisaría 15°</v>
      </c>
      <c r="H82" s="46"/>
      <c r="I82" s="52"/>
      <c r="J82" s="27"/>
      <c r="K82" s="27"/>
      <c r="L82" s="27"/>
      <c r="M82" s="27"/>
      <c r="N82" s="46"/>
      <c r="O82" s="55" t="str">
        <f t="shared" si="10"/>
        <v/>
      </c>
      <c r="P82" s="56" t="str">
        <f t="shared" si="11"/>
        <v/>
      </c>
      <c r="Q82" s="52"/>
      <c r="R82" s="46"/>
      <c r="S82" s="62"/>
      <c r="T82" s="57" t="str">
        <f>IFERROR(VLOOKUP(X82,BUSCADOR!$A$2:$E$112,5,FALSE),"")</f>
        <v/>
      </c>
      <c r="U82" s="107" t="str">
        <f t="shared" si="12"/>
        <v/>
      </c>
      <c r="V82" s="28" t="str">
        <f>IFERROR(VLOOKUP(X82,BUSCADOR!$A$2:$E$112,4,FALSE),"")</f>
        <v/>
      </c>
      <c r="W82" s="107" t="str">
        <f t="shared" si="13"/>
        <v/>
      </c>
      <c r="X82" s="27"/>
      <c r="Y82" s="58" t="str">
        <f>IFERROR(VLOOKUP(X82,BUSCADOR!$A$2:$B$112,2,FALSE),"")</f>
        <v/>
      </c>
      <c r="Z82" s="101" t="str">
        <f t="shared" si="14"/>
        <v>__</v>
      </c>
      <c r="AA82" s="103" t="str">
        <f t="shared" si="15"/>
        <v>___</v>
      </c>
      <c r="AB82" s="104" t="str">
        <f t="shared" si="16"/>
        <v>____</v>
      </c>
      <c r="AC82" s="104" t="str">
        <f t="shared" si="16"/>
        <v>_____</v>
      </c>
      <c r="AD82" s="83"/>
      <c r="AE82" s="45"/>
      <c r="AF82" s="66"/>
      <c r="AG82" s="212"/>
      <c r="AH82" s="213"/>
      <c r="AI82" s="214"/>
      <c r="AJ82" s="219"/>
      <c r="AK82" s="213"/>
      <c r="AL82" s="213"/>
      <c r="AM82" s="213"/>
      <c r="AN82" s="213"/>
      <c r="AO82" s="219"/>
      <c r="AP82" s="95"/>
      <c r="AQ82" s="186" t="str">
        <f t="shared" si="17"/>
        <v/>
      </c>
      <c r="AR82" s="66"/>
      <c r="AS82" s="76"/>
      <c r="AT82" s="225"/>
      <c r="AU82" s="213"/>
      <c r="AV82" s="214"/>
      <c r="AW82" s="226"/>
      <c r="AX82" s="213"/>
      <c r="AY82" s="213"/>
      <c r="AZ82" s="227"/>
      <c r="BA82" s="65"/>
      <c r="BB82" s="52"/>
      <c r="BC82" s="27"/>
      <c r="BD82" s="27"/>
      <c r="BE82" s="27"/>
      <c r="BF82" s="79"/>
      <c r="BG82" s="52"/>
      <c r="BH82" s="69"/>
      <c r="BI82" s="188" t="str">
        <f>IF(Y82=BUSCADOR!$B$46,"HURTO_",IF(OR(Y82=BUSCADOR!$B$49,Y82=BUSCADOR!$B$50),"ROBO_",""))</f>
        <v/>
      </c>
      <c r="BJ82" s="50"/>
      <c r="BK82" s="45"/>
      <c r="BL82" s="66"/>
      <c r="BM82" s="1" t="b">
        <f t="shared" si="18"/>
        <v>0</v>
      </c>
    </row>
    <row r="83" spans="1:65" ht="117.6" customHeight="1" x14ac:dyDescent="0.25">
      <c r="A83" s="171">
        <v>81</v>
      </c>
      <c r="B83" s="41" t="str">
        <f>IF(AND(BM83,ISBLANK(C83)),"Completar FECHA DE DENUNCIA",IF(AND(BM83,OR(ISBLANK(D83),ISBLANK(E83),ISBLANK(H83))),"Completar las celdas FECHA, HORA Y PREVENTIVO. En caso de no conocer la fecha u horario colocar INDETERMINADO",IF(AND(BM83,ISBLANK(G83)),"Completar COMISARIA",IF(AND(BM83,OR(ISBLANK(I83),ISBLANK(L83),ISBLANK(M83),O83="")),"Completar las celdas LOCALIDAD, CALLE, ALTURA Y DIRECCION SEGUN  GOOGLE MAPS",IF(AND(ISBLANK(J83),OR(I83=AÑELO[[#Headers],[AÑELO]],CENTENARIO[[#Headers],[CENTENARIO]]='PLANILLA DJ'!I83,CUTRAL_CO[[#Headers],[CUTRAL_CO]],JUNIN_DE_LOS_ANDES[[#Headers],[JUNIN_DE_LOS_ANDES]]='PLANILLA DJ'!I83,'PLANILLA DJ'!I83=NEUQUEN[[#Headers],[NEUQUEN]],PLAZA_HUINCUL[[#Headers],[PLAZA_HUINCUL]]='PLANILLA DJ'!I83,'PLANILLA DJ'!I83=PLOTTIER[[#Headers],[PLOTTIER]])),"COMPLETAR BARRIO",IF(AND(BM83,ISBLANK(Q83)),"Completar Nombre de VICTIMA o DENUNCIANTE",IF(AND(BM83,ISBLANK(R83)),"Completar TIPO DE ACTUACION",IF(AND(R83=BUSCADOR!$B$140,OR(X83&lt;&gt;BUSCADOR!$A$110,ISBLANK(X83))),"Se indico A CONSIDERACION en ACTUACION, indicar en el buscador de delitos A CONSIDERACION tambien",IF(AND(ISBLANK(X83)&lt;&gt;TRUE,IFERROR(MATCH(X83,BUSCADOR!$A$2:$A$112,0),-1)&lt;0),"EN EL BUSCADOR DE DELITOS NO agregar comentarios como SU INVESTIGACION, REPORTE, etc. Limitarse SOLAMENTE a poner A CONSIDERACION u otro valor que coincida en el buscador",IF(AND(ISBLANK(AD83),OR(Y83=BUSCADOR!$B$49,BUSCADOR!$B$50=Y83,Y83=BUSCADOR!$B$46,Y83=BUSCADOR!$B$2,Y83=BUSCADOR!$B$7,BUSCADOR!$B$109=Y83,X83=BUSCADOR!$A$58,X83=BUSCADOR!$A$59)),"Completar la celda TIPO DE LUGAR",IF(AND(ISBLANK(AE83),OR(AD83=BUSCADOR!$E$149,BUSCADOR!$E$150=AD83,AD83=BUSCADOR!$F$148)),"Completar DETALLE ESTABLECIMIENTO",IF(AND(ISBLANK(AF83),BM83),"Completar la celda MOTIVO QUE ORIGINA EL REGISTRO DEL HECHO",IF(AND(SUM(AG83:AI83)=0,OR(Y83=BUSCADOR!$B$2,BUSCADOR!$B$6=Y83,Y83=BUSCADOR!$B$7,BUSCADOR!$B$8=Y83,Y83=BUSCADOR!$B$9,BUSCADOR!$B$12=Y83,Y83=BUSCADOR!$B$13,BUSCADOR!$B$14=Y83,Y83=BUSCADOR!$B$17,BUSCADOR!$B$18=Y83,Y83=BUSCADOR!$B$20,BUSCADOR!$B$29=Y83,BUSCADOR!$B$34=Y83,BUSCADOR!$B$35=Y83,Y83=BUSCADOR!$B$109,Y83=BUSCADOR!$B$51,BUSCADOR!$B$50=Y83,Y83=BUSCADOR!$B$47,Y83=BUSCADOR!$B$58,Y83=BUSCADOR!$B$21,Y83=BUSCADOR!$B$22,Y83=BUSCADOR!$B$23,Y83=BUSCADOR!$B$24)),"El delito indicado debe presentar un numero de victimas. Completar la celda CANTIDAD DE VICTIMAS",IF(AND(SUM(AJ83:AO83)&gt;0,ISBLANK(AP83)),"Completar celda VULNERABILIDAD DE LA VICTIMA",IF(SUM(AG83:AI83)&lt;&gt;SUM(AJ83:AO83),"Se indico una CANTIDAD DE VICTIMAS SEGUN SEXO diferente a SEGUN GENERO",IF(AND(ISBLANK(AR83),OR(Y83=BUSCADOR!$B$49,BUSCADOR!$B$50=Y83,Y83=BUSCADOR!$B$46,Y83=BUSCADOR!$B$109,BUSCADOR!$B$2=Y83,X83=BUSCADOR!$A$58,X83=BUSCADOR!$A$59)),"Completar la celda TIPO DE ARMA, MODALIDAD O MECANISMO",IF(AND(ISBLANK(AS83),OR(Y83=BUSCADOR!$B$51,BUSCADOR!$B$50=Y83,Y83=BUSCADOR!$B$47,BUSCADOR!$A$58=X83,X83=BUSCADOR!$A$59)),"Completar la celda CONOCIDO, en la seccion de los inculpados",IF(AND(AS83=BUSCADOR!$B$127,OR(Y83=BUSCADOR!$B$51,BUSCADOR!$B$50,Y83,BUSCADOR!$B$46),OR(SUM(AT83:AV83)&lt;&gt;SUM(AW83:AZ83),SUM(AT83:AZ83)=0)),"Revisar las celdas correspondientes a CANTIDAD DE INCULPADOS. Se indica una cantidad diferente segun SEXO y EDAD o no se indico cantidad alguna",IF(AND(ISBLANK(BA83),X83=BUSCADOR!$A$27),"Se indico una persona desaparecida. Completar la casilla APARECIO",IF(AND(ISBLANK(BB83),OR(Y83=BUSCADOR!$B$49,BUSCADOR!$B$50=Y83,Y83=BUSCADOR!$B$46)),"Completar la casilla ELEMENTO SUSTRAIDO",IF(OR(AND(BB83=OTROS[[#Headers],[OTROS]],ISBLANK(BC83)),AND(BB83=ABIGEATO[[#Headers],[ABIGEATO]],ISBLANK(BC83))),"Completar la celda SUBCATEGORIA",IF(AND(OR(BB83=MOTOCICLETA[[#Headers],[MOTOCICLETA]],BB83=AUTOMOTOR[[#Headers],[AUTOMOTOR]]),OR(ISBLANK(BC83),ISBLANK(BD83),ISBLANK(BE83),ISBLANK(BF83))),"Se indico un AUTOMOTOR o MOTOCICLETA en ELEMENTOS SUSTRAIDOS, completar las celdas SUBCATEGORIA, DENOMINACION, AÑO y MODELO", IF(AND(ISBLANK(BB83)&lt;&gt;TRUE,ISBLANK(BJ83)),"Completar MODUS OPERANDI",IF(AND(ISBLANK(BK83),OR(BJ83=BUSCADOR!$H$232,BJ83=BUSCADOR!$I$232)),"Completar ESPECIALIDAD",IF(OR(AND(H83='SAT-Homicidios Dolosos'!$B$5,'SAT-Homicidios Dolosos'!$A$5&lt;&gt;"OK"),AND(H83='SAT-Homicidios Dolosos'!$B$8,'SAT-Homicidios Dolosos'!$A$8&lt;&gt;"OK")),"Se indico un HOMICIDIO, existen CELDAS VACIAS en la hoja SAT-HOMICIDIOS DOLOSOS Completar los datos indicados",IF(OR(AND(H83='SAT-Muertes Viales'!$E$21,'SAT-Muertes Viales'!$A$21&lt;&gt;"OK"),AND(H83='SAT-Muertes Viales'!$E$25,'SAT-Muertes Viales'!$A$25&lt;&gt;"OK"),AND(H83='SAT-Muertes Viales'!$E$29,'SAT-Muertes Viales'!$A$29&lt;&gt;"OK")),"Se indico un HOMICIDIO POR SINIESTRO VIAL, existen CELDAS VACIAS en la hoja SAT-MUERTES VIALES Completar los datos indicados",IF(OR(AND(H83='SAT-Suicidios'!$B$19,'SAT-Suicidios'!$A$19&lt;&gt;"OK"),AND(H83='SAT-Suicidios'!$B$22,'SAT-Suicidios'!$A$22&lt;&gt;"OK"),AND(H83='SAT-Suicidios'!$B$25,'SAT-Suicidios'!$A$25&lt;&gt;"OK")),"Se indico un SUICIDIO, existen CELDAS VACIAS en la hoja SAT-SUICIDIOS Completar los datos indicados",IF(IFERROR(MATCH(X83,BUSCADOR!$A$2:$A$112,0),-1)&lt;0,"No se indico delito",IF(AND(ISBLANK(BL83),OR(X83=BUSCADOR!$A$111,X83=BUSCADOR!$A$110)),"Llenar la casilla DETALLES, COMENTARIOS con una descripcion de la causa",IF(AND(X83="MUERTE DUDOSA",ISBLANK(BL83)=FALSE),"SE INDICO MUERTE DUDOSA, NOS CONTACTAREMOS PARA MAS INFORMACION","FILA CORRECTA"))))))))))))))))))))))))))))))</f>
        <v>No se indico delito</v>
      </c>
      <c r="C83" s="42"/>
      <c r="D83" s="90"/>
      <c r="E83" s="47"/>
      <c r="F83" s="88"/>
      <c r="G83" s="221" t="str">
        <f t="shared" si="19"/>
        <v>Comisaría 15°</v>
      </c>
      <c r="H83" s="46"/>
      <c r="I83" s="52"/>
      <c r="J83" s="27"/>
      <c r="K83" s="27"/>
      <c r="L83" s="27"/>
      <c r="M83" s="27"/>
      <c r="N83" s="46"/>
      <c r="O83" s="55" t="str">
        <f t="shared" si="10"/>
        <v/>
      </c>
      <c r="P83" s="56" t="str">
        <f t="shared" si="11"/>
        <v/>
      </c>
      <c r="Q83" s="52"/>
      <c r="R83" s="46"/>
      <c r="S83" s="62"/>
      <c r="T83" s="57" t="str">
        <f>IFERROR(VLOOKUP(X83,BUSCADOR!$A$2:$E$112,5,FALSE),"")</f>
        <v/>
      </c>
      <c r="U83" s="107" t="str">
        <f t="shared" si="12"/>
        <v/>
      </c>
      <c r="V83" s="28" t="str">
        <f>IFERROR(VLOOKUP(X83,BUSCADOR!$A$2:$E$112,4,FALSE),"")</f>
        <v/>
      </c>
      <c r="W83" s="107" t="str">
        <f t="shared" si="13"/>
        <v/>
      </c>
      <c r="X83" s="27"/>
      <c r="Y83" s="58" t="str">
        <f>IFERROR(VLOOKUP(X83,BUSCADOR!$A$2:$B$112,2,FALSE),"")</f>
        <v/>
      </c>
      <c r="Z83" s="101" t="str">
        <f t="shared" si="14"/>
        <v>__</v>
      </c>
      <c r="AA83" s="103" t="str">
        <f t="shared" si="15"/>
        <v>___</v>
      </c>
      <c r="AB83" s="104" t="str">
        <f t="shared" si="16"/>
        <v>____</v>
      </c>
      <c r="AC83" s="104" t="str">
        <f t="shared" si="16"/>
        <v>_____</v>
      </c>
      <c r="AD83" s="83"/>
      <c r="AE83" s="45"/>
      <c r="AF83" s="66"/>
      <c r="AG83" s="212"/>
      <c r="AH83" s="213"/>
      <c r="AI83" s="214"/>
      <c r="AJ83" s="219"/>
      <c r="AK83" s="213"/>
      <c r="AL83" s="213"/>
      <c r="AM83" s="213"/>
      <c r="AN83" s="213"/>
      <c r="AO83" s="219"/>
      <c r="AP83" s="95"/>
      <c r="AQ83" s="186" t="str">
        <f t="shared" si="17"/>
        <v/>
      </c>
      <c r="AR83" s="66"/>
      <c r="AS83" s="76"/>
      <c r="AT83" s="225"/>
      <c r="AU83" s="213"/>
      <c r="AV83" s="214"/>
      <c r="AW83" s="226"/>
      <c r="AX83" s="213"/>
      <c r="AY83" s="213"/>
      <c r="AZ83" s="227"/>
      <c r="BA83" s="65"/>
      <c r="BB83" s="52"/>
      <c r="BC83" s="27"/>
      <c r="BD83" s="27"/>
      <c r="BE83" s="27"/>
      <c r="BF83" s="79"/>
      <c r="BG83" s="52"/>
      <c r="BH83" s="69"/>
      <c r="BI83" s="188" t="str">
        <f>IF(Y83=BUSCADOR!$B$46,"HURTO_",IF(OR(Y83=BUSCADOR!$B$49,Y83=BUSCADOR!$B$50),"ROBO_",""))</f>
        <v/>
      </c>
      <c r="BJ83" s="50"/>
      <c r="BK83" s="45"/>
      <c r="BL83" s="66"/>
      <c r="BM83" s="1" t="b">
        <f t="shared" si="18"/>
        <v>0</v>
      </c>
    </row>
    <row r="84" spans="1:65" ht="117.6" customHeight="1" x14ac:dyDescent="0.25">
      <c r="A84" s="171">
        <v>82</v>
      </c>
      <c r="B84" s="41" t="str">
        <f>IF(AND(BM84,ISBLANK(C84)),"Completar FECHA DE DENUNCIA",IF(AND(BM84,OR(ISBLANK(D84),ISBLANK(E84),ISBLANK(H84))),"Completar las celdas FECHA, HORA Y PREVENTIVO. En caso de no conocer la fecha u horario colocar INDETERMINADO",IF(AND(BM84,ISBLANK(G84)),"Completar COMISARIA",IF(AND(BM84,OR(ISBLANK(I84),ISBLANK(L84),ISBLANK(M84),O84="")),"Completar las celdas LOCALIDAD, CALLE, ALTURA Y DIRECCION SEGUN  GOOGLE MAPS",IF(AND(ISBLANK(J84),OR(I84=AÑELO[[#Headers],[AÑELO]],CENTENARIO[[#Headers],[CENTENARIO]]='PLANILLA DJ'!I84,CUTRAL_CO[[#Headers],[CUTRAL_CO]],JUNIN_DE_LOS_ANDES[[#Headers],[JUNIN_DE_LOS_ANDES]]='PLANILLA DJ'!I84,'PLANILLA DJ'!I84=NEUQUEN[[#Headers],[NEUQUEN]],PLAZA_HUINCUL[[#Headers],[PLAZA_HUINCUL]]='PLANILLA DJ'!I84,'PLANILLA DJ'!I84=PLOTTIER[[#Headers],[PLOTTIER]])),"COMPLETAR BARRIO",IF(AND(BM84,ISBLANK(Q84)),"Completar Nombre de VICTIMA o DENUNCIANTE",IF(AND(BM84,ISBLANK(R84)),"Completar TIPO DE ACTUACION",IF(AND(R84=BUSCADOR!$B$140,OR(X84&lt;&gt;BUSCADOR!$A$110,ISBLANK(X84))),"Se indico A CONSIDERACION en ACTUACION, indicar en el buscador de delitos A CONSIDERACION tambien",IF(AND(ISBLANK(X84)&lt;&gt;TRUE,IFERROR(MATCH(X84,BUSCADOR!$A$2:$A$112,0),-1)&lt;0),"EN EL BUSCADOR DE DELITOS NO agregar comentarios como SU INVESTIGACION, REPORTE, etc. Limitarse SOLAMENTE a poner A CONSIDERACION u otro valor que coincida en el buscador",IF(AND(ISBLANK(AD84),OR(Y84=BUSCADOR!$B$49,BUSCADOR!$B$50=Y84,Y84=BUSCADOR!$B$46,Y84=BUSCADOR!$B$2,Y84=BUSCADOR!$B$7,BUSCADOR!$B$109=Y84,X84=BUSCADOR!$A$58,X84=BUSCADOR!$A$59)),"Completar la celda TIPO DE LUGAR",IF(AND(ISBLANK(AE84),OR(AD84=BUSCADOR!$E$149,BUSCADOR!$E$150=AD84,AD84=BUSCADOR!$F$148)),"Completar DETALLE ESTABLECIMIENTO",IF(AND(ISBLANK(AF84),BM84),"Completar la celda MOTIVO QUE ORIGINA EL REGISTRO DEL HECHO",IF(AND(SUM(AG84:AI84)=0,OR(Y84=BUSCADOR!$B$2,BUSCADOR!$B$6=Y84,Y84=BUSCADOR!$B$7,BUSCADOR!$B$8=Y84,Y84=BUSCADOR!$B$9,BUSCADOR!$B$12=Y84,Y84=BUSCADOR!$B$13,BUSCADOR!$B$14=Y84,Y84=BUSCADOR!$B$17,BUSCADOR!$B$18=Y84,Y84=BUSCADOR!$B$20,BUSCADOR!$B$29=Y84,BUSCADOR!$B$34=Y84,BUSCADOR!$B$35=Y84,Y84=BUSCADOR!$B$109,Y84=BUSCADOR!$B$51,BUSCADOR!$B$50=Y84,Y84=BUSCADOR!$B$47,Y84=BUSCADOR!$B$58,Y84=BUSCADOR!$B$21,Y84=BUSCADOR!$B$22,Y84=BUSCADOR!$B$23,Y84=BUSCADOR!$B$24)),"El delito indicado debe presentar un numero de victimas. Completar la celda CANTIDAD DE VICTIMAS",IF(AND(SUM(AJ84:AO84)&gt;0,ISBLANK(AP84)),"Completar celda VULNERABILIDAD DE LA VICTIMA",IF(SUM(AG84:AI84)&lt;&gt;SUM(AJ84:AO84),"Se indico una CANTIDAD DE VICTIMAS SEGUN SEXO diferente a SEGUN GENERO",IF(AND(ISBLANK(AR84),OR(Y84=BUSCADOR!$B$49,BUSCADOR!$B$50=Y84,Y84=BUSCADOR!$B$46,Y84=BUSCADOR!$B$109,BUSCADOR!$B$2=Y84,X84=BUSCADOR!$A$58,X84=BUSCADOR!$A$59)),"Completar la celda TIPO DE ARMA, MODALIDAD O MECANISMO",IF(AND(ISBLANK(AS84),OR(Y84=BUSCADOR!$B$51,BUSCADOR!$B$50=Y84,Y84=BUSCADOR!$B$47,BUSCADOR!$A$58=X84,X84=BUSCADOR!$A$59)),"Completar la celda CONOCIDO, en la seccion de los inculpados",IF(AND(AS84=BUSCADOR!$B$127,OR(Y84=BUSCADOR!$B$51,BUSCADOR!$B$50,Y84,BUSCADOR!$B$46),OR(SUM(AT84:AV84)&lt;&gt;SUM(AW84:AZ84),SUM(AT84:AZ84)=0)),"Revisar las celdas correspondientes a CANTIDAD DE INCULPADOS. Se indica una cantidad diferente segun SEXO y EDAD o no se indico cantidad alguna",IF(AND(ISBLANK(BA84),X84=BUSCADOR!$A$27),"Se indico una persona desaparecida. Completar la casilla APARECIO",IF(AND(ISBLANK(BB84),OR(Y84=BUSCADOR!$B$49,BUSCADOR!$B$50=Y84,Y84=BUSCADOR!$B$46)),"Completar la casilla ELEMENTO SUSTRAIDO",IF(OR(AND(BB84=OTROS[[#Headers],[OTROS]],ISBLANK(BC84)),AND(BB84=ABIGEATO[[#Headers],[ABIGEATO]],ISBLANK(BC84))),"Completar la celda SUBCATEGORIA",IF(AND(OR(BB84=MOTOCICLETA[[#Headers],[MOTOCICLETA]],BB84=AUTOMOTOR[[#Headers],[AUTOMOTOR]]),OR(ISBLANK(BC84),ISBLANK(BD84),ISBLANK(BE84),ISBLANK(BF84))),"Se indico un AUTOMOTOR o MOTOCICLETA en ELEMENTOS SUSTRAIDOS, completar las celdas SUBCATEGORIA, DENOMINACION, AÑO y MODELO", IF(AND(ISBLANK(BB84)&lt;&gt;TRUE,ISBLANK(BJ84)),"Completar MODUS OPERANDI",IF(AND(ISBLANK(BK84),OR(BJ84=BUSCADOR!$H$232,BJ84=BUSCADOR!$I$232)),"Completar ESPECIALIDAD",IF(OR(AND(H84='SAT-Homicidios Dolosos'!$B$5,'SAT-Homicidios Dolosos'!$A$5&lt;&gt;"OK"),AND(H84='SAT-Homicidios Dolosos'!$B$8,'SAT-Homicidios Dolosos'!$A$8&lt;&gt;"OK")),"Se indico un HOMICIDIO, existen CELDAS VACIAS en la hoja SAT-HOMICIDIOS DOLOSOS Completar los datos indicados",IF(OR(AND(H84='SAT-Muertes Viales'!$E$21,'SAT-Muertes Viales'!$A$21&lt;&gt;"OK"),AND(H84='SAT-Muertes Viales'!$E$25,'SAT-Muertes Viales'!$A$25&lt;&gt;"OK"),AND(H84='SAT-Muertes Viales'!$E$29,'SAT-Muertes Viales'!$A$29&lt;&gt;"OK")),"Se indico un HOMICIDIO POR SINIESTRO VIAL, existen CELDAS VACIAS en la hoja SAT-MUERTES VIALES Completar los datos indicados",IF(OR(AND(H84='SAT-Suicidios'!$B$19,'SAT-Suicidios'!$A$19&lt;&gt;"OK"),AND(H84='SAT-Suicidios'!$B$22,'SAT-Suicidios'!$A$22&lt;&gt;"OK"),AND(H84='SAT-Suicidios'!$B$25,'SAT-Suicidios'!$A$25&lt;&gt;"OK")),"Se indico un SUICIDIO, existen CELDAS VACIAS en la hoja SAT-SUICIDIOS Completar los datos indicados",IF(IFERROR(MATCH(X84,BUSCADOR!$A$2:$A$112,0),-1)&lt;0,"No se indico delito",IF(AND(ISBLANK(BL84),OR(X84=BUSCADOR!$A$111,X84=BUSCADOR!$A$110)),"Llenar la casilla DETALLES, COMENTARIOS con una descripcion de la causa",IF(AND(X84="MUERTE DUDOSA",ISBLANK(BL84)=FALSE),"SE INDICO MUERTE DUDOSA, NOS CONTACTAREMOS PARA MAS INFORMACION","FILA CORRECTA"))))))))))))))))))))))))))))))</f>
        <v>No se indico delito</v>
      </c>
      <c r="C84" s="42"/>
      <c r="D84" s="90"/>
      <c r="E84" s="47"/>
      <c r="F84" s="88"/>
      <c r="G84" s="221" t="str">
        <f t="shared" si="19"/>
        <v>Comisaría 15°</v>
      </c>
      <c r="H84" s="46"/>
      <c r="I84" s="52"/>
      <c r="J84" s="27"/>
      <c r="K84" s="27"/>
      <c r="L84" s="27"/>
      <c r="M84" s="27"/>
      <c r="N84" s="46"/>
      <c r="O84" s="55" t="str">
        <f t="shared" si="10"/>
        <v/>
      </c>
      <c r="P84" s="56" t="str">
        <f t="shared" si="11"/>
        <v/>
      </c>
      <c r="Q84" s="52"/>
      <c r="R84" s="46"/>
      <c r="S84" s="62"/>
      <c r="T84" s="57" t="str">
        <f>IFERROR(VLOOKUP(X84,BUSCADOR!$A$2:$E$112,5,FALSE),"")</f>
        <v/>
      </c>
      <c r="U84" s="107" t="str">
        <f t="shared" si="12"/>
        <v/>
      </c>
      <c r="V84" s="28" t="str">
        <f>IFERROR(VLOOKUP(X84,BUSCADOR!$A$2:$E$112,4,FALSE),"")</f>
        <v/>
      </c>
      <c r="W84" s="107" t="str">
        <f t="shared" si="13"/>
        <v/>
      </c>
      <c r="X84" s="27"/>
      <c r="Y84" s="58" t="str">
        <f>IFERROR(VLOOKUP(X84,BUSCADOR!$A$2:$B$112,2,FALSE),"")</f>
        <v/>
      </c>
      <c r="Z84" s="101" t="str">
        <f t="shared" si="14"/>
        <v>__</v>
      </c>
      <c r="AA84" s="103" t="str">
        <f t="shared" si="15"/>
        <v>___</v>
      </c>
      <c r="AB84" s="104" t="str">
        <f t="shared" si="16"/>
        <v>____</v>
      </c>
      <c r="AC84" s="104" t="str">
        <f t="shared" si="16"/>
        <v>_____</v>
      </c>
      <c r="AD84" s="83"/>
      <c r="AE84" s="45"/>
      <c r="AF84" s="66"/>
      <c r="AG84" s="212"/>
      <c r="AH84" s="213"/>
      <c r="AI84" s="214"/>
      <c r="AJ84" s="219"/>
      <c r="AK84" s="213"/>
      <c r="AL84" s="213"/>
      <c r="AM84" s="213"/>
      <c r="AN84" s="213"/>
      <c r="AO84" s="219"/>
      <c r="AP84" s="95"/>
      <c r="AQ84" s="186" t="str">
        <f t="shared" si="17"/>
        <v/>
      </c>
      <c r="AR84" s="66"/>
      <c r="AS84" s="76"/>
      <c r="AT84" s="225"/>
      <c r="AU84" s="213"/>
      <c r="AV84" s="214"/>
      <c r="AW84" s="226"/>
      <c r="AX84" s="213"/>
      <c r="AY84" s="213"/>
      <c r="AZ84" s="227"/>
      <c r="BA84" s="65"/>
      <c r="BB84" s="52"/>
      <c r="BC84" s="27"/>
      <c r="BD84" s="27"/>
      <c r="BE84" s="27"/>
      <c r="BF84" s="79"/>
      <c r="BG84" s="52"/>
      <c r="BH84" s="69"/>
      <c r="BI84" s="188" t="str">
        <f>IF(Y84=BUSCADOR!$B$46,"HURTO_",IF(OR(Y84=BUSCADOR!$B$49,Y84=BUSCADOR!$B$50),"ROBO_",""))</f>
        <v/>
      </c>
      <c r="BJ84" s="50"/>
      <c r="BK84" s="45"/>
      <c r="BL84" s="66"/>
      <c r="BM84" s="1" t="b">
        <f t="shared" si="18"/>
        <v>0</v>
      </c>
    </row>
    <row r="85" spans="1:65" ht="117.6" customHeight="1" x14ac:dyDescent="0.25">
      <c r="A85" s="171">
        <v>83</v>
      </c>
      <c r="B85" s="41" t="str">
        <f>IF(AND(BM85,ISBLANK(C85)),"Completar FECHA DE DENUNCIA",IF(AND(BM85,OR(ISBLANK(D85),ISBLANK(E85),ISBLANK(H85))),"Completar las celdas FECHA, HORA Y PREVENTIVO. En caso de no conocer la fecha u horario colocar INDETERMINADO",IF(AND(BM85,ISBLANK(G85)),"Completar COMISARIA",IF(AND(BM85,OR(ISBLANK(I85),ISBLANK(L85),ISBLANK(M85),O85="")),"Completar las celdas LOCALIDAD, CALLE, ALTURA Y DIRECCION SEGUN  GOOGLE MAPS",IF(AND(ISBLANK(J85),OR(I85=AÑELO[[#Headers],[AÑELO]],CENTENARIO[[#Headers],[CENTENARIO]]='PLANILLA DJ'!I85,CUTRAL_CO[[#Headers],[CUTRAL_CO]],JUNIN_DE_LOS_ANDES[[#Headers],[JUNIN_DE_LOS_ANDES]]='PLANILLA DJ'!I85,'PLANILLA DJ'!I85=NEUQUEN[[#Headers],[NEUQUEN]],PLAZA_HUINCUL[[#Headers],[PLAZA_HUINCUL]]='PLANILLA DJ'!I85,'PLANILLA DJ'!I85=PLOTTIER[[#Headers],[PLOTTIER]])),"COMPLETAR BARRIO",IF(AND(BM85,ISBLANK(Q85)),"Completar Nombre de VICTIMA o DENUNCIANTE",IF(AND(BM85,ISBLANK(R85)),"Completar TIPO DE ACTUACION",IF(AND(R85=BUSCADOR!$B$140,OR(X85&lt;&gt;BUSCADOR!$A$110,ISBLANK(X85))),"Se indico A CONSIDERACION en ACTUACION, indicar en el buscador de delitos A CONSIDERACION tambien",IF(AND(ISBLANK(X85)&lt;&gt;TRUE,IFERROR(MATCH(X85,BUSCADOR!$A$2:$A$112,0),-1)&lt;0),"EN EL BUSCADOR DE DELITOS NO agregar comentarios como SU INVESTIGACION, REPORTE, etc. Limitarse SOLAMENTE a poner A CONSIDERACION u otro valor que coincida en el buscador",IF(AND(ISBLANK(AD85),OR(Y85=BUSCADOR!$B$49,BUSCADOR!$B$50=Y85,Y85=BUSCADOR!$B$46,Y85=BUSCADOR!$B$2,Y85=BUSCADOR!$B$7,BUSCADOR!$B$109=Y85,X85=BUSCADOR!$A$58,X85=BUSCADOR!$A$59)),"Completar la celda TIPO DE LUGAR",IF(AND(ISBLANK(AE85),OR(AD85=BUSCADOR!$E$149,BUSCADOR!$E$150=AD85,AD85=BUSCADOR!$F$148)),"Completar DETALLE ESTABLECIMIENTO",IF(AND(ISBLANK(AF85),BM85),"Completar la celda MOTIVO QUE ORIGINA EL REGISTRO DEL HECHO",IF(AND(SUM(AG85:AI85)=0,OR(Y85=BUSCADOR!$B$2,BUSCADOR!$B$6=Y85,Y85=BUSCADOR!$B$7,BUSCADOR!$B$8=Y85,Y85=BUSCADOR!$B$9,BUSCADOR!$B$12=Y85,Y85=BUSCADOR!$B$13,BUSCADOR!$B$14=Y85,Y85=BUSCADOR!$B$17,BUSCADOR!$B$18=Y85,Y85=BUSCADOR!$B$20,BUSCADOR!$B$29=Y85,BUSCADOR!$B$34=Y85,BUSCADOR!$B$35=Y85,Y85=BUSCADOR!$B$109,Y85=BUSCADOR!$B$51,BUSCADOR!$B$50=Y85,Y85=BUSCADOR!$B$47,Y85=BUSCADOR!$B$58,Y85=BUSCADOR!$B$21,Y85=BUSCADOR!$B$22,Y85=BUSCADOR!$B$23,Y85=BUSCADOR!$B$24)),"El delito indicado debe presentar un numero de victimas. Completar la celda CANTIDAD DE VICTIMAS",IF(AND(SUM(AJ85:AO85)&gt;0,ISBLANK(AP85)),"Completar celda VULNERABILIDAD DE LA VICTIMA",IF(SUM(AG85:AI85)&lt;&gt;SUM(AJ85:AO85),"Se indico una CANTIDAD DE VICTIMAS SEGUN SEXO diferente a SEGUN GENERO",IF(AND(ISBLANK(AR85),OR(Y85=BUSCADOR!$B$49,BUSCADOR!$B$50=Y85,Y85=BUSCADOR!$B$46,Y85=BUSCADOR!$B$109,BUSCADOR!$B$2=Y85,X85=BUSCADOR!$A$58,X85=BUSCADOR!$A$59)),"Completar la celda TIPO DE ARMA, MODALIDAD O MECANISMO",IF(AND(ISBLANK(AS85),OR(Y85=BUSCADOR!$B$51,BUSCADOR!$B$50=Y85,Y85=BUSCADOR!$B$47,BUSCADOR!$A$58=X85,X85=BUSCADOR!$A$59)),"Completar la celda CONOCIDO, en la seccion de los inculpados",IF(AND(AS85=BUSCADOR!$B$127,OR(Y85=BUSCADOR!$B$51,BUSCADOR!$B$50,Y85,BUSCADOR!$B$46),OR(SUM(AT85:AV85)&lt;&gt;SUM(AW85:AZ85),SUM(AT85:AZ85)=0)),"Revisar las celdas correspondientes a CANTIDAD DE INCULPADOS. Se indica una cantidad diferente segun SEXO y EDAD o no se indico cantidad alguna",IF(AND(ISBLANK(BA85),X85=BUSCADOR!$A$27),"Se indico una persona desaparecida. Completar la casilla APARECIO",IF(AND(ISBLANK(BB85),OR(Y85=BUSCADOR!$B$49,BUSCADOR!$B$50=Y85,Y85=BUSCADOR!$B$46)),"Completar la casilla ELEMENTO SUSTRAIDO",IF(OR(AND(BB85=OTROS[[#Headers],[OTROS]],ISBLANK(BC85)),AND(BB85=ABIGEATO[[#Headers],[ABIGEATO]],ISBLANK(BC85))),"Completar la celda SUBCATEGORIA",IF(AND(OR(BB85=MOTOCICLETA[[#Headers],[MOTOCICLETA]],BB85=AUTOMOTOR[[#Headers],[AUTOMOTOR]]),OR(ISBLANK(BC85),ISBLANK(BD85),ISBLANK(BE85),ISBLANK(BF85))),"Se indico un AUTOMOTOR o MOTOCICLETA en ELEMENTOS SUSTRAIDOS, completar las celdas SUBCATEGORIA, DENOMINACION, AÑO y MODELO", IF(AND(ISBLANK(BB85)&lt;&gt;TRUE,ISBLANK(BJ85)),"Completar MODUS OPERANDI",IF(AND(ISBLANK(BK85),OR(BJ85=BUSCADOR!$H$232,BJ85=BUSCADOR!$I$232)),"Completar ESPECIALIDAD",IF(OR(AND(H85='SAT-Homicidios Dolosos'!$B$5,'SAT-Homicidios Dolosos'!$A$5&lt;&gt;"OK"),AND(H85='SAT-Homicidios Dolosos'!$B$8,'SAT-Homicidios Dolosos'!$A$8&lt;&gt;"OK")),"Se indico un HOMICIDIO, existen CELDAS VACIAS en la hoja SAT-HOMICIDIOS DOLOSOS Completar los datos indicados",IF(OR(AND(H85='SAT-Muertes Viales'!$E$21,'SAT-Muertes Viales'!$A$21&lt;&gt;"OK"),AND(H85='SAT-Muertes Viales'!$E$25,'SAT-Muertes Viales'!$A$25&lt;&gt;"OK"),AND(H85='SAT-Muertes Viales'!$E$29,'SAT-Muertes Viales'!$A$29&lt;&gt;"OK")),"Se indico un HOMICIDIO POR SINIESTRO VIAL, existen CELDAS VACIAS en la hoja SAT-MUERTES VIALES Completar los datos indicados",IF(OR(AND(H85='SAT-Suicidios'!$B$19,'SAT-Suicidios'!$A$19&lt;&gt;"OK"),AND(H85='SAT-Suicidios'!$B$22,'SAT-Suicidios'!$A$22&lt;&gt;"OK"),AND(H85='SAT-Suicidios'!$B$25,'SAT-Suicidios'!$A$25&lt;&gt;"OK")),"Se indico un SUICIDIO, existen CELDAS VACIAS en la hoja SAT-SUICIDIOS Completar los datos indicados",IF(IFERROR(MATCH(X85,BUSCADOR!$A$2:$A$112,0),-1)&lt;0,"No se indico delito",IF(AND(ISBLANK(BL85),OR(X85=BUSCADOR!$A$111,X85=BUSCADOR!$A$110)),"Llenar la casilla DETALLES, COMENTARIOS con una descripcion de la causa",IF(AND(X85="MUERTE DUDOSA",ISBLANK(BL85)=FALSE),"SE INDICO MUERTE DUDOSA, NOS CONTACTAREMOS PARA MAS INFORMACION","FILA CORRECTA"))))))))))))))))))))))))))))))</f>
        <v>No se indico delito</v>
      </c>
      <c r="C85" s="42"/>
      <c r="D85" s="90"/>
      <c r="E85" s="47"/>
      <c r="F85" s="88"/>
      <c r="G85" s="221" t="str">
        <f t="shared" si="19"/>
        <v>Comisaría 15°</v>
      </c>
      <c r="H85" s="46"/>
      <c r="I85" s="52"/>
      <c r="J85" s="27"/>
      <c r="K85" s="27"/>
      <c r="L85" s="27"/>
      <c r="M85" s="27"/>
      <c r="N85" s="46"/>
      <c r="O85" s="55" t="str">
        <f t="shared" si="10"/>
        <v/>
      </c>
      <c r="P85" s="56" t="str">
        <f t="shared" si="11"/>
        <v/>
      </c>
      <c r="Q85" s="52"/>
      <c r="R85" s="46"/>
      <c r="S85" s="62"/>
      <c r="T85" s="57" t="str">
        <f>IFERROR(VLOOKUP(X85,BUSCADOR!$A$2:$E$112,5,FALSE),"")</f>
        <v/>
      </c>
      <c r="U85" s="107" t="str">
        <f t="shared" si="12"/>
        <v/>
      </c>
      <c r="V85" s="28" t="str">
        <f>IFERROR(VLOOKUP(X85,BUSCADOR!$A$2:$E$112,4,FALSE),"")</f>
        <v/>
      </c>
      <c r="W85" s="107" t="str">
        <f t="shared" si="13"/>
        <v/>
      </c>
      <c r="X85" s="27"/>
      <c r="Y85" s="58" t="str">
        <f>IFERROR(VLOOKUP(X85,BUSCADOR!$A$2:$B$112,2,FALSE),"")</f>
        <v/>
      </c>
      <c r="Z85" s="101" t="str">
        <f t="shared" si="14"/>
        <v>__</v>
      </c>
      <c r="AA85" s="103" t="str">
        <f t="shared" si="15"/>
        <v>___</v>
      </c>
      <c r="AB85" s="104" t="str">
        <f t="shared" si="16"/>
        <v>____</v>
      </c>
      <c r="AC85" s="104" t="str">
        <f t="shared" si="16"/>
        <v>_____</v>
      </c>
      <c r="AD85" s="83"/>
      <c r="AE85" s="45"/>
      <c r="AF85" s="66"/>
      <c r="AG85" s="212"/>
      <c r="AH85" s="213"/>
      <c r="AI85" s="214"/>
      <c r="AJ85" s="219"/>
      <c r="AK85" s="213"/>
      <c r="AL85" s="213"/>
      <c r="AM85" s="213"/>
      <c r="AN85" s="213"/>
      <c r="AO85" s="219"/>
      <c r="AP85" s="95"/>
      <c r="AQ85" s="186" t="str">
        <f t="shared" si="17"/>
        <v/>
      </c>
      <c r="AR85" s="66"/>
      <c r="AS85" s="76"/>
      <c r="AT85" s="225"/>
      <c r="AU85" s="213"/>
      <c r="AV85" s="214"/>
      <c r="AW85" s="226"/>
      <c r="AX85" s="213"/>
      <c r="AY85" s="213"/>
      <c r="AZ85" s="227"/>
      <c r="BA85" s="65"/>
      <c r="BB85" s="52"/>
      <c r="BC85" s="27"/>
      <c r="BD85" s="27"/>
      <c r="BE85" s="27"/>
      <c r="BF85" s="79"/>
      <c r="BG85" s="52"/>
      <c r="BH85" s="69"/>
      <c r="BI85" s="188" t="str">
        <f>IF(Y85=BUSCADOR!$B$46,"HURTO_",IF(OR(Y85=BUSCADOR!$B$49,Y85=BUSCADOR!$B$50),"ROBO_",""))</f>
        <v/>
      </c>
      <c r="BJ85" s="50"/>
      <c r="BK85" s="45"/>
      <c r="BL85" s="66"/>
      <c r="BM85" s="1" t="b">
        <f t="shared" si="18"/>
        <v>0</v>
      </c>
    </row>
    <row r="86" spans="1:65" ht="117.6" customHeight="1" x14ac:dyDescent="0.25">
      <c r="A86" s="171">
        <v>84</v>
      </c>
      <c r="B86" s="41" t="str">
        <f>IF(AND(BM86,ISBLANK(C86)),"Completar FECHA DE DENUNCIA",IF(AND(BM86,OR(ISBLANK(D86),ISBLANK(E86),ISBLANK(H86))),"Completar las celdas FECHA, HORA Y PREVENTIVO. En caso de no conocer la fecha u horario colocar INDETERMINADO",IF(AND(BM86,ISBLANK(G86)),"Completar COMISARIA",IF(AND(BM86,OR(ISBLANK(I86),ISBLANK(L86),ISBLANK(M86),O86="")),"Completar las celdas LOCALIDAD, CALLE, ALTURA Y DIRECCION SEGUN  GOOGLE MAPS",IF(AND(ISBLANK(J86),OR(I86=AÑELO[[#Headers],[AÑELO]],CENTENARIO[[#Headers],[CENTENARIO]]='PLANILLA DJ'!I86,CUTRAL_CO[[#Headers],[CUTRAL_CO]],JUNIN_DE_LOS_ANDES[[#Headers],[JUNIN_DE_LOS_ANDES]]='PLANILLA DJ'!I86,'PLANILLA DJ'!I86=NEUQUEN[[#Headers],[NEUQUEN]],PLAZA_HUINCUL[[#Headers],[PLAZA_HUINCUL]]='PLANILLA DJ'!I86,'PLANILLA DJ'!I86=PLOTTIER[[#Headers],[PLOTTIER]])),"COMPLETAR BARRIO",IF(AND(BM86,ISBLANK(Q86)),"Completar Nombre de VICTIMA o DENUNCIANTE",IF(AND(BM86,ISBLANK(R86)),"Completar TIPO DE ACTUACION",IF(AND(R86=BUSCADOR!$B$140,OR(X86&lt;&gt;BUSCADOR!$A$110,ISBLANK(X86))),"Se indico A CONSIDERACION en ACTUACION, indicar en el buscador de delitos A CONSIDERACION tambien",IF(AND(ISBLANK(X86)&lt;&gt;TRUE,IFERROR(MATCH(X86,BUSCADOR!$A$2:$A$112,0),-1)&lt;0),"EN EL BUSCADOR DE DELITOS NO agregar comentarios como SU INVESTIGACION, REPORTE, etc. Limitarse SOLAMENTE a poner A CONSIDERACION u otro valor que coincida en el buscador",IF(AND(ISBLANK(AD86),OR(Y86=BUSCADOR!$B$49,BUSCADOR!$B$50=Y86,Y86=BUSCADOR!$B$46,Y86=BUSCADOR!$B$2,Y86=BUSCADOR!$B$7,BUSCADOR!$B$109=Y86,X86=BUSCADOR!$A$58,X86=BUSCADOR!$A$59)),"Completar la celda TIPO DE LUGAR",IF(AND(ISBLANK(AE86),OR(AD86=BUSCADOR!$E$149,BUSCADOR!$E$150=AD86,AD86=BUSCADOR!$F$148)),"Completar DETALLE ESTABLECIMIENTO",IF(AND(ISBLANK(AF86),BM86),"Completar la celda MOTIVO QUE ORIGINA EL REGISTRO DEL HECHO",IF(AND(SUM(AG86:AI86)=0,OR(Y86=BUSCADOR!$B$2,BUSCADOR!$B$6=Y86,Y86=BUSCADOR!$B$7,BUSCADOR!$B$8=Y86,Y86=BUSCADOR!$B$9,BUSCADOR!$B$12=Y86,Y86=BUSCADOR!$B$13,BUSCADOR!$B$14=Y86,Y86=BUSCADOR!$B$17,BUSCADOR!$B$18=Y86,Y86=BUSCADOR!$B$20,BUSCADOR!$B$29=Y86,BUSCADOR!$B$34=Y86,BUSCADOR!$B$35=Y86,Y86=BUSCADOR!$B$109,Y86=BUSCADOR!$B$51,BUSCADOR!$B$50=Y86,Y86=BUSCADOR!$B$47,Y86=BUSCADOR!$B$58,Y86=BUSCADOR!$B$21,Y86=BUSCADOR!$B$22,Y86=BUSCADOR!$B$23,Y86=BUSCADOR!$B$24)),"El delito indicado debe presentar un numero de victimas. Completar la celda CANTIDAD DE VICTIMAS",IF(AND(SUM(AJ86:AO86)&gt;0,ISBLANK(AP86)),"Completar celda VULNERABILIDAD DE LA VICTIMA",IF(SUM(AG86:AI86)&lt;&gt;SUM(AJ86:AO86),"Se indico una CANTIDAD DE VICTIMAS SEGUN SEXO diferente a SEGUN GENERO",IF(AND(ISBLANK(AR86),OR(Y86=BUSCADOR!$B$49,BUSCADOR!$B$50=Y86,Y86=BUSCADOR!$B$46,Y86=BUSCADOR!$B$109,BUSCADOR!$B$2=Y86,X86=BUSCADOR!$A$58,X86=BUSCADOR!$A$59)),"Completar la celda TIPO DE ARMA, MODALIDAD O MECANISMO",IF(AND(ISBLANK(AS86),OR(Y86=BUSCADOR!$B$51,BUSCADOR!$B$50=Y86,Y86=BUSCADOR!$B$47,BUSCADOR!$A$58=X86,X86=BUSCADOR!$A$59)),"Completar la celda CONOCIDO, en la seccion de los inculpados",IF(AND(AS86=BUSCADOR!$B$127,OR(Y86=BUSCADOR!$B$51,BUSCADOR!$B$50,Y86,BUSCADOR!$B$46),OR(SUM(AT86:AV86)&lt;&gt;SUM(AW86:AZ86),SUM(AT86:AZ86)=0)),"Revisar las celdas correspondientes a CANTIDAD DE INCULPADOS. Se indica una cantidad diferente segun SEXO y EDAD o no se indico cantidad alguna",IF(AND(ISBLANK(BA86),X86=BUSCADOR!$A$27),"Se indico una persona desaparecida. Completar la casilla APARECIO",IF(AND(ISBLANK(BB86),OR(Y86=BUSCADOR!$B$49,BUSCADOR!$B$50=Y86,Y86=BUSCADOR!$B$46)),"Completar la casilla ELEMENTO SUSTRAIDO",IF(OR(AND(BB86=OTROS[[#Headers],[OTROS]],ISBLANK(BC86)),AND(BB86=ABIGEATO[[#Headers],[ABIGEATO]],ISBLANK(BC86))),"Completar la celda SUBCATEGORIA",IF(AND(OR(BB86=MOTOCICLETA[[#Headers],[MOTOCICLETA]],BB86=AUTOMOTOR[[#Headers],[AUTOMOTOR]]),OR(ISBLANK(BC86),ISBLANK(BD86),ISBLANK(BE86),ISBLANK(BF86))),"Se indico un AUTOMOTOR o MOTOCICLETA en ELEMENTOS SUSTRAIDOS, completar las celdas SUBCATEGORIA, DENOMINACION, AÑO y MODELO", IF(AND(ISBLANK(BB86)&lt;&gt;TRUE,ISBLANK(BJ86)),"Completar MODUS OPERANDI",IF(AND(ISBLANK(BK86),OR(BJ86=BUSCADOR!$H$232,BJ86=BUSCADOR!$I$232)),"Completar ESPECIALIDAD",IF(OR(AND(H86='SAT-Homicidios Dolosos'!$B$5,'SAT-Homicidios Dolosos'!$A$5&lt;&gt;"OK"),AND(H86='SAT-Homicidios Dolosos'!$B$8,'SAT-Homicidios Dolosos'!$A$8&lt;&gt;"OK")),"Se indico un HOMICIDIO, existen CELDAS VACIAS en la hoja SAT-HOMICIDIOS DOLOSOS Completar los datos indicados",IF(OR(AND(H86='SAT-Muertes Viales'!$E$21,'SAT-Muertes Viales'!$A$21&lt;&gt;"OK"),AND(H86='SAT-Muertes Viales'!$E$25,'SAT-Muertes Viales'!$A$25&lt;&gt;"OK"),AND(H86='SAT-Muertes Viales'!$E$29,'SAT-Muertes Viales'!$A$29&lt;&gt;"OK")),"Se indico un HOMICIDIO POR SINIESTRO VIAL, existen CELDAS VACIAS en la hoja SAT-MUERTES VIALES Completar los datos indicados",IF(OR(AND(H86='SAT-Suicidios'!$B$19,'SAT-Suicidios'!$A$19&lt;&gt;"OK"),AND(H86='SAT-Suicidios'!$B$22,'SAT-Suicidios'!$A$22&lt;&gt;"OK"),AND(H86='SAT-Suicidios'!$B$25,'SAT-Suicidios'!$A$25&lt;&gt;"OK")),"Se indico un SUICIDIO, existen CELDAS VACIAS en la hoja SAT-SUICIDIOS Completar los datos indicados",IF(IFERROR(MATCH(X86,BUSCADOR!$A$2:$A$112,0),-1)&lt;0,"No se indico delito",IF(AND(ISBLANK(BL86),OR(X86=BUSCADOR!$A$111,X86=BUSCADOR!$A$110)),"Llenar la casilla DETALLES, COMENTARIOS con una descripcion de la causa",IF(AND(X86="MUERTE DUDOSA",ISBLANK(BL86)=FALSE),"SE INDICO MUERTE DUDOSA, NOS CONTACTAREMOS PARA MAS INFORMACION","FILA CORRECTA"))))))))))))))))))))))))))))))</f>
        <v>No se indico delito</v>
      </c>
      <c r="C86" s="42"/>
      <c r="D86" s="90"/>
      <c r="E86" s="47"/>
      <c r="F86" s="88"/>
      <c r="G86" s="221" t="str">
        <f t="shared" si="19"/>
        <v>Comisaría 15°</v>
      </c>
      <c r="H86" s="46"/>
      <c r="I86" s="52"/>
      <c r="J86" s="27"/>
      <c r="K86" s="27"/>
      <c r="L86" s="27"/>
      <c r="M86" s="27"/>
      <c r="N86" s="46"/>
      <c r="O86" s="55" t="str">
        <f t="shared" si="10"/>
        <v/>
      </c>
      <c r="P86" s="56" t="str">
        <f t="shared" si="11"/>
        <v/>
      </c>
      <c r="Q86" s="52"/>
      <c r="R86" s="46"/>
      <c r="S86" s="62"/>
      <c r="T86" s="57" t="str">
        <f>IFERROR(VLOOKUP(X86,BUSCADOR!$A$2:$E$112,5,FALSE),"")</f>
        <v/>
      </c>
      <c r="U86" s="107" t="str">
        <f t="shared" si="12"/>
        <v/>
      </c>
      <c r="V86" s="28" t="str">
        <f>IFERROR(VLOOKUP(X86,BUSCADOR!$A$2:$E$112,4,FALSE),"")</f>
        <v/>
      </c>
      <c r="W86" s="107" t="str">
        <f t="shared" si="13"/>
        <v/>
      </c>
      <c r="X86" s="27"/>
      <c r="Y86" s="58" t="str">
        <f>IFERROR(VLOOKUP(X86,BUSCADOR!$A$2:$B$112,2,FALSE),"")</f>
        <v/>
      </c>
      <c r="Z86" s="101" t="str">
        <f t="shared" si="14"/>
        <v>__</v>
      </c>
      <c r="AA86" s="103" t="str">
        <f t="shared" si="15"/>
        <v>___</v>
      </c>
      <c r="AB86" s="104" t="str">
        <f t="shared" si="16"/>
        <v>____</v>
      </c>
      <c r="AC86" s="104" t="str">
        <f t="shared" si="16"/>
        <v>_____</v>
      </c>
      <c r="AD86" s="83"/>
      <c r="AE86" s="45"/>
      <c r="AF86" s="66"/>
      <c r="AG86" s="212"/>
      <c r="AH86" s="213"/>
      <c r="AI86" s="214"/>
      <c r="AJ86" s="219"/>
      <c r="AK86" s="213"/>
      <c r="AL86" s="213"/>
      <c r="AM86" s="213"/>
      <c r="AN86" s="213"/>
      <c r="AO86" s="219"/>
      <c r="AP86" s="95"/>
      <c r="AQ86" s="186" t="str">
        <f t="shared" si="17"/>
        <v/>
      </c>
      <c r="AR86" s="66"/>
      <c r="AS86" s="76"/>
      <c r="AT86" s="225"/>
      <c r="AU86" s="213"/>
      <c r="AV86" s="214"/>
      <c r="AW86" s="226"/>
      <c r="AX86" s="213"/>
      <c r="AY86" s="213"/>
      <c r="AZ86" s="227"/>
      <c r="BA86" s="65"/>
      <c r="BB86" s="52"/>
      <c r="BC86" s="27"/>
      <c r="BD86" s="27"/>
      <c r="BE86" s="27"/>
      <c r="BF86" s="79"/>
      <c r="BG86" s="52"/>
      <c r="BH86" s="69"/>
      <c r="BI86" s="188" t="str">
        <f>IF(Y86=BUSCADOR!$B$46,"HURTO_",IF(OR(Y86=BUSCADOR!$B$49,Y86=BUSCADOR!$B$50),"ROBO_",""))</f>
        <v/>
      </c>
      <c r="BJ86" s="50"/>
      <c r="BK86" s="45"/>
      <c r="BL86" s="66"/>
      <c r="BM86" s="1" t="b">
        <f t="shared" si="18"/>
        <v>0</v>
      </c>
    </row>
    <row r="87" spans="1:65" ht="117.6" customHeight="1" x14ac:dyDescent="0.25">
      <c r="A87" s="171">
        <v>85</v>
      </c>
      <c r="B87" s="41" t="str">
        <f>IF(AND(BM87,ISBLANK(C87)),"Completar FECHA DE DENUNCIA",IF(AND(BM87,OR(ISBLANK(D87),ISBLANK(E87),ISBLANK(H87))),"Completar las celdas FECHA, HORA Y PREVENTIVO. En caso de no conocer la fecha u horario colocar INDETERMINADO",IF(AND(BM87,ISBLANK(G87)),"Completar COMISARIA",IF(AND(BM87,OR(ISBLANK(I87),ISBLANK(L87),ISBLANK(M87),O87="")),"Completar las celdas LOCALIDAD, CALLE, ALTURA Y DIRECCION SEGUN  GOOGLE MAPS",IF(AND(ISBLANK(J87),OR(I87=AÑELO[[#Headers],[AÑELO]],CENTENARIO[[#Headers],[CENTENARIO]]='PLANILLA DJ'!I87,CUTRAL_CO[[#Headers],[CUTRAL_CO]],JUNIN_DE_LOS_ANDES[[#Headers],[JUNIN_DE_LOS_ANDES]]='PLANILLA DJ'!I87,'PLANILLA DJ'!I87=NEUQUEN[[#Headers],[NEUQUEN]],PLAZA_HUINCUL[[#Headers],[PLAZA_HUINCUL]]='PLANILLA DJ'!I87,'PLANILLA DJ'!I87=PLOTTIER[[#Headers],[PLOTTIER]])),"COMPLETAR BARRIO",IF(AND(BM87,ISBLANK(Q87)),"Completar Nombre de VICTIMA o DENUNCIANTE",IF(AND(BM87,ISBLANK(R87)),"Completar TIPO DE ACTUACION",IF(AND(R87=BUSCADOR!$B$140,OR(X87&lt;&gt;BUSCADOR!$A$110,ISBLANK(X87))),"Se indico A CONSIDERACION en ACTUACION, indicar en el buscador de delitos A CONSIDERACION tambien",IF(AND(ISBLANK(X87)&lt;&gt;TRUE,IFERROR(MATCH(X87,BUSCADOR!$A$2:$A$112,0),-1)&lt;0),"EN EL BUSCADOR DE DELITOS NO agregar comentarios como SU INVESTIGACION, REPORTE, etc. Limitarse SOLAMENTE a poner A CONSIDERACION u otro valor que coincida en el buscador",IF(AND(ISBLANK(AD87),OR(Y87=BUSCADOR!$B$49,BUSCADOR!$B$50=Y87,Y87=BUSCADOR!$B$46,Y87=BUSCADOR!$B$2,Y87=BUSCADOR!$B$7,BUSCADOR!$B$109=Y87,X87=BUSCADOR!$A$58,X87=BUSCADOR!$A$59)),"Completar la celda TIPO DE LUGAR",IF(AND(ISBLANK(AE87),OR(AD87=BUSCADOR!$E$149,BUSCADOR!$E$150=AD87,AD87=BUSCADOR!$F$148)),"Completar DETALLE ESTABLECIMIENTO",IF(AND(ISBLANK(AF87),BM87),"Completar la celda MOTIVO QUE ORIGINA EL REGISTRO DEL HECHO",IF(AND(SUM(AG87:AI87)=0,OR(Y87=BUSCADOR!$B$2,BUSCADOR!$B$6=Y87,Y87=BUSCADOR!$B$7,BUSCADOR!$B$8=Y87,Y87=BUSCADOR!$B$9,BUSCADOR!$B$12=Y87,Y87=BUSCADOR!$B$13,BUSCADOR!$B$14=Y87,Y87=BUSCADOR!$B$17,BUSCADOR!$B$18=Y87,Y87=BUSCADOR!$B$20,BUSCADOR!$B$29=Y87,BUSCADOR!$B$34=Y87,BUSCADOR!$B$35=Y87,Y87=BUSCADOR!$B$109,Y87=BUSCADOR!$B$51,BUSCADOR!$B$50=Y87,Y87=BUSCADOR!$B$47,Y87=BUSCADOR!$B$58,Y87=BUSCADOR!$B$21,Y87=BUSCADOR!$B$22,Y87=BUSCADOR!$B$23,Y87=BUSCADOR!$B$24)),"El delito indicado debe presentar un numero de victimas. Completar la celda CANTIDAD DE VICTIMAS",IF(AND(SUM(AJ87:AO87)&gt;0,ISBLANK(AP87)),"Completar celda VULNERABILIDAD DE LA VICTIMA",IF(SUM(AG87:AI87)&lt;&gt;SUM(AJ87:AO87),"Se indico una CANTIDAD DE VICTIMAS SEGUN SEXO diferente a SEGUN GENERO",IF(AND(ISBLANK(AR87),OR(Y87=BUSCADOR!$B$49,BUSCADOR!$B$50=Y87,Y87=BUSCADOR!$B$46,Y87=BUSCADOR!$B$109,BUSCADOR!$B$2=Y87,X87=BUSCADOR!$A$58,X87=BUSCADOR!$A$59)),"Completar la celda TIPO DE ARMA, MODALIDAD O MECANISMO",IF(AND(ISBLANK(AS87),OR(Y87=BUSCADOR!$B$51,BUSCADOR!$B$50=Y87,Y87=BUSCADOR!$B$47,BUSCADOR!$A$58=X87,X87=BUSCADOR!$A$59)),"Completar la celda CONOCIDO, en la seccion de los inculpados",IF(AND(AS87=BUSCADOR!$B$127,OR(Y87=BUSCADOR!$B$51,BUSCADOR!$B$50,Y87,BUSCADOR!$B$46),OR(SUM(AT87:AV87)&lt;&gt;SUM(AW87:AZ87),SUM(AT87:AZ87)=0)),"Revisar las celdas correspondientes a CANTIDAD DE INCULPADOS. Se indica una cantidad diferente segun SEXO y EDAD o no se indico cantidad alguna",IF(AND(ISBLANK(BA87),X87=BUSCADOR!$A$27),"Se indico una persona desaparecida. Completar la casilla APARECIO",IF(AND(ISBLANK(BB87),OR(Y87=BUSCADOR!$B$49,BUSCADOR!$B$50=Y87,Y87=BUSCADOR!$B$46)),"Completar la casilla ELEMENTO SUSTRAIDO",IF(OR(AND(BB87=OTROS[[#Headers],[OTROS]],ISBLANK(BC87)),AND(BB87=ABIGEATO[[#Headers],[ABIGEATO]],ISBLANK(BC87))),"Completar la celda SUBCATEGORIA",IF(AND(OR(BB87=MOTOCICLETA[[#Headers],[MOTOCICLETA]],BB87=AUTOMOTOR[[#Headers],[AUTOMOTOR]]),OR(ISBLANK(BC87),ISBLANK(BD87),ISBLANK(BE87),ISBLANK(BF87))),"Se indico un AUTOMOTOR o MOTOCICLETA en ELEMENTOS SUSTRAIDOS, completar las celdas SUBCATEGORIA, DENOMINACION, AÑO y MODELO", IF(AND(ISBLANK(BB87)&lt;&gt;TRUE,ISBLANK(BJ87)),"Completar MODUS OPERANDI",IF(AND(ISBLANK(BK87),OR(BJ87=BUSCADOR!$H$232,BJ87=BUSCADOR!$I$232)),"Completar ESPECIALIDAD",IF(OR(AND(H87='SAT-Homicidios Dolosos'!$B$5,'SAT-Homicidios Dolosos'!$A$5&lt;&gt;"OK"),AND(H87='SAT-Homicidios Dolosos'!$B$8,'SAT-Homicidios Dolosos'!$A$8&lt;&gt;"OK")),"Se indico un HOMICIDIO, existen CELDAS VACIAS en la hoja SAT-HOMICIDIOS DOLOSOS Completar los datos indicados",IF(OR(AND(H87='SAT-Muertes Viales'!$E$21,'SAT-Muertes Viales'!$A$21&lt;&gt;"OK"),AND(H87='SAT-Muertes Viales'!$E$25,'SAT-Muertes Viales'!$A$25&lt;&gt;"OK"),AND(H87='SAT-Muertes Viales'!$E$29,'SAT-Muertes Viales'!$A$29&lt;&gt;"OK")),"Se indico un HOMICIDIO POR SINIESTRO VIAL, existen CELDAS VACIAS en la hoja SAT-MUERTES VIALES Completar los datos indicados",IF(OR(AND(H87='SAT-Suicidios'!$B$19,'SAT-Suicidios'!$A$19&lt;&gt;"OK"),AND(H87='SAT-Suicidios'!$B$22,'SAT-Suicidios'!$A$22&lt;&gt;"OK"),AND(H87='SAT-Suicidios'!$B$25,'SAT-Suicidios'!$A$25&lt;&gt;"OK")),"Se indico un SUICIDIO, existen CELDAS VACIAS en la hoja SAT-SUICIDIOS Completar los datos indicados",IF(IFERROR(MATCH(X87,BUSCADOR!$A$2:$A$112,0),-1)&lt;0,"No se indico delito",IF(AND(ISBLANK(BL87),OR(X87=BUSCADOR!$A$111,X87=BUSCADOR!$A$110)),"Llenar la casilla DETALLES, COMENTARIOS con una descripcion de la causa",IF(AND(X87="MUERTE DUDOSA",ISBLANK(BL87)=FALSE),"SE INDICO MUERTE DUDOSA, NOS CONTACTAREMOS PARA MAS INFORMACION","FILA CORRECTA"))))))))))))))))))))))))))))))</f>
        <v>No se indico delito</v>
      </c>
      <c r="C87" s="42"/>
      <c r="D87" s="90"/>
      <c r="E87" s="47"/>
      <c r="F87" s="88"/>
      <c r="G87" s="221" t="str">
        <f t="shared" si="19"/>
        <v>Comisaría 15°</v>
      </c>
      <c r="H87" s="46"/>
      <c r="I87" s="52"/>
      <c r="J87" s="27"/>
      <c r="K87" s="27"/>
      <c r="L87" s="27"/>
      <c r="M87" s="27"/>
      <c r="N87" s="46"/>
      <c r="O87" s="55" t="str">
        <f t="shared" si="10"/>
        <v/>
      </c>
      <c r="P87" s="56" t="str">
        <f t="shared" si="11"/>
        <v/>
      </c>
      <c r="Q87" s="52"/>
      <c r="R87" s="46"/>
      <c r="S87" s="62"/>
      <c r="T87" s="57" t="str">
        <f>IFERROR(VLOOKUP(X87,BUSCADOR!$A$2:$E$112,5,FALSE),"")</f>
        <v/>
      </c>
      <c r="U87" s="107" t="str">
        <f t="shared" si="12"/>
        <v/>
      </c>
      <c r="V87" s="28" t="str">
        <f>IFERROR(VLOOKUP(X87,BUSCADOR!$A$2:$E$112,4,FALSE),"")</f>
        <v/>
      </c>
      <c r="W87" s="107" t="str">
        <f t="shared" si="13"/>
        <v/>
      </c>
      <c r="X87" s="27"/>
      <c r="Y87" s="58" t="str">
        <f>IFERROR(VLOOKUP(X87,BUSCADOR!$A$2:$B$112,2,FALSE),"")</f>
        <v/>
      </c>
      <c r="Z87" s="101" t="str">
        <f t="shared" si="14"/>
        <v>__</v>
      </c>
      <c r="AA87" s="103" t="str">
        <f t="shared" si="15"/>
        <v>___</v>
      </c>
      <c r="AB87" s="104" t="str">
        <f t="shared" si="16"/>
        <v>____</v>
      </c>
      <c r="AC87" s="104" t="str">
        <f t="shared" si="16"/>
        <v>_____</v>
      </c>
      <c r="AD87" s="83"/>
      <c r="AE87" s="45"/>
      <c r="AF87" s="66"/>
      <c r="AG87" s="212"/>
      <c r="AH87" s="213"/>
      <c r="AI87" s="214"/>
      <c r="AJ87" s="219"/>
      <c r="AK87" s="213"/>
      <c r="AL87" s="213"/>
      <c r="AM87" s="213"/>
      <c r="AN87" s="213"/>
      <c r="AO87" s="219"/>
      <c r="AP87" s="95"/>
      <c r="AQ87" s="186" t="str">
        <f t="shared" si="17"/>
        <v/>
      </c>
      <c r="AR87" s="66"/>
      <c r="AS87" s="76"/>
      <c r="AT87" s="225"/>
      <c r="AU87" s="213"/>
      <c r="AV87" s="214"/>
      <c r="AW87" s="226"/>
      <c r="AX87" s="213"/>
      <c r="AY87" s="213"/>
      <c r="AZ87" s="227"/>
      <c r="BA87" s="65"/>
      <c r="BB87" s="52"/>
      <c r="BC87" s="27"/>
      <c r="BD87" s="27"/>
      <c r="BE87" s="27"/>
      <c r="BF87" s="79"/>
      <c r="BG87" s="52"/>
      <c r="BH87" s="69"/>
      <c r="BI87" s="188" t="str">
        <f>IF(Y87=BUSCADOR!$B$46,"HURTO_",IF(OR(Y87=BUSCADOR!$B$49,Y87=BUSCADOR!$B$50),"ROBO_",""))</f>
        <v/>
      </c>
      <c r="BJ87" s="50"/>
      <c r="BK87" s="45"/>
      <c r="BL87" s="66"/>
      <c r="BM87" s="1" t="b">
        <f t="shared" si="18"/>
        <v>0</v>
      </c>
    </row>
    <row r="88" spans="1:65" ht="117.6" customHeight="1" x14ac:dyDescent="0.25">
      <c r="A88" s="171">
        <v>86</v>
      </c>
      <c r="B88" s="41" t="str">
        <f>IF(AND(BM88,ISBLANK(C88)),"Completar FECHA DE DENUNCIA",IF(AND(BM88,OR(ISBLANK(D88),ISBLANK(E88),ISBLANK(H88))),"Completar las celdas FECHA, HORA Y PREVENTIVO. En caso de no conocer la fecha u horario colocar INDETERMINADO",IF(AND(BM88,ISBLANK(G88)),"Completar COMISARIA",IF(AND(BM88,OR(ISBLANK(I88),ISBLANK(L88),ISBLANK(M88),O88="")),"Completar las celdas LOCALIDAD, CALLE, ALTURA Y DIRECCION SEGUN  GOOGLE MAPS",IF(AND(ISBLANK(J88),OR(I88=AÑELO[[#Headers],[AÑELO]],CENTENARIO[[#Headers],[CENTENARIO]]='PLANILLA DJ'!I88,CUTRAL_CO[[#Headers],[CUTRAL_CO]],JUNIN_DE_LOS_ANDES[[#Headers],[JUNIN_DE_LOS_ANDES]]='PLANILLA DJ'!I88,'PLANILLA DJ'!I88=NEUQUEN[[#Headers],[NEUQUEN]],PLAZA_HUINCUL[[#Headers],[PLAZA_HUINCUL]]='PLANILLA DJ'!I88,'PLANILLA DJ'!I88=PLOTTIER[[#Headers],[PLOTTIER]])),"COMPLETAR BARRIO",IF(AND(BM88,ISBLANK(Q88)),"Completar Nombre de VICTIMA o DENUNCIANTE",IF(AND(BM88,ISBLANK(R88)),"Completar TIPO DE ACTUACION",IF(AND(R88=BUSCADOR!$B$140,OR(X88&lt;&gt;BUSCADOR!$A$110,ISBLANK(X88))),"Se indico A CONSIDERACION en ACTUACION, indicar en el buscador de delitos A CONSIDERACION tambien",IF(AND(ISBLANK(X88)&lt;&gt;TRUE,IFERROR(MATCH(X88,BUSCADOR!$A$2:$A$112,0),-1)&lt;0),"EN EL BUSCADOR DE DELITOS NO agregar comentarios como SU INVESTIGACION, REPORTE, etc. Limitarse SOLAMENTE a poner A CONSIDERACION u otro valor que coincida en el buscador",IF(AND(ISBLANK(AD88),OR(Y88=BUSCADOR!$B$49,BUSCADOR!$B$50=Y88,Y88=BUSCADOR!$B$46,Y88=BUSCADOR!$B$2,Y88=BUSCADOR!$B$7,BUSCADOR!$B$109=Y88,X88=BUSCADOR!$A$58,X88=BUSCADOR!$A$59)),"Completar la celda TIPO DE LUGAR",IF(AND(ISBLANK(AE88),OR(AD88=BUSCADOR!$E$149,BUSCADOR!$E$150=AD88,AD88=BUSCADOR!$F$148)),"Completar DETALLE ESTABLECIMIENTO",IF(AND(ISBLANK(AF88),BM88),"Completar la celda MOTIVO QUE ORIGINA EL REGISTRO DEL HECHO",IF(AND(SUM(AG88:AI88)=0,OR(Y88=BUSCADOR!$B$2,BUSCADOR!$B$6=Y88,Y88=BUSCADOR!$B$7,BUSCADOR!$B$8=Y88,Y88=BUSCADOR!$B$9,BUSCADOR!$B$12=Y88,Y88=BUSCADOR!$B$13,BUSCADOR!$B$14=Y88,Y88=BUSCADOR!$B$17,BUSCADOR!$B$18=Y88,Y88=BUSCADOR!$B$20,BUSCADOR!$B$29=Y88,BUSCADOR!$B$34=Y88,BUSCADOR!$B$35=Y88,Y88=BUSCADOR!$B$109,Y88=BUSCADOR!$B$51,BUSCADOR!$B$50=Y88,Y88=BUSCADOR!$B$47,Y88=BUSCADOR!$B$58,Y88=BUSCADOR!$B$21,Y88=BUSCADOR!$B$22,Y88=BUSCADOR!$B$23,Y88=BUSCADOR!$B$24)),"El delito indicado debe presentar un numero de victimas. Completar la celda CANTIDAD DE VICTIMAS",IF(AND(SUM(AJ88:AO88)&gt;0,ISBLANK(AP88)),"Completar celda VULNERABILIDAD DE LA VICTIMA",IF(SUM(AG88:AI88)&lt;&gt;SUM(AJ88:AO88),"Se indico una CANTIDAD DE VICTIMAS SEGUN SEXO diferente a SEGUN GENERO",IF(AND(ISBLANK(AR88),OR(Y88=BUSCADOR!$B$49,BUSCADOR!$B$50=Y88,Y88=BUSCADOR!$B$46,Y88=BUSCADOR!$B$109,BUSCADOR!$B$2=Y88,X88=BUSCADOR!$A$58,X88=BUSCADOR!$A$59)),"Completar la celda TIPO DE ARMA, MODALIDAD O MECANISMO",IF(AND(ISBLANK(AS88),OR(Y88=BUSCADOR!$B$51,BUSCADOR!$B$50=Y88,Y88=BUSCADOR!$B$47,BUSCADOR!$A$58=X88,X88=BUSCADOR!$A$59)),"Completar la celda CONOCIDO, en la seccion de los inculpados",IF(AND(AS88=BUSCADOR!$B$127,OR(Y88=BUSCADOR!$B$51,BUSCADOR!$B$50,Y88,BUSCADOR!$B$46),OR(SUM(AT88:AV88)&lt;&gt;SUM(AW88:AZ88),SUM(AT88:AZ88)=0)),"Revisar las celdas correspondientes a CANTIDAD DE INCULPADOS. Se indica una cantidad diferente segun SEXO y EDAD o no se indico cantidad alguna",IF(AND(ISBLANK(BA88),X88=BUSCADOR!$A$27),"Se indico una persona desaparecida. Completar la casilla APARECIO",IF(AND(ISBLANK(BB88),OR(Y88=BUSCADOR!$B$49,BUSCADOR!$B$50=Y88,Y88=BUSCADOR!$B$46)),"Completar la casilla ELEMENTO SUSTRAIDO",IF(OR(AND(BB88=OTROS[[#Headers],[OTROS]],ISBLANK(BC88)),AND(BB88=ABIGEATO[[#Headers],[ABIGEATO]],ISBLANK(BC88))),"Completar la celda SUBCATEGORIA",IF(AND(OR(BB88=MOTOCICLETA[[#Headers],[MOTOCICLETA]],BB88=AUTOMOTOR[[#Headers],[AUTOMOTOR]]),OR(ISBLANK(BC88),ISBLANK(BD88),ISBLANK(BE88),ISBLANK(BF88))),"Se indico un AUTOMOTOR o MOTOCICLETA en ELEMENTOS SUSTRAIDOS, completar las celdas SUBCATEGORIA, DENOMINACION, AÑO y MODELO", IF(AND(ISBLANK(BB88)&lt;&gt;TRUE,ISBLANK(BJ88)),"Completar MODUS OPERANDI",IF(AND(ISBLANK(BK88),OR(BJ88=BUSCADOR!$H$232,BJ88=BUSCADOR!$I$232)),"Completar ESPECIALIDAD",IF(OR(AND(H88='SAT-Homicidios Dolosos'!$B$5,'SAT-Homicidios Dolosos'!$A$5&lt;&gt;"OK"),AND(H88='SAT-Homicidios Dolosos'!$B$8,'SAT-Homicidios Dolosos'!$A$8&lt;&gt;"OK")),"Se indico un HOMICIDIO, existen CELDAS VACIAS en la hoja SAT-HOMICIDIOS DOLOSOS Completar los datos indicados",IF(OR(AND(H88='SAT-Muertes Viales'!$E$21,'SAT-Muertes Viales'!$A$21&lt;&gt;"OK"),AND(H88='SAT-Muertes Viales'!$E$25,'SAT-Muertes Viales'!$A$25&lt;&gt;"OK"),AND(H88='SAT-Muertes Viales'!$E$29,'SAT-Muertes Viales'!$A$29&lt;&gt;"OK")),"Se indico un HOMICIDIO POR SINIESTRO VIAL, existen CELDAS VACIAS en la hoja SAT-MUERTES VIALES Completar los datos indicados",IF(OR(AND(H88='SAT-Suicidios'!$B$19,'SAT-Suicidios'!$A$19&lt;&gt;"OK"),AND(H88='SAT-Suicidios'!$B$22,'SAT-Suicidios'!$A$22&lt;&gt;"OK"),AND(H88='SAT-Suicidios'!$B$25,'SAT-Suicidios'!$A$25&lt;&gt;"OK")),"Se indico un SUICIDIO, existen CELDAS VACIAS en la hoja SAT-SUICIDIOS Completar los datos indicados",IF(IFERROR(MATCH(X88,BUSCADOR!$A$2:$A$112,0),-1)&lt;0,"No se indico delito",IF(AND(ISBLANK(BL88),OR(X88=BUSCADOR!$A$111,X88=BUSCADOR!$A$110)),"Llenar la casilla DETALLES, COMENTARIOS con una descripcion de la causa",IF(AND(X88="MUERTE DUDOSA",ISBLANK(BL88)=FALSE),"SE INDICO MUERTE DUDOSA, NOS CONTACTAREMOS PARA MAS INFORMACION","FILA CORRECTA"))))))))))))))))))))))))))))))</f>
        <v>No se indico delito</v>
      </c>
      <c r="C88" s="42"/>
      <c r="D88" s="90"/>
      <c r="E88" s="47"/>
      <c r="F88" s="88"/>
      <c r="G88" s="221" t="str">
        <f t="shared" si="19"/>
        <v>Comisaría 15°</v>
      </c>
      <c r="H88" s="46"/>
      <c r="I88" s="52"/>
      <c r="J88" s="27"/>
      <c r="K88" s="27"/>
      <c r="L88" s="27"/>
      <c r="M88" s="27"/>
      <c r="N88" s="46"/>
      <c r="O88" s="55" t="str">
        <f t="shared" si="10"/>
        <v/>
      </c>
      <c r="P88" s="56" t="str">
        <f t="shared" si="11"/>
        <v/>
      </c>
      <c r="Q88" s="52"/>
      <c r="R88" s="46"/>
      <c r="S88" s="62"/>
      <c r="T88" s="57" t="str">
        <f>IFERROR(VLOOKUP(X88,BUSCADOR!$A$2:$E$112,5,FALSE),"")</f>
        <v/>
      </c>
      <c r="U88" s="107" t="str">
        <f t="shared" si="12"/>
        <v/>
      </c>
      <c r="V88" s="28" t="str">
        <f>IFERROR(VLOOKUP(X88,BUSCADOR!$A$2:$E$112,4,FALSE),"")</f>
        <v/>
      </c>
      <c r="W88" s="107" t="str">
        <f t="shared" si="13"/>
        <v/>
      </c>
      <c r="X88" s="27"/>
      <c r="Y88" s="58" t="str">
        <f>IFERROR(VLOOKUP(X88,BUSCADOR!$A$2:$B$112,2,FALSE),"")</f>
        <v/>
      </c>
      <c r="Z88" s="101" t="str">
        <f t="shared" si="14"/>
        <v>__</v>
      </c>
      <c r="AA88" s="103" t="str">
        <f t="shared" si="15"/>
        <v>___</v>
      </c>
      <c r="AB88" s="104" t="str">
        <f t="shared" si="16"/>
        <v>____</v>
      </c>
      <c r="AC88" s="104" t="str">
        <f t="shared" si="16"/>
        <v>_____</v>
      </c>
      <c r="AD88" s="83"/>
      <c r="AE88" s="45"/>
      <c r="AF88" s="66"/>
      <c r="AG88" s="212"/>
      <c r="AH88" s="213"/>
      <c r="AI88" s="214"/>
      <c r="AJ88" s="219"/>
      <c r="AK88" s="213"/>
      <c r="AL88" s="213"/>
      <c r="AM88" s="213"/>
      <c r="AN88" s="213"/>
      <c r="AO88" s="219"/>
      <c r="AP88" s="95"/>
      <c r="AQ88" s="186" t="str">
        <f t="shared" si="17"/>
        <v/>
      </c>
      <c r="AR88" s="66"/>
      <c r="AS88" s="76"/>
      <c r="AT88" s="225"/>
      <c r="AU88" s="213"/>
      <c r="AV88" s="214"/>
      <c r="AW88" s="226"/>
      <c r="AX88" s="213"/>
      <c r="AY88" s="213"/>
      <c r="AZ88" s="227"/>
      <c r="BA88" s="65"/>
      <c r="BB88" s="52"/>
      <c r="BC88" s="27"/>
      <c r="BD88" s="27"/>
      <c r="BE88" s="27"/>
      <c r="BF88" s="79"/>
      <c r="BG88" s="52"/>
      <c r="BH88" s="69"/>
      <c r="BI88" s="188" t="str">
        <f>IF(Y88=BUSCADOR!$B$46,"HURTO_",IF(OR(Y88=BUSCADOR!$B$49,Y88=BUSCADOR!$B$50),"ROBO_",""))</f>
        <v/>
      </c>
      <c r="BJ88" s="50"/>
      <c r="BK88" s="45"/>
      <c r="BL88" s="66"/>
      <c r="BM88" s="1" t="b">
        <f t="shared" si="18"/>
        <v>0</v>
      </c>
    </row>
    <row r="89" spans="1:65" ht="117.6" customHeight="1" x14ac:dyDescent="0.25">
      <c r="A89" s="171">
        <v>87</v>
      </c>
      <c r="B89" s="41" t="str">
        <f>IF(AND(BM89,ISBLANK(C89)),"Completar FECHA DE DENUNCIA",IF(AND(BM89,OR(ISBLANK(D89),ISBLANK(E89),ISBLANK(H89))),"Completar las celdas FECHA, HORA Y PREVENTIVO. En caso de no conocer la fecha u horario colocar INDETERMINADO",IF(AND(BM89,ISBLANK(G89)),"Completar COMISARIA",IF(AND(BM89,OR(ISBLANK(I89),ISBLANK(L89),ISBLANK(M89),O89="")),"Completar las celdas LOCALIDAD, CALLE, ALTURA Y DIRECCION SEGUN  GOOGLE MAPS",IF(AND(ISBLANK(J89),OR(I89=AÑELO[[#Headers],[AÑELO]],CENTENARIO[[#Headers],[CENTENARIO]]='PLANILLA DJ'!I89,CUTRAL_CO[[#Headers],[CUTRAL_CO]],JUNIN_DE_LOS_ANDES[[#Headers],[JUNIN_DE_LOS_ANDES]]='PLANILLA DJ'!I89,'PLANILLA DJ'!I89=NEUQUEN[[#Headers],[NEUQUEN]],PLAZA_HUINCUL[[#Headers],[PLAZA_HUINCUL]]='PLANILLA DJ'!I89,'PLANILLA DJ'!I89=PLOTTIER[[#Headers],[PLOTTIER]])),"COMPLETAR BARRIO",IF(AND(BM89,ISBLANK(Q89)),"Completar Nombre de VICTIMA o DENUNCIANTE",IF(AND(BM89,ISBLANK(R89)),"Completar TIPO DE ACTUACION",IF(AND(R89=BUSCADOR!$B$140,OR(X89&lt;&gt;BUSCADOR!$A$110,ISBLANK(X89))),"Se indico A CONSIDERACION en ACTUACION, indicar en el buscador de delitos A CONSIDERACION tambien",IF(AND(ISBLANK(X89)&lt;&gt;TRUE,IFERROR(MATCH(X89,BUSCADOR!$A$2:$A$112,0),-1)&lt;0),"EN EL BUSCADOR DE DELITOS NO agregar comentarios como SU INVESTIGACION, REPORTE, etc. Limitarse SOLAMENTE a poner A CONSIDERACION u otro valor que coincida en el buscador",IF(AND(ISBLANK(AD89),OR(Y89=BUSCADOR!$B$49,BUSCADOR!$B$50=Y89,Y89=BUSCADOR!$B$46,Y89=BUSCADOR!$B$2,Y89=BUSCADOR!$B$7,BUSCADOR!$B$109=Y89,X89=BUSCADOR!$A$58,X89=BUSCADOR!$A$59)),"Completar la celda TIPO DE LUGAR",IF(AND(ISBLANK(AE89),OR(AD89=BUSCADOR!$E$149,BUSCADOR!$E$150=AD89,AD89=BUSCADOR!$F$148)),"Completar DETALLE ESTABLECIMIENTO",IF(AND(ISBLANK(AF89),BM89),"Completar la celda MOTIVO QUE ORIGINA EL REGISTRO DEL HECHO",IF(AND(SUM(AG89:AI89)=0,OR(Y89=BUSCADOR!$B$2,BUSCADOR!$B$6=Y89,Y89=BUSCADOR!$B$7,BUSCADOR!$B$8=Y89,Y89=BUSCADOR!$B$9,BUSCADOR!$B$12=Y89,Y89=BUSCADOR!$B$13,BUSCADOR!$B$14=Y89,Y89=BUSCADOR!$B$17,BUSCADOR!$B$18=Y89,Y89=BUSCADOR!$B$20,BUSCADOR!$B$29=Y89,BUSCADOR!$B$34=Y89,BUSCADOR!$B$35=Y89,Y89=BUSCADOR!$B$109,Y89=BUSCADOR!$B$51,BUSCADOR!$B$50=Y89,Y89=BUSCADOR!$B$47,Y89=BUSCADOR!$B$58,Y89=BUSCADOR!$B$21,Y89=BUSCADOR!$B$22,Y89=BUSCADOR!$B$23,Y89=BUSCADOR!$B$24)),"El delito indicado debe presentar un numero de victimas. Completar la celda CANTIDAD DE VICTIMAS",IF(AND(SUM(AJ89:AO89)&gt;0,ISBLANK(AP89)),"Completar celda VULNERABILIDAD DE LA VICTIMA",IF(SUM(AG89:AI89)&lt;&gt;SUM(AJ89:AO89),"Se indico una CANTIDAD DE VICTIMAS SEGUN SEXO diferente a SEGUN GENERO",IF(AND(ISBLANK(AR89),OR(Y89=BUSCADOR!$B$49,BUSCADOR!$B$50=Y89,Y89=BUSCADOR!$B$46,Y89=BUSCADOR!$B$109,BUSCADOR!$B$2=Y89,X89=BUSCADOR!$A$58,X89=BUSCADOR!$A$59)),"Completar la celda TIPO DE ARMA, MODALIDAD O MECANISMO",IF(AND(ISBLANK(AS89),OR(Y89=BUSCADOR!$B$51,BUSCADOR!$B$50=Y89,Y89=BUSCADOR!$B$47,BUSCADOR!$A$58=X89,X89=BUSCADOR!$A$59)),"Completar la celda CONOCIDO, en la seccion de los inculpados",IF(AND(AS89=BUSCADOR!$B$127,OR(Y89=BUSCADOR!$B$51,BUSCADOR!$B$50,Y89,BUSCADOR!$B$46),OR(SUM(AT89:AV89)&lt;&gt;SUM(AW89:AZ89),SUM(AT89:AZ89)=0)),"Revisar las celdas correspondientes a CANTIDAD DE INCULPADOS. Se indica una cantidad diferente segun SEXO y EDAD o no se indico cantidad alguna",IF(AND(ISBLANK(BA89),X89=BUSCADOR!$A$27),"Se indico una persona desaparecida. Completar la casilla APARECIO",IF(AND(ISBLANK(BB89),OR(Y89=BUSCADOR!$B$49,BUSCADOR!$B$50=Y89,Y89=BUSCADOR!$B$46)),"Completar la casilla ELEMENTO SUSTRAIDO",IF(OR(AND(BB89=OTROS[[#Headers],[OTROS]],ISBLANK(BC89)),AND(BB89=ABIGEATO[[#Headers],[ABIGEATO]],ISBLANK(BC89))),"Completar la celda SUBCATEGORIA",IF(AND(OR(BB89=MOTOCICLETA[[#Headers],[MOTOCICLETA]],BB89=AUTOMOTOR[[#Headers],[AUTOMOTOR]]),OR(ISBLANK(BC89),ISBLANK(BD89),ISBLANK(BE89),ISBLANK(BF89))),"Se indico un AUTOMOTOR o MOTOCICLETA en ELEMENTOS SUSTRAIDOS, completar las celdas SUBCATEGORIA, DENOMINACION, AÑO y MODELO", IF(AND(ISBLANK(BB89)&lt;&gt;TRUE,ISBLANK(BJ89)),"Completar MODUS OPERANDI",IF(AND(ISBLANK(BK89),OR(BJ89=BUSCADOR!$H$232,BJ89=BUSCADOR!$I$232)),"Completar ESPECIALIDAD",IF(OR(AND(H89='SAT-Homicidios Dolosos'!$B$5,'SAT-Homicidios Dolosos'!$A$5&lt;&gt;"OK"),AND(H89='SAT-Homicidios Dolosos'!$B$8,'SAT-Homicidios Dolosos'!$A$8&lt;&gt;"OK")),"Se indico un HOMICIDIO, existen CELDAS VACIAS en la hoja SAT-HOMICIDIOS DOLOSOS Completar los datos indicados",IF(OR(AND(H89='SAT-Muertes Viales'!$E$21,'SAT-Muertes Viales'!$A$21&lt;&gt;"OK"),AND(H89='SAT-Muertes Viales'!$E$25,'SAT-Muertes Viales'!$A$25&lt;&gt;"OK"),AND(H89='SAT-Muertes Viales'!$E$29,'SAT-Muertes Viales'!$A$29&lt;&gt;"OK")),"Se indico un HOMICIDIO POR SINIESTRO VIAL, existen CELDAS VACIAS en la hoja SAT-MUERTES VIALES Completar los datos indicados",IF(OR(AND(H89='SAT-Suicidios'!$B$19,'SAT-Suicidios'!$A$19&lt;&gt;"OK"),AND(H89='SAT-Suicidios'!$B$22,'SAT-Suicidios'!$A$22&lt;&gt;"OK"),AND(H89='SAT-Suicidios'!$B$25,'SAT-Suicidios'!$A$25&lt;&gt;"OK")),"Se indico un SUICIDIO, existen CELDAS VACIAS en la hoja SAT-SUICIDIOS Completar los datos indicados",IF(IFERROR(MATCH(X89,BUSCADOR!$A$2:$A$112,0),-1)&lt;0,"No se indico delito",IF(AND(ISBLANK(BL89),OR(X89=BUSCADOR!$A$111,X89=BUSCADOR!$A$110)),"Llenar la casilla DETALLES, COMENTARIOS con una descripcion de la causa",IF(AND(X89="MUERTE DUDOSA",ISBLANK(BL89)=FALSE),"SE INDICO MUERTE DUDOSA, NOS CONTACTAREMOS PARA MAS INFORMACION","FILA CORRECTA"))))))))))))))))))))))))))))))</f>
        <v>No se indico delito</v>
      </c>
      <c r="C89" s="42"/>
      <c r="D89" s="90"/>
      <c r="E89" s="47"/>
      <c r="F89" s="88"/>
      <c r="G89" s="221" t="str">
        <f t="shared" si="19"/>
        <v>Comisaría 15°</v>
      </c>
      <c r="H89" s="46"/>
      <c r="I89" s="52"/>
      <c r="J89" s="27"/>
      <c r="K89" s="27"/>
      <c r="L89" s="27"/>
      <c r="M89" s="27"/>
      <c r="N89" s="46"/>
      <c r="O89" s="55" t="str">
        <f t="shared" si="10"/>
        <v/>
      </c>
      <c r="P89" s="56" t="str">
        <f t="shared" si="11"/>
        <v/>
      </c>
      <c r="Q89" s="52"/>
      <c r="R89" s="46"/>
      <c r="S89" s="62"/>
      <c r="T89" s="57" t="str">
        <f>IFERROR(VLOOKUP(X89,BUSCADOR!$A$2:$E$112,5,FALSE),"")</f>
        <v/>
      </c>
      <c r="U89" s="107" t="str">
        <f t="shared" si="12"/>
        <v/>
      </c>
      <c r="V89" s="28" t="str">
        <f>IFERROR(VLOOKUP(X89,BUSCADOR!$A$2:$E$112,4,FALSE),"")</f>
        <v/>
      </c>
      <c r="W89" s="107" t="str">
        <f t="shared" si="13"/>
        <v/>
      </c>
      <c r="X89" s="27"/>
      <c r="Y89" s="58" t="str">
        <f>IFERROR(VLOOKUP(X89,BUSCADOR!$A$2:$B$112,2,FALSE),"")</f>
        <v/>
      </c>
      <c r="Z89" s="101" t="str">
        <f t="shared" si="14"/>
        <v>__</v>
      </c>
      <c r="AA89" s="103" t="str">
        <f t="shared" si="15"/>
        <v>___</v>
      </c>
      <c r="AB89" s="104" t="str">
        <f t="shared" si="16"/>
        <v>____</v>
      </c>
      <c r="AC89" s="104" t="str">
        <f t="shared" si="16"/>
        <v>_____</v>
      </c>
      <c r="AD89" s="83"/>
      <c r="AE89" s="45"/>
      <c r="AF89" s="66"/>
      <c r="AG89" s="212"/>
      <c r="AH89" s="213"/>
      <c r="AI89" s="214"/>
      <c r="AJ89" s="219"/>
      <c r="AK89" s="213"/>
      <c r="AL89" s="213"/>
      <c r="AM89" s="213"/>
      <c r="AN89" s="213"/>
      <c r="AO89" s="219"/>
      <c r="AP89" s="95"/>
      <c r="AQ89" s="186" t="str">
        <f t="shared" si="17"/>
        <v/>
      </c>
      <c r="AR89" s="66"/>
      <c r="AS89" s="76"/>
      <c r="AT89" s="225"/>
      <c r="AU89" s="213"/>
      <c r="AV89" s="214"/>
      <c r="AW89" s="226"/>
      <c r="AX89" s="213"/>
      <c r="AY89" s="213"/>
      <c r="AZ89" s="227"/>
      <c r="BA89" s="65"/>
      <c r="BB89" s="52"/>
      <c r="BC89" s="27"/>
      <c r="BD89" s="27"/>
      <c r="BE89" s="27"/>
      <c r="BF89" s="79"/>
      <c r="BG89" s="52"/>
      <c r="BH89" s="69"/>
      <c r="BI89" s="188" t="str">
        <f>IF(Y89=BUSCADOR!$B$46,"HURTO_",IF(OR(Y89=BUSCADOR!$B$49,Y89=BUSCADOR!$B$50),"ROBO_",""))</f>
        <v/>
      </c>
      <c r="BJ89" s="50"/>
      <c r="BK89" s="45"/>
      <c r="BL89" s="66"/>
      <c r="BM89" s="1" t="b">
        <f t="shared" si="18"/>
        <v>0</v>
      </c>
    </row>
    <row r="90" spans="1:65" ht="117.6" customHeight="1" x14ac:dyDescent="0.25">
      <c r="A90" s="171">
        <v>88</v>
      </c>
      <c r="B90" s="41" t="str">
        <f>IF(AND(BM90,ISBLANK(C90)),"Completar FECHA DE DENUNCIA",IF(AND(BM90,OR(ISBLANK(D90),ISBLANK(E90),ISBLANK(H90))),"Completar las celdas FECHA, HORA Y PREVENTIVO. En caso de no conocer la fecha u horario colocar INDETERMINADO",IF(AND(BM90,ISBLANK(G90)),"Completar COMISARIA",IF(AND(BM90,OR(ISBLANK(I90),ISBLANK(L90),ISBLANK(M90),O90="")),"Completar las celdas LOCALIDAD, CALLE, ALTURA Y DIRECCION SEGUN  GOOGLE MAPS",IF(AND(ISBLANK(J90),OR(I90=AÑELO[[#Headers],[AÑELO]],CENTENARIO[[#Headers],[CENTENARIO]]='PLANILLA DJ'!I90,CUTRAL_CO[[#Headers],[CUTRAL_CO]],JUNIN_DE_LOS_ANDES[[#Headers],[JUNIN_DE_LOS_ANDES]]='PLANILLA DJ'!I90,'PLANILLA DJ'!I90=NEUQUEN[[#Headers],[NEUQUEN]],PLAZA_HUINCUL[[#Headers],[PLAZA_HUINCUL]]='PLANILLA DJ'!I90,'PLANILLA DJ'!I90=PLOTTIER[[#Headers],[PLOTTIER]])),"COMPLETAR BARRIO",IF(AND(BM90,ISBLANK(Q90)),"Completar Nombre de VICTIMA o DENUNCIANTE",IF(AND(BM90,ISBLANK(R90)),"Completar TIPO DE ACTUACION",IF(AND(R90=BUSCADOR!$B$140,OR(X90&lt;&gt;BUSCADOR!$A$110,ISBLANK(X90))),"Se indico A CONSIDERACION en ACTUACION, indicar en el buscador de delitos A CONSIDERACION tambien",IF(AND(ISBLANK(X90)&lt;&gt;TRUE,IFERROR(MATCH(X90,BUSCADOR!$A$2:$A$112,0),-1)&lt;0),"EN EL BUSCADOR DE DELITOS NO agregar comentarios como SU INVESTIGACION, REPORTE, etc. Limitarse SOLAMENTE a poner A CONSIDERACION u otro valor que coincida en el buscador",IF(AND(ISBLANK(AD90),OR(Y90=BUSCADOR!$B$49,BUSCADOR!$B$50=Y90,Y90=BUSCADOR!$B$46,Y90=BUSCADOR!$B$2,Y90=BUSCADOR!$B$7,BUSCADOR!$B$109=Y90,X90=BUSCADOR!$A$58,X90=BUSCADOR!$A$59)),"Completar la celda TIPO DE LUGAR",IF(AND(ISBLANK(AE90),OR(AD90=BUSCADOR!$E$149,BUSCADOR!$E$150=AD90,AD90=BUSCADOR!$F$148)),"Completar DETALLE ESTABLECIMIENTO",IF(AND(ISBLANK(AF90),BM90),"Completar la celda MOTIVO QUE ORIGINA EL REGISTRO DEL HECHO",IF(AND(SUM(AG90:AI90)=0,OR(Y90=BUSCADOR!$B$2,BUSCADOR!$B$6=Y90,Y90=BUSCADOR!$B$7,BUSCADOR!$B$8=Y90,Y90=BUSCADOR!$B$9,BUSCADOR!$B$12=Y90,Y90=BUSCADOR!$B$13,BUSCADOR!$B$14=Y90,Y90=BUSCADOR!$B$17,BUSCADOR!$B$18=Y90,Y90=BUSCADOR!$B$20,BUSCADOR!$B$29=Y90,BUSCADOR!$B$34=Y90,BUSCADOR!$B$35=Y90,Y90=BUSCADOR!$B$109,Y90=BUSCADOR!$B$51,BUSCADOR!$B$50=Y90,Y90=BUSCADOR!$B$47,Y90=BUSCADOR!$B$58,Y90=BUSCADOR!$B$21,Y90=BUSCADOR!$B$22,Y90=BUSCADOR!$B$23,Y90=BUSCADOR!$B$24)),"El delito indicado debe presentar un numero de victimas. Completar la celda CANTIDAD DE VICTIMAS",IF(AND(SUM(AJ90:AO90)&gt;0,ISBLANK(AP90)),"Completar celda VULNERABILIDAD DE LA VICTIMA",IF(SUM(AG90:AI90)&lt;&gt;SUM(AJ90:AO90),"Se indico una CANTIDAD DE VICTIMAS SEGUN SEXO diferente a SEGUN GENERO",IF(AND(ISBLANK(AR90),OR(Y90=BUSCADOR!$B$49,BUSCADOR!$B$50=Y90,Y90=BUSCADOR!$B$46,Y90=BUSCADOR!$B$109,BUSCADOR!$B$2=Y90,X90=BUSCADOR!$A$58,X90=BUSCADOR!$A$59)),"Completar la celda TIPO DE ARMA, MODALIDAD O MECANISMO",IF(AND(ISBLANK(AS90),OR(Y90=BUSCADOR!$B$51,BUSCADOR!$B$50=Y90,Y90=BUSCADOR!$B$47,BUSCADOR!$A$58=X90,X90=BUSCADOR!$A$59)),"Completar la celda CONOCIDO, en la seccion de los inculpados",IF(AND(AS90=BUSCADOR!$B$127,OR(Y90=BUSCADOR!$B$51,BUSCADOR!$B$50,Y90,BUSCADOR!$B$46),OR(SUM(AT90:AV90)&lt;&gt;SUM(AW90:AZ90),SUM(AT90:AZ90)=0)),"Revisar las celdas correspondientes a CANTIDAD DE INCULPADOS. Se indica una cantidad diferente segun SEXO y EDAD o no se indico cantidad alguna",IF(AND(ISBLANK(BA90),X90=BUSCADOR!$A$27),"Se indico una persona desaparecida. Completar la casilla APARECIO",IF(AND(ISBLANK(BB90),OR(Y90=BUSCADOR!$B$49,BUSCADOR!$B$50=Y90,Y90=BUSCADOR!$B$46)),"Completar la casilla ELEMENTO SUSTRAIDO",IF(OR(AND(BB90=OTROS[[#Headers],[OTROS]],ISBLANK(BC90)),AND(BB90=ABIGEATO[[#Headers],[ABIGEATO]],ISBLANK(BC90))),"Completar la celda SUBCATEGORIA",IF(AND(OR(BB90=MOTOCICLETA[[#Headers],[MOTOCICLETA]],BB90=AUTOMOTOR[[#Headers],[AUTOMOTOR]]),OR(ISBLANK(BC90),ISBLANK(BD90),ISBLANK(BE90),ISBLANK(BF90))),"Se indico un AUTOMOTOR o MOTOCICLETA en ELEMENTOS SUSTRAIDOS, completar las celdas SUBCATEGORIA, DENOMINACION, AÑO y MODELO", IF(AND(ISBLANK(BB90)&lt;&gt;TRUE,ISBLANK(BJ90)),"Completar MODUS OPERANDI",IF(AND(ISBLANK(BK90),OR(BJ90=BUSCADOR!$H$232,BJ90=BUSCADOR!$I$232)),"Completar ESPECIALIDAD",IF(OR(AND(H90='SAT-Homicidios Dolosos'!$B$5,'SAT-Homicidios Dolosos'!$A$5&lt;&gt;"OK"),AND(H90='SAT-Homicidios Dolosos'!$B$8,'SAT-Homicidios Dolosos'!$A$8&lt;&gt;"OK")),"Se indico un HOMICIDIO, existen CELDAS VACIAS en la hoja SAT-HOMICIDIOS DOLOSOS Completar los datos indicados",IF(OR(AND(H90='SAT-Muertes Viales'!$E$21,'SAT-Muertes Viales'!$A$21&lt;&gt;"OK"),AND(H90='SAT-Muertes Viales'!$E$25,'SAT-Muertes Viales'!$A$25&lt;&gt;"OK"),AND(H90='SAT-Muertes Viales'!$E$29,'SAT-Muertes Viales'!$A$29&lt;&gt;"OK")),"Se indico un HOMICIDIO POR SINIESTRO VIAL, existen CELDAS VACIAS en la hoja SAT-MUERTES VIALES Completar los datos indicados",IF(OR(AND(H90='SAT-Suicidios'!$B$19,'SAT-Suicidios'!$A$19&lt;&gt;"OK"),AND(H90='SAT-Suicidios'!$B$22,'SAT-Suicidios'!$A$22&lt;&gt;"OK"),AND(H90='SAT-Suicidios'!$B$25,'SAT-Suicidios'!$A$25&lt;&gt;"OK")),"Se indico un SUICIDIO, existen CELDAS VACIAS en la hoja SAT-SUICIDIOS Completar los datos indicados",IF(IFERROR(MATCH(X90,BUSCADOR!$A$2:$A$112,0),-1)&lt;0,"No se indico delito",IF(AND(ISBLANK(BL90),OR(X90=BUSCADOR!$A$111,X90=BUSCADOR!$A$110)),"Llenar la casilla DETALLES, COMENTARIOS con una descripcion de la causa",IF(AND(X90="MUERTE DUDOSA",ISBLANK(BL90)=FALSE),"SE INDICO MUERTE DUDOSA, NOS CONTACTAREMOS PARA MAS INFORMACION","FILA CORRECTA"))))))))))))))))))))))))))))))</f>
        <v>No se indico delito</v>
      </c>
      <c r="C90" s="42"/>
      <c r="D90" s="90"/>
      <c r="E90" s="47"/>
      <c r="F90" s="88"/>
      <c r="G90" s="221" t="str">
        <f t="shared" si="19"/>
        <v>Comisaría 15°</v>
      </c>
      <c r="H90" s="46"/>
      <c r="I90" s="52"/>
      <c r="J90" s="27"/>
      <c r="K90" s="27"/>
      <c r="L90" s="27"/>
      <c r="M90" s="27"/>
      <c r="N90" s="46"/>
      <c r="O90" s="55" t="str">
        <f t="shared" ref="O90:O102" si="20">IFERROR(IFERROR(IF(ABS(MID(N90,FIND("!3d-",N90)+3,(FIND("!4d-",N90)-FIND("!3d-",N90))-3)-IFERROR(MID(N90,FIND("@",N90)+1,(FIND(",",N90,FIND("@",N90))-FIND("@",N90))-1),""))&lt;0.0003,MID(N90,FIND("!3d-",N90)+3,(FIND("!4d-",N90)-FIND("!3d-",N90))-3),IFERROR(MID(N90,FIND("@",N90)+1,FIND(",",N90,FIND("@",N90))-FIND("@",N90)-1),"")),MID(N90,FIND("@",N90)+1,(FIND(",",N90,FIND("@",N90))-FIND("@",N90))-1)),"")</f>
        <v/>
      </c>
      <c r="P90" s="56" t="str">
        <f t="shared" ref="P90:P102" si="21">IFERROR(IFERROR(IFERROR(IF(ABS(MID(N90,FIND("!4d-",N90)+3,FIND(",",N90,FIND(",",N90,FIND("@",N90))+1)-FIND(",",N90,FIND("@",N90))-1)-MID(N90,FIND(",",N90,FIND("@",N90))+1,FIND(",",N90,FIND(",",N90,FIND("@",N90))+1)-FIND(",",N90,FIND("@",N90))-1))&lt;0.0003,MID(N90,FIND("!4d-",N90)+3,FIND(",",N90,FIND(",",N90,FIND("@",N90))+1)-FIND(",",N90,FIND("@",N90))-1),MID(N90,FIND(",",N90,FIND("@",N90))+1,FIND(",",N90,FIND(",",N90,FIND("@",N90))+1)-FIND(",",N90,FIND("@",N90))-1)),MID(N90,FIND(",",N90,FIND("@",N90))+1,FIND(",",N90,FIND(",",N90,FIND("@",N90))+1)-FIND(",",N90,FIND("@",N90))-1)),MID(N90,FIND(",",N90,FIND("@",N90))+1,10)),"")</f>
        <v/>
      </c>
      <c r="Q90" s="52"/>
      <c r="R90" s="46"/>
      <c r="S90" s="62"/>
      <c r="T90" s="57" t="str">
        <f>IFERROR(VLOOKUP(X90,BUSCADOR!$A$2:$E$112,5,FALSE),"")</f>
        <v/>
      </c>
      <c r="U90" s="107" t="str">
        <f t="shared" si="12"/>
        <v/>
      </c>
      <c r="V90" s="28" t="str">
        <f>IFERROR(VLOOKUP(X90,BUSCADOR!$A$2:$E$112,4,FALSE),"")</f>
        <v/>
      </c>
      <c r="W90" s="107" t="str">
        <f t="shared" si="13"/>
        <v/>
      </c>
      <c r="X90" s="27"/>
      <c r="Y90" s="58" t="str">
        <f>IFERROR(VLOOKUP(X90,BUSCADOR!$A$2:$B$112,2,FALSE),"")</f>
        <v/>
      </c>
      <c r="Z90" s="101" t="str">
        <f t="shared" si="14"/>
        <v>__</v>
      </c>
      <c r="AA90" s="103" t="str">
        <f t="shared" si="15"/>
        <v>___</v>
      </c>
      <c r="AB90" s="104" t="str">
        <f t="shared" si="16"/>
        <v>____</v>
      </c>
      <c r="AC90" s="104" t="str">
        <f t="shared" si="16"/>
        <v>_____</v>
      </c>
      <c r="AD90" s="83"/>
      <c r="AE90" s="45"/>
      <c r="AF90" s="66"/>
      <c r="AG90" s="212"/>
      <c r="AH90" s="213"/>
      <c r="AI90" s="214"/>
      <c r="AJ90" s="219"/>
      <c r="AK90" s="213"/>
      <c r="AL90" s="213"/>
      <c r="AM90" s="213"/>
      <c r="AN90" s="213"/>
      <c r="AO90" s="219"/>
      <c r="AP90" s="95"/>
      <c r="AQ90" s="186" t="str">
        <f t="shared" si="17"/>
        <v/>
      </c>
      <c r="AR90" s="66"/>
      <c r="AS90" s="76"/>
      <c r="AT90" s="225"/>
      <c r="AU90" s="213"/>
      <c r="AV90" s="214"/>
      <c r="AW90" s="226"/>
      <c r="AX90" s="213"/>
      <c r="AY90" s="213"/>
      <c r="AZ90" s="227"/>
      <c r="BA90" s="65"/>
      <c r="BB90" s="52"/>
      <c r="BC90" s="27"/>
      <c r="BD90" s="27"/>
      <c r="BE90" s="27"/>
      <c r="BF90" s="79"/>
      <c r="BG90" s="52"/>
      <c r="BH90" s="69"/>
      <c r="BI90" s="188" t="str">
        <f>IF(Y90=BUSCADOR!$B$46,"HURTO_",IF(OR(Y90=BUSCADOR!$B$49,Y90=BUSCADOR!$B$50),"ROBO_",""))</f>
        <v/>
      </c>
      <c r="BJ90" s="50"/>
      <c r="BK90" s="45"/>
      <c r="BL90" s="66"/>
      <c r="BM90" s="1" t="b">
        <f t="shared" si="18"/>
        <v>0</v>
      </c>
    </row>
    <row r="91" spans="1:65" ht="117.6" customHeight="1" x14ac:dyDescent="0.25">
      <c r="A91" s="171">
        <v>89</v>
      </c>
      <c r="B91" s="41" t="str">
        <f>IF(AND(BM91,ISBLANK(C91)),"Completar FECHA DE DENUNCIA",IF(AND(BM91,OR(ISBLANK(D91),ISBLANK(E91),ISBLANK(H91))),"Completar las celdas FECHA, HORA Y PREVENTIVO. En caso de no conocer la fecha u horario colocar INDETERMINADO",IF(AND(BM91,ISBLANK(G91)),"Completar COMISARIA",IF(AND(BM91,OR(ISBLANK(I91),ISBLANK(L91),ISBLANK(M91),O91="")),"Completar las celdas LOCALIDAD, CALLE, ALTURA Y DIRECCION SEGUN  GOOGLE MAPS",IF(AND(ISBLANK(J91),OR(I91=AÑELO[[#Headers],[AÑELO]],CENTENARIO[[#Headers],[CENTENARIO]]='PLANILLA DJ'!I91,CUTRAL_CO[[#Headers],[CUTRAL_CO]],JUNIN_DE_LOS_ANDES[[#Headers],[JUNIN_DE_LOS_ANDES]]='PLANILLA DJ'!I91,'PLANILLA DJ'!I91=NEUQUEN[[#Headers],[NEUQUEN]],PLAZA_HUINCUL[[#Headers],[PLAZA_HUINCUL]]='PLANILLA DJ'!I91,'PLANILLA DJ'!I91=PLOTTIER[[#Headers],[PLOTTIER]])),"COMPLETAR BARRIO",IF(AND(BM91,ISBLANK(Q91)),"Completar Nombre de VICTIMA o DENUNCIANTE",IF(AND(BM91,ISBLANK(R91)),"Completar TIPO DE ACTUACION",IF(AND(R91=BUSCADOR!$B$140,OR(X91&lt;&gt;BUSCADOR!$A$110,ISBLANK(X91))),"Se indico A CONSIDERACION en ACTUACION, indicar en el buscador de delitos A CONSIDERACION tambien",IF(AND(ISBLANK(X91)&lt;&gt;TRUE,IFERROR(MATCH(X91,BUSCADOR!$A$2:$A$112,0),-1)&lt;0),"EN EL BUSCADOR DE DELITOS NO agregar comentarios como SU INVESTIGACION, REPORTE, etc. Limitarse SOLAMENTE a poner A CONSIDERACION u otro valor que coincida en el buscador",IF(AND(ISBLANK(AD91),OR(Y91=BUSCADOR!$B$49,BUSCADOR!$B$50=Y91,Y91=BUSCADOR!$B$46,Y91=BUSCADOR!$B$2,Y91=BUSCADOR!$B$7,BUSCADOR!$B$109=Y91,X91=BUSCADOR!$A$58,X91=BUSCADOR!$A$59)),"Completar la celda TIPO DE LUGAR",IF(AND(ISBLANK(AE91),OR(AD91=BUSCADOR!$E$149,BUSCADOR!$E$150=AD91,AD91=BUSCADOR!$F$148)),"Completar DETALLE ESTABLECIMIENTO",IF(AND(ISBLANK(AF91),BM91),"Completar la celda MOTIVO QUE ORIGINA EL REGISTRO DEL HECHO",IF(AND(SUM(AG91:AI91)=0,OR(Y91=BUSCADOR!$B$2,BUSCADOR!$B$6=Y91,Y91=BUSCADOR!$B$7,BUSCADOR!$B$8=Y91,Y91=BUSCADOR!$B$9,BUSCADOR!$B$12=Y91,Y91=BUSCADOR!$B$13,BUSCADOR!$B$14=Y91,Y91=BUSCADOR!$B$17,BUSCADOR!$B$18=Y91,Y91=BUSCADOR!$B$20,BUSCADOR!$B$29=Y91,BUSCADOR!$B$34=Y91,BUSCADOR!$B$35=Y91,Y91=BUSCADOR!$B$109,Y91=BUSCADOR!$B$51,BUSCADOR!$B$50=Y91,Y91=BUSCADOR!$B$47,Y91=BUSCADOR!$B$58,Y91=BUSCADOR!$B$21,Y91=BUSCADOR!$B$22,Y91=BUSCADOR!$B$23,Y91=BUSCADOR!$B$24)),"El delito indicado debe presentar un numero de victimas. Completar la celda CANTIDAD DE VICTIMAS",IF(AND(SUM(AJ91:AO91)&gt;0,ISBLANK(AP91)),"Completar celda VULNERABILIDAD DE LA VICTIMA",IF(SUM(AG91:AI91)&lt;&gt;SUM(AJ91:AO91),"Se indico una CANTIDAD DE VICTIMAS SEGUN SEXO diferente a SEGUN GENERO",IF(AND(ISBLANK(AR91),OR(Y91=BUSCADOR!$B$49,BUSCADOR!$B$50=Y91,Y91=BUSCADOR!$B$46,Y91=BUSCADOR!$B$109,BUSCADOR!$B$2=Y91,X91=BUSCADOR!$A$58,X91=BUSCADOR!$A$59)),"Completar la celda TIPO DE ARMA, MODALIDAD O MECANISMO",IF(AND(ISBLANK(AS91),OR(Y91=BUSCADOR!$B$51,BUSCADOR!$B$50=Y91,Y91=BUSCADOR!$B$47,BUSCADOR!$A$58=X91,X91=BUSCADOR!$A$59)),"Completar la celda CONOCIDO, en la seccion de los inculpados",IF(AND(AS91=BUSCADOR!$B$127,OR(Y91=BUSCADOR!$B$51,BUSCADOR!$B$50,Y91,BUSCADOR!$B$46),OR(SUM(AT91:AV91)&lt;&gt;SUM(AW91:AZ91),SUM(AT91:AZ91)=0)),"Revisar las celdas correspondientes a CANTIDAD DE INCULPADOS. Se indica una cantidad diferente segun SEXO y EDAD o no se indico cantidad alguna",IF(AND(ISBLANK(BA91),X91=BUSCADOR!$A$27),"Se indico una persona desaparecida. Completar la casilla APARECIO",IF(AND(ISBLANK(BB91),OR(Y91=BUSCADOR!$B$49,BUSCADOR!$B$50=Y91,Y91=BUSCADOR!$B$46)),"Completar la casilla ELEMENTO SUSTRAIDO",IF(OR(AND(BB91=OTROS[[#Headers],[OTROS]],ISBLANK(BC91)),AND(BB91=ABIGEATO[[#Headers],[ABIGEATO]],ISBLANK(BC91))),"Completar la celda SUBCATEGORIA",IF(AND(OR(BB91=MOTOCICLETA[[#Headers],[MOTOCICLETA]],BB91=AUTOMOTOR[[#Headers],[AUTOMOTOR]]),OR(ISBLANK(BC91),ISBLANK(BD91),ISBLANK(BE91),ISBLANK(BF91))),"Se indico un AUTOMOTOR o MOTOCICLETA en ELEMENTOS SUSTRAIDOS, completar las celdas SUBCATEGORIA, DENOMINACION, AÑO y MODELO", IF(AND(ISBLANK(BB91)&lt;&gt;TRUE,ISBLANK(BJ91)),"Completar MODUS OPERANDI",IF(AND(ISBLANK(BK91),OR(BJ91=BUSCADOR!$H$232,BJ91=BUSCADOR!$I$232)),"Completar ESPECIALIDAD",IF(OR(AND(H91='SAT-Homicidios Dolosos'!$B$5,'SAT-Homicidios Dolosos'!$A$5&lt;&gt;"OK"),AND(H91='SAT-Homicidios Dolosos'!$B$8,'SAT-Homicidios Dolosos'!$A$8&lt;&gt;"OK")),"Se indico un HOMICIDIO, existen CELDAS VACIAS en la hoja SAT-HOMICIDIOS DOLOSOS Completar los datos indicados",IF(OR(AND(H91='SAT-Muertes Viales'!$E$21,'SAT-Muertes Viales'!$A$21&lt;&gt;"OK"),AND(H91='SAT-Muertes Viales'!$E$25,'SAT-Muertes Viales'!$A$25&lt;&gt;"OK"),AND(H91='SAT-Muertes Viales'!$E$29,'SAT-Muertes Viales'!$A$29&lt;&gt;"OK")),"Se indico un HOMICIDIO POR SINIESTRO VIAL, existen CELDAS VACIAS en la hoja SAT-MUERTES VIALES Completar los datos indicados",IF(OR(AND(H91='SAT-Suicidios'!$B$19,'SAT-Suicidios'!$A$19&lt;&gt;"OK"),AND(H91='SAT-Suicidios'!$B$22,'SAT-Suicidios'!$A$22&lt;&gt;"OK"),AND(H91='SAT-Suicidios'!$B$25,'SAT-Suicidios'!$A$25&lt;&gt;"OK")),"Se indico un SUICIDIO, existen CELDAS VACIAS en la hoja SAT-SUICIDIOS Completar los datos indicados",IF(IFERROR(MATCH(X91,BUSCADOR!$A$2:$A$112,0),-1)&lt;0,"No se indico delito",IF(AND(ISBLANK(BL91),OR(X91=BUSCADOR!$A$111,X91=BUSCADOR!$A$110)),"Llenar la casilla DETALLES, COMENTARIOS con una descripcion de la causa",IF(AND(X91="MUERTE DUDOSA",ISBLANK(BL91)=FALSE),"SE INDICO MUERTE DUDOSA, NOS CONTACTAREMOS PARA MAS INFORMACION","FILA CORRECTA"))))))))))))))))))))))))))))))</f>
        <v>No se indico delito</v>
      </c>
      <c r="C91" s="42"/>
      <c r="D91" s="90"/>
      <c r="E91" s="47"/>
      <c r="F91" s="88"/>
      <c r="G91" s="221" t="str">
        <f t="shared" si="19"/>
        <v>Comisaría 15°</v>
      </c>
      <c r="H91" s="46"/>
      <c r="I91" s="52"/>
      <c r="J91" s="27"/>
      <c r="K91" s="27"/>
      <c r="L91" s="27"/>
      <c r="M91" s="27"/>
      <c r="N91" s="46"/>
      <c r="O91" s="55" t="str">
        <f t="shared" si="20"/>
        <v/>
      </c>
      <c r="P91" s="56" t="str">
        <f t="shared" si="21"/>
        <v/>
      </c>
      <c r="Q91" s="52"/>
      <c r="R91" s="46"/>
      <c r="S91" s="62"/>
      <c r="T91" s="57" t="str">
        <f>IFERROR(VLOOKUP(X91,BUSCADOR!$A$2:$E$112,5,FALSE),"")</f>
        <v/>
      </c>
      <c r="U91" s="107" t="str">
        <f t="shared" si="12"/>
        <v/>
      </c>
      <c r="V91" s="28" t="str">
        <f>IFERROR(VLOOKUP(X91,BUSCADOR!$A$2:$E$112,4,FALSE),"")</f>
        <v/>
      </c>
      <c r="W91" s="107" t="str">
        <f t="shared" si="13"/>
        <v/>
      </c>
      <c r="X91" s="27"/>
      <c r="Y91" s="58" t="str">
        <f>IFERROR(VLOOKUP(X91,BUSCADOR!$A$2:$B$112,2,FALSE),"")</f>
        <v/>
      </c>
      <c r="Z91" s="101" t="str">
        <f t="shared" si="14"/>
        <v>__</v>
      </c>
      <c r="AA91" s="103" t="str">
        <f t="shared" si="15"/>
        <v>___</v>
      </c>
      <c r="AB91" s="104" t="str">
        <f t="shared" si="16"/>
        <v>____</v>
      </c>
      <c r="AC91" s="104" t="str">
        <f t="shared" si="16"/>
        <v>_____</v>
      </c>
      <c r="AD91" s="83"/>
      <c r="AE91" s="45"/>
      <c r="AF91" s="66"/>
      <c r="AG91" s="212"/>
      <c r="AH91" s="213"/>
      <c r="AI91" s="214"/>
      <c r="AJ91" s="219"/>
      <c r="AK91" s="213"/>
      <c r="AL91" s="213"/>
      <c r="AM91" s="213"/>
      <c r="AN91" s="213"/>
      <c r="AO91" s="219"/>
      <c r="AP91" s="95"/>
      <c r="AQ91" s="186" t="str">
        <f t="shared" si="17"/>
        <v/>
      </c>
      <c r="AR91" s="66"/>
      <c r="AS91" s="76"/>
      <c r="AT91" s="225"/>
      <c r="AU91" s="213"/>
      <c r="AV91" s="214"/>
      <c r="AW91" s="226"/>
      <c r="AX91" s="213"/>
      <c r="AY91" s="213"/>
      <c r="AZ91" s="227"/>
      <c r="BA91" s="65"/>
      <c r="BB91" s="52"/>
      <c r="BC91" s="27"/>
      <c r="BD91" s="27"/>
      <c r="BE91" s="27"/>
      <c r="BF91" s="79"/>
      <c r="BG91" s="52"/>
      <c r="BH91" s="69"/>
      <c r="BI91" s="188" t="str">
        <f>IF(Y91=BUSCADOR!$B$46,"HURTO_",IF(OR(Y91=BUSCADOR!$B$49,Y91=BUSCADOR!$B$50),"ROBO_",""))</f>
        <v/>
      </c>
      <c r="BJ91" s="50"/>
      <c r="BK91" s="45"/>
      <c r="BL91" s="66"/>
      <c r="BM91" s="1" t="b">
        <f t="shared" si="18"/>
        <v>0</v>
      </c>
    </row>
    <row r="92" spans="1:65" ht="117.6" customHeight="1" x14ac:dyDescent="0.25">
      <c r="A92" s="171">
        <v>90</v>
      </c>
      <c r="B92" s="41" t="str">
        <f>IF(AND(BM92,ISBLANK(C92)),"Completar FECHA DE DENUNCIA",IF(AND(BM92,OR(ISBLANK(D92),ISBLANK(E92),ISBLANK(H92))),"Completar las celdas FECHA, HORA Y PREVENTIVO. En caso de no conocer la fecha u horario colocar INDETERMINADO",IF(AND(BM92,ISBLANK(G92)),"Completar COMISARIA",IF(AND(BM92,OR(ISBLANK(I92),ISBLANK(L92),ISBLANK(M92),O92="")),"Completar las celdas LOCALIDAD, CALLE, ALTURA Y DIRECCION SEGUN  GOOGLE MAPS",IF(AND(ISBLANK(J92),OR(I92=AÑELO[[#Headers],[AÑELO]],CENTENARIO[[#Headers],[CENTENARIO]]='PLANILLA DJ'!I92,CUTRAL_CO[[#Headers],[CUTRAL_CO]],JUNIN_DE_LOS_ANDES[[#Headers],[JUNIN_DE_LOS_ANDES]]='PLANILLA DJ'!I92,'PLANILLA DJ'!I92=NEUQUEN[[#Headers],[NEUQUEN]],PLAZA_HUINCUL[[#Headers],[PLAZA_HUINCUL]]='PLANILLA DJ'!I92,'PLANILLA DJ'!I92=PLOTTIER[[#Headers],[PLOTTIER]])),"COMPLETAR BARRIO",IF(AND(BM92,ISBLANK(Q92)),"Completar Nombre de VICTIMA o DENUNCIANTE",IF(AND(BM92,ISBLANK(R92)),"Completar TIPO DE ACTUACION",IF(AND(R92=BUSCADOR!$B$140,OR(X92&lt;&gt;BUSCADOR!$A$110,ISBLANK(X92))),"Se indico A CONSIDERACION en ACTUACION, indicar en el buscador de delitos A CONSIDERACION tambien",IF(AND(ISBLANK(X92)&lt;&gt;TRUE,IFERROR(MATCH(X92,BUSCADOR!$A$2:$A$112,0),-1)&lt;0),"EN EL BUSCADOR DE DELITOS NO agregar comentarios como SU INVESTIGACION, REPORTE, etc. Limitarse SOLAMENTE a poner A CONSIDERACION u otro valor que coincida en el buscador",IF(AND(ISBLANK(AD92),OR(Y92=BUSCADOR!$B$49,BUSCADOR!$B$50=Y92,Y92=BUSCADOR!$B$46,Y92=BUSCADOR!$B$2,Y92=BUSCADOR!$B$7,BUSCADOR!$B$109=Y92,X92=BUSCADOR!$A$58,X92=BUSCADOR!$A$59)),"Completar la celda TIPO DE LUGAR",IF(AND(ISBLANK(AE92),OR(AD92=BUSCADOR!$E$149,BUSCADOR!$E$150=AD92,AD92=BUSCADOR!$F$148)),"Completar DETALLE ESTABLECIMIENTO",IF(AND(ISBLANK(AF92),BM92),"Completar la celda MOTIVO QUE ORIGINA EL REGISTRO DEL HECHO",IF(AND(SUM(AG92:AI92)=0,OR(Y92=BUSCADOR!$B$2,BUSCADOR!$B$6=Y92,Y92=BUSCADOR!$B$7,BUSCADOR!$B$8=Y92,Y92=BUSCADOR!$B$9,BUSCADOR!$B$12=Y92,Y92=BUSCADOR!$B$13,BUSCADOR!$B$14=Y92,Y92=BUSCADOR!$B$17,BUSCADOR!$B$18=Y92,Y92=BUSCADOR!$B$20,BUSCADOR!$B$29=Y92,BUSCADOR!$B$34=Y92,BUSCADOR!$B$35=Y92,Y92=BUSCADOR!$B$109,Y92=BUSCADOR!$B$51,BUSCADOR!$B$50=Y92,Y92=BUSCADOR!$B$47,Y92=BUSCADOR!$B$58,Y92=BUSCADOR!$B$21,Y92=BUSCADOR!$B$22,Y92=BUSCADOR!$B$23,Y92=BUSCADOR!$B$24)),"El delito indicado debe presentar un numero de victimas. Completar la celda CANTIDAD DE VICTIMAS",IF(AND(SUM(AJ92:AO92)&gt;0,ISBLANK(AP92)),"Completar celda VULNERABILIDAD DE LA VICTIMA",IF(SUM(AG92:AI92)&lt;&gt;SUM(AJ92:AO92),"Se indico una CANTIDAD DE VICTIMAS SEGUN SEXO diferente a SEGUN GENERO",IF(AND(ISBLANK(AR92),OR(Y92=BUSCADOR!$B$49,BUSCADOR!$B$50=Y92,Y92=BUSCADOR!$B$46,Y92=BUSCADOR!$B$109,BUSCADOR!$B$2=Y92,X92=BUSCADOR!$A$58,X92=BUSCADOR!$A$59)),"Completar la celda TIPO DE ARMA, MODALIDAD O MECANISMO",IF(AND(ISBLANK(AS92),OR(Y92=BUSCADOR!$B$51,BUSCADOR!$B$50=Y92,Y92=BUSCADOR!$B$47,BUSCADOR!$A$58=X92,X92=BUSCADOR!$A$59)),"Completar la celda CONOCIDO, en la seccion de los inculpados",IF(AND(AS92=BUSCADOR!$B$127,OR(Y92=BUSCADOR!$B$51,BUSCADOR!$B$50,Y92,BUSCADOR!$B$46),OR(SUM(AT92:AV92)&lt;&gt;SUM(AW92:AZ92),SUM(AT92:AZ92)=0)),"Revisar las celdas correspondientes a CANTIDAD DE INCULPADOS. Se indica una cantidad diferente segun SEXO y EDAD o no se indico cantidad alguna",IF(AND(ISBLANK(BA92),X92=BUSCADOR!$A$27),"Se indico una persona desaparecida. Completar la casilla APARECIO",IF(AND(ISBLANK(BB92),OR(Y92=BUSCADOR!$B$49,BUSCADOR!$B$50=Y92,Y92=BUSCADOR!$B$46)),"Completar la casilla ELEMENTO SUSTRAIDO",IF(OR(AND(BB92=OTROS[[#Headers],[OTROS]],ISBLANK(BC92)),AND(BB92=ABIGEATO[[#Headers],[ABIGEATO]],ISBLANK(BC92))),"Completar la celda SUBCATEGORIA",IF(AND(OR(BB92=MOTOCICLETA[[#Headers],[MOTOCICLETA]],BB92=AUTOMOTOR[[#Headers],[AUTOMOTOR]]),OR(ISBLANK(BC92),ISBLANK(BD92),ISBLANK(BE92),ISBLANK(BF92))),"Se indico un AUTOMOTOR o MOTOCICLETA en ELEMENTOS SUSTRAIDOS, completar las celdas SUBCATEGORIA, DENOMINACION, AÑO y MODELO", IF(AND(ISBLANK(BB92)&lt;&gt;TRUE,ISBLANK(BJ92)),"Completar MODUS OPERANDI",IF(AND(ISBLANK(BK92),OR(BJ92=BUSCADOR!$H$232,BJ92=BUSCADOR!$I$232)),"Completar ESPECIALIDAD",IF(OR(AND(H92='SAT-Homicidios Dolosos'!$B$5,'SAT-Homicidios Dolosos'!$A$5&lt;&gt;"OK"),AND(H92='SAT-Homicidios Dolosos'!$B$8,'SAT-Homicidios Dolosos'!$A$8&lt;&gt;"OK")),"Se indico un HOMICIDIO, existen CELDAS VACIAS en la hoja SAT-HOMICIDIOS DOLOSOS Completar los datos indicados",IF(OR(AND(H92='SAT-Muertes Viales'!$E$21,'SAT-Muertes Viales'!$A$21&lt;&gt;"OK"),AND(H92='SAT-Muertes Viales'!$E$25,'SAT-Muertes Viales'!$A$25&lt;&gt;"OK"),AND(H92='SAT-Muertes Viales'!$E$29,'SAT-Muertes Viales'!$A$29&lt;&gt;"OK")),"Se indico un HOMICIDIO POR SINIESTRO VIAL, existen CELDAS VACIAS en la hoja SAT-MUERTES VIALES Completar los datos indicados",IF(OR(AND(H92='SAT-Suicidios'!$B$19,'SAT-Suicidios'!$A$19&lt;&gt;"OK"),AND(H92='SAT-Suicidios'!$B$22,'SAT-Suicidios'!$A$22&lt;&gt;"OK"),AND(H92='SAT-Suicidios'!$B$25,'SAT-Suicidios'!$A$25&lt;&gt;"OK")),"Se indico un SUICIDIO, existen CELDAS VACIAS en la hoja SAT-SUICIDIOS Completar los datos indicados",IF(IFERROR(MATCH(X92,BUSCADOR!$A$2:$A$112,0),-1)&lt;0,"No se indico delito",IF(AND(ISBLANK(BL92),OR(X92=BUSCADOR!$A$111,X92=BUSCADOR!$A$110)),"Llenar la casilla DETALLES, COMENTARIOS con una descripcion de la causa",IF(AND(X92="MUERTE DUDOSA",ISBLANK(BL92)=FALSE),"SE INDICO MUERTE DUDOSA, NOS CONTACTAREMOS PARA MAS INFORMACION","FILA CORRECTA"))))))))))))))))))))))))))))))</f>
        <v>No se indico delito</v>
      </c>
      <c r="C92" s="42"/>
      <c r="D92" s="90"/>
      <c r="E92" s="47"/>
      <c r="F92" s="88"/>
      <c r="G92" s="221" t="str">
        <f t="shared" si="19"/>
        <v>Comisaría 15°</v>
      </c>
      <c r="H92" s="46"/>
      <c r="I92" s="52"/>
      <c r="J92" s="27"/>
      <c r="K92" s="27"/>
      <c r="L92" s="27"/>
      <c r="M92" s="27"/>
      <c r="N92" s="46"/>
      <c r="O92" s="55" t="str">
        <f t="shared" si="20"/>
        <v/>
      </c>
      <c r="P92" s="56" t="str">
        <f t="shared" si="21"/>
        <v/>
      </c>
      <c r="Q92" s="52"/>
      <c r="R92" s="46"/>
      <c r="S92" s="62"/>
      <c r="T92" s="57" t="str">
        <f>IFERROR(VLOOKUP(X92,BUSCADOR!$A$2:$E$112,5,FALSE),"")</f>
        <v/>
      </c>
      <c r="U92" s="107" t="str">
        <f t="shared" si="12"/>
        <v/>
      </c>
      <c r="V92" s="28" t="str">
        <f>IFERROR(VLOOKUP(X92,BUSCADOR!$A$2:$E$112,4,FALSE),"")</f>
        <v/>
      </c>
      <c r="W92" s="107" t="str">
        <f t="shared" si="13"/>
        <v/>
      </c>
      <c r="X92" s="27"/>
      <c r="Y92" s="58" t="str">
        <f>IFERROR(VLOOKUP(X92,BUSCADOR!$A$2:$B$112,2,FALSE),"")</f>
        <v/>
      </c>
      <c r="Z92" s="101" t="str">
        <f t="shared" si="14"/>
        <v>__</v>
      </c>
      <c r="AA92" s="103" t="str">
        <f t="shared" si="15"/>
        <v>___</v>
      </c>
      <c r="AB92" s="104" t="str">
        <f t="shared" si="16"/>
        <v>____</v>
      </c>
      <c r="AC92" s="104" t="str">
        <f t="shared" si="16"/>
        <v>_____</v>
      </c>
      <c r="AD92" s="83"/>
      <c r="AE92" s="45"/>
      <c r="AF92" s="66"/>
      <c r="AG92" s="212"/>
      <c r="AH92" s="213"/>
      <c r="AI92" s="214"/>
      <c r="AJ92" s="219"/>
      <c r="AK92" s="213"/>
      <c r="AL92" s="213"/>
      <c r="AM92" s="213"/>
      <c r="AN92" s="213"/>
      <c r="AO92" s="219"/>
      <c r="AP92" s="95"/>
      <c r="AQ92" s="186" t="str">
        <f t="shared" si="17"/>
        <v/>
      </c>
      <c r="AR92" s="66"/>
      <c r="AS92" s="76"/>
      <c r="AT92" s="225"/>
      <c r="AU92" s="213"/>
      <c r="AV92" s="214"/>
      <c r="AW92" s="226"/>
      <c r="AX92" s="213"/>
      <c r="AY92" s="213"/>
      <c r="AZ92" s="227"/>
      <c r="BA92" s="65"/>
      <c r="BB92" s="52"/>
      <c r="BC92" s="27"/>
      <c r="BD92" s="27"/>
      <c r="BE92" s="27"/>
      <c r="BF92" s="79"/>
      <c r="BG92" s="52"/>
      <c r="BH92" s="69"/>
      <c r="BI92" s="188" t="str">
        <f>IF(Y92=BUSCADOR!$B$46,"HURTO_",IF(OR(Y92=BUSCADOR!$B$49,Y92=BUSCADOR!$B$50),"ROBO_",""))</f>
        <v/>
      </c>
      <c r="BJ92" s="50"/>
      <c r="BK92" s="45"/>
      <c r="BL92" s="66"/>
      <c r="BM92" s="1" t="b">
        <f t="shared" si="18"/>
        <v>0</v>
      </c>
    </row>
    <row r="93" spans="1:65" ht="117.6" customHeight="1" x14ac:dyDescent="0.25">
      <c r="A93" s="171">
        <v>91</v>
      </c>
      <c r="B93" s="41" t="str">
        <f>IF(AND(BM93,ISBLANK(C93)),"Completar FECHA DE DENUNCIA",IF(AND(BM93,OR(ISBLANK(D93),ISBLANK(E93),ISBLANK(H93))),"Completar las celdas FECHA, HORA Y PREVENTIVO. En caso de no conocer la fecha u horario colocar INDETERMINADO",IF(AND(BM93,ISBLANK(G93)),"Completar COMISARIA",IF(AND(BM93,OR(ISBLANK(I93),ISBLANK(L93),ISBLANK(M93),O93="")),"Completar las celdas LOCALIDAD, CALLE, ALTURA Y DIRECCION SEGUN  GOOGLE MAPS",IF(AND(ISBLANK(J93),OR(I93=AÑELO[[#Headers],[AÑELO]],CENTENARIO[[#Headers],[CENTENARIO]]='PLANILLA DJ'!I93,CUTRAL_CO[[#Headers],[CUTRAL_CO]],JUNIN_DE_LOS_ANDES[[#Headers],[JUNIN_DE_LOS_ANDES]]='PLANILLA DJ'!I93,'PLANILLA DJ'!I93=NEUQUEN[[#Headers],[NEUQUEN]],PLAZA_HUINCUL[[#Headers],[PLAZA_HUINCUL]]='PLANILLA DJ'!I93,'PLANILLA DJ'!I93=PLOTTIER[[#Headers],[PLOTTIER]])),"COMPLETAR BARRIO",IF(AND(BM93,ISBLANK(Q93)),"Completar Nombre de VICTIMA o DENUNCIANTE",IF(AND(BM93,ISBLANK(R93)),"Completar TIPO DE ACTUACION",IF(AND(R93=BUSCADOR!$B$140,OR(X93&lt;&gt;BUSCADOR!$A$110,ISBLANK(X93))),"Se indico A CONSIDERACION en ACTUACION, indicar en el buscador de delitos A CONSIDERACION tambien",IF(AND(ISBLANK(X93)&lt;&gt;TRUE,IFERROR(MATCH(X93,BUSCADOR!$A$2:$A$112,0),-1)&lt;0),"EN EL BUSCADOR DE DELITOS NO agregar comentarios como SU INVESTIGACION, REPORTE, etc. Limitarse SOLAMENTE a poner A CONSIDERACION u otro valor que coincida en el buscador",IF(AND(ISBLANK(AD93),OR(Y93=BUSCADOR!$B$49,BUSCADOR!$B$50=Y93,Y93=BUSCADOR!$B$46,Y93=BUSCADOR!$B$2,Y93=BUSCADOR!$B$7,BUSCADOR!$B$109=Y93,X93=BUSCADOR!$A$58,X93=BUSCADOR!$A$59)),"Completar la celda TIPO DE LUGAR",IF(AND(ISBLANK(AE93),OR(AD93=BUSCADOR!$E$149,BUSCADOR!$E$150=AD93,AD93=BUSCADOR!$F$148)),"Completar DETALLE ESTABLECIMIENTO",IF(AND(ISBLANK(AF93),BM93),"Completar la celda MOTIVO QUE ORIGINA EL REGISTRO DEL HECHO",IF(AND(SUM(AG93:AI93)=0,OR(Y93=BUSCADOR!$B$2,BUSCADOR!$B$6=Y93,Y93=BUSCADOR!$B$7,BUSCADOR!$B$8=Y93,Y93=BUSCADOR!$B$9,BUSCADOR!$B$12=Y93,Y93=BUSCADOR!$B$13,BUSCADOR!$B$14=Y93,Y93=BUSCADOR!$B$17,BUSCADOR!$B$18=Y93,Y93=BUSCADOR!$B$20,BUSCADOR!$B$29=Y93,BUSCADOR!$B$34=Y93,BUSCADOR!$B$35=Y93,Y93=BUSCADOR!$B$109,Y93=BUSCADOR!$B$51,BUSCADOR!$B$50=Y93,Y93=BUSCADOR!$B$47,Y93=BUSCADOR!$B$58,Y93=BUSCADOR!$B$21,Y93=BUSCADOR!$B$22,Y93=BUSCADOR!$B$23,Y93=BUSCADOR!$B$24)),"El delito indicado debe presentar un numero de victimas. Completar la celda CANTIDAD DE VICTIMAS",IF(AND(SUM(AJ93:AO93)&gt;0,ISBLANK(AP93)),"Completar celda VULNERABILIDAD DE LA VICTIMA",IF(SUM(AG93:AI93)&lt;&gt;SUM(AJ93:AO93),"Se indico una CANTIDAD DE VICTIMAS SEGUN SEXO diferente a SEGUN GENERO",IF(AND(ISBLANK(AR93),OR(Y93=BUSCADOR!$B$49,BUSCADOR!$B$50=Y93,Y93=BUSCADOR!$B$46,Y93=BUSCADOR!$B$109,BUSCADOR!$B$2=Y93,X93=BUSCADOR!$A$58,X93=BUSCADOR!$A$59)),"Completar la celda TIPO DE ARMA, MODALIDAD O MECANISMO",IF(AND(ISBLANK(AS93),OR(Y93=BUSCADOR!$B$51,BUSCADOR!$B$50=Y93,Y93=BUSCADOR!$B$47,BUSCADOR!$A$58=X93,X93=BUSCADOR!$A$59)),"Completar la celda CONOCIDO, en la seccion de los inculpados",IF(AND(AS93=BUSCADOR!$B$127,OR(Y93=BUSCADOR!$B$51,BUSCADOR!$B$50,Y93,BUSCADOR!$B$46),OR(SUM(AT93:AV93)&lt;&gt;SUM(AW93:AZ93),SUM(AT93:AZ93)=0)),"Revisar las celdas correspondientes a CANTIDAD DE INCULPADOS. Se indica una cantidad diferente segun SEXO y EDAD o no se indico cantidad alguna",IF(AND(ISBLANK(BA93),X93=BUSCADOR!$A$27),"Se indico una persona desaparecida. Completar la casilla APARECIO",IF(AND(ISBLANK(BB93),OR(Y93=BUSCADOR!$B$49,BUSCADOR!$B$50=Y93,Y93=BUSCADOR!$B$46)),"Completar la casilla ELEMENTO SUSTRAIDO",IF(OR(AND(BB93=OTROS[[#Headers],[OTROS]],ISBLANK(BC93)),AND(BB93=ABIGEATO[[#Headers],[ABIGEATO]],ISBLANK(BC93))),"Completar la celda SUBCATEGORIA",IF(AND(OR(BB93=MOTOCICLETA[[#Headers],[MOTOCICLETA]],BB93=AUTOMOTOR[[#Headers],[AUTOMOTOR]]),OR(ISBLANK(BC93),ISBLANK(BD93),ISBLANK(BE93),ISBLANK(BF93))),"Se indico un AUTOMOTOR o MOTOCICLETA en ELEMENTOS SUSTRAIDOS, completar las celdas SUBCATEGORIA, DENOMINACION, AÑO y MODELO", IF(AND(ISBLANK(BB93)&lt;&gt;TRUE,ISBLANK(BJ93)),"Completar MODUS OPERANDI",IF(AND(ISBLANK(BK93),OR(BJ93=BUSCADOR!$H$232,BJ93=BUSCADOR!$I$232)),"Completar ESPECIALIDAD",IF(OR(AND(H93='SAT-Homicidios Dolosos'!$B$5,'SAT-Homicidios Dolosos'!$A$5&lt;&gt;"OK"),AND(H93='SAT-Homicidios Dolosos'!$B$8,'SAT-Homicidios Dolosos'!$A$8&lt;&gt;"OK")),"Se indico un HOMICIDIO, existen CELDAS VACIAS en la hoja SAT-HOMICIDIOS DOLOSOS Completar los datos indicados",IF(OR(AND(H93='SAT-Muertes Viales'!$E$21,'SAT-Muertes Viales'!$A$21&lt;&gt;"OK"),AND(H93='SAT-Muertes Viales'!$E$25,'SAT-Muertes Viales'!$A$25&lt;&gt;"OK"),AND(H93='SAT-Muertes Viales'!$E$29,'SAT-Muertes Viales'!$A$29&lt;&gt;"OK")),"Se indico un HOMICIDIO POR SINIESTRO VIAL, existen CELDAS VACIAS en la hoja SAT-MUERTES VIALES Completar los datos indicados",IF(OR(AND(H93='SAT-Suicidios'!$B$19,'SAT-Suicidios'!$A$19&lt;&gt;"OK"),AND(H93='SAT-Suicidios'!$B$22,'SAT-Suicidios'!$A$22&lt;&gt;"OK"),AND(H93='SAT-Suicidios'!$B$25,'SAT-Suicidios'!$A$25&lt;&gt;"OK")),"Se indico un SUICIDIO, existen CELDAS VACIAS en la hoja SAT-SUICIDIOS Completar los datos indicados",IF(IFERROR(MATCH(X93,BUSCADOR!$A$2:$A$112,0),-1)&lt;0,"No se indico delito",IF(AND(ISBLANK(BL93),OR(X93=BUSCADOR!$A$111,X93=BUSCADOR!$A$110)),"Llenar la casilla DETALLES, COMENTARIOS con una descripcion de la causa",IF(AND(X93="MUERTE DUDOSA",ISBLANK(BL93)=FALSE),"SE INDICO MUERTE DUDOSA, NOS CONTACTAREMOS PARA MAS INFORMACION","FILA CORRECTA"))))))))))))))))))))))))))))))</f>
        <v>No se indico delito</v>
      </c>
      <c r="C93" s="42"/>
      <c r="D93" s="90"/>
      <c r="E93" s="47"/>
      <c r="F93" s="88"/>
      <c r="G93" s="221" t="str">
        <f t="shared" si="19"/>
        <v>Comisaría 15°</v>
      </c>
      <c r="H93" s="46"/>
      <c r="I93" s="52"/>
      <c r="J93" s="27"/>
      <c r="K93" s="27"/>
      <c r="L93" s="27"/>
      <c r="M93" s="27"/>
      <c r="N93" s="46"/>
      <c r="O93" s="55" t="str">
        <f t="shared" si="20"/>
        <v/>
      </c>
      <c r="P93" s="56" t="str">
        <f t="shared" si="21"/>
        <v/>
      </c>
      <c r="Q93" s="52"/>
      <c r="R93" s="46"/>
      <c r="S93" s="62"/>
      <c r="T93" s="57" t="str">
        <f>IFERROR(VLOOKUP(X93,BUSCADOR!$A$2:$E$112,5,FALSE),"")</f>
        <v/>
      </c>
      <c r="U93" s="107" t="str">
        <f t="shared" si="12"/>
        <v/>
      </c>
      <c r="V93" s="28" t="str">
        <f>IFERROR(VLOOKUP(X93,BUSCADOR!$A$2:$E$112,4,FALSE),"")</f>
        <v/>
      </c>
      <c r="W93" s="107" t="str">
        <f t="shared" si="13"/>
        <v/>
      </c>
      <c r="X93" s="27"/>
      <c r="Y93" s="58" t="str">
        <f>IFERROR(VLOOKUP(X93,BUSCADOR!$A$2:$B$112,2,FALSE),"")</f>
        <v/>
      </c>
      <c r="Z93" s="101" t="str">
        <f t="shared" si="14"/>
        <v>__</v>
      </c>
      <c r="AA93" s="103" t="str">
        <f t="shared" si="15"/>
        <v>___</v>
      </c>
      <c r="AB93" s="104" t="str">
        <f t="shared" si="16"/>
        <v>____</v>
      </c>
      <c r="AC93" s="104" t="str">
        <f t="shared" si="16"/>
        <v>_____</v>
      </c>
      <c r="AD93" s="83"/>
      <c r="AE93" s="45"/>
      <c r="AF93" s="66"/>
      <c r="AG93" s="212"/>
      <c r="AH93" s="213"/>
      <c r="AI93" s="214"/>
      <c r="AJ93" s="219"/>
      <c r="AK93" s="213"/>
      <c r="AL93" s="213"/>
      <c r="AM93" s="213"/>
      <c r="AN93" s="213"/>
      <c r="AO93" s="219"/>
      <c r="AP93" s="95"/>
      <c r="AQ93" s="186" t="str">
        <f t="shared" si="17"/>
        <v/>
      </c>
      <c r="AR93" s="66"/>
      <c r="AS93" s="76"/>
      <c r="AT93" s="225"/>
      <c r="AU93" s="213"/>
      <c r="AV93" s="214"/>
      <c r="AW93" s="226"/>
      <c r="AX93" s="213"/>
      <c r="AY93" s="213"/>
      <c r="AZ93" s="227"/>
      <c r="BA93" s="65"/>
      <c r="BB93" s="52"/>
      <c r="BC93" s="27"/>
      <c r="BD93" s="27"/>
      <c r="BE93" s="27"/>
      <c r="BF93" s="79"/>
      <c r="BG93" s="52"/>
      <c r="BH93" s="69"/>
      <c r="BI93" s="188" t="str">
        <f>IF(Y93=BUSCADOR!$B$46,"HURTO_",IF(OR(Y93=BUSCADOR!$B$49,Y93=BUSCADOR!$B$50),"ROBO_",""))</f>
        <v/>
      </c>
      <c r="BJ93" s="50"/>
      <c r="BK93" s="45"/>
      <c r="BL93" s="66"/>
      <c r="BM93" s="1" t="b">
        <f t="shared" si="18"/>
        <v>0</v>
      </c>
    </row>
    <row r="94" spans="1:65" ht="117.6" customHeight="1" x14ac:dyDescent="0.25">
      <c r="A94" s="171">
        <v>92</v>
      </c>
      <c r="B94" s="41" t="str">
        <f>IF(AND(BM94,ISBLANK(C94)),"Completar FECHA DE DENUNCIA",IF(AND(BM94,OR(ISBLANK(D94),ISBLANK(E94),ISBLANK(H94))),"Completar las celdas FECHA, HORA Y PREVENTIVO. En caso de no conocer la fecha u horario colocar INDETERMINADO",IF(AND(BM94,ISBLANK(G94)),"Completar COMISARIA",IF(AND(BM94,OR(ISBLANK(I94),ISBLANK(L94),ISBLANK(M94),O94="")),"Completar las celdas LOCALIDAD, CALLE, ALTURA Y DIRECCION SEGUN  GOOGLE MAPS",IF(AND(ISBLANK(J94),OR(I94=AÑELO[[#Headers],[AÑELO]],CENTENARIO[[#Headers],[CENTENARIO]]='PLANILLA DJ'!I94,CUTRAL_CO[[#Headers],[CUTRAL_CO]],JUNIN_DE_LOS_ANDES[[#Headers],[JUNIN_DE_LOS_ANDES]]='PLANILLA DJ'!I94,'PLANILLA DJ'!I94=NEUQUEN[[#Headers],[NEUQUEN]],PLAZA_HUINCUL[[#Headers],[PLAZA_HUINCUL]]='PLANILLA DJ'!I94,'PLANILLA DJ'!I94=PLOTTIER[[#Headers],[PLOTTIER]])),"COMPLETAR BARRIO",IF(AND(BM94,ISBLANK(Q94)),"Completar Nombre de VICTIMA o DENUNCIANTE",IF(AND(BM94,ISBLANK(R94)),"Completar TIPO DE ACTUACION",IF(AND(R94=BUSCADOR!$B$140,OR(X94&lt;&gt;BUSCADOR!$A$110,ISBLANK(X94))),"Se indico A CONSIDERACION en ACTUACION, indicar en el buscador de delitos A CONSIDERACION tambien",IF(AND(ISBLANK(X94)&lt;&gt;TRUE,IFERROR(MATCH(X94,BUSCADOR!$A$2:$A$112,0),-1)&lt;0),"EN EL BUSCADOR DE DELITOS NO agregar comentarios como SU INVESTIGACION, REPORTE, etc. Limitarse SOLAMENTE a poner A CONSIDERACION u otro valor que coincida en el buscador",IF(AND(ISBLANK(AD94),OR(Y94=BUSCADOR!$B$49,BUSCADOR!$B$50=Y94,Y94=BUSCADOR!$B$46,Y94=BUSCADOR!$B$2,Y94=BUSCADOR!$B$7,BUSCADOR!$B$109=Y94,X94=BUSCADOR!$A$58,X94=BUSCADOR!$A$59)),"Completar la celda TIPO DE LUGAR",IF(AND(ISBLANK(AE94),OR(AD94=BUSCADOR!$E$149,BUSCADOR!$E$150=AD94,AD94=BUSCADOR!$F$148)),"Completar DETALLE ESTABLECIMIENTO",IF(AND(ISBLANK(AF94),BM94),"Completar la celda MOTIVO QUE ORIGINA EL REGISTRO DEL HECHO",IF(AND(SUM(AG94:AI94)=0,OR(Y94=BUSCADOR!$B$2,BUSCADOR!$B$6=Y94,Y94=BUSCADOR!$B$7,BUSCADOR!$B$8=Y94,Y94=BUSCADOR!$B$9,BUSCADOR!$B$12=Y94,Y94=BUSCADOR!$B$13,BUSCADOR!$B$14=Y94,Y94=BUSCADOR!$B$17,BUSCADOR!$B$18=Y94,Y94=BUSCADOR!$B$20,BUSCADOR!$B$29=Y94,BUSCADOR!$B$34=Y94,BUSCADOR!$B$35=Y94,Y94=BUSCADOR!$B$109,Y94=BUSCADOR!$B$51,BUSCADOR!$B$50=Y94,Y94=BUSCADOR!$B$47,Y94=BUSCADOR!$B$58,Y94=BUSCADOR!$B$21,Y94=BUSCADOR!$B$22,Y94=BUSCADOR!$B$23,Y94=BUSCADOR!$B$24)),"El delito indicado debe presentar un numero de victimas. Completar la celda CANTIDAD DE VICTIMAS",IF(AND(SUM(AJ94:AO94)&gt;0,ISBLANK(AP94)),"Completar celda VULNERABILIDAD DE LA VICTIMA",IF(SUM(AG94:AI94)&lt;&gt;SUM(AJ94:AO94),"Se indico una CANTIDAD DE VICTIMAS SEGUN SEXO diferente a SEGUN GENERO",IF(AND(ISBLANK(AR94),OR(Y94=BUSCADOR!$B$49,BUSCADOR!$B$50=Y94,Y94=BUSCADOR!$B$46,Y94=BUSCADOR!$B$109,BUSCADOR!$B$2=Y94,X94=BUSCADOR!$A$58,X94=BUSCADOR!$A$59)),"Completar la celda TIPO DE ARMA, MODALIDAD O MECANISMO",IF(AND(ISBLANK(AS94),OR(Y94=BUSCADOR!$B$51,BUSCADOR!$B$50=Y94,Y94=BUSCADOR!$B$47,BUSCADOR!$A$58=X94,X94=BUSCADOR!$A$59)),"Completar la celda CONOCIDO, en la seccion de los inculpados",IF(AND(AS94=BUSCADOR!$B$127,OR(Y94=BUSCADOR!$B$51,BUSCADOR!$B$50,Y94,BUSCADOR!$B$46),OR(SUM(AT94:AV94)&lt;&gt;SUM(AW94:AZ94),SUM(AT94:AZ94)=0)),"Revisar las celdas correspondientes a CANTIDAD DE INCULPADOS. Se indica una cantidad diferente segun SEXO y EDAD o no se indico cantidad alguna",IF(AND(ISBLANK(BA94),X94=BUSCADOR!$A$27),"Se indico una persona desaparecida. Completar la casilla APARECIO",IF(AND(ISBLANK(BB94),OR(Y94=BUSCADOR!$B$49,BUSCADOR!$B$50=Y94,Y94=BUSCADOR!$B$46)),"Completar la casilla ELEMENTO SUSTRAIDO",IF(OR(AND(BB94=OTROS[[#Headers],[OTROS]],ISBLANK(BC94)),AND(BB94=ABIGEATO[[#Headers],[ABIGEATO]],ISBLANK(BC94))),"Completar la celda SUBCATEGORIA",IF(AND(OR(BB94=MOTOCICLETA[[#Headers],[MOTOCICLETA]],BB94=AUTOMOTOR[[#Headers],[AUTOMOTOR]]),OR(ISBLANK(BC94),ISBLANK(BD94),ISBLANK(BE94),ISBLANK(BF94))),"Se indico un AUTOMOTOR o MOTOCICLETA en ELEMENTOS SUSTRAIDOS, completar las celdas SUBCATEGORIA, DENOMINACION, AÑO y MODELO", IF(AND(ISBLANK(BB94)&lt;&gt;TRUE,ISBLANK(BJ94)),"Completar MODUS OPERANDI",IF(AND(ISBLANK(BK94),OR(BJ94=BUSCADOR!$H$232,BJ94=BUSCADOR!$I$232)),"Completar ESPECIALIDAD",IF(OR(AND(H94='SAT-Homicidios Dolosos'!$B$5,'SAT-Homicidios Dolosos'!$A$5&lt;&gt;"OK"),AND(H94='SAT-Homicidios Dolosos'!$B$8,'SAT-Homicidios Dolosos'!$A$8&lt;&gt;"OK")),"Se indico un HOMICIDIO, existen CELDAS VACIAS en la hoja SAT-HOMICIDIOS DOLOSOS Completar los datos indicados",IF(OR(AND(H94='SAT-Muertes Viales'!$E$21,'SAT-Muertes Viales'!$A$21&lt;&gt;"OK"),AND(H94='SAT-Muertes Viales'!$E$25,'SAT-Muertes Viales'!$A$25&lt;&gt;"OK"),AND(H94='SAT-Muertes Viales'!$E$29,'SAT-Muertes Viales'!$A$29&lt;&gt;"OK")),"Se indico un HOMICIDIO POR SINIESTRO VIAL, existen CELDAS VACIAS en la hoja SAT-MUERTES VIALES Completar los datos indicados",IF(OR(AND(H94='SAT-Suicidios'!$B$19,'SAT-Suicidios'!$A$19&lt;&gt;"OK"),AND(H94='SAT-Suicidios'!$B$22,'SAT-Suicidios'!$A$22&lt;&gt;"OK"),AND(H94='SAT-Suicidios'!$B$25,'SAT-Suicidios'!$A$25&lt;&gt;"OK")),"Se indico un SUICIDIO, existen CELDAS VACIAS en la hoja SAT-SUICIDIOS Completar los datos indicados",IF(IFERROR(MATCH(X94,BUSCADOR!$A$2:$A$112,0),-1)&lt;0,"No se indico delito",IF(AND(ISBLANK(BL94),OR(X94=BUSCADOR!$A$111,X94=BUSCADOR!$A$110)),"Llenar la casilla DETALLES, COMENTARIOS con una descripcion de la causa",IF(AND(X94="MUERTE DUDOSA",ISBLANK(BL94)=FALSE),"SE INDICO MUERTE DUDOSA, NOS CONTACTAREMOS PARA MAS INFORMACION","FILA CORRECTA"))))))))))))))))))))))))))))))</f>
        <v>No se indico delito</v>
      </c>
      <c r="C94" s="42"/>
      <c r="D94" s="90"/>
      <c r="E94" s="47"/>
      <c r="F94" s="88"/>
      <c r="G94" s="221" t="str">
        <f t="shared" si="19"/>
        <v>Comisaría 15°</v>
      </c>
      <c r="H94" s="46"/>
      <c r="I94" s="52"/>
      <c r="J94" s="27"/>
      <c r="K94" s="27"/>
      <c r="L94" s="27"/>
      <c r="M94" s="27"/>
      <c r="N94" s="46"/>
      <c r="O94" s="55" t="str">
        <f t="shared" si="20"/>
        <v/>
      </c>
      <c r="P94" s="56" t="str">
        <f t="shared" si="21"/>
        <v/>
      </c>
      <c r="Q94" s="52"/>
      <c r="R94" s="46"/>
      <c r="S94" s="62"/>
      <c r="T94" s="57" t="str">
        <f>IFERROR(VLOOKUP(X94,BUSCADOR!$A$2:$E$112,5,FALSE),"")</f>
        <v/>
      </c>
      <c r="U94" s="107" t="str">
        <f t="shared" si="12"/>
        <v/>
      </c>
      <c r="V94" s="28" t="str">
        <f>IFERROR(VLOOKUP(X94,BUSCADOR!$A$2:$E$112,4,FALSE),"")</f>
        <v/>
      </c>
      <c r="W94" s="107" t="str">
        <f t="shared" si="13"/>
        <v/>
      </c>
      <c r="X94" s="27"/>
      <c r="Y94" s="58" t="str">
        <f>IFERROR(VLOOKUP(X94,BUSCADOR!$A$2:$B$112,2,FALSE),"")</f>
        <v/>
      </c>
      <c r="Z94" s="101" t="str">
        <f t="shared" si="14"/>
        <v>__</v>
      </c>
      <c r="AA94" s="103" t="str">
        <f t="shared" si="15"/>
        <v>___</v>
      </c>
      <c r="AB94" s="104" t="str">
        <f t="shared" si="16"/>
        <v>____</v>
      </c>
      <c r="AC94" s="104" t="str">
        <f t="shared" si="16"/>
        <v>_____</v>
      </c>
      <c r="AD94" s="83"/>
      <c r="AE94" s="45"/>
      <c r="AF94" s="66"/>
      <c r="AG94" s="212"/>
      <c r="AH94" s="213"/>
      <c r="AI94" s="214"/>
      <c r="AJ94" s="219"/>
      <c r="AK94" s="213"/>
      <c r="AL94" s="213"/>
      <c r="AM94" s="213"/>
      <c r="AN94" s="213"/>
      <c r="AO94" s="219"/>
      <c r="AP94" s="95"/>
      <c r="AQ94" s="186" t="str">
        <f t="shared" si="17"/>
        <v/>
      </c>
      <c r="AR94" s="66"/>
      <c r="AS94" s="76"/>
      <c r="AT94" s="225"/>
      <c r="AU94" s="213"/>
      <c r="AV94" s="214"/>
      <c r="AW94" s="226"/>
      <c r="AX94" s="213"/>
      <c r="AY94" s="213"/>
      <c r="AZ94" s="227"/>
      <c r="BA94" s="65"/>
      <c r="BB94" s="52"/>
      <c r="BC94" s="27"/>
      <c r="BD94" s="27"/>
      <c r="BE94" s="27"/>
      <c r="BF94" s="79"/>
      <c r="BG94" s="52"/>
      <c r="BH94" s="69"/>
      <c r="BI94" s="188" t="str">
        <f>IF(Y94=BUSCADOR!$B$46,"HURTO_",IF(OR(Y94=BUSCADOR!$B$49,Y94=BUSCADOR!$B$50),"ROBO_",""))</f>
        <v/>
      </c>
      <c r="BJ94" s="50"/>
      <c r="BK94" s="45"/>
      <c r="BL94" s="66"/>
      <c r="BM94" s="1" t="b">
        <f t="shared" si="18"/>
        <v>0</v>
      </c>
    </row>
    <row r="95" spans="1:65" ht="117.6" customHeight="1" x14ac:dyDescent="0.25">
      <c r="A95" s="171">
        <v>93</v>
      </c>
      <c r="B95" s="41" t="str">
        <f>IF(AND(BM95,ISBLANK(C95)),"Completar FECHA DE DENUNCIA",IF(AND(BM95,OR(ISBLANK(D95),ISBLANK(E95),ISBLANK(H95))),"Completar las celdas FECHA, HORA Y PREVENTIVO. En caso de no conocer la fecha u horario colocar INDETERMINADO",IF(AND(BM95,ISBLANK(G95)),"Completar COMISARIA",IF(AND(BM95,OR(ISBLANK(I95),ISBLANK(L95),ISBLANK(M95),O95="")),"Completar las celdas LOCALIDAD, CALLE, ALTURA Y DIRECCION SEGUN  GOOGLE MAPS",IF(AND(ISBLANK(J95),OR(I95=AÑELO[[#Headers],[AÑELO]],CENTENARIO[[#Headers],[CENTENARIO]]='PLANILLA DJ'!I95,CUTRAL_CO[[#Headers],[CUTRAL_CO]],JUNIN_DE_LOS_ANDES[[#Headers],[JUNIN_DE_LOS_ANDES]]='PLANILLA DJ'!I95,'PLANILLA DJ'!I95=NEUQUEN[[#Headers],[NEUQUEN]],PLAZA_HUINCUL[[#Headers],[PLAZA_HUINCUL]]='PLANILLA DJ'!I95,'PLANILLA DJ'!I95=PLOTTIER[[#Headers],[PLOTTIER]])),"COMPLETAR BARRIO",IF(AND(BM95,ISBLANK(Q95)),"Completar Nombre de VICTIMA o DENUNCIANTE",IF(AND(BM95,ISBLANK(R95)),"Completar TIPO DE ACTUACION",IF(AND(R95=BUSCADOR!$B$140,OR(X95&lt;&gt;BUSCADOR!$A$110,ISBLANK(X95))),"Se indico A CONSIDERACION en ACTUACION, indicar en el buscador de delitos A CONSIDERACION tambien",IF(AND(ISBLANK(X95)&lt;&gt;TRUE,IFERROR(MATCH(X95,BUSCADOR!$A$2:$A$112,0),-1)&lt;0),"EN EL BUSCADOR DE DELITOS NO agregar comentarios como SU INVESTIGACION, REPORTE, etc. Limitarse SOLAMENTE a poner A CONSIDERACION u otro valor que coincida en el buscador",IF(AND(ISBLANK(AD95),OR(Y95=BUSCADOR!$B$49,BUSCADOR!$B$50=Y95,Y95=BUSCADOR!$B$46,Y95=BUSCADOR!$B$2,Y95=BUSCADOR!$B$7,BUSCADOR!$B$109=Y95,X95=BUSCADOR!$A$58,X95=BUSCADOR!$A$59)),"Completar la celda TIPO DE LUGAR",IF(AND(ISBLANK(AE95),OR(AD95=BUSCADOR!$E$149,BUSCADOR!$E$150=AD95,AD95=BUSCADOR!$F$148)),"Completar DETALLE ESTABLECIMIENTO",IF(AND(ISBLANK(AF95),BM95),"Completar la celda MOTIVO QUE ORIGINA EL REGISTRO DEL HECHO",IF(AND(SUM(AG95:AI95)=0,OR(Y95=BUSCADOR!$B$2,BUSCADOR!$B$6=Y95,Y95=BUSCADOR!$B$7,BUSCADOR!$B$8=Y95,Y95=BUSCADOR!$B$9,BUSCADOR!$B$12=Y95,Y95=BUSCADOR!$B$13,BUSCADOR!$B$14=Y95,Y95=BUSCADOR!$B$17,BUSCADOR!$B$18=Y95,Y95=BUSCADOR!$B$20,BUSCADOR!$B$29=Y95,BUSCADOR!$B$34=Y95,BUSCADOR!$B$35=Y95,Y95=BUSCADOR!$B$109,Y95=BUSCADOR!$B$51,BUSCADOR!$B$50=Y95,Y95=BUSCADOR!$B$47,Y95=BUSCADOR!$B$58,Y95=BUSCADOR!$B$21,Y95=BUSCADOR!$B$22,Y95=BUSCADOR!$B$23,Y95=BUSCADOR!$B$24)),"El delito indicado debe presentar un numero de victimas. Completar la celda CANTIDAD DE VICTIMAS",IF(AND(SUM(AJ95:AO95)&gt;0,ISBLANK(AP95)),"Completar celda VULNERABILIDAD DE LA VICTIMA",IF(SUM(AG95:AI95)&lt;&gt;SUM(AJ95:AO95),"Se indico una CANTIDAD DE VICTIMAS SEGUN SEXO diferente a SEGUN GENERO",IF(AND(ISBLANK(AR95),OR(Y95=BUSCADOR!$B$49,BUSCADOR!$B$50=Y95,Y95=BUSCADOR!$B$46,Y95=BUSCADOR!$B$109,BUSCADOR!$B$2=Y95,X95=BUSCADOR!$A$58,X95=BUSCADOR!$A$59)),"Completar la celda TIPO DE ARMA, MODALIDAD O MECANISMO",IF(AND(ISBLANK(AS95),OR(Y95=BUSCADOR!$B$51,BUSCADOR!$B$50=Y95,Y95=BUSCADOR!$B$47,BUSCADOR!$A$58=X95,X95=BUSCADOR!$A$59)),"Completar la celda CONOCIDO, en la seccion de los inculpados",IF(AND(AS95=BUSCADOR!$B$127,OR(Y95=BUSCADOR!$B$51,BUSCADOR!$B$50,Y95,BUSCADOR!$B$46),OR(SUM(AT95:AV95)&lt;&gt;SUM(AW95:AZ95),SUM(AT95:AZ95)=0)),"Revisar las celdas correspondientes a CANTIDAD DE INCULPADOS. Se indica una cantidad diferente segun SEXO y EDAD o no se indico cantidad alguna",IF(AND(ISBLANK(BA95),X95=BUSCADOR!$A$27),"Se indico una persona desaparecida. Completar la casilla APARECIO",IF(AND(ISBLANK(BB95),OR(Y95=BUSCADOR!$B$49,BUSCADOR!$B$50=Y95,Y95=BUSCADOR!$B$46)),"Completar la casilla ELEMENTO SUSTRAIDO",IF(OR(AND(BB95=OTROS[[#Headers],[OTROS]],ISBLANK(BC95)),AND(BB95=ABIGEATO[[#Headers],[ABIGEATO]],ISBLANK(BC95))),"Completar la celda SUBCATEGORIA",IF(AND(OR(BB95=MOTOCICLETA[[#Headers],[MOTOCICLETA]],BB95=AUTOMOTOR[[#Headers],[AUTOMOTOR]]),OR(ISBLANK(BC95),ISBLANK(BD95),ISBLANK(BE95),ISBLANK(BF95))),"Se indico un AUTOMOTOR o MOTOCICLETA en ELEMENTOS SUSTRAIDOS, completar las celdas SUBCATEGORIA, DENOMINACION, AÑO y MODELO", IF(AND(ISBLANK(BB95)&lt;&gt;TRUE,ISBLANK(BJ95)),"Completar MODUS OPERANDI",IF(AND(ISBLANK(BK95),OR(BJ95=BUSCADOR!$H$232,BJ95=BUSCADOR!$I$232)),"Completar ESPECIALIDAD",IF(OR(AND(H95='SAT-Homicidios Dolosos'!$B$5,'SAT-Homicidios Dolosos'!$A$5&lt;&gt;"OK"),AND(H95='SAT-Homicidios Dolosos'!$B$8,'SAT-Homicidios Dolosos'!$A$8&lt;&gt;"OK")),"Se indico un HOMICIDIO, existen CELDAS VACIAS en la hoja SAT-HOMICIDIOS DOLOSOS Completar los datos indicados",IF(OR(AND(H95='SAT-Muertes Viales'!$E$21,'SAT-Muertes Viales'!$A$21&lt;&gt;"OK"),AND(H95='SAT-Muertes Viales'!$E$25,'SAT-Muertes Viales'!$A$25&lt;&gt;"OK"),AND(H95='SAT-Muertes Viales'!$E$29,'SAT-Muertes Viales'!$A$29&lt;&gt;"OK")),"Se indico un HOMICIDIO POR SINIESTRO VIAL, existen CELDAS VACIAS en la hoja SAT-MUERTES VIALES Completar los datos indicados",IF(OR(AND(H95='SAT-Suicidios'!$B$19,'SAT-Suicidios'!$A$19&lt;&gt;"OK"),AND(H95='SAT-Suicidios'!$B$22,'SAT-Suicidios'!$A$22&lt;&gt;"OK"),AND(H95='SAT-Suicidios'!$B$25,'SAT-Suicidios'!$A$25&lt;&gt;"OK")),"Se indico un SUICIDIO, existen CELDAS VACIAS en la hoja SAT-SUICIDIOS Completar los datos indicados",IF(IFERROR(MATCH(X95,BUSCADOR!$A$2:$A$112,0),-1)&lt;0,"No se indico delito",IF(AND(ISBLANK(BL95),OR(X95=BUSCADOR!$A$111,X95=BUSCADOR!$A$110)),"Llenar la casilla DETALLES, COMENTARIOS con una descripcion de la causa",IF(AND(X95="MUERTE DUDOSA",ISBLANK(BL95)=FALSE),"SE INDICO MUERTE DUDOSA, NOS CONTACTAREMOS PARA MAS INFORMACION","FILA CORRECTA"))))))))))))))))))))))))))))))</f>
        <v>No se indico delito</v>
      </c>
      <c r="C95" s="42"/>
      <c r="D95" s="90"/>
      <c r="E95" s="47"/>
      <c r="F95" s="88"/>
      <c r="G95" s="221" t="str">
        <f t="shared" si="19"/>
        <v>Comisaría 15°</v>
      </c>
      <c r="H95" s="46"/>
      <c r="I95" s="52"/>
      <c r="J95" s="27"/>
      <c r="K95" s="27"/>
      <c r="L95" s="27"/>
      <c r="M95" s="27"/>
      <c r="N95" s="46"/>
      <c r="O95" s="55" t="str">
        <f t="shared" si="20"/>
        <v/>
      </c>
      <c r="P95" s="56" t="str">
        <f t="shared" si="21"/>
        <v/>
      </c>
      <c r="Q95" s="52"/>
      <c r="R95" s="46"/>
      <c r="S95" s="62"/>
      <c r="T95" s="57" t="str">
        <f>IFERROR(VLOOKUP(X95,BUSCADOR!$A$2:$E$112,5,FALSE),"")</f>
        <v/>
      </c>
      <c r="U95" s="107" t="str">
        <f t="shared" si="12"/>
        <v/>
      </c>
      <c r="V95" s="28" t="str">
        <f>IFERROR(VLOOKUP(X95,BUSCADOR!$A$2:$E$112,4,FALSE),"")</f>
        <v/>
      </c>
      <c r="W95" s="107" t="str">
        <f t="shared" si="13"/>
        <v/>
      </c>
      <c r="X95" s="27"/>
      <c r="Y95" s="58" t="str">
        <f>IFERROR(VLOOKUP(X95,BUSCADOR!$A$2:$B$112,2,FALSE),"")</f>
        <v/>
      </c>
      <c r="Z95" s="101" t="str">
        <f t="shared" si="14"/>
        <v>__</v>
      </c>
      <c r="AA95" s="103" t="str">
        <f t="shared" si="15"/>
        <v>___</v>
      </c>
      <c r="AB95" s="104" t="str">
        <f t="shared" si="16"/>
        <v>____</v>
      </c>
      <c r="AC95" s="104" t="str">
        <f t="shared" si="16"/>
        <v>_____</v>
      </c>
      <c r="AD95" s="83"/>
      <c r="AE95" s="45"/>
      <c r="AF95" s="66"/>
      <c r="AG95" s="212"/>
      <c r="AH95" s="213"/>
      <c r="AI95" s="214"/>
      <c r="AJ95" s="219"/>
      <c r="AK95" s="213"/>
      <c r="AL95" s="213"/>
      <c r="AM95" s="213"/>
      <c r="AN95" s="213"/>
      <c r="AO95" s="219"/>
      <c r="AP95" s="95"/>
      <c r="AQ95" s="186" t="str">
        <f t="shared" si="17"/>
        <v/>
      </c>
      <c r="AR95" s="66"/>
      <c r="AS95" s="76"/>
      <c r="AT95" s="225"/>
      <c r="AU95" s="213"/>
      <c r="AV95" s="214"/>
      <c r="AW95" s="226"/>
      <c r="AX95" s="213"/>
      <c r="AY95" s="213"/>
      <c r="AZ95" s="227"/>
      <c r="BA95" s="65"/>
      <c r="BB95" s="52"/>
      <c r="BC95" s="27"/>
      <c r="BD95" s="27"/>
      <c r="BE95" s="27"/>
      <c r="BF95" s="79"/>
      <c r="BG95" s="52"/>
      <c r="BH95" s="69"/>
      <c r="BI95" s="188" t="str">
        <f>IF(Y95=BUSCADOR!$B$46,"HURTO_",IF(OR(Y95=BUSCADOR!$B$49,Y95=BUSCADOR!$B$50),"ROBO_",""))</f>
        <v/>
      </c>
      <c r="BJ95" s="50"/>
      <c r="BK95" s="45"/>
      <c r="BL95" s="66"/>
      <c r="BM95" s="1" t="b">
        <f t="shared" si="18"/>
        <v>0</v>
      </c>
    </row>
    <row r="96" spans="1:65" ht="117.6" customHeight="1" x14ac:dyDescent="0.25">
      <c r="A96" s="171">
        <v>94</v>
      </c>
      <c r="B96" s="41" t="str">
        <f>IF(AND(BM96,ISBLANK(C96)),"Completar FECHA DE DENUNCIA",IF(AND(BM96,OR(ISBLANK(D96),ISBLANK(E96),ISBLANK(H96))),"Completar las celdas FECHA, HORA Y PREVENTIVO. En caso de no conocer la fecha u horario colocar INDETERMINADO",IF(AND(BM96,ISBLANK(G96)),"Completar COMISARIA",IF(AND(BM96,OR(ISBLANK(I96),ISBLANK(L96),ISBLANK(M96),O96="")),"Completar las celdas LOCALIDAD, CALLE, ALTURA Y DIRECCION SEGUN  GOOGLE MAPS",IF(AND(ISBLANK(J96),OR(I96=AÑELO[[#Headers],[AÑELO]],CENTENARIO[[#Headers],[CENTENARIO]]='PLANILLA DJ'!I96,CUTRAL_CO[[#Headers],[CUTRAL_CO]],JUNIN_DE_LOS_ANDES[[#Headers],[JUNIN_DE_LOS_ANDES]]='PLANILLA DJ'!I96,'PLANILLA DJ'!I96=NEUQUEN[[#Headers],[NEUQUEN]],PLAZA_HUINCUL[[#Headers],[PLAZA_HUINCUL]]='PLANILLA DJ'!I96,'PLANILLA DJ'!I96=PLOTTIER[[#Headers],[PLOTTIER]])),"COMPLETAR BARRIO",IF(AND(BM96,ISBLANK(Q96)),"Completar Nombre de VICTIMA o DENUNCIANTE",IF(AND(BM96,ISBLANK(R96)),"Completar TIPO DE ACTUACION",IF(AND(R96=BUSCADOR!$B$140,OR(X96&lt;&gt;BUSCADOR!$A$110,ISBLANK(X96))),"Se indico A CONSIDERACION en ACTUACION, indicar en el buscador de delitos A CONSIDERACION tambien",IF(AND(ISBLANK(X96)&lt;&gt;TRUE,IFERROR(MATCH(X96,BUSCADOR!$A$2:$A$112,0),-1)&lt;0),"EN EL BUSCADOR DE DELITOS NO agregar comentarios como SU INVESTIGACION, REPORTE, etc. Limitarse SOLAMENTE a poner A CONSIDERACION u otro valor que coincida en el buscador",IF(AND(ISBLANK(AD96),OR(Y96=BUSCADOR!$B$49,BUSCADOR!$B$50=Y96,Y96=BUSCADOR!$B$46,Y96=BUSCADOR!$B$2,Y96=BUSCADOR!$B$7,BUSCADOR!$B$109=Y96,X96=BUSCADOR!$A$58,X96=BUSCADOR!$A$59)),"Completar la celda TIPO DE LUGAR",IF(AND(ISBLANK(AE96),OR(AD96=BUSCADOR!$E$149,BUSCADOR!$E$150=AD96,AD96=BUSCADOR!$F$148)),"Completar DETALLE ESTABLECIMIENTO",IF(AND(ISBLANK(AF96),BM96),"Completar la celda MOTIVO QUE ORIGINA EL REGISTRO DEL HECHO",IF(AND(SUM(AG96:AI96)=0,OR(Y96=BUSCADOR!$B$2,BUSCADOR!$B$6=Y96,Y96=BUSCADOR!$B$7,BUSCADOR!$B$8=Y96,Y96=BUSCADOR!$B$9,BUSCADOR!$B$12=Y96,Y96=BUSCADOR!$B$13,BUSCADOR!$B$14=Y96,Y96=BUSCADOR!$B$17,BUSCADOR!$B$18=Y96,Y96=BUSCADOR!$B$20,BUSCADOR!$B$29=Y96,BUSCADOR!$B$34=Y96,BUSCADOR!$B$35=Y96,Y96=BUSCADOR!$B$109,Y96=BUSCADOR!$B$51,BUSCADOR!$B$50=Y96,Y96=BUSCADOR!$B$47,Y96=BUSCADOR!$B$58,Y96=BUSCADOR!$B$21,Y96=BUSCADOR!$B$22,Y96=BUSCADOR!$B$23,Y96=BUSCADOR!$B$24)),"El delito indicado debe presentar un numero de victimas. Completar la celda CANTIDAD DE VICTIMAS",IF(AND(SUM(AJ96:AO96)&gt;0,ISBLANK(AP96)),"Completar celda VULNERABILIDAD DE LA VICTIMA",IF(SUM(AG96:AI96)&lt;&gt;SUM(AJ96:AO96),"Se indico una CANTIDAD DE VICTIMAS SEGUN SEXO diferente a SEGUN GENERO",IF(AND(ISBLANK(AR96),OR(Y96=BUSCADOR!$B$49,BUSCADOR!$B$50=Y96,Y96=BUSCADOR!$B$46,Y96=BUSCADOR!$B$109,BUSCADOR!$B$2=Y96,X96=BUSCADOR!$A$58,X96=BUSCADOR!$A$59)),"Completar la celda TIPO DE ARMA, MODALIDAD O MECANISMO",IF(AND(ISBLANK(AS96),OR(Y96=BUSCADOR!$B$51,BUSCADOR!$B$50=Y96,Y96=BUSCADOR!$B$47,BUSCADOR!$A$58=X96,X96=BUSCADOR!$A$59)),"Completar la celda CONOCIDO, en la seccion de los inculpados",IF(AND(AS96=BUSCADOR!$B$127,OR(Y96=BUSCADOR!$B$51,BUSCADOR!$B$50,Y96,BUSCADOR!$B$46),OR(SUM(AT96:AV96)&lt;&gt;SUM(AW96:AZ96),SUM(AT96:AZ96)=0)),"Revisar las celdas correspondientes a CANTIDAD DE INCULPADOS. Se indica una cantidad diferente segun SEXO y EDAD o no se indico cantidad alguna",IF(AND(ISBLANK(BA96),X96=BUSCADOR!$A$27),"Se indico una persona desaparecida. Completar la casilla APARECIO",IF(AND(ISBLANK(BB96),OR(Y96=BUSCADOR!$B$49,BUSCADOR!$B$50=Y96,Y96=BUSCADOR!$B$46)),"Completar la casilla ELEMENTO SUSTRAIDO",IF(OR(AND(BB96=OTROS[[#Headers],[OTROS]],ISBLANK(BC96)),AND(BB96=ABIGEATO[[#Headers],[ABIGEATO]],ISBLANK(BC96))),"Completar la celda SUBCATEGORIA",IF(AND(OR(BB96=MOTOCICLETA[[#Headers],[MOTOCICLETA]],BB96=AUTOMOTOR[[#Headers],[AUTOMOTOR]]),OR(ISBLANK(BC96),ISBLANK(BD96),ISBLANK(BE96),ISBLANK(BF96))),"Se indico un AUTOMOTOR o MOTOCICLETA en ELEMENTOS SUSTRAIDOS, completar las celdas SUBCATEGORIA, DENOMINACION, AÑO y MODELO", IF(AND(ISBLANK(BB96)&lt;&gt;TRUE,ISBLANK(BJ96)),"Completar MODUS OPERANDI",IF(AND(ISBLANK(BK96),OR(BJ96=BUSCADOR!$H$232,BJ96=BUSCADOR!$I$232)),"Completar ESPECIALIDAD",IF(OR(AND(H96='SAT-Homicidios Dolosos'!$B$5,'SAT-Homicidios Dolosos'!$A$5&lt;&gt;"OK"),AND(H96='SAT-Homicidios Dolosos'!$B$8,'SAT-Homicidios Dolosos'!$A$8&lt;&gt;"OK")),"Se indico un HOMICIDIO, existen CELDAS VACIAS en la hoja SAT-HOMICIDIOS DOLOSOS Completar los datos indicados",IF(OR(AND(H96='SAT-Muertes Viales'!$E$21,'SAT-Muertes Viales'!$A$21&lt;&gt;"OK"),AND(H96='SAT-Muertes Viales'!$E$25,'SAT-Muertes Viales'!$A$25&lt;&gt;"OK"),AND(H96='SAT-Muertes Viales'!$E$29,'SAT-Muertes Viales'!$A$29&lt;&gt;"OK")),"Se indico un HOMICIDIO POR SINIESTRO VIAL, existen CELDAS VACIAS en la hoja SAT-MUERTES VIALES Completar los datos indicados",IF(OR(AND(H96='SAT-Suicidios'!$B$19,'SAT-Suicidios'!$A$19&lt;&gt;"OK"),AND(H96='SAT-Suicidios'!$B$22,'SAT-Suicidios'!$A$22&lt;&gt;"OK"),AND(H96='SAT-Suicidios'!$B$25,'SAT-Suicidios'!$A$25&lt;&gt;"OK")),"Se indico un SUICIDIO, existen CELDAS VACIAS en la hoja SAT-SUICIDIOS Completar los datos indicados",IF(IFERROR(MATCH(X96,BUSCADOR!$A$2:$A$112,0),-1)&lt;0,"No se indico delito",IF(AND(ISBLANK(BL96),OR(X96=BUSCADOR!$A$111,X96=BUSCADOR!$A$110)),"Llenar la casilla DETALLES, COMENTARIOS con una descripcion de la causa",IF(AND(X96="MUERTE DUDOSA",ISBLANK(BL96)=FALSE),"SE INDICO MUERTE DUDOSA, NOS CONTACTAREMOS PARA MAS INFORMACION","FILA CORRECTA"))))))))))))))))))))))))))))))</f>
        <v>No se indico delito</v>
      </c>
      <c r="C96" s="42"/>
      <c r="D96" s="90"/>
      <c r="E96" s="47"/>
      <c r="F96" s="88"/>
      <c r="G96" s="221" t="str">
        <f t="shared" si="19"/>
        <v>Comisaría 15°</v>
      </c>
      <c r="H96" s="46"/>
      <c r="I96" s="52"/>
      <c r="J96" s="27"/>
      <c r="K96" s="27"/>
      <c r="L96" s="27"/>
      <c r="M96" s="27"/>
      <c r="N96" s="46"/>
      <c r="O96" s="55" t="str">
        <f t="shared" si="20"/>
        <v/>
      </c>
      <c r="P96" s="56" t="str">
        <f t="shared" si="21"/>
        <v/>
      </c>
      <c r="Q96" s="52"/>
      <c r="R96" s="46"/>
      <c r="S96" s="62"/>
      <c r="T96" s="57" t="str">
        <f>IFERROR(VLOOKUP(X96,BUSCADOR!$A$2:$E$112,5,FALSE),"")</f>
        <v/>
      </c>
      <c r="U96" s="107" t="str">
        <f t="shared" si="12"/>
        <v/>
      </c>
      <c r="V96" s="28" t="str">
        <f>IFERROR(VLOOKUP(X96,BUSCADOR!$A$2:$E$112,4,FALSE),"")</f>
        <v/>
      </c>
      <c r="W96" s="107" t="str">
        <f t="shared" si="13"/>
        <v/>
      </c>
      <c r="X96" s="27"/>
      <c r="Y96" s="58" t="str">
        <f>IFERROR(VLOOKUP(X96,BUSCADOR!$A$2:$B$112,2,FALSE),"")</f>
        <v/>
      </c>
      <c r="Z96" s="101" t="str">
        <f t="shared" si="14"/>
        <v>__</v>
      </c>
      <c r="AA96" s="103" t="str">
        <f t="shared" si="15"/>
        <v>___</v>
      </c>
      <c r="AB96" s="104" t="str">
        <f t="shared" si="16"/>
        <v>____</v>
      </c>
      <c r="AC96" s="104" t="str">
        <f t="shared" si="16"/>
        <v>_____</v>
      </c>
      <c r="AD96" s="83"/>
      <c r="AE96" s="45"/>
      <c r="AF96" s="66"/>
      <c r="AG96" s="212"/>
      <c r="AH96" s="213"/>
      <c r="AI96" s="214"/>
      <c r="AJ96" s="219"/>
      <c r="AK96" s="213"/>
      <c r="AL96" s="213"/>
      <c r="AM96" s="213"/>
      <c r="AN96" s="213"/>
      <c r="AO96" s="219"/>
      <c r="AP96" s="95"/>
      <c r="AQ96" s="186" t="str">
        <f t="shared" si="17"/>
        <v/>
      </c>
      <c r="AR96" s="66"/>
      <c r="AS96" s="76"/>
      <c r="AT96" s="225"/>
      <c r="AU96" s="213"/>
      <c r="AV96" s="214"/>
      <c r="AW96" s="226"/>
      <c r="AX96" s="213"/>
      <c r="AY96" s="213"/>
      <c r="AZ96" s="227"/>
      <c r="BA96" s="65"/>
      <c r="BB96" s="52"/>
      <c r="BC96" s="27"/>
      <c r="BD96" s="27"/>
      <c r="BE96" s="27"/>
      <c r="BF96" s="79"/>
      <c r="BG96" s="52"/>
      <c r="BH96" s="69"/>
      <c r="BI96" s="188" t="str">
        <f>IF(Y96=BUSCADOR!$B$46,"HURTO_",IF(OR(Y96=BUSCADOR!$B$49,Y96=BUSCADOR!$B$50),"ROBO_",""))</f>
        <v/>
      </c>
      <c r="BJ96" s="50"/>
      <c r="BK96" s="45"/>
      <c r="BL96" s="66"/>
      <c r="BM96" s="1" t="b">
        <f t="shared" si="18"/>
        <v>0</v>
      </c>
    </row>
    <row r="97" spans="1:65" ht="117.6" customHeight="1" x14ac:dyDescent="0.25">
      <c r="A97" s="171">
        <v>95</v>
      </c>
      <c r="B97" s="41" t="str">
        <f>IF(AND(BM97,ISBLANK(C97)),"Completar FECHA DE DENUNCIA",IF(AND(BM97,OR(ISBLANK(D97),ISBLANK(E97),ISBLANK(H97))),"Completar las celdas FECHA, HORA Y PREVENTIVO. En caso de no conocer la fecha u horario colocar INDETERMINADO",IF(AND(BM97,ISBLANK(G97)),"Completar COMISARIA",IF(AND(BM97,OR(ISBLANK(I97),ISBLANK(L97),ISBLANK(M97),O97="")),"Completar las celdas LOCALIDAD, CALLE, ALTURA Y DIRECCION SEGUN  GOOGLE MAPS",IF(AND(ISBLANK(J97),OR(I97=AÑELO[[#Headers],[AÑELO]],CENTENARIO[[#Headers],[CENTENARIO]]='PLANILLA DJ'!I97,CUTRAL_CO[[#Headers],[CUTRAL_CO]],JUNIN_DE_LOS_ANDES[[#Headers],[JUNIN_DE_LOS_ANDES]]='PLANILLA DJ'!I97,'PLANILLA DJ'!I97=NEUQUEN[[#Headers],[NEUQUEN]],PLAZA_HUINCUL[[#Headers],[PLAZA_HUINCUL]]='PLANILLA DJ'!I97,'PLANILLA DJ'!I97=PLOTTIER[[#Headers],[PLOTTIER]])),"COMPLETAR BARRIO",IF(AND(BM97,ISBLANK(Q97)),"Completar Nombre de VICTIMA o DENUNCIANTE",IF(AND(BM97,ISBLANK(R97)),"Completar TIPO DE ACTUACION",IF(AND(R97=BUSCADOR!$B$140,OR(X97&lt;&gt;BUSCADOR!$A$110,ISBLANK(X97))),"Se indico A CONSIDERACION en ACTUACION, indicar en el buscador de delitos A CONSIDERACION tambien",IF(AND(ISBLANK(X97)&lt;&gt;TRUE,IFERROR(MATCH(X97,BUSCADOR!$A$2:$A$112,0),-1)&lt;0),"EN EL BUSCADOR DE DELITOS NO agregar comentarios como SU INVESTIGACION, REPORTE, etc. Limitarse SOLAMENTE a poner A CONSIDERACION u otro valor que coincida en el buscador",IF(AND(ISBLANK(AD97),OR(Y97=BUSCADOR!$B$49,BUSCADOR!$B$50=Y97,Y97=BUSCADOR!$B$46,Y97=BUSCADOR!$B$2,Y97=BUSCADOR!$B$7,BUSCADOR!$B$109=Y97,X97=BUSCADOR!$A$58,X97=BUSCADOR!$A$59)),"Completar la celda TIPO DE LUGAR",IF(AND(ISBLANK(AE97),OR(AD97=BUSCADOR!$E$149,BUSCADOR!$E$150=AD97,AD97=BUSCADOR!$F$148)),"Completar DETALLE ESTABLECIMIENTO",IF(AND(ISBLANK(AF97),BM97),"Completar la celda MOTIVO QUE ORIGINA EL REGISTRO DEL HECHO",IF(AND(SUM(AG97:AI97)=0,OR(Y97=BUSCADOR!$B$2,BUSCADOR!$B$6=Y97,Y97=BUSCADOR!$B$7,BUSCADOR!$B$8=Y97,Y97=BUSCADOR!$B$9,BUSCADOR!$B$12=Y97,Y97=BUSCADOR!$B$13,BUSCADOR!$B$14=Y97,Y97=BUSCADOR!$B$17,BUSCADOR!$B$18=Y97,Y97=BUSCADOR!$B$20,BUSCADOR!$B$29=Y97,BUSCADOR!$B$34=Y97,BUSCADOR!$B$35=Y97,Y97=BUSCADOR!$B$109,Y97=BUSCADOR!$B$51,BUSCADOR!$B$50=Y97,Y97=BUSCADOR!$B$47,Y97=BUSCADOR!$B$58,Y97=BUSCADOR!$B$21,Y97=BUSCADOR!$B$22,Y97=BUSCADOR!$B$23,Y97=BUSCADOR!$B$24)),"El delito indicado debe presentar un numero de victimas. Completar la celda CANTIDAD DE VICTIMAS",IF(AND(SUM(AJ97:AO97)&gt;0,ISBLANK(AP97)),"Completar celda VULNERABILIDAD DE LA VICTIMA",IF(SUM(AG97:AI97)&lt;&gt;SUM(AJ97:AO97),"Se indico una CANTIDAD DE VICTIMAS SEGUN SEXO diferente a SEGUN GENERO",IF(AND(ISBLANK(AR97),OR(Y97=BUSCADOR!$B$49,BUSCADOR!$B$50=Y97,Y97=BUSCADOR!$B$46,Y97=BUSCADOR!$B$109,BUSCADOR!$B$2=Y97,X97=BUSCADOR!$A$58,X97=BUSCADOR!$A$59)),"Completar la celda TIPO DE ARMA, MODALIDAD O MECANISMO",IF(AND(ISBLANK(AS97),OR(Y97=BUSCADOR!$B$51,BUSCADOR!$B$50=Y97,Y97=BUSCADOR!$B$47,BUSCADOR!$A$58=X97,X97=BUSCADOR!$A$59)),"Completar la celda CONOCIDO, en la seccion de los inculpados",IF(AND(AS97=BUSCADOR!$B$127,OR(Y97=BUSCADOR!$B$51,BUSCADOR!$B$50,Y97,BUSCADOR!$B$46),OR(SUM(AT97:AV97)&lt;&gt;SUM(AW97:AZ97),SUM(AT97:AZ97)=0)),"Revisar las celdas correspondientes a CANTIDAD DE INCULPADOS. Se indica una cantidad diferente segun SEXO y EDAD o no se indico cantidad alguna",IF(AND(ISBLANK(BA97),X97=BUSCADOR!$A$27),"Se indico una persona desaparecida. Completar la casilla APARECIO",IF(AND(ISBLANK(BB97),OR(Y97=BUSCADOR!$B$49,BUSCADOR!$B$50=Y97,Y97=BUSCADOR!$B$46)),"Completar la casilla ELEMENTO SUSTRAIDO",IF(OR(AND(BB97=OTROS[[#Headers],[OTROS]],ISBLANK(BC97)),AND(BB97=ABIGEATO[[#Headers],[ABIGEATO]],ISBLANK(BC97))),"Completar la celda SUBCATEGORIA",IF(AND(OR(BB97=MOTOCICLETA[[#Headers],[MOTOCICLETA]],BB97=AUTOMOTOR[[#Headers],[AUTOMOTOR]]),OR(ISBLANK(BC97),ISBLANK(BD97),ISBLANK(BE97),ISBLANK(BF97))),"Se indico un AUTOMOTOR o MOTOCICLETA en ELEMENTOS SUSTRAIDOS, completar las celdas SUBCATEGORIA, DENOMINACION, AÑO y MODELO", IF(AND(ISBLANK(BB97)&lt;&gt;TRUE,ISBLANK(BJ97)),"Completar MODUS OPERANDI",IF(AND(ISBLANK(BK97),OR(BJ97=BUSCADOR!$H$232,BJ97=BUSCADOR!$I$232)),"Completar ESPECIALIDAD",IF(OR(AND(H97='SAT-Homicidios Dolosos'!$B$5,'SAT-Homicidios Dolosos'!$A$5&lt;&gt;"OK"),AND(H97='SAT-Homicidios Dolosos'!$B$8,'SAT-Homicidios Dolosos'!$A$8&lt;&gt;"OK")),"Se indico un HOMICIDIO, existen CELDAS VACIAS en la hoja SAT-HOMICIDIOS DOLOSOS Completar los datos indicados",IF(OR(AND(H97='SAT-Muertes Viales'!$E$21,'SAT-Muertes Viales'!$A$21&lt;&gt;"OK"),AND(H97='SAT-Muertes Viales'!$E$25,'SAT-Muertes Viales'!$A$25&lt;&gt;"OK"),AND(H97='SAT-Muertes Viales'!$E$29,'SAT-Muertes Viales'!$A$29&lt;&gt;"OK")),"Se indico un HOMICIDIO POR SINIESTRO VIAL, existen CELDAS VACIAS en la hoja SAT-MUERTES VIALES Completar los datos indicados",IF(OR(AND(H97='SAT-Suicidios'!$B$19,'SAT-Suicidios'!$A$19&lt;&gt;"OK"),AND(H97='SAT-Suicidios'!$B$22,'SAT-Suicidios'!$A$22&lt;&gt;"OK"),AND(H97='SAT-Suicidios'!$B$25,'SAT-Suicidios'!$A$25&lt;&gt;"OK")),"Se indico un SUICIDIO, existen CELDAS VACIAS en la hoja SAT-SUICIDIOS Completar los datos indicados",IF(IFERROR(MATCH(X97,BUSCADOR!$A$2:$A$112,0),-1)&lt;0,"No se indico delito",IF(AND(ISBLANK(BL97),OR(X97=BUSCADOR!$A$111,X97=BUSCADOR!$A$110)),"Llenar la casilla DETALLES, COMENTARIOS con una descripcion de la causa",IF(AND(X97="MUERTE DUDOSA",ISBLANK(BL97)=FALSE),"SE INDICO MUERTE DUDOSA, NOS CONTACTAREMOS PARA MAS INFORMACION","FILA CORRECTA"))))))))))))))))))))))))))))))</f>
        <v>No se indico delito</v>
      </c>
      <c r="C97" s="42"/>
      <c r="D97" s="90"/>
      <c r="E97" s="47"/>
      <c r="F97" s="88"/>
      <c r="G97" s="221" t="str">
        <f t="shared" si="19"/>
        <v>Comisaría 15°</v>
      </c>
      <c r="H97" s="46"/>
      <c r="I97" s="52"/>
      <c r="J97" s="27"/>
      <c r="K97" s="27"/>
      <c r="L97" s="27"/>
      <c r="M97" s="27"/>
      <c r="N97" s="46"/>
      <c r="O97" s="55" t="str">
        <f t="shared" si="20"/>
        <v/>
      </c>
      <c r="P97" s="56" t="str">
        <f t="shared" si="21"/>
        <v/>
      </c>
      <c r="Q97" s="52"/>
      <c r="R97" s="46"/>
      <c r="S97" s="62"/>
      <c r="T97" s="57" t="str">
        <f>IFERROR(VLOOKUP(X97,BUSCADOR!$A$2:$E$112,5,FALSE),"")</f>
        <v/>
      </c>
      <c r="U97" s="107" t="str">
        <f t="shared" si="12"/>
        <v/>
      </c>
      <c r="V97" s="28" t="str">
        <f>IFERROR(VLOOKUP(X97,BUSCADOR!$A$2:$E$112,4,FALSE),"")</f>
        <v/>
      </c>
      <c r="W97" s="107" t="str">
        <f t="shared" si="13"/>
        <v/>
      </c>
      <c r="X97" s="27"/>
      <c r="Y97" s="58" t="str">
        <f>IFERROR(VLOOKUP(X97,BUSCADOR!$A$2:$B$112,2,FALSE),"")</f>
        <v/>
      </c>
      <c r="Z97" s="101" t="str">
        <f t="shared" si="14"/>
        <v>__</v>
      </c>
      <c r="AA97" s="103" t="str">
        <f t="shared" si="15"/>
        <v>___</v>
      </c>
      <c r="AB97" s="104" t="str">
        <f t="shared" si="16"/>
        <v>____</v>
      </c>
      <c r="AC97" s="104" t="str">
        <f t="shared" si="16"/>
        <v>_____</v>
      </c>
      <c r="AD97" s="83"/>
      <c r="AE97" s="45"/>
      <c r="AF97" s="66"/>
      <c r="AG97" s="212"/>
      <c r="AH97" s="213"/>
      <c r="AI97" s="214"/>
      <c r="AJ97" s="219"/>
      <c r="AK97" s="213"/>
      <c r="AL97" s="213"/>
      <c r="AM97" s="213"/>
      <c r="AN97" s="213"/>
      <c r="AO97" s="219"/>
      <c r="AP97" s="95"/>
      <c r="AQ97" s="186" t="str">
        <f t="shared" si="17"/>
        <v/>
      </c>
      <c r="AR97" s="66"/>
      <c r="AS97" s="76"/>
      <c r="AT97" s="225"/>
      <c r="AU97" s="213"/>
      <c r="AV97" s="214"/>
      <c r="AW97" s="226"/>
      <c r="AX97" s="213"/>
      <c r="AY97" s="213"/>
      <c r="AZ97" s="227"/>
      <c r="BA97" s="65"/>
      <c r="BB97" s="52"/>
      <c r="BC97" s="27"/>
      <c r="BD97" s="27"/>
      <c r="BE97" s="27"/>
      <c r="BF97" s="79"/>
      <c r="BG97" s="52"/>
      <c r="BH97" s="69"/>
      <c r="BI97" s="188" t="str">
        <f>IF(Y97=BUSCADOR!$B$46,"HURTO_",IF(OR(Y97=BUSCADOR!$B$49,Y97=BUSCADOR!$B$50),"ROBO_",""))</f>
        <v/>
      </c>
      <c r="BJ97" s="50"/>
      <c r="BK97" s="45"/>
      <c r="BL97" s="66"/>
      <c r="BM97" s="1" t="b">
        <f t="shared" si="18"/>
        <v>0</v>
      </c>
    </row>
    <row r="98" spans="1:65" ht="117.6" customHeight="1" x14ac:dyDescent="0.25">
      <c r="A98" s="171">
        <v>96</v>
      </c>
      <c r="B98" s="41" t="str">
        <f>IF(AND(BM98,ISBLANK(C98)),"Completar FECHA DE DENUNCIA",IF(AND(BM98,OR(ISBLANK(D98),ISBLANK(E98),ISBLANK(H98))),"Completar las celdas FECHA, HORA Y PREVENTIVO. En caso de no conocer la fecha u horario colocar INDETERMINADO",IF(AND(BM98,ISBLANK(G98)),"Completar COMISARIA",IF(AND(BM98,OR(ISBLANK(I98),ISBLANK(L98),ISBLANK(M98),O98="")),"Completar las celdas LOCALIDAD, CALLE, ALTURA Y DIRECCION SEGUN  GOOGLE MAPS",IF(AND(ISBLANK(J98),OR(I98=AÑELO[[#Headers],[AÑELO]],CENTENARIO[[#Headers],[CENTENARIO]]='PLANILLA DJ'!I98,CUTRAL_CO[[#Headers],[CUTRAL_CO]],JUNIN_DE_LOS_ANDES[[#Headers],[JUNIN_DE_LOS_ANDES]]='PLANILLA DJ'!I98,'PLANILLA DJ'!I98=NEUQUEN[[#Headers],[NEUQUEN]],PLAZA_HUINCUL[[#Headers],[PLAZA_HUINCUL]]='PLANILLA DJ'!I98,'PLANILLA DJ'!I98=PLOTTIER[[#Headers],[PLOTTIER]])),"COMPLETAR BARRIO",IF(AND(BM98,ISBLANK(Q98)),"Completar Nombre de VICTIMA o DENUNCIANTE",IF(AND(BM98,ISBLANK(R98)),"Completar TIPO DE ACTUACION",IF(AND(R98=BUSCADOR!$B$140,OR(X98&lt;&gt;BUSCADOR!$A$110,ISBLANK(X98))),"Se indico A CONSIDERACION en ACTUACION, indicar en el buscador de delitos A CONSIDERACION tambien",IF(AND(ISBLANK(X98)&lt;&gt;TRUE,IFERROR(MATCH(X98,BUSCADOR!$A$2:$A$112,0),-1)&lt;0),"EN EL BUSCADOR DE DELITOS NO agregar comentarios como SU INVESTIGACION, REPORTE, etc. Limitarse SOLAMENTE a poner A CONSIDERACION u otro valor que coincida en el buscador",IF(AND(ISBLANK(AD98),OR(Y98=BUSCADOR!$B$49,BUSCADOR!$B$50=Y98,Y98=BUSCADOR!$B$46,Y98=BUSCADOR!$B$2,Y98=BUSCADOR!$B$7,BUSCADOR!$B$109=Y98,X98=BUSCADOR!$A$58,X98=BUSCADOR!$A$59)),"Completar la celda TIPO DE LUGAR",IF(AND(ISBLANK(AE98),OR(AD98=BUSCADOR!$E$149,BUSCADOR!$E$150=AD98,AD98=BUSCADOR!$F$148)),"Completar DETALLE ESTABLECIMIENTO",IF(AND(ISBLANK(AF98),BM98),"Completar la celda MOTIVO QUE ORIGINA EL REGISTRO DEL HECHO",IF(AND(SUM(AG98:AI98)=0,OR(Y98=BUSCADOR!$B$2,BUSCADOR!$B$6=Y98,Y98=BUSCADOR!$B$7,BUSCADOR!$B$8=Y98,Y98=BUSCADOR!$B$9,BUSCADOR!$B$12=Y98,Y98=BUSCADOR!$B$13,BUSCADOR!$B$14=Y98,Y98=BUSCADOR!$B$17,BUSCADOR!$B$18=Y98,Y98=BUSCADOR!$B$20,BUSCADOR!$B$29=Y98,BUSCADOR!$B$34=Y98,BUSCADOR!$B$35=Y98,Y98=BUSCADOR!$B$109,Y98=BUSCADOR!$B$51,BUSCADOR!$B$50=Y98,Y98=BUSCADOR!$B$47,Y98=BUSCADOR!$B$58,Y98=BUSCADOR!$B$21,Y98=BUSCADOR!$B$22,Y98=BUSCADOR!$B$23,Y98=BUSCADOR!$B$24)),"El delito indicado debe presentar un numero de victimas. Completar la celda CANTIDAD DE VICTIMAS",IF(AND(SUM(AJ98:AO98)&gt;0,ISBLANK(AP98)),"Completar celda VULNERABILIDAD DE LA VICTIMA",IF(SUM(AG98:AI98)&lt;&gt;SUM(AJ98:AO98),"Se indico una CANTIDAD DE VICTIMAS SEGUN SEXO diferente a SEGUN GENERO",IF(AND(ISBLANK(AR98),OR(Y98=BUSCADOR!$B$49,BUSCADOR!$B$50=Y98,Y98=BUSCADOR!$B$46,Y98=BUSCADOR!$B$109,BUSCADOR!$B$2=Y98,X98=BUSCADOR!$A$58,X98=BUSCADOR!$A$59)),"Completar la celda TIPO DE ARMA, MODALIDAD O MECANISMO",IF(AND(ISBLANK(AS98),OR(Y98=BUSCADOR!$B$51,BUSCADOR!$B$50=Y98,Y98=BUSCADOR!$B$47,BUSCADOR!$A$58=X98,X98=BUSCADOR!$A$59)),"Completar la celda CONOCIDO, en la seccion de los inculpados",IF(AND(AS98=BUSCADOR!$B$127,OR(Y98=BUSCADOR!$B$51,BUSCADOR!$B$50,Y98,BUSCADOR!$B$46),OR(SUM(AT98:AV98)&lt;&gt;SUM(AW98:AZ98),SUM(AT98:AZ98)=0)),"Revisar las celdas correspondientes a CANTIDAD DE INCULPADOS. Se indica una cantidad diferente segun SEXO y EDAD o no se indico cantidad alguna",IF(AND(ISBLANK(BA98),X98=BUSCADOR!$A$27),"Se indico una persona desaparecida. Completar la casilla APARECIO",IF(AND(ISBLANK(BB98),OR(Y98=BUSCADOR!$B$49,BUSCADOR!$B$50=Y98,Y98=BUSCADOR!$B$46)),"Completar la casilla ELEMENTO SUSTRAIDO",IF(OR(AND(BB98=OTROS[[#Headers],[OTROS]],ISBLANK(BC98)),AND(BB98=ABIGEATO[[#Headers],[ABIGEATO]],ISBLANK(BC98))),"Completar la celda SUBCATEGORIA",IF(AND(OR(BB98=MOTOCICLETA[[#Headers],[MOTOCICLETA]],BB98=AUTOMOTOR[[#Headers],[AUTOMOTOR]]),OR(ISBLANK(BC98),ISBLANK(BD98),ISBLANK(BE98),ISBLANK(BF98))),"Se indico un AUTOMOTOR o MOTOCICLETA en ELEMENTOS SUSTRAIDOS, completar las celdas SUBCATEGORIA, DENOMINACION, AÑO y MODELO", IF(AND(ISBLANK(BB98)&lt;&gt;TRUE,ISBLANK(BJ98)),"Completar MODUS OPERANDI",IF(AND(ISBLANK(BK98),OR(BJ98=BUSCADOR!$H$232,BJ98=BUSCADOR!$I$232)),"Completar ESPECIALIDAD",IF(OR(AND(H98='SAT-Homicidios Dolosos'!$B$5,'SAT-Homicidios Dolosos'!$A$5&lt;&gt;"OK"),AND(H98='SAT-Homicidios Dolosos'!$B$8,'SAT-Homicidios Dolosos'!$A$8&lt;&gt;"OK")),"Se indico un HOMICIDIO, existen CELDAS VACIAS en la hoja SAT-HOMICIDIOS DOLOSOS Completar los datos indicados",IF(OR(AND(H98='SAT-Muertes Viales'!$E$21,'SAT-Muertes Viales'!$A$21&lt;&gt;"OK"),AND(H98='SAT-Muertes Viales'!$E$25,'SAT-Muertes Viales'!$A$25&lt;&gt;"OK"),AND(H98='SAT-Muertes Viales'!$E$29,'SAT-Muertes Viales'!$A$29&lt;&gt;"OK")),"Se indico un HOMICIDIO POR SINIESTRO VIAL, existen CELDAS VACIAS en la hoja SAT-MUERTES VIALES Completar los datos indicados",IF(OR(AND(H98='SAT-Suicidios'!$B$19,'SAT-Suicidios'!$A$19&lt;&gt;"OK"),AND(H98='SAT-Suicidios'!$B$22,'SAT-Suicidios'!$A$22&lt;&gt;"OK"),AND(H98='SAT-Suicidios'!$B$25,'SAT-Suicidios'!$A$25&lt;&gt;"OK")),"Se indico un SUICIDIO, existen CELDAS VACIAS en la hoja SAT-SUICIDIOS Completar los datos indicados",IF(IFERROR(MATCH(X98,BUSCADOR!$A$2:$A$112,0),-1)&lt;0,"No se indico delito",IF(AND(ISBLANK(BL98),OR(X98=BUSCADOR!$A$111,X98=BUSCADOR!$A$110)),"Llenar la casilla DETALLES, COMENTARIOS con una descripcion de la causa",IF(AND(X98="MUERTE DUDOSA",ISBLANK(BL98)=FALSE),"SE INDICO MUERTE DUDOSA, NOS CONTACTAREMOS PARA MAS INFORMACION","FILA CORRECTA"))))))))))))))))))))))))))))))</f>
        <v>No se indico delito</v>
      </c>
      <c r="C98" s="42"/>
      <c r="D98" s="90"/>
      <c r="E98" s="47"/>
      <c r="F98" s="88"/>
      <c r="G98" s="221" t="str">
        <f t="shared" si="19"/>
        <v>Comisaría 15°</v>
      </c>
      <c r="H98" s="46"/>
      <c r="I98" s="52"/>
      <c r="J98" s="27"/>
      <c r="K98" s="27"/>
      <c r="L98" s="27"/>
      <c r="M98" s="27"/>
      <c r="N98" s="46"/>
      <c r="O98" s="55" t="str">
        <f t="shared" si="20"/>
        <v/>
      </c>
      <c r="P98" s="56" t="str">
        <f t="shared" si="21"/>
        <v/>
      </c>
      <c r="Q98" s="52"/>
      <c r="R98" s="46"/>
      <c r="S98" s="62"/>
      <c r="T98" s="57" t="str">
        <f>IFERROR(VLOOKUP(X98,BUSCADOR!$A$2:$E$112,5,FALSE),"")</f>
        <v/>
      </c>
      <c r="U98" s="107" t="str">
        <f t="shared" si="12"/>
        <v/>
      </c>
      <c r="V98" s="28" t="str">
        <f>IFERROR(VLOOKUP(X98,BUSCADOR!$A$2:$E$112,4,FALSE),"")</f>
        <v/>
      </c>
      <c r="W98" s="107" t="str">
        <f t="shared" si="13"/>
        <v/>
      </c>
      <c r="X98" s="27"/>
      <c r="Y98" s="58" t="str">
        <f>IFERROR(VLOOKUP(X98,BUSCADOR!$A$2:$B$112,2,FALSE),"")</f>
        <v/>
      </c>
      <c r="Z98" s="101" t="str">
        <f t="shared" si="14"/>
        <v>__</v>
      </c>
      <c r="AA98" s="103" t="str">
        <f t="shared" si="15"/>
        <v>___</v>
      </c>
      <c r="AB98" s="104" t="str">
        <f t="shared" si="16"/>
        <v>____</v>
      </c>
      <c r="AC98" s="104" t="str">
        <f t="shared" si="16"/>
        <v>_____</v>
      </c>
      <c r="AD98" s="83"/>
      <c r="AE98" s="45"/>
      <c r="AF98" s="66"/>
      <c r="AG98" s="212"/>
      <c r="AH98" s="213"/>
      <c r="AI98" s="214"/>
      <c r="AJ98" s="219"/>
      <c r="AK98" s="213"/>
      <c r="AL98" s="213"/>
      <c r="AM98" s="213"/>
      <c r="AN98" s="213"/>
      <c r="AO98" s="219"/>
      <c r="AP98" s="95"/>
      <c r="AQ98" s="186" t="str">
        <f t="shared" si="17"/>
        <v/>
      </c>
      <c r="AR98" s="66"/>
      <c r="AS98" s="76"/>
      <c r="AT98" s="225"/>
      <c r="AU98" s="213"/>
      <c r="AV98" s="214"/>
      <c r="AW98" s="226"/>
      <c r="AX98" s="213"/>
      <c r="AY98" s="213"/>
      <c r="AZ98" s="227"/>
      <c r="BA98" s="65"/>
      <c r="BB98" s="52"/>
      <c r="BC98" s="27"/>
      <c r="BD98" s="27"/>
      <c r="BE98" s="27"/>
      <c r="BF98" s="79"/>
      <c r="BG98" s="52"/>
      <c r="BH98" s="69"/>
      <c r="BI98" s="188" t="str">
        <f>IF(Y98=BUSCADOR!$B$46,"HURTO_",IF(OR(Y98=BUSCADOR!$B$49,Y98=BUSCADOR!$B$50),"ROBO_",""))</f>
        <v/>
      </c>
      <c r="BJ98" s="50"/>
      <c r="BK98" s="45"/>
      <c r="BL98" s="66"/>
      <c r="BM98" s="1" t="b">
        <f t="shared" si="18"/>
        <v>0</v>
      </c>
    </row>
    <row r="99" spans="1:65" ht="117.6" customHeight="1" x14ac:dyDescent="0.25">
      <c r="A99" s="171">
        <v>97</v>
      </c>
      <c r="B99" s="41" t="str">
        <f>IF(AND(BM99,ISBLANK(C99)),"Completar FECHA DE DENUNCIA",IF(AND(BM99,OR(ISBLANK(D99),ISBLANK(E99),ISBLANK(H99))),"Completar las celdas FECHA, HORA Y PREVENTIVO. En caso de no conocer la fecha u horario colocar INDETERMINADO",IF(AND(BM99,ISBLANK(G99)),"Completar COMISARIA",IF(AND(BM99,OR(ISBLANK(I99),ISBLANK(L99),ISBLANK(M99),O99="")),"Completar las celdas LOCALIDAD, CALLE, ALTURA Y DIRECCION SEGUN  GOOGLE MAPS",IF(AND(ISBLANK(J99),OR(I99=AÑELO[[#Headers],[AÑELO]],CENTENARIO[[#Headers],[CENTENARIO]]='PLANILLA DJ'!I99,CUTRAL_CO[[#Headers],[CUTRAL_CO]],JUNIN_DE_LOS_ANDES[[#Headers],[JUNIN_DE_LOS_ANDES]]='PLANILLA DJ'!I99,'PLANILLA DJ'!I99=NEUQUEN[[#Headers],[NEUQUEN]],PLAZA_HUINCUL[[#Headers],[PLAZA_HUINCUL]]='PLANILLA DJ'!I99,'PLANILLA DJ'!I99=PLOTTIER[[#Headers],[PLOTTIER]])),"COMPLETAR BARRIO",IF(AND(BM99,ISBLANK(Q99)),"Completar Nombre de VICTIMA o DENUNCIANTE",IF(AND(BM99,ISBLANK(R99)),"Completar TIPO DE ACTUACION",IF(AND(R99=BUSCADOR!$B$140,OR(X99&lt;&gt;BUSCADOR!$A$110,ISBLANK(X99))),"Se indico A CONSIDERACION en ACTUACION, indicar en el buscador de delitos A CONSIDERACION tambien",IF(AND(ISBLANK(X99)&lt;&gt;TRUE,IFERROR(MATCH(X99,BUSCADOR!$A$2:$A$112,0),-1)&lt;0),"EN EL BUSCADOR DE DELITOS NO agregar comentarios como SU INVESTIGACION, REPORTE, etc. Limitarse SOLAMENTE a poner A CONSIDERACION u otro valor que coincida en el buscador",IF(AND(ISBLANK(AD99),OR(Y99=BUSCADOR!$B$49,BUSCADOR!$B$50=Y99,Y99=BUSCADOR!$B$46,Y99=BUSCADOR!$B$2,Y99=BUSCADOR!$B$7,BUSCADOR!$B$109=Y99,X99=BUSCADOR!$A$58,X99=BUSCADOR!$A$59)),"Completar la celda TIPO DE LUGAR",IF(AND(ISBLANK(AE99),OR(AD99=BUSCADOR!$E$149,BUSCADOR!$E$150=AD99,AD99=BUSCADOR!$F$148)),"Completar DETALLE ESTABLECIMIENTO",IF(AND(ISBLANK(AF99),BM99),"Completar la celda MOTIVO QUE ORIGINA EL REGISTRO DEL HECHO",IF(AND(SUM(AG99:AI99)=0,OR(Y99=BUSCADOR!$B$2,BUSCADOR!$B$6=Y99,Y99=BUSCADOR!$B$7,BUSCADOR!$B$8=Y99,Y99=BUSCADOR!$B$9,BUSCADOR!$B$12=Y99,Y99=BUSCADOR!$B$13,BUSCADOR!$B$14=Y99,Y99=BUSCADOR!$B$17,BUSCADOR!$B$18=Y99,Y99=BUSCADOR!$B$20,BUSCADOR!$B$29=Y99,BUSCADOR!$B$34=Y99,BUSCADOR!$B$35=Y99,Y99=BUSCADOR!$B$109,Y99=BUSCADOR!$B$51,BUSCADOR!$B$50=Y99,Y99=BUSCADOR!$B$47,Y99=BUSCADOR!$B$58,Y99=BUSCADOR!$B$21,Y99=BUSCADOR!$B$22,Y99=BUSCADOR!$B$23,Y99=BUSCADOR!$B$24)),"El delito indicado debe presentar un numero de victimas. Completar la celda CANTIDAD DE VICTIMAS",IF(AND(SUM(AJ99:AO99)&gt;0,ISBLANK(AP99)),"Completar celda VULNERABILIDAD DE LA VICTIMA",IF(SUM(AG99:AI99)&lt;&gt;SUM(AJ99:AO99),"Se indico una CANTIDAD DE VICTIMAS SEGUN SEXO diferente a SEGUN GENERO",IF(AND(ISBLANK(AR99),OR(Y99=BUSCADOR!$B$49,BUSCADOR!$B$50=Y99,Y99=BUSCADOR!$B$46,Y99=BUSCADOR!$B$109,BUSCADOR!$B$2=Y99,X99=BUSCADOR!$A$58,X99=BUSCADOR!$A$59)),"Completar la celda TIPO DE ARMA, MODALIDAD O MECANISMO",IF(AND(ISBLANK(AS99),OR(Y99=BUSCADOR!$B$51,BUSCADOR!$B$50=Y99,Y99=BUSCADOR!$B$47,BUSCADOR!$A$58=X99,X99=BUSCADOR!$A$59)),"Completar la celda CONOCIDO, en la seccion de los inculpados",IF(AND(AS99=BUSCADOR!$B$127,OR(Y99=BUSCADOR!$B$51,BUSCADOR!$B$50,Y99,BUSCADOR!$B$46),OR(SUM(AT99:AV99)&lt;&gt;SUM(AW99:AZ99),SUM(AT99:AZ99)=0)),"Revisar las celdas correspondientes a CANTIDAD DE INCULPADOS. Se indica una cantidad diferente segun SEXO y EDAD o no se indico cantidad alguna",IF(AND(ISBLANK(BA99),X99=BUSCADOR!$A$27),"Se indico una persona desaparecida. Completar la casilla APARECIO",IF(AND(ISBLANK(BB99),OR(Y99=BUSCADOR!$B$49,BUSCADOR!$B$50=Y99,Y99=BUSCADOR!$B$46)),"Completar la casilla ELEMENTO SUSTRAIDO",IF(OR(AND(BB99=OTROS[[#Headers],[OTROS]],ISBLANK(BC99)),AND(BB99=ABIGEATO[[#Headers],[ABIGEATO]],ISBLANK(BC99))),"Completar la celda SUBCATEGORIA",IF(AND(OR(BB99=MOTOCICLETA[[#Headers],[MOTOCICLETA]],BB99=AUTOMOTOR[[#Headers],[AUTOMOTOR]]),OR(ISBLANK(BC99),ISBLANK(BD99),ISBLANK(BE99),ISBLANK(BF99))),"Se indico un AUTOMOTOR o MOTOCICLETA en ELEMENTOS SUSTRAIDOS, completar las celdas SUBCATEGORIA, DENOMINACION, AÑO y MODELO", IF(AND(ISBLANK(BB99)&lt;&gt;TRUE,ISBLANK(BJ99)),"Completar MODUS OPERANDI",IF(AND(ISBLANK(BK99),OR(BJ99=BUSCADOR!$H$232,BJ99=BUSCADOR!$I$232)),"Completar ESPECIALIDAD",IF(OR(AND(H99='SAT-Homicidios Dolosos'!$B$5,'SAT-Homicidios Dolosos'!$A$5&lt;&gt;"OK"),AND(H99='SAT-Homicidios Dolosos'!$B$8,'SAT-Homicidios Dolosos'!$A$8&lt;&gt;"OK")),"Se indico un HOMICIDIO, existen CELDAS VACIAS en la hoja SAT-HOMICIDIOS DOLOSOS Completar los datos indicados",IF(OR(AND(H99='SAT-Muertes Viales'!$E$21,'SAT-Muertes Viales'!$A$21&lt;&gt;"OK"),AND(H99='SAT-Muertes Viales'!$E$25,'SAT-Muertes Viales'!$A$25&lt;&gt;"OK"),AND(H99='SAT-Muertes Viales'!$E$29,'SAT-Muertes Viales'!$A$29&lt;&gt;"OK")),"Se indico un HOMICIDIO POR SINIESTRO VIAL, existen CELDAS VACIAS en la hoja SAT-MUERTES VIALES Completar los datos indicados",IF(OR(AND(H99='SAT-Suicidios'!$B$19,'SAT-Suicidios'!$A$19&lt;&gt;"OK"),AND(H99='SAT-Suicidios'!$B$22,'SAT-Suicidios'!$A$22&lt;&gt;"OK"),AND(H99='SAT-Suicidios'!$B$25,'SAT-Suicidios'!$A$25&lt;&gt;"OK")),"Se indico un SUICIDIO, existen CELDAS VACIAS en la hoja SAT-SUICIDIOS Completar los datos indicados",IF(IFERROR(MATCH(X99,BUSCADOR!$A$2:$A$112,0),-1)&lt;0,"No se indico delito",IF(AND(ISBLANK(BL99),OR(X99=BUSCADOR!$A$111,X99=BUSCADOR!$A$110)),"Llenar la casilla DETALLES, COMENTARIOS con una descripcion de la causa",IF(AND(X99="MUERTE DUDOSA",ISBLANK(BL99)=FALSE),"SE INDICO MUERTE DUDOSA, NOS CONTACTAREMOS PARA MAS INFORMACION","FILA CORRECTA"))))))))))))))))))))))))))))))</f>
        <v>No se indico delito</v>
      </c>
      <c r="C99" s="42"/>
      <c r="D99" s="90"/>
      <c r="E99" s="47"/>
      <c r="F99" s="88"/>
      <c r="G99" s="221" t="str">
        <f t="shared" si="19"/>
        <v>Comisaría 15°</v>
      </c>
      <c r="H99" s="46"/>
      <c r="I99" s="52"/>
      <c r="J99" s="27"/>
      <c r="K99" s="27"/>
      <c r="L99" s="27"/>
      <c r="M99" s="27"/>
      <c r="N99" s="46"/>
      <c r="O99" s="55" t="str">
        <f t="shared" si="20"/>
        <v/>
      </c>
      <c r="P99" s="56" t="str">
        <f t="shared" si="21"/>
        <v/>
      </c>
      <c r="Q99" s="52"/>
      <c r="R99" s="46"/>
      <c r="S99" s="62"/>
      <c r="T99" s="57" t="str">
        <f>IFERROR(VLOOKUP(X99,BUSCADOR!$A$2:$E$112,5,FALSE),"")</f>
        <v/>
      </c>
      <c r="U99" s="107" t="str">
        <f t="shared" si="12"/>
        <v/>
      </c>
      <c r="V99" s="28" t="str">
        <f>IFERROR(VLOOKUP(X99,BUSCADOR!$A$2:$E$112,4,FALSE),"")</f>
        <v/>
      </c>
      <c r="W99" s="107" t="str">
        <f t="shared" si="13"/>
        <v/>
      </c>
      <c r="X99" s="27"/>
      <c r="Y99" s="58" t="str">
        <f>IFERROR(VLOOKUP(X99,BUSCADOR!$A$2:$B$112,2,FALSE),"")</f>
        <v/>
      </c>
      <c r="Z99" s="101" t="str">
        <f t="shared" si="14"/>
        <v>__</v>
      </c>
      <c r="AA99" s="103" t="str">
        <f t="shared" si="15"/>
        <v>___</v>
      </c>
      <c r="AB99" s="104" t="str">
        <f t="shared" si="16"/>
        <v>____</v>
      </c>
      <c r="AC99" s="104" t="str">
        <f t="shared" si="16"/>
        <v>_____</v>
      </c>
      <c r="AD99" s="83"/>
      <c r="AE99" s="45"/>
      <c r="AF99" s="66"/>
      <c r="AG99" s="212"/>
      <c r="AH99" s="213"/>
      <c r="AI99" s="214"/>
      <c r="AJ99" s="219"/>
      <c r="AK99" s="213"/>
      <c r="AL99" s="213"/>
      <c r="AM99" s="213"/>
      <c r="AN99" s="213"/>
      <c r="AO99" s="219"/>
      <c r="AP99" s="95"/>
      <c r="AQ99" s="186" t="str">
        <f t="shared" si="17"/>
        <v/>
      </c>
      <c r="AR99" s="66"/>
      <c r="AS99" s="76"/>
      <c r="AT99" s="225"/>
      <c r="AU99" s="213"/>
      <c r="AV99" s="214"/>
      <c r="AW99" s="226"/>
      <c r="AX99" s="213"/>
      <c r="AY99" s="213"/>
      <c r="AZ99" s="227"/>
      <c r="BA99" s="65"/>
      <c r="BB99" s="52"/>
      <c r="BC99" s="27"/>
      <c r="BD99" s="27"/>
      <c r="BE99" s="27"/>
      <c r="BF99" s="79"/>
      <c r="BG99" s="52"/>
      <c r="BH99" s="69"/>
      <c r="BI99" s="188" t="str">
        <f>IF(Y99=BUSCADOR!$B$46,"HURTO_",IF(OR(Y99=BUSCADOR!$B$49,Y99=BUSCADOR!$B$50),"ROBO_",""))</f>
        <v/>
      </c>
      <c r="BJ99" s="50"/>
      <c r="BK99" s="45"/>
      <c r="BL99" s="66"/>
      <c r="BM99" s="1" t="b">
        <f t="shared" si="18"/>
        <v>0</v>
      </c>
    </row>
    <row r="100" spans="1:65" ht="117.6" customHeight="1" x14ac:dyDescent="0.25">
      <c r="A100" s="171">
        <v>98</v>
      </c>
      <c r="B100" s="41" t="str">
        <f>IF(AND(BM100,ISBLANK(C100)),"Completar FECHA DE DENUNCIA",IF(AND(BM100,OR(ISBLANK(D100),ISBLANK(E100),ISBLANK(H100))),"Completar las celdas FECHA, HORA Y PREVENTIVO. En caso de no conocer la fecha u horario colocar INDETERMINADO",IF(AND(BM100,ISBLANK(G100)),"Completar COMISARIA",IF(AND(BM100,OR(ISBLANK(I100),ISBLANK(L100),ISBLANK(M100),O100="")),"Completar las celdas LOCALIDAD, CALLE, ALTURA Y DIRECCION SEGUN  GOOGLE MAPS",IF(AND(ISBLANK(J100),OR(I100=AÑELO[[#Headers],[AÑELO]],CENTENARIO[[#Headers],[CENTENARIO]]='PLANILLA DJ'!I100,CUTRAL_CO[[#Headers],[CUTRAL_CO]],JUNIN_DE_LOS_ANDES[[#Headers],[JUNIN_DE_LOS_ANDES]]='PLANILLA DJ'!I100,'PLANILLA DJ'!I100=NEUQUEN[[#Headers],[NEUQUEN]],PLAZA_HUINCUL[[#Headers],[PLAZA_HUINCUL]]='PLANILLA DJ'!I100,'PLANILLA DJ'!I100=PLOTTIER[[#Headers],[PLOTTIER]])),"COMPLETAR BARRIO",IF(AND(BM100,ISBLANK(Q100)),"Completar Nombre de VICTIMA o DENUNCIANTE",IF(AND(BM100,ISBLANK(R100)),"Completar TIPO DE ACTUACION",IF(AND(R100=BUSCADOR!$B$140,OR(X100&lt;&gt;BUSCADOR!$A$110,ISBLANK(X100))),"Se indico A CONSIDERACION en ACTUACION, indicar en el buscador de delitos A CONSIDERACION tambien",IF(AND(ISBLANK(X100)&lt;&gt;TRUE,IFERROR(MATCH(X100,BUSCADOR!$A$2:$A$112,0),-1)&lt;0),"EN EL BUSCADOR DE DELITOS NO agregar comentarios como SU INVESTIGACION, REPORTE, etc. Limitarse SOLAMENTE a poner A CONSIDERACION u otro valor que coincida en el buscador",IF(AND(ISBLANK(AD100),OR(Y100=BUSCADOR!$B$49,BUSCADOR!$B$50=Y100,Y100=BUSCADOR!$B$46,Y100=BUSCADOR!$B$2,Y100=BUSCADOR!$B$7,BUSCADOR!$B$109=Y100,X100=BUSCADOR!$A$58,X100=BUSCADOR!$A$59)),"Completar la celda TIPO DE LUGAR",IF(AND(ISBLANK(AE100),OR(AD100=BUSCADOR!$E$149,BUSCADOR!$E$150=AD100,AD100=BUSCADOR!$F$148)),"Completar DETALLE ESTABLECIMIENTO",IF(AND(ISBLANK(AF100),BM100),"Completar la celda MOTIVO QUE ORIGINA EL REGISTRO DEL HECHO",IF(AND(SUM(AG100:AI100)=0,OR(Y100=BUSCADOR!$B$2,BUSCADOR!$B$6=Y100,Y100=BUSCADOR!$B$7,BUSCADOR!$B$8=Y100,Y100=BUSCADOR!$B$9,BUSCADOR!$B$12=Y100,Y100=BUSCADOR!$B$13,BUSCADOR!$B$14=Y100,Y100=BUSCADOR!$B$17,BUSCADOR!$B$18=Y100,Y100=BUSCADOR!$B$20,BUSCADOR!$B$29=Y100,BUSCADOR!$B$34=Y100,BUSCADOR!$B$35=Y100,Y100=BUSCADOR!$B$109,Y100=BUSCADOR!$B$51,BUSCADOR!$B$50=Y100,Y100=BUSCADOR!$B$47,Y100=BUSCADOR!$B$58,Y100=BUSCADOR!$B$21,Y100=BUSCADOR!$B$22,Y100=BUSCADOR!$B$23,Y100=BUSCADOR!$B$24)),"El delito indicado debe presentar un numero de victimas. Completar la celda CANTIDAD DE VICTIMAS",IF(AND(SUM(AJ100:AO100)&gt;0,ISBLANK(AP100)),"Completar celda VULNERABILIDAD DE LA VICTIMA",IF(SUM(AG100:AI100)&lt;&gt;SUM(AJ100:AO100),"Se indico una CANTIDAD DE VICTIMAS SEGUN SEXO diferente a SEGUN GENERO",IF(AND(ISBLANK(AR100),OR(Y100=BUSCADOR!$B$49,BUSCADOR!$B$50=Y100,Y100=BUSCADOR!$B$46,Y100=BUSCADOR!$B$109,BUSCADOR!$B$2=Y100,X100=BUSCADOR!$A$58,X100=BUSCADOR!$A$59)),"Completar la celda TIPO DE ARMA, MODALIDAD O MECANISMO",IF(AND(ISBLANK(AS100),OR(Y100=BUSCADOR!$B$51,BUSCADOR!$B$50=Y100,Y100=BUSCADOR!$B$47,BUSCADOR!$A$58=X100,X100=BUSCADOR!$A$59)),"Completar la celda CONOCIDO, en la seccion de los inculpados",IF(AND(AS100=BUSCADOR!$B$127,OR(Y100=BUSCADOR!$B$51,BUSCADOR!$B$50,Y100,BUSCADOR!$B$46),OR(SUM(AT100:AV100)&lt;&gt;SUM(AW100:AZ100),SUM(AT100:AZ100)=0)),"Revisar las celdas correspondientes a CANTIDAD DE INCULPADOS. Se indica una cantidad diferente segun SEXO y EDAD o no se indico cantidad alguna",IF(AND(ISBLANK(BA100),X100=BUSCADOR!$A$27),"Se indico una persona desaparecida. Completar la casilla APARECIO",IF(AND(ISBLANK(BB100),OR(Y100=BUSCADOR!$B$49,BUSCADOR!$B$50=Y100,Y100=BUSCADOR!$B$46)),"Completar la casilla ELEMENTO SUSTRAIDO",IF(OR(AND(BB100=OTROS[[#Headers],[OTROS]],ISBLANK(BC100)),AND(BB100=ABIGEATO[[#Headers],[ABIGEATO]],ISBLANK(BC100))),"Completar la celda SUBCATEGORIA",IF(AND(OR(BB100=MOTOCICLETA[[#Headers],[MOTOCICLETA]],BB100=AUTOMOTOR[[#Headers],[AUTOMOTOR]]),OR(ISBLANK(BC100),ISBLANK(BD100),ISBLANK(BE100),ISBLANK(BF100))),"Se indico un AUTOMOTOR o MOTOCICLETA en ELEMENTOS SUSTRAIDOS, completar las celdas SUBCATEGORIA, DENOMINACION, AÑO y MODELO", IF(AND(ISBLANK(BB100)&lt;&gt;TRUE,ISBLANK(BJ100)),"Completar MODUS OPERANDI",IF(AND(ISBLANK(BK100),OR(BJ100=BUSCADOR!$H$232,BJ100=BUSCADOR!$I$232)),"Completar ESPECIALIDAD",IF(OR(AND(H100='SAT-Homicidios Dolosos'!$B$5,'SAT-Homicidios Dolosos'!$A$5&lt;&gt;"OK"),AND(H100='SAT-Homicidios Dolosos'!$B$8,'SAT-Homicidios Dolosos'!$A$8&lt;&gt;"OK")),"Se indico un HOMICIDIO, existen CELDAS VACIAS en la hoja SAT-HOMICIDIOS DOLOSOS Completar los datos indicados",IF(OR(AND(H100='SAT-Muertes Viales'!$E$21,'SAT-Muertes Viales'!$A$21&lt;&gt;"OK"),AND(H100='SAT-Muertes Viales'!$E$25,'SAT-Muertes Viales'!$A$25&lt;&gt;"OK"),AND(H100='SAT-Muertes Viales'!$E$29,'SAT-Muertes Viales'!$A$29&lt;&gt;"OK")),"Se indico un HOMICIDIO POR SINIESTRO VIAL, existen CELDAS VACIAS en la hoja SAT-MUERTES VIALES Completar los datos indicados",IF(OR(AND(H100='SAT-Suicidios'!$B$19,'SAT-Suicidios'!$A$19&lt;&gt;"OK"),AND(H100='SAT-Suicidios'!$B$22,'SAT-Suicidios'!$A$22&lt;&gt;"OK"),AND(H100='SAT-Suicidios'!$B$25,'SAT-Suicidios'!$A$25&lt;&gt;"OK")),"Se indico un SUICIDIO, existen CELDAS VACIAS en la hoja SAT-SUICIDIOS Completar los datos indicados",IF(IFERROR(MATCH(X100,BUSCADOR!$A$2:$A$112,0),-1)&lt;0,"No se indico delito",IF(AND(ISBLANK(BL100),OR(X100=BUSCADOR!$A$111,X100=BUSCADOR!$A$110)),"Llenar la casilla DETALLES, COMENTARIOS con una descripcion de la causa",IF(AND(X100="MUERTE DUDOSA",ISBLANK(BL100)=FALSE),"SE INDICO MUERTE DUDOSA, NOS CONTACTAREMOS PARA MAS INFORMACION","FILA CORRECTA"))))))))))))))))))))))))))))))</f>
        <v>No se indico delito</v>
      </c>
      <c r="C100" s="42"/>
      <c r="D100" s="90"/>
      <c r="E100" s="47"/>
      <c r="F100" s="88"/>
      <c r="G100" s="221" t="str">
        <f t="shared" si="19"/>
        <v>Comisaría 15°</v>
      </c>
      <c r="H100" s="46"/>
      <c r="I100" s="52"/>
      <c r="J100" s="27"/>
      <c r="K100" s="27"/>
      <c r="L100" s="27"/>
      <c r="M100" s="27"/>
      <c r="N100" s="46"/>
      <c r="O100" s="55" t="str">
        <f t="shared" si="20"/>
        <v/>
      </c>
      <c r="P100" s="56" t="str">
        <f t="shared" si="21"/>
        <v/>
      </c>
      <c r="Q100" s="52"/>
      <c r="R100" s="46"/>
      <c r="S100" s="62"/>
      <c r="T100" s="57" t="str">
        <f>IFERROR(VLOOKUP(X100,BUSCADOR!$A$2:$E$112,5,FALSE),"")</f>
        <v/>
      </c>
      <c r="U100" s="107" t="str">
        <f t="shared" si="12"/>
        <v/>
      </c>
      <c r="V100" s="28" t="str">
        <f>IFERROR(VLOOKUP(X100,BUSCADOR!$A$2:$E$112,4,FALSE),"")</f>
        <v/>
      </c>
      <c r="W100" s="107" t="str">
        <f t="shared" si="13"/>
        <v/>
      </c>
      <c r="X100" s="27"/>
      <c r="Y100" s="58" t="str">
        <f>IFERROR(VLOOKUP(X100,BUSCADOR!$A$2:$B$112,2,FALSE),"")</f>
        <v/>
      </c>
      <c r="Z100" s="101" t="str">
        <f t="shared" si="14"/>
        <v>__</v>
      </c>
      <c r="AA100" s="103" t="str">
        <f t="shared" si="15"/>
        <v>___</v>
      </c>
      <c r="AB100" s="104" t="str">
        <f t="shared" si="16"/>
        <v>____</v>
      </c>
      <c r="AC100" s="104" t="str">
        <f t="shared" si="16"/>
        <v>_____</v>
      </c>
      <c r="AD100" s="83"/>
      <c r="AE100" s="45"/>
      <c r="AF100" s="66"/>
      <c r="AG100" s="212"/>
      <c r="AH100" s="213"/>
      <c r="AI100" s="214"/>
      <c r="AJ100" s="219"/>
      <c r="AK100" s="213"/>
      <c r="AL100" s="213"/>
      <c r="AM100" s="213"/>
      <c r="AN100" s="213"/>
      <c r="AO100" s="219"/>
      <c r="AP100" s="95"/>
      <c r="AQ100" s="186" t="str">
        <f t="shared" si="17"/>
        <v/>
      </c>
      <c r="AR100" s="66"/>
      <c r="AS100" s="76"/>
      <c r="AT100" s="225"/>
      <c r="AU100" s="213"/>
      <c r="AV100" s="214"/>
      <c r="AW100" s="226"/>
      <c r="AX100" s="213"/>
      <c r="AY100" s="213"/>
      <c r="AZ100" s="227"/>
      <c r="BA100" s="65"/>
      <c r="BB100" s="52"/>
      <c r="BC100" s="27"/>
      <c r="BD100" s="27"/>
      <c r="BE100" s="27"/>
      <c r="BF100" s="79"/>
      <c r="BG100" s="52"/>
      <c r="BH100" s="69"/>
      <c r="BI100" s="188" t="str">
        <f>IF(Y100=BUSCADOR!$B$46,"HURTO_",IF(OR(Y100=BUSCADOR!$B$49,Y100=BUSCADOR!$B$50),"ROBO_",""))</f>
        <v/>
      </c>
      <c r="BJ100" s="50"/>
      <c r="BK100" s="45"/>
      <c r="BL100" s="66"/>
      <c r="BM100" s="1" t="b">
        <f t="shared" si="18"/>
        <v>0</v>
      </c>
    </row>
    <row r="101" spans="1:65" ht="117.6" customHeight="1" x14ac:dyDescent="0.25">
      <c r="A101" s="171">
        <v>99</v>
      </c>
      <c r="B101" s="41" t="str">
        <f>IF(AND(BM101,ISBLANK(C101)),"Completar FECHA DE DENUNCIA",IF(AND(BM101,OR(ISBLANK(D101),ISBLANK(E101),ISBLANK(H101))),"Completar las celdas FECHA, HORA Y PREVENTIVO. En caso de no conocer la fecha u horario colocar INDETERMINADO",IF(AND(BM101,ISBLANK(G101)),"Completar COMISARIA",IF(AND(BM101,OR(ISBLANK(I101),ISBLANK(L101),ISBLANK(M101),O101="")),"Completar las celdas LOCALIDAD, CALLE, ALTURA Y DIRECCION SEGUN  GOOGLE MAPS",IF(AND(ISBLANK(J101),OR(I101=AÑELO[[#Headers],[AÑELO]],CENTENARIO[[#Headers],[CENTENARIO]]='PLANILLA DJ'!I101,CUTRAL_CO[[#Headers],[CUTRAL_CO]],JUNIN_DE_LOS_ANDES[[#Headers],[JUNIN_DE_LOS_ANDES]]='PLANILLA DJ'!I101,'PLANILLA DJ'!I101=NEUQUEN[[#Headers],[NEUQUEN]],PLAZA_HUINCUL[[#Headers],[PLAZA_HUINCUL]]='PLANILLA DJ'!I101,'PLANILLA DJ'!I101=PLOTTIER[[#Headers],[PLOTTIER]])),"COMPLETAR BARRIO",IF(AND(BM101,ISBLANK(Q101)),"Completar Nombre de VICTIMA o DENUNCIANTE",IF(AND(BM101,ISBLANK(R101)),"Completar TIPO DE ACTUACION",IF(AND(R101=BUSCADOR!$B$140,OR(X101&lt;&gt;BUSCADOR!$A$110,ISBLANK(X101))),"Se indico A CONSIDERACION en ACTUACION, indicar en el buscador de delitos A CONSIDERACION tambien",IF(AND(ISBLANK(X101)&lt;&gt;TRUE,IFERROR(MATCH(X101,BUSCADOR!$A$2:$A$112,0),-1)&lt;0),"EN EL BUSCADOR DE DELITOS NO agregar comentarios como SU INVESTIGACION, REPORTE, etc. Limitarse SOLAMENTE a poner A CONSIDERACION u otro valor que coincida en el buscador",IF(AND(ISBLANK(AD101),OR(Y101=BUSCADOR!$B$49,BUSCADOR!$B$50=Y101,Y101=BUSCADOR!$B$46,Y101=BUSCADOR!$B$2,Y101=BUSCADOR!$B$7,BUSCADOR!$B$109=Y101,X101=BUSCADOR!$A$58,X101=BUSCADOR!$A$59)),"Completar la celda TIPO DE LUGAR",IF(AND(ISBLANK(AE101),OR(AD101=BUSCADOR!$E$149,BUSCADOR!$E$150=AD101,AD101=BUSCADOR!$F$148)),"Completar DETALLE ESTABLECIMIENTO",IF(AND(ISBLANK(AF101),BM101),"Completar la celda MOTIVO QUE ORIGINA EL REGISTRO DEL HECHO",IF(AND(SUM(AG101:AI101)=0,OR(Y101=BUSCADOR!$B$2,BUSCADOR!$B$6=Y101,Y101=BUSCADOR!$B$7,BUSCADOR!$B$8=Y101,Y101=BUSCADOR!$B$9,BUSCADOR!$B$12=Y101,Y101=BUSCADOR!$B$13,BUSCADOR!$B$14=Y101,Y101=BUSCADOR!$B$17,BUSCADOR!$B$18=Y101,Y101=BUSCADOR!$B$20,BUSCADOR!$B$29=Y101,BUSCADOR!$B$34=Y101,BUSCADOR!$B$35=Y101,Y101=BUSCADOR!$B$109,Y101=BUSCADOR!$B$51,BUSCADOR!$B$50=Y101,Y101=BUSCADOR!$B$47,Y101=BUSCADOR!$B$58,Y101=BUSCADOR!$B$21,Y101=BUSCADOR!$B$22,Y101=BUSCADOR!$B$23,Y101=BUSCADOR!$B$24)),"El delito indicado debe presentar un numero de victimas. Completar la celda CANTIDAD DE VICTIMAS",IF(AND(SUM(AJ101:AO101)&gt;0,ISBLANK(AP101)),"Completar celda VULNERABILIDAD DE LA VICTIMA",IF(SUM(AG101:AI101)&lt;&gt;SUM(AJ101:AO101),"Se indico una CANTIDAD DE VICTIMAS SEGUN SEXO diferente a SEGUN GENERO",IF(AND(ISBLANK(AR101),OR(Y101=BUSCADOR!$B$49,BUSCADOR!$B$50=Y101,Y101=BUSCADOR!$B$46,Y101=BUSCADOR!$B$109,BUSCADOR!$B$2=Y101,X101=BUSCADOR!$A$58,X101=BUSCADOR!$A$59)),"Completar la celda TIPO DE ARMA, MODALIDAD O MECANISMO",IF(AND(ISBLANK(AS101),OR(Y101=BUSCADOR!$B$51,BUSCADOR!$B$50=Y101,Y101=BUSCADOR!$B$47,BUSCADOR!$A$58=X101,X101=BUSCADOR!$A$59)),"Completar la celda CONOCIDO, en la seccion de los inculpados",IF(AND(AS101=BUSCADOR!$B$127,OR(Y101=BUSCADOR!$B$51,BUSCADOR!$B$50,Y101,BUSCADOR!$B$46),OR(SUM(AT101:AV101)&lt;&gt;SUM(AW101:AZ101),SUM(AT101:AZ101)=0)),"Revisar las celdas correspondientes a CANTIDAD DE INCULPADOS. Se indica una cantidad diferente segun SEXO y EDAD o no se indico cantidad alguna",IF(AND(ISBLANK(BA101),X101=BUSCADOR!$A$27),"Se indico una persona desaparecida. Completar la casilla APARECIO",IF(AND(ISBLANK(BB101),OR(Y101=BUSCADOR!$B$49,BUSCADOR!$B$50=Y101,Y101=BUSCADOR!$B$46)),"Completar la casilla ELEMENTO SUSTRAIDO",IF(OR(AND(BB101=OTROS[[#Headers],[OTROS]],ISBLANK(BC101)),AND(BB101=ABIGEATO[[#Headers],[ABIGEATO]],ISBLANK(BC101))),"Completar la celda SUBCATEGORIA",IF(AND(OR(BB101=MOTOCICLETA[[#Headers],[MOTOCICLETA]],BB101=AUTOMOTOR[[#Headers],[AUTOMOTOR]]),OR(ISBLANK(BC101),ISBLANK(BD101),ISBLANK(BE101),ISBLANK(BF101))),"Se indico un AUTOMOTOR o MOTOCICLETA en ELEMENTOS SUSTRAIDOS, completar las celdas SUBCATEGORIA, DENOMINACION, AÑO y MODELO", IF(AND(ISBLANK(BB101)&lt;&gt;TRUE,ISBLANK(BJ101)),"Completar MODUS OPERANDI",IF(AND(ISBLANK(BK101),OR(BJ101=BUSCADOR!$H$232,BJ101=BUSCADOR!$I$232)),"Completar ESPECIALIDAD",IF(OR(AND(H101='SAT-Homicidios Dolosos'!$B$5,'SAT-Homicidios Dolosos'!$A$5&lt;&gt;"OK"),AND(H101='SAT-Homicidios Dolosos'!$B$8,'SAT-Homicidios Dolosos'!$A$8&lt;&gt;"OK")),"Se indico un HOMICIDIO, existen CELDAS VACIAS en la hoja SAT-HOMICIDIOS DOLOSOS Completar los datos indicados",IF(OR(AND(H101='SAT-Muertes Viales'!$E$21,'SAT-Muertes Viales'!$A$21&lt;&gt;"OK"),AND(H101='SAT-Muertes Viales'!$E$25,'SAT-Muertes Viales'!$A$25&lt;&gt;"OK"),AND(H101='SAT-Muertes Viales'!$E$29,'SAT-Muertes Viales'!$A$29&lt;&gt;"OK")),"Se indico un HOMICIDIO POR SINIESTRO VIAL, existen CELDAS VACIAS en la hoja SAT-MUERTES VIALES Completar los datos indicados",IF(OR(AND(H101='SAT-Suicidios'!$B$19,'SAT-Suicidios'!$A$19&lt;&gt;"OK"),AND(H101='SAT-Suicidios'!$B$22,'SAT-Suicidios'!$A$22&lt;&gt;"OK"),AND(H101='SAT-Suicidios'!$B$25,'SAT-Suicidios'!$A$25&lt;&gt;"OK")),"Se indico un SUICIDIO, existen CELDAS VACIAS en la hoja SAT-SUICIDIOS Completar los datos indicados",IF(IFERROR(MATCH(X101,BUSCADOR!$A$2:$A$112,0),-1)&lt;0,"No se indico delito",IF(AND(ISBLANK(BL101),OR(X101=BUSCADOR!$A$111,X101=BUSCADOR!$A$110)),"Llenar la casilla DETALLES, COMENTARIOS con una descripcion de la causa",IF(AND(X101="MUERTE DUDOSA",ISBLANK(BL101)=FALSE),"SE INDICO MUERTE DUDOSA, NOS CONTACTAREMOS PARA MAS INFORMACION","FILA CORRECTA"))))))))))))))))))))))))))))))</f>
        <v>No se indico delito</v>
      </c>
      <c r="C101" s="42"/>
      <c r="D101" s="90"/>
      <c r="E101" s="47"/>
      <c r="F101" s="88"/>
      <c r="G101" s="221" t="str">
        <f t="shared" si="19"/>
        <v>Comisaría 15°</v>
      </c>
      <c r="H101" s="46"/>
      <c r="I101" s="52"/>
      <c r="J101" s="27"/>
      <c r="K101" s="27"/>
      <c r="L101" s="27"/>
      <c r="M101" s="27"/>
      <c r="N101" s="46"/>
      <c r="O101" s="55" t="str">
        <f t="shared" si="20"/>
        <v/>
      </c>
      <c r="P101" s="56" t="str">
        <f t="shared" si="21"/>
        <v/>
      </c>
      <c r="Q101" s="52"/>
      <c r="R101" s="46"/>
      <c r="S101" s="62"/>
      <c r="T101" s="57" t="str">
        <f>IFERROR(VLOOKUP(X101,BUSCADOR!$A$2:$E$112,5,FALSE),"")</f>
        <v/>
      </c>
      <c r="U101" s="107" t="str">
        <f t="shared" si="12"/>
        <v/>
      </c>
      <c r="V101" s="28" t="str">
        <f>IFERROR(VLOOKUP(X101,BUSCADOR!$A$2:$E$112,4,FALSE),"")</f>
        <v/>
      </c>
      <c r="W101" s="107" t="str">
        <f t="shared" si="13"/>
        <v/>
      </c>
      <c r="X101" s="27"/>
      <c r="Y101" s="58" t="str">
        <f>IFERROR(VLOOKUP(X101,BUSCADOR!$A$2:$B$112,2,FALSE),"")</f>
        <v/>
      </c>
      <c r="Z101" s="101" t="str">
        <f t="shared" si="14"/>
        <v>__</v>
      </c>
      <c r="AA101" s="103" t="str">
        <f t="shared" si="15"/>
        <v>___</v>
      </c>
      <c r="AB101" s="104" t="str">
        <f t="shared" si="16"/>
        <v>____</v>
      </c>
      <c r="AC101" s="104" t="str">
        <f t="shared" si="16"/>
        <v>_____</v>
      </c>
      <c r="AD101" s="83"/>
      <c r="AE101" s="45"/>
      <c r="AF101" s="66"/>
      <c r="AG101" s="212"/>
      <c r="AH101" s="213"/>
      <c r="AI101" s="214"/>
      <c r="AJ101" s="219"/>
      <c r="AK101" s="213"/>
      <c r="AL101" s="213"/>
      <c r="AM101" s="213"/>
      <c r="AN101" s="213"/>
      <c r="AO101" s="219"/>
      <c r="AP101" s="95"/>
      <c r="AQ101" s="186" t="str">
        <f t="shared" si="17"/>
        <v/>
      </c>
      <c r="AR101" s="66"/>
      <c r="AS101" s="76"/>
      <c r="AT101" s="225"/>
      <c r="AU101" s="213"/>
      <c r="AV101" s="214"/>
      <c r="AW101" s="226"/>
      <c r="AX101" s="213"/>
      <c r="AY101" s="213"/>
      <c r="AZ101" s="227"/>
      <c r="BA101" s="65"/>
      <c r="BB101" s="83"/>
      <c r="BC101" s="27"/>
      <c r="BD101" s="27"/>
      <c r="BE101" s="27"/>
      <c r="BF101" s="79"/>
      <c r="BG101" s="52"/>
      <c r="BH101" s="69"/>
      <c r="BI101" s="188" t="str">
        <f>IF(Y101=BUSCADOR!$B$46,"HURTO_",IF(OR(Y101=BUSCADOR!$B$49,Y101=BUSCADOR!$B$50),"ROBO_",""))</f>
        <v/>
      </c>
      <c r="BJ101" s="50"/>
      <c r="BK101" s="45"/>
      <c r="BL101" s="66"/>
      <c r="BM101" s="1" t="b">
        <f t="shared" si="18"/>
        <v>0</v>
      </c>
    </row>
    <row r="102" spans="1:65" ht="117.6" customHeight="1" thickBot="1" x14ac:dyDescent="0.3">
      <c r="A102" s="171">
        <v>100</v>
      </c>
      <c r="B102" s="41" t="str">
        <f>IF(AND(BM102,ISBLANK(C102)),"Completar FECHA DE DENUNCIA",IF(AND(BM102,OR(ISBLANK(D102),ISBLANK(E102),ISBLANK(H102))),"Completar las celdas FECHA, HORA Y PREVENTIVO. En caso de no conocer la fecha u horario colocar INDETERMINADO",IF(AND(BM102,ISBLANK(G102)),"Completar COMISARIA",IF(AND(BM102,OR(ISBLANK(I102),ISBLANK(L102),ISBLANK(M102),O102="")),"Completar las celdas LOCALIDAD, CALLE, ALTURA Y DIRECCION SEGUN  GOOGLE MAPS",IF(AND(ISBLANK(J102),OR(I102=AÑELO[[#Headers],[AÑELO]],CENTENARIO[[#Headers],[CENTENARIO]]='PLANILLA DJ'!I102,CUTRAL_CO[[#Headers],[CUTRAL_CO]],JUNIN_DE_LOS_ANDES[[#Headers],[JUNIN_DE_LOS_ANDES]]='PLANILLA DJ'!I102,'PLANILLA DJ'!I102=NEUQUEN[[#Headers],[NEUQUEN]],PLAZA_HUINCUL[[#Headers],[PLAZA_HUINCUL]]='PLANILLA DJ'!I102,'PLANILLA DJ'!I102=PLOTTIER[[#Headers],[PLOTTIER]])),"COMPLETAR BARRIO",IF(AND(BM102,ISBLANK(Q102)),"Completar Nombre de VICTIMA o DENUNCIANTE",IF(AND(BM102,ISBLANK(R102)),"Completar TIPO DE ACTUACION",IF(AND(R102=BUSCADOR!$B$140,OR(X102&lt;&gt;BUSCADOR!$A$110,ISBLANK(X102))),"Se indico A CONSIDERACION en ACTUACION, indicar en el buscador de delitos A CONSIDERACION tambien",IF(AND(ISBLANK(X102)&lt;&gt;TRUE,IFERROR(MATCH(X102,BUSCADOR!$A$2:$A$112,0),-1)&lt;0),"EN EL BUSCADOR DE DELITOS NO agregar comentarios como SU INVESTIGACION, REPORTE, etc. Limitarse SOLAMENTE a poner A CONSIDERACION u otro valor que coincida en el buscador",IF(AND(ISBLANK(AD102),OR(Y102=BUSCADOR!$B$49,BUSCADOR!$B$50=Y102,Y102=BUSCADOR!$B$46,Y102=BUSCADOR!$B$2,Y102=BUSCADOR!$B$7,BUSCADOR!$B$109=Y102,X102=BUSCADOR!$A$58,X102=BUSCADOR!$A$59)),"Completar la celda TIPO DE LUGAR",IF(AND(ISBLANK(AE102),OR(AD102=BUSCADOR!$E$149,BUSCADOR!$E$150=AD102,AD102=BUSCADOR!$F$148)),"Completar DETALLE ESTABLECIMIENTO",IF(AND(ISBLANK(AF102),BM102),"Completar la celda MOTIVO QUE ORIGINA EL REGISTRO DEL HECHO",IF(AND(SUM(AG102:AI102)=0,OR(Y102=BUSCADOR!$B$2,BUSCADOR!$B$6=Y102,Y102=BUSCADOR!$B$7,BUSCADOR!$B$8=Y102,Y102=BUSCADOR!$B$9,BUSCADOR!$B$12=Y102,Y102=BUSCADOR!$B$13,BUSCADOR!$B$14=Y102,Y102=BUSCADOR!$B$17,BUSCADOR!$B$18=Y102,Y102=BUSCADOR!$B$20,BUSCADOR!$B$29=Y102,BUSCADOR!$B$34=Y102,BUSCADOR!$B$35=Y102,Y102=BUSCADOR!$B$109,Y102=BUSCADOR!$B$51,BUSCADOR!$B$50=Y102,Y102=BUSCADOR!$B$47,Y102=BUSCADOR!$B$58,Y102=BUSCADOR!$B$21,Y102=BUSCADOR!$B$22,Y102=BUSCADOR!$B$23,Y102=BUSCADOR!$B$24)),"El delito indicado debe presentar un numero de victimas. Completar la celda CANTIDAD DE VICTIMAS",IF(AND(SUM(AJ102:AO102)&gt;0,ISBLANK(AP102)),"Completar celda VULNERABILIDAD DE LA VICTIMA",IF(SUM(AG102:AI102)&lt;&gt;SUM(AJ102:AO102),"Se indico una CANTIDAD DE VICTIMAS SEGUN SEXO diferente a SEGUN GENERO",IF(AND(ISBLANK(AR102),OR(Y102=BUSCADOR!$B$49,BUSCADOR!$B$50=Y102,Y102=BUSCADOR!$B$46,Y102=BUSCADOR!$B$109,BUSCADOR!$B$2=Y102,X102=BUSCADOR!$A$58,X102=BUSCADOR!$A$59)),"Completar la celda TIPO DE ARMA, MODALIDAD O MECANISMO",IF(AND(ISBLANK(AS102),OR(Y102=BUSCADOR!$B$51,BUSCADOR!$B$50=Y102,Y102=BUSCADOR!$B$47,BUSCADOR!$A$58=X102,X102=BUSCADOR!$A$59)),"Completar la celda CONOCIDO, en la seccion de los inculpados",IF(AND(AS102=BUSCADOR!$B$127,OR(Y102=BUSCADOR!$B$51,BUSCADOR!$B$50,Y102,BUSCADOR!$B$46),OR(SUM(AT102:AV102)&lt;&gt;SUM(AW102:AZ102),SUM(AT102:AZ102)=0)),"Revisar las celdas correspondientes a CANTIDAD DE INCULPADOS. Se indica una cantidad diferente segun SEXO y EDAD o no se indico cantidad alguna",IF(AND(ISBLANK(BA102),X102=BUSCADOR!$A$27),"Se indico una persona desaparecida. Completar la casilla APARECIO",IF(AND(ISBLANK(BB102),OR(Y102=BUSCADOR!$B$49,BUSCADOR!$B$50=Y102,Y102=BUSCADOR!$B$46)),"Completar la casilla ELEMENTO SUSTRAIDO",IF(OR(AND(BB102=OTROS[[#Headers],[OTROS]],ISBLANK(BC102)),AND(BB102=ABIGEATO[[#Headers],[ABIGEATO]],ISBLANK(BC102))),"Completar la celda SUBCATEGORIA",IF(AND(OR(BB102=MOTOCICLETA[[#Headers],[MOTOCICLETA]],BB102=AUTOMOTOR[[#Headers],[AUTOMOTOR]]),OR(ISBLANK(BC102),ISBLANK(BD102),ISBLANK(BE102),ISBLANK(BF102))),"Se indico un AUTOMOTOR o MOTOCICLETA en ELEMENTOS SUSTRAIDOS, completar las celdas SUBCATEGORIA, DENOMINACION, AÑO y MODELO", IF(AND(ISBLANK(BB102)&lt;&gt;TRUE,ISBLANK(BJ102)),"Completar MODUS OPERANDI",IF(AND(ISBLANK(BK102),OR(BJ102=BUSCADOR!$H$232,BJ102=BUSCADOR!$I$232)),"Completar ESPECIALIDAD",IF(OR(AND(H102='SAT-Homicidios Dolosos'!$B$5,'SAT-Homicidios Dolosos'!$A$5&lt;&gt;"OK"),AND(H102='SAT-Homicidios Dolosos'!$B$8,'SAT-Homicidios Dolosos'!$A$8&lt;&gt;"OK")),"Se indico un HOMICIDIO, existen CELDAS VACIAS en la hoja SAT-HOMICIDIOS DOLOSOS Completar los datos indicados",IF(OR(AND(H102='SAT-Muertes Viales'!$E$21,'SAT-Muertes Viales'!$A$21&lt;&gt;"OK"),AND(H102='SAT-Muertes Viales'!$E$25,'SAT-Muertes Viales'!$A$25&lt;&gt;"OK"),AND(H102='SAT-Muertes Viales'!$E$29,'SAT-Muertes Viales'!$A$29&lt;&gt;"OK")),"Se indico un HOMICIDIO POR SINIESTRO VIAL, existen CELDAS VACIAS en la hoja SAT-MUERTES VIALES Completar los datos indicados",IF(OR(AND(H102='SAT-Suicidios'!$B$19,'SAT-Suicidios'!$A$19&lt;&gt;"OK"),AND(H102='SAT-Suicidios'!$B$22,'SAT-Suicidios'!$A$22&lt;&gt;"OK"),AND(H102='SAT-Suicidios'!$B$25,'SAT-Suicidios'!$A$25&lt;&gt;"OK")),"Se indico un SUICIDIO, existen CELDAS VACIAS en la hoja SAT-SUICIDIOS Completar los datos indicados",IF(IFERROR(MATCH(X102,BUSCADOR!$A$2:$A$112,0),-1)&lt;0,"No se indico delito",IF(AND(ISBLANK(BL102),OR(X102=BUSCADOR!$A$111,X102=BUSCADOR!$A$110)),"Llenar la casilla DETALLES, COMENTARIOS con una descripcion de la causa",IF(AND(X102="MUERTE DUDOSA",ISBLANK(BL102)=FALSE),"SE INDICO MUERTE DUDOSA, NOS CONTACTAREMOS PARA MAS INFORMACION","FILA CORRECTA"))))))))))))))))))))))))))))))</f>
        <v>No se indico delito</v>
      </c>
      <c r="C102" s="43"/>
      <c r="D102" s="91"/>
      <c r="E102" s="48"/>
      <c r="F102" s="89"/>
      <c r="G102" s="231" t="str">
        <f>G101</f>
        <v>Comisaría 15°</v>
      </c>
      <c r="H102" s="49"/>
      <c r="I102" s="53"/>
      <c r="J102" s="54"/>
      <c r="K102" s="54"/>
      <c r="L102" s="54"/>
      <c r="M102" s="54"/>
      <c r="N102" s="49"/>
      <c r="O102" s="55" t="str">
        <f t="shared" si="20"/>
        <v/>
      </c>
      <c r="P102" s="56" t="str">
        <f t="shared" si="21"/>
        <v/>
      </c>
      <c r="Q102" s="53"/>
      <c r="R102" s="49"/>
      <c r="S102" s="63"/>
      <c r="T102" s="59" t="str">
        <f>IFERROR(VLOOKUP(X102,BUSCADOR!$A$2:$E$112,5,FALSE),"")</f>
        <v/>
      </c>
      <c r="U102" s="108" t="str">
        <f t="shared" si="12"/>
        <v/>
      </c>
      <c r="V102" s="64" t="str">
        <f>IFERROR(VLOOKUP(X102,BUSCADOR!$A$2:$E$112,4,FALSE),"")</f>
        <v/>
      </c>
      <c r="W102" s="108" t="str">
        <f t="shared" si="13"/>
        <v/>
      </c>
      <c r="X102" s="54"/>
      <c r="Y102" s="60" t="str">
        <f>IFERROR(VLOOKUP(X102,BUSCADOR!$A$2:$B$112,2,FALSE),"")</f>
        <v/>
      </c>
      <c r="Z102" s="101" t="str">
        <f t="shared" si="14"/>
        <v>__</v>
      </c>
      <c r="AA102" s="103" t="str">
        <f t="shared" si="15"/>
        <v>___</v>
      </c>
      <c r="AB102" s="104" t="str">
        <f t="shared" si="16"/>
        <v>____</v>
      </c>
      <c r="AC102" s="104" t="str">
        <f t="shared" si="16"/>
        <v>_____</v>
      </c>
      <c r="AD102" s="81"/>
      <c r="AE102" s="98"/>
      <c r="AF102" s="67"/>
      <c r="AG102" s="215"/>
      <c r="AH102" s="216"/>
      <c r="AI102" s="217"/>
      <c r="AJ102" s="220"/>
      <c r="AK102" s="216"/>
      <c r="AL102" s="216"/>
      <c r="AM102" s="216"/>
      <c r="AN102" s="216"/>
      <c r="AO102" s="220"/>
      <c r="AP102" s="100"/>
      <c r="AQ102" s="187" t="str">
        <f t="shared" si="17"/>
        <v/>
      </c>
      <c r="AR102" s="67"/>
      <c r="AS102" s="77"/>
      <c r="AT102" s="228"/>
      <c r="AU102" s="216"/>
      <c r="AV102" s="217"/>
      <c r="AW102" s="229"/>
      <c r="AX102" s="216"/>
      <c r="AY102" s="216"/>
      <c r="AZ102" s="230"/>
      <c r="BA102" s="68"/>
      <c r="BB102" s="81"/>
      <c r="BC102" s="27"/>
      <c r="BD102" s="82"/>
      <c r="BE102" s="82"/>
      <c r="BF102" s="80"/>
      <c r="BG102" s="53"/>
      <c r="BH102" s="70"/>
      <c r="BI102" s="189" t="str">
        <f>IF(Y102=BUSCADOR!$B$46,"HURTO_",IF(OR(Y102=BUSCADOR!$B$49,Y102=BUSCADOR!$B$50),"ROBO_",""))</f>
        <v/>
      </c>
      <c r="BJ102" s="53"/>
      <c r="BK102" s="49"/>
      <c r="BL102" s="67"/>
      <c r="BM102" s="1" t="b">
        <f t="shared" si="18"/>
        <v>0</v>
      </c>
    </row>
    <row r="103" spans="1:65" ht="117.6" customHeight="1" thickTop="1" x14ac:dyDescent="0.25"/>
  </sheetData>
  <sheetProtection algorithmName="SHA-512" hashValue="701Mc73E3rGblvffWR2nUOzhjfxMLC+E7tpzYvtBw+kSrlRGLQvZWzlR0TYs3XYplvF1rIO2W5cseJXFu03Otg==" saltValue="tsg5EHGRl1x/ci69n/ZLDA==" spinCount="100000" sheet="1" objects="1" scenarios="1"/>
  <mergeCells count="48">
    <mergeCell ref="BJ1:BJ2"/>
    <mergeCell ref="BK1:BK2"/>
    <mergeCell ref="AB1:AB2"/>
    <mergeCell ref="AJ1:AO1"/>
    <mergeCell ref="BL1:BL2"/>
    <mergeCell ref="BG1:BG2"/>
    <mergeCell ref="BH1:BH2"/>
    <mergeCell ref="BF1:BF2"/>
    <mergeCell ref="BE1:BE2"/>
    <mergeCell ref="BD1:BD2"/>
    <mergeCell ref="BI1:BI2"/>
    <mergeCell ref="AQ1:AQ2"/>
    <mergeCell ref="O1:P1"/>
    <mergeCell ref="BC1:BC2"/>
    <mergeCell ref="AS1:AZ1"/>
    <mergeCell ref="BA1:BA2"/>
    <mergeCell ref="BB1:BB2"/>
    <mergeCell ref="Q1:Q2"/>
    <mergeCell ref="R1:R2"/>
    <mergeCell ref="X1:X2"/>
    <mergeCell ref="AR1:AR2"/>
    <mergeCell ref="Y1:Y2"/>
    <mergeCell ref="S1:S2"/>
    <mergeCell ref="AP1:AP2"/>
    <mergeCell ref="T1:T2"/>
    <mergeCell ref="U1:U2"/>
    <mergeCell ref="Z1:Z2"/>
    <mergeCell ref="AC1:AC2"/>
    <mergeCell ref="A1:A2"/>
    <mergeCell ref="D1:D2"/>
    <mergeCell ref="H1:H2"/>
    <mergeCell ref="N1:N2"/>
    <mergeCell ref="B1:B2"/>
    <mergeCell ref="L1:L2"/>
    <mergeCell ref="M1:M2"/>
    <mergeCell ref="K1:K2"/>
    <mergeCell ref="C1:C2"/>
    <mergeCell ref="E1:F1"/>
    <mergeCell ref="G1:G2"/>
    <mergeCell ref="I1:I2"/>
    <mergeCell ref="J1:J2"/>
    <mergeCell ref="AA1:AA2"/>
    <mergeCell ref="V1:V2"/>
    <mergeCell ref="AF1:AF2"/>
    <mergeCell ref="AG1:AI1"/>
    <mergeCell ref="W1:W2"/>
    <mergeCell ref="AD1:AD2"/>
    <mergeCell ref="AE1:AE2"/>
  </mergeCells>
  <conditionalFormatting sqref="B3:B102">
    <cfRule type="cellIs" dxfId="134" priority="1" operator="equal">
      <formula>"SE INDICO MUERTE DUDOSA, NOS CONTACTAREMOS PARA MAS INFORMACION"</formula>
    </cfRule>
    <cfRule type="cellIs" dxfId="133" priority="2" operator="equal">
      <formula>"FILA CORRECTA"</formula>
    </cfRule>
    <cfRule type="cellIs" dxfId="132" priority="3" operator="equal">
      <formula>"No se indico delito"</formula>
    </cfRule>
    <cfRule type="containsText" dxfId="131" priority="7" operator="containsText" text="OK">
      <formula>NOT(ISERROR(SEARCH("OK",B3)))</formula>
    </cfRule>
    <cfRule type="notContainsBlanks" dxfId="130" priority="10">
      <formula>LEN(TRIM(B3))&gt;0</formula>
    </cfRule>
  </conditionalFormatting>
  <conditionalFormatting sqref="B3:B102">
    <cfRule type="containsText" dxfId="129" priority="8" operator="containsText" text="CONSIDERACION">
      <formula>NOT(ISERROR(SEARCH("CONSIDERACION",B3)))</formula>
    </cfRule>
  </conditionalFormatting>
  <dataValidations count="24">
    <dataValidation operator="greaterThan" allowBlank="1" showInputMessage="1" showErrorMessage="1" sqref="D3:D102 H3:H102 M3:M102 L3 L5:L102"/>
    <dataValidation type="list" allowBlank="1" showInputMessage="1" showErrorMessage="1" error="SELECCIONAR UN VALOR DE LA CASILLA DESPLEGABLE._x000a__x000a_SI NO SE DESPLEGA LA LISTA DEJAR LA CELDA VACIA." sqref="I3:I102">
      <formula1>LOCALIDAD</formula1>
    </dataValidation>
    <dataValidation type="list" allowBlank="1" showInputMessage="1" showErrorMessage="1" error="SELECCIONAR UN VALOR DE LA CASILLA DESPLEGABLE._x000a__x000a_SI NO SE DESPLEGA LA LISTA DEJAR LA CELDA VACIA." sqref="R3:R102">
      <formula1>ACTUACION</formula1>
    </dataValidation>
    <dataValidation type="list" allowBlank="1" showInputMessage="1" showErrorMessage="1" error="SELECCIONAR UN VALOR DE LA CASILLA DESPLEGABLE._x000a__x000a_SI NO SE DESPLEGA LA LISTA DEJAR LA CELDA VACIA." sqref="AF3:AF102">
      <formula1>MOTIVO</formula1>
    </dataValidation>
    <dataValidation type="list" allowBlank="1" showInputMessage="1" showErrorMessage="1" sqref="BA3:BA102">
      <formula1>INDIRECT($AA3)</formula1>
    </dataValidation>
    <dataValidation type="list" operator="greaterThan" allowBlank="1" showInputMessage="1" showErrorMessage="1" errorTitle="ERROR" error="SELECCIONAR UN VALOR DE LA CASILLA DESPLEGABLE._x000a__x000a_SI NO SE DESPLEGA LA LISTA DEJAR LA CELDA VACIA." sqref="AG3:AO102">
      <formula1>VICTIMAS</formula1>
    </dataValidation>
    <dataValidation type="list" allowBlank="1" showInputMessage="1" showErrorMessage="1" error="SELECCIONAR UN VALOR DE LA CASILLA DESPLEGABLE._x000a__x000a_SI NO SE DESPLEGA LA LISTA DEJAR LA CELDA VACIA." sqref="AR3:AR102">
      <formula1>INDIRECT(U3)</formula1>
    </dataValidation>
    <dataValidation type="list" operator="greaterThan" allowBlank="1" showInputMessage="1" showErrorMessage="1" error="SELECCIONAR UN VALOR DE LA CASILLA DESPLEGABLE._x000a__x000a_SI NO SE DESPLEGA LA LISTA DEJAR LA CELDA VACIA." sqref="J3:J102">
      <formula1>INDIRECT($I3)</formula1>
    </dataValidation>
    <dataValidation type="list" allowBlank="1" showInputMessage="1" showErrorMessage="1" error="SELECCIONAR UN VALOR DE LA CASILLA DESPLEGABLE._x000a__x000a_SI NO SE DESPLEGA LA LISTA DEJAR LA CELDA VACIA." sqref="AD3:AD102">
      <formula1>INDIRECT(W3)</formula1>
    </dataValidation>
    <dataValidation type="list" operator="greaterThan" allowBlank="1" showInputMessage="1" showErrorMessage="1" errorTitle="ERROR" error="SELECCIONAR UN VALOR DE LA CASILLA DESPLEGABLE._x000a__x000a_SI NO SE DESPLEGA LA LISTA DEJAR LA CELDA VACIA." sqref="AT3:AZ102">
      <formula1>INDIRECT($AS3)</formula1>
    </dataValidation>
    <dataValidation type="list" allowBlank="1" showInputMessage="1" showErrorMessage="1" error="SELECCIONAR UN VALOR DE LA CASILLA DESPLEGABLE._x000a__x000a_SI NO SE DESPLEGA LA LISTA DEJAR LA CELDA VACIA." sqref="AS3:AS102">
      <formula1>INDIRECT(Z3)</formula1>
    </dataValidation>
    <dataValidation type="list" allowBlank="1" showInputMessage="1" showErrorMessage="1" error="SELECCIONAR UN VALOR DE LA CASILLA DESPLEGABLE._x000a__x000a_SI NO SE DESPLEGA LA LISTA DEJAR LA CELDA VACIA." sqref="BB3:BB102">
      <formula1>INDIRECT($AB3)</formula1>
    </dataValidation>
    <dataValidation type="list" allowBlank="1" showInputMessage="1" showErrorMessage="1" error="SELECCIONAR UN VALOR DE LA CASILLA DESPLEGABLE._x000a__x000a_SI NO SE DESPLEGA LA LISTA DEJAR LA CELDA VACIA." sqref="BC3:BD102 BH3:BK102 AE3:AE102">
      <formula1>INDIRECT(AD3)</formula1>
    </dataValidation>
    <dataValidation operator="greaterThan" allowBlank="1" showInputMessage="1" showErrorMessage="1" error="SELECCIONAR UN VALOR DE LA CASILLA DESPLEGABLE._x000a__x000a_SI NO SE DESPLEGA LA LISTA DEJAR LA CELDA VACIA." sqref="K3:K102"/>
    <dataValidation type="list" operator="greaterThanOrEqual" allowBlank="1" showInputMessage="1" showErrorMessage="1" error="EL FORMATO DE HORARIO DEBE SER 24h_x000a__x000a_hh:mm" sqref="G3">
      <formula1>COMISARIA</formula1>
    </dataValidation>
    <dataValidation type="list" allowBlank="1" showInputMessage="1" showErrorMessage="1" errorTitle="SELECCIONAR EN EL BUSCADOR" error="SELECCIONAR UN VALOR DEL BUSCADOR" sqref="X3:X102">
      <formula1>VARIANTE</formula1>
    </dataValidation>
    <dataValidation type="list" allowBlank="1" showInputMessage="1" showErrorMessage="1" error="SELECCIONAR UN VALOR DE LA CASILLA DESPLEGABLE._x000a__x000a_SI NO SE DESPLEGA LA LISTA DEJAR LA CELDA VACIA." sqref="BG3:BG102">
      <formula1>INDIRECT($AC3)</formula1>
    </dataValidation>
    <dataValidation type="list" allowBlank="1" showInputMessage="1" showErrorMessage="1" error="SELECCIONAR UN VALOR DE LA CASILLA DESPLEGABLE._x000a__x000a_SI NO SE DESPLEGA LA LISTA DEJAR LA CELDA VACIA." sqref="BA3:BA102">
      <formula1>INDIRECT($AA3)</formula1>
    </dataValidation>
    <dataValidation type="date" operator="greaterThan" allowBlank="1" showInputMessage="1" showErrorMessage="1" sqref="C3:C102">
      <formula1>44927</formula1>
    </dataValidation>
    <dataValidation allowBlank="1" showInputMessage="1" showErrorMessage="1" error="SELECCIONAR UN VALOR DE LA CASILLA DESPLEGABLE._x000a__x000a_SI NO SE DESPLEGA LA LISTA DEJAR LA CELDA VACIA." sqref="BE3:BF102"/>
    <dataValidation type="list" operator="greaterThan" allowBlank="1" showInputMessage="1" showErrorMessage="1" sqref="E3:F102">
      <formula1>Hora</formula1>
    </dataValidation>
    <dataValidation operator="greaterThan" allowBlank="1" showInputMessage="1" showErrorMessage="1" errorTitle="ERROR" error="SELECCIONAR UN VALOR DE LA CASILLA DESPLEGABLE._x000a__x000a_SI NO SE DESPLEGA LA LISTA DEJAR LA CELDA VACIA." sqref="AQ3:AQ102"/>
    <dataValidation type="list" operator="greaterThan" allowBlank="1" showInputMessage="1" showErrorMessage="1" errorTitle="ERROR" error="SELECCIONAR UN VALOR DE LA CASILLA DESPLEGABLE._x000a__x000a_SI NO SE DESPLEGA LA LISTA DEJAR LA CELDA VACIA." sqref="AP3:AP102">
      <formula1>INDIRECT($AQ3)</formula1>
    </dataValidation>
    <dataValidation operator="greaterThanOrEqual" allowBlank="1" showInputMessage="1" showErrorMessage="1" error="EL FORMATO DE HORARIO DEBE SER 24h_x000a__x000a_hh:mm" sqref="G4:G102"/>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37" r:id="rId4" name="ComboBox102">
          <controlPr defaultSize="0" autoLine="0" autoPict="0" linkedCell="X102" listFillRange="N_102" r:id="rId5">
            <anchor moveWithCells="1">
              <from>
                <xdr:col>18</xdr:col>
                <xdr:colOff>19050</xdr:colOff>
                <xdr:row>101</xdr:row>
                <xdr:rowOff>19050</xdr:rowOff>
              </from>
              <to>
                <xdr:col>19</xdr:col>
                <xdr:colOff>0</xdr:colOff>
                <xdr:row>102</xdr:row>
                <xdr:rowOff>0</xdr:rowOff>
              </to>
            </anchor>
          </controlPr>
        </control>
      </mc:Choice>
      <mc:Fallback>
        <control shapeId="1237" r:id="rId4" name="ComboBox102"/>
      </mc:Fallback>
    </mc:AlternateContent>
    <mc:AlternateContent xmlns:mc="http://schemas.openxmlformats.org/markup-compatibility/2006">
      <mc:Choice Requires="x14">
        <control shapeId="1236" r:id="rId6" name="ComboBox101">
          <controlPr defaultSize="0" autoLine="0" autoPict="0" linkedCell="X101" listFillRange="N_101" r:id="rId7">
            <anchor moveWithCells="1">
              <from>
                <xdr:col>18</xdr:col>
                <xdr:colOff>0</xdr:colOff>
                <xdr:row>100</xdr:row>
                <xdr:rowOff>9525</xdr:rowOff>
              </from>
              <to>
                <xdr:col>19</xdr:col>
                <xdr:colOff>0</xdr:colOff>
                <xdr:row>101</xdr:row>
                <xdr:rowOff>0</xdr:rowOff>
              </to>
            </anchor>
          </controlPr>
        </control>
      </mc:Choice>
      <mc:Fallback>
        <control shapeId="1236" r:id="rId6" name="ComboBox101"/>
      </mc:Fallback>
    </mc:AlternateContent>
    <mc:AlternateContent xmlns:mc="http://schemas.openxmlformats.org/markup-compatibility/2006">
      <mc:Choice Requires="x14">
        <control shapeId="1235" r:id="rId8" name="ComboBox100">
          <controlPr defaultSize="0" autoLine="0" autoPict="0" linkedCell="X100" listFillRange="N_100" r:id="rId7">
            <anchor moveWithCells="1">
              <from>
                <xdr:col>18</xdr:col>
                <xdr:colOff>0</xdr:colOff>
                <xdr:row>99</xdr:row>
                <xdr:rowOff>9525</xdr:rowOff>
              </from>
              <to>
                <xdr:col>19</xdr:col>
                <xdr:colOff>0</xdr:colOff>
                <xdr:row>100</xdr:row>
                <xdr:rowOff>0</xdr:rowOff>
              </to>
            </anchor>
          </controlPr>
        </control>
      </mc:Choice>
      <mc:Fallback>
        <control shapeId="1235" r:id="rId8" name="ComboBox100"/>
      </mc:Fallback>
    </mc:AlternateContent>
    <mc:AlternateContent xmlns:mc="http://schemas.openxmlformats.org/markup-compatibility/2006">
      <mc:Choice Requires="x14">
        <control shapeId="1234" r:id="rId9" name="ComboBox99">
          <controlPr defaultSize="0" autoLine="0" autoPict="0" linkedCell="X99" listFillRange="N_99" r:id="rId7">
            <anchor moveWithCells="1">
              <from>
                <xdr:col>18</xdr:col>
                <xdr:colOff>0</xdr:colOff>
                <xdr:row>98</xdr:row>
                <xdr:rowOff>9525</xdr:rowOff>
              </from>
              <to>
                <xdr:col>19</xdr:col>
                <xdr:colOff>0</xdr:colOff>
                <xdr:row>99</xdr:row>
                <xdr:rowOff>0</xdr:rowOff>
              </to>
            </anchor>
          </controlPr>
        </control>
      </mc:Choice>
      <mc:Fallback>
        <control shapeId="1234" r:id="rId9" name="ComboBox99"/>
      </mc:Fallback>
    </mc:AlternateContent>
    <mc:AlternateContent xmlns:mc="http://schemas.openxmlformats.org/markup-compatibility/2006">
      <mc:Choice Requires="x14">
        <control shapeId="1233" r:id="rId10" name="ComboBox98">
          <controlPr defaultSize="0" autoLine="0" autoPict="0" linkedCell="X98" listFillRange="N_98" r:id="rId11">
            <anchor moveWithCells="1">
              <from>
                <xdr:col>18</xdr:col>
                <xdr:colOff>0</xdr:colOff>
                <xdr:row>97</xdr:row>
                <xdr:rowOff>0</xdr:rowOff>
              </from>
              <to>
                <xdr:col>19</xdr:col>
                <xdr:colOff>0</xdr:colOff>
                <xdr:row>98</xdr:row>
                <xdr:rowOff>0</xdr:rowOff>
              </to>
            </anchor>
          </controlPr>
        </control>
      </mc:Choice>
      <mc:Fallback>
        <control shapeId="1233" r:id="rId10" name="ComboBox98"/>
      </mc:Fallback>
    </mc:AlternateContent>
    <mc:AlternateContent xmlns:mc="http://schemas.openxmlformats.org/markup-compatibility/2006">
      <mc:Choice Requires="x14">
        <control shapeId="1232" r:id="rId12" name="ComboBox97">
          <controlPr defaultSize="0" autoLine="0" autoPict="0" linkedCell="X97" listFillRange="N_97" r:id="rId13">
            <anchor moveWithCells="1">
              <from>
                <xdr:col>18</xdr:col>
                <xdr:colOff>19050</xdr:colOff>
                <xdr:row>96</xdr:row>
                <xdr:rowOff>9525</xdr:rowOff>
              </from>
              <to>
                <xdr:col>19</xdr:col>
                <xdr:colOff>0</xdr:colOff>
                <xdr:row>97</xdr:row>
                <xdr:rowOff>0</xdr:rowOff>
              </to>
            </anchor>
          </controlPr>
        </control>
      </mc:Choice>
      <mc:Fallback>
        <control shapeId="1232" r:id="rId12" name="ComboBox97"/>
      </mc:Fallback>
    </mc:AlternateContent>
    <mc:AlternateContent xmlns:mc="http://schemas.openxmlformats.org/markup-compatibility/2006">
      <mc:Choice Requires="x14">
        <control shapeId="1231" r:id="rId14" name="ComboBox96">
          <controlPr defaultSize="0" autoLine="0" autoPict="0" linkedCell="X96" listFillRange="N_96" r:id="rId15">
            <anchor moveWithCells="1">
              <from>
                <xdr:col>18</xdr:col>
                <xdr:colOff>19050</xdr:colOff>
                <xdr:row>95</xdr:row>
                <xdr:rowOff>19050</xdr:rowOff>
              </from>
              <to>
                <xdr:col>19</xdr:col>
                <xdr:colOff>0</xdr:colOff>
                <xdr:row>96</xdr:row>
                <xdr:rowOff>0</xdr:rowOff>
              </to>
            </anchor>
          </controlPr>
        </control>
      </mc:Choice>
      <mc:Fallback>
        <control shapeId="1231" r:id="rId14" name="ComboBox96"/>
      </mc:Fallback>
    </mc:AlternateContent>
    <mc:AlternateContent xmlns:mc="http://schemas.openxmlformats.org/markup-compatibility/2006">
      <mc:Choice Requires="x14">
        <control shapeId="1230" r:id="rId16" name="ComboBox95">
          <controlPr defaultSize="0" autoLine="0" autoPict="0" linkedCell="X95" listFillRange="N_95" r:id="rId15">
            <anchor moveWithCells="1">
              <from>
                <xdr:col>18</xdr:col>
                <xdr:colOff>19050</xdr:colOff>
                <xdr:row>94</xdr:row>
                <xdr:rowOff>28575</xdr:rowOff>
              </from>
              <to>
                <xdr:col>19</xdr:col>
                <xdr:colOff>0</xdr:colOff>
                <xdr:row>95</xdr:row>
                <xdr:rowOff>38100</xdr:rowOff>
              </to>
            </anchor>
          </controlPr>
        </control>
      </mc:Choice>
      <mc:Fallback>
        <control shapeId="1230" r:id="rId16" name="ComboBox95"/>
      </mc:Fallback>
    </mc:AlternateContent>
    <mc:AlternateContent xmlns:mc="http://schemas.openxmlformats.org/markup-compatibility/2006">
      <mc:Choice Requires="x14">
        <control shapeId="1229" r:id="rId17" name="ComboBox94">
          <controlPr defaultSize="0" autoLine="0" autoPict="0" linkedCell="X94" listFillRange="N_94" r:id="rId15">
            <anchor moveWithCells="1">
              <from>
                <xdr:col>18</xdr:col>
                <xdr:colOff>19050</xdr:colOff>
                <xdr:row>93</xdr:row>
                <xdr:rowOff>19050</xdr:rowOff>
              </from>
              <to>
                <xdr:col>19</xdr:col>
                <xdr:colOff>0</xdr:colOff>
                <xdr:row>94</xdr:row>
                <xdr:rowOff>0</xdr:rowOff>
              </to>
            </anchor>
          </controlPr>
        </control>
      </mc:Choice>
      <mc:Fallback>
        <control shapeId="1229" r:id="rId17" name="ComboBox94"/>
      </mc:Fallback>
    </mc:AlternateContent>
    <mc:AlternateContent xmlns:mc="http://schemas.openxmlformats.org/markup-compatibility/2006">
      <mc:Choice Requires="x14">
        <control shapeId="1228" r:id="rId18" name="ComboBox93">
          <controlPr defaultSize="0" autoLine="0" autoPict="0" linkedCell="X93" listFillRange="N_93" r:id="rId15">
            <anchor moveWithCells="1">
              <from>
                <xdr:col>18</xdr:col>
                <xdr:colOff>19050</xdr:colOff>
                <xdr:row>92</xdr:row>
                <xdr:rowOff>19050</xdr:rowOff>
              </from>
              <to>
                <xdr:col>19</xdr:col>
                <xdr:colOff>0</xdr:colOff>
                <xdr:row>93</xdr:row>
                <xdr:rowOff>0</xdr:rowOff>
              </to>
            </anchor>
          </controlPr>
        </control>
      </mc:Choice>
      <mc:Fallback>
        <control shapeId="1228" r:id="rId18" name="ComboBox93"/>
      </mc:Fallback>
    </mc:AlternateContent>
    <mc:AlternateContent xmlns:mc="http://schemas.openxmlformats.org/markup-compatibility/2006">
      <mc:Choice Requires="x14">
        <control shapeId="1227" r:id="rId19" name="ComboBox92">
          <controlPr defaultSize="0" autoLine="0" autoPict="0" linkedCell="X92" listFillRange="N_92" r:id="rId20">
            <anchor moveWithCells="1">
              <from>
                <xdr:col>18</xdr:col>
                <xdr:colOff>28575</xdr:colOff>
                <xdr:row>91</xdr:row>
                <xdr:rowOff>28575</xdr:rowOff>
              </from>
              <to>
                <xdr:col>19</xdr:col>
                <xdr:colOff>0</xdr:colOff>
                <xdr:row>92</xdr:row>
                <xdr:rowOff>38100</xdr:rowOff>
              </to>
            </anchor>
          </controlPr>
        </control>
      </mc:Choice>
      <mc:Fallback>
        <control shapeId="1227" r:id="rId19" name="ComboBox92"/>
      </mc:Fallback>
    </mc:AlternateContent>
    <mc:AlternateContent xmlns:mc="http://schemas.openxmlformats.org/markup-compatibility/2006">
      <mc:Choice Requires="x14">
        <control shapeId="1226" r:id="rId21" name="ComboBox91">
          <controlPr defaultSize="0" autoLine="0" linkedCell="X91" listFillRange="N_91" r:id="rId22">
            <anchor moveWithCells="1">
              <from>
                <xdr:col>18</xdr:col>
                <xdr:colOff>0</xdr:colOff>
                <xdr:row>90</xdr:row>
                <xdr:rowOff>0</xdr:rowOff>
              </from>
              <to>
                <xdr:col>19</xdr:col>
                <xdr:colOff>0</xdr:colOff>
                <xdr:row>91</xdr:row>
                <xdr:rowOff>38100</xdr:rowOff>
              </to>
            </anchor>
          </controlPr>
        </control>
      </mc:Choice>
      <mc:Fallback>
        <control shapeId="1226" r:id="rId21" name="ComboBox91"/>
      </mc:Fallback>
    </mc:AlternateContent>
    <mc:AlternateContent xmlns:mc="http://schemas.openxmlformats.org/markup-compatibility/2006">
      <mc:Choice Requires="x14">
        <control shapeId="1225" r:id="rId23" name="ComboBox90">
          <controlPr defaultSize="0" autoLine="0" autoPict="0" linkedCell="X90" listFillRange="N_90" r:id="rId11">
            <anchor moveWithCells="1">
              <from>
                <xdr:col>18</xdr:col>
                <xdr:colOff>0</xdr:colOff>
                <xdr:row>89</xdr:row>
                <xdr:rowOff>0</xdr:rowOff>
              </from>
              <to>
                <xdr:col>19</xdr:col>
                <xdr:colOff>0</xdr:colOff>
                <xdr:row>90</xdr:row>
                <xdr:rowOff>0</xdr:rowOff>
              </to>
            </anchor>
          </controlPr>
        </control>
      </mc:Choice>
      <mc:Fallback>
        <control shapeId="1225" r:id="rId23" name="ComboBox90"/>
      </mc:Fallback>
    </mc:AlternateContent>
    <mc:AlternateContent xmlns:mc="http://schemas.openxmlformats.org/markup-compatibility/2006">
      <mc:Choice Requires="x14">
        <control shapeId="1224" r:id="rId24" name="ComboBox89">
          <controlPr defaultSize="0" autoLine="0" autoPict="0" linkedCell="X89" listFillRange="N_89" r:id="rId11">
            <anchor moveWithCells="1">
              <from>
                <xdr:col>18</xdr:col>
                <xdr:colOff>0</xdr:colOff>
                <xdr:row>88</xdr:row>
                <xdr:rowOff>0</xdr:rowOff>
              </from>
              <to>
                <xdr:col>19</xdr:col>
                <xdr:colOff>0</xdr:colOff>
                <xdr:row>89</xdr:row>
                <xdr:rowOff>0</xdr:rowOff>
              </to>
            </anchor>
          </controlPr>
        </control>
      </mc:Choice>
      <mc:Fallback>
        <control shapeId="1224" r:id="rId24" name="ComboBox89"/>
      </mc:Fallback>
    </mc:AlternateContent>
    <mc:AlternateContent xmlns:mc="http://schemas.openxmlformats.org/markup-compatibility/2006">
      <mc:Choice Requires="x14">
        <control shapeId="1223" r:id="rId25" name="ComboBox88">
          <controlPr defaultSize="0" autoLine="0" autoPict="0" linkedCell="X88" listFillRange="N_88" r:id="rId11">
            <anchor moveWithCells="1">
              <from>
                <xdr:col>18</xdr:col>
                <xdr:colOff>0</xdr:colOff>
                <xdr:row>87</xdr:row>
                <xdr:rowOff>0</xdr:rowOff>
              </from>
              <to>
                <xdr:col>19</xdr:col>
                <xdr:colOff>0</xdr:colOff>
                <xdr:row>88</xdr:row>
                <xdr:rowOff>0</xdr:rowOff>
              </to>
            </anchor>
          </controlPr>
        </control>
      </mc:Choice>
      <mc:Fallback>
        <control shapeId="1223" r:id="rId25" name="ComboBox88"/>
      </mc:Fallback>
    </mc:AlternateContent>
    <mc:AlternateContent xmlns:mc="http://schemas.openxmlformats.org/markup-compatibility/2006">
      <mc:Choice Requires="x14">
        <control shapeId="1222" r:id="rId26" name="ComboBox87">
          <controlPr defaultSize="0" autoLine="0" autoPict="0" linkedCell="X87" listFillRange="N_87" r:id="rId11">
            <anchor moveWithCells="1">
              <from>
                <xdr:col>18</xdr:col>
                <xdr:colOff>0</xdr:colOff>
                <xdr:row>86</xdr:row>
                <xdr:rowOff>0</xdr:rowOff>
              </from>
              <to>
                <xdr:col>19</xdr:col>
                <xdr:colOff>0</xdr:colOff>
                <xdr:row>87</xdr:row>
                <xdr:rowOff>0</xdr:rowOff>
              </to>
            </anchor>
          </controlPr>
        </control>
      </mc:Choice>
      <mc:Fallback>
        <control shapeId="1222" r:id="rId26" name="ComboBox87"/>
      </mc:Fallback>
    </mc:AlternateContent>
    <mc:AlternateContent xmlns:mc="http://schemas.openxmlformats.org/markup-compatibility/2006">
      <mc:Choice Requires="x14">
        <control shapeId="1221" r:id="rId27" name="ComboBox86">
          <controlPr defaultSize="0" autoLine="0" linkedCell="X86" listFillRange="N_86" r:id="rId28">
            <anchor moveWithCells="1">
              <from>
                <xdr:col>18</xdr:col>
                <xdr:colOff>0</xdr:colOff>
                <xdr:row>85</xdr:row>
                <xdr:rowOff>0</xdr:rowOff>
              </from>
              <to>
                <xdr:col>19</xdr:col>
                <xdr:colOff>0</xdr:colOff>
                <xdr:row>86</xdr:row>
                <xdr:rowOff>0</xdr:rowOff>
              </to>
            </anchor>
          </controlPr>
        </control>
      </mc:Choice>
      <mc:Fallback>
        <control shapeId="1221" r:id="rId27" name="ComboBox86"/>
      </mc:Fallback>
    </mc:AlternateContent>
    <mc:AlternateContent xmlns:mc="http://schemas.openxmlformats.org/markup-compatibility/2006">
      <mc:Choice Requires="x14">
        <control shapeId="1220" r:id="rId29" name="ComboBox85">
          <controlPr defaultSize="0" autoLine="0" linkedCell="X85" listFillRange="N_85" r:id="rId28">
            <anchor moveWithCells="1">
              <from>
                <xdr:col>18</xdr:col>
                <xdr:colOff>0</xdr:colOff>
                <xdr:row>84</xdr:row>
                <xdr:rowOff>0</xdr:rowOff>
              </from>
              <to>
                <xdr:col>19</xdr:col>
                <xdr:colOff>0</xdr:colOff>
                <xdr:row>85</xdr:row>
                <xdr:rowOff>0</xdr:rowOff>
              </to>
            </anchor>
          </controlPr>
        </control>
      </mc:Choice>
      <mc:Fallback>
        <control shapeId="1220" r:id="rId29" name="ComboBox85"/>
      </mc:Fallback>
    </mc:AlternateContent>
    <mc:AlternateContent xmlns:mc="http://schemas.openxmlformats.org/markup-compatibility/2006">
      <mc:Choice Requires="x14">
        <control shapeId="1219" r:id="rId30" name="ComboBox84">
          <controlPr defaultSize="0" autoLine="0" autoPict="0" linkedCell="X84" listFillRange="N_84" r:id="rId11">
            <anchor moveWithCells="1">
              <from>
                <xdr:col>18</xdr:col>
                <xdr:colOff>0</xdr:colOff>
                <xdr:row>83</xdr:row>
                <xdr:rowOff>0</xdr:rowOff>
              </from>
              <to>
                <xdr:col>19</xdr:col>
                <xdr:colOff>0</xdr:colOff>
                <xdr:row>84</xdr:row>
                <xdr:rowOff>0</xdr:rowOff>
              </to>
            </anchor>
          </controlPr>
        </control>
      </mc:Choice>
      <mc:Fallback>
        <control shapeId="1219" r:id="rId30" name="ComboBox84"/>
      </mc:Fallback>
    </mc:AlternateContent>
    <mc:AlternateContent xmlns:mc="http://schemas.openxmlformats.org/markup-compatibility/2006">
      <mc:Choice Requires="x14">
        <control shapeId="1218" r:id="rId31" name="ComboBox83">
          <controlPr defaultSize="0" autoLine="0" linkedCell="X83" listFillRange="N_83" r:id="rId28">
            <anchor moveWithCells="1">
              <from>
                <xdr:col>18</xdr:col>
                <xdr:colOff>0</xdr:colOff>
                <xdr:row>82</xdr:row>
                <xdr:rowOff>0</xdr:rowOff>
              </from>
              <to>
                <xdr:col>19</xdr:col>
                <xdr:colOff>0</xdr:colOff>
                <xdr:row>83</xdr:row>
                <xdr:rowOff>0</xdr:rowOff>
              </to>
            </anchor>
          </controlPr>
        </control>
      </mc:Choice>
      <mc:Fallback>
        <control shapeId="1218" r:id="rId31" name="ComboBox83"/>
      </mc:Fallback>
    </mc:AlternateContent>
    <mc:AlternateContent xmlns:mc="http://schemas.openxmlformats.org/markup-compatibility/2006">
      <mc:Choice Requires="x14">
        <control shapeId="1217" r:id="rId32" name="ComboBox82">
          <controlPr defaultSize="0" autoLine="0" autoPict="0" linkedCell="X82" listFillRange="N_82" r:id="rId11">
            <anchor moveWithCells="1">
              <from>
                <xdr:col>18</xdr:col>
                <xdr:colOff>0</xdr:colOff>
                <xdr:row>81</xdr:row>
                <xdr:rowOff>0</xdr:rowOff>
              </from>
              <to>
                <xdr:col>19</xdr:col>
                <xdr:colOff>0</xdr:colOff>
                <xdr:row>82</xdr:row>
                <xdr:rowOff>0</xdr:rowOff>
              </to>
            </anchor>
          </controlPr>
        </control>
      </mc:Choice>
      <mc:Fallback>
        <control shapeId="1217" r:id="rId32" name="ComboBox82"/>
      </mc:Fallback>
    </mc:AlternateContent>
    <mc:AlternateContent xmlns:mc="http://schemas.openxmlformats.org/markup-compatibility/2006">
      <mc:Choice Requires="x14">
        <control shapeId="1216" r:id="rId33" name="ComboBox81">
          <controlPr defaultSize="0" autoLine="0" linkedCell="X81" listFillRange="N_81" r:id="rId34">
            <anchor moveWithCells="1">
              <from>
                <xdr:col>18</xdr:col>
                <xdr:colOff>123825</xdr:colOff>
                <xdr:row>80</xdr:row>
                <xdr:rowOff>352425</xdr:rowOff>
              </from>
              <to>
                <xdr:col>19</xdr:col>
                <xdr:colOff>9525</xdr:colOff>
                <xdr:row>81</xdr:row>
                <xdr:rowOff>352425</xdr:rowOff>
              </to>
            </anchor>
          </controlPr>
        </control>
      </mc:Choice>
      <mc:Fallback>
        <control shapeId="1216" r:id="rId33" name="ComboBox81"/>
      </mc:Fallback>
    </mc:AlternateContent>
    <mc:AlternateContent xmlns:mc="http://schemas.openxmlformats.org/markup-compatibility/2006">
      <mc:Choice Requires="x14">
        <control shapeId="1215" r:id="rId35" name="ComboBox80">
          <controlPr defaultSize="0" autoLine="0" autoPict="0" linkedCell="X80" listFillRange="N_80" r:id="rId36">
            <anchor moveWithCells="1">
              <from>
                <xdr:col>18</xdr:col>
                <xdr:colOff>28575</xdr:colOff>
                <xdr:row>79</xdr:row>
                <xdr:rowOff>0</xdr:rowOff>
              </from>
              <to>
                <xdr:col>19</xdr:col>
                <xdr:colOff>0</xdr:colOff>
                <xdr:row>80</xdr:row>
                <xdr:rowOff>0</xdr:rowOff>
              </to>
            </anchor>
          </controlPr>
        </control>
      </mc:Choice>
      <mc:Fallback>
        <control shapeId="1215" r:id="rId35" name="ComboBox80"/>
      </mc:Fallback>
    </mc:AlternateContent>
    <mc:AlternateContent xmlns:mc="http://schemas.openxmlformats.org/markup-compatibility/2006">
      <mc:Choice Requires="x14">
        <control shapeId="1214" r:id="rId37" name="ComboBox79">
          <controlPr defaultSize="0" autoLine="0" autoPict="0" linkedCell="X79" listFillRange="N_79" r:id="rId36">
            <anchor moveWithCells="1">
              <from>
                <xdr:col>18</xdr:col>
                <xdr:colOff>28575</xdr:colOff>
                <xdr:row>78</xdr:row>
                <xdr:rowOff>0</xdr:rowOff>
              </from>
              <to>
                <xdr:col>19</xdr:col>
                <xdr:colOff>0</xdr:colOff>
                <xdr:row>79</xdr:row>
                <xdr:rowOff>0</xdr:rowOff>
              </to>
            </anchor>
          </controlPr>
        </control>
      </mc:Choice>
      <mc:Fallback>
        <control shapeId="1214" r:id="rId37" name="ComboBox79"/>
      </mc:Fallback>
    </mc:AlternateContent>
    <mc:AlternateContent xmlns:mc="http://schemas.openxmlformats.org/markup-compatibility/2006">
      <mc:Choice Requires="x14">
        <control shapeId="1213" r:id="rId38" name="ComboBox78">
          <controlPr defaultSize="0" autoLine="0" linkedCell="X78" listFillRange="N_78" r:id="rId34">
            <anchor moveWithCells="1">
              <from>
                <xdr:col>18</xdr:col>
                <xdr:colOff>123825</xdr:colOff>
                <xdr:row>77</xdr:row>
                <xdr:rowOff>333375</xdr:rowOff>
              </from>
              <to>
                <xdr:col>19</xdr:col>
                <xdr:colOff>9525</xdr:colOff>
                <xdr:row>78</xdr:row>
                <xdr:rowOff>333375</xdr:rowOff>
              </to>
            </anchor>
          </controlPr>
        </control>
      </mc:Choice>
      <mc:Fallback>
        <control shapeId="1213" r:id="rId38" name="ComboBox78"/>
      </mc:Fallback>
    </mc:AlternateContent>
    <mc:AlternateContent xmlns:mc="http://schemas.openxmlformats.org/markup-compatibility/2006">
      <mc:Choice Requires="x14">
        <control shapeId="1212" r:id="rId39" name="ComboBox77">
          <controlPr defaultSize="0" autoLine="0" autoPict="0" linkedCell="X77" listFillRange="N_77" r:id="rId36">
            <anchor moveWithCells="1">
              <from>
                <xdr:col>18</xdr:col>
                <xdr:colOff>28575</xdr:colOff>
                <xdr:row>76</xdr:row>
                <xdr:rowOff>0</xdr:rowOff>
              </from>
              <to>
                <xdr:col>19</xdr:col>
                <xdr:colOff>0</xdr:colOff>
                <xdr:row>77</xdr:row>
                <xdr:rowOff>0</xdr:rowOff>
              </to>
            </anchor>
          </controlPr>
        </control>
      </mc:Choice>
      <mc:Fallback>
        <control shapeId="1212" r:id="rId39" name="ComboBox77"/>
      </mc:Fallback>
    </mc:AlternateContent>
    <mc:AlternateContent xmlns:mc="http://schemas.openxmlformats.org/markup-compatibility/2006">
      <mc:Choice Requires="x14">
        <control shapeId="1211" r:id="rId40" name="ComboBox76">
          <controlPr defaultSize="0" autoLine="0" linkedCell="X76" listFillRange="N_76" r:id="rId34">
            <anchor moveWithCells="1">
              <from>
                <xdr:col>18</xdr:col>
                <xdr:colOff>123825</xdr:colOff>
                <xdr:row>75</xdr:row>
                <xdr:rowOff>323850</xdr:rowOff>
              </from>
              <to>
                <xdr:col>19</xdr:col>
                <xdr:colOff>9525</xdr:colOff>
                <xdr:row>76</xdr:row>
                <xdr:rowOff>323850</xdr:rowOff>
              </to>
            </anchor>
          </controlPr>
        </control>
      </mc:Choice>
      <mc:Fallback>
        <control shapeId="1211" r:id="rId40" name="ComboBox76"/>
      </mc:Fallback>
    </mc:AlternateContent>
    <mc:AlternateContent xmlns:mc="http://schemas.openxmlformats.org/markup-compatibility/2006">
      <mc:Choice Requires="x14">
        <control shapeId="1210" r:id="rId41" name="ComboBox75">
          <controlPr defaultSize="0" autoLine="0" linkedCell="X75" listFillRange="N_75" r:id="rId34">
            <anchor moveWithCells="1">
              <from>
                <xdr:col>18</xdr:col>
                <xdr:colOff>123825</xdr:colOff>
                <xdr:row>74</xdr:row>
                <xdr:rowOff>323850</xdr:rowOff>
              </from>
              <to>
                <xdr:col>19</xdr:col>
                <xdr:colOff>9525</xdr:colOff>
                <xdr:row>75</xdr:row>
                <xdr:rowOff>323850</xdr:rowOff>
              </to>
            </anchor>
          </controlPr>
        </control>
      </mc:Choice>
      <mc:Fallback>
        <control shapeId="1210" r:id="rId41" name="ComboBox75"/>
      </mc:Fallback>
    </mc:AlternateContent>
    <mc:AlternateContent xmlns:mc="http://schemas.openxmlformats.org/markup-compatibility/2006">
      <mc:Choice Requires="x14">
        <control shapeId="1209" r:id="rId42" name="ComboBox74">
          <controlPr defaultSize="0" autoLine="0" autoPict="0" linkedCell="X74" listFillRange="N_74" r:id="rId43">
            <anchor moveWithCells="1">
              <from>
                <xdr:col>18</xdr:col>
                <xdr:colOff>152400</xdr:colOff>
                <xdr:row>73</xdr:row>
                <xdr:rowOff>0</xdr:rowOff>
              </from>
              <to>
                <xdr:col>19</xdr:col>
                <xdr:colOff>0</xdr:colOff>
                <xdr:row>74</xdr:row>
                <xdr:rowOff>0</xdr:rowOff>
              </to>
            </anchor>
          </controlPr>
        </control>
      </mc:Choice>
      <mc:Fallback>
        <control shapeId="1209" r:id="rId42" name="ComboBox74"/>
      </mc:Fallback>
    </mc:AlternateContent>
    <mc:AlternateContent xmlns:mc="http://schemas.openxmlformats.org/markup-compatibility/2006">
      <mc:Choice Requires="x14">
        <control shapeId="1208" r:id="rId44" name="ComboBox73">
          <controlPr defaultSize="0" autoLine="0" linkedCell="X73" listFillRange="N_73" r:id="rId34">
            <anchor moveWithCells="1">
              <from>
                <xdr:col>18</xdr:col>
                <xdr:colOff>123825</xdr:colOff>
                <xdr:row>72</xdr:row>
                <xdr:rowOff>314325</xdr:rowOff>
              </from>
              <to>
                <xdr:col>19</xdr:col>
                <xdr:colOff>9525</xdr:colOff>
                <xdr:row>73</xdr:row>
                <xdr:rowOff>314325</xdr:rowOff>
              </to>
            </anchor>
          </controlPr>
        </control>
      </mc:Choice>
      <mc:Fallback>
        <control shapeId="1208" r:id="rId44" name="ComboBox73"/>
      </mc:Fallback>
    </mc:AlternateContent>
    <mc:AlternateContent xmlns:mc="http://schemas.openxmlformats.org/markup-compatibility/2006">
      <mc:Choice Requires="x14">
        <control shapeId="1207" r:id="rId45" name="ComboBox72">
          <controlPr defaultSize="0" autoLine="0" linkedCell="X72" listFillRange="N_72" r:id="rId34">
            <anchor moveWithCells="1">
              <from>
                <xdr:col>18</xdr:col>
                <xdr:colOff>123825</xdr:colOff>
                <xdr:row>71</xdr:row>
                <xdr:rowOff>304800</xdr:rowOff>
              </from>
              <to>
                <xdr:col>19</xdr:col>
                <xdr:colOff>9525</xdr:colOff>
                <xdr:row>72</xdr:row>
                <xdr:rowOff>304800</xdr:rowOff>
              </to>
            </anchor>
          </controlPr>
        </control>
      </mc:Choice>
      <mc:Fallback>
        <control shapeId="1207" r:id="rId45" name="ComboBox72"/>
      </mc:Fallback>
    </mc:AlternateContent>
    <mc:AlternateContent xmlns:mc="http://schemas.openxmlformats.org/markup-compatibility/2006">
      <mc:Choice Requires="x14">
        <control shapeId="1206" r:id="rId46" name="ComboBox71">
          <controlPr defaultSize="0" autoLine="0" linkedCell="X71" listFillRange="N_71" r:id="rId34">
            <anchor moveWithCells="1">
              <from>
                <xdr:col>18</xdr:col>
                <xdr:colOff>123825</xdr:colOff>
                <xdr:row>70</xdr:row>
                <xdr:rowOff>304800</xdr:rowOff>
              </from>
              <to>
                <xdr:col>19</xdr:col>
                <xdr:colOff>9525</xdr:colOff>
                <xdr:row>71</xdr:row>
                <xdr:rowOff>304800</xdr:rowOff>
              </to>
            </anchor>
          </controlPr>
        </control>
      </mc:Choice>
      <mc:Fallback>
        <control shapeId="1206" r:id="rId46" name="ComboBox71"/>
      </mc:Fallback>
    </mc:AlternateContent>
    <mc:AlternateContent xmlns:mc="http://schemas.openxmlformats.org/markup-compatibility/2006">
      <mc:Choice Requires="x14">
        <control shapeId="1205" r:id="rId47" name="ComboBox70">
          <controlPr defaultSize="0" autoLine="0" linkedCell="X70" listFillRange="N_70" r:id="rId48">
            <anchor moveWithCells="1">
              <from>
                <xdr:col>18</xdr:col>
                <xdr:colOff>123825</xdr:colOff>
                <xdr:row>69</xdr:row>
                <xdr:rowOff>295275</xdr:rowOff>
              </from>
              <to>
                <xdr:col>19</xdr:col>
                <xdr:colOff>9525</xdr:colOff>
                <xdr:row>70</xdr:row>
                <xdr:rowOff>304800</xdr:rowOff>
              </to>
            </anchor>
          </controlPr>
        </control>
      </mc:Choice>
      <mc:Fallback>
        <control shapeId="1205" r:id="rId47" name="ComboBox70"/>
      </mc:Fallback>
    </mc:AlternateContent>
    <mc:AlternateContent xmlns:mc="http://schemas.openxmlformats.org/markup-compatibility/2006">
      <mc:Choice Requires="x14">
        <control shapeId="1204" r:id="rId49" name="ComboBox69">
          <controlPr defaultSize="0" autoLine="0" linkedCell="X69" listFillRange="N_69" r:id="rId34">
            <anchor moveWithCells="1">
              <from>
                <xdr:col>18</xdr:col>
                <xdr:colOff>123825</xdr:colOff>
                <xdr:row>68</xdr:row>
                <xdr:rowOff>295275</xdr:rowOff>
              </from>
              <to>
                <xdr:col>19</xdr:col>
                <xdr:colOff>9525</xdr:colOff>
                <xdr:row>69</xdr:row>
                <xdr:rowOff>295275</xdr:rowOff>
              </to>
            </anchor>
          </controlPr>
        </control>
      </mc:Choice>
      <mc:Fallback>
        <control shapeId="1204" r:id="rId49" name="ComboBox69"/>
      </mc:Fallback>
    </mc:AlternateContent>
    <mc:AlternateContent xmlns:mc="http://schemas.openxmlformats.org/markup-compatibility/2006">
      <mc:Choice Requires="x14">
        <control shapeId="1203" r:id="rId50" name="ComboBox68">
          <controlPr defaultSize="0" autoLine="0" linkedCell="X68" listFillRange="N_68" r:id="rId48">
            <anchor moveWithCells="1">
              <from>
                <xdr:col>18</xdr:col>
                <xdr:colOff>123825</xdr:colOff>
                <xdr:row>67</xdr:row>
                <xdr:rowOff>285750</xdr:rowOff>
              </from>
              <to>
                <xdr:col>19</xdr:col>
                <xdr:colOff>9525</xdr:colOff>
                <xdr:row>68</xdr:row>
                <xdr:rowOff>295275</xdr:rowOff>
              </to>
            </anchor>
          </controlPr>
        </control>
      </mc:Choice>
      <mc:Fallback>
        <control shapeId="1203" r:id="rId50" name="ComboBox68"/>
      </mc:Fallback>
    </mc:AlternateContent>
    <mc:AlternateContent xmlns:mc="http://schemas.openxmlformats.org/markup-compatibility/2006">
      <mc:Choice Requires="x14">
        <control shapeId="1202" r:id="rId51" name="ComboBox67">
          <controlPr defaultSize="0" autoLine="0" linkedCell="X67" listFillRange="N_67" r:id="rId34">
            <anchor moveWithCells="1">
              <from>
                <xdr:col>18</xdr:col>
                <xdr:colOff>123825</xdr:colOff>
                <xdr:row>66</xdr:row>
                <xdr:rowOff>285750</xdr:rowOff>
              </from>
              <to>
                <xdr:col>19</xdr:col>
                <xdr:colOff>9525</xdr:colOff>
                <xdr:row>67</xdr:row>
                <xdr:rowOff>285750</xdr:rowOff>
              </to>
            </anchor>
          </controlPr>
        </control>
      </mc:Choice>
      <mc:Fallback>
        <control shapeId="1202" r:id="rId51" name="ComboBox67"/>
      </mc:Fallback>
    </mc:AlternateContent>
    <mc:AlternateContent xmlns:mc="http://schemas.openxmlformats.org/markup-compatibility/2006">
      <mc:Choice Requires="x14">
        <control shapeId="1201" r:id="rId52" name="ComboBox66">
          <controlPr defaultSize="0" autoLine="0" linkedCell="X66" listFillRange="N_66" r:id="rId43">
            <anchor moveWithCells="1">
              <from>
                <xdr:col>18</xdr:col>
                <xdr:colOff>0</xdr:colOff>
                <xdr:row>65</xdr:row>
                <xdr:rowOff>0</xdr:rowOff>
              </from>
              <to>
                <xdr:col>19</xdr:col>
                <xdr:colOff>0</xdr:colOff>
                <xdr:row>66</xdr:row>
                <xdr:rowOff>9525</xdr:rowOff>
              </to>
            </anchor>
          </controlPr>
        </control>
      </mc:Choice>
      <mc:Fallback>
        <control shapeId="1201" r:id="rId52" name="ComboBox66"/>
      </mc:Fallback>
    </mc:AlternateContent>
    <mc:AlternateContent xmlns:mc="http://schemas.openxmlformats.org/markup-compatibility/2006">
      <mc:Choice Requires="x14">
        <control shapeId="1200" r:id="rId53" name="ComboBox65">
          <controlPr defaultSize="0" autoLine="0" linkedCell="X65" listFillRange="N_65" r:id="rId28">
            <anchor moveWithCells="1">
              <from>
                <xdr:col>18</xdr:col>
                <xdr:colOff>0</xdr:colOff>
                <xdr:row>64</xdr:row>
                <xdr:rowOff>0</xdr:rowOff>
              </from>
              <to>
                <xdr:col>19</xdr:col>
                <xdr:colOff>0</xdr:colOff>
                <xdr:row>65</xdr:row>
                <xdr:rowOff>0</xdr:rowOff>
              </to>
            </anchor>
          </controlPr>
        </control>
      </mc:Choice>
      <mc:Fallback>
        <control shapeId="1200" r:id="rId53" name="ComboBox65"/>
      </mc:Fallback>
    </mc:AlternateContent>
    <mc:AlternateContent xmlns:mc="http://schemas.openxmlformats.org/markup-compatibility/2006">
      <mc:Choice Requires="x14">
        <control shapeId="1199" r:id="rId54" name="ComboBox64">
          <controlPr defaultSize="0" autoLine="0" linkedCell="X64" listFillRange="N_64" r:id="rId28">
            <anchor moveWithCells="1">
              <from>
                <xdr:col>18</xdr:col>
                <xdr:colOff>0</xdr:colOff>
                <xdr:row>63</xdr:row>
                <xdr:rowOff>0</xdr:rowOff>
              </from>
              <to>
                <xdr:col>19</xdr:col>
                <xdr:colOff>0</xdr:colOff>
                <xdr:row>64</xdr:row>
                <xdr:rowOff>0</xdr:rowOff>
              </to>
            </anchor>
          </controlPr>
        </control>
      </mc:Choice>
      <mc:Fallback>
        <control shapeId="1199" r:id="rId54" name="ComboBox64"/>
      </mc:Fallback>
    </mc:AlternateContent>
    <mc:AlternateContent xmlns:mc="http://schemas.openxmlformats.org/markup-compatibility/2006">
      <mc:Choice Requires="x14">
        <control shapeId="1198" r:id="rId55" name="ComboBox63">
          <controlPr defaultSize="0" autoLine="0" linkedCell="X63" listFillRange="N_63" r:id="rId28">
            <anchor moveWithCells="1">
              <from>
                <xdr:col>18</xdr:col>
                <xdr:colOff>0</xdr:colOff>
                <xdr:row>62</xdr:row>
                <xdr:rowOff>0</xdr:rowOff>
              </from>
              <to>
                <xdr:col>19</xdr:col>
                <xdr:colOff>0</xdr:colOff>
                <xdr:row>63</xdr:row>
                <xdr:rowOff>0</xdr:rowOff>
              </to>
            </anchor>
          </controlPr>
        </control>
      </mc:Choice>
      <mc:Fallback>
        <control shapeId="1198" r:id="rId55" name="ComboBox63"/>
      </mc:Fallback>
    </mc:AlternateContent>
    <mc:AlternateContent xmlns:mc="http://schemas.openxmlformats.org/markup-compatibility/2006">
      <mc:Choice Requires="x14">
        <control shapeId="1197" r:id="rId56" name="ComboBox62">
          <controlPr defaultSize="0" autoLine="0" linkedCell="X62" listFillRange="N_62" r:id="rId28">
            <anchor moveWithCells="1">
              <from>
                <xdr:col>18</xdr:col>
                <xdr:colOff>0</xdr:colOff>
                <xdr:row>61</xdr:row>
                <xdr:rowOff>0</xdr:rowOff>
              </from>
              <to>
                <xdr:col>19</xdr:col>
                <xdr:colOff>0</xdr:colOff>
                <xdr:row>62</xdr:row>
                <xdr:rowOff>0</xdr:rowOff>
              </to>
            </anchor>
          </controlPr>
        </control>
      </mc:Choice>
      <mc:Fallback>
        <control shapeId="1197" r:id="rId56" name="ComboBox62"/>
      </mc:Fallback>
    </mc:AlternateContent>
    <mc:AlternateContent xmlns:mc="http://schemas.openxmlformats.org/markup-compatibility/2006">
      <mc:Choice Requires="x14">
        <control shapeId="1196" r:id="rId57" name="ComboBox61">
          <controlPr defaultSize="0" autoLine="0" linkedCell="X61" listFillRange="N_61" r:id="rId28">
            <anchor moveWithCells="1">
              <from>
                <xdr:col>18</xdr:col>
                <xdr:colOff>0</xdr:colOff>
                <xdr:row>60</xdr:row>
                <xdr:rowOff>0</xdr:rowOff>
              </from>
              <to>
                <xdr:col>19</xdr:col>
                <xdr:colOff>0</xdr:colOff>
                <xdr:row>61</xdr:row>
                <xdr:rowOff>0</xdr:rowOff>
              </to>
            </anchor>
          </controlPr>
        </control>
      </mc:Choice>
      <mc:Fallback>
        <control shapeId="1196" r:id="rId57" name="ComboBox61"/>
      </mc:Fallback>
    </mc:AlternateContent>
    <mc:AlternateContent xmlns:mc="http://schemas.openxmlformats.org/markup-compatibility/2006">
      <mc:Choice Requires="x14">
        <control shapeId="1195" r:id="rId58" name="ComboBox60">
          <controlPr defaultSize="0" autoLine="0" linkedCell="X60" listFillRange="N_60" r:id="rId28">
            <anchor moveWithCells="1">
              <from>
                <xdr:col>18</xdr:col>
                <xdr:colOff>0</xdr:colOff>
                <xdr:row>59</xdr:row>
                <xdr:rowOff>0</xdr:rowOff>
              </from>
              <to>
                <xdr:col>19</xdr:col>
                <xdr:colOff>0</xdr:colOff>
                <xdr:row>60</xdr:row>
                <xdr:rowOff>0</xdr:rowOff>
              </to>
            </anchor>
          </controlPr>
        </control>
      </mc:Choice>
      <mc:Fallback>
        <control shapeId="1195" r:id="rId58" name="ComboBox60"/>
      </mc:Fallback>
    </mc:AlternateContent>
    <mc:AlternateContent xmlns:mc="http://schemas.openxmlformats.org/markup-compatibility/2006">
      <mc:Choice Requires="x14">
        <control shapeId="1194" r:id="rId59" name="ComboBox59">
          <controlPr defaultSize="0" autoLine="0" linkedCell="X59" listFillRange="N_59" r:id="rId60">
            <anchor moveWithCells="1">
              <from>
                <xdr:col>18</xdr:col>
                <xdr:colOff>28575</xdr:colOff>
                <xdr:row>58</xdr:row>
                <xdr:rowOff>0</xdr:rowOff>
              </from>
              <to>
                <xdr:col>19</xdr:col>
                <xdr:colOff>0</xdr:colOff>
                <xdr:row>59</xdr:row>
                <xdr:rowOff>0</xdr:rowOff>
              </to>
            </anchor>
          </controlPr>
        </control>
      </mc:Choice>
      <mc:Fallback>
        <control shapeId="1194" r:id="rId59" name="ComboBox59"/>
      </mc:Fallback>
    </mc:AlternateContent>
    <mc:AlternateContent xmlns:mc="http://schemas.openxmlformats.org/markup-compatibility/2006">
      <mc:Choice Requires="x14">
        <control shapeId="1193" r:id="rId61" name="ComboBox58">
          <controlPr defaultSize="0" autoLine="0" linkedCell="X58" listFillRange="N_58" r:id="rId62">
            <anchor moveWithCells="1">
              <from>
                <xdr:col>18</xdr:col>
                <xdr:colOff>28575</xdr:colOff>
                <xdr:row>57</xdr:row>
                <xdr:rowOff>0</xdr:rowOff>
              </from>
              <to>
                <xdr:col>19</xdr:col>
                <xdr:colOff>0</xdr:colOff>
                <xdr:row>58</xdr:row>
                <xdr:rowOff>9525</xdr:rowOff>
              </to>
            </anchor>
          </controlPr>
        </control>
      </mc:Choice>
      <mc:Fallback>
        <control shapeId="1193" r:id="rId61" name="ComboBox58"/>
      </mc:Fallback>
    </mc:AlternateContent>
    <mc:AlternateContent xmlns:mc="http://schemas.openxmlformats.org/markup-compatibility/2006">
      <mc:Choice Requires="x14">
        <control shapeId="1192" r:id="rId63" name="ComboBox57">
          <controlPr defaultSize="0" autoLine="0" linkedCell="X57" listFillRange="N_57" r:id="rId43">
            <anchor moveWithCells="1">
              <from>
                <xdr:col>18</xdr:col>
                <xdr:colOff>0</xdr:colOff>
                <xdr:row>56</xdr:row>
                <xdr:rowOff>0</xdr:rowOff>
              </from>
              <to>
                <xdr:col>19</xdr:col>
                <xdr:colOff>0</xdr:colOff>
                <xdr:row>57</xdr:row>
                <xdr:rowOff>9525</xdr:rowOff>
              </to>
            </anchor>
          </controlPr>
        </control>
      </mc:Choice>
      <mc:Fallback>
        <control shapeId="1192" r:id="rId63" name="ComboBox57"/>
      </mc:Fallback>
    </mc:AlternateContent>
    <mc:AlternateContent xmlns:mc="http://schemas.openxmlformats.org/markup-compatibility/2006">
      <mc:Choice Requires="x14">
        <control shapeId="1191" r:id="rId64" name="ComboBox56">
          <controlPr defaultSize="0" autoLine="0" autoPict="0" linkedCell="X56" listFillRange="N_56" r:id="rId11">
            <anchor moveWithCells="1">
              <from>
                <xdr:col>18</xdr:col>
                <xdr:colOff>0</xdr:colOff>
                <xdr:row>55</xdr:row>
                <xdr:rowOff>0</xdr:rowOff>
              </from>
              <to>
                <xdr:col>19</xdr:col>
                <xdr:colOff>0</xdr:colOff>
                <xdr:row>56</xdr:row>
                <xdr:rowOff>0</xdr:rowOff>
              </to>
            </anchor>
          </controlPr>
        </control>
      </mc:Choice>
      <mc:Fallback>
        <control shapeId="1191" r:id="rId64" name="ComboBox56"/>
      </mc:Fallback>
    </mc:AlternateContent>
    <mc:AlternateContent xmlns:mc="http://schemas.openxmlformats.org/markup-compatibility/2006">
      <mc:Choice Requires="x14">
        <control shapeId="1190" r:id="rId65" name="ComboBox55">
          <controlPr defaultSize="0" autoLine="0" linkedCell="X55" listFillRange="N_55" r:id="rId43">
            <anchor moveWithCells="1">
              <from>
                <xdr:col>18</xdr:col>
                <xdr:colOff>0</xdr:colOff>
                <xdr:row>54</xdr:row>
                <xdr:rowOff>0</xdr:rowOff>
              </from>
              <to>
                <xdr:col>19</xdr:col>
                <xdr:colOff>0</xdr:colOff>
                <xdr:row>55</xdr:row>
                <xdr:rowOff>9525</xdr:rowOff>
              </to>
            </anchor>
          </controlPr>
        </control>
      </mc:Choice>
      <mc:Fallback>
        <control shapeId="1190" r:id="rId65" name="ComboBox55"/>
      </mc:Fallback>
    </mc:AlternateContent>
    <mc:AlternateContent xmlns:mc="http://schemas.openxmlformats.org/markup-compatibility/2006">
      <mc:Choice Requires="x14">
        <control shapeId="1189" r:id="rId66" name="ComboBox54">
          <controlPr defaultSize="0" autoLine="0" linkedCell="X54" listFillRange="N_54" r:id="rId28">
            <anchor moveWithCells="1">
              <from>
                <xdr:col>18</xdr:col>
                <xdr:colOff>0</xdr:colOff>
                <xdr:row>53</xdr:row>
                <xdr:rowOff>0</xdr:rowOff>
              </from>
              <to>
                <xdr:col>19</xdr:col>
                <xdr:colOff>0</xdr:colOff>
                <xdr:row>54</xdr:row>
                <xdr:rowOff>0</xdr:rowOff>
              </to>
            </anchor>
          </controlPr>
        </control>
      </mc:Choice>
      <mc:Fallback>
        <control shapeId="1189" r:id="rId66" name="ComboBox54"/>
      </mc:Fallback>
    </mc:AlternateContent>
    <mc:AlternateContent xmlns:mc="http://schemas.openxmlformats.org/markup-compatibility/2006">
      <mc:Choice Requires="x14">
        <control shapeId="1188" r:id="rId67" name="ComboBox53">
          <controlPr defaultSize="0" autoLine="0" autoPict="0" linkedCell="X53" listFillRange="N_53" r:id="rId68">
            <anchor moveWithCells="1">
              <from>
                <xdr:col>18</xdr:col>
                <xdr:colOff>19050</xdr:colOff>
                <xdr:row>52</xdr:row>
                <xdr:rowOff>0</xdr:rowOff>
              </from>
              <to>
                <xdr:col>19</xdr:col>
                <xdr:colOff>0</xdr:colOff>
                <xdr:row>53</xdr:row>
                <xdr:rowOff>0</xdr:rowOff>
              </to>
            </anchor>
          </controlPr>
        </control>
      </mc:Choice>
      <mc:Fallback>
        <control shapeId="1188" r:id="rId67" name="ComboBox53"/>
      </mc:Fallback>
    </mc:AlternateContent>
    <mc:AlternateContent xmlns:mc="http://schemas.openxmlformats.org/markup-compatibility/2006">
      <mc:Choice Requires="x14">
        <control shapeId="1187" r:id="rId69" name="ComboBox52">
          <controlPr defaultSize="0" autoLine="0" linkedCell="X52" listFillRange="N_52" r:id="rId28">
            <anchor moveWithCells="1">
              <from>
                <xdr:col>18</xdr:col>
                <xdr:colOff>0</xdr:colOff>
                <xdr:row>51</xdr:row>
                <xdr:rowOff>0</xdr:rowOff>
              </from>
              <to>
                <xdr:col>19</xdr:col>
                <xdr:colOff>0</xdr:colOff>
                <xdr:row>52</xdr:row>
                <xdr:rowOff>0</xdr:rowOff>
              </to>
            </anchor>
          </controlPr>
        </control>
      </mc:Choice>
      <mc:Fallback>
        <control shapeId="1187" r:id="rId69" name="ComboBox52"/>
      </mc:Fallback>
    </mc:AlternateContent>
    <mc:AlternateContent xmlns:mc="http://schemas.openxmlformats.org/markup-compatibility/2006">
      <mc:Choice Requires="x14">
        <control shapeId="1186" r:id="rId70" name="ComboBox51">
          <controlPr defaultSize="0" autoLine="0" autoPict="0" linkedCell="X51" listFillRange="N_51" r:id="rId11">
            <anchor moveWithCells="1">
              <from>
                <xdr:col>18</xdr:col>
                <xdr:colOff>0</xdr:colOff>
                <xdr:row>50</xdr:row>
                <xdr:rowOff>0</xdr:rowOff>
              </from>
              <to>
                <xdr:col>19</xdr:col>
                <xdr:colOff>0</xdr:colOff>
                <xdr:row>51</xdr:row>
                <xdr:rowOff>0</xdr:rowOff>
              </to>
            </anchor>
          </controlPr>
        </control>
      </mc:Choice>
      <mc:Fallback>
        <control shapeId="1186" r:id="rId70" name="ComboBox51"/>
      </mc:Fallback>
    </mc:AlternateContent>
    <mc:AlternateContent xmlns:mc="http://schemas.openxmlformats.org/markup-compatibility/2006">
      <mc:Choice Requires="x14">
        <control shapeId="1185" r:id="rId71" name="ComboBox50">
          <controlPr defaultSize="0" autoLine="0" linkedCell="X50" listFillRange="N_50" r:id="rId28">
            <anchor moveWithCells="1">
              <from>
                <xdr:col>18</xdr:col>
                <xdr:colOff>0</xdr:colOff>
                <xdr:row>49</xdr:row>
                <xdr:rowOff>0</xdr:rowOff>
              </from>
              <to>
                <xdr:col>19</xdr:col>
                <xdr:colOff>0</xdr:colOff>
                <xdr:row>50</xdr:row>
                <xdr:rowOff>0</xdr:rowOff>
              </to>
            </anchor>
          </controlPr>
        </control>
      </mc:Choice>
      <mc:Fallback>
        <control shapeId="1185" r:id="rId71" name="ComboBox50"/>
      </mc:Fallback>
    </mc:AlternateContent>
    <mc:AlternateContent xmlns:mc="http://schemas.openxmlformats.org/markup-compatibility/2006">
      <mc:Choice Requires="x14">
        <control shapeId="1184" r:id="rId72" name="ComboBox49">
          <controlPr defaultSize="0" autoLine="0" autoPict="0" linkedCell="X49" listFillRange="N_49" r:id="rId11">
            <anchor moveWithCells="1">
              <from>
                <xdr:col>18</xdr:col>
                <xdr:colOff>0</xdr:colOff>
                <xdr:row>48</xdr:row>
                <xdr:rowOff>0</xdr:rowOff>
              </from>
              <to>
                <xdr:col>19</xdr:col>
                <xdr:colOff>0</xdr:colOff>
                <xdr:row>49</xdr:row>
                <xdr:rowOff>0</xdr:rowOff>
              </to>
            </anchor>
          </controlPr>
        </control>
      </mc:Choice>
      <mc:Fallback>
        <control shapeId="1184" r:id="rId72" name="ComboBox49"/>
      </mc:Fallback>
    </mc:AlternateContent>
    <mc:AlternateContent xmlns:mc="http://schemas.openxmlformats.org/markup-compatibility/2006">
      <mc:Choice Requires="x14">
        <control shapeId="1183" r:id="rId73" name="ComboBox48">
          <controlPr defaultSize="0" autoLine="0" linkedCell="X48" listFillRange="N_48" r:id="rId28">
            <anchor moveWithCells="1">
              <from>
                <xdr:col>18</xdr:col>
                <xdr:colOff>0</xdr:colOff>
                <xdr:row>47</xdr:row>
                <xdr:rowOff>0</xdr:rowOff>
              </from>
              <to>
                <xdr:col>19</xdr:col>
                <xdr:colOff>0</xdr:colOff>
                <xdr:row>48</xdr:row>
                <xdr:rowOff>0</xdr:rowOff>
              </to>
            </anchor>
          </controlPr>
        </control>
      </mc:Choice>
      <mc:Fallback>
        <control shapeId="1183" r:id="rId73" name="ComboBox48"/>
      </mc:Fallback>
    </mc:AlternateContent>
    <mc:AlternateContent xmlns:mc="http://schemas.openxmlformats.org/markup-compatibility/2006">
      <mc:Choice Requires="x14">
        <control shapeId="1182" r:id="rId74" name="ComboBox47">
          <controlPr defaultSize="0" autoLine="0" linkedCell="X47" listFillRange="N_47" r:id="rId28">
            <anchor moveWithCells="1">
              <from>
                <xdr:col>18</xdr:col>
                <xdr:colOff>0</xdr:colOff>
                <xdr:row>46</xdr:row>
                <xdr:rowOff>0</xdr:rowOff>
              </from>
              <to>
                <xdr:col>19</xdr:col>
                <xdr:colOff>0</xdr:colOff>
                <xdr:row>47</xdr:row>
                <xdr:rowOff>0</xdr:rowOff>
              </to>
            </anchor>
          </controlPr>
        </control>
      </mc:Choice>
      <mc:Fallback>
        <control shapeId="1182" r:id="rId74" name="ComboBox47"/>
      </mc:Fallback>
    </mc:AlternateContent>
    <mc:AlternateContent xmlns:mc="http://schemas.openxmlformats.org/markup-compatibility/2006">
      <mc:Choice Requires="x14">
        <control shapeId="1181" r:id="rId75" name="ComboBox46">
          <controlPr defaultSize="0" autoLine="0" linkedCell="X46" listFillRange="N_46" r:id="rId28">
            <anchor moveWithCells="1">
              <from>
                <xdr:col>18</xdr:col>
                <xdr:colOff>0</xdr:colOff>
                <xdr:row>45</xdr:row>
                <xdr:rowOff>0</xdr:rowOff>
              </from>
              <to>
                <xdr:col>19</xdr:col>
                <xdr:colOff>0</xdr:colOff>
                <xdr:row>46</xdr:row>
                <xdr:rowOff>0</xdr:rowOff>
              </to>
            </anchor>
          </controlPr>
        </control>
      </mc:Choice>
      <mc:Fallback>
        <control shapeId="1181" r:id="rId75" name="ComboBox46"/>
      </mc:Fallback>
    </mc:AlternateContent>
    <mc:AlternateContent xmlns:mc="http://schemas.openxmlformats.org/markup-compatibility/2006">
      <mc:Choice Requires="x14">
        <control shapeId="1180" r:id="rId76" name="ComboBox45">
          <controlPr defaultSize="0" autoLine="0" autoPict="0" linkedCell="X45" listFillRange="N_45" r:id="rId11">
            <anchor moveWithCells="1">
              <from>
                <xdr:col>18</xdr:col>
                <xdr:colOff>0</xdr:colOff>
                <xdr:row>44</xdr:row>
                <xdr:rowOff>0</xdr:rowOff>
              </from>
              <to>
                <xdr:col>19</xdr:col>
                <xdr:colOff>0</xdr:colOff>
                <xdr:row>45</xdr:row>
                <xdr:rowOff>0</xdr:rowOff>
              </to>
            </anchor>
          </controlPr>
        </control>
      </mc:Choice>
      <mc:Fallback>
        <control shapeId="1180" r:id="rId76" name="ComboBox45"/>
      </mc:Fallback>
    </mc:AlternateContent>
    <mc:AlternateContent xmlns:mc="http://schemas.openxmlformats.org/markup-compatibility/2006">
      <mc:Choice Requires="x14">
        <control shapeId="1179" r:id="rId77" name="ComboBox44">
          <controlPr defaultSize="0" autoLine="0" linkedCell="X44" listFillRange="N_44" r:id="rId28">
            <anchor moveWithCells="1">
              <from>
                <xdr:col>18</xdr:col>
                <xdr:colOff>0</xdr:colOff>
                <xdr:row>43</xdr:row>
                <xdr:rowOff>0</xdr:rowOff>
              </from>
              <to>
                <xdr:col>19</xdr:col>
                <xdr:colOff>0</xdr:colOff>
                <xdr:row>44</xdr:row>
                <xdr:rowOff>0</xdr:rowOff>
              </to>
            </anchor>
          </controlPr>
        </control>
      </mc:Choice>
      <mc:Fallback>
        <control shapeId="1179" r:id="rId77" name="ComboBox44"/>
      </mc:Fallback>
    </mc:AlternateContent>
    <mc:AlternateContent xmlns:mc="http://schemas.openxmlformats.org/markup-compatibility/2006">
      <mc:Choice Requires="x14">
        <control shapeId="1178" r:id="rId78" name="ComboBox43">
          <controlPr defaultSize="0" autoLine="0" autoPict="0" linkedCell="X43" listFillRange="N_43" r:id="rId11">
            <anchor moveWithCells="1">
              <from>
                <xdr:col>18</xdr:col>
                <xdr:colOff>0</xdr:colOff>
                <xdr:row>42</xdr:row>
                <xdr:rowOff>0</xdr:rowOff>
              </from>
              <to>
                <xdr:col>19</xdr:col>
                <xdr:colOff>0</xdr:colOff>
                <xdr:row>43</xdr:row>
                <xdr:rowOff>0</xdr:rowOff>
              </to>
            </anchor>
          </controlPr>
        </control>
      </mc:Choice>
      <mc:Fallback>
        <control shapeId="1178" r:id="rId78" name="ComboBox43"/>
      </mc:Fallback>
    </mc:AlternateContent>
    <mc:AlternateContent xmlns:mc="http://schemas.openxmlformats.org/markup-compatibility/2006">
      <mc:Choice Requires="x14">
        <control shapeId="1099" r:id="rId79" name="ComboBox30">
          <controlPr defaultSize="0" autoLine="0" linkedCell="X32" listFillRange="N_32" r:id="rId28">
            <anchor moveWithCells="1">
              <from>
                <xdr:col>18</xdr:col>
                <xdr:colOff>0</xdr:colOff>
                <xdr:row>31</xdr:row>
                <xdr:rowOff>0</xdr:rowOff>
              </from>
              <to>
                <xdr:col>19</xdr:col>
                <xdr:colOff>0</xdr:colOff>
                <xdr:row>32</xdr:row>
                <xdr:rowOff>0</xdr:rowOff>
              </to>
            </anchor>
          </controlPr>
        </control>
      </mc:Choice>
      <mc:Fallback>
        <control shapeId="1099" r:id="rId79" name="ComboBox30"/>
      </mc:Fallback>
    </mc:AlternateContent>
    <mc:AlternateContent xmlns:mc="http://schemas.openxmlformats.org/markup-compatibility/2006">
      <mc:Choice Requires="x14">
        <control shapeId="1098" r:id="rId80" name="ComboBox29">
          <controlPr defaultSize="0" autoLine="0" linkedCell="X31" listFillRange="N_31" r:id="rId28">
            <anchor moveWithCells="1">
              <from>
                <xdr:col>18</xdr:col>
                <xdr:colOff>0</xdr:colOff>
                <xdr:row>30</xdr:row>
                <xdr:rowOff>0</xdr:rowOff>
              </from>
              <to>
                <xdr:col>19</xdr:col>
                <xdr:colOff>0</xdr:colOff>
                <xdr:row>31</xdr:row>
                <xdr:rowOff>0</xdr:rowOff>
              </to>
            </anchor>
          </controlPr>
        </control>
      </mc:Choice>
      <mc:Fallback>
        <control shapeId="1098" r:id="rId80" name="ComboBox29"/>
      </mc:Fallback>
    </mc:AlternateContent>
    <mc:AlternateContent xmlns:mc="http://schemas.openxmlformats.org/markup-compatibility/2006">
      <mc:Choice Requires="x14">
        <control shapeId="1097" r:id="rId81" name="ComboBox28">
          <controlPr defaultSize="0" autoLine="0" linkedCell="X30" listFillRange="N_30" r:id="rId28">
            <anchor moveWithCells="1">
              <from>
                <xdr:col>18</xdr:col>
                <xdr:colOff>0</xdr:colOff>
                <xdr:row>29</xdr:row>
                <xdr:rowOff>0</xdr:rowOff>
              </from>
              <to>
                <xdr:col>19</xdr:col>
                <xdr:colOff>0</xdr:colOff>
                <xdr:row>30</xdr:row>
                <xdr:rowOff>0</xdr:rowOff>
              </to>
            </anchor>
          </controlPr>
        </control>
      </mc:Choice>
      <mc:Fallback>
        <control shapeId="1097" r:id="rId81" name="ComboBox28"/>
      </mc:Fallback>
    </mc:AlternateContent>
    <mc:AlternateContent xmlns:mc="http://schemas.openxmlformats.org/markup-compatibility/2006">
      <mc:Choice Requires="x14">
        <control shapeId="1096" r:id="rId82" name="ComboBox27">
          <controlPr defaultSize="0" autoLine="0" linkedCell="X29" listFillRange="N_29" r:id="rId28">
            <anchor moveWithCells="1">
              <from>
                <xdr:col>18</xdr:col>
                <xdr:colOff>0</xdr:colOff>
                <xdr:row>28</xdr:row>
                <xdr:rowOff>0</xdr:rowOff>
              </from>
              <to>
                <xdr:col>19</xdr:col>
                <xdr:colOff>0</xdr:colOff>
                <xdr:row>29</xdr:row>
                <xdr:rowOff>0</xdr:rowOff>
              </to>
            </anchor>
          </controlPr>
        </control>
      </mc:Choice>
      <mc:Fallback>
        <control shapeId="1096" r:id="rId82" name="ComboBox27"/>
      </mc:Fallback>
    </mc:AlternateContent>
    <mc:AlternateContent xmlns:mc="http://schemas.openxmlformats.org/markup-compatibility/2006">
      <mc:Choice Requires="x14">
        <control shapeId="1095" r:id="rId83" name="ComboBox26">
          <controlPr defaultSize="0" autoLine="0" linkedCell="X28" listFillRange="N_28" r:id="rId28">
            <anchor moveWithCells="1">
              <from>
                <xdr:col>18</xdr:col>
                <xdr:colOff>0</xdr:colOff>
                <xdr:row>27</xdr:row>
                <xdr:rowOff>0</xdr:rowOff>
              </from>
              <to>
                <xdr:col>19</xdr:col>
                <xdr:colOff>0</xdr:colOff>
                <xdr:row>28</xdr:row>
                <xdr:rowOff>0</xdr:rowOff>
              </to>
            </anchor>
          </controlPr>
        </control>
      </mc:Choice>
      <mc:Fallback>
        <control shapeId="1095" r:id="rId83" name="ComboBox26"/>
      </mc:Fallback>
    </mc:AlternateContent>
    <mc:AlternateContent xmlns:mc="http://schemas.openxmlformats.org/markup-compatibility/2006">
      <mc:Choice Requires="x14">
        <control shapeId="1094" r:id="rId84" name="ComboBox25">
          <controlPr defaultSize="0" autoLine="0" linkedCell="X27" listFillRange="N_27" r:id="rId28">
            <anchor moveWithCells="1">
              <from>
                <xdr:col>18</xdr:col>
                <xdr:colOff>0</xdr:colOff>
                <xdr:row>26</xdr:row>
                <xdr:rowOff>0</xdr:rowOff>
              </from>
              <to>
                <xdr:col>19</xdr:col>
                <xdr:colOff>0</xdr:colOff>
                <xdr:row>27</xdr:row>
                <xdr:rowOff>0</xdr:rowOff>
              </to>
            </anchor>
          </controlPr>
        </control>
      </mc:Choice>
      <mc:Fallback>
        <control shapeId="1094" r:id="rId84" name="ComboBox25"/>
      </mc:Fallback>
    </mc:AlternateContent>
    <mc:AlternateContent xmlns:mc="http://schemas.openxmlformats.org/markup-compatibility/2006">
      <mc:Choice Requires="x14">
        <control shapeId="1093" r:id="rId85" name="ComboBox24">
          <controlPr defaultSize="0" autoLine="0" linkedCell="X26" listFillRange="N_26" r:id="rId28">
            <anchor moveWithCells="1">
              <from>
                <xdr:col>18</xdr:col>
                <xdr:colOff>0</xdr:colOff>
                <xdr:row>25</xdr:row>
                <xdr:rowOff>0</xdr:rowOff>
              </from>
              <to>
                <xdr:col>19</xdr:col>
                <xdr:colOff>0</xdr:colOff>
                <xdr:row>26</xdr:row>
                <xdr:rowOff>0</xdr:rowOff>
              </to>
            </anchor>
          </controlPr>
        </control>
      </mc:Choice>
      <mc:Fallback>
        <control shapeId="1093" r:id="rId85" name="ComboBox24"/>
      </mc:Fallback>
    </mc:AlternateContent>
    <mc:AlternateContent xmlns:mc="http://schemas.openxmlformats.org/markup-compatibility/2006">
      <mc:Choice Requires="x14">
        <control shapeId="1092" r:id="rId86" name="ComboBox23">
          <controlPr defaultSize="0" autoLine="0" linkedCell="X25" listFillRange="N_25" r:id="rId28">
            <anchor moveWithCells="1">
              <from>
                <xdr:col>18</xdr:col>
                <xdr:colOff>0</xdr:colOff>
                <xdr:row>24</xdr:row>
                <xdr:rowOff>0</xdr:rowOff>
              </from>
              <to>
                <xdr:col>19</xdr:col>
                <xdr:colOff>0</xdr:colOff>
                <xdr:row>25</xdr:row>
                <xdr:rowOff>0</xdr:rowOff>
              </to>
            </anchor>
          </controlPr>
        </control>
      </mc:Choice>
      <mc:Fallback>
        <control shapeId="1092" r:id="rId86" name="ComboBox23"/>
      </mc:Fallback>
    </mc:AlternateContent>
    <mc:AlternateContent xmlns:mc="http://schemas.openxmlformats.org/markup-compatibility/2006">
      <mc:Choice Requires="x14">
        <control shapeId="1091" r:id="rId87" name="ComboBox22">
          <controlPr defaultSize="0" autoLine="0" linkedCell="X24" listFillRange="N_24" r:id="rId28">
            <anchor moveWithCells="1">
              <from>
                <xdr:col>18</xdr:col>
                <xdr:colOff>0</xdr:colOff>
                <xdr:row>23</xdr:row>
                <xdr:rowOff>0</xdr:rowOff>
              </from>
              <to>
                <xdr:col>19</xdr:col>
                <xdr:colOff>0</xdr:colOff>
                <xdr:row>24</xdr:row>
                <xdr:rowOff>0</xdr:rowOff>
              </to>
            </anchor>
          </controlPr>
        </control>
      </mc:Choice>
      <mc:Fallback>
        <control shapeId="1091" r:id="rId87" name="ComboBox22"/>
      </mc:Fallback>
    </mc:AlternateContent>
    <mc:AlternateContent xmlns:mc="http://schemas.openxmlformats.org/markup-compatibility/2006">
      <mc:Choice Requires="x14">
        <control shapeId="1090" r:id="rId88" name="ComboBox21">
          <controlPr defaultSize="0" autoLine="0" linkedCell="X23" listFillRange="N_23" r:id="rId28">
            <anchor moveWithCells="1">
              <from>
                <xdr:col>18</xdr:col>
                <xdr:colOff>0</xdr:colOff>
                <xdr:row>22</xdr:row>
                <xdr:rowOff>0</xdr:rowOff>
              </from>
              <to>
                <xdr:col>19</xdr:col>
                <xdr:colOff>0</xdr:colOff>
                <xdr:row>23</xdr:row>
                <xdr:rowOff>0</xdr:rowOff>
              </to>
            </anchor>
          </controlPr>
        </control>
      </mc:Choice>
      <mc:Fallback>
        <control shapeId="1090" r:id="rId88" name="ComboBox21"/>
      </mc:Fallback>
    </mc:AlternateContent>
    <mc:AlternateContent xmlns:mc="http://schemas.openxmlformats.org/markup-compatibility/2006">
      <mc:Choice Requires="x14">
        <control shapeId="1089" r:id="rId89" name="ComboBox20">
          <controlPr defaultSize="0" autoLine="0" autoPict="0" linkedCell="X22" listFillRange="N_22" r:id="rId11">
            <anchor moveWithCells="1">
              <from>
                <xdr:col>18</xdr:col>
                <xdr:colOff>0</xdr:colOff>
                <xdr:row>21</xdr:row>
                <xdr:rowOff>0</xdr:rowOff>
              </from>
              <to>
                <xdr:col>19</xdr:col>
                <xdr:colOff>0</xdr:colOff>
                <xdr:row>22</xdr:row>
                <xdr:rowOff>0</xdr:rowOff>
              </to>
            </anchor>
          </controlPr>
        </control>
      </mc:Choice>
      <mc:Fallback>
        <control shapeId="1089" r:id="rId89" name="ComboBox20"/>
      </mc:Fallback>
    </mc:AlternateContent>
    <mc:AlternateContent xmlns:mc="http://schemas.openxmlformats.org/markup-compatibility/2006">
      <mc:Choice Requires="x14">
        <control shapeId="1088" r:id="rId90" name="ComboBox19">
          <controlPr defaultSize="0" autoLine="0" autoPict="0" linkedCell="X21" listFillRange="N_21" r:id="rId11">
            <anchor moveWithCells="1">
              <from>
                <xdr:col>18</xdr:col>
                <xdr:colOff>0</xdr:colOff>
                <xdr:row>20</xdr:row>
                <xdr:rowOff>0</xdr:rowOff>
              </from>
              <to>
                <xdr:col>19</xdr:col>
                <xdr:colOff>0</xdr:colOff>
                <xdr:row>21</xdr:row>
                <xdr:rowOff>0</xdr:rowOff>
              </to>
            </anchor>
          </controlPr>
        </control>
      </mc:Choice>
      <mc:Fallback>
        <control shapeId="1088" r:id="rId90" name="ComboBox19"/>
      </mc:Fallback>
    </mc:AlternateContent>
    <mc:AlternateContent xmlns:mc="http://schemas.openxmlformats.org/markup-compatibility/2006">
      <mc:Choice Requires="x14">
        <control shapeId="1087" r:id="rId91" name="ComboBox18">
          <controlPr defaultSize="0" autoLine="0" linkedCell="X20" listFillRange="N_20" r:id="rId43">
            <anchor moveWithCells="1">
              <from>
                <xdr:col>18</xdr:col>
                <xdr:colOff>0</xdr:colOff>
                <xdr:row>19</xdr:row>
                <xdr:rowOff>0</xdr:rowOff>
              </from>
              <to>
                <xdr:col>19</xdr:col>
                <xdr:colOff>0</xdr:colOff>
                <xdr:row>20</xdr:row>
                <xdr:rowOff>9525</xdr:rowOff>
              </to>
            </anchor>
          </controlPr>
        </control>
      </mc:Choice>
      <mc:Fallback>
        <control shapeId="1087" r:id="rId91" name="ComboBox18"/>
      </mc:Fallback>
    </mc:AlternateContent>
    <mc:AlternateContent xmlns:mc="http://schemas.openxmlformats.org/markup-compatibility/2006">
      <mc:Choice Requires="x14">
        <control shapeId="1086" r:id="rId92" name="ComboBox17">
          <controlPr defaultSize="0" autoLine="0" linkedCell="X19" listFillRange="N_19" r:id="rId43">
            <anchor moveWithCells="1">
              <from>
                <xdr:col>18</xdr:col>
                <xdr:colOff>0</xdr:colOff>
                <xdr:row>18</xdr:row>
                <xdr:rowOff>0</xdr:rowOff>
              </from>
              <to>
                <xdr:col>19</xdr:col>
                <xdr:colOff>0</xdr:colOff>
                <xdr:row>19</xdr:row>
                <xdr:rowOff>9525</xdr:rowOff>
              </to>
            </anchor>
          </controlPr>
        </control>
      </mc:Choice>
      <mc:Fallback>
        <control shapeId="1086" r:id="rId92" name="ComboBox17"/>
      </mc:Fallback>
    </mc:AlternateContent>
    <mc:AlternateContent xmlns:mc="http://schemas.openxmlformats.org/markup-compatibility/2006">
      <mc:Choice Requires="x14">
        <control shapeId="1085" r:id="rId93" name="ComboBox16">
          <controlPr defaultSize="0" autoLine="0" linkedCell="X18" listFillRange="N_18" r:id="rId43">
            <anchor moveWithCells="1">
              <from>
                <xdr:col>18</xdr:col>
                <xdr:colOff>0</xdr:colOff>
                <xdr:row>17</xdr:row>
                <xdr:rowOff>0</xdr:rowOff>
              </from>
              <to>
                <xdr:col>19</xdr:col>
                <xdr:colOff>0</xdr:colOff>
                <xdr:row>18</xdr:row>
                <xdr:rowOff>9525</xdr:rowOff>
              </to>
            </anchor>
          </controlPr>
        </control>
      </mc:Choice>
      <mc:Fallback>
        <control shapeId="1085" r:id="rId93" name="ComboBox16"/>
      </mc:Fallback>
    </mc:AlternateContent>
    <mc:AlternateContent xmlns:mc="http://schemas.openxmlformats.org/markup-compatibility/2006">
      <mc:Choice Requires="x14">
        <control shapeId="1084" r:id="rId94" name="ComboBox15">
          <controlPr defaultSize="0" autoLine="0" linkedCell="X17" listFillRange="N_17" r:id="rId62">
            <anchor moveWithCells="1">
              <from>
                <xdr:col>18</xdr:col>
                <xdr:colOff>28575</xdr:colOff>
                <xdr:row>16</xdr:row>
                <xdr:rowOff>0</xdr:rowOff>
              </from>
              <to>
                <xdr:col>19</xdr:col>
                <xdr:colOff>0</xdr:colOff>
                <xdr:row>17</xdr:row>
                <xdr:rowOff>9525</xdr:rowOff>
              </to>
            </anchor>
          </controlPr>
        </control>
      </mc:Choice>
      <mc:Fallback>
        <control shapeId="1084" r:id="rId94" name="ComboBox15"/>
      </mc:Fallback>
    </mc:AlternateContent>
    <mc:AlternateContent xmlns:mc="http://schemas.openxmlformats.org/markup-compatibility/2006">
      <mc:Choice Requires="x14">
        <control shapeId="1083" r:id="rId95" name="ComboBox14">
          <controlPr defaultSize="0" autoLine="0" linkedCell="X16" listFillRange="N_16" r:id="rId96">
            <anchor moveWithCells="1">
              <from>
                <xdr:col>18</xdr:col>
                <xdr:colOff>0</xdr:colOff>
                <xdr:row>15</xdr:row>
                <xdr:rowOff>0</xdr:rowOff>
              </from>
              <to>
                <xdr:col>18</xdr:col>
                <xdr:colOff>5381625</xdr:colOff>
                <xdr:row>16</xdr:row>
                <xdr:rowOff>9525</xdr:rowOff>
              </to>
            </anchor>
          </controlPr>
        </control>
      </mc:Choice>
      <mc:Fallback>
        <control shapeId="1083" r:id="rId95" name="ComboBox14"/>
      </mc:Fallback>
    </mc:AlternateContent>
    <mc:AlternateContent xmlns:mc="http://schemas.openxmlformats.org/markup-compatibility/2006">
      <mc:Choice Requires="x14">
        <control shapeId="1082" r:id="rId97" name="ComboBox13">
          <controlPr defaultSize="0" autoLine="0" linkedCell="X15" listFillRange="N_15" r:id="rId43">
            <anchor moveWithCells="1">
              <from>
                <xdr:col>18</xdr:col>
                <xdr:colOff>0</xdr:colOff>
                <xdr:row>14</xdr:row>
                <xdr:rowOff>0</xdr:rowOff>
              </from>
              <to>
                <xdr:col>19</xdr:col>
                <xdr:colOff>0</xdr:colOff>
                <xdr:row>15</xdr:row>
                <xdr:rowOff>9525</xdr:rowOff>
              </to>
            </anchor>
          </controlPr>
        </control>
      </mc:Choice>
      <mc:Fallback>
        <control shapeId="1082" r:id="rId97" name="ComboBox13"/>
      </mc:Fallback>
    </mc:AlternateContent>
    <mc:AlternateContent xmlns:mc="http://schemas.openxmlformats.org/markup-compatibility/2006">
      <mc:Choice Requires="x14">
        <control shapeId="1081" r:id="rId98" name="ComboBox12">
          <controlPr defaultSize="0" autoLine="0" linkedCell="X14" listFillRange="N_14" r:id="rId28">
            <anchor moveWithCells="1">
              <from>
                <xdr:col>18</xdr:col>
                <xdr:colOff>0</xdr:colOff>
                <xdr:row>13</xdr:row>
                <xdr:rowOff>0</xdr:rowOff>
              </from>
              <to>
                <xdr:col>19</xdr:col>
                <xdr:colOff>0</xdr:colOff>
                <xdr:row>14</xdr:row>
                <xdr:rowOff>0</xdr:rowOff>
              </to>
            </anchor>
          </controlPr>
        </control>
      </mc:Choice>
      <mc:Fallback>
        <control shapeId="1081" r:id="rId98" name="ComboBox12"/>
      </mc:Fallback>
    </mc:AlternateContent>
    <mc:AlternateContent xmlns:mc="http://schemas.openxmlformats.org/markup-compatibility/2006">
      <mc:Choice Requires="x14">
        <control shapeId="1080" r:id="rId99" name="ComboBox11">
          <controlPr defaultSize="0" autoLine="0" linkedCell="X13" listFillRange="N_13" r:id="rId28">
            <anchor moveWithCells="1">
              <from>
                <xdr:col>18</xdr:col>
                <xdr:colOff>0</xdr:colOff>
                <xdr:row>12</xdr:row>
                <xdr:rowOff>0</xdr:rowOff>
              </from>
              <to>
                <xdr:col>19</xdr:col>
                <xdr:colOff>0</xdr:colOff>
                <xdr:row>13</xdr:row>
                <xdr:rowOff>0</xdr:rowOff>
              </to>
            </anchor>
          </controlPr>
        </control>
      </mc:Choice>
      <mc:Fallback>
        <control shapeId="1080" r:id="rId99" name="ComboBox11"/>
      </mc:Fallback>
    </mc:AlternateContent>
    <mc:AlternateContent xmlns:mc="http://schemas.openxmlformats.org/markup-compatibility/2006">
      <mc:Choice Requires="x14">
        <control shapeId="1070" r:id="rId100" name="ComboBox10">
          <controlPr defaultSize="0" autoLine="0" linkedCell="X12" listFillRange="N_12" r:id="rId28">
            <anchor moveWithCells="1">
              <from>
                <xdr:col>18</xdr:col>
                <xdr:colOff>0</xdr:colOff>
                <xdr:row>11</xdr:row>
                <xdr:rowOff>0</xdr:rowOff>
              </from>
              <to>
                <xdr:col>19</xdr:col>
                <xdr:colOff>0</xdr:colOff>
                <xdr:row>12</xdr:row>
                <xdr:rowOff>0</xdr:rowOff>
              </to>
            </anchor>
          </controlPr>
        </control>
      </mc:Choice>
      <mc:Fallback>
        <control shapeId="1070" r:id="rId100" name="ComboBox10"/>
      </mc:Fallback>
    </mc:AlternateContent>
    <mc:AlternateContent xmlns:mc="http://schemas.openxmlformats.org/markup-compatibility/2006">
      <mc:Choice Requires="x14">
        <control shapeId="1069" r:id="rId101" name="ComboBox9">
          <controlPr defaultSize="0" autoLine="0" linkedCell="X11" listFillRange="N_11" r:id="rId28">
            <anchor moveWithCells="1">
              <from>
                <xdr:col>18</xdr:col>
                <xdr:colOff>0</xdr:colOff>
                <xdr:row>10</xdr:row>
                <xdr:rowOff>0</xdr:rowOff>
              </from>
              <to>
                <xdr:col>19</xdr:col>
                <xdr:colOff>0</xdr:colOff>
                <xdr:row>11</xdr:row>
                <xdr:rowOff>0</xdr:rowOff>
              </to>
            </anchor>
          </controlPr>
        </control>
      </mc:Choice>
      <mc:Fallback>
        <control shapeId="1069" r:id="rId101" name="ComboBox9"/>
      </mc:Fallback>
    </mc:AlternateContent>
    <mc:AlternateContent xmlns:mc="http://schemas.openxmlformats.org/markup-compatibility/2006">
      <mc:Choice Requires="x14">
        <control shapeId="1027" r:id="rId102" name="ComboBox1">
          <controlPr defaultSize="0" autoLine="0" linkedCell="X3" listFillRange="N_3" r:id="rId28">
            <anchor moveWithCells="1">
              <from>
                <xdr:col>18</xdr:col>
                <xdr:colOff>0</xdr:colOff>
                <xdr:row>2</xdr:row>
                <xdr:rowOff>0</xdr:rowOff>
              </from>
              <to>
                <xdr:col>19</xdr:col>
                <xdr:colOff>0</xdr:colOff>
                <xdr:row>3</xdr:row>
                <xdr:rowOff>0</xdr:rowOff>
              </to>
            </anchor>
          </controlPr>
        </control>
      </mc:Choice>
      <mc:Fallback>
        <control shapeId="1027" r:id="rId102" name="ComboBox1"/>
      </mc:Fallback>
    </mc:AlternateContent>
    <mc:AlternateContent xmlns:mc="http://schemas.openxmlformats.org/markup-compatibility/2006">
      <mc:Choice Requires="x14">
        <control shapeId="1029" r:id="rId103" name="ComboBox2">
          <controlPr defaultSize="0" autoLine="0" linkedCell="X4" listFillRange="N_4" r:id="rId28">
            <anchor moveWithCells="1">
              <from>
                <xdr:col>18</xdr:col>
                <xdr:colOff>0</xdr:colOff>
                <xdr:row>3</xdr:row>
                <xdr:rowOff>0</xdr:rowOff>
              </from>
              <to>
                <xdr:col>19</xdr:col>
                <xdr:colOff>0</xdr:colOff>
                <xdr:row>4</xdr:row>
                <xdr:rowOff>0</xdr:rowOff>
              </to>
            </anchor>
          </controlPr>
        </control>
      </mc:Choice>
      <mc:Fallback>
        <control shapeId="1029" r:id="rId103" name="ComboBox2"/>
      </mc:Fallback>
    </mc:AlternateContent>
    <mc:AlternateContent xmlns:mc="http://schemas.openxmlformats.org/markup-compatibility/2006">
      <mc:Choice Requires="x14">
        <control shapeId="1030" r:id="rId104" name="ComboBox3">
          <controlPr defaultSize="0" autoLine="0" linkedCell="X5" listFillRange="N_5" r:id="rId105">
            <anchor moveWithCells="1">
              <from>
                <xdr:col>18</xdr:col>
                <xdr:colOff>0</xdr:colOff>
                <xdr:row>4</xdr:row>
                <xdr:rowOff>0</xdr:rowOff>
              </from>
              <to>
                <xdr:col>19</xdr:col>
                <xdr:colOff>0</xdr:colOff>
                <xdr:row>4</xdr:row>
                <xdr:rowOff>1476375</xdr:rowOff>
              </to>
            </anchor>
          </controlPr>
        </control>
      </mc:Choice>
      <mc:Fallback>
        <control shapeId="1030" r:id="rId104" name="ComboBox3"/>
      </mc:Fallback>
    </mc:AlternateContent>
    <mc:AlternateContent xmlns:mc="http://schemas.openxmlformats.org/markup-compatibility/2006">
      <mc:Choice Requires="x14">
        <control shapeId="1031" r:id="rId106" name="ComboBox4">
          <controlPr defaultSize="0" autoLine="0" linkedCell="X6" listFillRange="N_6" r:id="rId107">
            <anchor moveWithCells="1">
              <from>
                <xdr:col>17</xdr:col>
                <xdr:colOff>4314825</xdr:colOff>
                <xdr:row>5</xdr:row>
                <xdr:rowOff>0</xdr:rowOff>
              </from>
              <to>
                <xdr:col>19</xdr:col>
                <xdr:colOff>0</xdr:colOff>
                <xdr:row>6</xdr:row>
                <xdr:rowOff>19050</xdr:rowOff>
              </to>
            </anchor>
          </controlPr>
        </control>
      </mc:Choice>
      <mc:Fallback>
        <control shapeId="1031" r:id="rId106" name="ComboBox4"/>
      </mc:Fallback>
    </mc:AlternateContent>
    <mc:AlternateContent xmlns:mc="http://schemas.openxmlformats.org/markup-compatibility/2006">
      <mc:Choice Requires="x14">
        <control shapeId="1032" r:id="rId108" name="ComboBox5">
          <controlPr defaultSize="0" autoLine="0" linkedCell="X7" listFillRange="N_7" r:id="rId109">
            <anchor moveWithCells="1">
              <from>
                <xdr:col>18</xdr:col>
                <xdr:colOff>19050</xdr:colOff>
                <xdr:row>6</xdr:row>
                <xdr:rowOff>0</xdr:rowOff>
              </from>
              <to>
                <xdr:col>19</xdr:col>
                <xdr:colOff>0</xdr:colOff>
                <xdr:row>7</xdr:row>
                <xdr:rowOff>0</xdr:rowOff>
              </to>
            </anchor>
          </controlPr>
        </control>
      </mc:Choice>
      <mc:Fallback>
        <control shapeId="1032" r:id="rId108" name="ComboBox5"/>
      </mc:Fallback>
    </mc:AlternateContent>
    <mc:AlternateContent xmlns:mc="http://schemas.openxmlformats.org/markup-compatibility/2006">
      <mc:Choice Requires="x14">
        <control shapeId="1033" r:id="rId110" name="ComboBox6">
          <controlPr defaultSize="0" autoLine="0" linkedCell="X8" listFillRange="N_8" r:id="rId111">
            <anchor moveWithCells="1">
              <from>
                <xdr:col>18</xdr:col>
                <xdr:colOff>19050</xdr:colOff>
                <xdr:row>7</xdr:row>
                <xdr:rowOff>0</xdr:rowOff>
              </from>
              <to>
                <xdr:col>19</xdr:col>
                <xdr:colOff>0</xdr:colOff>
                <xdr:row>7</xdr:row>
                <xdr:rowOff>1476375</xdr:rowOff>
              </to>
            </anchor>
          </controlPr>
        </control>
      </mc:Choice>
      <mc:Fallback>
        <control shapeId="1033" r:id="rId110" name="ComboBox6"/>
      </mc:Fallback>
    </mc:AlternateContent>
    <mc:AlternateContent xmlns:mc="http://schemas.openxmlformats.org/markup-compatibility/2006">
      <mc:Choice Requires="x14">
        <control shapeId="1034" r:id="rId112" name="ComboBox7">
          <controlPr defaultSize="0" autoLine="0" linkedCell="X9" listFillRange="N_9" r:id="rId28">
            <anchor moveWithCells="1">
              <from>
                <xdr:col>18</xdr:col>
                <xdr:colOff>0</xdr:colOff>
                <xdr:row>8</xdr:row>
                <xdr:rowOff>0</xdr:rowOff>
              </from>
              <to>
                <xdr:col>19</xdr:col>
                <xdr:colOff>0</xdr:colOff>
                <xdr:row>9</xdr:row>
                <xdr:rowOff>0</xdr:rowOff>
              </to>
            </anchor>
          </controlPr>
        </control>
      </mc:Choice>
      <mc:Fallback>
        <control shapeId="1034" r:id="rId112" name="ComboBox7"/>
      </mc:Fallback>
    </mc:AlternateContent>
    <mc:AlternateContent xmlns:mc="http://schemas.openxmlformats.org/markup-compatibility/2006">
      <mc:Choice Requires="x14">
        <control shapeId="1035" r:id="rId113" name="ComboBox8">
          <controlPr defaultSize="0" autoLine="0" linkedCell="X10" listFillRange="N_10" r:id="rId28">
            <anchor moveWithCells="1">
              <from>
                <xdr:col>18</xdr:col>
                <xdr:colOff>0</xdr:colOff>
                <xdr:row>9</xdr:row>
                <xdr:rowOff>0</xdr:rowOff>
              </from>
              <to>
                <xdr:col>19</xdr:col>
                <xdr:colOff>0</xdr:colOff>
                <xdr:row>10</xdr:row>
                <xdr:rowOff>0</xdr:rowOff>
              </to>
            </anchor>
          </controlPr>
        </control>
      </mc:Choice>
      <mc:Fallback>
        <control shapeId="1035" r:id="rId113" name="ComboBox8"/>
      </mc:Fallback>
    </mc:AlternateContent>
    <mc:AlternateContent xmlns:mc="http://schemas.openxmlformats.org/markup-compatibility/2006">
      <mc:Choice Requires="x14">
        <control shapeId="1101" r:id="rId114" name="ComboBox31">
          <controlPr defaultSize="0" autoLine="0" linkedCell="X33" listFillRange="N_33" r:id="rId28">
            <anchor moveWithCells="1">
              <from>
                <xdr:col>18</xdr:col>
                <xdr:colOff>0</xdr:colOff>
                <xdr:row>32</xdr:row>
                <xdr:rowOff>0</xdr:rowOff>
              </from>
              <to>
                <xdr:col>19</xdr:col>
                <xdr:colOff>0</xdr:colOff>
                <xdr:row>33</xdr:row>
                <xdr:rowOff>0</xdr:rowOff>
              </to>
            </anchor>
          </controlPr>
        </control>
      </mc:Choice>
      <mc:Fallback>
        <control shapeId="1101" r:id="rId114" name="ComboBox31"/>
      </mc:Fallback>
    </mc:AlternateContent>
    <mc:AlternateContent xmlns:mc="http://schemas.openxmlformats.org/markup-compatibility/2006">
      <mc:Choice Requires="x14">
        <control shapeId="1102" r:id="rId115" name="ComboBox32">
          <controlPr defaultSize="0" autoLine="0" autoPict="0" linkedCell="X34" listFillRange="N_34" r:id="rId11">
            <anchor moveWithCells="1">
              <from>
                <xdr:col>18</xdr:col>
                <xdr:colOff>0</xdr:colOff>
                <xdr:row>33</xdr:row>
                <xdr:rowOff>0</xdr:rowOff>
              </from>
              <to>
                <xdr:col>19</xdr:col>
                <xdr:colOff>0</xdr:colOff>
                <xdr:row>34</xdr:row>
                <xdr:rowOff>0</xdr:rowOff>
              </to>
            </anchor>
          </controlPr>
        </control>
      </mc:Choice>
      <mc:Fallback>
        <control shapeId="1102" r:id="rId115" name="ComboBox32"/>
      </mc:Fallback>
    </mc:AlternateContent>
    <mc:AlternateContent xmlns:mc="http://schemas.openxmlformats.org/markup-compatibility/2006">
      <mc:Choice Requires="x14">
        <control shapeId="1103" r:id="rId116" name="ComboBox33">
          <controlPr defaultSize="0" autoLine="0" linkedCell="X35" listFillRange="N_35" r:id="rId28">
            <anchor moveWithCells="1">
              <from>
                <xdr:col>18</xdr:col>
                <xdr:colOff>0</xdr:colOff>
                <xdr:row>34</xdr:row>
                <xdr:rowOff>0</xdr:rowOff>
              </from>
              <to>
                <xdr:col>19</xdr:col>
                <xdr:colOff>0</xdr:colOff>
                <xdr:row>35</xdr:row>
                <xdr:rowOff>0</xdr:rowOff>
              </to>
            </anchor>
          </controlPr>
        </control>
      </mc:Choice>
      <mc:Fallback>
        <control shapeId="1103" r:id="rId116" name="ComboBox33"/>
      </mc:Fallback>
    </mc:AlternateContent>
    <mc:AlternateContent xmlns:mc="http://schemas.openxmlformats.org/markup-compatibility/2006">
      <mc:Choice Requires="x14">
        <control shapeId="1104" r:id="rId117" name="ComboBox34">
          <controlPr defaultSize="0" autoLine="0" linkedCell="X36" listFillRange="N_36" r:id="rId28">
            <anchor moveWithCells="1">
              <from>
                <xdr:col>18</xdr:col>
                <xdr:colOff>0</xdr:colOff>
                <xdr:row>35</xdr:row>
                <xdr:rowOff>0</xdr:rowOff>
              </from>
              <to>
                <xdr:col>19</xdr:col>
                <xdr:colOff>0</xdr:colOff>
                <xdr:row>36</xdr:row>
                <xdr:rowOff>0</xdr:rowOff>
              </to>
            </anchor>
          </controlPr>
        </control>
      </mc:Choice>
      <mc:Fallback>
        <control shapeId="1104" r:id="rId117" name="ComboBox34"/>
      </mc:Fallback>
    </mc:AlternateContent>
    <mc:AlternateContent xmlns:mc="http://schemas.openxmlformats.org/markup-compatibility/2006">
      <mc:Choice Requires="x14">
        <control shapeId="1105" r:id="rId118" name="ComboBox35">
          <controlPr defaultSize="0" autoLine="0" linkedCell="X37" listFillRange="N_37" r:id="rId28">
            <anchor moveWithCells="1">
              <from>
                <xdr:col>18</xdr:col>
                <xdr:colOff>0</xdr:colOff>
                <xdr:row>36</xdr:row>
                <xdr:rowOff>0</xdr:rowOff>
              </from>
              <to>
                <xdr:col>19</xdr:col>
                <xdr:colOff>0</xdr:colOff>
                <xdr:row>37</xdr:row>
                <xdr:rowOff>0</xdr:rowOff>
              </to>
            </anchor>
          </controlPr>
        </control>
      </mc:Choice>
      <mc:Fallback>
        <control shapeId="1105" r:id="rId118" name="ComboBox35"/>
      </mc:Fallback>
    </mc:AlternateContent>
    <mc:AlternateContent xmlns:mc="http://schemas.openxmlformats.org/markup-compatibility/2006">
      <mc:Choice Requires="x14">
        <control shapeId="1106" r:id="rId119" name="ComboBox36">
          <controlPr defaultSize="0" autoLine="0" linkedCell="X38" listFillRange="N_38" r:id="rId28">
            <anchor moveWithCells="1">
              <from>
                <xdr:col>18</xdr:col>
                <xdr:colOff>0</xdr:colOff>
                <xdr:row>37</xdr:row>
                <xdr:rowOff>0</xdr:rowOff>
              </from>
              <to>
                <xdr:col>19</xdr:col>
                <xdr:colOff>0</xdr:colOff>
                <xdr:row>38</xdr:row>
                <xdr:rowOff>0</xdr:rowOff>
              </to>
            </anchor>
          </controlPr>
        </control>
      </mc:Choice>
      <mc:Fallback>
        <control shapeId="1106" r:id="rId119" name="ComboBox36"/>
      </mc:Fallback>
    </mc:AlternateContent>
    <mc:AlternateContent xmlns:mc="http://schemas.openxmlformats.org/markup-compatibility/2006">
      <mc:Choice Requires="x14">
        <control shapeId="1107" r:id="rId120" name="ComboBox37">
          <controlPr defaultSize="0" autoLine="0" linkedCell="X39" listFillRange="N_39" r:id="rId28">
            <anchor moveWithCells="1">
              <from>
                <xdr:col>18</xdr:col>
                <xdr:colOff>0</xdr:colOff>
                <xdr:row>38</xdr:row>
                <xdr:rowOff>0</xdr:rowOff>
              </from>
              <to>
                <xdr:col>19</xdr:col>
                <xdr:colOff>0</xdr:colOff>
                <xdr:row>39</xdr:row>
                <xdr:rowOff>0</xdr:rowOff>
              </to>
            </anchor>
          </controlPr>
        </control>
      </mc:Choice>
      <mc:Fallback>
        <control shapeId="1107" r:id="rId120" name="ComboBox37"/>
      </mc:Fallback>
    </mc:AlternateContent>
    <mc:AlternateContent xmlns:mc="http://schemas.openxmlformats.org/markup-compatibility/2006">
      <mc:Choice Requires="x14">
        <control shapeId="1108" r:id="rId121" name="ComboBox38">
          <controlPr defaultSize="0" autoLine="0" linkedCell="X40" listFillRange="N_40" r:id="rId28">
            <anchor moveWithCells="1">
              <from>
                <xdr:col>18</xdr:col>
                <xdr:colOff>0</xdr:colOff>
                <xdr:row>39</xdr:row>
                <xdr:rowOff>0</xdr:rowOff>
              </from>
              <to>
                <xdr:col>19</xdr:col>
                <xdr:colOff>0</xdr:colOff>
                <xdr:row>40</xdr:row>
                <xdr:rowOff>0</xdr:rowOff>
              </to>
            </anchor>
          </controlPr>
        </control>
      </mc:Choice>
      <mc:Fallback>
        <control shapeId="1108" r:id="rId121" name="ComboBox38"/>
      </mc:Fallback>
    </mc:AlternateContent>
    <mc:AlternateContent xmlns:mc="http://schemas.openxmlformats.org/markup-compatibility/2006">
      <mc:Choice Requires="x14">
        <control shapeId="1109" r:id="rId122" name="ComboBox39">
          <controlPr defaultSize="0" autoLine="0" autoPict="0" linkedCell="X41" listFillRange="N_41" r:id="rId11">
            <anchor moveWithCells="1">
              <from>
                <xdr:col>18</xdr:col>
                <xdr:colOff>0</xdr:colOff>
                <xdr:row>40</xdr:row>
                <xdr:rowOff>0</xdr:rowOff>
              </from>
              <to>
                <xdr:col>19</xdr:col>
                <xdr:colOff>0</xdr:colOff>
                <xdr:row>41</xdr:row>
                <xdr:rowOff>0</xdr:rowOff>
              </to>
            </anchor>
          </controlPr>
        </control>
      </mc:Choice>
      <mc:Fallback>
        <control shapeId="1109" r:id="rId122" name="ComboBox39"/>
      </mc:Fallback>
    </mc:AlternateContent>
    <mc:AlternateContent xmlns:mc="http://schemas.openxmlformats.org/markup-compatibility/2006">
      <mc:Choice Requires="x14">
        <control shapeId="1121" r:id="rId123" name="ComboBox40">
          <controlPr defaultSize="0" autoLine="0" autoPict="0" linkedCell="X42" listFillRange="N_42" r:id="rId68">
            <anchor moveWithCells="1">
              <from>
                <xdr:col>18</xdr:col>
                <xdr:colOff>19050</xdr:colOff>
                <xdr:row>41</xdr:row>
                <xdr:rowOff>0</xdr:rowOff>
              </from>
              <to>
                <xdr:col>19</xdr:col>
                <xdr:colOff>0</xdr:colOff>
                <xdr:row>42</xdr:row>
                <xdr:rowOff>0</xdr:rowOff>
              </to>
            </anchor>
          </controlPr>
        </control>
      </mc:Choice>
      <mc:Fallback>
        <control shapeId="1121" r:id="rId123" name="ComboBox4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KS311"/>
  <sheetViews>
    <sheetView topLeftCell="AH159" zoomScale="85" zoomScaleNormal="85" workbookViewId="0">
      <selection activeCell="AR311" sqref="AR311"/>
    </sheetView>
  </sheetViews>
  <sheetFormatPr baseColWidth="10" defaultColWidth="29.5703125" defaultRowHeight="15" x14ac:dyDescent="0.25"/>
  <cols>
    <col min="1" max="1" width="140.28515625" style="206" bestFit="1" customWidth="1"/>
    <col min="2" max="2" width="51.42578125" style="206" bestFit="1" customWidth="1"/>
    <col min="3" max="3" width="35.5703125" style="206" bestFit="1" customWidth="1"/>
    <col min="4" max="4" width="91.28515625" style="206" bestFit="1" customWidth="1"/>
    <col min="5" max="5" width="65.28515625" style="206" bestFit="1" customWidth="1"/>
    <col min="6" max="6" width="51.42578125" style="206" bestFit="1" customWidth="1"/>
    <col min="7" max="7" width="51.42578125" style="206" customWidth="1"/>
    <col min="8" max="8" width="43.5703125" style="206" bestFit="1" customWidth="1"/>
    <col min="9" max="9" width="45.85546875" style="206" bestFit="1" customWidth="1"/>
    <col min="10" max="10" width="37.28515625" style="206" bestFit="1" customWidth="1"/>
    <col min="11" max="11" width="41.7109375" style="206" bestFit="1" customWidth="1"/>
    <col min="12" max="12" width="24.7109375" style="206" bestFit="1" customWidth="1"/>
    <col min="13" max="13" width="55.42578125" style="206" bestFit="1" customWidth="1"/>
    <col min="14" max="14" width="42.28515625" style="206" bestFit="1" customWidth="1"/>
    <col min="15" max="15" width="40.85546875" style="206" bestFit="1" customWidth="1"/>
    <col min="16" max="16" width="18.85546875" style="206" bestFit="1" customWidth="1"/>
    <col min="17" max="17" width="11.140625" style="206" bestFit="1" customWidth="1"/>
    <col min="18" max="18" width="10" style="206" bestFit="1" customWidth="1"/>
    <col min="19" max="19" width="9.5703125" style="206" bestFit="1" customWidth="1"/>
    <col min="20" max="20" width="11.7109375" style="206" bestFit="1" customWidth="1"/>
    <col min="21" max="21" width="26.140625" style="206" bestFit="1" customWidth="1"/>
    <col min="22" max="22" width="12.7109375" style="206" bestFit="1" customWidth="1"/>
    <col min="23" max="23" width="15.7109375" style="206" bestFit="1" customWidth="1"/>
    <col min="24" max="24" width="9.7109375" style="206" bestFit="1" customWidth="1"/>
    <col min="25" max="25" width="11.28515625" style="206" bestFit="1" customWidth="1"/>
    <col min="26" max="26" width="10.5703125" style="206" bestFit="1" customWidth="1"/>
    <col min="27" max="27" width="13.28515625" style="206" bestFit="1" customWidth="1"/>
    <col min="28" max="28" width="14.28515625" style="206" bestFit="1" customWidth="1"/>
    <col min="29" max="29" width="19.28515625" style="206" bestFit="1" customWidth="1"/>
    <col min="30" max="30" width="18.7109375" style="206" bestFit="1" customWidth="1"/>
    <col min="31" max="31" width="14.42578125" style="206" bestFit="1" customWidth="1"/>
    <col min="32" max="32" width="11.42578125" style="206" bestFit="1" customWidth="1"/>
    <col min="33" max="33" width="43" style="206" bestFit="1" customWidth="1"/>
    <col min="34" max="34" width="16.42578125" style="206" bestFit="1" customWidth="1"/>
    <col min="35" max="35" width="14.7109375" style="206" bestFit="1" customWidth="1"/>
    <col min="36" max="36" width="12.7109375" style="206" bestFit="1" customWidth="1"/>
    <col min="37" max="37" width="19.140625" style="206" bestFit="1" customWidth="1"/>
    <col min="38" max="38" width="20.7109375" style="206" bestFit="1" customWidth="1"/>
    <col min="39" max="39" width="17" style="206" bestFit="1" customWidth="1"/>
    <col min="40" max="40" width="12.5703125" style="206" bestFit="1" customWidth="1"/>
    <col min="41" max="41" width="19.140625" style="206" bestFit="1" customWidth="1"/>
    <col min="42" max="42" width="23.28515625" style="206" bestFit="1" customWidth="1"/>
    <col min="43" max="43" width="27" style="206" bestFit="1" customWidth="1"/>
    <col min="44" max="44" width="56" style="206" bestFit="1" customWidth="1"/>
    <col min="45" max="45" width="14.140625" style="206" bestFit="1" customWidth="1"/>
    <col min="46" max="46" width="10" style="206" bestFit="1" customWidth="1"/>
    <col min="47" max="47" width="12" style="206" bestFit="1" customWidth="1"/>
    <col min="48" max="48" width="14.28515625" style="206" bestFit="1" customWidth="1"/>
    <col min="49" max="49" width="10.5703125" style="206" bestFit="1" customWidth="1"/>
    <col min="50" max="50" width="22.28515625" style="206" bestFit="1" customWidth="1"/>
    <col min="51" max="51" width="17.7109375" style="206" bestFit="1" customWidth="1"/>
    <col min="52" max="52" width="20.7109375" style="206" bestFit="1" customWidth="1"/>
    <col min="53" max="53" width="22.7109375" style="206" bestFit="1" customWidth="1"/>
    <col min="54" max="54" width="15" style="206" bestFit="1" customWidth="1"/>
    <col min="55" max="55" width="15.42578125" style="206" bestFit="1" customWidth="1"/>
    <col min="56" max="56" width="13.28515625" style="206" bestFit="1" customWidth="1"/>
    <col min="57" max="57" width="24.7109375" style="206" bestFit="1" customWidth="1"/>
    <col min="58" max="58" width="22.140625" style="206" bestFit="1" customWidth="1"/>
    <col min="59" max="59" width="9.42578125" style="206" bestFit="1" customWidth="1"/>
    <col min="60" max="102" width="4.28515625" style="206" bestFit="1" customWidth="1"/>
    <col min="103" max="105" width="5.28515625" style="206" bestFit="1" customWidth="1"/>
    <col min="106" max="106" width="6.85546875" style="206" bestFit="1" customWidth="1"/>
    <col min="107" max="108" width="7.28515625" style="206" bestFit="1" customWidth="1"/>
    <col min="109" max="109" width="6.5703125" style="206" bestFit="1" customWidth="1"/>
    <col min="110" max="110" width="6.7109375" style="206" bestFit="1" customWidth="1"/>
    <col min="111" max="111" width="7" style="206" bestFit="1" customWidth="1"/>
    <col min="112" max="112" width="6.85546875" style="206" bestFit="1" customWidth="1"/>
    <col min="113" max="113" width="8.7109375" style="206" bestFit="1" customWidth="1"/>
    <col min="114" max="114" width="8.28515625" style="206" bestFit="1" customWidth="1"/>
    <col min="115" max="115" width="8.42578125" style="206" bestFit="1" customWidth="1"/>
    <col min="116" max="116" width="8.140625" style="206" bestFit="1" customWidth="1"/>
    <col min="117" max="117" width="8.42578125" style="206" bestFit="1" customWidth="1"/>
    <col min="118" max="118" width="8.28515625" style="206" bestFit="1" customWidth="1"/>
    <col min="119" max="119" width="8" style="206" bestFit="1" customWidth="1"/>
    <col min="120" max="120" width="8.140625" style="206" bestFit="1" customWidth="1"/>
    <col min="121" max="122" width="8.28515625" style="206" bestFit="1" customWidth="1"/>
    <col min="123" max="123" width="8.85546875" style="206" bestFit="1" customWidth="1"/>
    <col min="124" max="126" width="8.140625" style="206" bestFit="1" customWidth="1"/>
    <col min="127" max="129" width="9.42578125" style="206" bestFit="1" customWidth="1"/>
    <col min="130" max="130" width="9.5703125" style="206" bestFit="1" customWidth="1"/>
    <col min="131" max="131" width="9.28515625" style="206" bestFit="1" customWidth="1"/>
    <col min="132" max="132" width="9.140625" style="206" bestFit="1" customWidth="1"/>
    <col min="133" max="134" width="9.5703125" style="206" bestFit="1" customWidth="1"/>
    <col min="135" max="135" width="8.7109375" style="206" bestFit="1" customWidth="1"/>
    <col min="136" max="136" width="8.85546875" style="206" bestFit="1" customWidth="1"/>
    <col min="137" max="137" width="9.28515625" style="206" bestFit="1" customWidth="1"/>
    <col min="138" max="138" width="9.140625" style="206" bestFit="1" customWidth="1"/>
    <col min="139" max="139" width="9.85546875" style="206" bestFit="1" customWidth="1"/>
    <col min="140" max="140" width="9.5703125" style="206" bestFit="1" customWidth="1"/>
    <col min="141" max="141" width="9.7109375" style="206" bestFit="1" customWidth="1"/>
    <col min="142" max="142" width="9.28515625" style="206" bestFit="1" customWidth="1"/>
    <col min="143" max="143" width="9.7109375" style="206" bestFit="1" customWidth="1"/>
    <col min="144" max="144" width="9.42578125" style="206" bestFit="1" customWidth="1"/>
    <col min="145" max="202" width="4.28515625" style="206" bestFit="1" customWidth="1"/>
    <col min="203" max="205" width="5.28515625" style="206" bestFit="1" customWidth="1"/>
    <col min="206" max="206" width="50.5703125" style="206" bestFit="1" customWidth="1"/>
    <col min="207" max="207" width="31.7109375" style="206" bestFit="1" customWidth="1"/>
    <col min="208" max="208" width="39.28515625" style="206" bestFit="1" customWidth="1"/>
    <col min="209" max="209" width="59.85546875" style="206" bestFit="1" customWidth="1"/>
    <col min="210" max="210" width="51.7109375" style="206" bestFit="1" customWidth="1"/>
    <col min="211" max="211" width="97.7109375" style="206" bestFit="1" customWidth="1"/>
    <col min="212" max="212" width="58.7109375" style="206" bestFit="1" customWidth="1"/>
    <col min="213" max="213" width="37.28515625" style="206" bestFit="1" customWidth="1"/>
    <col min="214" max="214" width="76.140625" style="206" bestFit="1" customWidth="1"/>
    <col min="215" max="215" width="31.7109375" style="206" bestFit="1" customWidth="1"/>
    <col min="216" max="216" width="34.7109375" style="206" bestFit="1" customWidth="1"/>
    <col min="217" max="244" width="140.28515625" style="206" bestFit="1" customWidth="1"/>
    <col min="245" max="245" width="18.7109375" style="206" bestFit="1" customWidth="1"/>
    <col min="246" max="246" width="14.28515625" style="206" bestFit="1" customWidth="1"/>
    <col min="247" max="247" width="89.7109375" style="206" bestFit="1" customWidth="1"/>
    <col min="248" max="248" width="82.42578125" style="206" bestFit="1" customWidth="1"/>
    <col min="249" max="249" width="37.28515625" style="206" bestFit="1" customWidth="1"/>
    <col min="250" max="250" width="36.85546875" style="206" bestFit="1" customWidth="1"/>
    <col min="251" max="251" width="29.28515625" style="206" bestFit="1" customWidth="1"/>
    <col min="252" max="252" width="14.7109375" style="206" bestFit="1" customWidth="1"/>
    <col min="253" max="254" width="31.7109375" style="206" bestFit="1" customWidth="1"/>
    <col min="255" max="255" width="39.140625" style="206" bestFit="1" customWidth="1"/>
    <col min="256" max="256" width="16.140625" style="206" bestFit="1" customWidth="1"/>
    <col min="257" max="257" width="28.28515625" style="206" bestFit="1" customWidth="1"/>
    <col min="258" max="258" width="82.42578125" style="206" bestFit="1" customWidth="1"/>
    <col min="259" max="259" width="34.7109375" style="206" bestFit="1" customWidth="1"/>
    <col min="260" max="260" width="60.28515625" style="206" bestFit="1" customWidth="1"/>
    <col min="261" max="262" width="31.7109375" style="206" bestFit="1" customWidth="1"/>
    <col min="263" max="263" width="34.7109375" style="206" bestFit="1" customWidth="1"/>
    <col min="264" max="264" width="41" style="206" bestFit="1" customWidth="1"/>
    <col min="265" max="265" width="31.7109375" style="206" bestFit="1" customWidth="1"/>
    <col min="266" max="268" width="34.7109375" style="206" bestFit="1" customWidth="1"/>
    <col min="269" max="269" width="31.7109375" style="206" bestFit="1" customWidth="1"/>
    <col min="270" max="270" width="34.7109375" style="206" bestFit="1" customWidth="1"/>
    <col min="271" max="271" width="90.7109375" style="206" bestFit="1" customWidth="1"/>
    <col min="272" max="272" width="34.7109375" style="206" bestFit="1" customWidth="1"/>
    <col min="273" max="273" width="37.28515625" style="206" bestFit="1" customWidth="1"/>
    <col min="274" max="274" width="18.7109375" style="206" bestFit="1" customWidth="1"/>
    <col min="275" max="275" width="76.140625" style="206" bestFit="1" customWidth="1"/>
    <col min="276" max="277" width="20.28515625" style="206" bestFit="1" customWidth="1"/>
    <col min="278" max="278" width="36.140625" style="206" bestFit="1" customWidth="1"/>
    <col min="279" max="279" width="90.7109375" style="206" bestFit="1" customWidth="1"/>
    <col min="280" max="281" width="34.7109375" style="206" bestFit="1" customWidth="1"/>
    <col min="282" max="282" width="31.7109375" style="206" bestFit="1" customWidth="1"/>
    <col min="283" max="284" width="90.7109375" style="206" bestFit="1" customWidth="1"/>
    <col min="285" max="285" width="34.7109375" style="206" bestFit="1" customWidth="1"/>
    <col min="286" max="286" width="14.7109375" style="206" bestFit="1" customWidth="1"/>
    <col min="287" max="287" width="31.7109375" style="206" bestFit="1" customWidth="1"/>
    <col min="288" max="288" width="90.7109375" style="206" bestFit="1" customWidth="1"/>
    <col min="289" max="289" width="31.7109375" style="206" bestFit="1" customWidth="1"/>
    <col min="290" max="292" width="90.7109375" style="206" bestFit="1" customWidth="1"/>
    <col min="293" max="293" width="37.28515625" style="206" bestFit="1" customWidth="1"/>
    <col min="294" max="295" width="31.7109375" style="206" bestFit="1" customWidth="1"/>
    <col min="296" max="296" width="37.28515625" style="206" bestFit="1" customWidth="1"/>
    <col min="297" max="297" width="59.85546875" style="206" bestFit="1" customWidth="1"/>
    <col min="298" max="298" width="18.7109375" style="206" bestFit="1" customWidth="1"/>
    <col min="299" max="300" width="90.7109375" style="206" bestFit="1" customWidth="1"/>
    <col min="301" max="301" width="58.85546875" style="206" bestFit="1" customWidth="1"/>
    <col min="302" max="302" width="90.7109375" style="206" bestFit="1" customWidth="1"/>
    <col min="303" max="303" width="72.7109375" style="206" bestFit="1" customWidth="1"/>
    <col min="304" max="304" width="41" style="206" bestFit="1" customWidth="1"/>
    <col min="305" max="305" width="31.7109375" style="206" bestFit="1" customWidth="1"/>
    <col min="306" max="16384" width="29.5703125" style="206"/>
  </cols>
  <sheetData>
    <row r="1" spans="1:305" x14ac:dyDescent="0.25">
      <c r="A1" s="206" t="s">
        <v>55</v>
      </c>
      <c r="B1" s="206" t="s">
        <v>4</v>
      </c>
      <c r="C1" s="206" t="s">
        <v>56</v>
      </c>
      <c r="D1" s="206" t="s">
        <v>3</v>
      </c>
      <c r="E1" s="206" t="s">
        <v>45</v>
      </c>
      <c r="F1" s="206" t="s">
        <v>139</v>
      </c>
      <c r="G1" s="206" t="s">
        <v>140</v>
      </c>
      <c r="H1" s="206" t="s">
        <v>141</v>
      </c>
      <c r="I1" s="206" t="s">
        <v>142</v>
      </c>
      <c r="J1" s="206" t="s">
        <v>143</v>
      </c>
      <c r="K1" s="206" t="s">
        <v>144</v>
      </c>
      <c r="L1" s="206" t="s">
        <v>145</v>
      </c>
      <c r="M1" s="206" t="s">
        <v>146</v>
      </c>
      <c r="N1" s="206" t="s">
        <v>147</v>
      </c>
      <c r="O1" s="206" t="s">
        <v>148</v>
      </c>
      <c r="P1" s="206" t="s">
        <v>149</v>
      </c>
      <c r="Q1" s="206" t="s">
        <v>150</v>
      </c>
      <c r="R1" s="206" t="s">
        <v>151</v>
      </c>
      <c r="S1" s="206" t="s">
        <v>152</v>
      </c>
      <c r="T1" s="206" t="s">
        <v>153</v>
      </c>
      <c r="U1" s="206" t="s">
        <v>154</v>
      </c>
      <c r="V1" s="206" t="s">
        <v>155</v>
      </c>
      <c r="W1" s="206" t="s">
        <v>156</v>
      </c>
      <c r="X1" s="206" t="s">
        <v>157</v>
      </c>
      <c r="Y1" s="206" t="s">
        <v>158</v>
      </c>
      <c r="Z1" s="206" t="s">
        <v>159</v>
      </c>
      <c r="AA1" s="206" t="s">
        <v>160</v>
      </c>
      <c r="AB1" s="206" t="s">
        <v>161</v>
      </c>
      <c r="AC1" s="206" t="s">
        <v>162</v>
      </c>
      <c r="AD1" s="206" t="s">
        <v>163</v>
      </c>
      <c r="AE1" s="206" t="s">
        <v>164</v>
      </c>
      <c r="AF1" s="206" t="s">
        <v>165</v>
      </c>
      <c r="AG1" s="206" t="s">
        <v>166</v>
      </c>
      <c r="AH1" s="206" t="s">
        <v>167</v>
      </c>
      <c r="AI1" s="206" t="s">
        <v>168</v>
      </c>
      <c r="AJ1" s="206" t="s">
        <v>169</v>
      </c>
      <c r="AK1" s="206" t="s">
        <v>170</v>
      </c>
      <c r="AL1" s="206" t="s">
        <v>171</v>
      </c>
      <c r="AM1" s="206" t="s">
        <v>172</v>
      </c>
      <c r="AN1" s="206" t="s">
        <v>173</v>
      </c>
      <c r="AO1" s="206" t="s">
        <v>174</v>
      </c>
      <c r="AP1" s="206" t="s">
        <v>175</v>
      </c>
      <c r="AQ1" s="206" t="s">
        <v>176</v>
      </c>
      <c r="AR1" s="206" t="s">
        <v>177</v>
      </c>
      <c r="AS1" s="206" t="s">
        <v>659</v>
      </c>
      <c r="AT1" s="206" t="s">
        <v>660</v>
      </c>
      <c r="AU1" s="206" t="s">
        <v>661</v>
      </c>
      <c r="AV1" s="206" t="s">
        <v>662</v>
      </c>
      <c r="AW1" s="206" t="s">
        <v>663</v>
      </c>
      <c r="AX1" s="206" t="s">
        <v>664</v>
      </c>
      <c r="AY1" s="206" t="s">
        <v>665</v>
      </c>
      <c r="AZ1" s="206" t="s">
        <v>666</v>
      </c>
      <c r="BA1" s="206" t="s">
        <v>667</v>
      </c>
      <c r="BB1" s="206" t="s">
        <v>668</v>
      </c>
      <c r="BC1" s="206" t="s">
        <v>669</v>
      </c>
      <c r="BD1" s="206" t="s">
        <v>670</v>
      </c>
      <c r="BE1" s="206" t="s">
        <v>671</v>
      </c>
      <c r="BF1" s="206" t="s">
        <v>672</v>
      </c>
      <c r="BG1" s="206" t="s">
        <v>673</v>
      </c>
      <c r="BH1" s="206" t="s">
        <v>674</v>
      </c>
      <c r="BI1" s="206" t="s">
        <v>675</v>
      </c>
      <c r="BJ1" s="206" t="s">
        <v>676</v>
      </c>
      <c r="BK1" s="206" t="s">
        <v>677</v>
      </c>
      <c r="BL1" s="206" t="s">
        <v>678</v>
      </c>
      <c r="BM1" s="206" t="s">
        <v>679</v>
      </c>
      <c r="BN1" s="206" t="s">
        <v>680</v>
      </c>
      <c r="BO1" s="206" t="s">
        <v>681</v>
      </c>
      <c r="BP1" s="206" t="s">
        <v>682</v>
      </c>
      <c r="BQ1" s="206" t="s">
        <v>683</v>
      </c>
      <c r="BR1" s="206" t="s">
        <v>684</v>
      </c>
      <c r="BS1" s="206" t="s">
        <v>685</v>
      </c>
      <c r="BT1" s="206" t="s">
        <v>686</v>
      </c>
      <c r="BU1" s="206" t="s">
        <v>687</v>
      </c>
      <c r="BV1" s="206" t="s">
        <v>688</v>
      </c>
      <c r="BW1" s="206" t="s">
        <v>689</v>
      </c>
      <c r="BX1" s="206" t="s">
        <v>690</v>
      </c>
      <c r="BY1" s="206" t="s">
        <v>691</v>
      </c>
      <c r="BZ1" s="206" t="s">
        <v>692</v>
      </c>
      <c r="CA1" s="206" t="s">
        <v>693</v>
      </c>
      <c r="CB1" s="206" t="s">
        <v>694</v>
      </c>
      <c r="CC1" s="206" t="s">
        <v>695</v>
      </c>
      <c r="CD1" s="206" t="s">
        <v>696</v>
      </c>
      <c r="CE1" s="206" t="s">
        <v>697</v>
      </c>
      <c r="CF1" s="206" t="s">
        <v>698</v>
      </c>
      <c r="CG1" s="206" t="s">
        <v>699</v>
      </c>
      <c r="CH1" s="206" t="s">
        <v>700</v>
      </c>
      <c r="CI1" s="206" t="s">
        <v>701</v>
      </c>
      <c r="CJ1" s="206" t="s">
        <v>702</v>
      </c>
      <c r="CK1" s="206" t="s">
        <v>703</v>
      </c>
      <c r="CL1" s="206" t="s">
        <v>704</v>
      </c>
      <c r="CM1" s="206" t="s">
        <v>705</v>
      </c>
      <c r="CN1" s="206" t="s">
        <v>706</v>
      </c>
      <c r="CO1" s="206" t="s">
        <v>707</v>
      </c>
      <c r="CP1" s="206" t="s">
        <v>708</v>
      </c>
      <c r="CQ1" s="206" t="s">
        <v>709</v>
      </c>
      <c r="CR1" s="206" t="s">
        <v>710</v>
      </c>
      <c r="CS1" s="206" t="s">
        <v>711</v>
      </c>
      <c r="CT1" s="206" t="s">
        <v>712</v>
      </c>
      <c r="CU1" s="206" t="s">
        <v>713</v>
      </c>
      <c r="CV1" s="206" t="s">
        <v>714</v>
      </c>
      <c r="CW1" s="206" t="s">
        <v>715</v>
      </c>
      <c r="CX1" s="206" t="s">
        <v>716</v>
      </c>
      <c r="CY1" s="206" t="s">
        <v>717</v>
      </c>
      <c r="CZ1" s="206" t="s">
        <v>718</v>
      </c>
      <c r="DA1" s="206" t="s">
        <v>719</v>
      </c>
      <c r="DB1" s="206" t="s">
        <v>722</v>
      </c>
      <c r="DC1" s="206" t="s">
        <v>720</v>
      </c>
      <c r="DD1" s="206" t="s">
        <v>721</v>
      </c>
      <c r="DE1" s="206" t="s">
        <v>178</v>
      </c>
      <c r="DF1" s="206" t="s">
        <v>179</v>
      </c>
      <c r="DG1" s="206" t="s">
        <v>180</v>
      </c>
      <c r="DH1" s="206" t="s">
        <v>181</v>
      </c>
      <c r="DI1" s="206" t="s">
        <v>182</v>
      </c>
      <c r="DJ1" s="206" t="s">
        <v>183</v>
      </c>
      <c r="DK1" s="206" t="s">
        <v>184</v>
      </c>
      <c r="DL1" s="206" t="s">
        <v>185</v>
      </c>
      <c r="DM1" s="206" t="s">
        <v>186</v>
      </c>
      <c r="DN1" s="206" t="s">
        <v>187</v>
      </c>
      <c r="DO1" s="206" t="s">
        <v>188</v>
      </c>
      <c r="DP1" s="206" t="s">
        <v>189</v>
      </c>
      <c r="DQ1" s="206" t="s">
        <v>190</v>
      </c>
      <c r="DR1" s="206" t="s">
        <v>191</v>
      </c>
      <c r="DS1" s="206" t="s">
        <v>192</v>
      </c>
      <c r="DT1" s="206" t="s">
        <v>193</v>
      </c>
      <c r="DU1" s="206" t="s">
        <v>194</v>
      </c>
      <c r="DV1" s="206" t="s">
        <v>195</v>
      </c>
      <c r="DW1" s="206" t="s">
        <v>196</v>
      </c>
      <c r="DX1" s="206" t="s">
        <v>197</v>
      </c>
      <c r="DY1" s="206" t="s">
        <v>198</v>
      </c>
      <c r="DZ1" s="206" t="s">
        <v>199</v>
      </c>
      <c r="EA1" s="206" t="s">
        <v>200</v>
      </c>
      <c r="EB1" s="206" t="s">
        <v>201</v>
      </c>
      <c r="EC1" s="206" t="s">
        <v>202</v>
      </c>
      <c r="ED1" s="206" t="s">
        <v>203</v>
      </c>
      <c r="EE1" s="206" t="s">
        <v>204</v>
      </c>
      <c r="EF1" s="206" t="s">
        <v>205</v>
      </c>
      <c r="EG1" s="206" t="s">
        <v>206</v>
      </c>
      <c r="EH1" s="206" t="s">
        <v>207</v>
      </c>
      <c r="EI1" s="206" t="s">
        <v>208</v>
      </c>
      <c r="EJ1" s="206" t="s">
        <v>209</v>
      </c>
      <c r="EK1" s="206" t="s">
        <v>210</v>
      </c>
      <c r="EL1" s="206" t="s">
        <v>211</v>
      </c>
      <c r="EM1" s="206" t="s">
        <v>212</v>
      </c>
      <c r="EN1" s="206" t="s">
        <v>213</v>
      </c>
      <c r="EO1" s="207" t="s">
        <v>659</v>
      </c>
      <c r="EP1" s="207" t="s">
        <v>660</v>
      </c>
      <c r="EQ1" s="207" t="s">
        <v>661</v>
      </c>
      <c r="ER1" s="207" t="s">
        <v>662</v>
      </c>
      <c r="ES1" s="207" t="s">
        <v>663</v>
      </c>
      <c r="ET1" s="207" t="s">
        <v>664</v>
      </c>
      <c r="EU1" s="207" t="s">
        <v>665</v>
      </c>
      <c r="EV1" s="207" t="s">
        <v>666</v>
      </c>
      <c r="EW1" s="207" t="s">
        <v>667</v>
      </c>
      <c r="EX1" s="207" t="s">
        <v>668</v>
      </c>
      <c r="EY1" s="207" t="s">
        <v>669</v>
      </c>
      <c r="EZ1" s="207" t="s">
        <v>670</v>
      </c>
      <c r="FA1" s="207" t="s">
        <v>671</v>
      </c>
      <c r="FB1" s="207" t="s">
        <v>672</v>
      </c>
      <c r="FC1" s="207" t="s">
        <v>673</v>
      </c>
      <c r="FD1" s="207" t="s">
        <v>674</v>
      </c>
      <c r="FE1" s="207" t="s">
        <v>675</v>
      </c>
      <c r="FF1" s="207" t="s">
        <v>676</v>
      </c>
      <c r="FG1" s="207" t="s">
        <v>677</v>
      </c>
      <c r="FH1" s="207" t="s">
        <v>678</v>
      </c>
      <c r="FI1" s="207" t="s">
        <v>679</v>
      </c>
      <c r="FJ1" s="207" t="s">
        <v>680</v>
      </c>
      <c r="FK1" s="207" t="s">
        <v>681</v>
      </c>
      <c r="FL1" s="207" t="s">
        <v>682</v>
      </c>
      <c r="FM1" s="207" t="s">
        <v>683</v>
      </c>
      <c r="FN1" s="207" t="s">
        <v>684</v>
      </c>
      <c r="FO1" s="207" t="s">
        <v>685</v>
      </c>
      <c r="FP1" s="207" t="s">
        <v>686</v>
      </c>
      <c r="FQ1" s="207" t="s">
        <v>687</v>
      </c>
      <c r="FR1" s="207" t="s">
        <v>688</v>
      </c>
      <c r="FS1" s="207" t="s">
        <v>689</v>
      </c>
      <c r="FT1" s="207" t="s">
        <v>690</v>
      </c>
      <c r="FU1" s="207" t="s">
        <v>691</v>
      </c>
      <c r="FV1" s="207" t="s">
        <v>692</v>
      </c>
      <c r="FW1" s="207" t="s">
        <v>693</v>
      </c>
      <c r="FX1" s="207" t="s">
        <v>694</v>
      </c>
      <c r="FY1" s="207" t="s">
        <v>695</v>
      </c>
      <c r="FZ1" s="207" t="s">
        <v>696</v>
      </c>
      <c r="GA1" s="207" t="s">
        <v>697</v>
      </c>
      <c r="GB1" s="207" t="s">
        <v>698</v>
      </c>
      <c r="GC1" s="207" t="s">
        <v>699</v>
      </c>
      <c r="GD1" s="207" t="s">
        <v>700</v>
      </c>
      <c r="GE1" s="207" t="s">
        <v>701</v>
      </c>
      <c r="GF1" s="207" t="s">
        <v>702</v>
      </c>
      <c r="GG1" s="207" t="s">
        <v>703</v>
      </c>
      <c r="GH1" s="207" t="s">
        <v>704</v>
      </c>
      <c r="GI1" s="207" t="s">
        <v>705</v>
      </c>
      <c r="GJ1" s="207" t="s">
        <v>706</v>
      </c>
      <c r="GK1" s="207" t="s">
        <v>707</v>
      </c>
      <c r="GL1" s="207" t="s">
        <v>708</v>
      </c>
      <c r="GM1" s="207" t="s">
        <v>709</v>
      </c>
      <c r="GN1" s="207" t="s">
        <v>710</v>
      </c>
      <c r="GO1" s="207" t="s">
        <v>711</v>
      </c>
      <c r="GP1" s="207" t="s">
        <v>712</v>
      </c>
      <c r="GQ1" s="207" t="s">
        <v>713</v>
      </c>
      <c r="GR1" s="207" t="s">
        <v>714</v>
      </c>
      <c r="GS1" s="207" t="s">
        <v>715</v>
      </c>
      <c r="GT1" s="207" t="s">
        <v>716</v>
      </c>
      <c r="GU1" s="207" t="s">
        <v>717</v>
      </c>
      <c r="GV1" s="207" t="s">
        <v>718</v>
      </c>
      <c r="GW1" s="207" t="s">
        <v>719</v>
      </c>
      <c r="GX1" s="206">
        <v>1</v>
      </c>
      <c r="GY1" s="206">
        <v>2</v>
      </c>
      <c r="GZ1" s="206">
        <v>3</v>
      </c>
      <c r="HA1" s="206">
        <v>4</v>
      </c>
      <c r="HB1" s="206">
        <v>5</v>
      </c>
      <c r="HC1" s="206">
        <v>6</v>
      </c>
      <c r="HD1" s="206">
        <v>7</v>
      </c>
      <c r="HE1" s="206">
        <v>8</v>
      </c>
      <c r="HF1" s="206" t="s">
        <v>437</v>
      </c>
      <c r="HG1" s="206" t="s">
        <v>438</v>
      </c>
      <c r="HH1" s="206" t="s">
        <v>439</v>
      </c>
      <c r="HI1" s="206" t="s">
        <v>440</v>
      </c>
      <c r="HJ1" s="206" t="s">
        <v>441</v>
      </c>
      <c r="HK1" s="206" t="s">
        <v>442</v>
      </c>
      <c r="HL1" s="206" t="s">
        <v>443</v>
      </c>
      <c r="HM1" s="206" t="s">
        <v>444</v>
      </c>
      <c r="HN1" s="206" t="s">
        <v>445</v>
      </c>
      <c r="HO1" s="206" t="s">
        <v>446</v>
      </c>
      <c r="HP1" s="206" t="s">
        <v>447</v>
      </c>
      <c r="HQ1" s="206" t="s">
        <v>448</v>
      </c>
      <c r="HR1" s="206" t="s">
        <v>449</v>
      </c>
      <c r="HS1" s="206" t="s">
        <v>450</v>
      </c>
      <c r="HT1" s="206" t="s">
        <v>451</v>
      </c>
      <c r="HU1" s="206" t="s">
        <v>452</v>
      </c>
      <c r="HV1" s="206" t="s">
        <v>453</v>
      </c>
      <c r="HW1" s="206" t="s">
        <v>454</v>
      </c>
      <c r="HX1" s="206" t="s">
        <v>455</v>
      </c>
      <c r="HY1" s="206" t="s">
        <v>456</v>
      </c>
      <c r="HZ1" s="206" t="s">
        <v>457</v>
      </c>
      <c r="IA1" s="206" t="s">
        <v>458</v>
      </c>
      <c r="IB1" s="206" t="s">
        <v>459</v>
      </c>
      <c r="IC1" s="206" t="s">
        <v>460</v>
      </c>
      <c r="ID1" s="206" t="s">
        <v>461</v>
      </c>
      <c r="IE1" s="206" t="s">
        <v>462</v>
      </c>
      <c r="IF1" s="206" t="s">
        <v>463</v>
      </c>
      <c r="IG1" s="206" t="s">
        <v>464</v>
      </c>
      <c r="IH1" s="206" t="s">
        <v>465</v>
      </c>
      <c r="II1" s="206" t="s">
        <v>466</v>
      </c>
      <c r="IJ1" s="206" t="s">
        <v>467</v>
      </c>
      <c r="IK1" s="207" t="s">
        <v>723</v>
      </c>
      <c r="IL1" s="207" t="s">
        <v>724</v>
      </c>
      <c r="IM1" s="207" t="s">
        <v>725</v>
      </c>
      <c r="IN1" s="207" t="s">
        <v>726</v>
      </c>
      <c r="IO1" s="207" t="s">
        <v>727</v>
      </c>
      <c r="IP1" s="207" t="s">
        <v>728</v>
      </c>
      <c r="IQ1" s="207" t="s">
        <v>729</v>
      </c>
      <c r="IR1" s="207" t="s">
        <v>730</v>
      </c>
      <c r="IS1" s="207" t="s">
        <v>731</v>
      </c>
      <c r="IT1" s="207" t="s">
        <v>732</v>
      </c>
      <c r="IU1" s="207" t="s">
        <v>733</v>
      </c>
      <c r="IV1" s="207" t="s">
        <v>734</v>
      </c>
      <c r="IW1" s="207" t="s">
        <v>735</v>
      </c>
      <c r="IX1" s="207" t="s">
        <v>736</v>
      </c>
      <c r="IY1" s="207" t="s">
        <v>737</v>
      </c>
      <c r="IZ1" s="207" t="s">
        <v>738</v>
      </c>
      <c r="JA1" s="207" t="s">
        <v>739</v>
      </c>
      <c r="JB1" s="207" t="s">
        <v>740</v>
      </c>
      <c r="JC1" s="207" t="s">
        <v>741</v>
      </c>
      <c r="JD1" s="207" t="s">
        <v>742</v>
      </c>
      <c r="JE1" s="207" t="s">
        <v>743</v>
      </c>
      <c r="JF1" s="207" t="s">
        <v>744</v>
      </c>
      <c r="JG1" s="207" t="s">
        <v>745</v>
      </c>
      <c r="JH1" s="207" t="s">
        <v>746</v>
      </c>
      <c r="JI1" s="207" t="s">
        <v>747</v>
      </c>
      <c r="JJ1" s="207" t="s">
        <v>748</v>
      </c>
      <c r="JK1" s="207" t="s">
        <v>749</v>
      </c>
      <c r="JL1" s="207" t="s">
        <v>750</v>
      </c>
      <c r="JM1" s="207" t="s">
        <v>751</v>
      </c>
      <c r="JN1" s="207" t="s">
        <v>752</v>
      </c>
      <c r="JO1" s="207" t="s">
        <v>753</v>
      </c>
      <c r="JP1" s="207" t="s">
        <v>754</v>
      </c>
      <c r="JQ1" s="207" t="s">
        <v>755</v>
      </c>
      <c r="JR1" s="207" t="s">
        <v>756</v>
      </c>
      <c r="JS1" s="207" t="s">
        <v>757</v>
      </c>
      <c r="JT1" s="207" t="s">
        <v>758</v>
      </c>
      <c r="JU1" s="207" t="s">
        <v>759</v>
      </c>
      <c r="JV1" s="207" t="s">
        <v>760</v>
      </c>
      <c r="JW1" s="207" t="s">
        <v>761</v>
      </c>
      <c r="JX1" s="207" t="s">
        <v>762</v>
      </c>
      <c r="JY1" s="207" t="s">
        <v>763</v>
      </c>
      <c r="JZ1" s="207" t="s">
        <v>764</v>
      </c>
      <c r="KA1" s="207" t="s">
        <v>765</v>
      </c>
      <c r="KB1" s="207" t="s">
        <v>766</v>
      </c>
      <c r="KC1" s="207" t="s">
        <v>767</v>
      </c>
      <c r="KD1" s="207" t="s">
        <v>768</v>
      </c>
      <c r="KE1" s="207" t="s">
        <v>769</v>
      </c>
      <c r="KF1" s="207" t="s">
        <v>770</v>
      </c>
      <c r="KG1" s="207" t="s">
        <v>771</v>
      </c>
      <c r="KH1" s="207" t="s">
        <v>772</v>
      </c>
      <c r="KI1" s="207" t="s">
        <v>773</v>
      </c>
      <c r="KJ1" s="207" t="s">
        <v>774</v>
      </c>
      <c r="KK1" s="207" t="s">
        <v>775</v>
      </c>
      <c r="KL1" s="207" t="s">
        <v>776</v>
      </c>
      <c r="KM1" s="207" t="s">
        <v>777</v>
      </c>
      <c r="KN1" s="207" t="s">
        <v>778</v>
      </c>
      <c r="KO1" s="207" t="s">
        <v>779</v>
      </c>
      <c r="KP1" s="207" t="s">
        <v>780</v>
      </c>
      <c r="KQ1" s="207" t="s">
        <v>781</v>
      </c>
      <c r="KR1" s="207" t="s">
        <v>782</v>
      </c>
      <c r="KS1" s="207" t="s">
        <v>783</v>
      </c>
    </row>
    <row r="2" spans="1:305" x14ac:dyDescent="0.25">
      <c r="A2" s="206" t="s">
        <v>57</v>
      </c>
      <c r="B2" s="206">
        <v>1</v>
      </c>
      <c r="D2" s="206" t="s">
        <v>48</v>
      </c>
      <c r="E2" s="206" t="s">
        <v>508</v>
      </c>
      <c r="F2" s="207">
        <f>--ISNUMBER(IFERROR(SEARCH('PLANILLA DJ'!$X$3,$A2,1),""))</f>
        <v>1</v>
      </c>
      <c r="G2" s="207">
        <f>--ISNUMBER(IFERROR(SEARCH('PLANILLA DJ'!$X$4,$A2,1),""))</f>
        <v>1</v>
      </c>
      <c r="H2" s="207">
        <f>--ISNUMBER(IFERROR(SEARCH('PLANILLA DJ'!$X$5,$A2,1),""))</f>
        <v>1</v>
      </c>
      <c r="I2" s="207">
        <f>--ISNUMBER(IFERROR(SEARCH('PLANILLA DJ'!$X$6,$A2,1),""))</f>
        <v>1</v>
      </c>
      <c r="J2" s="207">
        <f>--ISNUMBER(IFERROR(SEARCH('PLANILLA DJ'!$X$7,$A2,1),""))</f>
        <v>1</v>
      </c>
      <c r="K2" s="207">
        <f>--ISNUMBER(IFERROR(SEARCH('PLANILLA DJ'!$X$8,$A2,1),""))</f>
        <v>1</v>
      </c>
      <c r="L2" s="207">
        <f>--ISNUMBER(IFERROR(SEARCH('PLANILLA DJ'!$X$9,$A2,1),""))</f>
        <v>1</v>
      </c>
      <c r="M2" s="207">
        <f>--ISNUMBER(IFERROR(SEARCH('PLANILLA DJ'!$X$10,$A2,1),""))</f>
        <v>1</v>
      </c>
      <c r="N2" s="207">
        <f>--ISNUMBER(IFERROR(SEARCH('PLANILLA DJ'!$X$11,$A2,1),""))</f>
        <v>1</v>
      </c>
      <c r="O2" s="207">
        <f>--ISNUMBER(IFERROR(SEARCH('PLANILLA DJ'!$X$12,$A2,1),""))</f>
        <v>1</v>
      </c>
      <c r="P2" s="207">
        <f>--ISNUMBER(IFERROR(SEARCH('PLANILLA DJ'!$X$13,$A2,1),""))</f>
        <v>1</v>
      </c>
      <c r="Q2" s="207">
        <f>--ISNUMBER(IFERROR(SEARCH('PLANILLA DJ'!$X$14,$A2,1),""))</f>
        <v>1</v>
      </c>
      <c r="R2" s="207">
        <f>--ISNUMBER(IFERROR(SEARCH('PLANILLA DJ'!$X$15,$A2,1),""))</f>
        <v>1</v>
      </c>
      <c r="S2" s="207">
        <f>--ISNUMBER(IFERROR(SEARCH('PLANILLA DJ'!$X$16,$A2,1),""))</f>
        <v>1</v>
      </c>
      <c r="T2" s="207">
        <f>--ISNUMBER(IFERROR(SEARCH('PLANILLA DJ'!$X$17,$A2,1),""))</f>
        <v>1</v>
      </c>
      <c r="U2" s="207">
        <f>--ISNUMBER(IFERROR(SEARCH('PLANILLA DJ'!$X$18,$A2,1),""))</f>
        <v>1</v>
      </c>
      <c r="V2" s="207">
        <f>--ISNUMBER(IFERROR(SEARCH('PLANILLA DJ'!$X$19,$A2,1),""))</f>
        <v>1</v>
      </c>
      <c r="W2" s="207">
        <f>--ISNUMBER(IFERROR(SEARCH('PLANILLA DJ'!$X$20,$A2,1),""))</f>
        <v>1</v>
      </c>
      <c r="X2" s="207">
        <f>--ISNUMBER(IFERROR(SEARCH('PLANILLA DJ'!$X$21,$A2,1),""))</f>
        <v>1</v>
      </c>
      <c r="Y2" s="207">
        <f>--ISNUMBER(IFERROR(SEARCH('PLANILLA DJ'!$X$22,$A2,1),""))</f>
        <v>1</v>
      </c>
      <c r="Z2" s="207">
        <f>--ISNUMBER(IFERROR(SEARCH('PLANILLA DJ'!$X$23,$A2,1),""))</f>
        <v>1</v>
      </c>
      <c r="AA2" s="207">
        <f>--ISNUMBER(IFERROR(SEARCH('PLANILLA DJ'!$X$24,$A2,1),""))</f>
        <v>1</v>
      </c>
      <c r="AB2" s="207">
        <f>--ISNUMBER(IFERROR(SEARCH('PLANILLA DJ'!$X$25,$A2,1),""))</f>
        <v>1</v>
      </c>
      <c r="AC2" s="207">
        <f>--ISNUMBER(IFERROR(SEARCH('PLANILLA DJ'!$X$26,$A2,1),""))</f>
        <v>1</v>
      </c>
      <c r="AD2" s="207">
        <f>--ISNUMBER(IFERROR(SEARCH('PLANILLA DJ'!$X$27,$A2,1),""))</f>
        <v>1</v>
      </c>
      <c r="AE2" s="207">
        <f>--ISNUMBER(IFERROR(SEARCH('PLANILLA DJ'!$X$28,$A2,1),""))</f>
        <v>1</v>
      </c>
      <c r="AF2" s="207">
        <f>--ISNUMBER(IFERROR(SEARCH('PLANILLA DJ'!$X$29,$A2,1),""))</f>
        <v>1</v>
      </c>
      <c r="AG2" s="207">
        <f>--ISNUMBER(IFERROR(SEARCH('PLANILLA DJ'!$X$30,$A2,1),""))</f>
        <v>1</v>
      </c>
      <c r="AH2" s="207">
        <f>--ISNUMBER(IFERROR(SEARCH('PLANILLA DJ'!$X$31,$A2,1),""))</f>
        <v>1</v>
      </c>
      <c r="AI2" s="207">
        <f>--ISNUMBER(IFERROR(SEARCH('PLANILLA DJ'!$X$32,$A2,1),""))</f>
        <v>1</v>
      </c>
      <c r="AJ2" s="207">
        <f>--ISNUMBER(IFERROR(SEARCH('PLANILLA DJ'!$X$33,$A2,1),""))</f>
        <v>1</v>
      </c>
      <c r="AK2" s="207">
        <f>--ISNUMBER(IFERROR(SEARCH('PLANILLA DJ'!$X$34,$A2,1),""))</f>
        <v>1</v>
      </c>
      <c r="AL2" s="207">
        <f>--ISNUMBER(IFERROR(SEARCH('PLANILLA DJ'!$X$35,$A2,1),""))</f>
        <v>1</v>
      </c>
      <c r="AM2" s="207">
        <f>--ISNUMBER(IFERROR(SEARCH('PLANILLA DJ'!$X$36,$A2,1),""))</f>
        <v>1</v>
      </c>
      <c r="AN2" s="207">
        <f>--ISNUMBER(IFERROR(SEARCH('PLANILLA DJ'!$X$37,$A2,1),""))</f>
        <v>1</v>
      </c>
      <c r="AO2" s="207">
        <f>--ISNUMBER(IFERROR(SEARCH('PLANILLA DJ'!$X$38,$A2,1),""))</f>
        <v>1</v>
      </c>
      <c r="AP2" s="207">
        <f>--ISNUMBER(IFERROR(SEARCH('PLANILLA DJ'!$X$39,$A2,1),""))</f>
        <v>1</v>
      </c>
      <c r="AQ2" s="207">
        <f>--ISNUMBER(IFERROR(SEARCH('PLANILLA DJ'!$X$40,$A2,1),""))</f>
        <v>1</v>
      </c>
      <c r="AR2" s="207">
        <f>--ISNUMBER(IFERROR(SEARCH('PLANILLA DJ'!$X$41,$A2,1),""))</f>
        <v>1</v>
      </c>
      <c r="AS2" s="207">
        <f>--ISNUMBER(IFERROR(SEARCH('PLANILLA DJ'!$X$42,$A2,1),""))</f>
        <v>1</v>
      </c>
      <c r="AT2" s="207">
        <f>--ISNUMBER(IFERROR(SEARCH('PLANILLA DJ'!$X$43,$A2,1),""))</f>
        <v>1</v>
      </c>
      <c r="AU2" s="207">
        <f>--ISNUMBER(IFERROR(SEARCH('PLANILLA DJ'!$X$44,$A2,1),""))</f>
        <v>1</v>
      </c>
      <c r="AV2" s="207">
        <f>--ISNUMBER(IFERROR(SEARCH('PLANILLA DJ'!$X$45,$A2,1),""))</f>
        <v>1</v>
      </c>
      <c r="AW2" s="207">
        <f>--ISNUMBER(IFERROR(SEARCH('PLANILLA DJ'!$X$46,$A2,1),""))</f>
        <v>1</v>
      </c>
      <c r="AX2" s="207">
        <f>--ISNUMBER(IFERROR(SEARCH('PLANILLA DJ'!$X$47,$A2,1),""))</f>
        <v>1</v>
      </c>
      <c r="AY2" s="207">
        <f>--ISNUMBER(IFERROR(SEARCH('PLANILLA DJ'!$X$48,$A2,1),""))</f>
        <v>1</v>
      </c>
      <c r="AZ2" s="207">
        <f>--ISNUMBER(IFERROR(SEARCH('PLANILLA DJ'!$X$49,$A2,1),""))</f>
        <v>1</v>
      </c>
      <c r="BA2" s="207">
        <f>--ISNUMBER(IFERROR(SEARCH('PLANILLA DJ'!$X$50,$A2,1),""))</f>
        <v>1</v>
      </c>
      <c r="BB2" s="207">
        <f>--ISNUMBER(IFERROR(SEARCH('PLANILLA DJ'!$X$51,$A2,1),""))</f>
        <v>1</v>
      </c>
      <c r="BC2" s="207">
        <f>--ISNUMBER(IFERROR(SEARCH('PLANILLA DJ'!$X$52,$A2,1),""))</f>
        <v>1</v>
      </c>
      <c r="BD2" s="207">
        <f>--ISNUMBER(IFERROR(SEARCH('PLANILLA DJ'!$X$53,$A2,1),""))</f>
        <v>1</v>
      </c>
      <c r="BE2" s="207">
        <f>--ISNUMBER(IFERROR(SEARCH('PLANILLA DJ'!$X$54,$A2,1),""))</f>
        <v>1</v>
      </c>
      <c r="BF2" s="207">
        <f>--ISNUMBER(IFERROR(SEARCH('PLANILLA DJ'!$X$55,$A2,1),""))</f>
        <v>1</v>
      </c>
      <c r="BG2" s="207">
        <f>--ISNUMBER(IFERROR(SEARCH('PLANILLA DJ'!$X$56,$A2,1),""))</f>
        <v>1</v>
      </c>
      <c r="BH2" s="207">
        <f>--ISNUMBER(IFERROR(SEARCH('PLANILLA DJ'!$X$57,$A2,1),""))</f>
        <v>1</v>
      </c>
      <c r="BI2" s="207">
        <f>--ISNUMBER(IFERROR(SEARCH('PLANILLA DJ'!$X$58,$A2,1),""))</f>
        <v>1</v>
      </c>
      <c r="BJ2" s="207">
        <f>--ISNUMBER(IFERROR(SEARCH('PLANILLA DJ'!$X$59,$A2,1),""))</f>
        <v>1</v>
      </c>
      <c r="BK2" s="207">
        <f>--ISNUMBER(IFERROR(SEARCH('PLANILLA DJ'!$X$60,$A2,1),""))</f>
        <v>1</v>
      </c>
      <c r="BL2" s="207">
        <f>--ISNUMBER(IFERROR(SEARCH('PLANILLA DJ'!$X$61,$A2,1),""))</f>
        <v>1</v>
      </c>
      <c r="BM2" s="207">
        <f>--ISNUMBER(IFERROR(SEARCH('PLANILLA DJ'!$X$62,$A2,1),""))</f>
        <v>1</v>
      </c>
      <c r="BN2" s="207">
        <f>--ISNUMBER(IFERROR(SEARCH('PLANILLA DJ'!$X$63,$A2,1),""))</f>
        <v>1</v>
      </c>
      <c r="BO2" s="207">
        <f>--ISNUMBER(IFERROR(SEARCH('PLANILLA DJ'!$X$64,$A2,1),""))</f>
        <v>1</v>
      </c>
      <c r="BP2" s="207">
        <f>--ISNUMBER(IFERROR(SEARCH('PLANILLA DJ'!$X$65,$A2,1),""))</f>
        <v>1</v>
      </c>
      <c r="BQ2" s="207">
        <f>--ISNUMBER(IFERROR(SEARCH('PLANILLA DJ'!$X$66,$A2,1),""))</f>
        <v>1</v>
      </c>
      <c r="BR2" s="207">
        <f>--ISNUMBER(IFERROR(SEARCH('PLANILLA DJ'!$X$67,$A2,1),""))</f>
        <v>1</v>
      </c>
      <c r="BS2" s="207">
        <f>--ISNUMBER(IFERROR(SEARCH('PLANILLA DJ'!$X$68,$A2,1),""))</f>
        <v>1</v>
      </c>
      <c r="BT2" s="207">
        <f>--ISNUMBER(IFERROR(SEARCH('PLANILLA DJ'!$X$69,$A2,1),""))</f>
        <v>1</v>
      </c>
      <c r="BU2" s="207">
        <f>--ISNUMBER(IFERROR(SEARCH('PLANILLA DJ'!$X$70,$A2,1),""))</f>
        <v>1</v>
      </c>
      <c r="BV2" s="207">
        <f>--ISNUMBER(IFERROR(SEARCH('PLANILLA DJ'!$X$71,$A2,1),""))</f>
        <v>1</v>
      </c>
      <c r="BW2" s="207">
        <f>--ISNUMBER(IFERROR(SEARCH('PLANILLA DJ'!$X$72,$A2,1),""))</f>
        <v>1</v>
      </c>
      <c r="BX2" s="207">
        <f>--ISNUMBER(IFERROR(SEARCH('PLANILLA DJ'!$X$73,$A2,1),""))</f>
        <v>1</v>
      </c>
      <c r="BY2" s="207">
        <f>--ISNUMBER(IFERROR(SEARCH('PLANILLA DJ'!$X$74,$A2,1),""))</f>
        <v>1</v>
      </c>
      <c r="BZ2" s="207">
        <f>--ISNUMBER(IFERROR(SEARCH('PLANILLA DJ'!$X$75,$A2,1),""))</f>
        <v>1</v>
      </c>
      <c r="CA2" s="207">
        <f>--ISNUMBER(IFERROR(SEARCH('PLANILLA DJ'!$X$76,$A2,1),""))</f>
        <v>1</v>
      </c>
      <c r="CB2" s="207">
        <f>--ISNUMBER(IFERROR(SEARCH('PLANILLA DJ'!$X$77,$A2,1),""))</f>
        <v>1</v>
      </c>
      <c r="CC2" s="207">
        <f>--ISNUMBER(IFERROR(SEARCH('PLANILLA DJ'!$X$78,$A2,1),""))</f>
        <v>1</v>
      </c>
      <c r="CD2" s="207">
        <f>--ISNUMBER(IFERROR(SEARCH('PLANILLA DJ'!$X$79,$A2,1),""))</f>
        <v>1</v>
      </c>
      <c r="CE2" s="207">
        <f>--ISNUMBER(IFERROR(SEARCH('PLANILLA DJ'!$X$80,$A2,1),""))</f>
        <v>1</v>
      </c>
      <c r="CF2" s="207">
        <f>--ISNUMBER(IFERROR(SEARCH('PLANILLA DJ'!$X$81,$A2,1),""))</f>
        <v>1</v>
      </c>
      <c r="CG2" s="207">
        <f>--ISNUMBER(IFERROR(SEARCH('PLANILLA DJ'!$X$82,$A2,1),""))</f>
        <v>1</v>
      </c>
      <c r="CH2" s="207">
        <f>--ISNUMBER(IFERROR(SEARCH('PLANILLA DJ'!$X$83,$A2,1),""))</f>
        <v>1</v>
      </c>
      <c r="CI2" s="207">
        <f>--ISNUMBER(IFERROR(SEARCH('PLANILLA DJ'!$X$84,$A2,1),""))</f>
        <v>1</v>
      </c>
      <c r="CJ2" s="207">
        <f>--ISNUMBER(IFERROR(SEARCH('PLANILLA DJ'!$X$85,$A2,1),""))</f>
        <v>1</v>
      </c>
      <c r="CK2" s="207">
        <f>--ISNUMBER(IFERROR(SEARCH('PLANILLA DJ'!$X$86,$A2,1),""))</f>
        <v>1</v>
      </c>
      <c r="CL2" s="207">
        <f>--ISNUMBER(IFERROR(SEARCH('PLANILLA DJ'!$X$87,$A2,1),""))</f>
        <v>1</v>
      </c>
      <c r="CM2" s="207">
        <f>--ISNUMBER(IFERROR(SEARCH('PLANILLA DJ'!$X$88,$A2,1),""))</f>
        <v>1</v>
      </c>
      <c r="CN2" s="207">
        <f>--ISNUMBER(IFERROR(SEARCH('PLANILLA DJ'!$X$89,$A2,1),""))</f>
        <v>1</v>
      </c>
      <c r="CO2" s="207">
        <f>--ISNUMBER(IFERROR(SEARCH('PLANILLA DJ'!$X$90,$A2,1),""))</f>
        <v>1</v>
      </c>
      <c r="CP2" s="207">
        <f>--ISNUMBER(IFERROR(SEARCH('PLANILLA DJ'!$X$91,$A2,1),""))</f>
        <v>1</v>
      </c>
      <c r="CQ2" s="207">
        <f>--ISNUMBER(IFERROR(SEARCH('PLANILLA DJ'!$X$92,$A2,1),""))</f>
        <v>1</v>
      </c>
      <c r="CR2" s="207">
        <f>--ISNUMBER(IFERROR(SEARCH('PLANILLA DJ'!$X$93,$A2,1),""))</f>
        <v>1</v>
      </c>
      <c r="CS2" s="207">
        <f>--ISNUMBER(IFERROR(SEARCH('PLANILLA DJ'!$X$94,$A2,1),""))</f>
        <v>1</v>
      </c>
      <c r="CT2" s="207">
        <f>--ISNUMBER(IFERROR(SEARCH('PLANILLA DJ'!$X$95,$A2,1),""))</f>
        <v>1</v>
      </c>
      <c r="CU2" s="207">
        <f>--ISNUMBER(IFERROR(SEARCH('PLANILLA DJ'!$X$96,$A2,1),""))</f>
        <v>1</v>
      </c>
      <c r="CV2" s="207">
        <f>--ISNUMBER(IFERROR(SEARCH('PLANILLA DJ'!$X$97,$A2,1),""))</f>
        <v>1</v>
      </c>
      <c r="CW2" s="207">
        <f>--ISNUMBER(IFERROR(SEARCH('PLANILLA DJ'!$X$98,$A2,1),""))</f>
        <v>1</v>
      </c>
      <c r="CX2" s="207">
        <f>--ISNUMBER(IFERROR(SEARCH('PLANILLA DJ'!$X$99,$A2,1),""))</f>
        <v>1</v>
      </c>
      <c r="CY2" s="207">
        <f>--ISNUMBER(IFERROR(SEARCH('PLANILLA DJ'!$X$100,$A2,1),""))</f>
        <v>1</v>
      </c>
      <c r="CZ2" s="207">
        <f>--ISNUMBER(IFERROR(SEARCH('PLANILLA DJ'!$X$101,$A2,1),""))</f>
        <v>1</v>
      </c>
      <c r="DA2" s="207">
        <f>--ISNUMBER(IFERROR(SEARCH('PLANILLA DJ'!$X$102,$A2,1),""))</f>
        <v>1</v>
      </c>
      <c r="DB2" s="206">
        <f>IF(F2=1,COUNTIF($F$2:F2,1),"")</f>
        <v>1</v>
      </c>
      <c r="DC2" s="206">
        <f>IF(G2=1,COUNTIF($G$2:G2,1),"")</f>
        <v>1</v>
      </c>
      <c r="DD2" s="206">
        <f>IF(H2=1,COUNTIF($H$2:H2,1),"")</f>
        <v>1</v>
      </c>
      <c r="DE2" s="206">
        <f>IF(I2=1,COUNTIF($I$2:I2,1),"")</f>
        <v>1</v>
      </c>
      <c r="DF2" s="206">
        <f>IF(J2=1,COUNTIF($J$2:J2,1),"")</f>
        <v>1</v>
      </c>
      <c r="DG2" s="206">
        <f>IF(K2=1,COUNTIF($K$2:K2,1),"")</f>
        <v>1</v>
      </c>
      <c r="DH2" s="206">
        <f>IF(L2=1,COUNTIF($L$2:L2,1),"")</f>
        <v>1</v>
      </c>
      <c r="DI2" s="206">
        <f>IF(M2=1,COUNTIF($M$2:M2,1),"")</f>
        <v>1</v>
      </c>
      <c r="DJ2" s="206">
        <f>IF(N2=1,COUNTIF($N$2:N2,1),"")</f>
        <v>1</v>
      </c>
      <c r="DK2" s="206">
        <f>IF(O2=1,COUNTIF($O$2:O2,1),"")</f>
        <v>1</v>
      </c>
      <c r="DL2" s="206">
        <f>IF(P2=1,COUNTIF($P$2:P2,1),"")</f>
        <v>1</v>
      </c>
      <c r="DM2" s="206">
        <f>IF(Q2=1,COUNTIF($Q$2:Q2,1),"")</f>
        <v>1</v>
      </c>
      <c r="DN2" s="207">
        <f>IF(R2=1,COUNTIF($R$2:R2,1),"")</f>
        <v>1</v>
      </c>
      <c r="DO2" s="207">
        <f>IF(S2=1,COUNTIF($S$2:S2,1),"")</f>
        <v>1</v>
      </c>
      <c r="DP2" s="207">
        <f>IF(T2=1,COUNTIF($T$2:T2,1),"")</f>
        <v>1</v>
      </c>
      <c r="DQ2" s="207">
        <f>IF(U2=1,COUNTIF($U$2:U2,1),"")</f>
        <v>1</v>
      </c>
      <c r="DR2" s="207">
        <f>IF(V2=1,COUNTIF($V$2:V2,1),"")</f>
        <v>1</v>
      </c>
      <c r="DS2" s="207">
        <f>IF(W2=1,COUNTIF($W$2:W2,1),"")</f>
        <v>1</v>
      </c>
      <c r="DT2" s="207">
        <f>IF(X2=1,COUNTIF($X$2:X2,1),"")</f>
        <v>1</v>
      </c>
      <c r="DU2" s="207">
        <f>IF(Y2=1,COUNTIF($Y$2:Y2,1),"")</f>
        <v>1</v>
      </c>
      <c r="DV2" s="207">
        <f>IF(Z2=1,COUNTIF(Z$2:Z2,1),"")</f>
        <v>1</v>
      </c>
      <c r="DW2" s="207">
        <f>IF(AA2=1,COUNTIF($AA$2:AA2,1),"")</f>
        <v>1</v>
      </c>
      <c r="DX2" s="207">
        <f>IF(AB2=1,COUNTIF($AB$2:AB2,1),"")</f>
        <v>1</v>
      </c>
      <c r="DY2" s="207">
        <f>IF(AC2=1,COUNTIF($AC$2:AC2,1),"")</f>
        <v>1</v>
      </c>
      <c r="DZ2" s="207">
        <f>IF(AD2=1,COUNTIF($AD$2:AD2,1),"")</f>
        <v>1</v>
      </c>
      <c r="EA2" s="207">
        <f>IF(AE2=1,COUNTIF($AE$2:AE2,1),"")</f>
        <v>1</v>
      </c>
      <c r="EB2" s="207">
        <f>IF(AF2=1,COUNTIF($AF$2:AF2,1),"")</f>
        <v>1</v>
      </c>
      <c r="EC2" s="207">
        <f>IF(AG2=1,COUNTIF($AG$2:AG2,1),"")</f>
        <v>1</v>
      </c>
      <c r="ED2" s="207">
        <f>IF(AH2=1,COUNTIF($AH$2:AH2,1),"")</f>
        <v>1</v>
      </c>
      <c r="EE2" s="207">
        <f>IF(AI2=1,COUNTIF($AI$2:AI2,1),"")</f>
        <v>1</v>
      </c>
      <c r="EF2" s="207">
        <f>IF(AJ2=1,COUNTIF($AJ$2:AJ2,1),"")</f>
        <v>1</v>
      </c>
      <c r="EG2" s="207">
        <f>IF(AK2=1,COUNTIF($AK$2:AK2,1),"")</f>
        <v>1</v>
      </c>
      <c r="EH2" s="207">
        <f>IF(AL2=1,COUNTIF($AL$2:AL2,1),"")</f>
        <v>1</v>
      </c>
      <c r="EI2" s="207">
        <f>IF(AM2=1,COUNTIF($AM$2:AM2,1),"")</f>
        <v>1</v>
      </c>
      <c r="EJ2" s="207">
        <f>IF(AN2=1,COUNTIF($AN$2:AN2,1),"")</f>
        <v>1</v>
      </c>
      <c r="EK2" s="207">
        <f>IF(AO2=1,COUNTIF($AO$2:AO2,1),"")</f>
        <v>1</v>
      </c>
      <c r="EL2" s="207">
        <f>IF(AP2=1,COUNTIF($AP$2:AP2,1),"")</f>
        <v>1</v>
      </c>
      <c r="EM2" s="207">
        <f>IF(AQ2=1,COUNTIF($AQ$2:AQ2,1),"")</f>
        <v>1</v>
      </c>
      <c r="EN2" s="207">
        <f>IF(AR2=1,COUNTIF($AR$2:AR2,1),"")</f>
        <v>1</v>
      </c>
      <c r="EO2" s="207">
        <f>IF(AS2=1,COUNTIF($AS$2:AS2,1),"")</f>
        <v>1</v>
      </c>
      <c r="EP2" s="207">
        <f>IF(AT2=1,COUNTIF($AT$2:AT2,1),"")</f>
        <v>1</v>
      </c>
      <c r="EQ2" s="207">
        <f>IF(AU2=1,COUNTIF($AU$2:AU2,1),"")</f>
        <v>1</v>
      </c>
      <c r="ER2" s="207">
        <f>IF(AV2=1,COUNTIF($AV$2:AV2,1),"")</f>
        <v>1</v>
      </c>
      <c r="ES2" s="207">
        <f>IF(AW2=1,COUNTIF($AW$2:AW2,1),"")</f>
        <v>1</v>
      </c>
      <c r="ET2" s="207">
        <f>IF(AX2=1,COUNTIF($AX$2:AX2,1),"")</f>
        <v>1</v>
      </c>
      <c r="EU2" s="207">
        <f>IF(AY2=1,COUNTIF($AY$2:AY2,1),"")</f>
        <v>1</v>
      </c>
      <c r="EV2" s="207">
        <f>IF(AZ2=1,COUNTIF($AZ$2:AZ2,1),"")</f>
        <v>1</v>
      </c>
      <c r="EW2" s="207">
        <f>IF(BA2=1,COUNTIF($BA$2:BA2,1),"")</f>
        <v>1</v>
      </c>
      <c r="EX2" s="207">
        <f>IF(BB2=1,COUNTIF($BB$2:BB2,1),"")</f>
        <v>1</v>
      </c>
      <c r="EY2" s="207">
        <f>IF(BC2=1,COUNTIF($BC$2:BC2,1),"")</f>
        <v>1</v>
      </c>
      <c r="EZ2" s="207">
        <f>IF(BD2=1,COUNTIF($BD$2:BD2,1),"")</f>
        <v>1</v>
      </c>
      <c r="FA2" s="207">
        <f>IF(BE2=1,COUNTIF($BE$2:BE2,1),"")</f>
        <v>1</v>
      </c>
      <c r="FB2" s="207">
        <f>IF(BF2=1,COUNTIF($BF$2:BF2,1),"")</f>
        <v>1</v>
      </c>
      <c r="FC2" s="207">
        <f>IF(BG2=1,COUNTIF($BG$2:BG2,1),"")</f>
        <v>1</v>
      </c>
      <c r="FD2" s="207">
        <f>IF(BH2=1,COUNTIF($BH$2:BH2,1),"")</f>
        <v>1</v>
      </c>
      <c r="FE2" s="207">
        <f>IF(BI2=1,COUNTIF($BI$2:BI2,1),"")</f>
        <v>1</v>
      </c>
      <c r="FF2" s="207">
        <f>IF(BJ2=1,COUNTIF($BJ$2:BJ2,1),"")</f>
        <v>1</v>
      </c>
      <c r="FG2" s="207">
        <f>IF(BK2=1,COUNTIF($BK$2:BK2,1),"")</f>
        <v>1</v>
      </c>
      <c r="FH2" s="207">
        <f>IF(BL2=1,COUNTIF($BL$2:BL2,1),"")</f>
        <v>1</v>
      </c>
      <c r="FI2" s="207">
        <f>IF(BM2=1,COUNTIF($BM$2:BM2,1),"")</f>
        <v>1</v>
      </c>
      <c r="FJ2" s="207">
        <f>IF(BN2=1,COUNTIF($BN$2:BN2,1),"")</f>
        <v>1</v>
      </c>
      <c r="FK2" s="207">
        <f>IF(BO2=1,COUNTIF($BO$2:BO2,1),"")</f>
        <v>1</v>
      </c>
      <c r="FL2" s="207">
        <f>IF(BP2=1,COUNTIF($BP$2:BP2,1),"")</f>
        <v>1</v>
      </c>
      <c r="FM2" s="207">
        <f>IF(BQ2=1,COUNTIF($BQ$2:BQ2,1),"")</f>
        <v>1</v>
      </c>
      <c r="FN2" s="207">
        <f>IF(BR2=1,COUNTIF($BR$2:BR2,1),"")</f>
        <v>1</v>
      </c>
      <c r="FO2" s="207">
        <f>IF(BS2=1,COUNTIF($BS$2:BS2,1),"")</f>
        <v>1</v>
      </c>
      <c r="FP2" s="207">
        <f>IF(BT2=1,COUNTIF($BT$2:BT2,1),"")</f>
        <v>1</v>
      </c>
      <c r="FQ2" s="207">
        <f>IF(BU2=1,COUNTIF($BU$2:BU2,1),"")</f>
        <v>1</v>
      </c>
      <c r="FR2" s="207">
        <f>IF(BV2=1,COUNTIF($BV$2:BV2,1),"")</f>
        <v>1</v>
      </c>
      <c r="FS2" s="207">
        <f>IF(BW2=1,COUNTIF($BW$2:BW2,1),"")</f>
        <v>1</v>
      </c>
      <c r="FT2" s="207">
        <f>IF(BX2=1,COUNTIF($BX$2:BX2,1),"")</f>
        <v>1</v>
      </c>
      <c r="FU2" s="207">
        <f>IF(BY2=1,COUNTIF($BY$2:BY2,1),"")</f>
        <v>1</v>
      </c>
      <c r="FV2" s="207">
        <f>IF(BZ2=1,COUNTIF($BZ$2:BZ2,1),"")</f>
        <v>1</v>
      </c>
      <c r="FW2" s="207">
        <f>IF(CA2=1,COUNTIF($CA$2:CA2,1),"")</f>
        <v>1</v>
      </c>
      <c r="FX2" s="207">
        <f>IF(CB2=1,COUNTIF($CB$2:CB2,1),"")</f>
        <v>1</v>
      </c>
      <c r="FY2" s="207">
        <f>IF(CC2=1,COUNTIF($CC$2:CC2,1),"")</f>
        <v>1</v>
      </c>
      <c r="FZ2" s="207">
        <f>IF(CD2=1,COUNTIF($CD$2:CD2,1),"")</f>
        <v>1</v>
      </c>
      <c r="GA2" s="207">
        <f>IF(CE2=1,COUNTIF($CE$2:CE2,1),"")</f>
        <v>1</v>
      </c>
      <c r="GB2" s="207">
        <f>IF(CF2=1,COUNTIF($CF$2:CF2,1),"")</f>
        <v>1</v>
      </c>
      <c r="GC2" s="207">
        <f>IF(CG2=1,COUNTIF($CG$2:CG2,1),"")</f>
        <v>1</v>
      </c>
      <c r="GD2" s="207">
        <f>IF(CH2=1,COUNTIF($CH$2:CH2,1),"")</f>
        <v>1</v>
      </c>
      <c r="GE2" s="207">
        <f>IF(CI2=1,COUNTIF($CI$2:CI2,1),"")</f>
        <v>1</v>
      </c>
      <c r="GF2" s="207">
        <f>IF(CJ2=1,COUNTIF($CJ$2:CJ2,1),"")</f>
        <v>1</v>
      </c>
      <c r="GG2" s="207">
        <f>IF(CK2=1,COUNTIF($CK$2:CK2,1),"")</f>
        <v>1</v>
      </c>
      <c r="GH2" s="207">
        <f>IF(CL2=1,COUNTIF($CL$2:CL2,1),"")</f>
        <v>1</v>
      </c>
      <c r="GI2" s="207">
        <f>IF(CM2=1,COUNTIF($CM$2:CM2,1),"")</f>
        <v>1</v>
      </c>
      <c r="GJ2" s="207">
        <f>IF(CN2=1,COUNTIF($CN$2:CN2,1),"")</f>
        <v>1</v>
      </c>
      <c r="GK2" s="207">
        <f>IF(CO2=1,COUNTIF($CO$2:CO2,1),"")</f>
        <v>1</v>
      </c>
      <c r="GL2" s="207">
        <f>IF(CP2=1,COUNTIF($CP$2:CP2,1),"")</f>
        <v>1</v>
      </c>
      <c r="GM2" s="207">
        <f>IF(CQ2=1,COUNTIF($CQ$2:CQ2,1),"")</f>
        <v>1</v>
      </c>
      <c r="GN2" s="207">
        <f>IF(CR2=1,COUNTIF($CR$2:CR2,1),"")</f>
        <v>1</v>
      </c>
      <c r="GO2" s="207">
        <f>IF(CS2=1,COUNTIF($CS$2:CS2,1),"")</f>
        <v>1</v>
      </c>
      <c r="GP2" s="207">
        <f>IF(CT2=1,COUNTIF($CT$2:CT2,1),"")</f>
        <v>1</v>
      </c>
      <c r="GQ2" s="207">
        <f>IF(CU2=1,COUNTIF($CU$2:CU2,1),"")</f>
        <v>1</v>
      </c>
      <c r="GR2" s="207">
        <f>IF(CV2=1,COUNTIF($CV$2:CV2,1),"")</f>
        <v>1</v>
      </c>
      <c r="GS2" s="207">
        <f>IF(CW2=1,COUNTIF($CW$2:CW2,1),"")</f>
        <v>1</v>
      </c>
      <c r="GT2" s="207">
        <f>IF(CX2=1,COUNTIF($CX$2:CX2,1),"")</f>
        <v>1</v>
      </c>
      <c r="GU2" s="207">
        <f>IF(CY2=1,COUNTIF($CY$2:CY2,1),"")</f>
        <v>1</v>
      </c>
      <c r="GV2" s="207">
        <f>IF(CZ2=1,COUNTIF($CZ$2:CZ2,1),"")</f>
        <v>1</v>
      </c>
      <c r="GW2" s="207">
        <f>IF(DA2=1,COUNTIF($DA$2:DA2,1),"")</f>
        <v>1</v>
      </c>
      <c r="GX2" s="206" t="str">
        <f>IFERROR(INDEX($A$2:$A$113,MATCH(ROWS($DB$2:DB2),$DB$2:$DB$113,0)),"")</f>
        <v xml:space="preserve">HOMICIDIO SIMPLE  </v>
      </c>
      <c r="GY2" s="206" t="str">
        <f>IFERROR(INDEX($A$2:$A$113,MATCH(ROWS($DC$2:DC2),$DC$2:$DC$113,0)),"")</f>
        <v xml:space="preserve">HOMICIDIO SIMPLE  </v>
      </c>
      <c r="GZ2" s="206" t="str">
        <f>IFERROR(INDEX($A$2:$A$113,MATCH(ROWS($DD$2:DD2),$DD$2:$DD$113,0)),"")</f>
        <v xml:space="preserve">HOMICIDIO SIMPLE  </v>
      </c>
      <c r="HA2" s="206" t="str">
        <f>IFERROR(INDEX($A$2:$A$113,MATCH(ROWS($DE$2:DE2),$DE$2:$DE$113,0)),"")</f>
        <v xml:space="preserve">HOMICIDIO SIMPLE  </v>
      </c>
      <c r="HB2" s="206" t="str">
        <f>IFERROR(INDEX($A$2:$A$113,MATCH(ROWS($DF$2:DF2),$DF$2:$DF$113,0)),"")</f>
        <v xml:space="preserve">HOMICIDIO SIMPLE  </v>
      </c>
      <c r="HC2" s="206" t="str">
        <f>IFERROR(INDEX($A$2:$A$113,MATCH(ROWS($DG$2:DG2),$DG$2:$DG$113,0)),"")</f>
        <v xml:space="preserve">HOMICIDIO SIMPLE  </v>
      </c>
      <c r="HD2" s="206" t="str">
        <f>IFERROR(INDEX($A$2:$A$113,MATCH(ROWS($DH$2:DH2),$DH$2:$DH$113,0)),"")</f>
        <v xml:space="preserve">HOMICIDIO SIMPLE  </v>
      </c>
      <c r="HE2" s="206" t="str">
        <f>IFERROR(INDEX($A$2:$A$113,MATCH(ROWS($DI$2:DI2),$DI$2:$DI$113,0)),"")</f>
        <v xml:space="preserve">HOMICIDIO SIMPLE  </v>
      </c>
      <c r="HF2" s="206" t="str">
        <f>IFERROR(INDEX($A$2:$A$113,MATCH(ROWS($DJ$2:DJ2),$DJ$2:$DJ$113,0)),"")</f>
        <v xml:space="preserve">HOMICIDIO SIMPLE  </v>
      </c>
      <c r="HG2" s="206" t="str">
        <f>IFERROR(INDEX($A$2:$A$113,MATCH(ROWS($DK$2:DK2),$DK$2:$DK$113,0)),"")</f>
        <v xml:space="preserve">HOMICIDIO SIMPLE  </v>
      </c>
      <c r="HH2" s="206" t="str">
        <f>IFERROR(INDEX($A$2:$A$113,MATCH(ROWS($DL$2:DL2),$DL$2:$DL$113,0)),"")</f>
        <v xml:space="preserve">HOMICIDIO SIMPLE  </v>
      </c>
      <c r="HI2" s="206" t="str">
        <f>IFERROR(INDEX($A$2:$A$113,MATCH(ROWS($DM$2:DM2),$DM$2:$DM$113,0)),"")</f>
        <v xml:space="preserve">HOMICIDIO SIMPLE  </v>
      </c>
      <c r="HJ2" s="206" t="str">
        <f>IFERROR(INDEX($A$2:$A$113,MATCH(ROWS($DN$2:DN2),$DN$2:$DN$113,0)),"")</f>
        <v xml:space="preserve">HOMICIDIO SIMPLE  </v>
      </c>
      <c r="HK2" s="206" t="str">
        <f>IFERROR(INDEX($A$2:$A$113,MATCH(ROWS($DO$2:DO2),$DO$2:$DO$113,0)),"")</f>
        <v xml:space="preserve">HOMICIDIO SIMPLE  </v>
      </c>
      <c r="HL2" s="206" t="str">
        <f>IFERROR(INDEX($A$2:$A$113,MATCH(ROWS($DP$2:DP2),$DP$2:$DP$113,0)),"")</f>
        <v xml:space="preserve">HOMICIDIO SIMPLE  </v>
      </c>
      <c r="HM2" s="206" t="str">
        <f>IFERROR(INDEX($A$2:$A$113,MATCH(ROWS($DQ$2:DQ2),$DQ$2:$DQ$113,0)),"")</f>
        <v xml:space="preserve">HOMICIDIO SIMPLE  </v>
      </c>
      <c r="HN2" s="206" t="str">
        <f>IFERROR(INDEX($A$2:$A$113,MATCH(ROWS($DR$2:DR2),$DR$2:$DR$113,0)),"")</f>
        <v xml:space="preserve">HOMICIDIO SIMPLE  </v>
      </c>
      <c r="HO2" s="206" t="str">
        <f>IFERROR(INDEX($A$2:$A$113,MATCH(ROWS($DS$2:DS2),$DS$2:$DS$113,0)),"")</f>
        <v xml:space="preserve">HOMICIDIO SIMPLE  </v>
      </c>
      <c r="HP2" s="206" t="str">
        <f>IFERROR(INDEX($A$2:$A$113,MATCH(ROWS($DT$2:DT2),$DT$2:$DT$113,0)),"")</f>
        <v xml:space="preserve">HOMICIDIO SIMPLE  </v>
      </c>
      <c r="HQ2" s="206" t="str">
        <f>IFERROR(INDEX($A$2:$A$113,MATCH(ROWS($DU$2:DU2),$DU$2:$DU$113,0)),"")</f>
        <v xml:space="preserve">HOMICIDIO SIMPLE  </v>
      </c>
      <c r="HR2" s="206" t="str">
        <f>IFERROR(INDEX($A$2:$A$113,MATCH(ROWS($DV$2:DV2),$DV$2:$DV$113,0)),"")</f>
        <v xml:space="preserve">HOMICIDIO SIMPLE  </v>
      </c>
      <c r="HS2" s="206" t="str">
        <f>IFERROR(INDEX($A$2:$A$113,MATCH(ROWS($DW$2:DW2),$DW$2:$DW$113,0)),"")</f>
        <v xml:space="preserve">HOMICIDIO SIMPLE  </v>
      </c>
      <c r="HT2" s="206" t="str">
        <f>IFERROR(INDEX($A$2:$A$113,MATCH(ROWS($DX$2:DX2),$DX$2:$DX$113,0)),"")</f>
        <v xml:space="preserve">HOMICIDIO SIMPLE  </v>
      </c>
      <c r="HU2" s="206" t="str">
        <f>IFERROR(INDEX($A$2:$A$113,MATCH(ROWS($DY$2:DY2),$DY$2:$DY$113,0)),"")</f>
        <v xml:space="preserve">HOMICIDIO SIMPLE  </v>
      </c>
      <c r="HV2" s="206" t="str">
        <f>IFERROR(INDEX($A$2:$A$113,MATCH(ROWS($DZ$2:DZ2),$DZ$2:$DZ$113,0)),"")</f>
        <v xml:space="preserve">HOMICIDIO SIMPLE  </v>
      </c>
      <c r="HW2" s="206" t="str">
        <f>IFERROR(INDEX($A$2:$A$113,MATCH(ROWS($EA$2:EA2),$EA$2:$EA$113,0)),"")</f>
        <v xml:space="preserve">HOMICIDIO SIMPLE  </v>
      </c>
      <c r="HX2" s="206" t="str">
        <f>IFERROR(INDEX($A$2:$A$113,MATCH(ROWS($EB$2:EB2),$EB$2:$EB$113,0)),"")</f>
        <v xml:space="preserve">HOMICIDIO SIMPLE  </v>
      </c>
      <c r="HY2" s="206" t="str">
        <f>IFERROR(INDEX($A$2:$A$113,MATCH(ROWS($EC$2:EC2),$EC$2:$EC$113,0)),"")</f>
        <v xml:space="preserve">HOMICIDIO SIMPLE  </v>
      </c>
      <c r="HZ2" s="206" t="str">
        <f>IFERROR(INDEX($A$2:$A$113,MATCH(ROWS($ED$2:ED2),$ED$2:$ED$113,0)),"")</f>
        <v xml:space="preserve">HOMICIDIO SIMPLE  </v>
      </c>
      <c r="IA2" s="206" t="str">
        <f>IFERROR(INDEX($A$2:$A$113,MATCH(ROWS($EE$2:EE2),$EE$2:$EE$113,0)),"")</f>
        <v xml:space="preserve">HOMICIDIO SIMPLE  </v>
      </c>
      <c r="IB2" s="206" t="str">
        <f>IFERROR(INDEX($A$2:$A$113,MATCH(ROWS($EF$2:EF2),$EF$2:$EF$113,0)),"")</f>
        <v xml:space="preserve">HOMICIDIO SIMPLE  </v>
      </c>
      <c r="IC2" s="206" t="str">
        <f>IFERROR(INDEX($A$2:$A$113,MATCH(ROWS($EG$2:EG2),$EG$2:$EG$113,0)),"")</f>
        <v xml:space="preserve">HOMICIDIO SIMPLE  </v>
      </c>
      <c r="ID2" s="206" t="str">
        <f>IFERROR(INDEX($A$2:$A$113,MATCH(ROWS($EH$2:EH2),$EH$2:$EH$113,0)),"")</f>
        <v xml:space="preserve">HOMICIDIO SIMPLE  </v>
      </c>
      <c r="IE2" s="206" t="str">
        <f>IFERROR(INDEX($A$2:$A$113,MATCH(ROWS($EI$2:EI2),$EI$2:$EI$113,0)),"")</f>
        <v xml:space="preserve">HOMICIDIO SIMPLE  </v>
      </c>
      <c r="IF2" s="206" t="str">
        <f>IFERROR(INDEX($A$2:$A$113,MATCH(ROWS($EJ$2:EJ2),$EJ$2:$EJ$113,0)),"")</f>
        <v xml:space="preserve">HOMICIDIO SIMPLE  </v>
      </c>
      <c r="IG2" s="206" t="str">
        <f>IFERROR(INDEX($A$2:$A$113,MATCH(ROWS($EK$2:EK2),$EK$2:$EK$113,0)),"")</f>
        <v xml:space="preserve">HOMICIDIO SIMPLE  </v>
      </c>
      <c r="IH2" s="206" t="str">
        <f>IFERROR(INDEX($A$2:$A$113,MATCH(ROWS($EL$2:EL2),$EL$2:$EL$113,0)),"")</f>
        <v xml:space="preserve">HOMICIDIO SIMPLE  </v>
      </c>
      <c r="II2" s="206" t="str">
        <f>IFERROR(INDEX($A$2:$A$113,MATCH(ROWS($EM$2:EM2),$EM$2:$EM$113,0)),"")</f>
        <v xml:space="preserve">HOMICIDIO SIMPLE  </v>
      </c>
      <c r="IJ2" s="206" t="str">
        <f>IFERROR(INDEX($A$2:$A$113,MATCH(ROWS($EN$2:EN2),$EN$2:$EN$113,0)),"")</f>
        <v xml:space="preserve">HOMICIDIO SIMPLE  </v>
      </c>
      <c r="IK2" s="207" t="str">
        <f>IFERROR(INDEX($A$2:$A$113,MATCH(ROWS($EO$2:EO2),$EO$2:$EO$113,0)),"")</f>
        <v xml:space="preserve">HOMICIDIO SIMPLE  </v>
      </c>
      <c r="IL2" s="207" t="str">
        <f>IFERROR(INDEX($A$2:$A$113,MATCH(ROWS($EP$2:EP2),$EP$2:$EP$113,0)),"")</f>
        <v xml:space="preserve">HOMICIDIO SIMPLE  </v>
      </c>
      <c r="IM2" s="207" t="str">
        <f>IFERROR(INDEX($A$2:$A$113,MATCH(ROWS($EQ$2:EQ2),$EQ$2:$EQ$113,0)),"")</f>
        <v xml:space="preserve">HOMICIDIO SIMPLE  </v>
      </c>
      <c r="IN2" s="207" t="str">
        <f>IFERROR(INDEX($A$2:$A$113,MATCH(ROWS($ER$2:ER2),$ER$2:$ER$113,0)),"")</f>
        <v xml:space="preserve">HOMICIDIO SIMPLE  </v>
      </c>
      <c r="IO2" s="207" t="str">
        <f>IFERROR(INDEX($A$2:$A$113,MATCH(ROWS($ES$2:ES2),$ES$2:$ES$113,0)),"")</f>
        <v xml:space="preserve">HOMICIDIO SIMPLE  </v>
      </c>
      <c r="IP2" s="207" t="str">
        <f>IFERROR(INDEX($A$2:$A$113,MATCH(ROWS($ET$2:ET2),$ET$2:$ET$113,0)),"")</f>
        <v xml:space="preserve">HOMICIDIO SIMPLE  </v>
      </c>
      <c r="IQ2" s="207" t="str">
        <f>IFERROR(INDEX($A$2:$A$113,MATCH(ROWS($EU$2:EU2),$EU$2:$EU$113,0)),"")</f>
        <v xml:space="preserve">HOMICIDIO SIMPLE  </v>
      </c>
      <c r="IR2" s="207" t="str">
        <f>IFERROR(INDEX($A$2:$A$113,MATCH(ROWS($EV$2:EV2),$EV$2:$EV$113,0)),"")</f>
        <v xml:space="preserve">HOMICIDIO SIMPLE  </v>
      </c>
      <c r="IS2" s="207" t="str">
        <f>IFERROR(INDEX($A$2:$A$113,MATCH(ROWS($EW$2:EW2),$EW$2:$EW$113,0)),"")</f>
        <v xml:space="preserve">HOMICIDIO SIMPLE  </v>
      </c>
      <c r="IT2" s="207" t="str">
        <f>IFERROR(INDEX($A$2:$A$113,MATCH(ROWS($EX$2:EX2),$EX$2:$EX$113,0)),"")</f>
        <v xml:space="preserve">HOMICIDIO SIMPLE  </v>
      </c>
      <c r="IU2" s="207" t="str">
        <f>IFERROR(INDEX($A$2:$A$113,MATCH(ROWS($EY$2:EY2),$EY$2:$EY$113,0)),"")</f>
        <v xml:space="preserve">HOMICIDIO SIMPLE  </v>
      </c>
      <c r="IV2" s="207" t="str">
        <f>IFERROR(INDEX($A$2:$A$113,MATCH(ROWS($EZ$2:EZ2),$EZ$2:$EZ$113,0)),"")</f>
        <v xml:space="preserve">HOMICIDIO SIMPLE  </v>
      </c>
      <c r="IW2" s="207" t="str">
        <f>IFERROR(INDEX($A$2:$A$113,MATCH(ROWS($FA$2:FA2),$FA$2:$FA$113,0)),"")</f>
        <v xml:space="preserve">HOMICIDIO SIMPLE  </v>
      </c>
      <c r="IX2" s="207" t="str">
        <f>IFERROR(INDEX($A$2:$A$113,MATCH(ROWS($FB$2:FB2),$FB$2:$FB$113,0)),"")</f>
        <v xml:space="preserve">HOMICIDIO SIMPLE  </v>
      </c>
      <c r="IY2" s="207" t="str">
        <f>IFERROR(INDEX($A$2:$A$113,MATCH(ROWS($FC$2:FC2),$FC$2:$FC$113,0)),"")</f>
        <v xml:space="preserve">HOMICIDIO SIMPLE  </v>
      </c>
      <c r="IZ2" s="207" t="str">
        <f>IFERROR(INDEX($A$2:$A$113,MATCH(ROWS($FD$2:FD2),$FD$2:$FD$113,0)),"")</f>
        <v xml:space="preserve">HOMICIDIO SIMPLE  </v>
      </c>
      <c r="JA2" s="207" t="str">
        <f>IFERROR(INDEX($A$2:$A$113,MATCH(ROWS($FE$2:FE2),$FE$2:$FE$113,0)),"")</f>
        <v xml:space="preserve">HOMICIDIO SIMPLE  </v>
      </c>
      <c r="JB2" s="207" t="str">
        <f>IFERROR(INDEX($A$2:$A$113,MATCH(ROWS($FF$2:FF2),$FF$2:$FF$113,0)),"")</f>
        <v xml:space="preserve">HOMICIDIO SIMPLE  </v>
      </c>
      <c r="JC2" s="207" t="str">
        <f>IFERROR(INDEX($A$2:$A$113,MATCH(ROWS($FG$2:FG2),$FG$2:$FG$113,0)),"")</f>
        <v xml:space="preserve">HOMICIDIO SIMPLE  </v>
      </c>
      <c r="JD2" s="207" t="str">
        <f>IFERROR(INDEX($A$2:$A$113,MATCH(ROWS($FH$2:FH2),$FH$2:$FH$113,0)),"")</f>
        <v xml:space="preserve">HOMICIDIO SIMPLE  </v>
      </c>
      <c r="JE2" s="207" t="str">
        <f>IFERROR(INDEX($A$2:$A$113,MATCH(ROWS($FI$2:FI2),$FI$2:$FI$113,0)),"")</f>
        <v xml:space="preserve">HOMICIDIO SIMPLE  </v>
      </c>
      <c r="JF2" s="207" t="str">
        <f>IFERROR(INDEX($A$2:$A$113,MATCH(ROWS($FJ$2:FJ2),$FJ$2:$FJ$113,0)),"")</f>
        <v xml:space="preserve">HOMICIDIO SIMPLE  </v>
      </c>
      <c r="JG2" s="207" t="str">
        <f>IFERROR(INDEX($A$2:$A$113,MATCH(ROWS($FK$2:FK2),$FK$2:$FK$113,0)),"")</f>
        <v xml:space="preserve">HOMICIDIO SIMPLE  </v>
      </c>
      <c r="JH2" s="207" t="str">
        <f>IFERROR(INDEX($A$2:$A$113,MATCH(ROWS($FL$2:FL2),$FL$2:$FL$113,0)),"")</f>
        <v xml:space="preserve">HOMICIDIO SIMPLE  </v>
      </c>
      <c r="JI2" s="207" t="str">
        <f>IFERROR(INDEX($A$2:$A$113,MATCH(ROWS($FM$2:FM2),$FM$2:$FM$113,0)),"")</f>
        <v xml:space="preserve">HOMICIDIO SIMPLE  </v>
      </c>
      <c r="JJ2" s="207" t="str">
        <f>IFERROR(INDEX($A$2:$A$113,MATCH(ROWS($FN$2:FN2),$FN$2:$FN$113,0)),"")</f>
        <v xml:space="preserve">HOMICIDIO SIMPLE  </v>
      </c>
      <c r="JK2" s="207" t="str">
        <f>IFERROR(INDEX($A$2:$A$113,MATCH(ROWS($FO$2:FO2),$FO$2:$FO$113,0)),"")</f>
        <v xml:space="preserve">HOMICIDIO SIMPLE  </v>
      </c>
      <c r="JL2" s="207" t="str">
        <f>IFERROR(INDEX($A$2:$A$113,MATCH(ROWS($FP$2:FP2),$FP$2:$FP$113,0)),"")</f>
        <v xml:space="preserve">HOMICIDIO SIMPLE  </v>
      </c>
      <c r="JM2" s="207" t="str">
        <f>IFERROR(INDEX($A$2:$A$113,MATCH(ROWS($FQ$2:FQ2),$FQ$2:$FQ$113,0)),"")</f>
        <v xml:space="preserve">HOMICIDIO SIMPLE  </v>
      </c>
      <c r="JN2" s="207" t="str">
        <f>IFERROR(INDEX($A$2:$A$113,MATCH(ROWS($FR$2:FR2),$FR$2:$FR$113,0)),"")</f>
        <v xml:space="preserve">HOMICIDIO SIMPLE  </v>
      </c>
      <c r="JO2" s="207" t="str">
        <f>IFERROR(INDEX($A$2:$A$113,MATCH(ROWS($FS$2:FS2),$FS$2:$FS$113,0)),"")</f>
        <v xml:space="preserve">HOMICIDIO SIMPLE  </v>
      </c>
      <c r="JP2" s="207" t="str">
        <f>IFERROR(INDEX($A$2:$A$113,MATCH(ROWS($FT$2:FT2),$FT$2:$FT$113,0)),"")</f>
        <v xml:space="preserve">HOMICIDIO SIMPLE  </v>
      </c>
      <c r="JQ2" s="207" t="str">
        <f>IFERROR(INDEX($A$2:$A$113,MATCH(ROWS($FU$2:FU2),$FU$2:$FU$113,0)),"")</f>
        <v xml:space="preserve">HOMICIDIO SIMPLE  </v>
      </c>
      <c r="JR2" s="207" t="str">
        <f>IFERROR(INDEX($A$2:$A$113,MATCH(ROWS($FV$2:FV2),$FV$2:$FV$113,0)),"")</f>
        <v xml:space="preserve">HOMICIDIO SIMPLE  </v>
      </c>
      <c r="JS2" s="207" t="str">
        <f>IFERROR(INDEX($A$2:$A$113,MATCH(ROWS($FW$2:FW2),$FW$2:$FW$113,0)),"")</f>
        <v xml:space="preserve">HOMICIDIO SIMPLE  </v>
      </c>
      <c r="JT2" s="207" t="str">
        <f>IFERROR(INDEX($A$2:$A$113,MATCH(ROWS($FX$2:FX2),$FX$2:$FX$113,0)),"")</f>
        <v xml:space="preserve">HOMICIDIO SIMPLE  </v>
      </c>
      <c r="JU2" s="207" t="str">
        <f>IFERROR(INDEX($A$2:$A$113,MATCH(ROWS($FY$2:FY2),$FY$2:$FY$113,0)),"")</f>
        <v xml:space="preserve">HOMICIDIO SIMPLE  </v>
      </c>
      <c r="JV2" s="207" t="str">
        <f>IFERROR(INDEX($A$2:$A$113,MATCH(ROWS($FZ$2:FZ2),$FZ$2:$FZ$113,0)),"")</f>
        <v xml:space="preserve">HOMICIDIO SIMPLE  </v>
      </c>
      <c r="JW2" s="207" t="str">
        <f>IFERROR(INDEX($A$2:$A$113,MATCH(ROWS($GA$2:GA2),$GA$2:$GA$113,0)),"")</f>
        <v xml:space="preserve">HOMICIDIO SIMPLE  </v>
      </c>
      <c r="JX2" s="207" t="str">
        <f>IFERROR(INDEX($A$2:$A$113,MATCH(ROWS($GB$2:GB2),$GB$2:$GB$113,0)),"")</f>
        <v xml:space="preserve">HOMICIDIO SIMPLE  </v>
      </c>
      <c r="JY2" s="207" t="str">
        <f>IFERROR(INDEX($A$2:$A$113,MATCH(ROWS($GC$2:GC2),$GC$2:$GC$113,0)),"")</f>
        <v xml:space="preserve">HOMICIDIO SIMPLE  </v>
      </c>
      <c r="JZ2" s="207" t="str">
        <f>IFERROR(INDEX($A$2:$A$113,MATCH(ROWS($GD$2:GD2),$GD$2:$GD$113,0)),"")</f>
        <v xml:space="preserve">HOMICIDIO SIMPLE  </v>
      </c>
      <c r="KA2" s="207" t="str">
        <f>IFERROR(INDEX($A$2:$A$113,MATCH(ROWS($GE$2:GE2),$GE$2:$GE$113,0)),"")</f>
        <v xml:space="preserve">HOMICIDIO SIMPLE  </v>
      </c>
      <c r="KB2" s="207" t="str">
        <f>IFERROR(INDEX($A$2:$A$113,MATCH(ROWS($GF$2:GF2),$GF$2:$GF$113,0)),"")</f>
        <v xml:space="preserve">HOMICIDIO SIMPLE  </v>
      </c>
      <c r="KC2" s="207" t="str">
        <f>IFERROR(INDEX($A$2:$A$113,MATCH(ROWS($GG$2:GG2),$GG$2:$GG$113,0)),"")</f>
        <v xml:space="preserve">HOMICIDIO SIMPLE  </v>
      </c>
      <c r="KD2" s="207" t="str">
        <f>IFERROR(INDEX($A$2:$A$113,MATCH(ROWS($GH$2:GH2),$GH$2:$GH$113,0)),"")</f>
        <v xml:space="preserve">HOMICIDIO SIMPLE  </v>
      </c>
      <c r="KE2" s="207" t="str">
        <f>IFERROR(INDEX($A$2:$A$113,MATCH(ROWS($GI$2:GI2),$GI$2:$GI$113,0)),"")</f>
        <v xml:space="preserve">HOMICIDIO SIMPLE  </v>
      </c>
      <c r="KF2" s="207" t="str">
        <f>IFERROR(INDEX($A$2:$A$113,MATCH(ROWS($GJ$2:GJ2),$GJ$2:$GJ$113,0)),"")</f>
        <v xml:space="preserve">HOMICIDIO SIMPLE  </v>
      </c>
      <c r="KG2" s="207" t="str">
        <f>IFERROR(INDEX($A$2:$A$113,MATCH(ROWS($GK$2:GK2),$GK$2:$GK$113,0)),"")</f>
        <v xml:space="preserve">HOMICIDIO SIMPLE  </v>
      </c>
      <c r="KH2" s="207" t="str">
        <f>IFERROR(INDEX($A$2:$A$113,MATCH(ROWS($GL$2:GL2),$GL$2:$GL$113,0)),"")</f>
        <v xml:space="preserve">HOMICIDIO SIMPLE  </v>
      </c>
      <c r="KI2" s="207" t="str">
        <f>IFERROR(INDEX($A$2:$A$113,MATCH(ROWS($GM$2:GM2),$GM$2:$GM$113,0)),"")</f>
        <v xml:space="preserve">HOMICIDIO SIMPLE  </v>
      </c>
      <c r="KJ2" s="207" t="str">
        <f>IFERROR(INDEX($A$2:$A$113,MATCH(ROWS($GN$2:GN2),$GN$2:$GN$113,0)),"")</f>
        <v xml:space="preserve">HOMICIDIO SIMPLE  </v>
      </c>
      <c r="KK2" s="207" t="str">
        <f>IFERROR(INDEX($A$2:$A$113,MATCH(ROWS($GO$2:GO2),$GO$2:$GO$113,0)),"")</f>
        <v xml:space="preserve">HOMICIDIO SIMPLE  </v>
      </c>
      <c r="KL2" s="207" t="str">
        <f>IFERROR(INDEX($A$2:$A$113,MATCH(ROWS($GP$2:GP2),$GP$2:$GP$113,0)),"")</f>
        <v xml:space="preserve">HOMICIDIO SIMPLE  </v>
      </c>
      <c r="KM2" s="207" t="str">
        <f>IFERROR(INDEX($A$2:$A$113,MATCH(ROWS($GQ$2:GQ2),$GQ$2:$GQ$113,0)),"")</f>
        <v xml:space="preserve">HOMICIDIO SIMPLE  </v>
      </c>
      <c r="KN2" s="207" t="str">
        <f>IFERROR(INDEX($A$2:$A$113,MATCH(ROWS($GR$2:GR2),$GR$2:$GR$113,0)),"")</f>
        <v xml:space="preserve">HOMICIDIO SIMPLE  </v>
      </c>
      <c r="KO2" s="207" t="str">
        <f>IFERROR(INDEX($A$2:$A$113,MATCH(ROWS($GS$2:GS2),$GS$2:$GS$113,0)),"")</f>
        <v xml:space="preserve">HOMICIDIO SIMPLE  </v>
      </c>
      <c r="KP2" s="207" t="str">
        <f>IFERROR(INDEX($A$2:$A$113,MATCH(ROWS($GT$2:GT2),$GT$2:$GT$113,0)),"")</f>
        <v xml:space="preserve">HOMICIDIO SIMPLE  </v>
      </c>
      <c r="KQ2" s="207" t="str">
        <f>IFERROR(INDEX($A$2:$A$113,MATCH(ROWS($GU$2:GU2),$GU$2:$GU$113,0)),"")</f>
        <v xml:space="preserve">HOMICIDIO SIMPLE  </v>
      </c>
      <c r="KR2" s="207" t="str">
        <f>IFERROR(INDEX($A$2:$A$113,MATCH(ROWS($GV$2:GV2),$GV$2:$GV$113,0)),"")</f>
        <v xml:space="preserve">HOMICIDIO SIMPLE  </v>
      </c>
      <c r="KS2" s="207" t="str">
        <f>IFERROR(INDEX($A$2:$A$113,MATCH(ROWS($GW$2:GW2),$GW$2:$GW$113,0)),"")</f>
        <v xml:space="preserve">HOMICIDIO SIMPLE  </v>
      </c>
    </row>
    <row r="3" spans="1:305" x14ac:dyDescent="0.25">
      <c r="A3" s="206" t="s">
        <v>891</v>
      </c>
      <c r="B3" s="206">
        <v>1</v>
      </c>
      <c r="D3" s="206" t="s">
        <v>48</v>
      </c>
      <c r="E3" s="206" t="s">
        <v>508</v>
      </c>
      <c r="F3" s="207">
        <f>--ISNUMBER(IFERROR(SEARCH('PLANILLA DJ'!$X$3,$A3,1),""))</f>
        <v>1</v>
      </c>
      <c r="G3" s="207">
        <f>--ISNUMBER(IFERROR(SEARCH('PLANILLA DJ'!$X$4,$A3,1),""))</f>
        <v>1</v>
      </c>
      <c r="H3" s="207">
        <f>--ISNUMBER(IFERROR(SEARCH('PLANILLA DJ'!$X$5,$A3,1),""))</f>
        <v>1</v>
      </c>
      <c r="I3" s="207">
        <f>--ISNUMBER(IFERROR(SEARCH('PLANILLA DJ'!$X$6,$A3,1),""))</f>
        <v>1</v>
      </c>
      <c r="J3" s="207">
        <f>--ISNUMBER(IFERROR(SEARCH('PLANILLA DJ'!$X$7,$A3,1),""))</f>
        <v>1</v>
      </c>
      <c r="K3" s="207">
        <f>--ISNUMBER(IFERROR(SEARCH('PLANILLA DJ'!$X$8,$A3,1),""))</f>
        <v>1</v>
      </c>
      <c r="L3" s="207">
        <f>--ISNUMBER(IFERROR(SEARCH('PLANILLA DJ'!$X$9,$A3,1),""))</f>
        <v>1</v>
      </c>
      <c r="M3" s="207">
        <f>--ISNUMBER(IFERROR(SEARCH('PLANILLA DJ'!$X$10,$A3,1),""))</f>
        <v>1</v>
      </c>
      <c r="N3" s="207">
        <f>--ISNUMBER(IFERROR(SEARCH('PLANILLA DJ'!$X$11,$A3,1),""))</f>
        <v>1</v>
      </c>
      <c r="O3" s="207">
        <f>--ISNUMBER(IFERROR(SEARCH('PLANILLA DJ'!$X$12,$A3,1),""))</f>
        <v>1</v>
      </c>
      <c r="P3" s="207">
        <f>--ISNUMBER(IFERROR(SEARCH('PLANILLA DJ'!$X$13,$A3,1),""))</f>
        <v>1</v>
      </c>
      <c r="Q3" s="207">
        <f>--ISNUMBER(IFERROR(SEARCH('PLANILLA DJ'!$X$14,$A3,1),""))</f>
        <v>1</v>
      </c>
      <c r="R3" s="207">
        <f>--ISNUMBER(IFERROR(SEARCH('PLANILLA DJ'!$X$15,$A3,1),""))</f>
        <v>1</v>
      </c>
      <c r="S3" s="207">
        <f>--ISNUMBER(IFERROR(SEARCH('PLANILLA DJ'!$X$16,$A3,1),""))</f>
        <v>1</v>
      </c>
      <c r="T3" s="207">
        <f>--ISNUMBER(IFERROR(SEARCH('PLANILLA DJ'!$X$17,$A3,1),""))</f>
        <v>1</v>
      </c>
      <c r="U3" s="207">
        <f>--ISNUMBER(IFERROR(SEARCH('PLANILLA DJ'!$X$18,$A3,1),""))</f>
        <v>1</v>
      </c>
      <c r="V3" s="207">
        <f>--ISNUMBER(IFERROR(SEARCH('PLANILLA DJ'!$X$19,$A3,1),""))</f>
        <v>1</v>
      </c>
      <c r="W3" s="207">
        <f>--ISNUMBER(IFERROR(SEARCH('PLANILLA DJ'!$X$20,$A3,1),""))</f>
        <v>1</v>
      </c>
      <c r="X3" s="207">
        <f>--ISNUMBER(IFERROR(SEARCH('PLANILLA DJ'!$X$21,$A3,1),""))</f>
        <v>1</v>
      </c>
      <c r="Y3" s="207">
        <f>--ISNUMBER(IFERROR(SEARCH('PLANILLA DJ'!$X$22,$A3,1),""))</f>
        <v>1</v>
      </c>
      <c r="Z3" s="207">
        <f>--ISNUMBER(IFERROR(SEARCH('PLANILLA DJ'!$X$23,$A3,1),""))</f>
        <v>1</v>
      </c>
      <c r="AA3" s="207">
        <f>--ISNUMBER(IFERROR(SEARCH('PLANILLA DJ'!$X$24,$A3,1),""))</f>
        <v>1</v>
      </c>
      <c r="AB3" s="207">
        <f>--ISNUMBER(IFERROR(SEARCH('PLANILLA DJ'!$X$25,$A3,1),""))</f>
        <v>1</v>
      </c>
      <c r="AC3" s="207">
        <f>--ISNUMBER(IFERROR(SEARCH('PLANILLA DJ'!$X$26,$A3,1),""))</f>
        <v>1</v>
      </c>
      <c r="AD3" s="207">
        <f>--ISNUMBER(IFERROR(SEARCH('PLANILLA DJ'!$X$27,$A3,1),""))</f>
        <v>1</v>
      </c>
      <c r="AE3" s="207">
        <f>--ISNUMBER(IFERROR(SEARCH('PLANILLA DJ'!$X$28,$A3,1),""))</f>
        <v>1</v>
      </c>
      <c r="AF3" s="207">
        <f>--ISNUMBER(IFERROR(SEARCH('PLANILLA DJ'!$X$29,$A3,1),""))</f>
        <v>1</v>
      </c>
      <c r="AG3" s="207">
        <f>--ISNUMBER(IFERROR(SEARCH('PLANILLA DJ'!$X$30,$A3,1),""))</f>
        <v>1</v>
      </c>
      <c r="AH3" s="207">
        <f>--ISNUMBER(IFERROR(SEARCH('PLANILLA DJ'!$X$31,$A3,1),""))</f>
        <v>1</v>
      </c>
      <c r="AI3" s="207">
        <f>--ISNUMBER(IFERROR(SEARCH('PLANILLA DJ'!$X$32,$A3,1),""))</f>
        <v>1</v>
      </c>
      <c r="AJ3" s="207">
        <f>--ISNUMBER(IFERROR(SEARCH('PLANILLA DJ'!$X$33,$A3,1),""))</f>
        <v>1</v>
      </c>
      <c r="AK3" s="207">
        <f>--ISNUMBER(IFERROR(SEARCH('PLANILLA DJ'!$X$34,$A3,1),""))</f>
        <v>1</v>
      </c>
      <c r="AL3" s="207">
        <f>--ISNUMBER(IFERROR(SEARCH('PLANILLA DJ'!$X$35,$A3,1),""))</f>
        <v>1</v>
      </c>
      <c r="AM3" s="207">
        <f>--ISNUMBER(IFERROR(SEARCH('PLANILLA DJ'!$X$36,$A3,1),""))</f>
        <v>1</v>
      </c>
      <c r="AN3" s="207">
        <f>--ISNUMBER(IFERROR(SEARCH('PLANILLA DJ'!$X$37,$A3,1),""))</f>
        <v>1</v>
      </c>
      <c r="AO3" s="207">
        <f>--ISNUMBER(IFERROR(SEARCH('PLANILLA DJ'!$X$38,$A3,1),""))</f>
        <v>1</v>
      </c>
      <c r="AP3" s="207">
        <f>--ISNUMBER(IFERROR(SEARCH('PLANILLA DJ'!$X$39,$A3,1),""))</f>
        <v>1</v>
      </c>
      <c r="AQ3" s="207">
        <f>--ISNUMBER(IFERROR(SEARCH('PLANILLA DJ'!$X$40,$A3,1),""))</f>
        <v>1</v>
      </c>
      <c r="AR3" s="207">
        <f>--ISNUMBER(IFERROR(SEARCH('PLANILLA DJ'!$X$41,$A3,1),""))</f>
        <v>1</v>
      </c>
      <c r="AS3" s="207">
        <f>--ISNUMBER(IFERROR(SEARCH('PLANILLA DJ'!$X$42,$A3,1),""))</f>
        <v>1</v>
      </c>
      <c r="AT3" s="207">
        <f>--ISNUMBER(IFERROR(SEARCH('PLANILLA DJ'!$X$43,$A3,1),""))</f>
        <v>1</v>
      </c>
      <c r="AU3" s="207">
        <f>--ISNUMBER(IFERROR(SEARCH('PLANILLA DJ'!$X$44,$A3,1),""))</f>
        <v>1</v>
      </c>
      <c r="AV3" s="207">
        <f>--ISNUMBER(IFERROR(SEARCH('PLANILLA DJ'!$X$45,$A3,1),""))</f>
        <v>1</v>
      </c>
      <c r="AW3" s="207">
        <f>--ISNUMBER(IFERROR(SEARCH('PLANILLA DJ'!$X$46,$A3,1),""))</f>
        <v>1</v>
      </c>
      <c r="AX3" s="207">
        <f>--ISNUMBER(IFERROR(SEARCH('PLANILLA DJ'!$X$47,$A3,1),""))</f>
        <v>1</v>
      </c>
      <c r="AY3" s="207">
        <f>--ISNUMBER(IFERROR(SEARCH('PLANILLA DJ'!$X$48,$A3,1),""))</f>
        <v>1</v>
      </c>
      <c r="AZ3" s="207">
        <f>--ISNUMBER(IFERROR(SEARCH('PLANILLA DJ'!$X$49,$A3,1),""))</f>
        <v>1</v>
      </c>
      <c r="BA3" s="207">
        <f>--ISNUMBER(IFERROR(SEARCH('PLANILLA DJ'!$X$50,$A3,1),""))</f>
        <v>1</v>
      </c>
      <c r="BB3" s="207">
        <f>--ISNUMBER(IFERROR(SEARCH('PLANILLA DJ'!$X$51,$A3,1),""))</f>
        <v>1</v>
      </c>
      <c r="BC3" s="207">
        <f>--ISNUMBER(IFERROR(SEARCH('PLANILLA DJ'!$X$52,$A3,1),""))</f>
        <v>1</v>
      </c>
      <c r="BD3" s="207">
        <f>--ISNUMBER(IFERROR(SEARCH('PLANILLA DJ'!$X$53,$A3,1),""))</f>
        <v>1</v>
      </c>
      <c r="BE3" s="207">
        <f>--ISNUMBER(IFERROR(SEARCH('PLANILLA DJ'!$X$54,$A3,1),""))</f>
        <v>1</v>
      </c>
      <c r="BF3" s="207">
        <f>--ISNUMBER(IFERROR(SEARCH('PLANILLA DJ'!$X$55,$A3,1),""))</f>
        <v>1</v>
      </c>
      <c r="BG3" s="207">
        <f>--ISNUMBER(IFERROR(SEARCH('PLANILLA DJ'!$X$56,$A3,1),""))</f>
        <v>1</v>
      </c>
      <c r="BH3" s="207">
        <f>--ISNUMBER(IFERROR(SEARCH('PLANILLA DJ'!$X$57,$A3,1),""))</f>
        <v>1</v>
      </c>
      <c r="BI3" s="207">
        <f>--ISNUMBER(IFERROR(SEARCH('PLANILLA DJ'!$X$58,$A3,1),""))</f>
        <v>1</v>
      </c>
      <c r="BJ3" s="207">
        <f>--ISNUMBER(IFERROR(SEARCH('PLANILLA DJ'!$X$59,$A3,1),""))</f>
        <v>1</v>
      </c>
      <c r="BK3" s="207">
        <f>--ISNUMBER(IFERROR(SEARCH('PLANILLA DJ'!$X$60,$A3,1),""))</f>
        <v>1</v>
      </c>
      <c r="BL3" s="207">
        <f>--ISNUMBER(IFERROR(SEARCH('PLANILLA DJ'!$X$61,$A3,1),""))</f>
        <v>1</v>
      </c>
      <c r="BM3" s="207">
        <f>--ISNUMBER(IFERROR(SEARCH('PLANILLA DJ'!$X$62,$A3,1),""))</f>
        <v>1</v>
      </c>
      <c r="BN3" s="207">
        <f>--ISNUMBER(IFERROR(SEARCH('PLANILLA DJ'!$X$63,$A3,1),""))</f>
        <v>1</v>
      </c>
      <c r="BO3" s="207">
        <f>--ISNUMBER(IFERROR(SEARCH('PLANILLA DJ'!$X$64,$A3,1),""))</f>
        <v>1</v>
      </c>
      <c r="BP3" s="207">
        <f>--ISNUMBER(IFERROR(SEARCH('PLANILLA DJ'!$X$65,$A3,1),""))</f>
        <v>1</v>
      </c>
      <c r="BQ3" s="207">
        <f>--ISNUMBER(IFERROR(SEARCH('PLANILLA DJ'!$X$66,$A3,1),""))</f>
        <v>1</v>
      </c>
      <c r="BR3" s="207">
        <f>--ISNUMBER(IFERROR(SEARCH('PLANILLA DJ'!$X$67,$A3,1),""))</f>
        <v>1</v>
      </c>
      <c r="BS3" s="207">
        <f>--ISNUMBER(IFERROR(SEARCH('PLANILLA DJ'!$X$68,$A3,1),""))</f>
        <v>1</v>
      </c>
      <c r="BT3" s="207">
        <f>--ISNUMBER(IFERROR(SEARCH('PLANILLA DJ'!$X$69,$A3,1),""))</f>
        <v>1</v>
      </c>
      <c r="BU3" s="207">
        <f>--ISNUMBER(IFERROR(SEARCH('PLANILLA DJ'!$X$70,$A3,1),""))</f>
        <v>1</v>
      </c>
      <c r="BV3" s="207">
        <f>--ISNUMBER(IFERROR(SEARCH('PLANILLA DJ'!$X$71,$A3,1),""))</f>
        <v>1</v>
      </c>
      <c r="BW3" s="207">
        <f>--ISNUMBER(IFERROR(SEARCH('PLANILLA DJ'!$X$72,$A3,1),""))</f>
        <v>1</v>
      </c>
      <c r="BX3" s="207">
        <f>--ISNUMBER(IFERROR(SEARCH('PLANILLA DJ'!$X$73,$A3,1),""))</f>
        <v>1</v>
      </c>
      <c r="BY3" s="207">
        <f>--ISNUMBER(IFERROR(SEARCH('PLANILLA DJ'!$X$74,$A3,1),""))</f>
        <v>1</v>
      </c>
      <c r="BZ3" s="207">
        <f>--ISNUMBER(IFERROR(SEARCH('PLANILLA DJ'!$X$75,$A3,1),""))</f>
        <v>1</v>
      </c>
      <c r="CA3" s="207">
        <f>--ISNUMBER(IFERROR(SEARCH('PLANILLA DJ'!$X$76,$A3,1),""))</f>
        <v>1</v>
      </c>
      <c r="CB3" s="207">
        <f>--ISNUMBER(IFERROR(SEARCH('PLANILLA DJ'!$X$77,$A3,1),""))</f>
        <v>1</v>
      </c>
      <c r="CC3" s="207">
        <f>--ISNUMBER(IFERROR(SEARCH('PLANILLA DJ'!$X$78,$A3,1),""))</f>
        <v>1</v>
      </c>
      <c r="CD3" s="207">
        <f>--ISNUMBER(IFERROR(SEARCH('PLANILLA DJ'!$X$79,$A3,1),""))</f>
        <v>1</v>
      </c>
      <c r="CE3" s="207">
        <f>--ISNUMBER(IFERROR(SEARCH('PLANILLA DJ'!$X$80,$A3,1),""))</f>
        <v>1</v>
      </c>
      <c r="CF3" s="207">
        <f>--ISNUMBER(IFERROR(SEARCH('PLANILLA DJ'!$X$81,$A3,1),""))</f>
        <v>1</v>
      </c>
      <c r="CG3" s="207">
        <f>--ISNUMBER(IFERROR(SEARCH('PLANILLA DJ'!$X$82,$A3,1),""))</f>
        <v>1</v>
      </c>
      <c r="CH3" s="207">
        <f>--ISNUMBER(IFERROR(SEARCH('PLANILLA DJ'!$X$83,$A3,1),""))</f>
        <v>1</v>
      </c>
      <c r="CI3" s="207">
        <f>--ISNUMBER(IFERROR(SEARCH('PLANILLA DJ'!$X$84,$A3,1),""))</f>
        <v>1</v>
      </c>
      <c r="CJ3" s="207">
        <f>--ISNUMBER(IFERROR(SEARCH('PLANILLA DJ'!$X$85,$A3,1),""))</f>
        <v>1</v>
      </c>
      <c r="CK3" s="207">
        <f>--ISNUMBER(IFERROR(SEARCH('PLANILLA DJ'!$X$86,$A3,1),""))</f>
        <v>1</v>
      </c>
      <c r="CL3" s="207">
        <f>--ISNUMBER(IFERROR(SEARCH('PLANILLA DJ'!$X$87,$A3,1),""))</f>
        <v>1</v>
      </c>
      <c r="CM3" s="207">
        <f>--ISNUMBER(IFERROR(SEARCH('PLANILLA DJ'!$X$88,$A3,1),""))</f>
        <v>1</v>
      </c>
      <c r="CN3" s="207">
        <f>--ISNUMBER(IFERROR(SEARCH('PLANILLA DJ'!$X$89,$A3,1),""))</f>
        <v>1</v>
      </c>
      <c r="CO3" s="207">
        <f>--ISNUMBER(IFERROR(SEARCH('PLANILLA DJ'!$X$90,$A3,1),""))</f>
        <v>1</v>
      </c>
      <c r="CP3" s="207">
        <f>--ISNUMBER(IFERROR(SEARCH('PLANILLA DJ'!$X$91,$A3,1),""))</f>
        <v>1</v>
      </c>
      <c r="CQ3" s="207">
        <f>--ISNUMBER(IFERROR(SEARCH('PLANILLA DJ'!$X$92,$A3,1),""))</f>
        <v>1</v>
      </c>
      <c r="CR3" s="207">
        <f>--ISNUMBER(IFERROR(SEARCH('PLANILLA DJ'!$X$93,$A3,1),""))</f>
        <v>1</v>
      </c>
      <c r="CS3" s="207">
        <f>--ISNUMBER(IFERROR(SEARCH('PLANILLA DJ'!$X$94,$A3,1),""))</f>
        <v>1</v>
      </c>
      <c r="CT3" s="207">
        <f>--ISNUMBER(IFERROR(SEARCH('PLANILLA DJ'!$X$95,$A3,1),""))</f>
        <v>1</v>
      </c>
      <c r="CU3" s="207">
        <f>--ISNUMBER(IFERROR(SEARCH('PLANILLA DJ'!$X$96,$A3,1),""))</f>
        <v>1</v>
      </c>
      <c r="CV3" s="207">
        <f>--ISNUMBER(IFERROR(SEARCH('PLANILLA DJ'!$X$97,$A3,1),""))</f>
        <v>1</v>
      </c>
      <c r="CW3" s="207">
        <f>--ISNUMBER(IFERROR(SEARCH('PLANILLA DJ'!$X$98,$A3,1),""))</f>
        <v>1</v>
      </c>
      <c r="CX3" s="207">
        <f>--ISNUMBER(IFERROR(SEARCH('PLANILLA DJ'!$X$99,$A3,1),""))</f>
        <v>1</v>
      </c>
      <c r="CY3" s="207">
        <f>--ISNUMBER(IFERROR(SEARCH('PLANILLA DJ'!$X$100,$A3,1),""))</f>
        <v>1</v>
      </c>
      <c r="CZ3" s="207">
        <f>--ISNUMBER(IFERROR(SEARCH('PLANILLA DJ'!$X$101,$A3,1),""))</f>
        <v>1</v>
      </c>
      <c r="DA3" s="207">
        <f>--ISNUMBER(IFERROR(SEARCH('PLANILLA DJ'!$X$102,$A3,1),""))</f>
        <v>1</v>
      </c>
      <c r="DB3" s="206">
        <f>IF(F3=1,COUNTIF($F$2:F3,1),"")</f>
        <v>2</v>
      </c>
      <c r="DC3" s="206">
        <f>IF(G3=1,COUNTIF($G$2:G3,1),"")</f>
        <v>2</v>
      </c>
      <c r="DD3" s="206">
        <f>IF(H3=1,COUNTIF($H$2:H3,1),"")</f>
        <v>2</v>
      </c>
      <c r="DE3" s="206">
        <f>IF(I3=1,COUNTIF($I$2:I3,1),"")</f>
        <v>2</v>
      </c>
      <c r="DF3" s="206">
        <f>IF(J3=1,COUNTIF($J$2:J3,1),"")</f>
        <v>2</v>
      </c>
      <c r="DG3" s="206">
        <f>IF(K3=1,COUNTIF($K$2:K3,1),"")</f>
        <v>2</v>
      </c>
      <c r="DH3" s="206">
        <f>IF(L3=1,COUNTIF($L$2:L3,1),"")</f>
        <v>2</v>
      </c>
      <c r="DI3" s="206">
        <f>IF(M3=1,COUNTIF($M$2:M3,1),"")</f>
        <v>2</v>
      </c>
      <c r="DJ3" s="206">
        <f>IF(N3=1,COUNTIF($N$2:N3,1),"")</f>
        <v>2</v>
      </c>
      <c r="DK3" s="206">
        <f>IF(O3=1,COUNTIF($O$2:O3,1),"")</f>
        <v>2</v>
      </c>
      <c r="DL3" s="206">
        <f>IF(P3=1,COUNTIF($P$2:P3,1),"")</f>
        <v>2</v>
      </c>
      <c r="DM3" s="206">
        <f>IF(Q3=1,COUNTIF($Q$2:Q3,1),"")</f>
        <v>2</v>
      </c>
      <c r="DN3" s="207">
        <f>IF(R3=1,COUNTIF($R$2:R3,1),"")</f>
        <v>2</v>
      </c>
      <c r="DO3" s="207">
        <f>IF(S3=1,COUNTIF($S$2:S3,1),"")</f>
        <v>2</v>
      </c>
      <c r="DP3" s="207">
        <f>IF(T3=1,COUNTIF($T$2:T3,1),"")</f>
        <v>2</v>
      </c>
      <c r="DQ3" s="207">
        <f>IF(U3=1,COUNTIF($U$2:U3,1),"")</f>
        <v>2</v>
      </c>
      <c r="DR3" s="207">
        <f>IF(V3=1,COUNTIF($V$2:V3,1),"")</f>
        <v>2</v>
      </c>
      <c r="DS3" s="207">
        <f>IF(W3=1,COUNTIF($W$2:W3,1),"")</f>
        <v>2</v>
      </c>
      <c r="DT3" s="207">
        <f>IF(X3=1,COUNTIF($X$2:X3,1),"")</f>
        <v>2</v>
      </c>
      <c r="DU3" s="207">
        <f>IF(Y3=1,COUNTIF($Y$2:Y3,1),"")</f>
        <v>2</v>
      </c>
      <c r="DV3" s="207">
        <f>IF(Z3=1,COUNTIF(Z$2:Z3,1),"")</f>
        <v>2</v>
      </c>
      <c r="DW3" s="207">
        <f>IF(AA3=1,COUNTIF($AA$2:AA3,1),"")</f>
        <v>2</v>
      </c>
      <c r="DX3" s="207">
        <f>IF(AB3=1,COUNTIF($AB$2:AB3,1),"")</f>
        <v>2</v>
      </c>
      <c r="DY3" s="207">
        <f>IF(AC3=1,COUNTIF($AC$2:AC3,1),"")</f>
        <v>2</v>
      </c>
      <c r="DZ3" s="207">
        <f>IF(AD3=1,COUNTIF($AD$2:AD3,1),"")</f>
        <v>2</v>
      </c>
      <c r="EA3" s="207">
        <f>IF(AE3=1,COUNTIF($AE$2:AE3,1),"")</f>
        <v>2</v>
      </c>
      <c r="EB3" s="207">
        <f>IF(AF3=1,COUNTIF($AF$2:AF3,1),"")</f>
        <v>2</v>
      </c>
      <c r="EC3" s="207">
        <f>IF(AG3=1,COUNTIF($AG$2:AG3,1),"")</f>
        <v>2</v>
      </c>
      <c r="ED3" s="207">
        <f>IF(AH3=1,COUNTIF($AH$2:AH3,1),"")</f>
        <v>2</v>
      </c>
      <c r="EE3" s="207">
        <f>IF(AI3=1,COUNTIF($AI$2:AI3,1),"")</f>
        <v>2</v>
      </c>
      <c r="EF3" s="207">
        <f>IF(AJ3=1,COUNTIF($AJ$2:AJ3,1),"")</f>
        <v>2</v>
      </c>
      <c r="EG3" s="207">
        <f>IF(AK3=1,COUNTIF($AK$2:AK3,1),"")</f>
        <v>2</v>
      </c>
      <c r="EH3" s="207">
        <f>IF(AL3=1,COUNTIF($AL$2:AL3,1),"")</f>
        <v>2</v>
      </c>
      <c r="EI3" s="207">
        <f>IF(AM3=1,COUNTIF($AM$2:AM3,1),"")</f>
        <v>2</v>
      </c>
      <c r="EJ3" s="207">
        <f>IF(AN3=1,COUNTIF($AN$2:AN3,1),"")</f>
        <v>2</v>
      </c>
      <c r="EK3" s="207">
        <f>IF(AO3=1,COUNTIF($AO$2:AO3,1),"")</f>
        <v>2</v>
      </c>
      <c r="EL3" s="207">
        <f>IF(AP3=1,COUNTIF($AP$2:AP3,1),"")</f>
        <v>2</v>
      </c>
      <c r="EM3" s="207">
        <f>IF(AQ3=1,COUNTIF($AQ$2:AQ3,1),"")</f>
        <v>2</v>
      </c>
      <c r="EN3" s="207">
        <f>IF(AR3=1,COUNTIF($AR$2:AR3,1),"")</f>
        <v>2</v>
      </c>
      <c r="EO3" s="207">
        <f>IF(AS3=1,COUNTIF($AS$2:AS3,1),"")</f>
        <v>2</v>
      </c>
      <c r="EP3" s="207">
        <f>IF(AT3=1,COUNTIF($AT$2:AT3,1),"")</f>
        <v>2</v>
      </c>
      <c r="EQ3" s="207">
        <f>IF(AU3=1,COUNTIF($AU$2:AU3,1),"")</f>
        <v>2</v>
      </c>
      <c r="ER3" s="207">
        <f>IF(AV3=1,COUNTIF($AV$2:AV3,1),"")</f>
        <v>2</v>
      </c>
      <c r="ES3" s="207">
        <f>IF(AW3=1,COUNTIF($AW$2:AW3,1),"")</f>
        <v>2</v>
      </c>
      <c r="ET3" s="207">
        <f>IF(AX3=1,COUNTIF($AX$2:AX3,1),"")</f>
        <v>2</v>
      </c>
      <c r="EU3" s="207">
        <f>IF(AY3=1,COUNTIF($AY$2:AY3,1),"")</f>
        <v>2</v>
      </c>
      <c r="EV3" s="207">
        <f>IF(AZ3=1,COUNTIF($AZ$2:AZ3,1),"")</f>
        <v>2</v>
      </c>
      <c r="EW3" s="207">
        <f>IF(BA3=1,COUNTIF($BA$2:BA3,1),"")</f>
        <v>2</v>
      </c>
      <c r="EX3" s="207">
        <f>IF(BB3=1,COUNTIF($BB$2:BB3,1),"")</f>
        <v>2</v>
      </c>
      <c r="EY3" s="207">
        <f>IF(BC3=1,COUNTIF($BC$2:BC3,1),"")</f>
        <v>2</v>
      </c>
      <c r="EZ3" s="207">
        <f>IF(BD3=1,COUNTIF($BD$2:BD3,1),"")</f>
        <v>2</v>
      </c>
      <c r="FA3" s="207">
        <f>IF(BE3=1,COUNTIF($BE$2:BE3,1),"")</f>
        <v>2</v>
      </c>
      <c r="FB3" s="207">
        <f>IF(BF3=1,COUNTIF($BF$2:BF3,1),"")</f>
        <v>2</v>
      </c>
      <c r="FC3" s="207">
        <f>IF(BG3=1,COUNTIF($BG$2:BG3,1),"")</f>
        <v>2</v>
      </c>
      <c r="FD3" s="207">
        <f>IF(BH3=1,COUNTIF($BH$2:BH3,1),"")</f>
        <v>2</v>
      </c>
      <c r="FE3" s="207">
        <f>IF(BI3=1,COUNTIF($BI$2:BI3,1),"")</f>
        <v>2</v>
      </c>
      <c r="FF3" s="207">
        <f>IF(BJ3=1,COUNTIF($BJ$2:BJ3,1),"")</f>
        <v>2</v>
      </c>
      <c r="FG3" s="207">
        <f>IF(BK3=1,COUNTIF($BK$2:BK3,1),"")</f>
        <v>2</v>
      </c>
      <c r="FH3" s="207">
        <f>IF(BL3=1,COUNTIF($BL$2:BL3,1),"")</f>
        <v>2</v>
      </c>
      <c r="FI3" s="207">
        <f>IF(BM3=1,COUNTIF($BM$2:BM3,1),"")</f>
        <v>2</v>
      </c>
      <c r="FJ3" s="207">
        <f>IF(BN3=1,COUNTIF($BN$2:BN3,1),"")</f>
        <v>2</v>
      </c>
      <c r="FK3" s="207">
        <f>IF(BO3=1,COUNTIF($BO$2:BO3,1),"")</f>
        <v>2</v>
      </c>
      <c r="FL3" s="207">
        <f>IF(BP3=1,COUNTIF($BP$2:BP3,1),"")</f>
        <v>2</v>
      </c>
      <c r="FM3" s="207">
        <f>IF(BQ3=1,COUNTIF($BQ$2:BQ3,1),"")</f>
        <v>2</v>
      </c>
      <c r="FN3" s="207">
        <f>IF(BR3=1,COUNTIF($BR$2:BR3,1),"")</f>
        <v>2</v>
      </c>
      <c r="FO3" s="207">
        <f>IF(BS3=1,COUNTIF($BS$2:BS3,1),"")</f>
        <v>2</v>
      </c>
      <c r="FP3" s="207">
        <f>IF(BT3=1,COUNTIF($BT$2:BT3,1),"")</f>
        <v>2</v>
      </c>
      <c r="FQ3" s="207">
        <f>IF(BU3=1,COUNTIF($BU$2:BU3,1),"")</f>
        <v>2</v>
      </c>
      <c r="FR3" s="207">
        <f>IF(BV3=1,COUNTIF($BV$2:BV3,1),"")</f>
        <v>2</v>
      </c>
      <c r="FS3" s="207">
        <f>IF(BW3=1,COUNTIF($BW$2:BW3,1),"")</f>
        <v>2</v>
      </c>
      <c r="FT3" s="207">
        <f>IF(BX3=1,COUNTIF($BX$2:BX3,1),"")</f>
        <v>2</v>
      </c>
      <c r="FU3" s="207">
        <f>IF(BY3=1,COUNTIF($BY$2:BY3,1),"")</f>
        <v>2</v>
      </c>
      <c r="FV3" s="207">
        <f>IF(BZ3=1,COUNTIF($BZ$2:BZ3,1),"")</f>
        <v>2</v>
      </c>
      <c r="FW3" s="207">
        <f>IF(CA3=1,COUNTIF($CA$2:CA3,1),"")</f>
        <v>2</v>
      </c>
      <c r="FX3" s="207">
        <f>IF(CB3=1,COUNTIF($CB$2:CB3,1),"")</f>
        <v>2</v>
      </c>
      <c r="FY3" s="207">
        <f>IF(CC3=1,COUNTIF($CC$2:CC3,1),"")</f>
        <v>2</v>
      </c>
      <c r="FZ3" s="207">
        <f>IF(CD3=1,COUNTIF($CD$2:CD3,1),"")</f>
        <v>2</v>
      </c>
      <c r="GA3" s="207">
        <f>IF(CE3=1,COUNTIF($CE$2:CE3,1),"")</f>
        <v>2</v>
      </c>
      <c r="GB3" s="207">
        <f>IF(CF3=1,COUNTIF($CF$2:CF3,1),"")</f>
        <v>2</v>
      </c>
      <c r="GC3" s="207">
        <f>IF(CG3=1,COUNTIF($CG$2:CG3,1),"")</f>
        <v>2</v>
      </c>
      <c r="GD3" s="207">
        <f>IF(CH3=1,COUNTIF($CH$2:CH3,1),"")</f>
        <v>2</v>
      </c>
      <c r="GE3" s="207">
        <f>IF(CI3=1,COUNTIF($CI$2:CI3,1),"")</f>
        <v>2</v>
      </c>
      <c r="GF3" s="207">
        <f>IF(CJ3=1,COUNTIF($CJ$2:CJ3,1),"")</f>
        <v>2</v>
      </c>
      <c r="GG3" s="207">
        <f>IF(CK3=1,COUNTIF($CK$2:CK3,1),"")</f>
        <v>2</v>
      </c>
      <c r="GH3" s="207">
        <f>IF(CL3=1,COUNTIF($CL$2:CL3,1),"")</f>
        <v>2</v>
      </c>
      <c r="GI3" s="207">
        <f>IF(CM3=1,COUNTIF($CM$2:CM3,1),"")</f>
        <v>2</v>
      </c>
      <c r="GJ3" s="207">
        <f>IF(CN3=1,COUNTIF($CN$2:CN3,1),"")</f>
        <v>2</v>
      </c>
      <c r="GK3" s="207">
        <f>IF(CO3=1,COUNTIF($CO$2:CO3,1),"")</f>
        <v>2</v>
      </c>
      <c r="GL3" s="207">
        <f>IF(CP3=1,COUNTIF($CP$2:CP3,1),"")</f>
        <v>2</v>
      </c>
      <c r="GM3" s="207">
        <f>IF(CQ3=1,COUNTIF($CQ$2:CQ3,1),"")</f>
        <v>2</v>
      </c>
      <c r="GN3" s="207">
        <f>IF(CR3=1,COUNTIF($CR$2:CR3,1),"")</f>
        <v>2</v>
      </c>
      <c r="GO3" s="207">
        <f>IF(CS3=1,COUNTIF($CS$2:CS3,1),"")</f>
        <v>2</v>
      </c>
      <c r="GP3" s="207">
        <f>IF(CT3=1,COUNTIF($CT$2:CT3,1),"")</f>
        <v>2</v>
      </c>
      <c r="GQ3" s="207">
        <f>IF(CU3=1,COUNTIF($CU$2:CU3,1),"")</f>
        <v>2</v>
      </c>
      <c r="GR3" s="207">
        <f>IF(CV3=1,COUNTIF($CV$2:CV3,1),"")</f>
        <v>2</v>
      </c>
      <c r="GS3" s="207">
        <f>IF(CW3=1,COUNTIF($CW$2:CW3,1),"")</f>
        <v>2</v>
      </c>
      <c r="GT3" s="207">
        <f>IF(CX3=1,COUNTIF($CX$2:CX3,1),"")</f>
        <v>2</v>
      </c>
      <c r="GU3" s="207">
        <f>IF(CY3=1,COUNTIF($CY$2:CY3,1),"")</f>
        <v>2</v>
      </c>
      <c r="GV3" s="207">
        <f>IF(CZ3=1,COUNTIF($CZ$2:CZ3,1),"")</f>
        <v>2</v>
      </c>
      <c r="GW3" s="207">
        <f>IF(DA3=1,COUNTIF($DA$2:DA3,1),"")</f>
        <v>2</v>
      </c>
      <c r="GX3" s="206" t="str">
        <f>IFERROR(INDEX($A$2:$A$113,MATCH(ROWS($DB$2:DB3),$DB$2:$DB$113,0)),"")</f>
        <v>HOMICIDIO CALIFICADO POR EL VINCULO</v>
      </c>
      <c r="GY3" s="206" t="str">
        <f>IFERROR(INDEX($A$2:$A$113,MATCH(ROWS($DC$2:DC3),$DC$2:$DC$113,0)),"")</f>
        <v>HOMICIDIO CALIFICADO POR EL VINCULO</v>
      </c>
      <c r="GZ3" s="206" t="str">
        <f>IFERROR(INDEX($A$2:$A$113,MATCH(ROWS($DD$2:DD3),$DD$2:$DD$113,0)),"")</f>
        <v>HOMICIDIO CALIFICADO POR EL VINCULO</v>
      </c>
      <c r="HA3" s="206" t="str">
        <f>IFERROR(INDEX($A$2:$A$113,MATCH(ROWS($DE$2:DE3),$DE$2:$DE$113,0)),"")</f>
        <v>HOMICIDIO CALIFICADO POR EL VINCULO</v>
      </c>
      <c r="HB3" s="206" t="str">
        <f>IFERROR(INDEX($A$2:$A$113,MATCH(ROWS($DF$2:DF3),$DF$2:$DF$113,0)),"")</f>
        <v>HOMICIDIO CALIFICADO POR EL VINCULO</v>
      </c>
      <c r="HC3" s="206" t="str">
        <f>IFERROR(INDEX($A$2:$A$113,MATCH(ROWS($DG$2:DG3),$DG$2:$DG$113,0)),"")</f>
        <v>HOMICIDIO CALIFICADO POR EL VINCULO</v>
      </c>
      <c r="HD3" s="206" t="str">
        <f>IFERROR(INDEX($A$2:$A$113,MATCH(ROWS($DH$2:DH3),$DH$2:$DH$113,0)),"")</f>
        <v>HOMICIDIO CALIFICADO POR EL VINCULO</v>
      </c>
      <c r="HE3" s="206" t="str">
        <f>IFERROR(INDEX($A$2:$A$113,MATCH(ROWS($DI$2:DI3),$DI$2:$DI$113,0)),"")</f>
        <v>HOMICIDIO CALIFICADO POR EL VINCULO</v>
      </c>
      <c r="HF3" s="206" t="str">
        <f>IFERROR(INDEX($A$2:$A$113,MATCH(ROWS($DJ$2:DJ3),$DJ$2:$DJ$113,0)),"")</f>
        <v>HOMICIDIO CALIFICADO POR EL VINCULO</v>
      </c>
      <c r="HG3" s="206" t="str">
        <f>IFERROR(INDEX($A$2:$A$113,MATCH(ROWS($DK$2:DK3),$DK$2:$DK$113,0)),"")</f>
        <v>HOMICIDIO CALIFICADO POR EL VINCULO</v>
      </c>
      <c r="HH3" s="206" t="str">
        <f>IFERROR(INDEX($A$2:$A$113,MATCH(ROWS($DL$2:DL3),$DL$2:$DL$113,0)),"")</f>
        <v>HOMICIDIO CALIFICADO POR EL VINCULO</v>
      </c>
      <c r="HI3" s="206" t="str">
        <f>IFERROR(INDEX($A$2:$A$113,MATCH(ROWS($DM$2:DM3),$DM$2:$DM$113,0)),"")</f>
        <v>HOMICIDIO CALIFICADO POR EL VINCULO</v>
      </c>
      <c r="HJ3" s="206" t="str">
        <f>IFERROR(INDEX($A$2:$A$113,MATCH(ROWS($DN$2:DN3),$DN$2:$DN$113,0)),"")</f>
        <v>HOMICIDIO CALIFICADO POR EL VINCULO</v>
      </c>
      <c r="HK3" s="206" t="str">
        <f>IFERROR(INDEX($A$2:$A$113,MATCH(ROWS($DO$2:DO3),$DO$2:$DO$113,0)),"")</f>
        <v>HOMICIDIO CALIFICADO POR EL VINCULO</v>
      </c>
      <c r="HL3" s="206" t="str">
        <f>IFERROR(INDEX($A$2:$A$113,MATCH(ROWS($DP$2:DP3),$DP$2:$DP$113,0)),"")</f>
        <v>HOMICIDIO CALIFICADO POR EL VINCULO</v>
      </c>
      <c r="HM3" s="206" t="str">
        <f>IFERROR(INDEX($A$2:$A$113,MATCH(ROWS($DQ$2:DQ3),$DQ$2:$DQ$113,0)),"")</f>
        <v>HOMICIDIO CALIFICADO POR EL VINCULO</v>
      </c>
      <c r="HN3" s="206" t="str">
        <f>IFERROR(INDEX($A$2:$A$113,MATCH(ROWS($DR$2:DR3),$DR$2:$DR$113,0)),"")</f>
        <v>HOMICIDIO CALIFICADO POR EL VINCULO</v>
      </c>
      <c r="HO3" s="206" t="str">
        <f>IFERROR(INDEX($A$2:$A$113,MATCH(ROWS($DS$2:DS3),$DS$2:$DS$113,0)),"")</f>
        <v>HOMICIDIO CALIFICADO POR EL VINCULO</v>
      </c>
      <c r="HP3" s="206" t="str">
        <f>IFERROR(INDEX($A$2:$A$113,MATCH(ROWS($DT$2:DT3),$DT$2:$DT$113,0)),"")</f>
        <v>HOMICIDIO CALIFICADO POR EL VINCULO</v>
      </c>
      <c r="HQ3" s="206" t="str">
        <f>IFERROR(INDEX($A$2:$A$113,MATCH(ROWS($DU$2:DU3),$DU$2:$DU$113,0)),"")</f>
        <v>HOMICIDIO CALIFICADO POR EL VINCULO</v>
      </c>
      <c r="HR3" s="206" t="str">
        <f>IFERROR(INDEX($A$2:$A$113,MATCH(ROWS($DV$2:DV3),$DV$2:$DV$113,0)),"")</f>
        <v>HOMICIDIO CALIFICADO POR EL VINCULO</v>
      </c>
      <c r="HS3" s="206" t="str">
        <f>IFERROR(INDEX($A$2:$A$113,MATCH(ROWS($DW$2:DW3),$DW$2:$DW$113,0)),"")</f>
        <v>HOMICIDIO CALIFICADO POR EL VINCULO</v>
      </c>
      <c r="HT3" s="206" t="str">
        <f>IFERROR(INDEX($A$2:$A$113,MATCH(ROWS($DX$2:DX3),$DX$2:$DX$113,0)),"")</f>
        <v>HOMICIDIO CALIFICADO POR EL VINCULO</v>
      </c>
      <c r="HU3" s="206" t="str">
        <f>IFERROR(INDEX($A$2:$A$113,MATCH(ROWS($DY$2:DY3),$DY$2:$DY$113,0)),"")</f>
        <v>HOMICIDIO CALIFICADO POR EL VINCULO</v>
      </c>
      <c r="HV3" s="206" t="str">
        <f>IFERROR(INDEX($A$2:$A$113,MATCH(ROWS($DZ$2:DZ3),$DZ$2:$DZ$113,0)),"")</f>
        <v>HOMICIDIO CALIFICADO POR EL VINCULO</v>
      </c>
      <c r="HW3" s="206" t="str">
        <f>IFERROR(INDEX($A$2:$A$113,MATCH(ROWS($EA$2:EA3),$EA$2:$EA$113,0)),"")</f>
        <v>HOMICIDIO CALIFICADO POR EL VINCULO</v>
      </c>
      <c r="HX3" s="206" t="str">
        <f>IFERROR(INDEX($A$2:$A$113,MATCH(ROWS($EB$2:EB3),$EB$2:$EB$113,0)),"")</f>
        <v>HOMICIDIO CALIFICADO POR EL VINCULO</v>
      </c>
      <c r="HY3" s="206" t="str">
        <f>IFERROR(INDEX($A$2:$A$113,MATCH(ROWS($EC$2:EC3),$EC$2:$EC$113,0)),"")</f>
        <v>HOMICIDIO CALIFICADO POR EL VINCULO</v>
      </c>
      <c r="HZ3" s="206" t="str">
        <f>IFERROR(INDEX($A$2:$A$113,MATCH(ROWS($ED$2:ED3),$ED$2:$ED$113,0)),"")</f>
        <v>HOMICIDIO CALIFICADO POR EL VINCULO</v>
      </c>
      <c r="IA3" s="206" t="str">
        <f>IFERROR(INDEX($A$2:$A$113,MATCH(ROWS($EE$2:EE3),$EE$2:$EE$113,0)),"")</f>
        <v>HOMICIDIO CALIFICADO POR EL VINCULO</v>
      </c>
      <c r="IB3" s="206" t="str">
        <f>IFERROR(INDEX($A$2:$A$113,MATCH(ROWS($EF$2:EF3),$EF$2:$EF$113,0)),"")</f>
        <v>HOMICIDIO CALIFICADO POR EL VINCULO</v>
      </c>
      <c r="IC3" s="206" t="str">
        <f>IFERROR(INDEX($A$2:$A$113,MATCH(ROWS($EG$2:EG3),$EG$2:$EG$113,0)),"")</f>
        <v>HOMICIDIO CALIFICADO POR EL VINCULO</v>
      </c>
      <c r="ID3" s="206" t="str">
        <f>IFERROR(INDEX($A$2:$A$113,MATCH(ROWS($EH$2:EH3),$EH$2:$EH$113,0)),"")</f>
        <v>HOMICIDIO CALIFICADO POR EL VINCULO</v>
      </c>
      <c r="IE3" s="206" t="str">
        <f>IFERROR(INDEX($A$2:$A$113,MATCH(ROWS($EI$2:EI3),$EI$2:$EI$113,0)),"")</f>
        <v>HOMICIDIO CALIFICADO POR EL VINCULO</v>
      </c>
      <c r="IF3" s="206" t="str">
        <f>IFERROR(INDEX($A$2:$A$113,MATCH(ROWS($EJ$2:EJ3),$EJ$2:$EJ$113,0)),"")</f>
        <v>HOMICIDIO CALIFICADO POR EL VINCULO</v>
      </c>
      <c r="IG3" s="206" t="str">
        <f>IFERROR(INDEX($A$2:$A$113,MATCH(ROWS($EK$2:EK3),$EK$2:$EK$113,0)),"")</f>
        <v>HOMICIDIO CALIFICADO POR EL VINCULO</v>
      </c>
      <c r="IH3" s="206" t="str">
        <f>IFERROR(INDEX($A$2:$A$113,MATCH(ROWS($EL$2:EL3),$EL$2:$EL$113,0)),"")</f>
        <v>HOMICIDIO CALIFICADO POR EL VINCULO</v>
      </c>
      <c r="II3" s="206" t="str">
        <f>IFERROR(INDEX($A$2:$A$113,MATCH(ROWS($EM$2:EM3),$EM$2:$EM$113,0)),"")</f>
        <v>HOMICIDIO CALIFICADO POR EL VINCULO</v>
      </c>
      <c r="IJ3" s="206" t="str">
        <f>IFERROR(INDEX($A$2:$A$113,MATCH(ROWS($EN$2:EN3),$EN$2:$EN$113,0)),"")</f>
        <v>HOMICIDIO CALIFICADO POR EL VINCULO</v>
      </c>
      <c r="IK3" s="207" t="str">
        <f>IFERROR(INDEX($A$2:$A$113,MATCH(ROWS($EO$2:EO3),$EO$2:$EO$113,0)),"")</f>
        <v>HOMICIDIO CALIFICADO POR EL VINCULO</v>
      </c>
      <c r="IL3" s="207" t="str">
        <f>IFERROR(INDEX($A$2:$A$113,MATCH(ROWS($EP$2:EP3),$EP$2:$EP$113,0)),"")</f>
        <v>HOMICIDIO CALIFICADO POR EL VINCULO</v>
      </c>
      <c r="IM3" s="207" t="str">
        <f>IFERROR(INDEX($A$2:$A$113,MATCH(ROWS($EQ$2:EQ3),$EQ$2:$EQ$113,0)),"")</f>
        <v>HOMICIDIO CALIFICADO POR EL VINCULO</v>
      </c>
      <c r="IN3" s="207" t="str">
        <f>IFERROR(INDEX($A$2:$A$113,MATCH(ROWS($ER$2:ER3),$ER$2:$ER$113,0)),"")</f>
        <v>HOMICIDIO CALIFICADO POR EL VINCULO</v>
      </c>
      <c r="IO3" s="207" t="str">
        <f>IFERROR(INDEX($A$2:$A$113,MATCH(ROWS($ES$2:ES3),$ES$2:$ES$113,0)),"")</f>
        <v>HOMICIDIO CALIFICADO POR EL VINCULO</v>
      </c>
      <c r="IP3" s="207" t="str">
        <f>IFERROR(INDEX($A$2:$A$113,MATCH(ROWS($ET$2:ET3),$ET$2:$ET$113,0)),"")</f>
        <v>HOMICIDIO CALIFICADO POR EL VINCULO</v>
      </c>
      <c r="IQ3" s="207" t="str">
        <f>IFERROR(INDEX($A$2:$A$113,MATCH(ROWS($EU$2:EU3),$EU$2:$EU$113,0)),"")</f>
        <v>HOMICIDIO CALIFICADO POR EL VINCULO</v>
      </c>
      <c r="IR3" s="207" t="str">
        <f>IFERROR(INDEX($A$2:$A$113,MATCH(ROWS($EV$2:EV3),$EV$2:$EV$113,0)),"")</f>
        <v>HOMICIDIO CALIFICADO POR EL VINCULO</v>
      </c>
      <c r="IS3" s="207" t="str">
        <f>IFERROR(INDEX($A$2:$A$113,MATCH(ROWS($EW$2:EW3),$EW$2:$EW$113,0)),"")</f>
        <v>HOMICIDIO CALIFICADO POR EL VINCULO</v>
      </c>
      <c r="IT3" s="207" t="str">
        <f>IFERROR(INDEX($A$2:$A$113,MATCH(ROWS($EX$2:EX3),$EX$2:$EX$113,0)),"")</f>
        <v>HOMICIDIO CALIFICADO POR EL VINCULO</v>
      </c>
      <c r="IU3" s="207" t="str">
        <f>IFERROR(INDEX($A$2:$A$113,MATCH(ROWS($EY$2:EY3),$EY$2:$EY$113,0)),"")</f>
        <v>HOMICIDIO CALIFICADO POR EL VINCULO</v>
      </c>
      <c r="IV3" s="207" t="str">
        <f>IFERROR(INDEX($A$2:$A$113,MATCH(ROWS($EZ$2:EZ3),$EZ$2:$EZ$113,0)),"")</f>
        <v>HOMICIDIO CALIFICADO POR EL VINCULO</v>
      </c>
      <c r="IW3" s="207" t="str">
        <f>IFERROR(INDEX($A$2:$A$113,MATCH(ROWS($FA$2:FA3),$FA$2:$FA$113,0)),"")</f>
        <v>HOMICIDIO CALIFICADO POR EL VINCULO</v>
      </c>
      <c r="IX3" s="207" t="str">
        <f>IFERROR(INDEX($A$2:$A$113,MATCH(ROWS($FB$2:FB3),$FB$2:$FB$113,0)),"")</f>
        <v>HOMICIDIO CALIFICADO POR EL VINCULO</v>
      </c>
      <c r="IY3" s="207" t="str">
        <f>IFERROR(INDEX($A$2:$A$113,MATCH(ROWS($FC$2:FC3),$FC$2:$FC$113,0)),"")</f>
        <v>HOMICIDIO CALIFICADO POR EL VINCULO</v>
      </c>
      <c r="IZ3" s="207" t="str">
        <f>IFERROR(INDEX($A$2:$A$113,MATCH(ROWS($FD$2:FD3),$FD$2:$FD$113,0)),"")</f>
        <v>HOMICIDIO CALIFICADO POR EL VINCULO</v>
      </c>
      <c r="JA3" s="207" t="str">
        <f>IFERROR(INDEX($A$2:$A$113,MATCH(ROWS($FE$2:FE3),$FE$2:$FE$113,0)),"")</f>
        <v>HOMICIDIO CALIFICADO POR EL VINCULO</v>
      </c>
      <c r="JB3" s="207" t="str">
        <f>IFERROR(INDEX($A$2:$A$113,MATCH(ROWS($FF$2:FF3),$FF$2:$FF$113,0)),"")</f>
        <v>HOMICIDIO CALIFICADO POR EL VINCULO</v>
      </c>
      <c r="JC3" s="207" t="str">
        <f>IFERROR(INDEX($A$2:$A$113,MATCH(ROWS($FG$2:FG3),$FG$2:$FG$113,0)),"")</f>
        <v>HOMICIDIO CALIFICADO POR EL VINCULO</v>
      </c>
      <c r="JD3" s="207" t="str">
        <f>IFERROR(INDEX($A$2:$A$113,MATCH(ROWS($FH$2:FH3),$FH$2:$FH$113,0)),"")</f>
        <v>HOMICIDIO CALIFICADO POR EL VINCULO</v>
      </c>
      <c r="JE3" s="207" t="str">
        <f>IFERROR(INDEX($A$2:$A$113,MATCH(ROWS($FI$2:FI3),$FI$2:$FI$113,0)),"")</f>
        <v>HOMICIDIO CALIFICADO POR EL VINCULO</v>
      </c>
      <c r="JF3" s="207" t="str">
        <f>IFERROR(INDEX($A$2:$A$113,MATCH(ROWS($FJ$2:FJ3),$FJ$2:$FJ$113,0)),"")</f>
        <v>HOMICIDIO CALIFICADO POR EL VINCULO</v>
      </c>
      <c r="JG3" s="207" t="str">
        <f>IFERROR(INDEX($A$2:$A$113,MATCH(ROWS($FK$2:FK3),$FK$2:$FK$113,0)),"")</f>
        <v>HOMICIDIO CALIFICADO POR EL VINCULO</v>
      </c>
      <c r="JH3" s="207" t="str">
        <f>IFERROR(INDEX($A$2:$A$113,MATCH(ROWS($FL$2:FL3),$FL$2:$FL$113,0)),"")</f>
        <v>HOMICIDIO CALIFICADO POR EL VINCULO</v>
      </c>
      <c r="JI3" s="207" t="str">
        <f>IFERROR(INDEX($A$2:$A$113,MATCH(ROWS($FM$2:FM3),$FM$2:$FM$113,0)),"")</f>
        <v>HOMICIDIO CALIFICADO POR EL VINCULO</v>
      </c>
      <c r="JJ3" s="207" t="str">
        <f>IFERROR(INDEX($A$2:$A$113,MATCH(ROWS($FN$2:FN3),$FN$2:$FN$113,0)),"")</f>
        <v>HOMICIDIO CALIFICADO POR EL VINCULO</v>
      </c>
      <c r="JK3" s="207" t="str">
        <f>IFERROR(INDEX($A$2:$A$113,MATCH(ROWS($FO$2:FO3),$FO$2:$FO$113,0)),"")</f>
        <v>HOMICIDIO CALIFICADO POR EL VINCULO</v>
      </c>
      <c r="JL3" s="207" t="str">
        <f>IFERROR(INDEX($A$2:$A$113,MATCH(ROWS($FP$2:FP3),$FP$2:$FP$113,0)),"")</f>
        <v>HOMICIDIO CALIFICADO POR EL VINCULO</v>
      </c>
      <c r="JM3" s="207" t="str">
        <f>IFERROR(INDEX($A$2:$A$113,MATCH(ROWS($FQ$2:FQ3),$FQ$2:$FQ$113,0)),"")</f>
        <v>HOMICIDIO CALIFICADO POR EL VINCULO</v>
      </c>
      <c r="JN3" s="207" t="str">
        <f>IFERROR(INDEX($A$2:$A$113,MATCH(ROWS($FR$2:FR3),$FR$2:$FR$113,0)),"")</f>
        <v>HOMICIDIO CALIFICADO POR EL VINCULO</v>
      </c>
      <c r="JO3" s="207" t="str">
        <f>IFERROR(INDEX($A$2:$A$113,MATCH(ROWS($FS$2:FS3),$FS$2:$FS$113,0)),"")</f>
        <v>HOMICIDIO CALIFICADO POR EL VINCULO</v>
      </c>
      <c r="JP3" s="207" t="str">
        <f>IFERROR(INDEX($A$2:$A$113,MATCH(ROWS($FT$2:FT3),$FT$2:$FT$113,0)),"")</f>
        <v>HOMICIDIO CALIFICADO POR EL VINCULO</v>
      </c>
      <c r="JQ3" s="207" t="str">
        <f>IFERROR(INDEX($A$2:$A$113,MATCH(ROWS($FU$2:FU3),$FU$2:$FU$113,0)),"")</f>
        <v>HOMICIDIO CALIFICADO POR EL VINCULO</v>
      </c>
      <c r="JR3" s="207" t="str">
        <f>IFERROR(INDEX($A$2:$A$113,MATCH(ROWS($FV$2:FV3),$FV$2:$FV$113,0)),"")</f>
        <v>HOMICIDIO CALIFICADO POR EL VINCULO</v>
      </c>
      <c r="JS3" s="207" t="str">
        <f>IFERROR(INDEX($A$2:$A$113,MATCH(ROWS($FW$2:FW3),$FW$2:$FW$113,0)),"")</f>
        <v>HOMICIDIO CALIFICADO POR EL VINCULO</v>
      </c>
      <c r="JT3" s="207" t="str">
        <f>IFERROR(INDEX($A$2:$A$113,MATCH(ROWS($FX$2:FX3),$FX$2:$FX$113,0)),"")</f>
        <v>HOMICIDIO CALIFICADO POR EL VINCULO</v>
      </c>
      <c r="JU3" s="207" t="str">
        <f>IFERROR(INDEX($A$2:$A$113,MATCH(ROWS($FY$2:FY3),$FY$2:$FY$113,0)),"")</f>
        <v>HOMICIDIO CALIFICADO POR EL VINCULO</v>
      </c>
      <c r="JV3" s="207" t="str">
        <f>IFERROR(INDEX($A$2:$A$113,MATCH(ROWS($FZ$2:FZ3),$FZ$2:$FZ$113,0)),"")</f>
        <v>HOMICIDIO CALIFICADO POR EL VINCULO</v>
      </c>
      <c r="JW3" s="207" t="str">
        <f>IFERROR(INDEX($A$2:$A$113,MATCH(ROWS($GA$2:GA3),$GA$2:$GA$113,0)),"")</f>
        <v>HOMICIDIO CALIFICADO POR EL VINCULO</v>
      </c>
      <c r="JX3" s="207" t="str">
        <f>IFERROR(INDEX($A$2:$A$113,MATCH(ROWS($GB$2:GB3),$GB$2:$GB$113,0)),"")</f>
        <v>HOMICIDIO CALIFICADO POR EL VINCULO</v>
      </c>
      <c r="JY3" s="207" t="str">
        <f>IFERROR(INDEX($A$2:$A$113,MATCH(ROWS($GC$2:GC3),$GC$2:$GC$113,0)),"")</f>
        <v>HOMICIDIO CALIFICADO POR EL VINCULO</v>
      </c>
      <c r="JZ3" s="207" t="str">
        <f>IFERROR(INDEX($A$2:$A$113,MATCH(ROWS($GD$2:GD3),$GD$2:$GD$113,0)),"")</f>
        <v>HOMICIDIO CALIFICADO POR EL VINCULO</v>
      </c>
      <c r="KA3" s="207" t="str">
        <f>IFERROR(INDEX($A$2:$A$113,MATCH(ROWS($GE$2:GE3),$GE$2:$GE$113,0)),"")</f>
        <v>HOMICIDIO CALIFICADO POR EL VINCULO</v>
      </c>
      <c r="KB3" s="207" t="str">
        <f>IFERROR(INDEX($A$2:$A$113,MATCH(ROWS($GF$2:GF3),$GF$2:$GF$113,0)),"")</f>
        <v>HOMICIDIO CALIFICADO POR EL VINCULO</v>
      </c>
      <c r="KC3" s="207" t="str">
        <f>IFERROR(INDEX($A$2:$A$113,MATCH(ROWS($GG$2:GG3),$GG$2:$GG$113,0)),"")</f>
        <v>HOMICIDIO CALIFICADO POR EL VINCULO</v>
      </c>
      <c r="KD3" s="207" t="str">
        <f>IFERROR(INDEX($A$2:$A$113,MATCH(ROWS($GH$2:GH3),$GH$2:$GH$113,0)),"")</f>
        <v>HOMICIDIO CALIFICADO POR EL VINCULO</v>
      </c>
      <c r="KE3" s="207" t="str">
        <f>IFERROR(INDEX($A$2:$A$113,MATCH(ROWS($GI$2:GI3),$GI$2:$GI$113,0)),"")</f>
        <v>HOMICIDIO CALIFICADO POR EL VINCULO</v>
      </c>
      <c r="KF3" s="207" t="str">
        <f>IFERROR(INDEX($A$2:$A$113,MATCH(ROWS($GJ$2:GJ3),$GJ$2:$GJ$113,0)),"")</f>
        <v>HOMICIDIO CALIFICADO POR EL VINCULO</v>
      </c>
      <c r="KG3" s="207" t="str">
        <f>IFERROR(INDEX($A$2:$A$113,MATCH(ROWS($GK$2:GK3),$GK$2:$GK$113,0)),"")</f>
        <v>HOMICIDIO CALIFICADO POR EL VINCULO</v>
      </c>
      <c r="KH3" s="207" t="str">
        <f>IFERROR(INDEX($A$2:$A$113,MATCH(ROWS($GL$2:GL3),$GL$2:$GL$113,0)),"")</f>
        <v>HOMICIDIO CALIFICADO POR EL VINCULO</v>
      </c>
      <c r="KI3" s="207" t="str">
        <f>IFERROR(INDEX($A$2:$A$113,MATCH(ROWS($GM$2:GM3),$GM$2:$GM$113,0)),"")</f>
        <v>HOMICIDIO CALIFICADO POR EL VINCULO</v>
      </c>
      <c r="KJ3" s="207" t="str">
        <f>IFERROR(INDEX($A$2:$A$113,MATCH(ROWS($GN$2:GN3),$GN$2:$GN$113,0)),"")</f>
        <v>HOMICIDIO CALIFICADO POR EL VINCULO</v>
      </c>
      <c r="KK3" s="207" t="str">
        <f>IFERROR(INDEX($A$2:$A$113,MATCH(ROWS($GO$2:GO3),$GO$2:$GO$113,0)),"")</f>
        <v>HOMICIDIO CALIFICADO POR EL VINCULO</v>
      </c>
      <c r="KL3" s="207" t="str">
        <f>IFERROR(INDEX($A$2:$A$113,MATCH(ROWS($GP$2:GP3),$GP$2:$GP$113,0)),"")</f>
        <v>HOMICIDIO CALIFICADO POR EL VINCULO</v>
      </c>
      <c r="KM3" s="207" t="str">
        <f>IFERROR(INDEX($A$2:$A$113,MATCH(ROWS($GQ$2:GQ3),$GQ$2:$GQ$113,0)),"")</f>
        <v>HOMICIDIO CALIFICADO POR EL VINCULO</v>
      </c>
      <c r="KN3" s="207" t="str">
        <f>IFERROR(INDEX($A$2:$A$113,MATCH(ROWS($GR$2:GR3),$GR$2:$GR$113,0)),"")</f>
        <v>HOMICIDIO CALIFICADO POR EL VINCULO</v>
      </c>
      <c r="KO3" s="207" t="str">
        <f>IFERROR(INDEX($A$2:$A$113,MATCH(ROWS($GS$2:GS3),$GS$2:$GS$113,0)),"")</f>
        <v>HOMICIDIO CALIFICADO POR EL VINCULO</v>
      </c>
      <c r="KP3" s="207" t="str">
        <f>IFERROR(INDEX($A$2:$A$113,MATCH(ROWS($GT$2:GT3),$GT$2:$GT$113,0)),"")</f>
        <v>HOMICIDIO CALIFICADO POR EL VINCULO</v>
      </c>
      <c r="KQ3" s="207" t="str">
        <f>IFERROR(INDEX($A$2:$A$113,MATCH(ROWS($GU$2:GU3),$GU$2:$GU$113,0)),"")</f>
        <v>HOMICIDIO CALIFICADO POR EL VINCULO</v>
      </c>
      <c r="KR3" s="207" t="str">
        <f>IFERROR(INDEX($A$2:$A$113,MATCH(ROWS($GV$2:GV3),$GV$2:$GV$113,0)),"")</f>
        <v>HOMICIDIO CALIFICADO POR EL VINCULO</v>
      </c>
      <c r="KS3" s="207" t="str">
        <f>IFERROR(INDEX($A$2:$A$113,MATCH(ROWS($GW$2:GW3),$GW$2:$GW$113,0)),"")</f>
        <v>HOMICIDIO CALIFICADO POR EL VINCULO</v>
      </c>
    </row>
    <row r="4" spans="1:305" x14ac:dyDescent="0.25">
      <c r="A4" s="206" t="s">
        <v>58</v>
      </c>
      <c r="B4" s="206">
        <v>1</v>
      </c>
      <c r="D4" s="206" t="s">
        <v>48</v>
      </c>
      <c r="E4" s="206" t="s">
        <v>508</v>
      </c>
      <c r="F4" s="207">
        <f>--ISNUMBER(IFERROR(SEARCH('PLANILLA DJ'!$X$3,$A4,1),""))</f>
        <v>1</v>
      </c>
      <c r="G4" s="207">
        <f>--ISNUMBER(IFERROR(SEARCH('PLANILLA DJ'!$X$4,$A4,1),""))</f>
        <v>1</v>
      </c>
      <c r="H4" s="207">
        <f>--ISNUMBER(IFERROR(SEARCH('PLANILLA DJ'!$X$5,$A4,1),""))</f>
        <v>1</v>
      </c>
      <c r="I4" s="207">
        <f>--ISNUMBER(IFERROR(SEARCH('PLANILLA DJ'!$X$6,$A4,1),""))</f>
        <v>1</v>
      </c>
      <c r="J4" s="207">
        <f>--ISNUMBER(IFERROR(SEARCH('PLANILLA DJ'!$X$7,$A4,1),""))</f>
        <v>1</v>
      </c>
      <c r="K4" s="207">
        <f>--ISNUMBER(IFERROR(SEARCH('PLANILLA DJ'!$X$8,$A4,1),""))</f>
        <v>1</v>
      </c>
      <c r="L4" s="207">
        <f>--ISNUMBER(IFERROR(SEARCH('PLANILLA DJ'!$X$9,$A4,1),""))</f>
        <v>1</v>
      </c>
      <c r="M4" s="207">
        <f>--ISNUMBER(IFERROR(SEARCH('PLANILLA DJ'!$X$10,$A4,1),""))</f>
        <v>1</v>
      </c>
      <c r="N4" s="207">
        <f>--ISNUMBER(IFERROR(SEARCH('PLANILLA DJ'!$X$11,$A4,1),""))</f>
        <v>1</v>
      </c>
      <c r="O4" s="207">
        <f>--ISNUMBER(IFERROR(SEARCH('PLANILLA DJ'!$X$12,$A4,1),""))</f>
        <v>1</v>
      </c>
      <c r="P4" s="207">
        <f>--ISNUMBER(IFERROR(SEARCH('PLANILLA DJ'!$X$13,$A4,1),""))</f>
        <v>1</v>
      </c>
      <c r="Q4" s="207">
        <f>--ISNUMBER(IFERROR(SEARCH('PLANILLA DJ'!$X$14,$A4,1),""))</f>
        <v>1</v>
      </c>
      <c r="R4" s="207">
        <f>--ISNUMBER(IFERROR(SEARCH('PLANILLA DJ'!$X$15,$A4,1),""))</f>
        <v>1</v>
      </c>
      <c r="S4" s="207">
        <f>--ISNUMBER(IFERROR(SEARCH('PLANILLA DJ'!$X$16,$A4,1),""))</f>
        <v>1</v>
      </c>
      <c r="T4" s="207">
        <f>--ISNUMBER(IFERROR(SEARCH('PLANILLA DJ'!$X$17,$A4,1),""))</f>
        <v>1</v>
      </c>
      <c r="U4" s="207">
        <f>--ISNUMBER(IFERROR(SEARCH('PLANILLA DJ'!$X$18,$A4,1),""))</f>
        <v>1</v>
      </c>
      <c r="V4" s="207">
        <f>--ISNUMBER(IFERROR(SEARCH('PLANILLA DJ'!$X$19,$A4,1),""))</f>
        <v>1</v>
      </c>
      <c r="W4" s="207">
        <f>--ISNUMBER(IFERROR(SEARCH('PLANILLA DJ'!$X$20,$A4,1),""))</f>
        <v>1</v>
      </c>
      <c r="X4" s="207">
        <f>--ISNUMBER(IFERROR(SEARCH('PLANILLA DJ'!$X$21,$A4,1),""))</f>
        <v>1</v>
      </c>
      <c r="Y4" s="207">
        <f>--ISNUMBER(IFERROR(SEARCH('PLANILLA DJ'!$X$22,$A4,1),""))</f>
        <v>1</v>
      </c>
      <c r="Z4" s="207">
        <f>--ISNUMBER(IFERROR(SEARCH('PLANILLA DJ'!$X$23,$A4,1),""))</f>
        <v>1</v>
      </c>
      <c r="AA4" s="207">
        <f>--ISNUMBER(IFERROR(SEARCH('PLANILLA DJ'!$X$24,$A4,1),""))</f>
        <v>1</v>
      </c>
      <c r="AB4" s="207">
        <f>--ISNUMBER(IFERROR(SEARCH('PLANILLA DJ'!$X$25,$A4,1),""))</f>
        <v>1</v>
      </c>
      <c r="AC4" s="207">
        <f>--ISNUMBER(IFERROR(SEARCH('PLANILLA DJ'!$X$26,$A4,1),""))</f>
        <v>1</v>
      </c>
      <c r="AD4" s="207">
        <f>--ISNUMBER(IFERROR(SEARCH('PLANILLA DJ'!$X$27,$A4,1),""))</f>
        <v>1</v>
      </c>
      <c r="AE4" s="207">
        <f>--ISNUMBER(IFERROR(SEARCH('PLANILLA DJ'!$X$28,$A4,1),""))</f>
        <v>1</v>
      </c>
      <c r="AF4" s="207">
        <f>--ISNUMBER(IFERROR(SEARCH('PLANILLA DJ'!$X$29,$A4,1),""))</f>
        <v>1</v>
      </c>
      <c r="AG4" s="207">
        <f>--ISNUMBER(IFERROR(SEARCH('PLANILLA DJ'!$X$30,$A4,1),""))</f>
        <v>1</v>
      </c>
      <c r="AH4" s="207">
        <f>--ISNUMBER(IFERROR(SEARCH('PLANILLA DJ'!$X$31,$A4,1),""))</f>
        <v>1</v>
      </c>
      <c r="AI4" s="207">
        <f>--ISNUMBER(IFERROR(SEARCH('PLANILLA DJ'!$X$32,$A4,1),""))</f>
        <v>1</v>
      </c>
      <c r="AJ4" s="207">
        <f>--ISNUMBER(IFERROR(SEARCH('PLANILLA DJ'!$X$33,$A4,1),""))</f>
        <v>1</v>
      </c>
      <c r="AK4" s="207">
        <f>--ISNUMBER(IFERROR(SEARCH('PLANILLA DJ'!$X$34,$A4,1),""))</f>
        <v>1</v>
      </c>
      <c r="AL4" s="207">
        <f>--ISNUMBER(IFERROR(SEARCH('PLANILLA DJ'!$X$35,$A4,1),""))</f>
        <v>1</v>
      </c>
      <c r="AM4" s="207">
        <f>--ISNUMBER(IFERROR(SEARCH('PLANILLA DJ'!$X$36,$A4,1),""))</f>
        <v>1</v>
      </c>
      <c r="AN4" s="207">
        <f>--ISNUMBER(IFERROR(SEARCH('PLANILLA DJ'!$X$37,$A4,1),""))</f>
        <v>1</v>
      </c>
      <c r="AO4" s="207">
        <f>--ISNUMBER(IFERROR(SEARCH('PLANILLA DJ'!$X$38,$A4,1),""))</f>
        <v>1</v>
      </c>
      <c r="AP4" s="207">
        <f>--ISNUMBER(IFERROR(SEARCH('PLANILLA DJ'!$X$39,$A4,1),""))</f>
        <v>1</v>
      </c>
      <c r="AQ4" s="207">
        <f>--ISNUMBER(IFERROR(SEARCH('PLANILLA DJ'!$X$40,$A4,1),""))</f>
        <v>1</v>
      </c>
      <c r="AR4" s="207">
        <f>--ISNUMBER(IFERROR(SEARCH('PLANILLA DJ'!$X$41,$A4,1),""))</f>
        <v>1</v>
      </c>
      <c r="AS4" s="207">
        <f>--ISNUMBER(IFERROR(SEARCH('PLANILLA DJ'!$X$42,$A4,1),""))</f>
        <v>1</v>
      </c>
      <c r="AT4" s="207">
        <f>--ISNUMBER(IFERROR(SEARCH('PLANILLA DJ'!$X$43,$A4,1),""))</f>
        <v>1</v>
      </c>
      <c r="AU4" s="207">
        <f>--ISNUMBER(IFERROR(SEARCH('PLANILLA DJ'!$X$44,$A4,1),""))</f>
        <v>1</v>
      </c>
      <c r="AV4" s="207">
        <f>--ISNUMBER(IFERROR(SEARCH('PLANILLA DJ'!$X$45,$A4,1),""))</f>
        <v>1</v>
      </c>
      <c r="AW4" s="207">
        <f>--ISNUMBER(IFERROR(SEARCH('PLANILLA DJ'!$X$46,$A4,1),""))</f>
        <v>1</v>
      </c>
      <c r="AX4" s="207">
        <f>--ISNUMBER(IFERROR(SEARCH('PLANILLA DJ'!$X$47,$A4,1),""))</f>
        <v>1</v>
      </c>
      <c r="AY4" s="207">
        <f>--ISNUMBER(IFERROR(SEARCH('PLANILLA DJ'!$X$48,$A4,1),""))</f>
        <v>1</v>
      </c>
      <c r="AZ4" s="207">
        <f>--ISNUMBER(IFERROR(SEARCH('PLANILLA DJ'!$X$49,$A4,1),""))</f>
        <v>1</v>
      </c>
      <c r="BA4" s="207">
        <f>--ISNUMBER(IFERROR(SEARCH('PLANILLA DJ'!$X$50,$A4,1),""))</f>
        <v>1</v>
      </c>
      <c r="BB4" s="207">
        <f>--ISNUMBER(IFERROR(SEARCH('PLANILLA DJ'!$X$51,$A4,1),""))</f>
        <v>1</v>
      </c>
      <c r="BC4" s="207">
        <f>--ISNUMBER(IFERROR(SEARCH('PLANILLA DJ'!$X$52,$A4,1),""))</f>
        <v>1</v>
      </c>
      <c r="BD4" s="207">
        <f>--ISNUMBER(IFERROR(SEARCH('PLANILLA DJ'!$X$53,$A4,1),""))</f>
        <v>1</v>
      </c>
      <c r="BE4" s="207">
        <f>--ISNUMBER(IFERROR(SEARCH('PLANILLA DJ'!$X$54,$A4,1),""))</f>
        <v>1</v>
      </c>
      <c r="BF4" s="207">
        <f>--ISNUMBER(IFERROR(SEARCH('PLANILLA DJ'!$X$55,$A4,1),""))</f>
        <v>1</v>
      </c>
      <c r="BG4" s="207">
        <f>--ISNUMBER(IFERROR(SEARCH('PLANILLA DJ'!$X$56,$A4,1),""))</f>
        <v>1</v>
      </c>
      <c r="BH4" s="207">
        <f>--ISNUMBER(IFERROR(SEARCH('PLANILLA DJ'!$X$57,$A4,1),""))</f>
        <v>1</v>
      </c>
      <c r="BI4" s="207">
        <f>--ISNUMBER(IFERROR(SEARCH('PLANILLA DJ'!$X$58,$A4,1),""))</f>
        <v>1</v>
      </c>
      <c r="BJ4" s="207">
        <f>--ISNUMBER(IFERROR(SEARCH('PLANILLA DJ'!$X$59,$A4,1),""))</f>
        <v>1</v>
      </c>
      <c r="BK4" s="207">
        <f>--ISNUMBER(IFERROR(SEARCH('PLANILLA DJ'!$X$60,$A4,1),""))</f>
        <v>1</v>
      </c>
      <c r="BL4" s="207">
        <f>--ISNUMBER(IFERROR(SEARCH('PLANILLA DJ'!$X$61,$A4,1),""))</f>
        <v>1</v>
      </c>
      <c r="BM4" s="207">
        <f>--ISNUMBER(IFERROR(SEARCH('PLANILLA DJ'!$X$62,$A4,1),""))</f>
        <v>1</v>
      </c>
      <c r="BN4" s="207">
        <f>--ISNUMBER(IFERROR(SEARCH('PLANILLA DJ'!$X$63,$A4,1),""))</f>
        <v>1</v>
      </c>
      <c r="BO4" s="207">
        <f>--ISNUMBER(IFERROR(SEARCH('PLANILLA DJ'!$X$64,$A4,1),""))</f>
        <v>1</v>
      </c>
      <c r="BP4" s="207">
        <f>--ISNUMBER(IFERROR(SEARCH('PLANILLA DJ'!$X$65,$A4,1),""))</f>
        <v>1</v>
      </c>
      <c r="BQ4" s="207">
        <f>--ISNUMBER(IFERROR(SEARCH('PLANILLA DJ'!$X$66,$A4,1),""))</f>
        <v>1</v>
      </c>
      <c r="BR4" s="207">
        <f>--ISNUMBER(IFERROR(SEARCH('PLANILLA DJ'!$X$67,$A4,1),""))</f>
        <v>1</v>
      </c>
      <c r="BS4" s="207">
        <f>--ISNUMBER(IFERROR(SEARCH('PLANILLA DJ'!$X$68,$A4,1),""))</f>
        <v>1</v>
      </c>
      <c r="BT4" s="207">
        <f>--ISNUMBER(IFERROR(SEARCH('PLANILLA DJ'!$X$69,$A4,1),""))</f>
        <v>1</v>
      </c>
      <c r="BU4" s="207">
        <f>--ISNUMBER(IFERROR(SEARCH('PLANILLA DJ'!$X$70,$A4,1),""))</f>
        <v>1</v>
      </c>
      <c r="BV4" s="207">
        <f>--ISNUMBER(IFERROR(SEARCH('PLANILLA DJ'!$X$71,$A4,1),""))</f>
        <v>1</v>
      </c>
      <c r="BW4" s="207">
        <f>--ISNUMBER(IFERROR(SEARCH('PLANILLA DJ'!$X$72,$A4,1),""))</f>
        <v>1</v>
      </c>
      <c r="BX4" s="207">
        <f>--ISNUMBER(IFERROR(SEARCH('PLANILLA DJ'!$X$73,$A4,1),""))</f>
        <v>1</v>
      </c>
      <c r="BY4" s="207">
        <f>--ISNUMBER(IFERROR(SEARCH('PLANILLA DJ'!$X$74,$A4,1),""))</f>
        <v>1</v>
      </c>
      <c r="BZ4" s="207">
        <f>--ISNUMBER(IFERROR(SEARCH('PLANILLA DJ'!$X$75,$A4,1),""))</f>
        <v>1</v>
      </c>
      <c r="CA4" s="207">
        <f>--ISNUMBER(IFERROR(SEARCH('PLANILLA DJ'!$X$76,$A4,1),""))</f>
        <v>1</v>
      </c>
      <c r="CB4" s="207">
        <f>--ISNUMBER(IFERROR(SEARCH('PLANILLA DJ'!$X$77,$A4,1),""))</f>
        <v>1</v>
      </c>
      <c r="CC4" s="207">
        <f>--ISNUMBER(IFERROR(SEARCH('PLANILLA DJ'!$X$78,$A4,1),""))</f>
        <v>1</v>
      </c>
      <c r="CD4" s="207">
        <f>--ISNUMBER(IFERROR(SEARCH('PLANILLA DJ'!$X$79,$A4,1),""))</f>
        <v>1</v>
      </c>
      <c r="CE4" s="207">
        <f>--ISNUMBER(IFERROR(SEARCH('PLANILLA DJ'!$X$80,$A4,1),""))</f>
        <v>1</v>
      </c>
      <c r="CF4" s="207">
        <f>--ISNUMBER(IFERROR(SEARCH('PLANILLA DJ'!$X$81,$A4,1),""))</f>
        <v>1</v>
      </c>
      <c r="CG4" s="207">
        <f>--ISNUMBER(IFERROR(SEARCH('PLANILLA DJ'!$X$82,$A4,1),""))</f>
        <v>1</v>
      </c>
      <c r="CH4" s="207">
        <f>--ISNUMBER(IFERROR(SEARCH('PLANILLA DJ'!$X$83,$A4,1),""))</f>
        <v>1</v>
      </c>
      <c r="CI4" s="207">
        <f>--ISNUMBER(IFERROR(SEARCH('PLANILLA DJ'!$X$84,$A4,1),""))</f>
        <v>1</v>
      </c>
      <c r="CJ4" s="207">
        <f>--ISNUMBER(IFERROR(SEARCH('PLANILLA DJ'!$X$85,$A4,1),""))</f>
        <v>1</v>
      </c>
      <c r="CK4" s="207">
        <f>--ISNUMBER(IFERROR(SEARCH('PLANILLA DJ'!$X$86,$A4,1),""))</f>
        <v>1</v>
      </c>
      <c r="CL4" s="207">
        <f>--ISNUMBER(IFERROR(SEARCH('PLANILLA DJ'!$X$87,$A4,1),""))</f>
        <v>1</v>
      </c>
      <c r="CM4" s="207">
        <f>--ISNUMBER(IFERROR(SEARCH('PLANILLA DJ'!$X$88,$A4,1),""))</f>
        <v>1</v>
      </c>
      <c r="CN4" s="207">
        <f>--ISNUMBER(IFERROR(SEARCH('PLANILLA DJ'!$X$89,$A4,1),""))</f>
        <v>1</v>
      </c>
      <c r="CO4" s="207">
        <f>--ISNUMBER(IFERROR(SEARCH('PLANILLA DJ'!$X$90,$A4,1),""))</f>
        <v>1</v>
      </c>
      <c r="CP4" s="207">
        <f>--ISNUMBER(IFERROR(SEARCH('PLANILLA DJ'!$X$91,$A4,1),""))</f>
        <v>1</v>
      </c>
      <c r="CQ4" s="207">
        <f>--ISNUMBER(IFERROR(SEARCH('PLANILLA DJ'!$X$92,$A4,1),""))</f>
        <v>1</v>
      </c>
      <c r="CR4" s="207">
        <f>--ISNUMBER(IFERROR(SEARCH('PLANILLA DJ'!$X$93,$A4,1),""))</f>
        <v>1</v>
      </c>
      <c r="CS4" s="207">
        <f>--ISNUMBER(IFERROR(SEARCH('PLANILLA DJ'!$X$94,$A4,1),""))</f>
        <v>1</v>
      </c>
      <c r="CT4" s="207">
        <f>--ISNUMBER(IFERROR(SEARCH('PLANILLA DJ'!$X$95,$A4,1),""))</f>
        <v>1</v>
      </c>
      <c r="CU4" s="207">
        <f>--ISNUMBER(IFERROR(SEARCH('PLANILLA DJ'!$X$96,$A4,1),""))</f>
        <v>1</v>
      </c>
      <c r="CV4" s="207">
        <f>--ISNUMBER(IFERROR(SEARCH('PLANILLA DJ'!$X$97,$A4,1),""))</f>
        <v>1</v>
      </c>
      <c r="CW4" s="207">
        <f>--ISNUMBER(IFERROR(SEARCH('PLANILLA DJ'!$X$98,$A4,1),""))</f>
        <v>1</v>
      </c>
      <c r="CX4" s="207">
        <f>--ISNUMBER(IFERROR(SEARCH('PLANILLA DJ'!$X$99,$A4,1),""))</f>
        <v>1</v>
      </c>
      <c r="CY4" s="207">
        <f>--ISNUMBER(IFERROR(SEARCH('PLANILLA DJ'!$X$100,$A4,1),""))</f>
        <v>1</v>
      </c>
      <c r="CZ4" s="207">
        <f>--ISNUMBER(IFERROR(SEARCH('PLANILLA DJ'!$X$101,$A4,1),""))</f>
        <v>1</v>
      </c>
      <c r="DA4" s="207">
        <f>--ISNUMBER(IFERROR(SEARCH('PLANILLA DJ'!$X$102,$A4,1),""))</f>
        <v>1</v>
      </c>
      <c r="DB4" s="206">
        <f>IF(F4=1,COUNTIF($F$2:F4,1),"")</f>
        <v>3</v>
      </c>
      <c r="DC4" s="206">
        <f>IF(G4=1,COUNTIF($G$2:G4,1),"")</f>
        <v>3</v>
      </c>
      <c r="DD4" s="206">
        <f>IF(H4=1,COUNTIF($H$2:H4,1),"")</f>
        <v>3</v>
      </c>
      <c r="DE4" s="206">
        <f>IF(I4=1,COUNTIF($I$2:I4,1),"")</f>
        <v>3</v>
      </c>
      <c r="DF4" s="206">
        <f>IF(J4=1,COUNTIF($J$2:J4,1),"")</f>
        <v>3</v>
      </c>
      <c r="DG4" s="206">
        <f>IF(K4=1,COUNTIF($K$2:K4,1),"")</f>
        <v>3</v>
      </c>
      <c r="DH4" s="206">
        <f>IF(L4=1,COUNTIF($L$2:L4,1),"")</f>
        <v>3</v>
      </c>
      <c r="DI4" s="206">
        <f>IF(M4=1,COUNTIF($M$2:M4,1),"")</f>
        <v>3</v>
      </c>
      <c r="DJ4" s="206">
        <f>IF(N4=1,COUNTIF($N$2:N4,1),"")</f>
        <v>3</v>
      </c>
      <c r="DK4" s="206">
        <f>IF(O4=1,COUNTIF($O$2:O4,1),"")</f>
        <v>3</v>
      </c>
      <c r="DL4" s="206">
        <f>IF(P4=1,COUNTIF($P$2:P4,1),"")</f>
        <v>3</v>
      </c>
      <c r="DM4" s="206">
        <f>IF(Q4=1,COUNTIF($Q$2:Q4,1),"")</f>
        <v>3</v>
      </c>
      <c r="DN4" s="207">
        <f>IF(R4=1,COUNTIF($R$2:R4,1),"")</f>
        <v>3</v>
      </c>
      <c r="DO4" s="207">
        <f>IF(S4=1,COUNTIF($S$2:S4,1),"")</f>
        <v>3</v>
      </c>
      <c r="DP4" s="207">
        <f>IF(T4=1,COUNTIF($T$2:T4,1),"")</f>
        <v>3</v>
      </c>
      <c r="DQ4" s="207">
        <f>IF(U4=1,COUNTIF($U$2:U4,1),"")</f>
        <v>3</v>
      </c>
      <c r="DR4" s="207">
        <f>IF(V4=1,COUNTIF($V$2:V4,1),"")</f>
        <v>3</v>
      </c>
      <c r="DS4" s="207">
        <f>IF(W4=1,COUNTIF($W$2:W4,1),"")</f>
        <v>3</v>
      </c>
      <c r="DT4" s="207">
        <f>IF(X4=1,COUNTIF($X$2:X4,1),"")</f>
        <v>3</v>
      </c>
      <c r="DU4" s="207">
        <f>IF(Y4=1,COUNTIF($Y$2:Y4,1),"")</f>
        <v>3</v>
      </c>
      <c r="DV4" s="207">
        <f>IF(Z4=1,COUNTIF(Z$2:Z4,1),"")</f>
        <v>3</v>
      </c>
      <c r="DW4" s="207">
        <f>IF(AA4=1,COUNTIF($AA$2:AA4,1),"")</f>
        <v>3</v>
      </c>
      <c r="DX4" s="207">
        <f>IF(AB4=1,COUNTIF($AB$2:AB4,1),"")</f>
        <v>3</v>
      </c>
      <c r="DY4" s="207">
        <f>IF(AC4=1,COUNTIF($AC$2:AC4,1),"")</f>
        <v>3</v>
      </c>
      <c r="DZ4" s="207">
        <f>IF(AD4=1,COUNTIF($AD$2:AD4,1),"")</f>
        <v>3</v>
      </c>
      <c r="EA4" s="207">
        <f>IF(AE4=1,COUNTIF($AE$2:AE4,1),"")</f>
        <v>3</v>
      </c>
      <c r="EB4" s="207">
        <f>IF(AF4=1,COUNTIF($AF$2:AF4,1),"")</f>
        <v>3</v>
      </c>
      <c r="EC4" s="207">
        <f>IF(AG4=1,COUNTIF($AG$2:AG4,1),"")</f>
        <v>3</v>
      </c>
      <c r="ED4" s="207">
        <f>IF(AH4=1,COUNTIF($AH$2:AH4,1),"")</f>
        <v>3</v>
      </c>
      <c r="EE4" s="207">
        <f>IF(AI4=1,COUNTIF($AI$2:AI4,1),"")</f>
        <v>3</v>
      </c>
      <c r="EF4" s="207">
        <f>IF(AJ4=1,COUNTIF($AJ$2:AJ4,1),"")</f>
        <v>3</v>
      </c>
      <c r="EG4" s="207">
        <f>IF(AK4=1,COUNTIF($AK$2:AK4,1),"")</f>
        <v>3</v>
      </c>
      <c r="EH4" s="207">
        <f>IF(AL4=1,COUNTIF($AL$2:AL4,1),"")</f>
        <v>3</v>
      </c>
      <c r="EI4" s="207">
        <f>IF(AM4=1,COUNTIF($AM$2:AM4,1),"")</f>
        <v>3</v>
      </c>
      <c r="EJ4" s="207">
        <f>IF(AN4=1,COUNTIF($AN$2:AN4,1),"")</f>
        <v>3</v>
      </c>
      <c r="EK4" s="207">
        <f>IF(AO4=1,COUNTIF($AO$2:AO4,1),"")</f>
        <v>3</v>
      </c>
      <c r="EL4" s="207">
        <f>IF(AP4=1,COUNTIF($AP$2:AP4,1),"")</f>
        <v>3</v>
      </c>
      <c r="EM4" s="207">
        <f>IF(AQ4=1,COUNTIF($AQ$2:AQ4,1),"")</f>
        <v>3</v>
      </c>
      <c r="EN4" s="207">
        <f>IF(AR4=1,COUNTIF($AR$2:AR4,1),"")</f>
        <v>3</v>
      </c>
      <c r="EO4" s="207">
        <f>IF(AS4=1,COUNTIF($AS$2:AS4,1),"")</f>
        <v>3</v>
      </c>
      <c r="EP4" s="207">
        <f>IF(AT4=1,COUNTIF($AT$2:AT4,1),"")</f>
        <v>3</v>
      </c>
      <c r="EQ4" s="207">
        <f>IF(AU4=1,COUNTIF($AU$2:AU4,1),"")</f>
        <v>3</v>
      </c>
      <c r="ER4" s="207">
        <f>IF(AV4=1,COUNTIF($AV$2:AV4,1),"")</f>
        <v>3</v>
      </c>
      <c r="ES4" s="207">
        <f>IF(AW4=1,COUNTIF($AW$2:AW4,1),"")</f>
        <v>3</v>
      </c>
      <c r="ET4" s="207">
        <f>IF(AX4=1,COUNTIF($AX$2:AX4,1),"")</f>
        <v>3</v>
      </c>
      <c r="EU4" s="207">
        <f>IF(AY4=1,COUNTIF($AY$2:AY4,1),"")</f>
        <v>3</v>
      </c>
      <c r="EV4" s="207">
        <f>IF(AZ4=1,COUNTIF($AZ$2:AZ4,1),"")</f>
        <v>3</v>
      </c>
      <c r="EW4" s="207">
        <f>IF(BA4=1,COUNTIF($BA$2:BA4,1),"")</f>
        <v>3</v>
      </c>
      <c r="EX4" s="207">
        <f>IF(BB4=1,COUNTIF($BB$2:BB4,1),"")</f>
        <v>3</v>
      </c>
      <c r="EY4" s="207">
        <f>IF(BC4=1,COUNTIF($BC$2:BC4,1),"")</f>
        <v>3</v>
      </c>
      <c r="EZ4" s="207">
        <f>IF(BD4=1,COUNTIF($BD$2:BD4,1),"")</f>
        <v>3</v>
      </c>
      <c r="FA4" s="207">
        <f>IF(BE4=1,COUNTIF($BE$2:BE4,1),"")</f>
        <v>3</v>
      </c>
      <c r="FB4" s="207">
        <f>IF(BF4=1,COUNTIF($BF$2:BF4,1),"")</f>
        <v>3</v>
      </c>
      <c r="FC4" s="207">
        <f>IF(BG4=1,COUNTIF($BG$2:BG4,1),"")</f>
        <v>3</v>
      </c>
      <c r="FD4" s="207">
        <f>IF(BH4=1,COUNTIF($BH$2:BH4,1),"")</f>
        <v>3</v>
      </c>
      <c r="FE4" s="207">
        <f>IF(BI4=1,COUNTIF($BI$2:BI4,1),"")</f>
        <v>3</v>
      </c>
      <c r="FF4" s="207">
        <f>IF(BJ4=1,COUNTIF($BJ$2:BJ4,1),"")</f>
        <v>3</v>
      </c>
      <c r="FG4" s="207">
        <f>IF(BK4=1,COUNTIF($BK$2:BK4,1),"")</f>
        <v>3</v>
      </c>
      <c r="FH4" s="207">
        <f>IF(BL4=1,COUNTIF($BL$2:BL4,1),"")</f>
        <v>3</v>
      </c>
      <c r="FI4" s="207">
        <f>IF(BM4=1,COUNTIF($BM$2:BM4,1),"")</f>
        <v>3</v>
      </c>
      <c r="FJ4" s="207">
        <f>IF(BN4=1,COUNTIF($BN$2:BN4,1),"")</f>
        <v>3</v>
      </c>
      <c r="FK4" s="207">
        <f>IF(BO4=1,COUNTIF($BO$2:BO4,1),"")</f>
        <v>3</v>
      </c>
      <c r="FL4" s="207">
        <f>IF(BP4=1,COUNTIF($BP$2:BP4,1),"")</f>
        <v>3</v>
      </c>
      <c r="FM4" s="207">
        <f>IF(BQ4=1,COUNTIF($BQ$2:BQ4,1),"")</f>
        <v>3</v>
      </c>
      <c r="FN4" s="207">
        <f>IF(BR4=1,COUNTIF($BR$2:BR4,1),"")</f>
        <v>3</v>
      </c>
      <c r="FO4" s="207">
        <f>IF(BS4=1,COUNTIF($BS$2:BS4,1),"")</f>
        <v>3</v>
      </c>
      <c r="FP4" s="207">
        <f>IF(BT4=1,COUNTIF($BT$2:BT4,1),"")</f>
        <v>3</v>
      </c>
      <c r="FQ4" s="207">
        <f>IF(BU4=1,COUNTIF($BU$2:BU4,1),"")</f>
        <v>3</v>
      </c>
      <c r="FR4" s="207">
        <f>IF(BV4=1,COUNTIF($BV$2:BV4,1),"")</f>
        <v>3</v>
      </c>
      <c r="FS4" s="207">
        <f>IF(BW4=1,COUNTIF($BW$2:BW4,1),"")</f>
        <v>3</v>
      </c>
      <c r="FT4" s="207">
        <f>IF(BX4=1,COUNTIF($BX$2:BX4,1),"")</f>
        <v>3</v>
      </c>
      <c r="FU4" s="207">
        <f>IF(BY4=1,COUNTIF($BY$2:BY4,1),"")</f>
        <v>3</v>
      </c>
      <c r="FV4" s="207">
        <f>IF(BZ4=1,COUNTIF($BZ$2:BZ4,1),"")</f>
        <v>3</v>
      </c>
      <c r="FW4" s="207">
        <f>IF(CA4=1,COUNTIF($CA$2:CA4,1),"")</f>
        <v>3</v>
      </c>
      <c r="FX4" s="207">
        <f>IF(CB4=1,COUNTIF($CB$2:CB4,1),"")</f>
        <v>3</v>
      </c>
      <c r="FY4" s="207">
        <f>IF(CC4=1,COUNTIF($CC$2:CC4,1),"")</f>
        <v>3</v>
      </c>
      <c r="FZ4" s="207">
        <f>IF(CD4=1,COUNTIF($CD$2:CD4,1),"")</f>
        <v>3</v>
      </c>
      <c r="GA4" s="207">
        <f>IF(CE4=1,COUNTIF($CE$2:CE4,1),"")</f>
        <v>3</v>
      </c>
      <c r="GB4" s="207">
        <f>IF(CF4=1,COUNTIF($CF$2:CF4,1),"")</f>
        <v>3</v>
      </c>
      <c r="GC4" s="207">
        <f>IF(CG4=1,COUNTIF($CG$2:CG4,1),"")</f>
        <v>3</v>
      </c>
      <c r="GD4" s="207">
        <f>IF(CH4=1,COUNTIF($CH$2:CH4,1),"")</f>
        <v>3</v>
      </c>
      <c r="GE4" s="207">
        <f>IF(CI4=1,COUNTIF($CI$2:CI4,1),"")</f>
        <v>3</v>
      </c>
      <c r="GF4" s="207">
        <f>IF(CJ4=1,COUNTIF($CJ$2:CJ4,1),"")</f>
        <v>3</v>
      </c>
      <c r="GG4" s="207">
        <f>IF(CK4=1,COUNTIF($CK$2:CK4,1),"")</f>
        <v>3</v>
      </c>
      <c r="GH4" s="207">
        <f>IF(CL4=1,COUNTIF($CL$2:CL4,1),"")</f>
        <v>3</v>
      </c>
      <c r="GI4" s="207">
        <f>IF(CM4=1,COUNTIF($CM$2:CM4,1),"")</f>
        <v>3</v>
      </c>
      <c r="GJ4" s="207">
        <f>IF(CN4=1,COUNTIF($CN$2:CN4,1),"")</f>
        <v>3</v>
      </c>
      <c r="GK4" s="207">
        <f>IF(CO4=1,COUNTIF($CO$2:CO4,1),"")</f>
        <v>3</v>
      </c>
      <c r="GL4" s="207">
        <f>IF(CP4=1,COUNTIF($CP$2:CP4,1),"")</f>
        <v>3</v>
      </c>
      <c r="GM4" s="207">
        <f>IF(CQ4=1,COUNTIF($CQ$2:CQ4,1),"")</f>
        <v>3</v>
      </c>
      <c r="GN4" s="207">
        <f>IF(CR4=1,COUNTIF($CR$2:CR4,1),"")</f>
        <v>3</v>
      </c>
      <c r="GO4" s="207">
        <f>IF(CS4=1,COUNTIF($CS$2:CS4,1),"")</f>
        <v>3</v>
      </c>
      <c r="GP4" s="207">
        <f>IF(CT4=1,COUNTIF($CT$2:CT4,1),"")</f>
        <v>3</v>
      </c>
      <c r="GQ4" s="207">
        <f>IF(CU4=1,COUNTIF($CU$2:CU4,1),"")</f>
        <v>3</v>
      </c>
      <c r="GR4" s="207">
        <f>IF(CV4=1,COUNTIF($CV$2:CV4,1),"")</f>
        <v>3</v>
      </c>
      <c r="GS4" s="207">
        <f>IF(CW4=1,COUNTIF($CW$2:CW4,1),"")</f>
        <v>3</v>
      </c>
      <c r="GT4" s="207">
        <f>IF(CX4=1,COUNTIF($CX$2:CX4,1),"")</f>
        <v>3</v>
      </c>
      <c r="GU4" s="207">
        <f>IF(CY4=1,COUNTIF($CY$2:CY4,1),"")</f>
        <v>3</v>
      </c>
      <c r="GV4" s="207">
        <f>IF(CZ4=1,COUNTIF($CZ$2:CZ4,1),"")</f>
        <v>3</v>
      </c>
      <c r="GW4" s="207">
        <f>IF(DA4=1,COUNTIF($DA$2:DA4,1),"")</f>
        <v>3</v>
      </c>
      <c r="GX4" s="206" t="str">
        <f>IFERROR(INDEX($A$2:$A$113,MATCH(ROWS($DB$2:DB4),$DB$2:$DB$113,0)),"")</f>
        <v>HOMICIDIO COMETIDO POR MIEMBRO DE LA FUERZAS ARMADAS-SEGURIDAD FEDERAL O PROVINCIAL</v>
      </c>
      <c r="GY4" s="206" t="str">
        <f>IFERROR(INDEX($A$2:$A$113,MATCH(ROWS($DC$2:DC4),$DC$2:$DC$113,0)),"")</f>
        <v>HOMICIDIO COMETIDO POR MIEMBRO DE LA FUERZAS ARMADAS-SEGURIDAD FEDERAL O PROVINCIAL</v>
      </c>
      <c r="GZ4" s="206" t="str">
        <f>IFERROR(INDEX($A$2:$A$113,MATCH(ROWS($DD$2:DD4),$DD$2:$DD$113,0)),"")</f>
        <v>HOMICIDIO COMETIDO POR MIEMBRO DE LA FUERZAS ARMADAS-SEGURIDAD FEDERAL O PROVINCIAL</v>
      </c>
      <c r="HA4" s="206" t="str">
        <f>IFERROR(INDEX($A$2:$A$113,MATCH(ROWS($DE$2:DE4),$DE$2:$DE$113,0)),"")</f>
        <v>HOMICIDIO COMETIDO POR MIEMBRO DE LA FUERZAS ARMADAS-SEGURIDAD FEDERAL O PROVINCIAL</v>
      </c>
      <c r="HB4" s="206" t="str">
        <f>IFERROR(INDEX($A$2:$A$113,MATCH(ROWS($DF$2:DF4),$DF$2:$DF$113,0)),"")</f>
        <v>HOMICIDIO COMETIDO POR MIEMBRO DE LA FUERZAS ARMADAS-SEGURIDAD FEDERAL O PROVINCIAL</v>
      </c>
      <c r="HC4" s="206" t="str">
        <f>IFERROR(INDEX($A$2:$A$113,MATCH(ROWS($DG$2:DG4),$DG$2:$DG$113,0)),"")</f>
        <v>HOMICIDIO COMETIDO POR MIEMBRO DE LA FUERZAS ARMADAS-SEGURIDAD FEDERAL O PROVINCIAL</v>
      </c>
      <c r="HD4" s="206" t="str">
        <f>IFERROR(INDEX($A$2:$A$113,MATCH(ROWS($DH$2:DH4),$DH$2:$DH$113,0)),"")</f>
        <v>HOMICIDIO COMETIDO POR MIEMBRO DE LA FUERZAS ARMADAS-SEGURIDAD FEDERAL O PROVINCIAL</v>
      </c>
      <c r="HE4" s="206" t="str">
        <f>IFERROR(INDEX($A$2:$A$113,MATCH(ROWS($DI$2:DI4),$DI$2:$DI$113,0)),"")</f>
        <v>HOMICIDIO COMETIDO POR MIEMBRO DE LA FUERZAS ARMADAS-SEGURIDAD FEDERAL O PROVINCIAL</v>
      </c>
      <c r="HF4" s="206" t="str">
        <f>IFERROR(INDEX($A$2:$A$113,MATCH(ROWS($DJ$2:DJ4),$DJ$2:$DJ$113,0)),"")</f>
        <v>HOMICIDIO COMETIDO POR MIEMBRO DE LA FUERZAS ARMADAS-SEGURIDAD FEDERAL O PROVINCIAL</v>
      </c>
      <c r="HG4" s="206" t="str">
        <f>IFERROR(INDEX($A$2:$A$113,MATCH(ROWS($DK$2:DK4),$DK$2:$DK$113,0)),"")</f>
        <v>HOMICIDIO COMETIDO POR MIEMBRO DE LA FUERZAS ARMADAS-SEGURIDAD FEDERAL O PROVINCIAL</v>
      </c>
      <c r="HH4" s="206" t="str">
        <f>IFERROR(INDEX($A$2:$A$113,MATCH(ROWS($DL$2:DL4),$DL$2:$DL$113,0)),"")</f>
        <v>HOMICIDIO COMETIDO POR MIEMBRO DE LA FUERZAS ARMADAS-SEGURIDAD FEDERAL O PROVINCIAL</v>
      </c>
      <c r="HI4" s="206" t="str">
        <f>IFERROR(INDEX($A$2:$A$113,MATCH(ROWS($DM$2:DM4),$DM$2:$DM$113,0)),"")</f>
        <v>HOMICIDIO COMETIDO POR MIEMBRO DE LA FUERZAS ARMADAS-SEGURIDAD FEDERAL O PROVINCIAL</v>
      </c>
      <c r="HJ4" s="206" t="str">
        <f>IFERROR(INDEX($A$2:$A$113,MATCH(ROWS($DN$2:DN4),$DN$2:$DN$113,0)),"")</f>
        <v>HOMICIDIO COMETIDO POR MIEMBRO DE LA FUERZAS ARMADAS-SEGURIDAD FEDERAL O PROVINCIAL</v>
      </c>
      <c r="HK4" s="206" t="str">
        <f>IFERROR(INDEX($A$2:$A$113,MATCH(ROWS($DO$2:DO4),$DO$2:$DO$113,0)),"")</f>
        <v>HOMICIDIO COMETIDO POR MIEMBRO DE LA FUERZAS ARMADAS-SEGURIDAD FEDERAL O PROVINCIAL</v>
      </c>
      <c r="HL4" s="206" t="str">
        <f>IFERROR(INDEX($A$2:$A$113,MATCH(ROWS($DP$2:DP4),$DP$2:$DP$113,0)),"")</f>
        <v>HOMICIDIO COMETIDO POR MIEMBRO DE LA FUERZAS ARMADAS-SEGURIDAD FEDERAL O PROVINCIAL</v>
      </c>
      <c r="HM4" s="206" t="str">
        <f>IFERROR(INDEX($A$2:$A$113,MATCH(ROWS($DQ$2:DQ4),$DQ$2:$DQ$113,0)),"")</f>
        <v>HOMICIDIO COMETIDO POR MIEMBRO DE LA FUERZAS ARMADAS-SEGURIDAD FEDERAL O PROVINCIAL</v>
      </c>
      <c r="HN4" s="206" t="str">
        <f>IFERROR(INDEX($A$2:$A$113,MATCH(ROWS($DR$2:DR4),$DR$2:$DR$113,0)),"")</f>
        <v>HOMICIDIO COMETIDO POR MIEMBRO DE LA FUERZAS ARMADAS-SEGURIDAD FEDERAL O PROVINCIAL</v>
      </c>
      <c r="HO4" s="206" t="str">
        <f>IFERROR(INDEX($A$2:$A$113,MATCH(ROWS($DS$2:DS4),$DS$2:$DS$113,0)),"")</f>
        <v>HOMICIDIO COMETIDO POR MIEMBRO DE LA FUERZAS ARMADAS-SEGURIDAD FEDERAL O PROVINCIAL</v>
      </c>
      <c r="HP4" s="206" t="str">
        <f>IFERROR(INDEX($A$2:$A$113,MATCH(ROWS($DT$2:DT4),$DT$2:$DT$113,0)),"")</f>
        <v>HOMICIDIO COMETIDO POR MIEMBRO DE LA FUERZAS ARMADAS-SEGURIDAD FEDERAL O PROVINCIAL</v>
      </c>
      <c r="HQ4" s="206" t="str">
        <f>IFERROR(INDEX($A$2:$A$113,MATCH(ROWS($DU$2:DU4),$DU$2:$DU$113,0)),"")</f>
        <v>HOMICIDIO COMETIDO POR MIEMBRO DE LA FUERZAS ARMADAS-SEGURIDAD FEDERAL O PROVINCIAL</v>
      </c>
      <c r="HR4" s="206" t="str">
        <f>IFERROR(INDEX($A$2:$A$113,MATCH(ROWS($DV$2:DV4),$DV$2:$DV$113,0)),"")</f>
        <v>HOMICIDIO COMETIDO POR MIEMBRO DE LA FUERZAS ARMADAS-SEGURIDAD FEDERAL O PROVINCIAL</v>
      </c>
      <c r="HS4" s="206" t="str">
        <f>IFERROR(INDEX($A$2:$A$113,MATCH(ROWS($DW$2:DW4),$DW$2:$DW$113,0)),"")</f>
        <v>HOMICIDIO COMETIDO POR MIEMBRO DE LA FUERZAS ARMADAS-SEGURIDAD FEDERAL O PROVINCIAL</v>
      </c>
      <c r="HT4" s="206" t="str">
        <f>IFERROR(INDEX($A$2:$A$113,MATCH(ROWS($DX$2:DX4),$DX$2:$DX$113,0)),"")</f>
        <v>HOMICIDIO COMETIDO POR MIEMBRO DE LA FUERZAS ARMADAS-SEGURIDAD FEDERAL O PROVINCIAL</v>
      </c>
      <c r="HU4" s="206" t="str">
        <f>IFERROR(INDEX($A$2:$A$113,MATCH(ROWS($DY$2:DY4),$DY$2:$DY$113,0)),"")</f>
        <v>HOMICIDIO COMETIDO POR MIEMBRO DE LA FUERZAS ARMADAS-SEGURIDAD FEDERAL O PROVINCIAL</v>
      </c>
      <c r="HV4" s="206" t="str">
        <f>IFERROR(INDEX($A$2:$A$113,MATCH(ROWS($DZ$2:DZ4),$DZ$2:$DZ$113,0)),"")</f>
        <v>HOMICIDIO COMETIDO POR MIEMBRO DE LA FUERZAS ARMADAS-SEGURIDAD FEDERAL O PROVINCIAL</v>
      </c>
      <c r="HW4" s="206" t="str">
        <f>IFERROR(INDEX($A$2:$A$113,MATCH(ROWS($EA$2:EA4),$EA$2:$EA$113,0)),"")</f>
        <v>HOMICIDIO COMETIDO POR MIEMBRO DE LA FUERZAS ARMADAS-SEGURIDAD FEDERAL O PROVINCIAL</v>
      </c>
      <c r="HX4" s="206" t="str">
        <f>IFERROR(INDEX($A$2:$A$113,MATCH(ROWS($EB$2:EB4),$EB$2:$EB$113,0)),"")</f>
        <v>HOMICIDIO COMETIDO POR MIEMBRO DE LA FUERZAS ARMADAS-SEGURIDAD FEDERAL O PROVINCIAL</v>
      </c>
      <c r="HY4" s="206" t="str">
        <f>IFERROR(INDEX($A$2:$A$113,MATCH(ROWS($EC$2:EC4),$EC$2:$EC$113,0)),"")</f>
        <v>HOMICIDIO COMETIDO POR MIEMBRO DE LA FUERZAS ARMADAS-SEGURIDAD FEDERAL O PROVINCIAL</v>
      </c>
      <c r="HZ4" s="206" t="str">
        <f>IFERROR(INDEX($A$2:$A$113,MATCH(ROWS($ED$2:ED4),$ED$2:$ED$113,0)),"")</f>
        <v>HOMICIDIO COMETIDO POR MIEMBRO DE LA FUERZAS ARMADAS-SEGURIDAD FEDERAL O PROVINCIAL</v>
      </c>
      <c r="IA4" s="206" t="str">
        <f>IFERROR(INDEX($A$2:$A$113,MATCH(ROWS($EE$2:EE4),$EE$2:$EE$113,0)),"")</f>
        <v>HOMICIDIO COMETIDO POR MIEMBRO DE LA FUERZAS ARMADAS-SEGURIDAD FEDERAL O PROVINCIAL</v>
      </c>
      <c r="IB4" s="206" t="str">
        <f>IFERROR(INDEX($A$2:$A$113,MATCH(ROWS($EF$2:EF4),$EF$2:$EF$113,0)),"")</f>
        <v>HOMICIDIO COMETIDO POR MIEMBRO DE LA FUERZAS ARMADAS-SEGURIDAD FEDERAL O PROVINCIAL</v>
      </c>
      <c r="IC4" s="206" t="str">
        <f>IFERROR(INDEX($A$2:$A$113,MATCH(ROWS($EG$2:EG4),$EG$2:$EG$113,0)),"")</f>
        <v>HOMICIDIO COMETIDO POR MIEMBRO DE LA FUERZAS ARMADAS-SEGURIDAD FEDERAL O PROVINCIAL</v>
      </c>
      <c r="ID4" s="206" t="str">
        <f>IFERROR(INDEX($A$2:$A$113,MATCH(ROWS($EH$2:EH4),$EH$2:$EH$113,0)),"")</f>
        <v>HOMICIDIO COMETIDO POR MIEMBRO DE LA FUERZAS ARMADAS-SEGURIDAD FEDERAL O PROVINCIAL</v>
      </c>
      <c r="IE4" s="206" t="str">
        <f>IFERROR(INDEX($A$2:$A$113,MATCH(ROWS($EI$2:EI4),$EI$2:$EI$113,0)),"")</f>
        <v>HOMICIDIO COMETIDO POR MIEMBRO DE LA FUERZAS ARMADAS-SEGURIDAD FEDERAL O PROVINCIAL</v>
      </c>
      <c r="IF4" s="206" t="str">
        <f>IFERROR(INDEX($A$2:$A$113,MATCH(ROWS($EJ$2:EJ4),$EJ$2:$EJ$113,0)),"")</f>
        <v>HOMICIDIO COMETIDO POR MIEMBRO DE LA FUERZAS ARMADAS-SEGURIDAD FEDERAL O PROVINCIAL</v>
      </c>
      <c r="IG4" s="206" t="str">
        <f>IFERROR(INDEX($A$2:$A$113,MATCH(ROWS($EK$2:EK4),$EK$2:$EK$113,0)),"")</f>
        <v>HOMICIDIO COMETIDO POR MIEMBRO DE LA FUERZAS ARMADAS-SEGURIDAD FEDERAL O PROVINCIAL</v>
      </c>
      <c r="IH4" s="206" t="str">
        <f>IFERROR(INDEX($A$2:$A$113,MATCH(ROWS($EL$2:EL4),$EL$2:$EL$113,0)),"")</f>
        <v>HOMICIDIO COMETIDO POR MIEMBRO DE LA FUERZAS ARMADAS-SEGURIDAD FEDERAL O PROVINCIAL</v>
      </c>
      <c r="II4" s="206" t="str">
        <f>IFERROR(INDEX($A$2:$A$113,MATCH(ROWS($EM$2:EM4),$EM$2:$EM$113,0)),"")</f>
        <v>HOMICIDIO COMETIDO POR MIEMBRO DE LA FUERZAS ARMADAS-SEGURIDAD FEDERAL O PROVINCIAL</v>
      </c>
      <c r="IJ4" s="206" t="str">
        <f>IFERROR(INDEX($A$2:$A$113,MATCH(ROWS($EN$2:EN4),$EN$2:$EN$113,0)),"")</f>
        <v>HOMICIDIO COMETIDO POR MIEMBRO DE LA FUERZAS ARMADAS-SEGURIDAD FEDERAL O PROVINCIAL</v>
      </c>
      <c r="IK4" s="207" t="str">
        <f>IFERROR(INDEX($A$2:$A$113,MATCH(ROWS($EO$2:EO4),$EO$2:$EO$113,0)),"")</f>
        <v>HOMICIDIO COMETIDO POR MIEMBRO DE LA FUERZAS ARMADAS-SEGURIDAD FEDERAL O PROVINCIAL</v>
      </c>
      <c r="IL4" s="207" t="str">
        <f>IFERROR(INDEX($A$2:$A$113,MATCH(ROWS($EP$2:EP4),$EP$2:$EP$113,0)),"")</f>
        <v>HOMICIDIO COMETIDO POR MIEMBRO DE LA FUERZAS ARMADAS-SEGURIDAD FEDERAL O PROVINCIAL</v>
      </c>
      <c r="IM4" s="207" t="str">
        <f>IFERROR(INDEX($A$2:$A$113,MATCH(ROWS($EQ$2:EQ4),$EQ$2:$EQ$113,0)),"")</f>
        <v>HOMICIDIO COMETIDO POR MIEMBRO DE LA FUERZAS ARMADAS-SEGURIDAD FEDERAL O PROVINCIAL</v>
      </c>
      <c r="IN4" s="207" t="str">
        <f>IFERROR(INDEX($A$2:$A$113,MATCH(ROWS($ER$2:ER4),$ER$2:$ER$113,0)),"")</f>
        <v>HOMICIDIO COMETIDO POR MIEMBRO DE LA FUERZAS ARMADAS-SEGURIDAD FEDERAL O PROVINCIAL</v>
      </c>
      <c r="IO4" s="207" t="str">
        <f>IFERROR(INDEX($A$2:$A$113,MATCH(ROWS($ES$2:ES4),$ES$2:$ES$113,0)),"")</f>
        <v>HOMICIDIO COMETIDO POR MIEMBRO DE LA FUERZAS ARMADAS-SEGURIDAD FEDERAL O PROVINCIAL</v>
      </c>
      <c r="IP4" s="207" t="str">
        <f>IFERROR(INDEX($A$2:$A$113,MATCH(ROWS($ET$2:ET4),$ET$2:$ET$113,0)),"")</f>
        <v>HOMICIDIO COMETIDO POR MIEMBRO DE LA FUERZAS ARMADAS-SEGURIDAD FEDERAL O PROVINCIAL</v>
      </c>
      <c r="IQ4" s="207" t="str">
        <f>IFERROR(INDEX($A$2:$A$113,MATCH(ROWS($EU$2:EU4),$EU$2:$EU$113,0)),"")</f>
        <v>HOMICIDIO COMETIDO POR MIEMBRO DE LA FUERZAS ARMADAS-SEGURIDAD FEDERAL O PROVINCIAL</v>
      </c>
      <c r="IR4" s="207" t="str">
        <f>IFERROR(INDEX($A$2:$A$113,MATCH(ROWS($EV$2:EV4),$EV$2:$EV$113,0)),"")</f>
        <v>HOMICIDIO COMETIDO POR MIEMBRO DE LA FUERZAS ARMADAS-SEGURIDAD FEDERAL O PROVINCIAL</v>
      </c>
      <c r="IS4" s="207" t="str">
        <f>IFERROR(INDEX($A$2:$A$113,MATCH(ROWS($EW$2:EW4),$EW$2:$EW$113,0)),"")</f>
        <v>HOMICIDIO COMETIDO POR MIEMBRO DE LA FUERZAS ARMADAS-SEGURIDAD FEDERAL O PROVINCIAL</v>
      </c>
      <c r="IT4" s="207" t="str">
        <f>IFERROR(INDEX($A$2:$A$113,MATCH(ROWS($EX$2:EX4),$EX$2:$EX$113,0)),"")</f>
        <v>HOMICIDIO COMETIDO POR MIEMBRO DE LA FUERZAS ARMADAS-SEGURIDAD FEDERAL O PROVINCIAL</v>
      </c>
      <c r="IU4" s="207" t="str">
        <f>IFERROR(INDEX($A$2:$A$113,MATCH(ROWS($EY$2:EY4),$EY$2:$EY$113,0)),"")</f>
        <v>HOMICIDIO COMETIDO POR MIEMBRO DE LA FUERZAS ARMADAS-SEGURIDAD FEDERAL O PROVINCIAL</v>
      </c>
      <c r="IV4" s="207" t="str">
        <f>IFERROR(INDEX($A$2:$A$113,MATCH(ROWS($EZ$2:EZ4),$EZ$2:$EZ$113,0)),"")</f>
        <v>HOMICIDIO COMETIDO POR MIEMBRO DE LA FUERZAS ARMADAS-SEGURIDAD FEDERAL O PROVINCIAL</v>
      </c>
      <c r="IW4" s="207" t="str">
        <f>IFERROR(INDEX($A$2:$A$113,MATCH(ROWS($FA$2:FA4),$FA$2:$FA$113,0)),"")</f>
        <v>HOMICIDIO COMETIDO POR MIEMBRO DE LA FUERZAS ARMADAS-SEGURIDAD FEDERAL O PROVINCIAL</v>
      </c>
      <c r="IX4" s="207" t="str">
        <f>IFERROR(INDEX($A$2:$A$113,MATCH(ROWS($FB$2:FB4),$FB$2:$FB$113,0)),"")</f>
        <v>HOMICIDIO COMETIDO POR MIEMBRO DE LA FUERZAS ARMADAS-SEGURIDAD FEDERAL O PROVINCIAL</v>
      </c>
      <c r="IY4" s="207" t="str">
        <f>IFERROR(INDEX($A$2:$A$113,MATCH(ROWS($FC$2:FC4),$FC$2:$FC$113,0)),"")</f>
        <v>HOMICIDIO COMETIDO POR MIEMBRO DE LA FUERZAS ARMADAS-SEGURIDAD FEDERAL O PROVINCIAL</v>
      </c>
      <c r="IZ4" s="207" t="str">
        <f>IFERROR(INDEX($A$2:$A$113,MATCH(ROWS($FD$2:FD4),$FD$2:$FD$113,0)),"")</f>
        <v>HOMICIDIO COMETIDO POR MIEMBRO DE LA FUERZAS ARMADAS-SEGURIDAD FEDERAL O PROVINCIAL</v>
      </c>
      <c r="JA4" s="207" t="str">
        <f>IFERROR(INDEX($A$2:$A$113,MATCH(ROWS($FE$2:FE4),$FE$2:$FE$113,0)),"")</f>
        <v>HOMICIDIO COMETIDO POR MIEMBRO DE LA FUERZAS ARMADAS-SEGURIDAD FEDERAL O PROVINCIAL</v>
      </c>
      <c r="JB4" s="207" t="str">
        <f>IFERROR(INDEX($A$2:$A$113,MATCH(ROWS($FF$2:FF4),$FF$2:$FF$113,0)),"")</f>
        <v>HOMICIDIO COMETIDO POR MIEMBRO DE LA FUERZAS ARMADAS-SEGURIDAD FEDERAL O PROVINCIAL</v>
      </c>
      <c r="JC4" s="207" t="str">
        <f>IFERROR(INDEX($A$2:$A$113,MATCH(ROWS($FG$2:FG4),$FG$2:$FG$113,0)),"")</f>
        <v>HOMICIDIO COMETIDO POR MIEMBRO DE LA FUERZAS ARMADAS-SEGURIDAD FEDERAL O PROVINCIAL</v>
      </c>
      <c r="JD4" s="207" t="str">
        <f>IFERROR(INDEX($A$2:$A$113,MATCH(ROWS($FH$2:FH4),$FH$2:$FH$113,0)),"")</f>
        <v>HOMICIDIO COMETIDO POR MIEMBRO DE LA FUERZAS ARMADAS-SEGURIDAD FEDERAL O PROVINCIAL</v>
      </c>
      <c r="JE4" s="207" t="str">
        <f>IFERROR(INDEX($A$2:$A$113,MATCH(ROWS($FI$2:FI4),$FI$2:$FI$113,0)),"")</f>
        <v>HOMICIDIO COMETIDO POR MIEMBRO DE LA FUERZAS ARMADAS-SEGURIDAD FEDERAL O PROVINCIAL</v>
      </c>
      <c r="JF4" s="207" t="str">
        <f>IFERROR(INDEX($A$2:$A$113,MATCH(ROWS($FJ$2:FJ4),$FJ$2:$FJ$113,0)),"")</f>
        <v>HOMICIDIO COMETIDO POR MIEMBRO DE LA FUERZAS ARMADAS-SEGURIDAD FEDERAL O PROVINCIAL</v>
      </c>
      <c r="JG4" s="207" t="str">
        <f>IFERROR(INDEX($A$2:$A$113,MATCH(ROWS($FK$2:FK4),$FK$2:$FK$113,0)),"")</f>
        <v>HOMICIDIO COMETIDO POR MIEMBRO DE LA FUERZAS ARMADAS-SEGURIDAD FEDERAL O PROVINCIAL</v>
      </c>
      <c r="JH4" s="207" t="str">
        <f>IFERROR(INDEX($A$2:$A$113,MATCH(ROWS($FL$2:FL4),$FL$2:$FL$113,0)),"")</f>
        <v>HOMICIDIO COMETIDO POR MIEMBRO DE LA FUERZAS ARMADAS-SEGURIDAD FEDERAL O PROVINCIAL</v>
      </c>
      <c r="JI4" s="207" t="str">
        <f>IFERROR(INDEX($A$2:$A$113,MATCH(ROWS($FM$2:FM4),$FM$2:$FM$113,0)),"")</f>
        <v>HOMICIDIO COMETIDO POR MIEMBRO DE LA FUERZAS ARMADAS-SEGURIDAD FEDERAL O PROVINCIAL</v>
      </c>
      <c r="JJ4" s="207" t="str">
        <f>IFERROR(INDEX($A$2:$A$113,MATCH(ROWS($FN$2:FN4),$FN$2:$FN$113,0)),"")</f>
        <v>HOMICIDIO COMETIDO POR MIEMBRO DE LA FUERZAS ARMADAS-SEGURIDAD FEDERAL O PROVINCIAL</v>
      </c>
      <c r="JK4" s="207" t="str">
        <f>IFERROR(INDEX($A$2:$A$113,MATCH(ROWS($FO$2:FO4),$FO$2:$FO$113,0)),"")</f>
        <v>HOMICIDIO COMETIDO POR MIEMBRO DE LA FUERZAS ARMADAS-SEGURIDAD FEDERAL O PROVINCIAL</v>
      </c>
      <c r="JL4" s="207" t="str">
        <f>IFERROR(INDEX($A$2:$A$113,MATCH(ROWS($FP$2:FP4),$FP$2:$FP$113,0)),"")</f>
        <v>HOMICIDIO COMETIDO POR MIEMBRO DE LA FUERZAS ARMADAS-SEGURIDAD FEDERAL O PROVINCIAL</v>
      </c>
      <c r="JM4" s="207" t="str">
        <f>IFERROR(INDEX($A$2:$A$113,MATCH(ROWS($FQ$2:FQ4),$FQ$2:$FQ$113,0)),"")</f>
        <v>HOMICIDIO COMETIDO POR MIEMBRO DE LA FUERZAS ARMADAS-SEGURIDAD FEDERAL O PROVINCIAL</v>
      </c>
      <c r="JN4" s="207" t="str">
        <f>IFERROR(INDEX($A$2:$A$113,MATCH(ROWS($FR$2:FR4),$FR$2:$FR$113,0)),"")</f>
        <v>HOMICIDIO COMETIDO POR MIEMBRO DE LA FUERZAS ARMADAS-SEGURIDAD FEDERAL O PROVINCIAL</v>
      </c>
      <c r="JO4" s="207" t="str">
        <f>IFERROR(INDEX($A$2:$A$113,MATCH(ROWS($FS$2:FS4),$FS$2:$FS$113,0)),"")</f>
        <v>HOMICIDIO COMETIDO POR MIEMBRO DE LA FUERZAS ARMADAS-SEGURIDAD FEDERAL O PROVINCIAL</v>
      </c>
      <c r="JP4" s="207" t="str">
        <f>IFERROR(INDEX($A$2:$A$113,MATCH(ROWS($FT$2:FT4),$FT$2:$FT$113,0)),"")</f>
        <v>HOMICIDIO COMETIDO POR MIEMBRO DE LA FUERZAS ARMADAS-SEGURIDAD FEDERAL O PROVINCIAL</v>
      </c>
      <c r="JQ4" s="207" t="str">
        <f>IFERROR(INDEX($A$2:$A$113,MATCH(ROWS($FU$2:FU4),$FU$2:$FU$113,0)),"")</f>
        <v>HOMICIDIO COMETIDO POR MIEMBRO DE LA FUERZAS ARMADAS-SEGURIDAD FEDERAL O PROVINCIAL</v>
      </c>
      <c r="JR4" s="207" t="str">
        <f>IFERROR(INDEX($A$2:$A$113,MATCH(ROWS($FV$2:FV4),$FV$2:$FV$113,0)),"")</f>
        <v>HOMICIDIO COMETIDO POR MIEMBRO DE LA FUERZAS ARMADAS-SEGURIDAD FEDERAL O PROVINCIAL</v>
      </c>
      <c r="JS4" s="207" t="str">
        <f>IFERROR(INDEX($A$2:$A$113,MATCH(ROWS($FW$2:FW4),$FW$2:$FW$113,0)),"")</f>
        <v>HOMICIDIO COMETIDO POR MIEMBRO DE LA FUERZAS ARMADAS-SEGURIDAD FEDERAL O PROVINCIAL</v>
      </c>
      <c r="JT4" s="207" t="str">
        <f>IFERROR(INDEX($A$2:$A$113,MATCH(ROWS($FX$2:FX4),$FX$2:$FX$113,0)),"")</f>
        <v>HOMICIDIO COMETIDO POR MIEMBRO DE LA FUERZAS ARMADAS-SEGURIDAD FEDERAL O PROVINCIAL</v>
      </c>
      <c r="JU4" s="207" t="str">
        <f>IFERROR(INDEX($A$2:$A$113,MATCH(ROWS($FY$2:FY4),$FY$2:$FY$113,0)),"")</f>
        <v>HOMICIDIO COMETIDO POR MIEMBRO DE LA FUERZAS ARMADAS-SEGURIDAD FEDERAL O PROVINCIAL</v>
      </c>
      <c r="JV4" s="207" t="str">
        <f>IFERROR(INDEX($A$2:$A$113,MATCH(ROWS($FZ$2:FZ4),$FZ$2:$FZ$113,0)),"")</f>
        <v>HOMICIDIO COMETIDO POR MIEMBRO DE LA FUERZAS ARMADAS-SEGURIDAD FEDERAL O PROVINCIAL</v>
      </c>
      <c r="JW4" s="207" t="str">
        <f>IFERROR(INDEX($A$2:$A$113,MATCH(ROWS($GA$2:GA4),$GA$2:$GA$113,0)),"")</f>
        <v>HOMICIDIO COMETIDO POR MIEMBRO DE LA FUERZAS ARMADAS-SEGURIDAD FEDERAL O PROVINCIAL</v>
      </c>
      <c r="JX4" s="207" t="str">
        <f>IFERROR(INDEX($A$2:$A$113,MATCH(ROWS($GB$2:GB4),$GB$2:$GB$113,0)),"")</f>
        <v>HOMICIDIO COMETIDO POR MIEMBRO DE LA FUERZAS ARMADAS-SEGURIDAD FEDERAL O PROVINCIAL</v>
      </c>
      <c r="JY4" s="207" t="str">
        <f>IFERROR(INDEX($A$2:$A$113,MATCH(ROWS($GC$2:GC4),$GC$2:$GC$113,0)),"")</f>
        <v>HOMICIDIO COMETIDO POR MIEMBRO DE LA FUERZAS ARMADAS-SEGURIDAD FEDERAL O PROVINCIAL</v>
      </c>
      <c r="JZ4" s="207" t="str">
        <f>IFERROR(INDEX($A$2:$A$113,MATCH(ROWS($GD$2:GD4),$GD$2:$GD$113,0)),"")</f>
        <v>HOMICIDIO COMETIDO POR MIEMBRO DE LA FUERZAS ARMADAS-SEGURIDAD FEDERAL O PROVINCIAL</v>
      </c>
      <c r="KA4" s="207" t="str">
        <f>IFERROR(INDEX($A$2:$A$113,MATCH(ROWS($GE$2:GE4),$GE$2:$GE$113,0)),"")</f>
        <v>HOMICIDIO COMETIDO POR MIEMBRO DE LA FUERZAS ARMADAS-SEGURIDAD FEDERAL O PROVINCIAL</v>
      </c>
      <c r="KB4" s="207" t="str">
        <f>IFERROR(INDEX($A$2:$A$113,MATCH(ROWS($GF$2:GF4),$GF$2:$GF$113,0)),"")</f>
        <v>HOMICIDIO COMETIDO POR MIEMBRO DE LA FUERZAS ARMADAS-SEGURIDAD FEDERAL O PROVINCIAL</v>
      </c>
      <c r="KC4" s="207" t="str">
        <f>IFERROR(INDEX($A$2:$A$113,MATCH(ROWS($GG$2:GG4),$GG$2:$GG$113,0)),"")</f>
        <v>HOMICIDIO COMETIDO POR MIEMBRO DE LA FUERZAS ARMADAS-SEGURIDAD FEDERAL O PROVINCIAL</v>
      </c>
      <c r="KD4" s="207" t="str">
        <f>IFERROR(INDEX($A$2:$A$113,MATCH(ROWS($GH$2:GH4),$GH$2:$GH$113,0)),"")</f>
        <v>HOMICIDIO COMETIDO POR MIEMBRO DE LA FUERZAS ARMADAS-SEGURIDAD FEDERAL O PROVINCIAL</v>
      </c>
      <c r="KE4" s="207" t="str">
        <f>IFERROR(INDEX($A$2:$A$113,MATCH(ROWS($GI$2:GI4),$GI$2:$GI$113,0)),"")</f>
        <v>HOMICIDIO COMETIDO POR MIEMBRO DE LA FUERZAS ARMADAS-SEGURIDAD FEDERAL O PROVINCIAL</v>
      </c>
      <c r="KF4" s="207" t="str">
        <f>IFERROR(INDEX($A$2:$A$113,MATCH(ROWS($GJ$2:GJ4),$GJ$2:$GJ$113,0)),"")</f>
        <v>HOMICIDIO COMETIDO POR MIEMBRO DE LA FUERZAS ARMADAS-SEGURIDAD FEDERAL O PROVINCIAL</v>
      </c>
      <c r="KG4" s="207" t="str">
        <f>IFERROR(INDEX($A$2:$A$113,MATCH(ROWS($GK$2:GK4),$GK$2:$GK$113,0)),"")</f>
        <v>HOMICIDIO COMETIDO POR MIEMBRO DE LA FUERZAS ARMADAS-SEGURIDAD FEDERAL O PROVINCIAL</v>
      </c>
      <c r="KH4" s="207" t="str">
        <f>IFERROR(INDEX($A$2:$A$113,MATCH(ROWS($GL$2:GL4),$GL$2:$GL$113,0)),"")</f>
        <v>HOMICIDIO COMETIDO POR MIEMBRO DE LA FUERZAS ARMADAS-SEGURIDAD FEDERAL O PROVINCIAL</v>
      </c>
      <c r="KI4" s="207" t="str">
        <f>IFERROR(INDEX($A$2:$A$113,MATCH(ROWS($GM$2:GM4),$GM$2:$GM$113,0)),"")</f>
        <v>HOMICIDIO COMETIDO POR MIEMBRO DE LA FUERZAS ARMADAS-SEGURIDAD FEDERAL O PROVINCIAL</v>
      </c>
      <c r="KJ4" s="207" t="str">
        <f>IFERROR(INDEX($A$2:$A$113,MATCH(ROWS($GN$2:GN4),$GN$2:$GN$113,0)),"")</f>
        <v>HOMICIDIO COMETIDO POR MIEMBRO DE LA FUERZAS ARMADAS-SEGURIDAD FEDERAL O PROVINCIAL</v>
      </c>
      <c r="KK4" s="207" t="str">
        <f>IFERROR(INDEX($A$2:$A$113,MATCH(ROWS($GO$2:GO4),$GO$2:$GO$113,0)),"")</f>
        <v>HOMICIDIO COMETIDO POR MIEMBRO DE LA FUERZAS ARMADAS-SEGURIDAD FEDERAL O PROVINCIAL</v>
      </c>
      <c r="KL4" s="207" t="str">
        <f>IFERROR(INDEX($A$2:$A$113,MATCH(ROWS($GP$2:GP4),$GP$2:$GP$113,0)),"")</f>
        <v>HOMICIDIO COMETIDO POR MIEMBRO DE LA FUERZAS ARMADAS-SEGURIDAD FEDERAL O PROVINCIAL</v>
      </c>
      <c r="KM4" s="207" t="str">
        <f>IFERROR(INDEX($A$2:$A$113,MATCH(ROWS($GQ$2:GQ4),$GQ$2:$GQ$113,0)),"")</f>
        <v>HOMICIDIO COMETIDO POR MIEMBRO DE LA FUERZAS ARMADAS-SEGURIDAD FEDERAL O PROVINCIAL</v>
      </c>
      <c r="KN4" s="207" t="str">
        <f>IFERROR(INDEX($A$2:$A$113,MATCH(ROWS($GR$2:GR4),$GR$2:$GR$113,0)),"")</f>
        <v>HOMICIDIO COMETIDO POR MIEMBRO DE LA FUERZAS ARMADAS-SEGURIDAD FEDERAL O PROVINCIAL</v>
      </c>
      <c r="KO4" s="207" t="str">
        <f>IFERROR(INDEX($A$2:$A$113,MATCH(ROWS($GS$2:GS4),$GS$2:$GS$113,0)),"")</f>
        <v>HOMICIDIO COMETIDO POR MIEMBRO DE LA FUERZAS ARMADAS-SEGURIDAD FEDERAL O PROVINCIAL</v>
      </c>
      <c r="KP4" s="207" t="str">
        <f>IFERROR(INDEX($A$2:$A$113,MATCH(ROWS($GT$2:GT4),$GT$2:$GT$113,0)),"")</f>
        <v>HOMICIDIO COMETIDO POR MIEMBRO DE LA FUERZAS ARMADAS-SEGURIDAD FEDERAL O PROVINCIAL</v>
      </c>
      <c r="KQ4" s="207" t="str">
        <f>IFERROR(INDEX($A$2:$A$113,MATCH(ROWS($GU$2:GU4),$GU$2:$GU$113,0)),"")</f>
        <v>HOMICIDIO COMETIDO POR MIEMBRO DE LA FUERZAS ARMADAS-SEGURIDAD FEDERAL O PROVINCIAL</v>
      </c>
      <c r="KR4" s="207" t="str">
        <f>IFERROR(INDEX($A$2:$A$113,MATCH(ROWS($GV$2:GV4),$GV$2:$GV$113,0)),"")</f>
        <v>HOMICIDIO COMETIDO POR MIEMBRO DE LA FUERZAS ARMADAS-SEGURIDAD FEDERAL O PROVINCIAL</v>
      </c>
      <c r="KS4" s="207" t="str">
        <f>IFERROR(INDEX($A$2:$A$113,MATCH(ROWS($GW$2:GW4),$GW$2:$GW$113,0)),"")</f>
        <v>HOMICIDIO COMETIDO POR MIEMBRO DE LA FUERZAS ARMADAS-SEGURIDAD FEDERAL O PROVINCIAL</v>
      </c>
    </row>
    <row r="5" spans="1:305" x14ac:dyDescent="0.25">
      <c r="A5" s="206" t="s">
        <v>59</v>
      </c>
      <c r="B5" s="206">
        <v>1</v>
      </c>
      <c r="D5" s="206" t="s">
        <v>48</v>
      </c>
      <c r="E5" s="206" t="s">
        <v>508</v>
      </c>
      <c r="F5" s="207">
        <f>--ISNUMBER(IFERROR(SEARCH('PLANILLA DJ'!$X$3,$A5,1),""))</f>
        <v>1</v>
      </c>
      <c r="G5" s="207">
        <f>--ISNUMBER(IFERROR(SEARCH('PLANILLA DJ'!$X$4,$A5,1),""))</f>
        <v>1</v>
      </c>
      <c r="H5" s="207">
        <f>--ISNUMBER(IFERROR(SEARCH('PLANILLA DJ'!$X$5,$A5,1),""))</f>
        <v>1</v>
      </c>
      <c r="I5" s="207">
        <f>--ISNUMBER(IFERROR(SEARCH('PLANILLA DJ'!$X$6,$A5,1),""))</f>
        <v>1</v>
      </c>
      <c r="J5" s="207">
        <f>--ISNUMBER(IFERROR(SEARCH('PLANILLA DJ'!$X$7,$A5,1),""))</f>
        <v>1</v>
      </c>
      <c r="K5" s="207">
        <f>--ISNUMBER(IFERROR(SEARCH('PLANILLA DJ'!$X$8,$A5,1),""))</f>
        <v>1</v>
      </c>
      <c r="L5" s="207">
        <f>--ISNUMBER(IFERROR(SEARCH('PLANILLA DJ'!$X$9,$A5,1),""))</f>
        <v>1</v>
      </c>
      <c r="M5" s="207">
        <f>--ISNUMBER(IFERROR(SEARCH('PLANILLA DJ'!$X$10,$A5,1),""))</f>
        <v>1</v>
      </c>
      <c r="N5" s="207">
        <f>--ISNUMBER(IFERROR(SEARCH('PLANILLA DJ'!$X$11,$A5,1),""))</f>
        <v>1</v>
      </c>
      <c r="O5" s="207">
        <f>--ISNUMBER(IFERROR(SEARCH('PLANILLA DJ'!$X$12,$A5,1),""))</f>
        <v>1</v>
      </c>
      <c r="P5" s="207">
        <f>--ISNUMBER(IFERROR(SEARCH('PLANILLA DJ'!$X$13,$A5,1),""))</f>
        <v>1</v>
      </c>
      <c r="Q5" s="207">
        <f>--ISNUMBER(IFERROR(SEARCH('PLANILLA DJ'!$X$14,$A5,1),""))</f>
        <v>1</v>
      </c>
      <c r="R5" s="207">
        <f>--ISNUMBER(IFERROR(SEARCH('PLANILLA DJ'!$X$15,$A5,1),""))</f>
        <v>1</v>
      </c>
      <c r="S5" s="207">
        <f>--ISNUMBER(IFERROR(SEARCH('PLANILLA DJ'!$X$16,$A5,1),""))</f>
        <v>1</v>
      </c>
      <c r="T5" s="207">
        <f>--ISNUMBER(IFERROR(SEARCH('PLANILLA DJ'!$X$17,$A5,1),""))</f>
        <v>1</v>
      </c>
      <c r="U5" s="207">
        <f>--ISNUMBER(IFERROR(SEARCH('PLANILLA DJ'!$X$18,$A5,1),""))</f>
        <v>1</v>
      </c>
      <c r="V5" s="207">
        <f>--ISNUMBER(IFERROR(SEARCH('PLANILLA DJ'!$X$19,$A5,1),""))</f>
        <v>1</v>
      </c>
      <c r="W5" s="207">
        <f>--ISNUMBER(IFERROR(SEARCH('PLANILLA DJ'!$X$20,$A5,1),""))</f>
        <v>1</v>
      </c>
      <c r="X5" s="207">
        <f>--ISNUMBER(IFERROR(SEARCH('PLANILLA DJ'!$X$21,$A5,1),""))</f>
        <v>1</v>
      </c>
      <c r="Y5" s="207">
        <f>--ISNUMBER(IFERROR(SEARCH('PLANILLA DJ'!$X$22,$A5,1),""))</f>
        <v>1</v>
      </c>
      <c r="Z5" s="207">
        <f>--ISNUMBER(IFERROR(SEARCH('PLANILLA DJ'!$X$23,$A5,1),""))</f>
        <v>1</v>
      </c>
      <c r="AA5" s="207">
        <f>--ISNUMBER(IFERROR(SEARCH('PLANILLA DJ'!$X$24,$A5,1),""))</f>
        <v>1</v>
      </c>
      <c r="AB5" s="207">
        <f>--ISNUMBER(IFERROR(SEARCH('PLANILLA DJ'!$X$25,$A5,1),""))</f>
        <v>1</v>
      </c>
      <c r="AC5" s="207">
        <f>--ISNUMBER(IFERROR(SEARCH('PLANILLA DJ'!$X$26,$A5,1),""))</f>
        <v>1</v>
      </c>
      <c r="AD5" s="207">
        <f>--ISNUMBER(IFERROR(SEARCH('PLANILLA DJ'!$X$27,$A5,1),""))</f>
        <v>1</v>
      </c>
      <c r="AE5" s="207">
        <f>--ISNUMBER(IFERROR(SEARCH('PLANILLA DJ'!$X$28,$A5,1),""))</f>
        <v>1</v>
      </c>
      <c r="AF5" s="207">
        <f>--ISNUMBER(IFERROR(SEARCH('PLANILLA DJ'!$X$29,$A5,1),""))</f>
        <v>1</v>
      </c>
      <c r="AG5" s="207">
        <f>--ISNUMBER(IFERROR(SEARCH('PLANILLA DJ'!$X$30,$A5,1),""))</f>
        <v>1</v>
      </c>
      <c r="AH5" s="207">
        <f>--ISNUMBER(IFERROR(SEARCH('PLANILLA DJ'!$X$31,$A5,1),""))</f>
        <v>1</v>
      </c>
      <c r="AI5" s="207">
        <f>--ISNUMBER(IFERROR(SEARCH('PLANILLA DJ'!$X$32,$A5,1),""))</f>
        <v>1</v>
      </c>
      <c r="AJ5" s="207">
        <f>--ISNUMBER(IFERROR(SEARCH('PLANILLA DJ'!$X$33,$A5,1),""))</f>
        <v>1</v>
      </c>
      <c r="AK5" s="207">
        <f>--ISNUMBER(IFERROR(SEARCH('PLANILLA DJ'!$X$34,$A5,1),""))</f>
        <v>1</v>
      </c>
      <c r="AL5" s="207">
        <f>--ISNUMBER(IFERROR(SEARCH('PLANILLA DJ'!$X$35,$A5,1),""))</f>
        <v>1</v>
      </c>
      <c r="AM5" s="207">
        <f>--ISNUMBER(IFERROR(SEARCH('PLANILLA DJ'!$X$36,$A5,1),""))</f>
        <v>1</v>
      </c>
      <c r="AN5" s="207">
        <f>--ISNUMBER(IFERROR(SEARCH('PLANILLA DJ'!$X$37,$A5,1),""))</f>
        <v>1</v>
      </c>
      <c r="AO5" s="207">
        <f>--ISNUMBER(IFERROR(SEARCH('PLANILLA DJ'!$X$38,$A5,1),""))</f>
        <v>1</v>
      </c>
      <c r="AP5" s="207">
        <f>--ISNUMBER(IFERROR(SEARCH('PLANILLA DJ'!$X$39,$A5,1),""))</f>
        <v>1</v>
      </c>
      <c r="AQ5" s="207">
        <f>--ISNUMBER(IFERROR(SEARCH('PLANILLA DJ'!$X$40,$A5,1),""))</f>
        <v>1</v>
      </c>
      <c r="AR5" s="207">
        <f>--ISNUMBER(IFERROR(SEARCH('PLANILLA DJ'!$X$41,$A5,1),""))</f>
        <v>1</v>
      </c>
      <c r="AS5" s="207">
        <f>--ISNUMBER(IFERROR(SEARCH('PLANILLA DJ'!$X$42,$A5,1),""))</f>
        <v>1</v>
      </c>
      <c r="AT5" s="207">
        <f>--ISNUMBER(IFERROR(SEARCH('PLANILLA DJ'!$X$43,$A5,1),""))</f>
        <v>1</v>
      </c>
      <c r="AU5" s="207">
        <f>--ISNUMBER(IFERROR(SEARCH('PLANILLA DJ'!$X$44,$A5,1),""))</f>
        <v>1</v>
      </c>
      <c r="AV5" s="207">
        <f>--ISNUMBER(IFERROR(SEARCH('PLANILLA DJ'!$X$45,$A5,1),""))</f>
        <v>1</v>
      </c>
      <c r="AW5" s="207">
        <f>--ISNUMBER(IFERROR(SEARCH('PLANILLA DJ'!$X$46,$A5,1),""))</f>
        <v>1</v>
      </c>
      <c r="AX5" s="207">
        <f>--ISNUMBER(IFERROR(SEARCH('PLANILLA DJ'!$X$47,$A5,1),""))</f>
        <v>1</v>
      </c>
      <c r="AY5" s="207">
        <f>--ISNUMBER(IFERROR(SEARCH('PLANILLA DJ'!$X$48,$A5,1),""))</f>
        <v>1</v>
      </c>
      <c r="AZ5" s="207">
        <f>--ISNUMBER(IFERROR(SEARCH('PLANILLA DJ'!$X$49,$A5,1),""))</f>
        <v>1</v>
      </c>
      <c r="BA5" s="207">
        <f>--ISNUMBER(IFERROR(SEARCH('PLANILLA DJ'!$X$50,$A5,1),""))</f>
        <v>1</v>
      </c>
      <c r="BB5" s="207">
        <f>--ISNUMBER(IFERROR(SEARCH('PLANILLA DJ'!$X$51,$A5,1),""))</f>
        <v>1</v>
      </c>
      <c r="BC5" s="207">
        <f>--ISNUMBER(IFERROR(SEARCH('PLANILLA DJ'!$X$52,$A5,1),""))</f>
        <v>1</v>
      </c>
      <c r="BD5" s="207">
        <f>--ISNUMBER(IFERROR(SEARCH('PLANILLA DJ'!$X$53,$A5,1),""))</f>
        <v>1</v>
      </c>
      <c r="BE5" s="207">
        <f>--ISNUMBER(IFERROR(SEARCH('PLANILLA DJ'!$X$54,$A5,1),""))</f>
        <v>1</v>
      </c>
      <c r="BF5" s="207">
        <f>--ISNUMBER(IFERROR(SEARCH('PLANILLA DJ'!$X$55,$A5,1),""))</f>
        <v>1</v>
      </c>
      <c r="BG5" s="207">
        <f>--ISNUMBER(IFERROR(SEARCH('PLANILLA DJ'!$X$56,$A5,1),""))</f>
        <v>1</v>
      </c>
      <c r="BH5" s="207">
        <f>--ISNUMBER(IFERROR(SEARCH('PLANILLA DJ'!$X$57,$A5,1),""))</f>
        <v>1</v>
      </c>
      <c r="BI5" s="207">
        <f>--ISNUMBER(IFERROR(SEARCH('PLANILLA DJ'!$X$58,$A5,1),""))</f>
        <v>1</v>
      </c>
      <c r="BJ5" s="207">
        <f>--ISNUMBER(IFERROR(SEARCH('PLANILLA DJ'!$X$59,$A5,1),""))</f>
        <v>1</v>
      </c>
      <c r="BK5" s="207">
        <f>--ISNUMBER(IFERROR(SEARCH('PLANILLA DJ'!$X$60,$A5,1),""))</f>
        <v>1</v>
      </c>
      <c r="BL5" s="207">
        <f>--ISNUMBER(IFERROR(SEARCH('PLANILLA DJ'!$X$61,$A5,1),""))</f>
        <v>1</v>
      </c>
      <c r="BM5" s="207">
        <f>--ISNUMBER(IFERROR(SEARCH('PLANILLA DJ'!$X$62,$A5,1),""))</f>
        <v>1</v>
      </c>
      <c r="BN5" s="207">
        <f>--ISNUMBER(IFERROR(SEARCH('PLANILLA DJ'!$X$63,$A5,1),""))</f>
        <v>1</v>
      </c>
      <c r="BO5" s="207">
        <f>--ISNUMBER(IFERROR(SEARCH('PLANILLA DJ'!$X$64,$A5,1),""))</f>
        <v>1</v>
      </c>
      <c r="BP5" s="207">
        <f>--ISNUMBER(IFERROR(SEARCH('PLANILLA DJ'!$X$65,$A5,1),""))</f>
        <v>1</v>
      </c>
      <c r="BQ5" s="207">
        <f>--ISNUMBER(IFERROR(SEARCH('PLANILLA DJ'!$X$66,$A5,1),""))</f>
        <v>1</v>
      </c>
      <c r="BR5" s="207">
        <f>--ISNUMBER(IFERROR(SEARCH('PLANILLA DJ'!$X$67,$A5,1),""))</f>
        <v>1</v>
      </c>
      <c r="BS5" s="207">
        <f>--ISNUMBER(IFERROR(SEARCH('PLANILLA DJ'!$X$68,$A5,1),""))</f>
        <v>1</v>
      </c>
      <c r="BT5" s="207">
        <f>--ISNUMBER(IFERROR(SEARCH('PLANILLA DJ'!$X$69,$A5,1),""))</f>
        <v>1</v>
      </c>
      <c r="BU5" s="207">
        <f>--ISNUMBER(IFERROR(SEARCH('PLANILLA DJ'!$X$70,$A5,1),""))</f>
        <v>1</v>
      </c>
      <c r="BV5" s="207">
        <f>--ISNUMBER(IFERROR(SEARCH('PLANILLA DJ'!$X$71,$A5,1),""))</f>
        <v>1</v>
      </c>
      <c r="BW5" s="207">
        <f>--ISNUMBER(IFERROR(SEARCH('PLANILLA DJ'!$X$72,$A5,1),""))</f>
        <v>1</v>
      </c>
      <c r="BX5" s="207">
        <f>--ISNUMBER(IFERROR(SEARCH('PLANILLA DJ'!$X$73,$A5,1),""))</f>
        <v>1</v>
      </c>
      <c r="BY5" s="207">
        <f>--ISNUMBER(IFERROR(SEARCH('PLANILLA DJ'!$X$74,$A5,1),""))</f>
        <v>1</v>
      </c>
      <c r="BZ5" s="207">
        <f>--ISNUMBER(IFERROR(SEARCH('PLANILLA DJ'!$X$75,$A5,1),""))</f>
        <v>1</v>
      </c>
      <c r="CA5" s="207">
        <f>--ISNUMBER(IFERROR(SEARCH('PLANILLA DJ'!$X$76,$A5,1),""))</f>
        <v>1</v>
      </c>
      <c r="CB5" s="207">
        <f>--ISNUMBER(IFERROR(SEARCH('PLANILLA DJ'!$X$77,$A5,1),""))</f>
        <v>1</v>
      </c>
      <c r="CC5" s="207">
        <f>--ISNUMBER(IFERROR(SEARCH('PLANILLA DJ'!$X$78,$A5,1),""))</f>
        <v>1</v>
      </c>
      <c r="CD5" s="207">
        <f>--ISNUMBER(IFERROR(SEARCH('PLANILLA DJ'!$X$79,$A5,1),""))</f>
        <v>1</v>
      </c>
      <c r="CE5" s="207">
        <f>--ISNUMBER(IFERROR(SEARCH('PLANILLA DJ'!$X$80,$A5,1),""))</f>
        <v>1</v>
      </c>
      <c r="CF5" s="207">
        <f>--ISNUMBER(IFERROR(SEARCH('PLANILLA DJ'!$X$81,$A5,1),""))</f>
        <v>1</v>
      </c>
      <c r="CG5" s="207">
        <f>--ISNUMBER(IFERROR(SEARCH('PLANILLA DJ'!$X$82,$A5,1),""))</f>
        <v>1</v>
      </c>
      <c r="CH5" s="207">
        <f>--ISNUMBER(IFERROR(SEARCH('PLANILLA DJ'!$X$83,$A5,1),""))</f>
        <v>1</v>
      </c>
      <c r="CI5" s="207">
        <f>--ISNUMBER(IFERROR(SEARCH('PLANILLA DJ'!$X$84,$A5,1),""))</f>
        <v>1</v>
      </c>
      <c r="CJ5" s="207">
        <f>--ISNUMBER(IFERROR(SEARCH('PLANILLA DJ'!$X$85,$A5,1),""))</f>
        <v>1</v>
      </c>
      <c r="CK5" s="207">
        <f>--ISNUMBER(IFERROR(SEARCH('PLANILLA DJ'!$X$86,$A5,1),""))</f>
        <v>1</v>
      </c>
      <c r="CL5" s="207">
        <f>--ISNUMBER(IFERROR(SEARCH('PLANILLA DJ'!$X$87,$A5,1),""))</f>
        <v>1</v>
      </c>
      <c r="CM5" s="207">
        <f>--ISNUMBER(IFERROR(SEARCH('PLANILLA DJ'!$X$88,$A5,1),""))</f>
        <v>1</v>
      </c>
      <c r="CN5" s="207">
        <f>--ISNUMBER(IFERROR(SEARCH('PLANILLA DJ'!$X$89,$A5,1),""))</f>
        <v>1</v>
      </c>
      <c r="CO5" s="207">
        <f>--ISNUMBER(IFERROR(SEARCH('PLANILLA DJ'!$X$90,$A5,1),""))</f>
        <v>1</v>
      </c>
      <c r="CP5" s="207">
        <f>--ISNUMBER(IFERROR(SEARCH('PLANILLA DJ'!$X$91,$A5,1),""))</f>
        <v>1</v>
      </c>
      <c r="CQ5" s="207">
        <f>--ISNUMBER(IFERROR(SEARCH('PLANILLA DJ'!$X$92,$A5,1),""))</f>
        <v>1</v>
      </c>
      <c r="CR5" s="207">
        <f>--ISNUMBER(IFERROR(SEARCH('PLANILLA DJ'!$X$93,$A5,1),""))</f>
        <v>1</v>
      </c>
      <c r="CS5" s="207">
        <f>--ISNUMBER(IFERROR(SEARCH('PLANILLA DJ'!$X$94,$A5,1),""))</f>
        <v>1</v>
      </c>
      <c r="CT5" s="207">
        <f>--ISNUMBER(IFERROR(SEARCH('PLANILLA DJ'!$X$95,$A5,1),""))</f>
        <v>1</v>
      </c>
      <c r="CU5" s="207">
        <f>--ISNUMBER(IFERROR(SEARCH('PLANILLA DJ'!$X$96,$A5,1),""))</f>
        <v>1</v>
      </c>
      <c r="CV5" s="207">
        <f>--ISNUMBER(IFERROR(SEARCH('PLANILLA DJ'!$X$97,$A5,1),""))</f>
        <v>1</v>
      </c>
      <c r="CW5" s="207">
        <f>--ISNUMBER(IFERROR(SEARCH('PLANILLA DJ'!$X$98,$A5,1),""))</f>
        <v>1</v>
      </c>
      <c r="CX5" s="207">
        <f>--ISNUMBER(IFERROR(SEARCH('PLANILLA DJ'!$X$99,$A5,1),""))</f>
        <v>1</v>
      </c>
      <c r="CY5" s="207">
        <f>--ISNUMBER(IFERROR(SEARCH('PLANILLA DJ'!$X$100,$A5,1),""))</f>
        <v>1</v>
      </c>
      <c r="CZ5" s="207">
        <f>--ISNUMBER(IFERROR(SEARCH('PLANILLA DJ'!$X$101,$A5,1),""))</f>
        <v>1</v>
      </c>
      <c r="DA5" s="207">
        <f>--ISNUMBER(IFERROR(SEARCH('PLANILLA DJ'!$X$102,$A5,1),""))</f>
        <v>1</v>
      </c>
      <c r="DB5" s="206">
        <f>IF(F5=1,COUNTIF($F$2:F5,1),"")</f>
        <v>4</v>
      </c>
      <c r="DC5" s="206">
        <f>IF(G5=1,COUNTIF($G$2:G5,1),"")</f>
        <v>4</v>
      </c>
      <c r="DD5" s="206">
        <f>IF(H5=1,COUNTIF($H$2:H5,1),"")</f>
        <v>4</v>
      </c>
      <c r="DE5" s="206">
        <f>IF(I5=1,COUNTIF($I$2:I5,1),"")</f>
        <v>4</v>
      </c>
      <c r="DF5" s="206">
        <f>IF(J5=1,COUNTIF($J$2:J5,1),"")</f>
        <v>4</v>
      </c>
      <c r="DG5" s="206">
        <f>IF(K5=1,COUNTIF($K$2:K5,1),"")</f>
        <v>4</v>
      </c>
      <c r="DH5" s="206">
        <f>IF(L5=1,COUNTIF($L$2:L5,1),"")</f>
        <v>4</v>
      </c>
      <c r="DI5" s="206">
        <f>IF(M5=1,COUNTIF($M$2:M5,1),"")</f>
        <v>4</v>
      </c>
      <c r="DJ5" s="206">
        <f>IF(N5=1,COUNTIF($N$2:N5,1),"")</f>
        <v>4</v>
      </c>
      <c r="DK5" s="206">
        <f>IF(O5=1,COUNTIF($O$2:O5,1),"")</f>
        <v>4</v>
      </c>
      <c r="DL5" s="206">
        <f>IF(P5=1,COUNTIF($P$2:P5,1),"")</f>
        <v>4</v>
      </c>
      <c r="DM5" s="206">
        <f>IF(Q5=1,COUNTIF($Q$2:Q5,1),"")</f>
        <v>4</v>
      </c>
      <c r="DN5" s="207">
        <f>IF(R5=1,COUNTIF($R$2:R5,1),"")</f>
        <v>4</v>
      </c>
      <c r="DO5" s="207">
        <f>IF(S5=1,COUNTIF($S$2:S5,1),"")</f>
        <v>4</v>
      </c>
      <c r="DP5" s="207">
        <f>IF(T5=1,COUNTIF($T$2:T5,1),"")</f>
        <v>4</v>
      </c>
      <c r="DQ5" s="207">
        <f>IF(U5=1,COUNTIF($U$2:U5,1),"")</f>
        <v>4</v>
      </c>
      <c r="DR5" s="207">
        <f>IF(V5=1,COUNTIF($V$2:V5,1),"")</f>
        <v>4</v>
      </c>
      <c r="DS5" s="207">
        <f>IF(W5=1,COUNTIF($W$2:W5,1),"")</f>
        <v>4</v>
      </c>
      <c r="DT5" s="207">
        <f>IF(X5=1,COUNTIF($X$2:X5,1),"")</f>
        <v>4</v>
      </c>
      <c r="DU5" s="207">
        <f>IF(Y5=1,COUNTIF($Y$2:Y5,1),"")</f>
        <v>4</v>
      </c>
      <c r="DV5" s="207">
        <f>IF(Z5=1,COUNTIF(Z$2:Z5,1),"")</f>
        <v>4</v>
      </c>
      <c r="DW5" s="207">
        <f>IF(AA5=1,COUNTIF($AA$2:AA5,1),"")</f>
        <v>4</v>
      </c>
      <c r="DX5" s="207">
        <f>IF(AB5=1,COUNTIF($AB$2:AB5,1),"")</f>
        <v>4</v>
      </c>
      <c r="DY5" s="207">
        <f>IF(AC5=1,COUNTIF($AC$2:AC5,1),"")</f>
        <v>4</v>
      </c>
      <c r="DZ5" s="207">
        <f>IF(AD5=1,COUNTIF($AD$2:AD5,1),"")</f>
        <v>4</v>
      </c>
      <c r="EA5" s="207">
        <f>IF(AE5=1,COUNTIF($AE$2:AE5,1),"")</f>
        <v>4</v>
      </c>
      <c r="EB5" s="207">
        <f>IF(AF5=1,COUNTIF($AF$2:AF5,1),"")</f>
        <v>4</v>
      </c>
      <c r="EC5" s="207">
        <f>IF(AG5=1,COUNTIF($AG$2:AG5,1),"")</f>
        <v>4</v>
      </c>
      <c r="ED5" s="207">
        <f>IF(AH5=1,COUNTIF($AH$2:AH5,1),"")</f>
        <v>4</v>
      </c>
      <c r="EE5" s="207">
        <f>IF(AI5=1,COUNTIF($AI$2:AI5,1),"")</f>
        <v>4</v>
      </c>
      <c r="EF5" s="207">
        <f>IF(AJ5=1,COUNTIF($AJ$2:AJ5,1),"")</f>
        <v>4</v>
      </c>
      <c r="EG5" s="207">
        <f>IF(AK5=1,COUNTIF($AK$2:AK5,1),"")</f>
        <v>4</v>
      </c>
      <c r="EH5" s="207">
        <f>IF(AL5=1,COUNTIF($AL$2:AL5,1),"")</f>
        <v>4</v>
      </c>
      <c r="EI5" s="207">
        <f>IF(AM5=1,COUNTIF($AM$2:AM5,1),"")</f>
        <v>4</v>
      </c>
      <c r="EJ5" s="207">
        <f>IF(AN5=1,COUNTIF($AN$2:AN5,1),"")</f>
        <v>4</v>
      </c>
      <c r="EK5" s="207">
        <f>IF(AO5=1,COUNTIF($AO$2:AO5,1),"")</f>
        <v>4</v>
      </c>
      <c r="EL5" s="207">
        <f>IF(AP5=1,COUNTIF($AP$2:AP5,1),"")</f>
        <v>4</v>
      </c>
      <c r="EM5" s="207">
        <f>IF(AQ5=1,COUNTIF($AQ$2:AQ5,1),"")</f>
        <v>4</v>
      </c>
      <c r="EN5" s="207">
        <f>IF(AR5=1,COUNTIF($AR$2:AR5,1),"")</f>
        <v>4</v>
      </c>
      <c r="EO5" s="207">
        <f>IF(AS5=1,COUNTIF($AS$2:AS5,1),"")</f>
        <v>4</v>
      </c>
      <c r="EP5" s="207">
        <f>IF(AT5=1,COUNTIF($AT$2:AT5,1),"")</f>
        <v>4</v>
      </c>
      <c r="EQ5" s="207">
        <f>IF(AU5=1,COUNTIF($AU$2:AU5,1),"")</f>
        <v>4</v>
      </c>
      <c r="ER5" s="207">
        <f>IF(AV5=1,COUNTIF($AV$2:AV5,1),"")</f>
        <v>4</v>
      </c>
      <c r="ES5" s="207">
        <f>IF(AW5=1,COUNTIF($AW$2:AW5,1),"")</f>
        <v>4</v>
      </c>
      <c r="ET5" s="207">
        <f>IF(AX5=1,COUNTIF($AX$2:AX5,1),"")</f>
        <v>4</v>
      </c>
      <c r="EU5" s="207">
        <f>IF(AY5=1,COUNTIF($AY$2:AY5,1),"")</f>
        <v>4</v>
      </c>
      <c r="EV5" s="207">
        <f>IF(AZ5=1,COUNTIF($AZ$2:AZ5,1),"")</f>
        <v>4</v>
      </c>
      <c r="EW5" s="207">
        <f>IF(BA5=1,COUNTIF($BA$2:BA5,1),"")</f>
        <v>4</v>
      </c>
      <c r="EX5" s="207">
        <f>IF(BB5=1,COUNTIF($BB$2:BB5,1),"")</f>
        <v>4</v>
      </c>
      <c r="EY5" s="207">
        <f>IF(BC5=1,COUNTIF($BC$2:BC5,1),"")</f>
        <v>4</v>
      </c>
      <c r="EZ5" s="207">
        <f>IF(BD5=1,COUNTIF($BD$2:BD5,1),"")</f>
        <v>4</v>
      </c>
      <c r="FA5" s="207">
        <f>IF(BE5=1,COUNTIF($BE$2:BE5,1),"")</f>
        <v>4</v>
      </c>
      <c r="FB5" s="207">
        <f>IF(BF5=1,COUNTIF($BF$2:BF5,1),"")</f>
        <v>4</v>
      </c>
      <c r="FC5" s="207">
        <f>IF(BG5=1,COUNTIF($BG$2:BG5,1),"")</f>
        <v>4</v>
      </c>
      <c r="FD5" s="207">
        <f>IF(BH5=1,COUNTIF($BH$2:BH5,1),"")</f>
        <v>4</v>
      </c>
      <c r="FE5" s="207">
        <f>IF(BI5=1,COUNTIF($BI$2:BI5,1),"")</f>
        <v>4</v>
      </c>
      <c r="FF5" s="207">
        <f>IF(BJ5=1,COUNTIF($BJ$2:BJ5,1),"")</f>
        <v>4</v>
      </c>
      <c r="FG5" s="207">
        <f>IF(BK5=1,COUNTIF($BK$2:BK5,1),"")</f>
        <v>4</v>
      </c>
      <c r="FH5" s="207">
        <f>IF(BL5=1,COUNTIF($BL$2:BL5,1),"")</f>
        <v>4</v>
      </c>
      <c r="FI5" s="207">
        <f>IF(BM5=1,COUNTIF($BM$2:BM5,1),"")</f>
        <v>4</v>
      </c>
      <c r="FJ5" s="207">
        <f>IF(BN5=1,COUNTIF($BN$2:BN5,1),"")</f>
        <v>4</v>
      </c>
      <c r="FK5" s="207">
        <f>IF(BO5=1,COUNTIF($BO$2:BO5,1),"")</f>
        <v>4</v>
      </c>
      <c r="FL5" s="207">
        <f>IF(BP5=1,COUNTIF($BP$2:BP5,1),"")</f>
        <v>4</v>
      </c>
      <c r="FM5" s="207">
        <f>IF(BQ5=1,COUNTIF($BQ$2:BQ5,1),"")</f>
        <v>4</v>
      </c>
      <c r="FN5" s="207">
        <f>IF(BR5=1,COUNTIF($BR$2:BR5,1),"")</f>
        <v>4</v>
      </c>
      <c r="FO5" s="207">
        <f>IF(BS5=1,COUNTIF($BS$2:BS5,1),"")</f>
        <v>4</v>
      </c>
      <c r="FP5" s="207">
        <f>IF(BT5=1,COUNTIF($BT$2:BT5,1),"")</f>
        <v>4</v>
      </c>
      <c r="FQ5" s="207">
        <f>IF(BU5=1,COUNTIF($BU$2:BU5,1),"")</f>
        <v>4</v>
      </c>
      <c r="FR5" s="207">
        <f>IF(BV5=1,COUNTIF($BV$2:BV5,1),"")</f>
        <v>4</v>
      </c>
      <c r="FS5" s="207">
        <f>IF(BW5=1,COUNTIF($BW$2:BW5,1),"")</f>
        <v>4</v>
      </c>
      <c r="FT5" s="207">
        <f>IF(BX5=1,COUNTIF($BX$2:BX5,1),"")</f>
        <v>4</v>
      </c>
      <c r="FU5" s="207">
        <f>IF(BY5=1,COUNTIF($BY$2:BY5,1),"")</f>
        <v>4</v>
      </c>
      <c r="FV5" s="207">
        <f>IF(BZ5=1,COUNTIF($BZ$2:BZ5,1),"")</f>
        <v>4</v>
      </c>
      <c r="FW5" s="207">
        <f>IF(CA5=1,COUNTIF($CA$2:CA5,1),"")</f>
        <v>4</v>
      </c>
      <c r="FX5" s="207">
        <f>IF(CB5=1,COUNTIF($CB$2:CB5,1),"")</f>
        <v>4</v>
      </c>
      <c r="FY5" s="207">
        <f>IF(CC5=1,COUNTIF($CC$2:CC5,1),"")</f>
        <v>4</v>
      </c>
      <c r="FZ5" s="207">
        <f>IF(CD5=1,COUNTIF($CD$2:CD5,1),"")</f>
        <v>4</v>
      </c>
      <c r="GA5" s="207">
        <f>IF(CE5=1,COUNTIF($CE$2:CE5,1),"")</f>
        <v>4</v>
      </c>
      <c r="GB5" s="207">
        <f>IF(CF5=1,COUNTIF($CF$2:CF5,1),"")</f>
        <v>4</v>
      </c>
      <c r="GC5" s="207">
        <f>IF(CG5=1,COUNTIF($CG$2:CG5,1),"")</f>
        <v>4</v>
      </c>
      <c r="GD5" s="207">
        <f>IF(CH5=1,COUNTIF($CH$2:CH5,1),"")</f>
        <v>4</v>
      </c>
      <c r="GE5" s="207">
        <f>IF(CI5=1,COUNTIF($CI$2:CI5,1),"")</f>
        <v>4</v>
      </c>
      <c r="GF5" s="207">
        <f>IF(CJ5=1,COUNTIF($CJ$2:CJ5,1),"")</f>
        <v>4</v>
      </c>
      <c r="GG5" s="207">
        <f>IF(CK5=1,COUNTIF($CK$2:CK5,1),"")</f>
        <v>4</v>
      </c>
      <c r="GH5" s="207">
        <f>IF(CL5=1,COUNTIF($CL$2:CL5,1),"")</f>
        <v>4</v>
      </c>
      <c r="GI5" s="207">
        <f>IF(CM5=1,COUNTIF($CM$2:CM5,1),"")</f>
        <v>4</v>
      </c>
      <c r="GJ5" s="207">
        <f>IF(CN5=1,COUNTIF($CN$2:CN5,1),"")</f>
        <v>4</v>
      </c>
      <c r="GK5" s="207">
        <f>IF(CO5=1,COUNTIF($CO$2:CO5,1),"")</f>
        <v>4</v>
      </c>
      <c r="GL5" s="207">
        <f>IF(CP5=1,COUNTIF($CP$2:CP5,1),"")</f>
        <v>4</v>
      </c>
      <c r="GM5" s="207">
        <f>IF(CQ5=1,COUNTIF($CQ$2:CQ5,1),"")</f>
        <v>4</v>
      </c>
      <c r="GN5" s="207">
        <f>IF(CR5=1,COUNTIF($CR$2:CR5,1),"")</f>
        <v>4</v>
      </c>
      <c r="GO5" s="207">
        <f>IF(CS5=1,COUNTIF($CS$2:CS5,1),"")</f>
        <v>4</v>
      </c>
      <c r="GP5" s="207">
        <f>IF(CT5=1,COUNTIF($CT$2:CT5,1),"")</f>
        <v>4</v>
      </c>
      <c r="GQ5" s="207">
        <f>IF(CU5=1,COUNTIF($CU$2:CU5,1),"")</f>
        <v>4</v>
      </c>
      <c r="GR5" s="207">
        <f>IF(CV5=1,COUNTIF($CV$2:CV5,1),"")</f>
        <v>4</v>
      </c>
      <c r="GS5" s="207">
        <f>IF(CW5=1,COUNTIF($CW$2:CW5,1),"")</f>
        <v>4</v>
      </c>
      <c r="GT5" s="207">
        <f>IF(CX5=1,COUNTIF($CX$2:CX5,1),"")</f>
        <v>4</v>
      </c>
      <c r="GU5" s="207">
        <f>IF(CY5=1,COUNTIF($CY$2:CY5,1),"")</f>
        <v>4</v>
      </c>
      <c r="GV5" s="207">
        <f>IF(CZ5=1,COUNTIF($CZ$2:CZ5,1),"")</f>
        <v>4</v>
      </c>
      <c r="GW5" s="207">
        <f>IF(DA5=1,COUNTIF($DA$2:DA5,1),"")</f>
        <v>4</v>
      </c>
      <c r="GX5" s="206" t="str">
        <f>IFERROR(INDEX($A$2:$A$113,MATCH(ROWS($DB$2:DB5),$DB$2:$DB$113,0)),"")</f>
        <v>HOMICIDIO VIOLENCIA DE GENERO</v>
      </c>
      <c r="GY5" s="206" t="str">
        <f>IFERROR(INDEX($A$2:$A$113,MATCH(ROWS($DC$2:DC5),$DC$2:$DC$113,0)),"")</f>
        <v>HOMICIDIO VIOLENCIA DE GENERO</v>
      </c>
      <c r="GZ5" s="206" t="str">
        <f>IFERROR(INDEX($A$2:$A$113,MATCH(ROWS($DD$2:DD5),$DD$2:$DD$113,0)),"")</f>
        <v>HOMICIDIO VIOLENCIA DE GENERO</v>
      </c>
      <c r="HA5" s="206" t="str">
        <f>IFERROR(INDEX($A$2:$A$113,MATCH(ROWS($DE$2:DE5),$DE$2:$DE$113,0)),"")</f>
        <v>HOMICIDIO VIOLENCIA DE GENERO</v>
      </c>
      <c r="HB5" s="206" t="str">
        <f>IFERROR(INDEX($A$2:$A$113,MATCH(ROWS($DF$2:DF5),$DF$2:$DF$113,0)),"")</f>
        <v>HOMICIDIO VIOLENCIA DE GENERO</v>
      </c>
      <c r="HC5" s="206" t="str">
        <f>IFERROR(INDEX($A$2:$A$113,MATCH(ROWS($DG$2:DG5),$DG$2:$DG$113,0)),"")</f>
        <v>HOMICIDIO VIOLENCIA DE GENERO</v>
      </c>
      <c r="HD5" s="206" t="str">
        <f>IFERROR(INDEX($A$2:$A$113,MATCH(ROWS($DH$2:DH5),$DH$2:$DH$113,0)),"")</f>
        <v>HOMICIDIO VIOLENCIA DE GENERO</v>
      </c>
      <c r="HE5" s="206" t="str">
        <f>IFERROR(INDEX($A$2:$A$113,MATCH(ROWS($DI$2:DI5),$DI$2:$DI$113,0)),"")</f>
        <v>HOMICIDIO VIOLENCIA DE GENERO</v>
      </c>
      <c r="HF5" s="206" t="str">
        <f>IFERROR(INDEX($A$2:$A$113,MATCH(ROWS($DJ$2:DJ5),$DJ$2:$DJ$113,0)),"")</f>
        <v>HOMICIDIO VIOLENCIA DE GENERO</v>
      </c>
      <c r="HG5" s="206" t="str">
        <f>IFERROR(INDEX($A$2:$A$113,MATCH(ROWS($DK$2:DK5),$DK$2:$DK$113,0)),"")</f>
        <v>HOMICIDIO VIOLENCIA DE GENERO</v>
      </c>
      <c r="HH5" s="206" t="str">
        <f>IFERROR(INDEX($A$2:$A$113,MATCH(ROWS($DL$2:DL5),$DL$2:$DL$113,0)),"")</f>
        <v>HOMICIDIO VIOLENCIA DE GENERO</v>
      </c>
      <c r="HI5" s="206" t="str">
        <f>IFERROR(INDEX($A$2:$A$113,MATCH(ROWS($DM$2:DM5),$DM$2:$DM$113,0)),"")</f>
        <v>HOMICIDIO VIOLENCIA DE GENERO</v>
      </c>
      <c r="HJ5" s="206" t="str">
        <f>IFERROR(INDEX($A$2:$A$113,MATCH(ROWS($DN$2:DN5),$DN$2:$DN$113,0)),"")</f>
        <v>HOMICIDIO VIOLENCIA DE GENERO</v>
      </c>
      <c r="HK5" s="206" t="str">
        <f>IFERROR(INDEX($A$2:$A$113,MATCH(ROWS($DO$2:DO5),$DO$2:$DO$113,0)),"")</f>
        <v>HOMICIDIO VIOLENCIA DE GENERO</v>
      </c>
      <c r="HL5" s="206" t="str">
        <f>IFERROR(INDEX($A$2:$A$113,MATCH(ROWS($DP$2:DP5),$DP$2:$DP$113,0)),"")</f>
        <v>HOMICIDIO VIOLENCIA DE GENERO</v>
      </c>
      <c r="HM5" s="206" t="str">
        <f>IFERROR(INDEX($A$2:$A$113,MATCH(ROWS($DQ$2:DQ5),$DQ$2:$DQ$113,0)),"")</f>
        <v>HOMICIDIO VIOLENCIA DE GENERO</v>
      </c>
      <c r="HN5" s="206" t="str">
        <f>IFERROR(INDEX($A$2:$A$113,MATCH(ROWS($DR$2:DR5),$DR$2:$DR$113,0)),"")</f>
        <v>HOMICIDIO VIOLENCIA DE GENERO</v>
      </c>
      <c r="HO5" s="206" t="str">
        <f>IFERROR(INDEX($A$2:$A$113,MATCH(ROWS($DS$2:DS5),$DS$2:$DS$113,0)),"")</f>
        <v>HOMICIDIO VIOLENCIA DE GENERO</v>
      </c>
      <c r="HP5" s="206" t="str">
        <f>IFERROR(INDEX($A$2:$A$113,MATCH(ROWS($DT$2:DT5),$DT$2:$DT$113,0)),"")</f>
        <v>HOMICIDIO VIOLENCIA DE GENERO</v>
      </c>
      <c r="HQ5" s="206" t="str">
        <f>IFERROR(INDEX($A$2:$A$113,MATCH(ROWS($DU$2:DU5),$DU$2:$DU$113,0)),"")</f>
        <v>HOMICIDIO VIOLENCIA DE GENERO</v>
      </c>
      <c r="HR5" s="206" t="str">
        <f>IFERROR(INDEX($A$2:$A$113,MATCH(ROWS($DV$2:DV5),$DV$2:$DV$113,0)),"")</f>
        <v>HOMICIDIO VIOLENCIA DE GENERO</v>
      </c>
      <c r="HS5" s="206" t="str">
        <f>IFERROR(INDEX($A$2:$A$113,MATCH(ROWS($DW$2:DW5),$DW$2:$DW$113,0)),"")</f>
        <v>HOMICIDIO VIOLENCIA DE GENERO</v>
      </c>
      <c r="HT5" s="206" t="str">
        <f>IFERROR(INDEX($A$2:$A$113,MATCH(ROWS($DX$2:DX5),$DX$2:$DX$113,0)),"")</f>
        <v>HOMICIDIO VIOLENCIA DE GENERO</v>
      </c>
      <c r="HU5" s="206" t="str">
        <f>IFERROR(INDEX($A$2:$A$113,MATCH(ROWS($DY$2:DY5),$DY$2:$DY$113,0)),"")</f>
        <v>HOMICIDIO VIOLENCIA DE GENERO</v>
      </c>
      <c r="HV5" s="206" t="str">
        <f>IFERROR(INDEX($A$2:$A$113,MATCH(ROWS($DZ$2:DZ5),$DZ$2:$DZ$113,0)),"")</f>
        <v>HOMICIDIO VIOLENCIA DE GENERO</v>
      </c>
      <c r="HW5" s="206" t="str">
        <f>IFERROR(INDEX($A$2:$A$113,MATCH(ROWS($EA$2:EA5),$EA$2:$EA$113,0)),"")</f>
        <v>HOMICIDIO VIOLENCIA DE GENERO</v>
      </c>
      <c r="HX5" s="206" t="str">
        <f>IFERROR(INDEX($A$2:$A$113,MATCH(ROWS($EB$2:EB5),$EB$2:$EB$113,0)),"")</f>
        <v>HOMICIDIO VIOLENCIA DE GENERO</v>
      </c>
      <c r="HY5" s="206" t="str">
        <f>IFERROR(INDEX($A$2:$A$113,MATCH(ROWS($EC$2:EC5),$EC$2:$EC$113,0)),"")</f>
        <v>HOMICIDIO VIOLENCIA DE GENERO</v>
      </c>
      <c r="HZ5" s="206" t="str">
        <f>IFERROR(INDEX($A$2:$A$113,MATCH(ROWS($ED$2:ED5),$ED$2:$ED$113,0)),"")</f>
        <v>HOMICIDIO VIOLENCIA DE GENERO</v>
      </c>
      <c r="IA5" s="206" t="str">
        <f>IFERROR(INDEX($A$2:$A$113,MATCH(ROWS($EE$2:EE5),$EE$2:$EE$113,0)),"")</f>
        <v>HOMICIDIO VIOLENCIA DE GENERO</v>
      </c>
      <c r="IB5" s="206" t="str">
        <f>IFERROR(INDEX($A$2:$A$113,MATCH(ROWS($EF$2:EF5),$EF$2:$EF$113,0)),"")</f>
        <v>HOMICIDIO VIOLENCIA DE GENERO</v>
      </c>
      <c r="IC5" s="206" t="str">
        <f>IFERROR(INDEX($A$2:$A$113,MATCH(ROWS($EG$2:EG5),$EG$2:$EG$113,0)),"")</f>
        <v>HOMICIDIO VIOLENCIA DE GENERO</v>
      </c>
      <c r="ID5" s="206" t="str">
        <f>IFERROR(INDEX($A$2:$A$113,MATCH(ROWS($EH$2:EH5),$EH$2:$EH$113,0)),"")</f>
        <v>HOMICIDIO VIOLENCIA DE GENERO</v>
      </c>
      <c r="IE5" s="206" t="str">
        <f>IFERROR(INDEX($A$2:$A$113,MATCH(ROWS($EI$2:EI5),$EI$2:$EI$113,0)),"")</f>
        <v>HOMICIDIO VIOLENCIA DE GENERO</v>
      </c>
      <c r="IF5" s="206" t="str">
        <f>IFERROR(INDEX($A$2:$A$113,MATCH(ROWS($EJ$2:EJ5),$EJ$2:$EJ$113,0)),"")</f>
        <v>HOMICIDIO VIOLENCIA DE GENERO</v>
      </c>
      <c r="IG5" s="206" t="str">
        <f>IFERROR(INDEX($A$2:$A$113,MATCH(ROWS($EK$2:EK5),$EK$2:$EK$113,0)),"")</f>
        <v>HOMICIDIO VIOLENCIA DE GENERO</v>
      </c>
      <c r="IH5" s="206" t="str">
        <f>IFERROR(INDEX($A$2:$A$113,MATCH(ROWS($EL$2:EL5),$EL$2:$EL$113,0)),"")</f>
        <v>HOMICIDIO VIOLENCIA DE GENERO</v>
      </c>
      <c r="II5" s="206" t="str">
        <f>IFERROR(INDEX($A$2:$A$113,MATCH(ROWS($EM$2:EM5),$EM$2:$EM$113,0)),"")</f>
        <v>HOMICIDIO VIOLENCIA DE GENERO</v>
      </c>
      <c r="IJ5" s="206" t="str">
        <f>IFERROR(INDEX($A$2:$A$113,MATCH(ROWS($EN$2:EN5),$EN$2:$EN$113,0)),"")</f>
        <v>HOMICIDIO VIOLENCIA DE GENERO</v>
      </c>
      <c r="IK5" s="207" t="str">
        <f>IFERROR(INDEX($A$2:$A$113,MATCH(ROWS($EO$2:EO5),$EO$2:$EO$113,0)),"")</f>
        <v>HOMICIDIO VIOLENCIA DE GENERO</v>
      </c>
      <c r="IL5" s="207" t="str">
        <f>IFERROR(INDEX($A$2:$A$113,MATCH(ROWS($EP$2:EP5),$EP$2:$EP$113,0)),"")</f>
        <v>HOMICIDIO VIOLENCIA DE GENERO</v>
      </c>
      <c r="IM5" s="207" t="str">
        <f>IFERROR(INDEX($A$2:$A$113,MATCH(ROWS($EQ$2:EQ5),$EQ$2:$EQ$113,0)),"")</f>
        <v>HOMICIDIO VIOLENCIA DE GENERO</v>
      </c>
      <c r="IN5" s="207" t="str">
        <f>IFERROR(INDEX($A$2:$A$113,MATCH(ROWS($ER$2:ER5),$ER$2:$ER$113,0)),"")</f>
        <v>HOMICIDIO VIOLENCIA DE GENERO</v>
      </c>
      <c r="IO5" s="207" t="str">
        <f>IFERROR(INDEX($A$2:$A$113,MATCH(ROWS($ES$2:ES5),$ES$2:$ES$113,0)),"")</f>
        <v>HOMICIDIO VIOLENCIA DE GENERO</v>
      </c>
      <c r="IP5" s="207" t="str">
        <f>IFERROR(INDEX($A$2:$A$113,MATCH(ROWS($ET$2:ET5),$ET$2:$ET$113,0)),"")</f>
        <v>HOMICIDIO VIOLENCIA DE GENERO</v>
      </c>
      <c r="IQ5" s="207" t="str">
        <f>IFERROR(INDEX($A$2:$A$113,MATCH(ROWS($EU$2:EU5),$EU$2:$EU$113,0)),"")</f>
        <v>HOMICIDIO VIOLENCIA DE GENERO</v>
      </c>
      <c r="IR5" s="207" t="str">
        <f>IFERROR(INDEX($A$2:$A$113,MATCH(ROWS($EV$2:EV5),$EV$2:$EV$113,0)),"")</f>
        <v>HOMICIDIO VIOLENCIA DE GENERO</v>
      </c>
      <c r="IS5" s="207" t="str">
        <f>IFERROR(INDEX($A$2:$A$113,MATCH(ROWS($EW$2:EW5),$EW$2:$EW$113,0)),"")</f>
        <v>HOMICIDIO VIOLENCIA DE GENERO</v>
      </c>
      <c r="IT5" s="207" t="str">
        <f>IFERROR(INDEX($A$2:$A$113,MATCH(ROWS($EX$2:EX5),$EX$2:$EX$113,0)),"")</f>
        <v>HOMICIDIO VIOLENCIA DE GENERO</v>
      </c>
      <c r="IU5" s="207" t="str">
        <f>IFERROR(INDEX($A$2:$A$113,MATCH(ROWS($EY$2:EY5),$EY$2:$EY$113,0)),"")</f>
        <v>HOMICIDIO VIOLENCIA DE GENERO</v>
      </c>
      <c r="IV5" s="207" t="str">
        <f>IFERROR(INDEX($A$2:$A$113,MATCH(ROWS($EZ$2:EZ5),$EZ$2:$EZ$113,0)),"")</f>
        <v>HOMICIDIO VIOLENCIA DE GENERO</v>
      </c>
      <c r="IW5" s="207" t="str">
        <f>IFERROR(INDEX($A$2:$A$113,MATCH(ROWS($FA$2:FA5),$FA$2:$FA$113,0)),"")</f>
        <v>HOMICIDIO VIOLENCIA DE GENERO</v>
      </c>
      <c r="IX5" s="207" t="str">
        <f>IFERROR(INDEX($A$2:$A$113,MATCH(ROWS($FB$2:FB5),$FB$2:$FB$113,0)),"")</f>
        <v>HOMICIDIO VIOLENCIA DE GENERO</v>
      </c>
      <c r="IY5" s="207" t="str">
        <f>IFERROR(INDEX($A$2:$A$113,MATCH(ROWS($FC$2:FC5),$FC$2:$FC$113,0)),"")</f>
        <v>HOMICIDIO VIOLENCIA DE GENERO</v>
      </c>
      <c r="IZ5" s="207" t="str">
        <f>IFERROR(INDEX($A$2:$A$113,MATCH(ROWS($FD$2:FD5),$FD$2:$FD$113,0)),"")</f>
        <v>HOMICIDIO VIOLENCIA DE GENERO</v>
      </c>
      <c r="JA5" s="207" t="str">
        <f>IFERROR(INDEX($A$2:$A$113,MATCH(ROWS($FE$2:FE5),$FE$2:$FE$113,0)),"")</f>
        <v>HOMICIDIO VIOLENCIA DE GENERO</v>
      </c>
      <c r="JB5" s="207" t="str">
        <f>IFERROR(INDEX($A$2:$A$113,MATCH(ROWS($FF$2:FF5),$FF$2:$FF$113,0)),"")</f>
        <v>HOMICIDIO VIOLENCIA DE GENERO</v>
      </c>
      <c r="JC5" s="207" t="str">
        <f>IFERROR(INDEX($A$2:$A$113,MATCH(ROWS($FG$2:FG5),$FG$2:$FG$113,0)),"")</f>
        <v>HOMICIDIO VIOLENCIA DE GENERO</v>
      </c>
      <c r="JD5" s="207" t="str">
        <f>IFERROR(INDEX($A$2:$A$113,MATCH(ROWS($FH$2:FH5),$FH$2:$FH$113,0)),"")</f>
        <v>HOMICIDIO VIOLENCIA DE GENERO</v>
      </c>
      <c r="JE5" s="207" t="str">
        <f>IFERROR(INDEX($A$2:$A$113,MATCH(ROWS($FI$2:FI5),$FI$2:$FI$113,0)),"")</f>
        <v>HOMICIDIO VIOLENCIA DE GENERO</v>
      </c>
      <c r="JF5" s="207" t="str">
        <f>IFERROR(INDEX($A$2:$A$113,MATCH(ROWS($FJ$2:FJ5),$FJ$2:$FJ$113,0)),"")</f>
        <v>HOMICIDIO VIOLENCIA DE GENERO</v>
      </c>
      <c r="JG5" s="207" t="str">
        <f>IFERROR(INDEX($A$2:$A$113,MATCH(ROWS($FK$2:FK5),$FK$2:$FK$113,0)),"")</f>
        <v>HOMICIDIO VIOLENCIA DE GENERO</v>
      </c>
      <c r="JH5" s="207" t="str">
        <f>IFERROR(INDEX($A$2:$A$113,MATCH(ROWS($FL$2:FL5),$FL$2:$FL$113,0)),"")</f>
        <v>HOMICIDIO VIOLENCIA DE GENERO</v>
      </c>
      <c r="JI5" s="207" t="str">
        <f>IFERROR(INDEX($A$2:$A$113,MATCH(ROWS($FM$2:FM5),$FM$2:$FM$113,0)),"")</f>
        <v>HOMICIDIO VIOLENCIA DE GENERO</v>
      </c>
      <c r="JJ5" s="207" t="str">
        <f>IFERROR(INDEX($A$2:$A$113,MATCH(ROWS($FN$2:FN5),$FN$2:$FN$113,0)),"")</f>
        <v>HOMICIDIO VIOLENCIA DE GENERO</v>
      </c>
      <c r="JK5" s="207" t="str">
        <f>IFERROR(INDEX($A$2:$A$113,MATCH(ROWS($FO$2:FO5),$FO$2:$FO$113,0)),"")</f>
        <v>HOMICIDIO VIOLENCIA DE GENERO</v>
      </c>
      <c r="JL5" s="207" t="str">
        <f>IFERROR(INDEX($A$2:$A$113,MATCH(ROWS($FP$2:FP5),$FP$2:$FP$113,0)),"")</f>
        <v>HOMICIDIO VIOLENCIA DE GENERO</v>
      </c>
      <c r="JM5" s="207" t="str">
        <f>IFERROR(INDEX($A$2:$A$113,MATCH(ROWS($FQ$2:FQ5),$FQ$2:$FQ$113,0)),"")</f>
        <v>HOMICIDIO VIOLENCIA DE GENERO</v>
      </c>
      <c r="JN5" s="207" t="str">
        <f>IFERROR(INDEX($A$2:$A$113,MATCH(ROWS($FR$2:FR5),$FR$2:$FR$113,0)),"")</f>
        <v>HOMICIDIO VIOLENCIA DE GENERO</v>
      </c>
      <c r="JO5" s="207" t="str">
        <f>IFERROR(INDEX($A$2:$A$113,MATCH(ROWS($FS$2:FS5),$FS$2:$FS$113,0)),"")</f>
        <v>HOMICIDIO VIOLENCIA DE GENERO</v>
      </c>
      <c r="JP5" s="207" t="str">
        <f>IFERROR(INDEX($A$2:$A$113,MATCH(ROWS($FT$2:FT5),$FT$2:$FT$113,0)),"")</f>
        <v>HOMICIDIO VIOLENCIA DE GENERO</v>
      </c>
      <c r="JQ5" s="207" t="str">
        <f>IFERROR(INDEX($A$2:$A$113,MATCH(ROWS($FU$2:FU5),$FU$2:$FU$113,0)),"")</f>
        <v>HOMICIDIO VIOLENCIA DE GENERO</v>
      </c>
      <c r="JR5" s="207" t="str">
        <f>IFERROR(INDEX($A$2:$A$113,MATCH(ROWS($FV$2:FV5),$FV$2:$FV$113,0)),"")</f>
        <v>HOMICIDIO VIOLENCIA DE GENERO</v>
      </c>
      <c r="JS5" s="207" t="str">
        <f>IFERROR(INDEX($A$2:$A$113,MATCH(ROWS($FW$2:FW5),$FW$2:$FW$113,0)),"")</f>
        <v>HOMICIDIO VIOLENCIA DE GENERO</v>
      </c>
      <c r="JT5" s="207" t="str">
        <f>IFERROR(INDEX($A$2:$A$113,MATCH(ROWS($FX$2:FX5),$FX$2:$FX$113,0)),"")</f>
        <v>HOMICIDIO VIOLENCIA DE GENERO</v>
      </c>
      <c r="JU5" s="207" t="str">
        <f>IFERROR(INDEX($A$2:$A$113,MATCH(ROWS($FY$2:FY5),$FY$2:$FY$113,0)),"")</f>
        <v>HOMICIDIO VIOLENCIA DE GENERO</v>
      </c>
      <c r="JV5" s="207" t="str">
        <f>IFERROR(INDEX($A$2:$A$113,MATCH(ROWS($FZ$2:FZ5),$FZ$2:$FZ$113,0)),"")</f>
        <v>HOMICIDIO VIOLENCIA DE GENERO</v>
      </c>
      <c r="JW5" s="207" t="str">
        <f>IFERROR(INDEX($A$2:$A$113,MATCH(ROWS($GA$2:GA5),$GA$2:$GA$113,0)),"")</f>
        <v>HOMICIDIO VIOLENCIA DE GENERO</v>
      </c>
      <c r="JX5" s="207" t="str">
        <f>IFERROR(INDEX($A$2:$A$113,MATCH(ROWS($GB$2:GB5),$GB$2:$GB$113,0)),"")</f>
        <v>HOMICIDIO VIOLENCIA DE GENERO</v>
      </c>
      <c r="JY5" s="207" t="str">
        <f>IFERROR(INDEX($A$2:$A$113,MATCH(ROWS($GC$2:GC5),$GC$2:$GC$113,0)),"")</f>
        <v>HOMICIDIO VIOLENCIA DE GENERO</v>
      </c>
      <c r="JZ5" s="207" t="str">
        <f>IFERROR(INDEX($A$2:$A$113,MATCH(ROWS($GD$2:GD5),$GD$2:$GD$113,0)),"")</f>
        <v>HOMICIDIO VIOLENCIA DE GENERO</v>
      </c>
      <c r="KA5" s="207" t="str">
        <f>IFERROR(INDEX($A$2:$A$113,MATCH(ROWS($GE$2:GE5),$GE$2:$GE$113,0)),"")</f>
        <v>HOMICIDIO VIOLENCIA DE GENERO</v>
      </c>
      <c r="KB5" s="207" t="str">
        <f>IFERROR(INDEX($A$2:$A$113,MATCH(ROWS($GF$2:GF5),$GF$2:$GF$113,0)),"")</f>
        <v>HOMICIDIO VIOLENCIA DE GENERO</v>
      </c>
      <c r="KC5" s="207" t="str">
        <f>IFERROR(INDEX($A$2:$A$113,MATCH(ROWS($GG$2:GG5),$GG$2:$GG$113,0)),"")</f>
        <v>HOMICIDIO VIOLENCIA DE GENERO</v>
      </c>
      <c r="KD5" s="207" t="str">
        <f>IFERROR(INDEX($A$2:$A$113,MATCH(ROWS($GH$2:GH5),$GH$2:$GH$113,0)),"")</f>
        <v>HOMICIDIO VIOLENCIA DE GENERO</v>
      </c>
      <c r="KE5" s="207" t="str">
        <f>IFERROR(INDEX($A$2:$A$113,MATCH(ROWS($GI$2:GI5),$GI$2:$GI$113,0)),"")</f>
        <v>HOMICIDIO VIOLENCIA DE GENERO</v>
      </c>
      <c r="KF5" s="207" t="str">
        <f>IFERROR(INDEX($A$2:$A$113,MATCH(ROWS($GJ$2:GJ5),$GJ$2:$GJ$113,0)),"")</f>
        <v>HOMICIDIO VIOLENCIA DE GENERO</v>
      </c>
      <c r="KG5" s="207" t="str">
        <f>IFERROR(INDEX($A$2:$A$113,MATCH(ROWS($GK$2:GK5),$GK$2:$GK$113,0)),"")</f>
        <v>HOMICIDIO VIOLENCIA DE GENERO</v>
      </c>
      <c r="KH5" s="207" t="str">
        <f>IFERROR(INDEX($A$2:$A$113,MATCH(ROWS($GL$2:GL5),$GL$2:$GL$113,0)),"")</f>
        <v>HOMICIDIO VIOLENCIA DE GENERO</v>
      </c>
      <c r="KI5" s="207" t="str">
        <f>IFERROR(INDEX($A$2:$A$113,MATCH(ROWS($GM$2:GM5),$GM$2:$GM$113,0)),"")</f>
        <v>HOMICIDIO VIOLENCIA DE GENERO</v>
      </c>
      <c r="KJ5" s="207" t="str">
        <f>IFERROR(INDEX($A$2:$A$113,MATCH(ROWS($GN$2:GN5),$GN$2:$GN$113,0)),"")</f>
        <v>HOMICIDIO VIOLENCIA DE GENERO</v>
      </c>
      <c r="KK5" s="207" t="str">
        <f>IFERROR(INDEX($A$2:$A$113,MATCH(ROWS($GO$2:GO5),$GO$2:$GO$113,0)),"")</f>
        <v>HOMICIDIO VIOLENCIA DE GENERO</v>
      </c>
      <c r="KL5" s="207" t="str">
        <f>IFERROR(INDEX($A$2:$A$113,MATCH(ROWS($GP$2:GP5),$GP$2:$GP$113,0)),"")</f>
        <v>HOMICIDIO VIOLENCIA DE GENERO</v>
      </c>
      <c r="KM5" s="207" t="str">
        <f>IFERROR(INDEX($A$2:$A$113,MATCH(ROWS($GQ$2:GQ5),$GQ$2:$GQ$113,0)),"")</f>
        <v>HOMICIDIO VIOLENCIA DE GENERO</v>
      </c>
      <c r="KN5" s="207" t="str">
        <f>IFERROR(INDEX($A$2:$A$113,MATCH(ROWS($GR$2:GR5),$GR$2:$GR$113,0)),"")</f>
        <v>HOMICIDIO VIOLENCIA DE GENERO</v>
      </c>
      <c r="KO5" s="207" t="str">
        <f>IFERROR(INDEX($A$2:$A$113,MATCH(ROWS($GS$2:GS5),$GS$2:$GS$113,0)),"")</f>
        <v>HOMICIDIO VIOLENCIA DE GENERO</v>
      </c>
      <c r="KP5" s="207" t="str">
        <f>IFERROR(INDEX($A$2:$A$113,MATCH(ROWS($GT$2:GT5),$GT$2:$GT$113,0)),"")</f>
        <v>HOMICIDIO VIOLENCIA DE GENERO</v>
      </c>
      <c r="KQ5" s="207" t="str">
        <f>IFERROR(INDEX($A$2:$A$113,MATCH(ROWS($GU$2:GU5),$GU$2:$GU$113,0)),"")</f>
        <v>HOMICIDIO VIOLENCIA DE GENERO</v>
      </c>
      <c r="KR5" s="207" t="str">
        <f>IFERROR(INDEX($A$2:$A$113,MATCH(ROWS($GV$2:GV5),$GV$2:$GV$113,0)),"")</f>
        <v>HOMICIDIO VIOLENCIA DE GENERO</v>
      </c>
      <c r="KS5" s="207" t="str">
        <f>IFERROR(INDEX($A$2:$A$113,MATCH(ROWS($GW$2:GW5),$GW$2:$GW$113,0)),"")</f>
        <v>HOMICIDIO VIOLENCIA DE GENERO</v>
      </c>
    </row>
    <row r="6" spans="1:305" x14ac:dyDescent="0.25">
      <c r="A6" s="206" t="s">
        <v>60</v>
      </c>
      <c r="B6" s="206">
        <v>2</v>
      </c>
      <c r="D6" s="206" t="s">
        <v>471</v>
      </c>
      <c r="E6" s="206" t="s">
        <v>785</v>
      </c>
      <c r="F6" s="207">
        <f>--ISNUMBER(IFERROR(SEARCH('PLANILLA DJ'!$X$3,$A6,1),""))</f>
        <v>1</v>
      </c>
      <c r="G6" s="207">
        <f>--ISNUMBER(IFERROR(SEARCH('PLANILLA DJ'!$X$4,$A6,1),""))</f>
        <v>1</v>
      </c>
      <c r="H6" s="207">
        <f>--ISNUMBER(IFERROR(SEARCH('PLANILLA DJ'!$X$5,$A6,1),""))</f>
        <v>1</v>
      </c>
      <c r="I6" s="207">
        <f>--ISNUMBER(IFERROR(SEARCH('PLANILLA DJ'!$X$6,$A6,1),""))</f>
        <v>1</v>
      </c>
      <c r="J6" s="207">
        <f>--ISNUMBER(IFERROR(SEARCH('PLANILLA DJ'!$X$7,$A6,1),""))</f>
        <v>1</v>
      </c>
      <c r="K6" s="207">
        <f>--ISNUMBER(IFERROR(SEARCH('PLANILLA DJ'!$X$8,$A6,1),""))</f>
        <v>1</v>
      </c>
      <c r="L6" s="207">
        <f>--ISNUMBER(IFERROR(SEARCH('PLANILLA DJ'!$X$9,$A6,1),""))</f>
        <v>1</v>
      </c>
      <c r="M6" s="207">
        <f>--ISNUMBER(IFERROR(SEARCH('PLANILLA DJ'!$X$10,$A6,1),""))</f>
        <v>1</v>
      </c>
      <c r="N6" s="207">
        <f>--ISNUMBER(IFERROR(SEARCH('PLANILLA DJ'!$X$11,$A6,1),""))</f>
        <v>1</v>
      </c>
      <c r="O6" s="207">
        <f>--ISNUMBER(IFERROR(SEARCH('PLANILLA DJ'!$X$12,$A6,1),""))</f>
        <v>1</v>
      </c>
      <c r="P6" s="207">
        <f>--ISNUMBER(IFERROR(SEARCH('PLANILLA DJ'!$X$13,$A6,1),""))</f>
        <v>1</v>
      </c>
      <c r="Q6" s="207">
        <f>--ISNUMBER(IFERROR(SEARCH('PLANILLA DJ'!$X$14,$A6,1),""))</f>
        <v>1</v>
      </c>
      <c r="R6" s="207">
        <f>--ISNUMBER(IFERROR(SEARCH('PLANILLA DJ'!$X$15,$A6,1),""))</f>
        <v>1</v>
      </c>
      <c r="S6" s="207">
        <f>--ISNUMBER(IFERROR(SEARCH('PLANILLA DJ'!$X$16,$A6,1),""))</f>
        <v>1</v>
      </c>
      <c r="T6" s="207">
        <f>--ISNUMBER(IFERROR(SEARCH('PLANILLA DJ'!$X$17,$A6,1),""))</f>
        <v>1</v>
      </c>
      <c r="U6" s="207">
        <f>--ISNUMBER(IFERROR(SEARCH('PLANILLA DJ'!$X$18,$A6,1),""))</f>
        <v>1</v>
      </c>
      <c r="V6" s="207">
        <f>--ISNUMBER(IFERROR(SEARCH('PLANILLA DJ'!$X$19,$A6,1),""))</f>
        <v>1</v>
      </c>
      <c r="W6" s="207">
        <f>--ISNUMBER(IFERROR(SEARCH('PLANILLA DJ'!$X$20,$A6,1),""))</f>
        <v>1</v>
      </c>
      <c r="X6" s="207">
        <f>--ISNUMBER(IFERROR(SEARCH('PLANILLA DJ'!$X$21,$A6,1),""))</f>
        <v>1</v>
      </c>
      <c r="Y6" s="207">
        <f>--ISNUMBER(IFERROR(SEARCH('PLANILLA DJ'!$X$22,$A6,1),""))</f>
        <v>1</v>
      </c>
      <c r="Z6" s="207">
        <f>--ISNUMBER(IFERROR(SEARCH('PLANILLA DJ'!$X$23,$A6,1),""))</f>
        <v>1</v>
      </c>
      <c r="AA6" s="207">
        <f>--ISNUMBER(IFERROR(SEARCH('PLANILLA DJ'!$X$24,$A6,1),""))</f>
        <v>1</v>
      </c>
      <c r="AB6" s="207">
        <f>--ISNUMBER(IFERROR(SEARCH('PLANILLA DJ'!$X$25,$A6,1),""))</f>
        <v>1</v>
      </c>
      <c r="AC6" s="207">
        <f>--ISNUMBER(IFERROR(SEARCH('PLANILLA DJ'!$X$26,$A6,1),""))</f>
        <v>1</v>
      </c>
      <c r="AD6" s="207">
        <f>--ISNUMBER(IFERROR(SEARCH('PLANILLA DJ'!$X$27,$A6,1),""))</f>
        <v>1</v>
      </c>
      <c r="AE6" s="207">
        <f>--ISNUMBER(IFERROR(SEARCH('PLANILLA DJ'!$X$28,$A6,1),""))</f>
        <v>1</v>
      </c>
      <c r="AF6" s="207">
        <f>--ISNUMBER(IFERROR(SEARCH('PLANILLA DJ'!$X$29,$A6,1),""))</f>
        <v>1</v>
      </c>
      <c r="AG6" s="207">
        <f>--ISNUMBER(IFERROR(SEARCH('PLANILLA DJ'!$X$30,$A6,1),""))</f>
        <v>1</v>
      </c>
      <c r="AH6" s="207">
        <f>--ISNUMBER(IFERROR(SEARCH('PLANILLA DJ'!$X$31,$A6,1),""))</f>
        <v>1</v>
      </c>
      <c r="AI6" s="207">
        <f>--ISNUMBER(IFERROR(SEARCH('PLANILLA DJ'!$X$32,$A6,1),""))</f>
        <v>1</v>
      </c>
      <c r="AJ6" s="207">
        <f>--ISNUMBER(IFERROR(SEARCH('PLANILLA DJ'!$X$33,$A6,1),""))</f>
        <v>1</v>
      </c>
      <c r="AK6" s="207">
        <f>--ISNUMBER(IFERROR(SEARCH('PLANILLA DJ'!$X$34,$A6,1),""))</f>
        <v>1</v>
      </c>
      <c r="AL6" s="207">
        <f>--ISNUMBER(IFERROR(SEARCH('PLANILLA DJ'!$X$35,$A6,1),""))</f>
        <v>1</v>
      </c>
      <c r="AM6" s="207">
        <f>--ISNUMBER(IFERROR(SEARCH('PLANILLA DJ'!$X$36,$A6,1),""))</f>
        <v>1</v>
      </c>
      <c r="AN6" s="207">
        <f>--ISNUMBER(IFERROR(SEARCH('PLANILLA DJ'!$X$37,$A6,1),""))</f>
        <v>1</v>
      </c>
      <c r="AO6" s="207">
        <f>--ISNUMBER(IFERROR(SEARCH('PLANILLA DJ'!$X$38,$A6,1),""))</f>
        <v>1</v>
      </c>
      <c r="AP6" s="207">
        <f>--ISNUMBER(IFERROR(SEARCH('PLANILLA DJ'!$X$39,$A6,1),""))</f>
        <v>1</v>
      </c>
      <c r="AQ6" s="207">
        <f>--ISNUMBER(IFERROR(SEARCH('PLANILLA DJ'!$X$40,$A6,1),""))</f>
        <v>1</v>
      </c>
      <c r="AR6" s="207">
        <f>--ISNUMBER(IFERROR(SEARCH('PLANILLA DJ'!$X$41,$A6,1),""))</f>
        <v>1</v>
      </c>
      <c r="AS6" s="207">
        <f>--ISNUMBER(IFERROR(SEARCH('PLANILLA DJ'!$X$42,$A6,1),""))</f>
        <v>1</v>
      </c>
      <c r="AT6" s="207">
        <f>--ISNUMBER(IFERROR(SEARCH('PLANILLA DJ'!$X$43,$A6,1),""))</f>
        <v>1</v>
      </c>
      <c r="AU6" s="207">
        <f>--ISNUMBER(IFERROR(SEARCH('PLANILLA DJ'!$X$44,$A6,1),""))</f>
        <v>1</v>
      </c>
      <c r="AV6" s="207">
        <f>--ISNUMBER(IFERROR(SEARCH('PLANILLA DJ'!$X$45,$A6,1),""))</f>
        <v>1</v>
      </c>
      <c r="AW6" s="207">
        <f>--ISNUMBER(IFERROR(SEARCH('PLANILLA DJ'!$X$46,$A6,1),""))</f>
        <v>1</v>
      </c>
      <c r="AX6" s="207">
        <f>--ISNUMBER(IFERROR(SEARCH('PLANILLA DJ'!$X$47,$A6,1),""))</f>
        <v>1</v>
      </c>
      <c r="AY6" s="207">
        <f>--ISNUMBER(IFERROR(SEARCH('PLANILLA DJ'!$X$48,$A6,1),""))</f>
        <v>1</v>
      </c>
      <c r="AZ6" s="207">
        <f>--ISNUMBER(IFERROR(SEARCH('PLANILLA DJ'!$X$49,$A6,1),""))</f>
        <v>1</v>
      </c>
      <c r="BA6" s="207">
        <f>--ISNUMBER(IFERROR(SEARCH('PLANILLA DJ'!$X$50,$A6,1),""))</f>
        <v>1</v>
      </c>
      <c r="BB6" s="207">
        <f>--ISNUMBER(IFERROR(SEARCH('PLANILLA DJ'!$X$51,$A6,1),""))</f>
        <v>1</v>
      </c>
      <c r="BC6" s="207">
        <f>--ISNUMBER(IFERROR(SEARCH('PLANILLA DJ'!$X$52,$A6,1),""))</f>
        <v>1</v>
      </c>
      <c r="BD6" s="207">
        <f>--ISNUMBER(IFERROR(SEARCH('PLANILLA DJ'!$X$53,$A6,1),""))</f>
        <v>1</v>
      </c>
      <c r="BE6" s="207">
        <f>--ISNUMBER(IFERROR(SEARCH('PLANILLA DJ'!$X$54,$A6,1),""))</f>
        <v>1</v>
      </c>
      <c r="BF6" s="207">
        <f>--ISNUMBER(IFERROR(SEARCH('PLANILLA DJ'!$X$55,$A6,1),""))</f>
        <v>1</v>
      </c>
      <c r="BG6" s="207">
        <f>--ISNUMBER(IFERROR(SEARCH('PLANILLA DJ'!$X$56,$A6,1),""))</f>
        <v>1</v>
      </c>
      <c r="BH6" s="207">
        <f>--ISNUMBER(IFERROR(SEARCH('PLANILLA DJ'!$X$57,$A6,1),""))</f>
        <v>1</v>
      </c>
      <c r="BI6" s="207">
        <f>--ISNUMBER(IFERROR(SEARCH('PLANILLA DJ'!$X$58,$A6,1),""))</f>
        <v>1</v>
      </c>
      <c r="BJ6" s="207">
        <f>--ISNUMBER(IFERROR(SEARCH('PLANILLA DJ'!$X$59,$A6,1),""))</f>
        <v>1</v>
      </c>
      <c r="BK6" s="207">
        <f>--ISNUMBER(IFERROR(SEARCH('PLANILLA DJ'!$X$60,$A6,1),""))</f>
        <v>1</v>
      </c>
      <c r="BL6" s="207">
        <f>--ISNUMBER(IFERROR(SEARCH('PLANILLA DJ'!$X$61,$A6,1),""))</f>
        <v>1</v>
      </c>
      <c r="BM6" s="207">
        <f>--ISNUMBER(IFERROR(SEARCH('PLANILLA DJ'!$X$62,$A6,1),""))</f>
        <v>1</v>
      </c>
      <c r="BN6" s="207">
        <f>--ISNUMBER(IFERROR(SEARCH('PLANILLA DJ'!$X$63,$A6,1),""))</f>
        <v>1</v>
      </c>
      <c r="BO6" s="207">
        <f>--ISNUMBER(IFERROR(SEARCH('PLANILLA DJ'!$X$64,$A6,1),""))</f>
        <v>1</v>
      </c>
      <c r="BP6" s="207">
        <f>--ISNUMBER(IFERROR(SEARCH('PLANILLA DJ'!$X$65,$A6,1),""))</f>
        <v>1</v>
      </c>
      <c r="BQ6" s="207">
        <f>--ISNUMBER(IFERROR(SEARCH('PLANILLA DJ'!$X$66,$A6,1),""))</f>
        <v>1</v>
      </c>
      <c r="BR6" s="207">
        <f>--ISNUMBER(IFERROR(SEARCH('PLANILLA DJ'!$X$67,$A6,1),""))</f>
        <v>1</v>
      </c>
      <c r="BS6" s="207">
        <f>--ISNUMBER(IFERROR(SEARCH('PLANILLA DJ'!$X$68,$A6,1),""))</f>
        <v>1</v>
      </c>
      <c r="BT6" s="207">
        <f>--ISNUMBER(IFERROR(SEARCH('PLANILLA DJ'!$X$69,$A6,1),""))</f>
        <v>1</v>
      </c>
      <c r="BU6" s="207">
        <f>--ISNUMBER(IFERROR(SEARCH('PLANILLA DJ'!$X$70,$A6,1),""))</f>
        <v>1</v>
      </c>
      <c r="BV6" s="207">
        <f>--ISNUMBER(IFERROR(SEARCH('PLANILLA DJ'!$X$71,$A6,1),""))</f>
        <v>1</v>
      </c>
      <c r="BW6" s="207">
        <f>--ISNUMBER(IFERROR(SEARCH('PLANILLA DJ'!$X$72,$A6,1),""))</f>
        <v>1</v>
      </c>
      <c r="BX6" s="207">
        <f>--ISNUMBER(IFERROR(SEARCH('PLANILLA DJ'!$X$73,$A6,1),""))</f>
        <v>1</v>
      </c>
      <c r="BY6" s="207">
        <f>--ISNUMBER(IFERROR(SEARCH('PLANILLA DJ'!$X$74,$A6,1),""))</f>
        <v>1</v>
      </c>
      <c r="BZ6" s="207">
        <f>--ISNUMBER(IFERROR(SEARCH('PLANILLA DJ'!$X$75,$A6,1),""))</f>
        <v>1</v>
      </c>
      <c r="CA6" s="207">
        <f>--ISNUMBER(IFERROR(SEARCH('PLANILLA DJ'!$X$76,$A6,1),""))</f>
        <v>1</v>
      </c>
      <c r="CB6" s="207">
        <f>--ISNUMBER(IFERROR(SEARCH('PLANILLA DJ'!$X$77,$A6,1),""))</f>
        <v>1</v>
      </c>
      <c r="CC6" s="207">
        <f>--ISNUMBER(IFERROR(SEARCH('PLANILLA DJ'!$X$78,$A6,1),""))</f>
        <v>1</v>
      </c>
      <c r="CD6" s="207">
        <f>--ISNUMBER(IFERROR(SEARCH('PLANILLA DJ'!$X$79,$A6,1),""))</f>
        <v>1</v>
      </c>
      <c r="CE6" s="207">
        <f>--ISNUMBER(IFERROR(SEARCH('PLANILLA DJ'!$X$80,$A6,1),""))</f>
        <v>1</v>
      </c>
      <c r="CF6" s="207">
        <f>--ISNUMBER(IFERROR(SEARCH('PLANILLA DJ'!$X$81,$A6,1),""))</f>
        <v>1</v>
      </c>
      <c r="CG6" s="207">
        <f>--ISNUMBER(IFERROR(SEARCH('PLANILLA DJ'!$X$82,$A6,1),""))</f>
        <v>1</v>
      </c>
      <c r="CH6" s="207">
        <f>--ISNUMBER(IFERROR(SEARCH('PLANILLA DJ'!$X$83,$A6,1),""))</f>
        <v>1</v>
      </c>
      <c r="CI6" s="207">
        <f>--ISNUMBER(IFERROR(SEARCH('PLANILLA DJ'!$X$84,$A6,1),""))</f>
        <v>1</v>
      </c>
      <c r="CJ6" s="207">
        <f>--ISNUMBER(IFERROR(SEARCH('PLANILLA DJ'!$X$85,$A6,1),""))</f>
        <v>1</v>
      </c>
      <c r="CK6" s="207">
        <f>--ISNUMBER(IFERROR(SEARCH('PLANILLA DJ'!$X$86,$A6,1),""))</f>
        <v>1</v>
      </c>
      <c r="CL6" s="207">
        <f>--ISNUMBER(IFERROR(SEARCH('PLANILLA DJ'!$X$87,$A6,1),""))</f>
        <v>1</v>
      </c>
      <c r="CM6" s="207">
        <f>--ISNUMBER(IFERROR(SEARCH('PLANILLA DJ'!$X$88,$A6,1),""))</f>
        <v>1</v>
      </c>
      <c r="CN6" s="207">
        <f>--ISNUMBER(IFERROR(SEARCH('PLANILLA DJ'!$X$89,$A6,1),""))</f>
        <v>1</v>
      </c>
      <c r="CO6" s="207">
        <f>--ISNUMBER(IFERROR(SEARCH('PLANILLA DJ'!$X$90,$A6,1),""))</f>
        <v>1</v>
      </c>
      <c r="CP6" s="207">
        <f>--ISNUMBER(IFERROR(SEARCH('PLANILLA DJ'!$X$91,$A6,1),""))</f>
        <v>1</v>
      </c>
      <c r="CQ6" s="207">
        <f>--ISNUMBER(IFERROR(SEARCH('PLANILLA DJ'!$X$92,$A6,1),""))</f>
        <v>1</v>
      </c>
      <c r="CR6" s="207">
        <f>--ISNUMBER(IFERROR(SEARCH('PLANILLA DJ'!$X$93,$A6,1),""))</f>
        <v>1</v>
      </c>
      <c r="CS6" s="207">
        <f>--ISNUMBER(IFERROR(SEARCH('PLANILLA DJ'!$X$94,$A6,1),""))</f>
        <v>1</v>
      </c>
      <c r="CT6" s="207">
        <f>--ISNUMBER(IFERROR(SEARCH('PLANILLA DJ'!$X$95,$A6,1),""))</f>
        <v>1</v>
      </c>
      <c r="CU6" s="207">
        <f>--ISNUMBER(IFERROR(SEARCH('PLANILLA DJ'!$X$96,$A6,1),""))</f>
        <v>1</v>
      </c>
      <c r="CV6" s="207">
        <f>--ISNUMBER(IFERROR(SEARCH('PLANILLA DJ'!$X$97,$A6,1),""))</f>
        <v>1</v>
      </c>
      <c r="CW6" s="207">
        <f>--ISNUMBER(IFERROR(SEARCH('PLANILLA DJ'!$X$98,$A6,1),""))</f>
        <v>1</v>
      </c>
      <c r="CX6" s="207">
        <f>--ISNUMBER(IFERROR(SEARCH('PLANILLA DJ'!$X$99,$A6,1),""))</f>
        <v>1</v>
      </c>
      <c r="CY6" s="207">
        <f>--ISNUMBER(IFERROR(SEARCH('PLANILLA DJ'!$X$100,$A6,1),""))</f>
        <v>1</v>
      </c>
      <c r="CZ6" s="207">
        <f>--ISNUMBER(IFERROR(SEARCH('PLANILLA DJ'!$X$101,$A6,1),""))</f>
        <v>1</v>
      </c>
      <c r="DA6" s="207">
        <f>--ISNUMBER(IFERROR(SEARCH('PLANILLA DJ'!$X$102,$A6,1),""))</f>
        <v>1</v>
      </c>
      <c r="DB6" s="206">
        <f>IF(F6=1,COUNTIF($F$2:F6,1),"")</f>
        <v>5</v>
      </c>
      <c r="DC6" s="206">
        <f>IF(G6=1,COUNTIF($G$2:G6,1),"")</f>
        <v>5</v>
      </c>
      <c r="DD6" s="206">
        <f>IF(H6=1,COUNTIF($H$2:H6,1),"")</f>
        <v>5</v>
      </c>
      <c r="DE6" s="206">
        <f>IF(I6=1,COUNTIF($I$2:I6,1),"")</f>
        <v>5</v>
      </c>
      <c r="DF6" s="206">
        <f>IF(J6=1,COUNTIF($J$2:J6,1),"")</f>
        <v>5</v>
      </c>
      <c r="DG6" s="206">
        <f>IF(K6=1,COUNTIF($K$2:K6,1),"")</f>
        <v>5</v>
      </c>
      <c r="DH6" s="206">
        <f>IF(L6=1,COUNTIF($L$2:L6,1),"")</f>
        <v>5</v>
      </c>
      <c r="DI6" s="206">
        <f>IF(M6=1,COUNTIF($M$2:M6,1),"")</f>
        <v>5</v>
      </c>
      <c r="DJ6" s="206">
        <f>IF(N6=1,COUNTIF($N$2:N6,1),"")</f>
        <v>5</v>
      </c>
      <c r="DK6" s="206">
        <f>IF(O6=1,COUNTIF($O$2:O6,1),"")</f>
        <v>5</v>
      </c>
      <c r="DL6" s="206">
        <f>IF(P6=1,COUNTIF($P$2:P6,1),"")</f>
        <v>5</v>
      </c>
      <c r="DM6" s="206">
        <f>IF(Q6=1,COUNTIF($Q$2:Q6,1),"")</f>
        <v>5</v>
      </c>
      <c r="DN6" s="207">
        <f>IF(R6=1,COUNTIF($R$2:R6,1),"")</f>
        <v>5</v>
      </c>
      <c r="DO6" s="207">
        <f>IF(S6=1,COUNTIF($S$2:S6,1),"")</f>
        <v>5</v>
      </c>
      <c r="DP6" s="207">
        <f>IF(T6=1,COUNTIF($T$2:T6,1),"")</f>
        <v>5</v>
      </c>
      <c r="DQ6" s="207">
        <f>IF(U6=1,COUNTIF($U$2:U6,1),"")</f>
        <v>5</v>
      </c>
      <c r="DR6" s="207">
        <f>IF(V6=1,COUNTIF($V$2:V6,1),"")</f>
        <v>5</v>
      </c>
      <c r="DS6" s="207">
        <f>IF(W6=1,COUNTIF($W$2:W6,1),"")</f>
        <v>5</v>
      </c>
      <c r="DT6" s="207">
        <f>IF(X6=1,COUNTIF($X$2:X6,1),"")</f>
        <v>5</v>
      </c>
      <c r="DU6" s="207">
        <f>IF(Y6=1,COUNTIF($Y$2:Y6,1),"")</f>
        <v>5</v>
      </c>
      <c r="DV6" s="207">
        <f>IF(Z6=1,COUNTIF(Z$2:Z6,1),"")</f>
        <v>5</v>
      </c>
      <c r="DW6" s="207">
        <f>IF(AA6=1,COUNTIF($AA$2:AA6,1),"")</f>
        <v>5</v>
      </c>
      <c r="DX6" s="207">
        <f>IF(AB6=1,COUNTIF($AB$2:AB6,1),"")</f>
        <v>5</v>
      </c>
      <c r="DY6" s="207">
        <f>IF(AC6=1,COUNTIF($AC$2:AC6,1),"")</f>
        <v>5</v>
      </c>
      <c r="DZ6" s="207">
        <f>IF(AD6=1,COUNTIF($AD$2:AD6,1),"")</f>
        <v>5</v>
      </c>
      <c r="EA6" s="207">
        <f>IF(AE6=1,COUNTIF($AE$2:AE6,1),"")</f>
        <v>5</v>
      </c>
      <c r="EB6" s="207">
        <f>IF(AF6=1,COUNTIF($AF$2:AF6,1),"")</f>
        <v>5</v>
      </c>
      <c r="EC6" s="207">
        <f>IF(AG6=1,COUNTIF($AG$2:AG6,1),"")</f>
        <v>5</v>
      </c>
      <c r="ED6" s="207">
        <f>IF(AH6=1,COUNTIF($AH$2:AH6,1),"")</f>
        <v>5</v>
      </c>
      <c r="EE6" s="207">
        <f>IF(AI6=1,COUNTIF($AI$2:AI6,1),"")</f>
        <v>5</v>
      </c>
      <c r="EF6" s="207">
        <f>IF(AJ6=1,COUNTIF($AJ$2:AJ6,1),"")</f>
        <v>5</v>
      </c>
      <c r="EG6" s="207">
        <f>IF(AK6=1,COUNTIF($AK$2:AK6,1),"")</f>
        <v>5</v>
      </c>
      <c r="EH6" s="207">
        <f>IF(AL6=1,COUNTIF($AL$2:AL6,1),"")</f>
        <v>5</v>
      </c>
      <c r="EI6" s="207">
        <f>IF(AM6=1,COUNTIF($AM$2:AM6,1),"")</f>
        <v>5</v>
      </c>
      <c r="EJ6" s="207">
        <f>IF(AN6=1,COUNTIF($AN$2:AN6,1),"")</f>
        <v>5</v>
      </c>
      <c r="EK6" s="207">
        <f>IF(AO6=1,COUNTIF($AO$2:AO6,1),"")</f>
        <v>5</v>
      </c>
      <c r="EL6" s="207">
        <f>IF(AP6=1,COUNTIF($AP$2:AP6,1),"")</f>
        <v>5</v>
      </c>
      <c r="EM6" s="207">
        <f>IF(AQ6=1,COUNTIF($AQ$2:AQ6,1),"")</f>
        <v>5</v>
      </c>
      <c r="EN6" s="207">
        <f>IF(AR6=1,COUNTIF($AR$2:AR6,1),"")</f>
        <v>5</v>
      </c>
      <c r="EO6" s="207">
        <f>IF(AS6=1,COUNTIF($AS$2:AS6,1),"")</f>
        <v>5</v>
      </c>
      <c r="EP6" s="207">
        <f>IF(AT6=1,COUNTIF($AT$2:AT6,1),"")</f>
        <v>5</v>
      </c>
      <c r="EQ6" s="207">
        <f>IF(AU6=1,COUNTIF($AU$2:AU6,1),"")</f>
        <v>5</v>
      </c>
      <c r="ER6" s="207">
        <f>IF(AV6=1,COUNTIF($AV$2:AV6,1),"")</f>
        <v>5</v>
      </c>
      <c r="ES6" s="207">
        <f>IF(AW6=1,COUNTIF($AW$2:AW6,1),"")</f>
        <v>5</v>
      </c>
      <c r="ET6" s="207">
        <f>IF(AX6=1,COUNTIF($AX$2:AX6,1),"")</f>
        <v>5</v>
      </c>
      <c r="EU6" s="207">
        <f>IF(AY6=1,COUNTIF($AY$2:AY6,1),"")</f>
        <v>5</v>
      </c>
      <c r="EV6" s="207">
        <f>IF(AZ6=1,COUNTIF($AZ$2:AZ6,1),"")</f>
        <v>5</v>
      </c>
      <c r="EW6" s="207">
        <f>IF(BA6=1,COUNTIF($BA$2:BA6,1),"")</f>
        <v>5</v>
      </c>
      <c r="EX6" s="207">
        <f>IF(BB6=1,COUNTIF($BB$2:BB6,1),"")</f>
        <v>5</v>
      </c>
      <c r="EY6" s="207">
        <f>IF(BC6=1,COUNTIF($BC$2:BC6,1),"")</f>
        <v>5</v>
      </c>
      <c r="EZ6" s="207">
        <f>IF(BD6=1,COUNTIF($BD$2:BD6,1),"")</f>
        <v>5</v>
      </c>
      <c r="FA6" s="207">
        <f>IF(BE6=1,COUNTIF($BE$2:BE6,1),"")</f>
        <v>5</v>
      </c>
      <c r="FB6" s="207">
        <f>IF(BF6=1,COUNTIF($BF$2:BF6,1),"")</f>
        <v>5</v>
      </c>
      <c r="FC6" s="207">
        <f>IF(BG6=1,COUNTIF($BG$2:BG6,1),"")</f>
        <v>5</v>
      </c>
      <c r="FD6" s="207">
        <f>IF(BH6=1,COUNTIF($BH$2:BH6,1),"")</f>
        <v>5</v>
      </c>
      <c r="FE6" s="207">
        <f>IF(BI6=1,COUNTIF($BI$2:BI6,1),"")</f>
        <v>5</v>
      </c>
      <c r="FF6" s="207">
        <f>IF(BJ6=1,COUNTIF($BJ$2:BJ6,1),"")</f>
        <v>5</v>
      </c>
      <c r="FG6" s="207">
        <f>IF(BK6=1,COUNTIF($BK$2:BK6,1),"")</f>
        <v>5</v>
      </c>
      <c r="FH6" s="207">
        <f>IF(BL6=1,COUNTIF($BL$2:BL6,1),"")</f>
        <v>5</v>
      </c>
      <c r="FI6" s="207">
        <f>IF(BM6=1,COUNTIF($BM$2:BM6,1),"")</f>
        <v>5</v>
      </c>
      <c r="FJ6" s="207">
        <f>IF(BN6=1,COUNTIF($BN$2:BN6,1),"")</f>
        <v>5</v>
      </c>
      <c r="FK6" s="207">
        <f>IF(BO6=1,COUNTIF($BO$2:BO6,1),"")</f>
        <v>5</v>
      </c>
      <c r="FL6" s="207">
        <f>IF(BP6=1,COUNTIF($BP$2:BP6,1),"")</f>
        <v>5</v>
      </c>
      <c r="FM6" s="207">
        <f>IF(BQ6=1,COUNTIF($BQ$2:BQ6,1),"")</f>
        <v>5</v>
      </c>
      <c r="FN6" s="207">
        <f>IF(BR6=1,COUNTIF($BR$2:BR6,1),"")</f>
        <v>5</v>
      </c>
      <c r="FO6" s="207">
        <f>IF(BS6=1,COUNTIF($BS$2:BS6,1),"")</f>
        <v>5</v>
      </c>
      <c r="FP6" s="207">
        <f>IF(BT6=1,COUNTIF($BT$2:BT6,1),"")</f>
        <v>5</v>
      </c>
      <c r="FQ6" s="207">
        <f>IF(BU6=1,COUNTIF($BU$2:BU6,1),"")</f>
        <v>5</v>
      </c>
      <c r="FR6" s="207">
        <f>IF(BV6=1,COUNTIF($BV$2:BV6,1),"")</f>
        <v>5</v>
      </c>
      <c r="FS6" s="207">
        <f>IF(BW6=1,COUNTIF($BW$2:BW6,1),"")</f>
        <v>5</v>
      </c>
      <c r="FT6" s="207">
        <f>IF(BX6=1,COUNTIF($BX$2:BX6,1),"")</f>
        <v>5</v>
      </c>
      <c r="FU6" s="207">
        <f>IF(BY6=1,COUNTIF($BY$2:BY6,1),"")</f>
        <v>5</v>
      </c>
      <c r="FV6" s="207">
        <f>IF(BZ6=1,COUNTIF($BZ$2:BZ6,1),"")</f>
        <v>5</v>
      </c>
      <c r="FW6" s="207">
        <f>IF(CA6=1,COUNTIF($CA$2:CA6,1),"")</f>
        <v>5</v>
      </c>
      <c r="FX6" s="207">
        <f>IF(CB6=1,COUNTIF($CB$2:CB6,1),"")</f>
        <v>5</v>
      </c>
      <c r="FY6" s="207">
        <f>IF(CC6=1,COUNTIF($CC$2:CC6,1),"")</f>
        <v>5</v>
      </c>
      <c r="FZ6" s="207">
        <f>IF(CD6=1,COUNTIF($CD$2:CD6,1),"")</f>
        <v>5</v>
      </c>
      <c r="GA6" s="207">
        <f>IF(CE6=1,COUNTIF($CE$2:CE6,1),"")</f>
        <v>5</v>
      </c>
      <c r="GB6" s="207">
        <f>IF(CF6=1,COUNTIF($CF$2:CF6,1),"")</f>
        <v>5</v>
      </c>
      <c r="GC6" s="207">
        <f>IF(CG6=1,COUNTIF($CG$2:CG6,1),"")</f>
        <v>5</v>
      </c>
      <c r="GD6" s="207">
        <f>IF(CH6=1,COUNTIF($CH$2:CH6,1),"")</f>
        <v>5</v>
      </c>
      <c r="GE6" s="207">
        <f>IF(CI6=1,COUNTIF($CI$2:CI6,1),"")</f>
        <v>5</v>
      </c>
      <c r="GF6" s="207">
        <f>IF(CJ6=1,COUNTIF($CJ$2:CJ6,1),"")</f>
        <v>5</v>
      </c>
      <c r="GG6" s="207">
        <f>IF(CK6=1,COUNTIF($CK$2:CK6,1),"")</f>
        <v>5</v>
      </c>
      <c r="GH6" s="207">
        <f>IF(CL6=1,COUNTIF($CL$2:CL6,1),"")</f>
        <v>5</v>
      </c>
      <c r="GI6" s="207">
        <f>IF(CM6=1,COUNTIF($CM$2:CM6,1),"")</f>
        <v>5</v>
      </c>
      <c r="GJ6" s="207">
        <f>IF(CN6=1,COUNTIF($CN$2:CN6,1),"")</f>
        <v>5</v>
      </c>
      <c r="GK6" s="207">
        <f>IF(CO6=1,COUNTIF($CO$2:CO6,1),"")</f>
        <v>5</v>
      </c>
      <c r="GL6" s="207">
        <f>IF(CP6=1,COUNTIF($CP$2:CP6,1),"")</f>
        <v>5</v>
      </c>
      <c r="GM6" s="207">
        <f>IF(CQ6=1,COUNTIF($CQ$2:CQ6,1),"")</f>
        <v>5</v>
      </c>
      <c r="GN6" s="207">
        <f>IF(CR6=1,COUNTIF($CR$2:CR6,1),"")</f>
        <v>5</v>
      </c>
      <c r="GO6" s="207">
        <f>IF(CS6=1,COUNTIF($CS$2:CS6,1),"")</f>
        <v>5</v>
      </c>
      <c r="GP6" s="207">
        <f>IF(CT6=1,COUNTIF($CT$2:CT6,1),"")</f>
        <v>5</v>
      </c>
      <c r="GQ6" s="207">
        <f>IF(CU6=1,COUNTIF($CU$2:CU6,1),"")</f>
        <v>5</v>
      </c>
      <c r="GR6" s="207">
        <f>IF(CV6=1,COUNTIF($CV$2:CV6,1),"")</f>
        <v>5</v>
      </c>
      <c r="GS6" s="207">
        <f>IF(CW6=1,COUNTIF($CW$2:CW6,1),"")</f>
        <v>5</v>
      </c>
      <c r="GT6" s="207">
        <f>IF(CX6=1,COUNTIF($CX$2:CX6,1),"")</f>
        <v>5</v>
      </c>
      <c r="GU6" s="207">
        <f>IF(CY6=1,COUNTIF($CY$2:CY6,1),"")</f>
        <v>5</v>
      </c>
      <c r="GV6" s="207">
        <f>IF(CZ6=1,COUNTIF($CZ$2:CZ6,1),"")</f>
        <v>5</v>
      </c>
      <c r="GW6" s="207">
        <f>IF(DA6=1,COUNTIF($DA$2:DA6,1),"")</f>
        <v>5</v>
      </c>
      <c r="GX6" s="206" t="str">
        <f>IFERROR(INDEX($A$2:$A$113,MATCH(ROWS($DB$2:DB6),$DB$2:$DB$113,0)),"")</f>
        <v xml:space="preserve">HOMICIDIO EN GRADO DE TENTATIVA </v>
      </c>
      <c r="GY6" s="206" t="str">
        <f>IFERROR(INDEX($A$2:$A$113,MATCH(ROWS($DC$2:DC6),$DC$2:$DC$113,0)),"")</f>
        <v xml:space="preserve">HOMICIDIO EN GRADO DE TENTATIVA </v>
      </c>
      <c r="GZ6" s="206" t="str">
        <f>IFERROR(INDEX($A$2:$A$113,MATCH(ROWS($DD$2:DD6),$DD$2:$DD$113,0)),"")</f>
        <v xml:space="preserve">HOMICIDIO EN GRADO DE TENTATIVA </v>
      </c>
      <c r="HA6" s="206" t="str">
        <f>IFERROR(INDEX($A$2:$A$113,MATCH(ROWS($DE$2:DE6),$DE$2:$DE$113,0)),"")</f>
        <v xml:space="preserve">HOMICIDIO EN GRADO DE TENTATIVA </v>
      </c>
      <c r="HB6" s="206" t="str">
        <f>IFERROR(INDEX($A$2:$A$113,MATCH(ROWS($DF$2:DF6),$DF$2:$DF$113,0)),"")</f>
        <v xml:space="preserve">HOMICIDIO EN GRADO DE TENTATIVA </v>
      </c>
      <c r="HC6" s="206" t="str">
        <f>IFERROR(INDEX($A$2:$A$113,MATCH(ROWS($DG$2:DG6),$DG$2:$DG$113,0)),"")</f>
        <v xml:space="preserve">HOMICIDIO EN GRADO DE TENTATIVA </v>
      </c>
      <c r="HD6" s="206" t="str">
        <f>IFERROR(INDEX($A$2:$A$113,MATCH(ROWS($DH$2:DH6),$DH$2:$DH$113,0)),"")</f>
        <v xml:space="preserve">HOMICIDIO EN GRADO DE TENTATIVA </v>
      </c>
      <c r="HE6" s="206" t="str">
        <f>IFERROR(INDEX($A$2:$A$113,MATCH(ROWS($DI$2:DI6),$DI$2:$DI$113,0)),"")</f>
        <v xml:space="preserve">HOMICIDIO EN GRADO DE TENTATIVA </v>
      </c>
      <c r="HF6" s="206" t="str">
        <f>IFERROR(INDEX($A$2:$A$113,MATCH(ROWS($DJ$2:DJ6),$DJ$2:$DJ$113,0)),"")</f>
        <v xml:space="preserve">HOMICIDIO EN GRADO DE TENTATIVA </v>
      </c>
      <c r="HG6" s="206" t="str">
        <f>IFERROR(INDEX($A$2:$A$113,MATCH(ROWS($DK$2:DK6),$DK$2:$DK$113,0)),"")</f>
        <v xml:space="preserve">HOMICIDIO EN GRADO DE TENTATIVA </v>
      </c>
      <c r="HH6" s="206" t="str">
        <f>IFERROR(INDEX($A$2:$A$113,MATCH(ROWS($DL$2:DL6),$DL$2:$DL$113,0)),"")</f>
        <v xml:space="preserve">HOMICIDIO EN GRADO DE TENTATIVA </v>
      </c>
      <c r="HI6" s="206" t="str">
        <f>IFERROR(INDEX($A$2:$A$113,MATCH(ROWS($DM$2:DM6),$DM$2:$DM$113,0)),"")</f>
        <v xml:space="preserve">HOMICIDIO EN GRADO DE TENTATIVA </v>
      </c>
      <c r="HJ6" s="206" t="str">
        <f>IFERROR(INDEX($A$2:$A$113,MATCH(ROWS($DN$2:DN6),$DN$2:$DN$113,0)),"")</f>
        <v xml:space="preserve">HOMICIDIO EN GRADO DE TENTATIVA </v>
      </c>
      <c r="HK6" s="206" t="str">
        <f>IFERROR(INDEX($A$2:$A$113,MATCH(ROWS($DO$2:DO6),$DO$2:$DO$113,0)),"")</f>
        <v xml:space="preserve">HOMICIDIO EN GRADO DE TENTATIVA </v>
      </c>
      <c r="HL6" s="206" t="str">
        <f>IFERROR(INDEX($A$2:$A$113,MATCH(ROWS($DP$2:DP6),$DP$2:$DP$113,0)),"")</f>
        <v xml:space="preserve">HOMICIDIO EN GRADO DE TENTATIVA </v>
      </c>
      <c r="HM6" s="206" t="str">
        <f>IFERROR(INDEX($A$2:$A$113,MATCH(ROWS($DQ$2:DQ6),$DQ$2:$DQ$113,0)),"")</f>
        <v xml:space="preserve">HOMICIDIO EN GRADO DE TENTATIVA </v>
      </c>
      <c r="HN6" s="206" t="str">
        <f>IFERROR(INDEX($A$2:$A$113,MATCH(ROWS($DR$2:DR6),$DR$2:$DR$113,0)),"")</f>
        <v xml:space="preserve">HOMICIDIO EN GRADO DE TENTATIVA </v>
      </c>
      <c r="HO6" s="206" t="str">
        <f>IFERROR(INDEX($A$2:$A$113,MATCH(ROWS($DS$2:DS6),$DS$2:$DS$113,0)),"")</f>
        <v xml:space="preserve">HOMICIDIO EN GRADO DE TENTATIVA </v>
      </c>
      <c r="HP6" s="206" t="str">
        <f>IFERROR(INDEX($A$2:$A$113,MATCH(ROWS($DT$2:DT6),$DT$2:$DT$113,0)),"")</f>
        <v xml:space="preserve">HOMICIDIO EN GRADO DE TENTATIVA </v>
      </c>
      <c r="HQ6" s="206" t="str">
        <f>IFERROR(INDEX($A$2:$A$113,MATCH(ROWS($DU$2:DU6),$DU$2:$DU$113,0)),"")</f>
        <v xml:space="preserve">HOMICIDIO EN GRADO DE TENTATIVA </v>
      </c>
      <c r="HR6" s="206" t="str">
        <f>IFERROR(INDEX($A$2:$A$113,MATCH(ROWS($DV$2:DV6),$DV$2:$DV$113,0)),"")</f>
        <v xml:space="preserve">HOMICIDIO EN GRADO DE TENTATIVA </v>
      </c>
      <c r="HS6" s="206" t="str">
        <f>IFERROR(INDEX($A$2:$A$113,MATCH(ROWS($DW$2:DW6),$DW$2:$DW$113,0)),"")</f>
        <v xml:space="preserve">HOMICIDIO EN GRADO DE TENTATIVA </v>
      </c>
      <c r="HT6" s="206" t="str">
        <f>IFERROR(INDEX($A$2:$A$113,MATCH(ROWS($DX$2:DX6),$DX$2:$DX$113,0)),"")</f>
        <v xml:space="preserve">HOMICIDIO EN GRADO DE TENTATIVA </v>
      </c>
      <c r="HU6" s="206" t="str">
        <f>IFERROR(INDEX($A$2:$A$113,MATCH(ROWS($DY$2:DY6),$DY$2:$DY$113,0)),"")</f>
        <v xml:space="preserve">HOMICIDIO EN GRADO DE TENTATIVA </v>
      </c>
      <c r="HV6" s="206" t="str">
        <f>IFERROR(INDEX($A$2:$A$113,MATCH(ROWS($DZ$2:DZ6),$DZ$2:$DZ$113,0)),"")</f>
        <v xml:space="preserve">HOMICIDIO EN GRADO DE TENTATIVA </v>
      </c>
      <c r="HW6" s="206" t="str">
        <f>IFERROR(INDEX($A$2:$A$113,MATCH(ROWS($EA$2:EA6),$EA$2:$EA$113,0)),"")</f>
        <v xml:space="preserve">HOMICIDIO EN GRADO DE TENTATIVA </v>
      </c>
      <c r="HX6" s="206" t="str">
        <f>IFERROR(INDEX($A$2:$A$113,MATCH(ROWS($EB$2:EB6),$EB$2:$EB$113,0)),"")</f>
        <v xml:space="preserve">HOMICIDIO EN GRADO DE TENTATIVA </v>
      </c>
      <c r="HY6" s="206" t="str">
        <f>IFERROR(INDEX($A$2:$A$113,MATCH(ROWS($EC$2:EC6),$EC$2:$EC$113,0)),"")</f>
        <v xml:space="preserve">HOMICIDIO EN GRADO DE TENTATIVA </v>
      </c>
      <c r="HZ6" s="206" t="str">
        <f>IFERROR(INDEX($A$2:$A$113,MATCH(ROWS($ED$2:ED6),$ED$2:$ED$113,0)),"")</f>
        <v xml:space="preserve">HOMICIDIO EN GRADO DE TENTATIVA </v>
      </c>
      <c r="IA6" s="206" t="str">
        <f>IFERROR(INDEX($A$2:$A$113,MATCH(ROWS($EE$2:EE6),$EE$2:$EE$113,0)),"")</f>
        <v xml:space="preserve">HOMICIDIO EN GRADO DE TENTATIVA </v>
      </c>
      <c r="IB6" s="206" t="str">
        <f>IFERROR(INDEX($A$2:$A$113,MATCH(ROWS($EF$2:EF6),$EF$2:$EF$113,0)),"")</f>
        <v xml:space="preserve">HOMICIDIO EN GRADO DE TENTATIVA </v>
      </c>
      <c r="IC6" s="206" t="str">
        <f>IFERROR(INDEX($A$2:$A$113,MATCH(ROWS($EG$2:EG6),$EG$2:$EG$113,0)),"")</f>
        <v xml:space="preserve">HOMICIDIO EN GRADO DE TENTATIVA </v>
      </c>
      <c r="ID6" s="206" t="str">
        <f>IFERROR(INDEX($A$2:$A$113,MATCH(ROWS($EH$2:EH6),$EH$2:$EH$113,0)),"")</f>
        <v xml:space="preserve">HOMICIDIO EN GRADO DE TENTATIVA </v>
      </c>
      <c r="IE6" s="206" t="str">
        <f>IFERROR(INDEX($A$2:$A$113,MATCH(ROWS($EI$2:EI6),$EI$2:$EI$113,0)),"")</f>
        <v xml:space="preserve">HOMICIDIO EN GRADO DE TENTATIVA </v>
      </c>
      <c r="IF6" s="206" t="str">
        <f>IFERROR(INDEX($A$2:$A$113,MATCH(ROWS($EJ$2:EJ6),$EJ$2:$EJ$113,0)),"")</f>
        <v xml:space="preserve">HOMICIDIO EN GRADO DE TENTATIVA </v>
      </c>
      <c r="IG6" s="206" t="str">
        <f>IFERROR(INDEX($A$2:$A$113,MATCH(ROWS($EK$2:EK6),$EK$2:$EK$113,0)),"")</f>
        <v xml:space="preserve">HOMICIDIO EN GRADO DE TENTATIVA </v>
      </c>
      <c r="IH6" s="206" t="str">
        <f>IFERROR(INDEX($A$2:$A$113,MATCH(ROWS($EL$2:EL6),$EL$2:$EL$113,0)),"")</f>
        <v xml:space="preserve">HOMICIDIO EN GRADO DE TENTATIVA </v>
      </c>
      <c r="II6" s="206" t="str">
        <f>IFERROR(INDEX($A$2:$A$113,MATCH(ROWS($EM$2:EM6),$EM$2:$EM$113,0)),"")</f>
        <v xml:space="preserve">HOMICIDIO EN GRADO DE TENTATIVA </v>
      </c>
      <c r="IJ6" s="206" t="str">
        <f>IFERROR(INDEX($A$2:$A$113,MATCH(ROWS($EN$2:EN6),$EN$2:$EN$113,0)),"")</f>
        <v xml:space="preserve">HOMICIDIO EN GRADO DE TENTATIVA </v>
      </c>
      <c r="IK6" s="207" t="str">
        <f>IFERROR(INDEX($A$2:$A$113,MATCH(ROWS($EO$2:EO6),$EO$2:$EO$113,0)),"")</f>
        <v xml:space="preserve">HOMICIDIO EN GRADO DE TENTATIVA </v>
      </c>
      <c r="IL6" s="207" t="str">
        <f>IFERROR(INDEX($A$2:$A$113,MATCH(ROWS($EP$2:EP6),$EP$2:$EP$113,0)),"")</f>
        <v xml:space="preserve">HOMICIDIO EN GRADO DE TENTATIVA </v>
      </c>
      <c r="IM6" s="207" t="str">
        <f>IFERROR(INDEX($A$2:$A$113,MATCH(ROWS($EQ$2:EQ6),$EQ$2:$EQ$113,0)),"")</f>
        <v xml:space="preserve">HOMICIDIO EN GRADO DE TENTATIVA </v>
      </c>
      <c r="IN6" s="207" t="str">
        <f>IFERROR(INDEX($A$2:$A$113,MATCH(ROWS($ER$2:ER6),$ER$2:$ER$113,0)),"")</f>
        <v xml:space="preserve">HOMICIDIO EN GRADO DE TENTATIVA </v>
      </c>
      <c r="IO6" s="207" t="str">
        <f>IFERROR(INDEX($A$2:$A$113,MATCH(ROWS($ES$2:ES6),$ES$2:$ES$113,0)),"")</f>
        <v xml:space="preserve">HOMICIDIO EN GRADO DE TENTATIVA </v>
      </c>
      <c r="IP6" s="207" t="str">
        <f>IFERROR(INDEX($A$2:$A$113,MATCH(ROWS($ET$2:ET6),$ET$2:$ET$113,0)),"")</f>
        <v xml:space="preserve">HOMICIDIO EN GRADO DE TENTATIVA </v>
      </c>
      <c r="IQ6" s="207" t="str">
        <f>IFERROR(INDEX($A$2:$A$113,MATCH(ROWS($EU$2:EU6),$EU$2:$EU$113,0)),"")</f>
        <v xml:space="preserve">HOMICIDIO EN GRADO DE TENTATIVA </v>
      </c>
      <c r="IR6" s="207" t="str">
        <f>IFERROR(INDEX($A$2:$A$113,MATCH(ROWS($EV$2:EV6),$EV$2:$EV$113,0)),"")</f>
        <v xml:space="preserve">HOMICIDIO EN GRADO DE TENTATIVA </v>
      </c>
      <c r="IS6" s="207" t="str">
        <f>IFERROR(INDEX($A$2:$A$113,MATCH(ROWS($EW$2:EW6),$EW$2:$EW$113,0)),"")</f>
        <v xml:space="preserve">HOMICIDIO EN GRADO DE TENTATIVA </v>
      </c>
      <c r="IT6" s="207" t="str">
        <f>IFERROR(INDEX($A$2:$A$113,MATCH(ROWS($EX$2:EX6),$EX$2:$EX$113,0)),"")</f>
        <v xml:space="preserve">HOMICIDIO EN GRADO DE TENTATIVA </v>
      </c>
      <c r="IU6" s="207" t="str">
        <f>IFERROR(INDEX($A$2:$A$113,MATCH(ROWS($EY$2:EY6),$EY$2:$EY$113,0)),"")</f>
        <v xml:space="preserve">HOMICIDIO EN GRADO DE TENTATIVA </v>
      </c>
      <c r="IV6" s="207" t="str">
        <f>IFERROR(INDEX($A$2:$A$113,MATCH(ROWS($EZ$2:EZ6),$EZ$2:$EZ$113,0)),"")</f>
        <v xml:space="preserve">HOMICIDIO EN GRADO DE TENTATIVA </v>
      </c>
      <c r="IW6" s="207" t="str">
        <f>IFERROR(INDEX($A$2:$A$113,MATCH(ROWS($FA$2:FA6),$FA$2:$FA$113,0)),"")</f>
        <v xml:space="preserve">HOMICIDIO EN GRADO DE TENTATIVA </v>
      </c>
      <c r="IX6" s="207" t="str">
        <f>IFERROR(INDEX($A$2:$A$113,MATCH(ROWS($FB$2:FB6),$FB$2:$FB$113,0)),"")</f>
        <v xml:space="preserve">HOMICIDIO EN GRADO DE TENTATIVA </v>
      </c>
      <c r="IY6" s="207" t="str">
        <f>IFERROR(INDEX($A$2:$A$113,MATCH(ROWS($FC$2:FC6),$FC$2:$FC$113,0)),"")</f>
        <v xml:space="preserve">HOMICIDIO EN GRADO DE TENTATIVA </v>
      </c>
      <c r="IZ6" s="207" t="str">
        <f>IFERROR(INDEX($A$2:$A$113,MATCH(ROWS($FD$2:FD6),$FD$2:$FD$113,0)),"")</f>
        <v xml:space="preserve">HOMICIDIO EN GRADO DE TENTATIVA </v>
      </c>
      <c r="JA6" s="207" t="str">
        <f>IFERROR(INDEX($A$2:$A$113,MATCH(ROWS($FE$2:FE6),$FE$2:$FE$113,0)),"")</f>
        <v xml:space="preserve">HOMICIDIO EN GRADO DE TENTATIVA </v>
      </c>
      <c r="JB6" s="207" t="str">
        <f>IFERROR(INDEX($A$2:$A$113,MATCH(ROWS($FF$2:FF6),$FF$2:$FF$113,0)),"")</f>
        <v xml:space="preserve">HOMICIDIO EN GRADO DE TENTATIVA </v>
      </c>
      <c r="JC6" s="207" t="str">
        <f>IFERROR(INDEX($A$2:$A$113,MATCH(ROWS($FG$2:FG6),$FG$2:$FG$113,0)),"")</f>
        <v xml:space="preserve">HOMICIDIO EN GRADO DE TENTATIVA </v>
      </c>
      <c r="JD6" s="207" t="str">
        <f>IFERROR(INDEX($A$2:$A$113,MATCH(ROWS($FH$2:FH6),$FH$2:$FH$113,0)),"")</f>
        <v xml:space="preserve">HOMICIDIO EN GRADO DE TENTATIVA </v>
      </c>
      <c r="JE6" s="207" t="str">
        <f>IFERROR(INDEX($A$2:$A$113,MATCH(ROWS($FI$2:FI6),$FI$2:$FI$113,0)),"")</f>
        <v xml:space="preserve">HOMICIDIO EN GRADO DE TENTATIVA </v>
      </c>
      <c r="JF6" s="207" t="str">
        <f>IFERROR(INDEX($A$2:$A$113,MATCH(ROWS($FJ$2:FJ6),$FJ$2:$FJ$113,0)),"")</f>
        <v xml:space="preserve">HOMICIDIO EN GRADO DE TENTATIVA </v>
      </c>
      <c r="JG6" s="207" t="str">
        <f>IFERROR(INDEX($A$2:$A$113,MATCH(ROWS($FK$2:FK6),$FK$2:$FK$113,0)),"")</f>
        <v xml:space="preserve">HOMICIDIO EN GRADO DE TENTATIVA </v>
      </c>
      <c r="JH6" s="207" t="str">
        <f>IFERROR(INDEX($A$2:$A$113,MATCH(ROWS($FL$2:FL6),$FL$2:$FL$113,0)),"")</f>
        <v xml:space="preserve">HOMICIDIO EN GRADO DE TENTATIVA </v>
      </c>
      <c r="JI6" s="207" t="str">
        <f>IFERROR(INDEX($A$2:$A$113,MATCH(ROWS($FM$2:FM6),$FM$2:$FM$113,0)),"")</f>
        <v xml:space="preserve">HOMICIDIO EN GRADO DE TENTATIVA </v>
      </c>
      <c r="JJ6" s="207" t="str">
        <f>IFERROR(INDEX($A$2:$A$113,MATCH(ROWS($FN$2:FN6),$FN$2:$FN$113,0)),"")</f>
        <v xml:space="preserve">HOMICIDIO EN GRADO DE TENTATIVA </v>
      </c>
      <c r="JK6" s="207" t="str">
        <f>IFERROR(INDEX($A$2:$A$113,MATCH(ROWS($FO$2:FO6),$FO$2:$FO$113,0)),"")</f>
        <v xml:space="preserve">HOMICIDIO EN GRADO DE TENTATIVA </v>
      </c>
      <c r="JL6" s="207" t="str">
        <f>IFERROR(INDEX($A$2:$A$113,MATCH(ROWS($FP$2:FP6),$FP$2:$FP$113,0)),"")</f>
        <v xml:space="preserve">HOMICIDIO EN GRADO DE TENTATIVA </v>
      </c>
      <c r="JM6" s="207" t="str">
        <f>IFERROR(INDEX($A$2:$A$113,MATCH(ROWS($FQ$2:FQ6),$FQ$2:$FQ$113,0)),"")</f>
        <v xml:space="preserve">HOMICIDIO EN GRADO DE TENTATIVA </v>
      </c>
      <c r="JN6" s="207" t="str">
        <f>IFERROR(INDEX($A$2:$A$113,MATCH(ROWS($FR$2:FR6),$FR$2:$FR$113,0)),"")</f>
        <v xml:space="preserve">HOMICIDIO EN GRADO DE TENTATIVA </v>
      </c>
      <c r="JO6" s="207" t="str">
        <f>IFERROR(INDEX($A$2:$A$113,MATCH(ROWS($FS$2:FS6),$FS$2:$FS$113,0)),"")</f>
        <v xml:space="preserve">HOMICIDIO EN GRADO DE TENTATIVA </v>
      </c>
      <c r="JP6" s="207" t="str">
        <f>IFERROR(INDEX($A$2:$A$113,MATCH(ROWS($FT$2:FT6),$FT$2:$FT$113,0)),"")</f>
        <v xml:space="preserve">HOMICIDIO EN GRADO DE TENTATIVA </v>
      </c>
      <c r="JQ6" s="207" t="str">
        <f>IFERROR(INDEX($A$2:$A$113,MATCH(ROWS($FU$2:FU6),$FU$2:$FU$113,0)),"")</f>
        <v xml:space="preserve">HOMICIDIO EN GRADO DE TENTATIVA </v>
      </c>
      <c r="JR6" s="207" t="str">
        <f>IFERROR(INDEX($A$2:$A$113,MATCH(ROWS($FV$2:FV6),$FV$2:$FV$113,0)),"")</f>
        <v xml:space="preserve">HOMICIDIO EN GRADO DE TENTATIVA </v>
      </c>
      <c r="JS6" s="207" t="str">
        <f>IFERROR(INDEX($A$2:$A$113,MATCH(ROWS($FW$2:FW6),$FW$2:$FW$113,0)),"")</f>
        <v xml:space="preserve">HOMICIDIO EN GRADO DE TENTATIVA </v>
      </c>
      <c r="JT6" s="207" t="str">
        <f>IFERROR(INDEX($A$2:$A$113,MATCH(ROWS($FX$2:FX6),$FX$2:$FX$113,0)),"")</f>
        <v xml:space="preserve">HOMICIDIO EN GRADO DE TENTATIVA </v>
      </c>
      <c r="JU6" s="207" t="str">
        <f>IFERROR(INDEX($A$2:$A$113,MATCH(ROWS($FY$2:FY6),$FY$2:$FY$113,0)),"")</f>
        <v xml:space="preserve">HOMICIDIO EN GRADO DE TENTATIVA </v>
      </c>
      <c r="JV6" s="207" t="str">
        <f>IFERROR(INDEX($A$2:$A$113,MATCH(ROWS($FZ$2:FZ6),$FZ$2:$FZ$113,0)),"")</f>
        <v xml:space="preserve">HOMICIDIO EN GRADO DE TENTATIVA </v>
      </c>
      <c r="JW6" s="207" t="str">
        <f>IFERROR(INDEX($A$2:$A$113,MATCH(ROWS($GA$2:GA6),$GA$2:$GA$113,0)),"")</f>
        <v xml:space="preserve">HOMICIDIO EN GRADO DE TENTATIVA </v>
      </c>
      <c r="JX6" s="207" t="str">
        <f>IFERROR(INDEX($A$2:$A$113,MATCH(ROWS($GB$2:GB6),$GB$2:$GB$113,0)),"")</f>
        <v xml:space="preserve">HOMICIDIO EN GRADO DE TENTATIVA </v>
      </c>
      <c r="JY6" s="207" t="str">
        <f>IFERROR(INDEX($A$2:$A$113,MATCH(ROWS($GC$2:GC6),$GC$2:$GC$113,0)),"")</f>
        <v xml:space="preserve">HOMICIDIO EN GRADO DE TENTATIVA </v>
      </c>
      <c r="JZ6" s="207" t="str">
        <f>IFERROR(INDEX($A$2:$A$113,MATCH(ROWS($GD$2:GD6),$GD$2:$GD$113,0)),"")</f>
        <v xml:space="preserve">HOMICIDIO EN GRADO DE TENTATIVA </v>
      </c>
      <c r="KA6" s="207" t="str">
        <f>IFERROR(INDEX($A$2:$A$113,MATCH(ROWS($GE$2:GE6),$GE$2:$GE$113,0)),"")</f>
        <v xml:space="preserve">HOMICIDIO EN GRADO DE TENTATIVA </v>
      </c>
      <c r="KB6" s="207" t="str">
        <f>IFERROR(INDEX($A$2:$A$113,MATCH(ROWS($GF$2:GF6),$GF$2:$GF$113,0)),"")</f>
        <v xml:space="preserve">HOMICIDIO EN GRADO DE TENTATIVA </v>
      </c>
      <c r="KC6" s="207" t="str">
        <f>IFERROR(INDEX($A$2:$A$113,MATCH(ROWS($GG$2:GG6),$GG$2:$GG$113,0)),"")</f>
        <v xml:space="preserve">HOMICIDIO EN GRADO DE TENTATIVA </v>
      </c>
      <c r="KD6" s="207" t="str">
        <f>IFERROR(INDEX($A$2:$A$113,MATCH(ROWS($GH$2:GH6),$GH$2:$GH$113,0)),"")</f>
        <v xml:space="preserve">HOMICIDIO EN GRADO DE TENTATIVA </v>
      </c>
      <c r="KE6" s="207" t="str">
        <f>IFERROR(INDEX($A$2:$A$113,MATCH(ROWS($GI$2:GI6),$GI$2:$GI$113,0)),"")</f>
        <v xml:space="preserve">HOMICIDIO EN GRADO DE TENTATIVA </v>
      </c>
      <c r="KF6" s="207" t="str">
        <f>IFERROR(INDEX($A$2:$A$113,MATCH(ROWS($GJ$2:GJ6),$GJ$2:$GJ$113,0)),"")</f>
        <v xml:space="preserve">HOMICIDIO EN GRADO DE TENTATIVA </v>
      </c>
      <c r="KG6" s="207" t="str">
        <f>IFERROR(INDEX($A$2:$A$113,MATCH(ROWS($GK$2:GK6),$GK$2:$GK$113,0)),"")</f>
        <v xml:space="preserve">HOMICIDIO EN GRADO DE TENTATIVA </v>
      </c>
      <c r="KH6" s="207" t="str">
        <f>IFERROR(INDEX($A$2:$A$113,MATCH(ROWS($GL$2:GL6),$GL$2:$GL$113,0)),"")</f>
        <v xml:space="preserve">HOMICIDIO EN GRADO DE TENTATIVA </v>
      </c>
      <c r="KI6" s="207" t="str">
        <f>IFERROR(INDEX($A$2:$A$113,MATCH(ROWS($GM$2:GM6),$GM$2:$GM$113,0)),"")</f>
        <v xml:space="preserve">HOMICIDIO EN GRADO DE TENTATIVA </v>
      </c>
      <c r="KJ6" s="207" t="str">
        <f>IFERROR(INDEX($A$2:$A$113,MATCH(ROWS($GN$2:GN6),$GN$2:$GN$113,0)),"")</f>
        <v xml:space="preserve">HOMICIDIO EN GRADO DE TENTATIVA </v>
      </c>
      <c r="KK6" s="207" t="str">
        <f>IFERROR(INDEX($A$2:$A$113,MATCH(ROWS($GO$2:GO6),$GO$2:$GO$113,0)),"")</f>
        <v xml:space="preserve">HOMICIDIO EN GRADO DE TENTATIVA </v>
      </c>
      <c r="KL6" s="207" t="str">
        <f>IFERROR(INDEX($A$2:$A$113,MATCH(ROWS($GP$2:GP6),$GP$2:$GP$113,0)),"")</f>
        <v xml:space="preserve">HOMICIDIO EN GRADO DE TENTATIVA </v>
      </c>
      <c r="KM6" s="207" t="str">
        <f>IFERROR(INDEX($A$2:$A$113,MATCH(ROWS($GQ$2:GQ6),$GQ$2:$GQ$113,0)),"")</f>
        <v xml:space="preserve">HOMICIDIO EN GRADO DE TENTATIVA </v>
      </c>
      <c r="KN6" s="207" t="str">
        <f>IFERROR(INDEX($A$2:$A$113,MATCH(ROWS($GR$2:GR6),$GR$2:$GR$113,0)),"")</f>
        <v xml:space="preserve">HOMICIDIO EN GRADO DE TENTATIVA </v>
      </c>
      <c r="KO6" s="207" t="str">
        <f>IFERROR(INDEX($A$2:$A$113,MATCH(ROWS($GS$2:GS6),$GS$2:$GS$113,0)),"")</f>
        <v xml:space="preserve">HOMICIDIO EN GRADO DE TENTATIVA </v>
      </c>
      <c r="KP6" s="207" t="str">
        <f>IFERROR(INDEX($A$2:$A$113,MATCH(ROWS($GT$2:GT6),$GT$2:$GT$113,0)),"")</f>
        <v xml:space="preserve">HOMICIDIO EN GRADO DE TENTATIVA </v>
      </c>
      <c r="KQ6" s="207" t="str">
        <f>IFERROR(INDEX($A$2:$A$113,MATCH(ROWS($GU$2:GU6),$GU$2:$GU$113,0)),"")</f>
        <v xml:space="preserve">HOMICIDIO EN GRADO DE TENTATIVA </v>
      </c>
      <c r="KR6" s="207" t="str">
        <f>IFERROR(INDEX($A$2:$A$113,MATCH(ROWS($GV$2:GV6),$GV$2:$GV$113,0)),"")</f>
        <v xml:space="preserve">HOMICIDIO EN GRADO DE TENTATIVA </v>
      </c>
      <c r="KS6" s="207" t="str">
        <f>IFERROR(INDEX($A$2:$A$113,MATCH(ROWS($GW$2:GW6),$GW$2:$GW$113,0)),"")</f>
        <v xml:space="preserve">HOMICIDIO EN GRADO DE TENTATIVA </v>
      </c>
    </row>
    <row r="7" spans="1:305" x14ac:dyDescent="0.25">
      <c r="A7" s="206" t="s">
        <v>61</v>
      </c>
      <c r="B7" s="206">
        <v>3</v>
      </c>
      <c r="D7" s="206" t="s">
        <v>487</v>
      </c>
      <c r="E7" s="206" t="s">
        <v>785</v>
      </c>
      <c r="F7" s="207">
        <f>--ISNUMBER(IFERROR(SEARCH('PLANILLA DJ'!$X$3,$A7,1),""))</f>
        <v>1</v>
      </c>
      <c r="G7" s="207">
        <f>--ISNUMBER(IFERROR(SEARCH('PLANILLA DJ'!$X$4,$A7,1),""))</f>
        <v>1</v>
      </c>
      <c r="H7" s="207">
        <f>--ISNUMBER(IFERROR(SEARCH('PLANILLA DJ'!$X$5,$A7,1),""))</f>
        <v>1</v>
      </c>
      <c r="I7" s="207">
        <f>--ISNUMBER(IFERROR(SEARCH('PLANILLA DJ'!$X$6,$A7,1),""))</f>
        <v>1</v>
      </c>
      <c r="J7" s="207">
        <f>--ISNUMBER(IFERROR(SEARCH('PLANILLA DJ'!$X$7,$A7,1),""))</f>
        <v>1</v>
      </c>
      <c r="K7" s="207">
        <f>--ISNUMBER(IFERROR(SEARCH('PLANILLA DJ'!$X$8,$A7,1),""))</f>
        <v>1</v>
      </c>
      <c r="L7" s="207">
        <f>--ISNUMBER(IFERROR(SEARCH('PLANILLA DJ'!$X$9,$A7,1),""))</f>
        <v>1</v>
      </c>
      <c r="M7" s="207">
        <f>--ISNUMBER(IFERROR(SEARCH('PLANILLA DJ'!$X$10,$A7,1),""))</f>
        <v>1</v>
      </c>
      <c r="N7" s="207">
        <f>--ISNUMBER(IFERROR(SEARCH('PLANILLA DJ'!$X$11,$A7,1),""))</f>
        <v>1</v>
      </c>
      <c r="O7" s="207">
        <f>--ISNUMBER(IFERROR(SEARCH('PLANILLA DJ'!$X$12,$A7,1),""))</f>
        <v>1</v>
      </c>
      <c r="P7" s="207">
        <f>--ISNUMBER(IFERROR(SEARCH('PLANILLA DJ'!$X$13,$A7,1),""))</f>
        <v>1</v>
      </c>
      <c r="Q7" s="207">
        <f>--ISNUMBER(IFERROR(SEARCH('PLANILLA DJ'!$X$14,$A7,1),""))</f>
        <v>1</v>
      </c>
      <c r="R7" s="207">
        <f>--ISNUMBER(IFERROR(SEARCH('PLANILLA DJ'!$X$15,$A7,1),""))</f>
        <v>1</v>
      </c>
      <c r="S7" s="207">
        <f>--ISNUMBER(IFERROR(SEARCH('PLANILLA DJ'!$X$16,$A7,1),""))</f>
        <v>1</v>
      </c>
      <c r="T7" s="207">
        <f>--ISNUMBER(IFERROR(SEARCH('PLANILLA DJ'!$X$17,$A7,1),""))</f>
        <v>1</v>
      </c>
      <c r="U7" s="207">
        <f>--ISNUMBER(IFERROR(SEARCH('PLANILLA DJ'!$X$18,$A7,1),""))</f>
        <v>1</v>
      </c>
      <c r="V7" s="207">
        <f>--ISNUMBER(IFERROR(SEARCH('PLANILLA DJ'!$X$19,$A7,1),""))</f>
        <v>1</v>
      </c>
      <c r="W7" s="207">
        <f>--ISNUMBER(IFERROR(SEARCH('PLANILLA DJ'!$X$20,$A7,1),""))</f>
        <v>1</v>
      </c>
      <c r="X7" s="207">
        <f>--ISNUMBER(IFERROR(SEARCH('PLANILLA DJ'!$X$21,$A7,1),""))</f>
        <v>1</v>
      </c>
      <c r="Y7" s="207">
        <f>--ISNUMBER(IFERROR(SEARCH('PLANILLA DJ'!$X$22,$A7,1),""))</f>
        <v>1</v>
      </c>
      <c r="Z7" s="207">
        <f>--ISNUMBER(IFERROR(SEARCH('PLANILLA DJ'!$X$23,$A7,1),""))</f>
        <v>1</v>
      </c>
      <c r="AA7" s="207">
        <f>--ISNUMBER(IFERROR(SEARCH('PLANILLA DJ'!$X$24,$A7,1),""))</f>
        <v>1</v>
      </c>
      <c r="AB7" s="207">
        <f>--ISNUMBER(IFERROR(SEARCH('PLANILLA DJ'!$X$25,$A7,1),""))</f>
        <v>1</v>
      </c>
      <c r="AC7" s="207">
        <f>--ISNUMBER(IFERROR(SEARCH('PLANILLA DJ'!$X$26,$A7,1),""))</f>
        <v>1</v>
      </c>
      <c r="AD7" s="207">
        <f>--ISNUMBER(IFERROR(SEARCH('PLANILLA DJ'!$X$27,$A7,1),""))</f>
        <v>1</v>
      </c>
      <c r="AE7" s="207">
        <f>--ISNUMBER(IFERROR(SEARCH('PLANILLA DJ'!$X$28,$A7,1),""))</f>
        <v>1</v>
      </c>
      <c r="AF7" s="207">
        <f>--ISNUMBER(IFERROR(SEARCH('PLANILLA DJ'!$X$29,$A7,1),""))</f>
        <v>1</v>
      </c>
      <c r="AG7" s="207">
        <f>--ISNUMBER(IFERROR(SEARCH('PLANILLA DJ'!$X$30,$A7,1),""))</f>
        <v>1</v>
      </c>
      <c r="AH7" s="207">
        <f>--ISNUMBER(IFERROR(SEARCH('PLANILLA DJ'!$X$31,$A7,1),""))</f>
        <v>1</v>
      </c>
      <c r="AI7" s="207">
        <f>--ISNUMBER(IFERROR(SEARCH('PLANILLA DJ'!$X$32,$A7,1),""))</f>
        <v>1</v>
      </c>
      <c r="AJ7" s="207">
        <f>--ISNUMBER(IFERROR(SEARCH('PLANILLA DJ'!$X$33,$A7,1),""))</f>
        <v>1</v>
      </c>
      <c r="AK7" s="207">
        <f>--ISNUMBER(IFERROR(SEARCH('PLANILLA DJ'!$X$34,$A7,1),""))</f>
        <v>1</v>
      </c>
      <c r="AL7" s="207">
        <f>--ISNUMBER(IFERROR(SEARCH('PLANILLA DJ'!$X$35,$A7,1),""))</f>
        <v>1</v>
      </c>
      <c r="AM7" s="207">
        <f>--ISNUMBER(IFERROR(SEARCH('PLANILLA DJ'!$X$36,$A7,1),""))</f>
        <v>1</v>
      </c>
      <c r="AN7" s="207">
        <f>--ISNUMBER(IFERROR(SEARCH('PLANILLA DJ'!$X$37,$A7,1),""))</f>
        <v>1</v>
      </c>
      <c r="AO7" s="207">
        <f>--ISNUMBER(IFERROR(SEARCH('PLANILLA DJ'!$X$38,$A7,1),""))</f>
        <v>1</v>
      </c>
      <c r="AP7" s="207">
        <f>--ISNUMBER(IFERROR(SEARCH('PLANILLA DJ'!$X$39,$A7,1),""))</f>
        <v>1</v>
      </c>
      <c r="AQ7" s="207">
        <f>--ISNUMBER(IFERROR(SEARCH('PLANILLA DJ'!$X$40,$A7,1),""))</f>
        <v>1</v>
      </c>
      <c r="AR7" s="207">
        <f>--ISNUMBER(IFERROR(SEARCH('PLANILLA DJ'!$X$41,$A7,1),""))</f>
        <v>1</v>
      </c>
      <c r="AS7" s="207">
        <f>--ISNUMBER(IFERROR(SEARCH('PLANILLA DJ'!$X$42,$A7,1),""))</f>
        <v>1</v>
      </c>
      <c r="AT7" s="207">
        <f>--ISNUMBER(IFERROR(SEARCH('PLANILLA DJ'!$X$43,$A7,1),""))</f>
        <v>1</v>
      </c>
      <c r="AU7" s="207">
        <f>--ISNUMBER(IFERROR(SEARCH('PLANILLA DJ'!$X$44,$A7,1),""))</f>
        <v>1</v>
      </c>
      <c r="AV7" s="207">
        <f>--ISNUMBER(IFERROR(SEARCH('PLANILLA DJ'!$X$45,$A7,1),""))</f>
        <v>1</v>
      </c>
      <c r="AW7" s="207">
        <f>--ISNUMBER(IFERROR(SEARCH('PLANILLA DJ'!$X$46,$A7,1),""))</f>
        <v>1</v>
      </c>
      <c r="AX7" s="207">
        <f>--ISNUMBER(IFERROR(SEARCH('PLANILLA DJ'!$X$47,$A7,1),""))</f>
        <v>1</v>
      </c>
      <c r="AY7" s="207">
        <f>--ISNUMBER(IFERROR(SEARCH('PLANILLA DJ'!$X$48,$A7,1),""))</f>
        <v>1</v>
      </c>
      <c r="AZ7" s="207">
        <f>--ISNUMBER(IFERROR(SEARCH('PLANILLA DJ'!$X$49,$A7,1),""))</f>
        <v>1</v>
      </c>
      <c r="BA7" s="207">
        <f>--ISNUMBER(IFERROR(SEARCH('PLANILLA DJ'!$X$50,$A7,1),""))</f>
        <v>1</v>
      </c>
      <c r="BB7" s="207">
        <f>--ISNUMBER(IFERROR(SEARCH('PLANILLA DJ'!$X$51,$A7,1),""))</f>
        <v>1</v>
      </c>
      <c r="BC7" s="207">
        <f>--ISNUMBER(IFERROR(SEARCH('PLANILLA DJ'!$X$52,$A7,1),""))</f>
        <v>1</v>
      </c>
      <c r="BD7" s="207">
        <f>--ISNUMBER(IFERROR(SEARCH('PLANILLA DJ'!$X$53,$A7,1),""))</f>
        <v>1</v>
      </c>
      <c r="BE7" s="207">
        <f>--ISNUMBER(IFERROR(SEARCH('PLANILLA DJ'!$X$54,$A7,1),""))</f>
        <v>1</v>
      </c>
      <c r="BF7" s="207">
        <f>--ISNUMBER(IFERROR(SEARCH('PLANILLA DJ'!$X$55,$A7,1),""))</f>
        <v>1</v>
      </c>
      <c r="BG7" s="207">
        <f>--ISNUMBER(IFERROR(SEARCH('PLANILLA DJ'!$X$56,$A7,1),""))</f>
        <v>1</v>
      </c>
      <c r="BH7" s="207">
        <f>--ISNUMBER(IFERROR(SEARCH('PLANILLA DJ'!$X$57,$A7,1),""))</f>
        <v>1</v>
      </c>
      <c r="BI7" s="207">
        <f>--ISNUMBER(IFERROR(SEARCH('PLANILLA DJ'!$X$58,$A7,1),""))</f>
        <v>1</v>
      </c>
      <c r="BJ7" s="207">
        <f>--ISNUMBER(IFERROR(SEARCH('PLANILLA DJ'!$X$59,$A7,1),""))</f>
        <v>1</v>
      </c>
      <c r="BK7" s="207">
        <f>--ISNUMBER(IFERROR(SEARCH('PLANILLA DJ'!$X$60,$A7,1),""))</f>
        <v>1</v>
      </c>
      <c r="BL7" s="207">
        <f>--ISNUMBER(IFERROR(SEARCH('PLANILLA DJ'!$X$61,$A7,1),""))</f>
        <v>1</v>
      </c>
      <c r="BM7" s="207">
        <f>--ISNUMBER(IFERROR(SEARCH('PLANILLA DJ'!$X$62,$A7,1),""))</f>
        <v>1</v>
      </c>
      <c r="BN7" s="207">
        <f>--ISNUMBER(IFERROR(SEARCH('PLANILLA DJ'!$X$63,$A7,1),""))</f>
        <v>1</v>
      </c>
      <c r="BO7" s="207">
        <f>--ISNUMBER(IFERROR(SEARCH('PLANILLA DJ'!$X$64,$A7,1),""))</f>
        <v>1</v>
      </c>
      <c r="BP7" s="207">
        <f>--ISNUMBER(IFERROR(SEARCH('PLANILLA DJ'!$X$65,$A7,1),""))</f>
        <v>1</v>
      </c>
      <c r="BQ7" s="207">
        <f>--ISNUMBER(IFERROR(SEARCH('PLANILLA DJ'!$X$66,$A7,1),""))</f>
        <v>1</v>
      </c>
      <c r="BR7" s="207">
        <f>--ISNUMBER(IFERROR(SEARCH('PLANILLA DJ'!$X$67,$A7,1),""))</f>
        <v>1</v>
      </c>
      <c r="BS7" s="207">
        <f>--ISNUMBER(IFERROR(SEARCH('PLANILLA DJ'!$X$68,$A7,1),""))</f>
        <v>1</v>
      </c>
      <c r="BT7" s="207">
        <f>--ISNUMBER(IFERROR(SEARCH('PLANILLA DJ'!$X$69,$A7,1),""))</f>
        <v>1</v>
      </c>
      <c r="BU7" s="207">
        <f>--ISNUMBER(IFERROR(SEARCH('PLANILLA DJ'!$X$70,$A7,1),""))</f>
        <v>1</v>
      </c>
      <c r="BV7" s="207">
        <f>--ISNUMBER(IFERROR(SEARCH('PLANILLA DJ'!$X$71,$A7,1),""))</f>
        <v>1</v>
      </c>
      <c r="BW7" s="207">
        <f>--ISNUMBER(IFERROR(SEARCH('PLANILLA DJ'!$X$72,$A7,1),""))</f>
        <v>1</v>
      </c>
      <c r="BX7" s="207">
        <f>--ISNUMBER(IFERROR(SEARCH('PLANILLA DJ'!$X$73,$A7,1),""))</f>
        <v>1</v>
      </c>
      <c r="BY7" s="207">
        <f>--ISNUMBER(IFERROR(SEARCH('PLANILLA DJ'!$X$74,$A7,1),""))</f>
        <v>1</v>
      </c>
      <c r="BZ7" s="207">
        <f>--ISNUMBER(IFERROR(SEARCH('PLANILLA DJ'!$X$75,$A7,1),""))</f>
        <v>1</v>
      </c>
      <c r="CA7" s="207">
        <f>--ISNUMBER(IFERROR(SEARCH('PLANILLA DJ'!$X$76,$A7,1),""))</f>
        <v>1</v>
      </c>
      <c r="CB7" s="207">
        <f>--ISNUMBER(IFERROR(SEARCH('PLANILLA DJ'!$X$77,$A7,1),""))</f>
        <v>1</v>
      </c>
      <c r="CC7" s="207">
        <f>--ISNUMBER(IFERROR(SEARCH('PLANILLA DJ'!$X$78,$A7,1),""))</f>
        <v>1</v>
      </c>
      <c r="CD7" s="207">
        <f>--ISNUMBER(IFERROR(SEARCH('PLANILLA DJ'!$X$79,$A7,1),""))</f>
        <v>1</v>
      </c>
      <c r="CE7" s="207">
        <f>--ISNUMBER(IFERROR(SEARCH('PLANILLA DJ'!$X$80,$A7,1),""))</f>
        <v>1</v>
      </c>
      <c r="CF7" s="207">
        <f>--ISNUMBER(IFERROR(SEARCH('PLANILLA DJ'!$X$81,$A7,1),""))</f>
        <v>1</v>
      </c>
      <c r="CG7" s="207">
        <f>--ISNUMBER(IFERROR(SEARCH('PLANILLA DJ'!$X$82,$A7,1),""))</f>
        <v>1</v>
      </c>
      <c r="CH7" s="207">
        <f>--ISNUMBER(IFERROR(SEARCH('PLANILLA DJ'!$X$83,$A7,1),""))</f>
        <v>1</v>
      </c>
      <c r="CI7" s="207">
        <f>--ISNUMBER(IFERROR(SEARCH('PLANILLA DJ'!$X$84,$A7,1),""))</f>
        <v>1</v>
      </c>
      <c r="CJ7" s="207">
        <f>--ISNUMBER(IFERROR(SEARCH('PLANILLA DJ'!$X$85,$A7,1),""))</f>
        <v>1</v>
      </c>
      <c r="CK7" s="207">
        <f>--ISNUMBER(IFERROR(SEARCH('PLANILLA DJ'!$X$86,$A7,1),""))</f>
        <v>1</v>
      </c>
      <c r="CL7" s="207">
        <f>--ISNUMBER(IFERROR(SEARCH('PLANILLA DJ'!$X$87,$A7,1),""))</f>
        <v>1</v>
      </c>
      <c r="CM7" s="207">
        <f>--ISNUMBER(IFERROR(SEARCH('PLANILLA DJ'!$X$88,$A7,1),""))</f>
        <v>1</v>
      </c>
      <c r="CN7" s="207">
        <f>--ISNUMBER(IFERROR(SEARCH('PLANILLA DJ'!$X$89,$A7,1),""))</f>
        <v>1</v>
      </c>
      <c r="CO7" s="207">
        <f>--ISNUMBER(IFERROR(SEARCH('PLANILLA DJ'!$X$90,$A7,1),""))</f>
        <v>1</v>
      </c>
      <c r="CP7" s="207">
        <f>--ISNUMBER(IFERROR(SEARCH('PLANILLA DJ'!$X$91,$A7,1),""))</f>
        <v>1</v>
      </c>
      <c r="CQ7" s="207">
        <f>--ISNUMBER(IFERROR(SEARCH('PLANILLA DJ'!$X$92,$A7,1),""))</f>
        <v>1</v>
      </c>
      <c r="CR7" s="207">
        <f>--ISNUMBER(IFERROR(SEARCH('PLANILLA DJ'!$X$93,$A7,1),""))</f>
        <v>1</v>
      </c>
      <c r="CS7" s="207">
        <f>--ISNUMBER(IFERROR(SEARCH('PLANILLA DJ'!$X$94,$A7,1),""))</f>
        <v>1</v>
      </c>
      <c r="CT7" s="207">
        <f>--ISNUMBER(IFERROR(SEARCH('PLANILLA DJ'!$X$95,$A7,1),""))</f>
        <v>1</v>
      </c>
      <c r="CU7" s="207">
        <f>--ISNUMBER(IFERROR(SEARCH('PLANILLA DJ'!$X$96,$A7,1),""))</f>
        <v>1</v>
      </c>
      <c r="CV7" s="207">
        <f>--ISNUMBER(IFERROR(SEARCH('PLANILLA DJ'!$X$97,$A7,1),""))</f>
        <v>1</v>
      </c>
      <c r="CW7" s="207">
        <f>--ISNUMBER(IFERROR(SEARCH('PLANILLA DJ'!$X$98,$A7,1),""))</f>
        <v>1</v>
      </c>
      <c r="CX7" s="207">
        <f>--ISNUMBER(IFERROR(SEARCH('PLANILLA DJ'!$X$99,$A7,1),""))</f>
        <v>1</v>
      </c>
      <c r="CY7" s="207">
        <f>--ISNUMBER(IFERROR(SEARCH('PLANILLA DJ'!$X$100,$A7,1),""))</f>
        <v>1</v>
      </c>
      <c r="CZ7" s="207">
        <f>--ISNUMBER(IFERROR(SEARCH('PLANILLA DJ'!$X$101,$A7,1),""))</f>
        <v>1</v>
      </c>
      <c r="DA7" s="207">
        <f>--ISNUMBER(IFERROR(SEARCH('PLANILLA DJ'!$X$102,$A7,1),""))</f>
        <v>1</v>
      </c>
      <c r="DB7" s="206">
        <f>IF(F7=1,COUNTIF($F$2:F7,1),"")</f>
        <v>6</v>
      </c>
      <c r="DC7" s="206">
        <f>IF(G7=1,COUNTIF($G$2:G7,1),"")</f>
        <v>6</v>
      </c>
      <c r="DD7" s="206">
        <f>IF(H7=1,COUNTIF($H$2:H7,1),"")</f>
        <v>6</v>
      </c>
      <c r="DE7" s="206">
        <f>IF(I7=1,COUNTIF($I$2:I7,1),"")</f>
        <v>6</v>
      </c>
      <c r="DF7" s="206">
        <f>IF(J7=1,COUNTIF($J$2:J7,1),"")</f>
        <v>6</v>
      </c>
      <c r="DG7" s="206">
        <f>IF(K7=1,COUNTIF($K$2:K7,1),"")</f>
        <v>6</v>
      </c>
      <c r="DH7" s="206">
        <f>IF(L7=1,COUNTIF($L$2:L7,1),"")</f>
        <v>6</v>
      </c>
      <c r="DI7" s="206">
        <f>IF(M7=1,COUNTIF($M$2:M7,1),"")</f>
        <v>6</v>
      </c>
      <c r="DJ7" s="206">
        <f>IF(N7=1,COUNTIF($N$2:N7,1),"")</f>
        <v>6</v>
      </c>
      <c r="DK7" s="206">
        <f>IF(O7=1,COUNTIF($O$2:O7,1),"")</f>
        <v>6</v>
      </c>
      <c r="DL7" s="206">
        <f>IF(P7=1,COUNTIF($P$2:P7,1),"")</f>
        <v>6</v>
      </c>
      <c r="DM7" s="206">
        <f>IF(Q7=1,COUNTIF($Q$2:Q7,1),"")</f>
        <v>6</v>
      </c>
      <c r="DN7" s="207">
        <f>IF(R7=1,COUNTIF($R$2:R7,1),"")</f>
        <v>6</v>
      </c>
      <c r="DO7" s="207">
        <f>IF(S7=1,COUNTIF($S$2:S7,1),"")</f>
        <v>6</v>
      </c>
      <c r="DP7" s="207">
        <f>IF(T7=1,COUNTIF($T$2:T7,1),"")</f>
        <v>6</v>
      </c>
      <c r="DQ7" s="207">
        <f>IF(U7=1,COUNTIF($U$2:U7,1),"")</f>
        <v>6</v>
      </c>
      <c r="DR7" s="207">
        <f>IF(V7=1,COUNTIF($V$2:V7,1),"")</f>
        <v>6</v>
      </c>
      <c r="DS7" s="207">
        <f>IF(W7=1,COUNTIF($W$2:W7,1),"")</f>
        <v>6</v>
      </c>
      <c r="DT7" s="207">
        <f>IF(X7=1,COUNTIF($X$2:X7,1),"")</f>
        <v>6</v>
      </c>
      <c r="DU7" s="207">
        <f>IF(Y7=1,COUNTIF($Y$2:Y7,1),"")</f>
        <v>6</v>
      </c>
      <c r="DV7" s="207">
        <f>IF(Z7=1,COUNTIF(Z$2:Z7,1),"")</f>
        <v>6</v>
      </c>
      <c r="DW7" s="207">
        <f>IF(AA7=1,COUNTIF($AA$2:AA7,1),"")</f>
        <v>6</v>
      </c>
      <c r="DX7" s="207">
        <f>IF(AB7=1,COUNTIF($AB$2:AB7,1),"")</f>
        <v>6</v>
      </c>
      <c r="DY7" s="207">
        <f>IF(AC7=1,COUNTIF($AC$2:AC7,1),"")</f>
        <v>6</v>
      </c>
      <c r="DZ7" s="207">
        <f>IF(AD7=1,COUNTIF($AD$2:AD7,1),"")</f>
        <v>6</v>
      </c>
      <c r="EA7" s="207">
        <f>IF(AE7=1,COUNTIF($AE$2:AE7,1),"")</f>
        <v>6</v>
      </c>
      <c r="EB7" s="207">
        <f>IF(AF7=1,COUNTIF($AF$2:AF7,1),"")</f>
        <v>6</v>
      </c>
      <c r="EC7" s="207">
        <f>IF(AG7=1,COUNTIF($AG$2:AG7,1),"")</f>
        <v>6</v>
      </c>
      <c r="ED7" s="207">
        <f>IF(AH7=1,COUNTIF($AH$2:AH7,1),"")</f>
        <v>6</v>
      </c>
      <c r="EE7" s="207">
        <f>IF(AI7=1,COUNTIF($AI$2:AI7,1),"")</f>
        <v>6</v>
      </c>
      <c r="EF7" s="207">
        <f>IF(AJ7=1,COUNTIF($AJ$2:AJ7,1),"")</f>
        <v>6</v>
      </c>
      <c r="EG7" s="207">
        <f>IF(AK7=1,COUNTIF($AK$2:AK7,1),"")</f>
        <v>6</v>
      </c>
      <c r="EH7" s="207">
        <f>IF(AL7=1,COUNTIF($AL$2:AL7,1),"")</f>
        <v>6</v>
      </c>
      <c r="EI7" s="207">
        <f>IF(AM7=1,COUNTIF($AM$2:AM7,1),"")</f>
        <v>6</v>
      </c>
      <c r="EJ7" s="207">
        <f>IF(AN7=1,COUNTIF($AN$2:AN7,1),"")</f>
        <v>6</v>
      </c>
      <c r="EK7" s="207">
        <f>IF(AO7=1,COUNTIF($AO$2:AO7,1),"")</f>
        <v>6</v>
      </c>
      <c r="EL7" s="207">
        <f>IF(AP7=1,COUNTIF($AP$2:AP7,1),"")</f>
        <v>6</v>
      </c>
      <c r="EM7" s="207">
        <f>IF(AQ7=1,COUNTIF($AQ$2:AQ7,1),"")</f>
        <v>6</v>
      </c>
      <c r="EN7" s="207">
        <f>IF(AR7=1,COUNTIF($AR$2:AR7,1),"")</f>
        <v>6</v>
      </c>
      <c r="EO7" s="207">
        <f>IF(AS7=1,COUNTIF($AS$2:AS7,1),"")</f>
        <v>6</v>
      </c>
      <c r="EP7" s="207">
        <f>IF(AT7=1,COUNTIF($AT$2:AT7,1),"")</f>
        <v>6</v>
      </c>
      <c r="EQ7" s="207">
        <f>IF(AU7=1,COUNTIF($AU$2:AU7,1),"")</f>
        <v>6</v>
      </c>
      <c r="ER7" s="207">
        <f>IF(AV7=1,COUNTIF($AV$2:AV7,1),"")</f>
        <v>6</v>
      </c>
      <c r="ES7" s="207">
        <f>IF(AW7=1,COUNTIF($AW$2:AW7,1),"")</f>
        <v>6</v>
      </c>
      <c r="ET7" s="207">
        <f>IF(AX7=1,COUNTIF($AX$2:AX7,1),"")</f>
        <v>6</v>
      </c>
      <c r="EU7" s="207">
        <f>IF(AY7=1,COUNTIF($AY$2:AY7,1),"")</f>
        <v>6</v>
      </c>
      <c r="EV7" s="207">
        <f>IF(AZ7=1,COUNTIF($AZ$2:AZ7,1),"")</f>
        <v>6</v>
      </c>
      <c r="EW7" s="207">
        <f>IF(BA7=1,COUNTIF($BA$2:BA7,1),"")</f>
        <v>6</v>
      </c>
      <c r="EX7" s="207">
        <f>IF(BB7=1,COUNTIF($BB$2:BB7,1),"")</f>
        <v>6</v>
      </c>
      <c r="EY7" s="207">
        <f>IF(BC7=1,COUNTIF($BC$2:BC7,1),"")</f>
        <v>6</v>
      </c>
      <c r="EZ7" s="207">
        <f>IF(BD7=1,COUNTIF($BD$2:BD7,1),"")</f>
        <v>6</v>
      </c>
      <c r="FA7" s="207">
        <f>IF(BE7=1,COUNTIF($BE$2:BE7,1),"")</f>
        <v>6</v>
      </c>
      <c r="FB7" s="207">
        <f>IF(BF7=1,COUNTIF($BF$2:BF7,1),"")</f>
        <v>6</v>
      </c>
      <c r="FC7" s="207">
        <f>IF(BG7=1,COUNTIF($BG$2:BG7,1),"")</f>
        <v>6</v>
      </c>
      <c r="FD7" s="207">
        <f>IF(BH7=1,COUNTIF($BH$2:BH7,1),"")</f>
        <v>6</v>
      </c>
      <c r="FE7" s="207">
        <f>IF(BI7=1,COUNTIF($BI$2:BI7,1),"")</f>
        <v>6</v>
      </c>
      <c r="FF7" s="207">
        <f>IF(BJ7=1,COUNTIF($BJ$2:BJ7,1),"")</f>
        <v>6</v>
      </c>
      <c r="FG7" s="207">
        <f>IF(BK7=1,COUNTIF($BK$2:BK7,1),"")</f>
        <v>6</v>
      </c>
      <c r="FH7" s="207">
        <f>IF(BL7=1,COUNTIF($BL$2:BL7,1),"")</f>
        <v>6</v>
      </c>
      <c r="FI7" s="207">
        <f>IF(BM7=1,COUNTIF($BM$2:BM7,1),"")</f>
        <v>6</v>
      </c>
      <c r="FJ7" s="207">
        <f>IF(BN7=1,COUNTIF($BN$2:BN7,1),"")</f>
        <v>6</v>
      </c>
      <c r="FK7" s="207">
        <f>IF(BO7=1,COUNTIF($BO$2:BO7,1),"")</f>
        <v>6</v>
      </c>
      <c r="FL7" s="207">
        <f>IF(BP7=1,COUNTIF($BP$2:BP7,1),"")</f>
        <v>6</v>
      </c>
      <c r="FM7" s="207">
        <f>IF(BQ7=1,COUNTIF($BQ$2:BQ7,1),"")</f>
        <v>6</v>
      </c>
      <c r="FN7" s="207">
        <f>IF(BR7=1,COUNTIF($BR$2:BR7,1),"")</f>
        <v>6</v>
      </c>
      <c r="FO7" s="207">
        <f>IF(BS7=1,COUNTIF($BS$2:BS7,1),"")</f>
        <v>6</v>
      </c>
      <c r="FP7" s="207">
        <f>IF(BT7=1,COUNTIF($BT$2:BT7,1),"")</f>
        <v>6</v>
      </c>
      <c r="FQ7" s="207">
        <f>IF(BU7=1,COUNTIF($BU$2:BU7,1),"")</f>
        <v>6</v>
      </c>
      <c r="FR7" s="207">
        <f>IF(BV7=1,COUNTIF($BV$2:BV7,1),"")</f>
        <v>6</v>
      </c>
      <c r="FS7" s="207">
        <f>IF(BW7=1,COUNTIF($BW$2:BW7,1),"")</f>
        <v>6</v>
      </c>
      <c r="FT7" s="207">
        <f>IF(BX7=1,COUNTIF($BX$2:BX7,1),"")</f>
        <v>6</v>
      </c>
      <c r="FU7" s="207">
        <f>IF(BY7=1,COUNTIF($BY$2:BY7,1),"")</f>
        <v>6</v>
      </c>
      <c r="FV7" s="207">
        <f>IF(BZ7=1,COUNTIF($BZ$2:BZ7,1),"")</f>
        <v>6</v>
      </c>
      <c r="FW7" s="207">
        <f>IF(CA7=1,COUNTIF($CA$2:CA7,1),"")</f>
        <v>6</v>
      </c>
      <c r="FX7" s="207">
        <f>IF(CB7=1,COUNTIF($CB$2:CB7,1),"")</f>
        <v>6</v>
      </c>
      <c r="FY7" s="207">
        <f>IF(CC7=1,COUNTIF($CC$2:CC7,1),"")</f>
        <v>6</v>
      </c>
      <c r="FZ7" s="207">
        <f>IF(CD7=1,COUNTIF($CD$2:CD7,1),"")</f>
        <v>6</v>
      </c>
      <c r="GA7" s="207">
        <f>IF(CE7=1,COUNTIF($CE$2:CE7,1),"")</f>
        <v>6</v>
      </c>
      <c r="GB7" s="207">
        <f>IF(CF7=1,COUNTIF($CF$2:CF7,1),"")</f>
        <v>6</v>
      </c>
      <c r="GC7" s="207">
        <f>IF(CG7=1,COUNTIF($CG$2:CG7,1),"")</f>
        <v>6</v>
      </c>
      <c r="GD7" s="207">
        <f>IF(CH7=1,COUNTIF($CH$2:CH7,1),"")</f>
        <v>6</v>
      </c>
      <c r="GE7" s="207">
        <f>IF(CI7=1,COUNTIF($CI$2:CI7,1),"")</f>
        <v>6</v>
      </c>
      <c r="GF7" s="207">
        <f>IF(CJ7=1,COUNTIF($CJ$2:CJ7,1),"")</f>
        <v>6</v>
      </c>
      <c r="GG7" s="207">
        <f>IF(CK7=1,COUNTIF($CK$2:CK7,1),"")</f>
        <v>6</v>
      </c>
      <c r="GH7" s="207">
        <f>IF(CL7=1,COUNTIF($CL$2:CL7,1),"")</f>
        <v>6</v>
      </c>
      <c r="GI7" s="207">
        <f>IF(CM7=1,COUNTIF($CM$2:CM7,1),"")</f>
        <v>6</v>
      </c>
      <c r="GJ7" s="207">
        <f>IF(CN7=1,COUNTIF($CN$2:CN7,1),"")</f>
        <v>6</v>
      </c>
      <c r="GK7" s="207">
        <f>IF(CO7=1,COUNTIF($CO$2:CO7,1),"")</f>
        <v>6</v>
      </c>
      <c r="GL7" s="207">
        <f>IF(CP7=1,COUNTIF($CP$2:CP7,1),"")</f>
        <v>6</v>
      </c>
      <c r="GM7" s="207">
        <f>IF(CQ7=1,COUNTIF($CQ$2:CQ7,1),"")</f>
        <v>6</v>
      </c>
      <c r="GN7" s="207">
        <f>IF(CR7=1,COUNTIF($CR$2:CR7,1),"")</f>
        <v>6</v>
      </c>
      <c r="GO7" s="207">
        <f>IF(CS7=1,COUNTIF($CS$2:CS7,1),"")</f>
        <v>6</v>
      </c>
      <c r="GP7" s="207">
        <f>IF(CT7=1,COUNTIF($CT$2:CT7,1),"")</f>
        <v>6</v>
      </c>
      <c r="GQ7" s="207">
        <f>IF(CU7=1,COUNTIF($CU$2:CU7,1),"")</f>
        <v>6</v>
      </c>
      <c r="GR7" s="207">
        <f>IF(CV7=1,COUNTIF($CV$2:CV7,1),"")</f>
        <v>6</v>
      </c>
      <c r="GS7" s="207">
        <f>IF(CW7=1,COUNTIF($CW$2:CW7,1),"")</f>
        <v>6</v>
      </c>
      <c r="GT7" s="207">
        <f>IF(CX7=1,COUNTIF($CX$2:CX7,1),"")</f>
        <v>6</v>
      </c>
      <c r="GU7" s="207">
        <f>IF(CY7=1,COUNTIF($CY$2:CY7,1),"")</f>
        <v>6</v>
      </c>
      <c r="GV7" s="207">
        <f>IF(CZ7=1,COUNTIF($CZ$2:CZ7,1),"")</f>
        <v>6</v>
      </c>
      <c r="GW7" s="207">
        <f>IF(DA7=1,COUNTIF($DA$2:DA7,1),"")</f>
        <v>6</v>
      </c>
      <c r="GX7" s="206" t="str">
        <f>IFERROR(INDEX($A$2:$A$113,MATCH(ROWS($DB$2:DB7),$DB$2:$DB$113,0)),"")</f>
        <v>HOMICIDIO CULPOSO POR SINIESTROS VIALES</v>
      </c>
      <c r="GY7" s="206" t="str">
        <f>IFERROR(INDEX($A$2:$A$113,MATCH(ROWS($DC$2:DC7),$DC$2:$DC$113,0)),"")</f>
        <v>HOMICIDIO CULPOSO POR SINIESTROS VIALES</v>
      </c>
      <c r="GZ7" s="206" t="str">
        <f>IFERROR(INDEX($A$2:$A$113,MATCH(ROWS($DD$2:DD7),$DD$2:$DD$113,0)),"")</f>
        <v>HOMICIDIO CULPOSO POR SINIESTROS VIALES</v>
      </c>
      <c r="HA7" s="206" t="str">
        <f>IFERROR(INDEX($A$2:$A$113,MATCH(ROWS($DE$2:DE7),$DE$2:$DE$113,0)),"")</f>
        <v>HOMICIDIO CULPOSO POR SINIESTROS VIALES</v>
      </c>
      <c r="HB7" s="206" t="str">
        <f>IFERROR(INDEX($A$2:$A$113,MATCH(ROWS($DF$2:DF7),$DF$2:$DF$113,0)),"")</f>
        <v>HOMICIDIO CULPOSO POR SINIESTROS VIALES</v>
      </c>
      <c r="HC7" s="206" t="str">
        <f>IFERROR(INDEX($A$2:$A$113,MATCH(ROWS($DG$2:DG7),$DG$2:$DG$113,0)),"")</f>
        <v>HOMICIDIO CULPOSO POR SINIESTROS VIALES</v>
      </c>
      <c r="HD7" s="206" t="str">
        <f>IFERROR(INDEX($A$2:$A$113,MATCH(ROWS($DH$2:DH7),$DH$2:$DH$113,0)),"")</f>
        <v>HOMICIDIO CULPOSO POR SINIESTROS VIALES</v>
      </c>
      <c r="HE7" s="206" t="str">
        <f>IFERROR(INDEX($A$2:$A$113,MATCH(ROWS($DI$2:DI7),$DI$2:$DI$113,0)),"")</f>
        <v>HOMICIDIO CULPOSO POR SINIESTROS VIALES</v>
      </c>
      <c r="HF7" s="206" t="str">
        <f>IFERROR(INDEX($A$2:$A$113,MATCH(ROWS($DJ$2:DJ7),$DJ$2:$DJ$113,0)),"")</f>
        <v>HOMICIDIO CULPOSO POR SINIESTROS VIALES</v>
      </c>
      <c r="HG7" s="206" t="str">
        <f>IFERROR(INDEX($A$2:$A$113,MATCH(ROWS($DK$2:DK7),$DK$2:$DK$113,0)),"")</f>
        <v>HOMICIDIO CULPOSO POR SINIESTROS VIALES</v>
      </c>
      <c r="HH7" s="206" t="str">
        <f>IFERROR(INDEX($A$2:$A$113,MATCH(ROWS($DL$2:DL7),$DL$2:$DL$113,0)),"")</f>
        <v>HOMICIDIO CULPOSO POR SINIESTROS VIALES</v>
      </c>
      <c r="HI7" s="206" t="str">
        <f>IFERROR(INDEX($A$2:$A$113,MATCH(ROWS($DM$2:DM7),$DM$2:$DM$113,0)),"")</f>
        <v>HOMICIDIO CULPOSO POR SINIESTROS VIALES</v>
      </c>
      <c r="HJ7" s="206" t="str">
        <f>IFERROR(INDEX($A$2:$A$113,MATCH(ROWS($DN$2:DN7),$DN$2:$DN$113,0)),"")</f>
        <v>HOMICIDIO CULPOSO POR SINIESTROS VIALES</v>
      </c>
      <c r="HK7" s="206" t="str">
        <f>IFERROR(INDEX($A$2:$A$113,MATCH(ROWS($DO$2:DO7),$DO$2:$DO$113,0)),"")</f>
        <v>HOMICIDIO CULPOSO POR SINIESTROS VIALES</v>
      </c>
      <c r="HL7" s="206" t="str">
        <f>IFERROR(INDEX($A$2:$A$113,MATCH(ROWS($DP$2:DP7),$DP$2:$DP$113,0)),"")</f>
        <v>HOMICIDIO CULPOSO POR SINIESTROS VIALES</v>
      </c>
      <c r="HM7" s="206" t="str">
        <f>IFERROR(INDEX($A$2:$A$113,MATCH(ROWS($DQ$2:DQ7),$DQ$2:$DQ$113,0)),"")</f>
        <v>HOMICIDIO CULPOSO POR SINIESTROS VIALES</v>
      </c>
      <c r="HN7" s="206" t="str">
        <f>IFERROR(INDEX($A$2:$A$113,MATCH(ROWS($DR$2:DR7),$DR$2:$DR$113,0)),"")</f>
        <v>HOMICIDIO CULPOSO POR SINIESTROS VIALES</v>
      </c>
      <c r="HO7" s="206" t="str">
        <f>IFERROR(INDEX($A$2:$A$113,MATCH(ROWS($DS$2:DS7),$DS$2:$DS$113,0)),"")</f>
        <v>HOMICIDIO CULPOSO POR SINIESTROS VIALES</v>
      </c>
      <c r="HP7" s="206" t="str">
        <f>IFERROR(INDEX($A$2:$A$113,MATCH(ROWS($DT$2:DT7),$DT$2:$DT$113,0)),"")</f>
        <v>HOMICIDIO CULPOSO POR SINIESTROS VIALES</v>
      </c>
      <c r="HQ7" s="206" t="str">
        <f>IFERROR(INDEX($A$2:$A$113,MATCH(ROWS($DU$2:DU7),$DU$2:$DU$113,0)),"")</f>
        <v>HOMICIDIO CULPOSO POR SINIESTROS VIALES</v>
      </c>
      <c r="HR7" s="206" t="str">
        <f>IFERROR(INDEX($A$2:$A$113,MATCH(ROWS($DV$2:DV7),$DV$2:$DV$113,0)),"")</f>
        <v>HOMICIDIO CULPOSO POR SINIESTROS VIALES</v>
      </c>
      <c r="HS7" s="206" t="str">
        <f>IFERROR(INDEX($A$2:$A$113,MATCH(ROWS($DW$2:DW7),$DW$2:$DW$113,0)),"")</f>
        <v>HOMICIDIO CULPOSO POR SINIESTROS VIALES</v>
      </c>
      <c r="HT7" s="206" t="str">
        <f>IFERROR(INDEX($A$2:$A$113,MATCH(ROWS($DX$2:DX7),$DX$2:$DX$113,0)),"")</f>
        <v>HOMICIDIO CULPOSO POR SINIESTROS VIALES</v>
      </c>
      <c r="HU7" s="206" t="str">
        <f>IFERROR(INDEX($A$2:$A$113,MATCH(ROWS($DY$2:DY7),$DY$2:$DY$113,0)),"")</f>
        <v>HOMICIDIO CULPOSO POR SINIESTROS VIALES</v>
      </c>
      <c r="HV7" s="206" t="str">
        <f>IFERROR(INDEX($A$2:$A$113,MATCH(ROWS($DZ$2:DZ7),$DZ$2:$DZ$113,0)),"")</f>
        <v>HOMICIDIO CULPOSO POR SINIESTROS VIALES</v>
      </c>
      <c r="HW7" s="206" t="str">
        <f>IFERROR(INDEX($A$2:$A$113,MATCH(ROWS($EA$2:EA7),$EA$2:$EA$113,0)),"")</f>
        <v>HOMICIDIO CULPOSO POR SINIESTROS VIALES</v>
      </c>
      <c r="HX7" s="206" t="str">
        <f>IFERROR(INDEX($A$2:$A$113,MATCH(ROWS($EB$2:EB7),$EB$2:$EB$113,0)),"")</f>
        <v>HOMICIDIO CULPOSO POR SINIESTROS VIALES</v>
      </c>
      <c r="HY7" s="206" t="str">
        <f>IFERROR(INDEX($A$2:$A$113,MATCH(ROWS($EC$2:EC7),$EC$2:$EC$113,0)),"")</f>
        <v>HOMICIDIO CULPOSO POR SINIESTROS VIALES</v>
      </c>
      <c r="HZ7" s="206" t="str">
        <f>IFERROR(INDEX($A$2:$A$113,MATCH(ROWS($ED$2:ED7),$ED$2:$ED$113,0)),"")</f>
        <v>HOMICIDIO CULPOSO POR SINIESTROS VIALES</v>
      </c>
      <c r="IA7" s="206" t="str">
        <f>IFERROR(INDEX($A$2:$A$113,MATCH(ROWS($EE$2:EE7),$EE$2:$EE$113,0)),"")</f>
        <v>HOMICIDIO CULPOSO POR SINIESTROS VIALES</v>
      </c>
      <c r="IB7" s="206" t="str">
        <f>IFERROR(INDEX($A$2:$A$113,MATCH(ROWS($EF$2:EF7),$EF$2:$EF$113,0)),"")</f>
        <v>HOMICIDIO CULPOSO POR SINIESTROS VIALES</v>
      </c>
      <c r="IC7" s="206" t="str">
        <f>IFERROR(INDEX($A$2:$A$113,MATCH(ROWS($EG$2:EG7),$EG$2:$EG$113,0)),"")</f>
        <v>HOMICIDIO CULPOSO POR SINIESTROS VIALES</v>
      </c>
      <c r="ID7" s="206" t="str">
        <f>IFERROR(INDEX($A$2:$A$113,MATCH(ROWS($EH$2:EH7),$EH$2:$EH$113,0)),"")</f>
        <v>HOMICIDIO CULPOSO POR SINIESTROS VIALES</v>
      </c>
      <c r="IE7" s="206" t="str">
        <f>IFERROR(INDEX($A$2:$A$113,MATCH(ROWS($EI$2:EI7),$EI$2:$EI$113,0)),"")</f>
        <v>HOMICIDIO CULPOSO POR SINIESTROS VIALES</v>
      </c>
      <c r="IF7" s="206" t="str">
        <f>IFERROR(INDEX($A$2:$A$113,MATCH(ROWS($EJ$2:EJ7),$EJ$2:$EJ$113,0)),"")</f>
        <v>HOMICIDIO CULPOSO POR SINIESTROS VIALES</v>
      </c>
      <c r="IG7" s="206" t="str">
        <f>IFERROR(INDEX($A$2:$A$113,MATCH(ROWS($EK$2:EK7),$EK$2:$EK$113,0)),"")</f>
        <v>HOMICIDIO CULPOSO POR SINIESTROS VIALES</v>
      </c>
      <c r="IH7" s="206" t="str">
        <f>IFERROR(INDEX($A$2:$A$113,MATCH(ROWS($EL$2:EL7),$EL$2:$EL$113,0)),"")</f>
        <v>HOMICIDIO CULPOSO POR SINIESTROS VIALES</v>
      </c>
      <c r="II7" s="206" t="str">
        <f>IFERROR(INDEX($A$2:$A$113,MATCH(ROWS($EM$2:EM7),$EM$2:$EM$113,0)),"")</f>
        <v>HOMICIDIO CULPOSO POR SINIESTROS VIALES</v>
      </c>
      <c r="IJ7" s="206" t="str">
        <f>IFERROR(INDEX($A$2:$A$113,MATCH(ROWS($EN$2:EN7),$EN$2:$EN$113,0)),"")</f>
        <v>HOMICIDIO CULPOSO POR SINIESTROS VIALES</v>
      </c>
      <c r="IK7" s="207" t="str">
        <f>IFERROR(INDEX($A$2:$A$113,MATCH(ROWS($EO$2:EO7),$EO$2:$EO$113,0)),"")</f>
        <v>HOMICIDIO CULPOSO POR SINIESTROS VIALES</v>
      </c>
      <c r="IL7" s="207" t="str">
        <f>IFERROR(INDEX($A$2:$A$113,MATCH(ROWS($EP$2:EP7),$EP$2:$EP$113,0)),"")</f>
        <v>HOMICIDIO CULPOSO POR SINIESTROS VIALES</v>
      </c>
      <c r="IM7" s="207" t="str">
        <f>IFERROR(INDEX($A$2:$A$113,MATCH(ROWS($EQ$2:EQ7),$EQ$2:$EQ$113,0)),"")</f>
        <v>HOMICIDIO CULPOSO POR SINIESTROS VIALES</v>
      </c>
      <c r="IN7" s="207" t="str">
        <f>IFERROR(INDEX($A$2:$A$113,MATCH(ROWS($ER$2:ER7),$ER$2:$ER$113,0)),"")</f>
        <v>HOMICIDIO CULPOSO POR SINIESTROS VIALES</v>
      </c>
      <c r="IO7" s="207" t="str">
        <f>IFERROR(INDEX($A$2:$A$113,MATCH(ROWS($ES$2:ES7),$ES$2:$ES$113,0)),"")</f>
        <v>HOMICIDIO CULPOSO POR SINIESTROS VIALES</v>
      </c>
      <c r="IP7" s="207" t="str">
        <f>IFERROR(INDEX($A$2:$A$113,MATCH(ROWS($ET$2:ET7),$ET$2:$ET$113,0)),"")</f>
        <v>HOMICIDIO CULPOSO POR SINIESTROS VIALES</v>
      </c>
      <c r="IQ7" s="207" t="str">
        <f>IFERROR(INDEX($A$2:$A$113,MATCH(ROWS($EU$2:EU7),$EU$2:$EU$113,0)),"")</f>
        <v>HOMICIDIO CULPOSO POR SINIESTROS VIALES</v>
      </c>
      <c r="IR7" s="207" t="str">
        <f>IFERROR(INDEX($A$2:$A$113,MATCH(ROWS($EV$2:EV7),$EV$2:$EV$113,0)),"")</f>
        <v>HOMICIDIO CULPOSO POR SINIESTROS VIALES</v>
      </c>
      <c r="IS7" s="207" t="str">
        <f>IFERROR(INDEX($A$2:$A$113,MATCH(ROWS($EW$2:EW7),$EW$2:$EW$113,0)),"")</f>
        <v>HOMICIDIO CULPOSO POR SINIESTROS VIALES</v>
      </c>
      <c r="IT7" s="207" t="str">
        <f>IFERROR(INDEX($A$2:$A$113,MATCH(ROWS($EX$2:EX7),$EX$2:$EX$113,0)),"")</f>
        <v>HOMICIDIO CULPOSO POR SINIESTROS VIALES</v>
      </c>
      <c r="IU7" s="207" t="str">
        <f>IFERROR(INDEX($A$2:$A$113,MATCH(ROWS($EY$2:EY7),$EY$2:$EY$113,0)),"")</f>
        <v>HOMICIDIO CULPOSO POR SINIESTROS VIALES</v>
      </c>
      <c r="IV7" s="207" t="str">
        <f>IFERROR(INDEX($A$2:$A$113,MATCH(ROWS($EZ$2:EZ7),$EZ$2:$EZ$113,0)),"")</f>
        <v>HOMICIDIO CULPOSO POR SINIESTROS VIALES</v>
      </c>
      <c r="IW7" s="207" t="str">
        <f>IFERROR(INDEX($A$2:$A$113,MATCH(ROWS($FA$2:FA7),$FA$2:$FA$113,0)),"")</f>
        <v>HOMICIDIO CULPOSO POR SINIESTROS VIALES</v>
      </c>
      <c r="IX7" s="207" t="str">
        <f>IFERROR(INDEX($A$2:$A$113,MATCH(ROWS($FB$2:FB7),$FB$2:$FB$113,0)),"")</f>
        <v>HOMICIDIO CULPOSO POR SINIESTROS VIALES</v>
      </c>
      <c r="IY7" s="207" t="str">
        <f>IFERROR(INDEX($A$2:$A$113,MATCH(ROWS($FC$2:FC7),$FC$2:$FC$113,0)),"")</f>
        <v>HOMICIDIO CULPOSO POR SINIESTROS VIALES</v>
      </c>
      <c r="IZ7" s="207" t="str">
        <f>IFERROR(INDEX($A$2:$A$113,MATCH(ROWS($FD$2:FD7),$FD$2:$FD$113,0)),"")</f>
        <v>HOMICIDIO CULPOSO POR SINIESTROS VIALES</v>
      </c>
      <c r="JA7" s="207" t="str">
        <f>IFERROR(INDEX($A$2:$A$113,MATCH(ROWS($FE$2:FE7),$FE$2:$FE$113,0)),"")</f>
        <v>HOMICIDIO CULPOSO POR SINIESTROS VIALES</v>
      </c>
      <c r="JB7" s="207" t="str">
        <f>IFERROR(INDEX($A$2:$A$113,MATCH(ROWS($FF$2:FF7),$FF$2:$FF$113,0)),"")</f>
        <v>HOMICIDIO CULPOSO POR SINIESTROS VIALES</v>
      </c>
      <c r="JC7" s="207" t="str">
        <f>IFERROR(INDEX($A$2:$A$113,MATCH(ROWS($FG$2:FG7),$FG$2:$FG$113,0)),"")</f>
        <v>HOMICIDIO CULPOSO POR SINIESTROS VIALES</v>
      </c>
      <c r="JD7" s="207" t="str">
        <f>IFERROR(INDEX($A$2:$A$113,MATCH(ROWS($FH$2:FH7),$FH$2:$FH$113,0)),"")</f>
        <v>HOMICIDIO CULPOSO POR SINIESTROS VIALES</v>
      </c>
      <c r="JE7" s="207" t="str">
        <f>IFERROR(INDEX($A$2:$A$113,MATCH(ROWS($FI$2:FI7),$FI$2:$FI$113,0)),"")</f>
        <v>HOMICIDIO CULPOSO POR SINIESTROS VIALES</v>
      </c>
      <c r="JF7" s="207" t="str">
        <f>IFERROR(INDEX($A$2:$A$113,MATCH(ROWS($FJ$2:FJ7),$FJ$2:$FJ$113,0)),"")</f>
        <v>HOMICIDIO CULPOSO POR SINIESTROS VIALES</v>
      </c>
      <c r="JG7" s="207" t="str">
        <f>IFERROR(INDEX($A$2:$A$113,MATCH(ROWS($FK$2:FK7),$FK$2:$FK$113,0)),"")</f>
        <v>HOMICIDIO CULPOSO POR SINIESTROS VIALES</v>
      </c>
      <c r="JH7" s="207" t="str">
        <f>IFERROR(INDEX($A$2:$A$113,MATCH(ROWS($FL$2:FL7),$FL$2:$FL$113,0)),"")</f>
        <v>HOMICIDIO CULPOSO POR SINIESTROS VIALES</v>
      </c>
      <c r="JI7" s="207" t="str">
        <f>IFERROR(INDEX($A$2:$A$113,MATCH(ROWS($FM$2:FM7),$FM$2:$FM$113,0)),"")</f>
        <v>HOMICIDIO CULPOSO POR SINIESTROS VIALES</v>
      </c>
      <c r="JJ7" s="207" t="str">
        <f>IFERROR(INDEX($A$2:$A$113,MATCH(ROWS($FN$2:FN7),$FN$2:$FN$113,0)),"")</f>
        <v>HOMICIDIO CULPOSO POR SINIESTROS VIALES</v>
      </c>
      <c r="JK7" s="207" t="str">
        <f>IFERROR(INDEX($A$2:$A$113,MATCH(ROWS($FO$2:FO7),$FO$2:$FO$113,0)),"")</f>
        <v>HOMICIDIO CULPOSO POR SINIESTROS VIALES</v>
      </c>
      <c r="JL7" s="207" t="str">
        <f>IFERROR(INDEX($A$2:$A$113,MATCH(ROWS($FP$2:FP7),$FP$2:$FP$113,0)),"")</f>
        <v>HOMICIDIO CULPOSO POR SINIESTROS VIALES</v>
      </c>
      <c r="JM7" s="207" t="str">
        <f>IFERROR(INDEX($A$2:$A$113,MATCH(ROWS($FQ$2:FQ7),$FQ$2:$FQ$113,0)),"")</f>
        <v>HOMICIDIO CULPOSO POR SINIESTROS VIALES</v>
      </c>
      <c r="JN7" s="207" t="str">
        <f>IFERROR(INDEX($A$2:$A$113,MATCH(ROWS($FR$2:FR7),$FR$2:$FR$113,0)),"")</f>
        <v>HOMICIDIO CULPOSO POR SINIESTROS VIALES</v>
      </c>
      <c r="JO7" s="207" t="str">
        <f>IFERROR(INDEX($A$2:$A$113,MATCH(ROWS($FS$2:FS7),$FS$2:$FS$113,0)),"")</f>
        <v>HOMICIDIO CULPOSO POR SINIESTROS VIALES</v>
      </c>
      <c r="JP7" s="207" t="str">
        <f>IFERROR(INDEX($A$2:$A$113,MATCH(ROWS($FT$2:FT7),$FT$2:$FT$113,0)),"")</f>
        <v>HOMICIDIO CULPOSO POR SINIESTROS VIALES</v>
      </c>
      <c r="JQ7" s="207" t="str">
        <f>IFERROR(INDEX($A$2:$A$113,MATCH(ROWS($FU$2:FU7),$FU$2:$FU$113,0)),"")</f>
        <v>HOMICIDIO CULPOSO POR SINIESTROS VIALES</v>
      </c>
      <c r="JR7" s="207" t="str">
        <f>IFERROR(INDEX($A$2:$A$113,MATCH(ROWS($FV$2:FV7),$FV$2:$FV$113,0)),"")</f>
        <v>HOMICIDIO CULPOSO POR SINIESTROS VIALES</v>
      </c>
      <c r="JS7" s="207" t="str">
        <f>IFERROR(INDEX($A$2:$A$113,MATCH(ROWS($FW$2:FW7),$FW$2:$FW$113,0)),"")</f>
        <v>HOMICIDIO CULPOSO POR SINIESTROS VIALES</v>
      </c>
      <c r="JT7" s="207" t="str">
        <f>IFERROR(INDEX($A$2:$A$113,MATCH(ROWS($FX$2:FX7),$FX$2:$FX$113,0)),"")</f>
        <v>HOMICIDIO CULPOSO POR SINIESTROS VIALES</v>
      </c>
      <c r="JU7" s="207" t="str">
        <f>IFERROR(INDEX($A$2:$A$113,MATCH(ROWS($FY$2:FY7),$FY$2:$FY$113,0)),"")</f>
        <v>HOMICIDIO CULPOSO POR SINIESTROS VIALES</v>
      </c>
      <c r="JV7" s="207" t="str">
        <f>IFERROR(INDEX($A$2:$A$113,MATCH(ROWS($FZ$2:FZ7),$FZ$2:$FZ$113,0)),"")</f>
        <v>HOMICIDIO CULPOSO POR SINIESTROS VIALES</v>
      </c>
      <c r="JW7" s="207" t="str">
        <f>IFERROR(INDEX($A$2:$A$113,MATCH(ROWS($GA$2:GA7),$GA$2:$GA$113,0)),"")</f>
        <v>HOMICIDIO CULPOSO POR SINIESTROS VIALES</v>
      </c>
      <c r="JX7" s="207" t="str">
        <f>IFERROR(INDEX($A$2:$A$113,MATCH(ROWS($GB$2:GB7),$GB$2:$GB$113,0)),"")</f>
        <v>HOMICIDIO CULPOSO POR SINIESTROS VIALES</v>
      </c>
      <c r="JY7" s="207" t="str">
        <f>IFERROR(INDEX($A$2:$A$113,MATCH(ROWS($GC$2:GC7),$GC$2:$GC$113,0)),"")</f>
        <v>HOMICIDIO CULPOSO POR SINIESTROS VIALES</v>
      </c>
      <c r="JZ7" s="207" t="str">
        <f>IFERROR(INDEX($A$2:$A$113,MATCH(ROWS($GD$2:GD7),$GD$2:$GD$113,0)),"")</f>
        <v>HOMICIDIO CULPOSO POR SINIESTROS VIALES</v>
      </c>
      <c r="KA7" s="207" t="str">
        <f>IFERROR(INDEX($A$2:$A$113,MATCH(ROWS($GE$2:GE7),$GE$2:$GE$113,0)),"")</f>
        <v>HOMICIDIO CULPOSO POR SINIESTROS VIALES</v>
      </c>
      <c r="KB7" s="207" t="str">
        <f>IFERROR(INDEX($A$2:$A$113,MATCH(ROWS($GF$2:GF7),$GF$2:$GF$113,0)),"")</f>
        <v>HOMICIDIO CULPOSO POR SINIESTROS VIALES</v>
      </c>
      <c r="KC7" s="207" t="str">
        <f>IFERROR(INDEX($A$2:$A$113,MATCH(ROWS($GG$2:GG7),$GG$2:$GG$113,0)),"")</f>
        <v>HOMICIDIO CULPOSO POR SINIESTROS VIALES</v>
      </c>
      <c r="KD7" s="207" t="str">
        <f>IFERROR(INDEX($A$2:$A$113,MATCH(ROWS($GH$2:GH7),$GH$2:$GH$113,0)),"")</f>
        <v>HOMICIDIO CULPOSO POR SINIESTROS VIALES</v>
      </c>
      <c r="KE7" s="207" t="str">
        <f>IFERROR(INDEX($A$2:$A$113,MATCH(ROWS($GI$2:GI7),$GI$2:$GI$113,0)),"")</f>
        <v>HOMICIDIO CULPOSO POR SINIESTROS VIALES</v>
      </c>
      <c r="KF7" s="207" t="str">
        <f>IFERROR(INDEX($A$2:$A$113,MATCH(ROWS($GJ$2:GJ7),$GJ$2:$GJ$113,0)),"")</f>
        <v>HOMICIDIO CULPOSO POR SINIESTROS VIALES</v>
      </c>
      <c r="KG7" s="207" t="str">
        <f>IFERROR(INDEX($A$2:$A$113,MATCH(ROWS($GK$2:GK7),$GK$2:$GK$113,0)),"")</f>
        <v>HOMICIDIO CULPOSO POR SINIESTROS VIALES</v>
      </c>
      <c r="KH7" s="207" t="str">
        <f>IFERROR(INDEX($A$2:$A$113,MATCH(ROWS($GL$2:GL7),$GL$2:$GL$113,0)),"")</f>
        <v>HOMICIDIO CULPOSO POR SINIESTROS VIALES</v>
      </c>
      <c r="KI7" s="207" t="str">
        <f>IFERROR(INDEX($A$2:$A$113,MATCH(ROWS($GM$2:GM7),$GM$2:$GM$113,0)),"")</f>
        <v>HOMICIDIO CULPOSO POR SINIESTROS VIALES</v>
      </c>
      <c r="KJ7" s="207" t="str">
        <f>IFERROR(INDEX($A$2:$A$113,MATCH(ROWS($GN$2:GN7),$GN$2:$GN$113,0)),"")</f>
        <v>HOMICIDIO CULPOSO POR SINIESTROS VIALES</v>
      </c>
      <c r="KK7" s="207" t="str">
        <f>IFERROR(INDEX($A$2:$A$113,MATCH(ROWS($GO$2:GO7),$GO$2:$GO$113,0)),"")</f>
        <v>HOMICIDIO CULPOSO POR SINIESTROS VIALES</v>
      </c>
      <c r="KL7" s="207" t="str">
        <f>IFERROR(INDEX($A$2:$A$113,MATCH(ROWS($GP$2:GP7),$GP$2:$GP$113,0)),"")</f>
        <v>HOMICIDIO CULPOSO POR SINIESTROS VIALES</v>
      </c>
      <c r="KM7" s="207" t="str">
        <f>IFERROR(INDEX($A$2:$A$113,MATCH(ROWS($GQ$2:GQ7),$GQ$2:$GQ$113,0)),"")</f>
        <v>HOMICIDIO CULPOSO POR SINIESTROS VIALES</v>
      </c>
      <c r="KN7" s="207" t="str">
        <f>IFERROR(INDEX($A$2:$A$113,MATCH(ROWS($GR$2:GR7),$GR$2:$GR$113,0)),"")</f>
        <v>HOMICIDIO CULPOSO POR SINIESTROS VIALES</v>
      </c>
      <c r="KO7" s="207" t="str">
        <f>IFERROR(INDEX($A$2:$A$113,MATCH(ROWS($GS$2:GS7),$GS$2:$GS$113,0)),"")</f>
        <v>HOMICIDIO CULPOSO POR SINIESTROS VIALES</v>
      </c>
      <c r="KP7" s="207" t="str">
        <f>IFERROR(INDEX($A$2:$A$113,MATCH(ROWS($GT$2:GT7),$GT$2:$GT$113,0)),"")</f>
        <v>HOMICIDIO CULPOSO POR SINIESTROS VIALES</v>
      </c>
      <c r="KQ7" s="207" t="str">
        <f>IFERROR(INDEX($A$2:$A$113,MATCH(ROWS($GU$2:GU7),$GU$2:$GU$113,0)),"")</f>
        <v>HOMICIDIO CULPOSO POR SINIESTROS VIALES</v>
      </c>
      <c r="KR7" s="207" t="str">
        <f>IFERROR(INDEX($A$2:$A$113,MATCH(ROWS($GV$2:GV7),$GV$2:$GV$113,0)),"")</f>
        <v>HOMICIDIO CULPOSO POR SINIESTROS VIALES</v>
      </c>
      <c r="KS7" s="207" t="str">
        <f>IFERROR(INDEX($A$2:$A$113,MATCH(ROWS($GW$2:GW7),$GW$2:$GW$113,0)),"")</f>
        <v>HOMICIDIO CULPOSO POR SINIESTROS VIALES</v>
      </c>
    </row>
    <row r="8" spans="1:305" x14ac:dyDescent="0.25">
      <c r="A8" s="206" t="s">
        <v>62</v>
      </c>
      <c r="B8" s="206">
        <v>4</v>
      </c>
      <c r="D8" s="206" t="s">
        <v>48</v>
      </c>
      <c r="E8" s="206" t="s">
        <v>785</v>
      </c>
      <c r="F8" s="207">
        <f>--ISNUMBER(IFERROR(SEARCH('PLANILLA DJ'!$X$3,$A8,1),""))</f>
        <v>1</v>
      </c>
      <c r="G8" s="207">
        <f>--ISNUMBER(IFERROR(SEARCH('PLANILLA DJ'!$X$4,$A8,1),""))</f>
        <v>1</v>
      </c>
      <c r="H8" s="207">
        <f>--ISNUMBER(IFERROR(SEARCH('PLANILLA DJ'!$X$5,$A8,1),""))</f>
        <v>1</v>
      </c>
      <c r="I8" s="207">
        <f>--ISNUMBER(IFERROR(SEARCH('PLANILLA DJ'!$X$6,$A8,1),""))</f>
        <v>1</v>
      </c>
      <c r="J8" s="207">
        <f>--ISNUMBER(IFERROR(SEARCH('PLANILLA DJ'!$X$7,$A8,1),""))</f>
        <v>1</v>
      </c>
      <c r="K8" s="207">
        <f>--ISNUMBER(IFERROR(SEARCH('PLANILLA DJ'!$X$8,$A8,1),""))</f>
        <v>1</v>
      </c>
      <c r="L8" s="207">
        <f>--ISNUMBER(IFERROR(SEARCH('PLANILLA DJ'!$X$9,$A8,1),""))</f>
        <v>1</v>
      </c>
      <c r="M8" s="207">
        <f>--ISNUMBER(IFERROR(SEARCH('PLANILLA DJ'!$X$10,$A8,1),""))</f>
        <v>1</v>
      </c>
      <c r="N8" s="207">
        <f>--ISNUMBER(IFERROR(SEARCH('PLANILLA DJ'!$X$11,$A8,1),""))</f>
        <v>1</v>
      </c>
      <c r="O8" s="207">
        <f>--ISNUMBER(IFERROR(SEARCH('PLANILLA DJ'!$X$12,$A8,1),""))</f>
        <v>1</v>
      </c>
      <c r="P8" s="207">
        <f>--ISNUMBER(IFERROR(SEARCH('PLANILLA DJ'!$X$13,$A8,1),""))</f>
        <v>1</v>
      </c>
      <c r="Q8" s="207">
        <f>--ISNUMBER(IFERROR(SEARCH('PLANILLA DJ'!$X$14,$A8,1),""))</f>
        <v>1</v>
      </c>
      <c r="R8" s="207">
        <f>--ISNUMBER(IFERROR(SEARCH('PLANILLA DJ'!$X$15,$A8,1),""))</f>
        <v>1</v>
      </c>
      <c r="S8" s="207">
        <f>--ISNUMBER(IFERROR(SEARCH('PLANILLA DJ'!$X$16,$A8,1),""))</f>
        <v>1</v>
      </c>
      <c r="T8" s="207">
        <f>--ISNUMBER(IFERROR(SEARCH('PLANILLA DJ'!$X$17,$A8,1),""))</f>
        <v>1</v>
      </c>
      <c r="U8" s="207">
        <f>--ISNUMBER(IFERROR(SEARCH('PLANILLA DJ'!$X$18,$A8,1),""))</f>
        <v>1</v>
      </c>
      <c r="V8" s="207">
        <f>--ISNUMBER(IFERROR(SEARCH('PLANILLA DJ'!$X$19,$A8,1),""))</f>
        <v>1</v>
      </c>
      <c r="W8" s="207">
        <f>--ISNUMBER(IFERROR(SEARCH('PLANILLA DJ'!$X$20,$A8,1),""))</f>
        <v>1</v>
      </c>
      <c r="X8" s="207">
        <f>--ISNUMBER(IFERROR(SEARCH('PLANILLA DJ'!$X$21,$A8,1),""))</f>
        <v>1</v>
      </c>
      <c r="Y8" s="207">
        <f>--ISNUMBER(IFERROR(SEARCH('PLANILLA DJ'!$X$22,$A8,1),""))</f>
        <v>1</v>
      </c>
      <c r="Z8" s="207">
        <f>--ISNUMBER(IFERROR(SEARCH('PLANILLA DJ'!$X$23,$A8,1),""))</f>
        <v>1</v>
      </c>
      <c r="AA8" s="207">
        <f>--ISNUMBER(IFERROR(SEARCH('PLANILLA DJ'!$X$24,$A8,1),""))</f>
        <v>1</v>
      </c>
      <c r="AB8" s="207">
        <f>--ISNUMBER(IFERROR(SEARCH('PLANILLA DJ'!$X$25,$A8,1),""))</f>
        <v>1</v>
      </c>
      <c r="AC8" s="207">
        <f>--ISNUMBER(IFERROR(SEARCH('PLANILLA DJ'!$X$26,$A8,1),""))</f>
        <v>1</v>
      </c>
      <c r="AD8" s="207">
        <f>--ISNUMBER(IFERROR(SEARCH('PLANILLA DJ'!$X$27,$A8,1),""))</f>
        <v>1</v>
      </c>
      <c r="AE8" s="207">
        <f>--ISNUMBER(IFERROR(SEARCH('PLANILLA DJ'!$X$28,$A8,1),""))</f>
        <v>1</v>
      </c>
      <c r="AF8" s="207">
        <f>--ISNUMBER(IFERROR(SEARCH('PLANILLA DJ'!$X$29,$A8,1),""))</f>
        <v>1</v>
      </c>
      <c r="AG8" s="207">
        <f>--ISNUMBER(IFERROR(SEARCH('PLANILLA DJ'!$X$30,$A8,1),""))</f>
        <v>1</v>
      </c>
      <c r="AH8" s="207">
        <f>--ISNUMBER(IFERROR(SEARCH('PLANILLA DJ'!$X$31,$A8,1),""))</f>
        <v>1</v>
      </c>
      <c r="AI8" s="207">
        <f>--ISNUMBER(IFERROR(SEARCH('PLANILLA DJ'!$X$32,$A8,1),""))</f>
        <v>1</v>
      </c>
      <c r="AJ8" s="207">
        <f>--ISNUMBER(IFERROR(SEARCH('PLANILLA DJ'!$X$33,$A8,1),""))</f>
        <v>1</v>
      </c>
      <c r="AK8" s="207">
        <f>--ISNUMBER(IFERROR(SEARCH('PLANILLA DJ'!$X$34,$A8,1),""))</f>
        <v>1</v>
      </c>
      <c r="AL8" s="207">
        <f>--ISNUMBER(IFERROR(SEARCH('PLANILLA DJ'!$X$35,$A8,1),""))</f>
        <v>1</v>
      </c>
      <c r="AM8" s="207">
        <f>--ISNUMBER(IFERROR(SEARCH('PLANILLA DJ'!$X$36,$A8,1),""))</f>
        <v>1</v>
      </c>
      <c r="AN8" s="207">
        <f>--ISNUMBER(IFERROR(SEARCH('PLANILLA DJ'!$X$37,$A8,1),""))</f>
        <v>1</v>
      </c>
      <c r="AO8" s="207">
        <f>--ISNUMBER(IFERROR(SEARCH('PLANILLA DJ'!$X$38,$A8,1),""))</f>
        <v>1</v>
      </c>
      <c r="AP8" s="207">
        <f>--ISNUMBER(IFERROR(SEARCH('PLANILLA DJ'!$X$39,$A8,1),""))</f>
        <v>1</v>
      </c>
      <c r="AQ8" s="207">
        <f>--ISNUMBER(IFERROR(SEARCH('PLANILLA DJ'!$X$40,$A8,1),""))</f>
        <v>1</v>
      </c>
      <c r="AR8" s="207">
        <f>--ISNUMBER(IFERROR(SEARCH('PLANILLA DJ'!$X$41,$A8,1),""))</f>
        <v>1</v>
      </c>
      <c r="AS8" s="207">
        <f>--ISNUMBER(IFERROR(SEARCH('PLANILLA DJ'!$X$42,$A8,1),""))</f>
        <v>1</v>
      </c>
      <c r="AT8" s="207">
        <f>--ISNUMBER(IFERROR(SEARCH('PLANILLA DJ'!$X$43,$A8,1),""))</f>
        <v>1</v>
      </c>
      <c r="AU8" s="207">
        <f>--ISNUMBER(IFERROR(SEARCH('PLANILLA DJ'!$X$44,$A8,1),""))</f>
        <v>1</v>
      </c>
      <c r="AV8" s="207">
        <f>--ISNUMBER(IFERROR(SEARCH('PLANILLA DJ'!$X$45,$A8,1),""))</f>
        <v>1</v>
      </c>
      <c r="AW8" s="207">
        <f>--ISNUMBER(IFERROR(SEARCH('PLANILLA DJ'!$X$46,$A8,1),""))</f>
        <v>1</v>
      </c>
      <c r="AX8" s="207">
        <f>--ISNUMBER(IFERROR(SEARCH('PLANILLA DJ'!$X$47,$A8,1),""))</f>
        <v>1</v>
      </c>
      <c r="AY8" s="207">
        <f>--ISNUMBER(IFERROR(SEARCH('PLANILLA DJ'!$X$48,$A8,1),""))</f>
        <v>1</v>
      </c>
      <c r="AZ8" s="207">
        <f>--ISNUMBER(IFERROR(SEARCH('PLANILLA DJ'!$X$49,$A8,1),""))</f>
        <v>1</v>
      </c>
      <c r="BA8" s="207">
        <f>--ISNUMBER(IFERROR(SEARCH('PLANILLA DJ'!$X$50,$A8,1),""))</f>
        <v>1</v>
      </c>
      <c r="BB8" s="207">
        <f>--ISNUMBER(IFERROR(SEARCH('PLANILLA DJ'!$X$51,$A8,1),""))</f>
        <v>1</v>
      </c>
      <c r="BC8" s="207">
        <f>--ISNUMBER(IFERROR(SEARCH('PLANILLA DJ'!$X$52,$A8,1),""))</f>
        <v>1</v>
      </c>
      <c r="BD8" s="207">
        <f>--ISNUMBER(IFERROR(SEARCH('PLANILLA DJ'!$X$53,$A8,1),""))</f>
        <v>1</v>
      </c>
      <c r="BE8" s="207">
        <f>--ISNUMBER(IFERROR(SEARCH('PLANILLA DJ'!$X$54,$A8,1),""))</f>
        <v>1</v>
      </c>
      <c r="BF8" s="207">
        <f>--ISNUMBER(IFERROR(SEARCH('PLANILLA DJ'!$X$55,$A8,1),""))</f>
        <v>1</v>
      </c>
      <c r="BG8" s="207">
        <f>--ISNUMBER(IFERROR(SEARCH('PLANILLA DJ'!$X$56,$A8,1),""))</f>
        <v>1</v>
      </c>
      <c r="BH8" s="207">
        <f>--ISNUMBER(IFERROR(SEARCH('PLANILLA DJ'!$X$57,$A8,1),""))</f>
        <v>1</v>
      </c>
      <c r="BI8" s="207">
        <f>--ISNUMBER(IFERROR(SEARCH('PLANILLA DJ'!$X$58,$A8,1),""))</f>
        <v>1</v>
      </c>
      <c r="BJ8" s="207">
        <f>--ISNUMBER(IFERROR(SEARCH('PLANILLA DJ'!$X$59,$A8,1),""))</f>
        <v>1</v>
      </c>
      <c r="BK8" s="207">
        <f>--ISNUMBER(IFERROR(SEARCH('PLANILLA DJ'!$X$60,$A8,1),""))</f>
        <v>1</v>
      </c>
      <c r="BL8" s="207">
        <f>--ISNUMBER(IFERROR(SEARCH('PLANILLA DJ'!$X$61,$A8,1),""))</f>
        <v>1</v>
      </c>
      <c r="BM8" s="207">
        <f>--ISNUMBER(IFERROR(SEARCH('PLANILLA DJ'!$X$62,$A8,1),""))</f>
        <v>1</v>
      </c>
      <c r="BN8" s="207">
        <f>--ISNUMBER(IFERROR(SEARCH('PLANILLA DJ'!$X$63,$A8,1),""))</f>
        <v>1</v>
      </c>
      <c r="BO8" s="207">
        <f>--ISNUMBER(IFERROR(SEARCH('PLANILLA DJ'!$X$64,$A8,1),""))</f>
        <v>1</v>
      </c>
      <c r="BP8" s="207">
        <f>--ISNUMBER(IFERROR(SEARCH('PLANILLA DJ'!$X$65,$A8,1),""))</f>
        <v>1</v>
      </c>
      <c r="BQ8" s="207">
        <f>--ISNUMBER(IFERROR(SEARCH('PLANILLA DJ'!$X$66,$A8,1),""))</f>
        <v>1</v>
      </c>
      <c r="BR8" s="207">
        <f>--ISNUMBER(IFERROR(SEARCH('PLANILLA DJ'!$X$67,$A8,1),""))</f>
        <v>1</v>
      </c>
      <c r="BS8" s="207">
        <f>--ISNUMBER(IFERROR(SEARCH('PLANILLA DJ'!$X$68,$A8,1),""))</f>
        <v>1</v>
      </c>
      <c r="BT8" s="207">
        <f>--ISNUMBER(IFERROR(SEARCH('PLANILLA DJ'!$X$69,$A8,1),""))</f>
        <v>1</v>
      </c>
      <c r="BU8" s="207">
        <f>--ISNUMBER(IFERROR(SEARCH('PLANILLA DJ'!$X$70,$A8,1),""))</f>
        <v>1</v>
      </c>
      <c r="BV8" s="207">
        <f>--ISNUMBER(IFERROR(SEARCH('PLANILLA DJ'!$X$71,$A8,1),""))</f>
        <v>1</v>
      </c>
      <c r="BW8" s="207">
        <f>--ISNUMBER(IFERROR(SEARCH('PLANILLA DJ'!$X$72,$A8,1),""))</f>
        <v>1</v>
      </c>
      <c r="BX8" s="207">
        <f>--ISNUMBER(IFERROR(SEARCH('PLANILLA DJ'!$X$73,$A8,1),""))</f>
        <v>1</v>
      </c>
      <c r="BY8" s="207">
        <f>--ISNUMBER(IFERROR(SEARCH('PLANILLA DJ'!$X$74,$A8,1),""))</f>
        <v>1</v>
      </c>
      <c r="BZ8" s="207">
        <f>--ISNUMBER(IFERROR(SEARCH('PLANILLA DJ'!$X$75,$A8,1),""))</f>
        <v>1</v>
      </c>
      <c r="CA8" s="207">
        <f>--ISNUMBER(IFERROR(SEARCH('PLANILLA DJ'!$X$76,$A8,1),""))</f>
        <v>1</v>
      </c>
      <c r="CB8" s="207">
        <f>--ISNUMBER(IFERROR(SEARCH('PLANILLA DJ'!$X$77,$A8,1),""))</f>
        <v>1</v>
      </c>
      <c r="CC8" s="207">
        <f>--ISNUMBER(IFERROR(SEARCH('PLANILLA DJ'!$X$78,$A8,1),""))</f>
        <v>1</v>
      </c>
      <c r="CD8" s="207">
        <f>--ISNUMBER(IFERROR(SEARCH('PLANILLA DJ'!$X$79,$A8,1),""))</f>
        <v>1</v>
      </c>
      <c r="CE8" s="207">
        <f>--ISNUMBER(IFERROR(SEARCH('PLANILLA DJ'!$X$80,$A8,1),""))</f>
        <v>1</v>
      </c>
      <c r="CF8" s="207">
        <f>--ISNUMBER(IFERROR(SEARCH('PLANILLA DJ'!$X$81,$A8,1),""))</f>
        <v>1</v>
      </c>
      <c r="CG8" s="207">
        <f>--ISNUMBER(IFERROR(SEARCH('PLANILLA DJ'!$X$82,$A8,1),""))</f>
        <v>1</v>
      </c>
      <c r="CH8" s="207">
        <f>--ISNUMBER(IFERROR(SEARCH('PLANILLA DJ'!$X$83,$A8,1),""))</f>
        <v>1</v>
      </c>
      <c r="CI8" s="207">
        <f>--ISNUMBER(IFERROR(SEARCH('PLANILLA DJ'!$X$84,$A8,1),""))</f>
        <v>1</v>
      </c>
      <c r="CJ8" s="207">
        <f>--ISNUMBER(IFERROR(SEARCH('PLANILLA DJ'!$X$85,$A8,1),""))</f>
        <v>1</v>
      </c>
      <c r="CK8" s="207">
        <f>--ISNUMBER(IFERROR(SEARCH('PLANILLA DJ'!$X$86,$A8,1),""))</f>
        <v>1</v>
      </c>
      <c r="CL8" s="207">
        <f>--ISNUMBER(IFERROR(SEARCH('PLANILLA DJ'!$X$87,$A8,1),""))</f>
        <v>1</v>
      </c>
      <c r="CM8" s="207">
        <f>--ISNUMBER(IFERROR(SEARCH('PLANILLA DJ'!$X$88,$A8,1),""))</f>
        <v>1</v>
      </c>
      <c r="CN8" s="207">
        <f>--ISNUMBER(IFERROR(SEARCH('PLANILLA DJ'!$X$89,$A8,1),""))</f>
        <v>1</v>
      </c>
      <c r="CO8" s="207">
        <f>--ISNUMBER(IFERROR(SEARCH('PLANILLA DJ'!$X$90,$A8,1),""))</f>
        <v>1</v>
      </c>
      <c r="CP8" s="207">
        <f>--ISNUMBER(IFERROR(SEARCH('PLANILLA DJ'!$X$91,$A8,1),""))</f>
        <v>1</v>
      </c>
      <c r="CQ8" s="207">
        <f>--ISNUMBER(IFERROR(SEARCH('PLANILLA DJ'!$X$92,$A8,1),""))</f>
        <v>1</v>
      </c>
      <c r="CR8" s="207">
        <f>--ISNUMBER(IFERROR(SEARCH('PLANILLA DJ'!$X$93,$A8,1),""))</f>
        <v>1</v>
      </c>
      <c r="CS8" s="207">
        <f>--ISNUMBER(IFERROR(SEARCH('PLANILLA DJ'!$X$94,$A8,1),""))</f>
        <v>1</v>
      </c>
      <c r="CT8" s="207">
        <f>--ISNUMBER(IFERROR(SEARCH('PLANILLA DJ'!$X$95,$A8,1),""))</f>
        <v>1</v>
      </c>
      <c r="CU8" s="207">
        <f>--ISNUMBER(IFERROR(SEARCH('PLANILLA DJ'!$X$96,$A8,1),""))</f>
        <v>1</v>
      </c>
      <c r="CV8" s="207">
        <f>--ISNUMBER(IFERROR(SEARCH('PLANILLA DJ'!$X$97,$A8,1),""))</f>
        <v>1</v>
      </c>
      <c r="CW8" s="207">
        <f>--ISNUMBER(IFERROR(SEARCH('PLANILLA DJ'!$X$98,$A8,1),""))</f>
        <v>1</v>
      </c>
      <c r="CX8" s="207">
        <f>--ISNUMBER(IFERROR(SEARCH('PLANILLA DJ'!$X$99,$A8,1),""))</f>
        <v>1</v>
      </c>
      <c r="CY8" s="207">
        <f>--ISNUMBER(IFERROR(SEARCH('PLANILLA DJ'!$X$100,$A8,1),""))</f>
        <v>1</v>
      </c>
      <c r="CZ8" s="207">
        <f>--ISNUMBER(IFERROR(SEARCH('PLANILLA DJ'!$X$101,$A8,1),""))</f>
        <v>1</v>
      </c>
      <c r="DA8" s="207">
        <f>--ISNUMBER(IFERROR(SEARCH('PLANILLA DJ'!$X$102,$A8,1),""))</f>
        <v>1</v>
      </c>
      <c r="DB8" s="206">
        <f>IF(F8=1,COUNTIF($F$2:F8,1),"")</f>
        <v>7</v>
      </c>
      <c r="DC8" s="206">
        <f>IF(G8=1,COUNTIF($G$2:G8,1),"")</f>
        <v>7</v>
      </c>
      <c r="DD8" s="206">
        <f>IF(H8=1,COUNTIF($H$2:H8,1),"")</f>
        <v>7</v>
      </c>
      <c r="DE8" s="206">
        <f>IF(I8=1,COUNTIF($I$2:I8,1),"")</f>
        <v>7</v>
      </c>
      <c r="DF8" s="206">
        <f>IF(J8=1,COUNTIF($J$2:J8,1),"")</f>
        <v>7</v>
      </c>
      <c r="DG8" s="206">
        <f>IF(K8=1,COUNTIF($K$2:K8,1),"")</f>
        <v>7</v>
      </c>
      <c r="DH8" s="206">
        <f>IF(L8=1,COUNTIF($L$2:L8,1),"")</f>
        <v>7</v>
      </c>
      <c r="DI8" s="206">
        <f>IF(M8=1,COUNTIF($M$2:M8,1),"")</f>
        <v>7</v>
      </c>
      <c r="DJ8" s="206">
        <f>IF(N8=1,COUNTIF($N$2:N8,1),"")</f>
        <v>7</v>
      </c>
      <c r="DK8" s="206">
        <f>IF(O8=1,COUNTIF($O$2:O8,1),"")</f>
        <v>7</v>
      </c>
      <c r="DL8" s="206">
        <f>IF(P8=1,COUNTIF($P$2:P8,1),"")</f>
        <v>7</v>
      </c>
      <c r="DM8" s="206">
        <f>IF(Q8=1,COUNTIF($Q$2:Q8,1),"")</f>
        <v>7</v>
      </c>
      <c r="DN8" s="207">
        <f>IF(R8=1,COUNTIF($R$2:R8,1),"")</f>
        <v>7</v>
      </c>
      <c r="DO8" s="207">
        <f>IF(S8=1,COUNTIF($S$2:S8,1),"")</f>
        <v>7</v>
      </c>
      <c r="DP8" s="207">
        <f>IF(T8=1,COUNTIF($T$2:T8,1),"")</f>
        <v>7</v>
      </c>
      <c r="DQ8" s="207">
        <f>IF(U8=1,COUNTIF($U$2:U8,1),"")</f>
        <v>7</v>
      </c>
      <c r="DR8" s="207">
        <f>IF(V8=1,COUNTIF($V$2:V8,1),"")</f>
        <v>7</v>
      </c>
      <c r="DS8" s="207">
        <f>IF(W8=1,COUNTIF($W$2:W8,1),"")</f>
        <v>7</v>
      </c>
      <c r="DT8" s="207">
        <f>IF(X8=1,COUNTIF($X$2:X8,1),"")</f>
        <v>7</v>
      </c>
      <c r="DU8" s="207">
        <f>IF(Y8=1,COUNTIF($Y$2:Y8,1),"")</f>
        <v>7</v>
      </c>
      <c r="DV8" s="207">
        <f>IF(Z8=1,COUNTIF(Z$2:Z8,1),"")</f>
        <v>7</v>
      </c>
      <c r="DW8" s="207">
        <f>IF(AA8=1,COUNTIF($AA$2:AA8,1),"")</f>
        <v>7</v>
      </c>
      <c r="DX8" s="207">
        <f>IF(AB8=1,COUNTIF($AB$2:AB8,1),"")</f>
        <v>7</v>
      </c>
      <c r="DY8" s="207">
        <f>IF(AC8=1,COUNTIF($AC$2:AC8,1),"")</f>
        <v>7</v>
      </c>
      <c r="DZ8" s="207">
        <f>IF(AD8=1,COUNTIF($AD$2:AD8,1),"")</f>
        <v>7</v>
      </c>
      <c r="EA8" s="207">
        <f>IF(AE8=1,COUNTIF($AE$2:AE8,1),"")</f>
        <v>7</v>
      </c>
      <c r="EB8" s="207">
        <f>IF(AF8=1,COUNTIF($AF$2:AF8,1),"")</f>
        <v>7</v>
      </c>
      <c r="EC8" s="207">
        <f>IF(AG8=1,COUNTIF($AG$2:AG8,1),"")</f>
        <v>7</v>
      </c>
      <c r="ED8" s="207">
        <f>IF(AH8=1,COUNTIF($AH$2:AH8,1),"")</f>
        <v>7</v>
      </c>
      <c r="EE8" s="207">
        <f>IF(AI8=1,COUNTIF($AI$2:AI8,1),"")</f>
        <v>7</v>
      </c>
      <c r="EF8" s="207">
        <f>IF(AJ8=1,COUNTIF($AJ$2:AJ8,1),"")</f>
        <v>7</v>
      </c>
      <c r="EG8" s="207">
        <f>IF(AK8=1,COUNTIF($AK$2:AK8,1),"")</f>
        <v>7</v>
      </c>
      <c r="EH8" s="207">
        <f>IF(AL8=1,COUNTIF($AL$2:AL8,1),"")</f>
        <v>7</v>
      </c>
      <c r="EI8" s="207">
        <f>IF(AM8=1,COUNTIF($AM$2:AM8,1),"")</f>
        <v>7</v>
      </c>
      <c r="EJ8" s="207">
        <f>IF(AN8=1,COUNTIF($AN$2:AN8,1),"")</f>
        <v>7</v>
      </c>
      <c r="EK8" s="207">
        <f>IF(AO8=1,COUNTIF($AO$2:AO8,1),"")</f>
        <v>7</v>
      </c>
      <c r="EL8" s="207">
        <f>IF(AP8=1,COUNTIF($AP$2:AP8,1),"")</f>
        <v>7</v>
      </c>
      <c r="EM8" s="207">
        <f>IF(AQ8=1,COUNTIF($AQ$2:AQ8,1),"")</f>
        <v>7</v>
      </c>
      <c r="EN8" s="207">
        <f>IF(AR8=1,COUNTIF($AR$2:AR8,1),"")</f>
        <v>7</v>
      </c>
      <c r="EO8" s="207">
        <f>IF(AS8=1,COUNTIF($AS$2:AS8,1),"")</f>
        <v>7</v>
      </c>
      <c r="EP8" s="207">
        <f>IF(AT8=1,COUNTIF($AT$2:AT8,1),"")</f>
        <v>7</v>
      </c>
      <c r="EQ8" s="207">
        <f>IF(AU8=1,COUNTIF($AU$2:AU8,1),"")</f>
        <v>7</v>
      </c>
      <c r="ER8" s="207">
        <f>IF(AV8=1,COUNTIF($AV$2:AV8,1),"")</f>
        <v>7</v>
      </c>
      <c r="ES8" s="207">
        <f>IF(AW8=1,COUNTIF($AW$2:AW8,1),"")</f>
        <v>7</v>
      </c>
      <c r="ET8" s="207">
        <f>IF(AX8=1,COUNTIF($AX$2:AX8,1),"")</f>
        <v>7</v>
      </c>
      <c r="EU8" s="207">
        <f>IF(AY8=1,COUNTIF($AY$2:AY8,1),"")</f>
        <v>7</v>
      </c>
      <c r="EV8" s="207">
        <f>IF(AZ8=1,COUNTIF($AZ$2:AZ8,1),"")</f>
        <v>7</v>
      </c>
      <c r="EW8" s="207">
        <f>IF(BA8=1,COUNTIF($BA$2:BA8,1),"")</f>
        <v>7</v>
      </c>
      <c r="EX8" s="207">
        <f>IF(BB8=1,COUNTIF($BB$2:BB8,1),"")</f>
        <v>7</v>
      </c>
      <c r="EY8" s="207">
        <f>IF(BC8=1,COUNTIF($BC$2:BC8,1),"")</f>
        <v>7</v>
      </c>
      <c r="EZ8" s="207">
        <f>IF(BD8=1,COUNTIF($BD$2:BD8,1),"")</f>
        <v>7</v>
      </c>
      <c r="FA8" s="207">
        <f>IF(BE8=1,COUNTIF($BE$2:BE8,1),"")</f>
        <v>7</v>
      </c>
      <c r="FB8" s="207">
        <f>IF(BF8=1,COUNTIF($BF$2:BF8,1),"")</f>
        <v>7</v>
      </c>
      <c r="FC8" s="207">
        <f>IF(BG8=1,COUNTIF($BG$2:BG8,1),"")</f>
        <v>7</v>
      </c>
      <c r="FD8" s="207">
        <f>IF(BH8=1,COUNTIF($BH$2:BH8,1),"")</f>
        <v>7</v>
      </c>
      <c r="FE8" s="207">
        <f>IF(BI8=1,COUNTIF($BI$2:BI8,1),"")</f>
        <v>7</v>
      </c>
      <c r="FF8" s="207">
        <f>IF(BJ8=1,COUNTIF($BJ$2:BJ8,1),"")</f>
        <v>7</v>
      </c>
      <c r="FG8" s="207">
        <f>IF(BK8=1,COUNTIF($BK$2:BK8,1),"")</f>
        <v>7</v>
      </c>
      <c r="FH8" s="207">
        <f>IF(BL8=1,COUNTIF($BL$2:BL8,1),"")</f>
        <v>7</v>
      </c>
      <c r="FI8" s="207">
        <f>IF(BM8=1,COUNTIF($BM$2:BM8,1),"")</f>
        <v>7</v>
      </c>
      <c r="FJ8" s="207">
        <f>IF(BN8=1,COUNTIF($BN$2:BN8,1),"")</f>
        <v>7</v>
      </c>
      <c r="FK8" s="207">
        <f>IF(BO8=1,COUNTIF($BO$2:BO8,1),"")</f>
        <v>7</v>
      </c>
      <c r="FL8" s="207">
        <f>IF(BP8=1,COUNTIF($BP$2:BP8,1),"")</f>
        <v>7</v>
      </c>
      <c r="FM8" s="207">
        <f>IF(BQ8=1,COUNTIF($BQ$2:BQ8,1),"")</f>
        <v>7</v>
      </c>
      <c r="FN8" s="207">
        <f>IF(BR8=1,COUNTIF($BR$2:BR8,1),"")</f>
        <v>7</v>
      </c>
      <c r="FO8" s="207">
        <f>IF(BS8=1,COUNTIF($BS$2:BS8,1),"")</f>
        <v>7</v>
      </c>
      <c r="FP8" s="207">
        <f>IF(BT8=1,COUNTIF($BT$2:BT8,1),"")</f>
        <v>7</v>
      </c>
      <c r="FQ8" s="207">
        <f>IF(BU8=1,COUNTIF($BU$2:BU8,1),"")</f>
        <v>7</v>
      </c>
      <c r="FR8" s="207">
        <f>IF(BV8=1,COUNTIF($BV$2:BV8,1),"")</f>
        <v>7</v>
      </c>
      <c r="FS8" s="207">
        <f>IF(BW8=1,COUNTIF($BW$2:BW8,1),"")</f>
        <v>7</v>
      </c>
      <c r="FT8" s="207">
        <f>IF(BX8=1,COUNTIF($BX$2:BX8,1),"")</f>
        <v>7</v>
      </c>
      <c r="FU8" s="207">
        <f>IF(BY8=1,COUNTIF($BY$2:BY8,1),"")</f>
        <v>7</v>
      </c>
      <c r="FV8" s="207">
        <f>IF(BZ8=1,COUNTIF($BZ$2:BZ8,1),"")</f>
        <v>7</v>
      </c>
      <c r="FW8" s="207">
        <f>IF(CA8=1,COUNTIF($CA$2:CA8,1),"")</f>
        <v>7</v>
      </c>
      <c r="FX8" s="207">
        <f>IF(CB8=1,COUNTIF($CB$2:CB8,1),"")</f>
        <v>7</v>
      </c>
      <c r="FY8" s="207">
        <f>IF(CC8=1,COUNTIF($CC$2:CC8,1),"")</f>
        <v>7</v>
      </c>
      <c r="FZ8" s="207">
        <f>IF(CD8=1,COUNTIF($CD$2:CD8,1),"")</f>
        <v>7</v>
      </c>
      <c r="GA8" s="207">
        <f>IF(CE8=1,COUNTIF($CE$2:CE8,1),"")</f>
        <v>7</v>
      </c>
      <c r="GB8" s="207">
        <f>IF(CF8=1,COUNTIF($CF$2:CF8,1),"")</f>
        <v>7</v>
      </c>
      <c r="GC8" s="207">
        <f>IF(CG8=1,COUNTIF($CG$2:CG8,1),"")</f>
        <v>7</v>
      </c>
      <c r="GD8" s="207">
        <f>IF(CH8=1,COUNTIF($CH$2:CH8,1),"")</f>
        <v>7</v>
      </c>
      <c r="GE8" s="207">
        <f>IF(CI8=1,COUNTIF($CI$2:CI8,1),"")</f>
        <v>7</v>
      </c>
      <c r="GF8" s="207">
        <f>IF(CJ8=1,COUNTIF($CJ$2:CJ8,1),"")</f>
        <v>7</v>
      </c>
      <c r="GG8" s="207">
        <f>IF(CK8=1,COUNTIF($CK$2:CK8,1),"")</f>
        <v>7</v>
      </c>
      <c r="GH8" s="207">
        <f>IF(CL8=1,COUNTIF($CL$2:CL8,1),"")</f>
        <v>7</v>
      </c>
      <c r="GI8" s="207">
        <f>IF(CM8=1,COUNTIF($CM$2:CM8,1),"")</f>
        <v>7</v>
      </c>
      <c r="GJ8" s="207">
        <f>IF(CN8=1,COUNTIF($CN$2:CN8,1),"")</f>
        <v>7</v>
      </c>
      <c r="GK8" s="207">
        <f>IF(CO8=1,COUNTIF($CO$2:CO8,1),"")</f>
        <v>7</v>
      </c>
      <c r="GL8" s="207">
        <f>IF(CP8=1,COUNTIF($CP$2:CP8,1),"")</f>
        <v>7</v>
      </c>
      <c r="GM8" s="207">
        <f>IF(CQ8=1,COUNTIF($CQ$2:CQ8,1),"")</f>
        <v>7</v>
      </c>
      <c r="GN8" s="207">
        <f>IF(CR8=1,COUNTIF($CR$2:CR8,1),"")</f>
        <v>7</v>
      </c>
      <c r="GO8" s="207">
        <f>IF(CS8=1,COUNTIF($CS$2:CS8,1),"")</f>
        <v>7</v>
      </c>
      <c r="GP8" s="207">
        <f>IF(CT8=1,COUNTIF($CT$2:CT8,1),"")</f>
        <v>7</v>
      </c>
      <c r="GQ8" s="207">
        <f>IF(CU8=1,COUNTIF($CU$2:CU8,1),"")</f>
        <v>7</v>
      </c>
      <c r="GR8" s="207">
        <f>IF(CV8=1,COUNTIF($CV$2:CV8,1),"")</f>
        <v>7</v>
      </c>
      <c r="GS8" s="207">
        <f>IF(CW8=1,COUNTIF($CW$2:CW8,1),"")</f>
        <v>7</v>
      </c>
      <c r="GT8" s="207">
        <f>IF(CX8=1,COUNTIF($CX$2:CX8,1),"")</f>
        <v>7</v>
      </c>
      <c r="GU8" s="207">
        <f>IF(CY8=1,COUNTIF($CY$2:CY8,1),"")</f>
        <v>7</v>
      </c>
      <c r="GV8" s="207">
        <f>IF(CZ8=1,COUNTIF($CZ$2:CZ8,1),"")</f>
        <v>7</v>
      </c>
      <c r="GW8" s="207">
        <f>IF(DA8=1,COUNTIF($DA$2:DA8,1),"")</f>
        <v>7</v>
      </c>
      <c r="GX8" s="206" t="str">
        <f>IFERROR(INDEX($A$2:$A$113,MATCH(ROWS($DB$2:DB8),$DB$2:$DB$113,0)),"")</f>
        <v xml:space="preserve">HOMICIDIO CULPOSO POR IMPRUDENCIA/NEGLIENCIA/IMPERICIA O INOBSERVANCIA </v>
      </c>
      <c r="GY8" s="206" t="str">
        <f>IFERROR(INDEX($A$2:$A$113,MATCH(ROWS($DC$2:DC8),$DC$2:$DC$113,0)),"")</f>
        <v xml:space="preserve">HOMICIDIO CULPOSO POR IMPRUDENCIA/NEGLIENCIA/IMPERICIA O INOBSERVANCIA </v>
      </c>
      <c r="GZ8" s="206" t="str">
        <f>IFERROR(INDEX($A$2:$A$113,MATCH(ROWS($DD$2:DD8),$DD$2:$DD$113,0)),"")</f>
        <v xml:space="preserve">HOMICIDIO CULPOSO POR IMPRUDENCIA/NEGLIENCIA/IMPERICIA O INOBSERVANCIA </v>
      </c>
      <c r="HA8" s="206" t="str">
        <f>IFERROR(INDEX($A$2:$A$113,MATCH(ROWS($DE$2:DE8),$DE$2:$DE$113,0)),"")</f>
        <v xml:space="preserve">HOMICIDIO CULPOSO POR IMPRUDENCIA/NEGLIENCIA/IMPERICIA O INOBSERVANCIA </v>
      </c>
      <c r="HB8" s="206" t="str">
        <f>IFERROR(INDEX($A$2:$A$113,MATCH(ROWS($DF$2:DF8),$DF$2:$DF$113,0)),"")</f>
        <v xml:space="preserve">HOMICIDIO CULPOSO POR IMPRUDENCIA/NEGLIENCIA/IMPERICIA O INOBSERVANCIA </v>
      </c>
      <c r="HC8" s="206" t="str">
        <f>IFERROR(INDEX($A$2:$A$113,MATCH(ROWS($DG$2:DG8),$DG$2:$DG$113,0)),"")</f>
        <v xml:space="preserve">HOMICIDIO CULPOSO POR IMPRUDENCIA/NEGLIENCIA/IMPERICIA O INOBSERVANCIA </v>
      </c>
      <c r="HD8" s="206" t="str">
        <f>IFERROR(INDEX($A$2:$A$113,MATCH(ROWS($DH$2:DH8),$DH$2:$DH$113,0)),"")</f>
        <v xml:space="preserve">HOMICIDIO CULPOSO POR IMPRUDENCIA/NEGLIENCIA/IMPERICIA O INOBSERVANCIA </v>
      </c>
      <c r="HE8" s="206" t="str">
        <f>IFERROR(INDEX($A$2:$A$113,MATCH(ROWS($DI$2:DI8),$DI$2:$DI$113,0)),"")</f>
        <v xml:space="preserve">HOMICIDIO CULPOSO POR IMPRUDENCIA/NEGLIENCIA/IMPERICIA O INOBSERVANCIA </v>
      </c>
      <c r="HF8" s="206" t="str">
        <f>IFERROR(INDEX($A$2:$A$113,MATCH(ROWS($DJ$2:DJ8),$DJ$2:$DJ$113,0)),"")</f>
        <v xml:space="preserve">HOMICIDIO CULPOSO POR IMPRUDENCIA/NEGLIENCIA/IMPERICIA O INOBSERVANCIA </v>
      </c>
      <c r="HG8" s="206" t="str">
        <f>IFERROR(INDEX($A$2:$A$113,MATCH(ROWS($DK$2:DK8),$DK$2:$DK$113,0)),"")</f>
        <v xml:space="preserve">HOMICIDIO CULPOSO POR IMPRUDENCIA/NEGLIENCIA/IMPERICIA O INOBSERVANCIA </v>
      </c>
      <c r="HH8" s="206" t="str">
        <f>IFERROR(INDEX($A$2:$A$113,MATCH(ROWS($DL$2:DL8),$DL$2:$DL$113,0)),"")</f>
        <v xml:space="preserve">HOMICIDIO CULPOSO POR IMPRUDENCIA/NEGLIENCIA/IMPERICIA O INOBSERVANCIA </v>
      </c>
      <c r="HI8" s="206" t="str">
        <f>IFERROR(INDEX($A$2:$A$113,MATCH(ROWS($DM$2:DM8),$DM$2:$DM$113,0)),"")</f>
        <v xml:space="preserve">HOMICIDIO CULPOSO POR IMPRUDENCIA/NEGLIENCIA/IMPERICIA O INOBSERVANCIA </v>
      </c>
      <c r="HJ8" s="206" t="str">
        <f>IFERROR(INDEX($A$2:$A$113,MATCH(ROWS($DN$2:DN8),$DN$2:$DN$113,0)),"")</f>
        <v xml:space="preserve">HOMICIDIO CULPOSO POR IMPRUDENCIA/NEGLIENCIA/IMPERICIA O INOBSERVANCIA </v>
      </c>
      <c r="HK8" s="206" t="str">
        <f>IFERROR(INDEX($A$2:$A$113,MATCH(ROWS($DO$2:DO8),$DO$2:$DO$113,0)),"")</f>
        <v xml:space="preserve">HOMICIDIO CULPOSO POR IMPRUDENCIA/NEGLIENCIA/IMPERICIA O INOBSERVANCIA </v>
      </c>
      <c r="HL8" s="206" t="str">
        <f>IFERROR(INDEX($A$2:$A$113,MATCH(ROWS($DP$2:DP8),$DP$2:$DP$113,0)),"")</f>
        <v xml:space="preserve">HOMICIDIO CULPOSO POR IMPRUDENCIA/NEGLIENCIA/IMPERICIA O INOBSERVANCIA </v>
      </c>
      <c r="HM8" s="206" t="str">
        <f>IFERROR(INDEX($A$2:$A$113,MATCH(ROWS($DQ$2:DQ8),$DQ$2:$DQ$113,0)),"")</f>
        <v xml:space="preserve">HOMICIDIO CULPOSO POR IMPRUDENCIA/NEGLIENCIA/IMPERICIA O INOBSERVANCIA </v>
      </c>
      <c r="HN8" s="206" t="str">
        <f>IFERROR(INDEX($A$2:$A$113,MATCH(ROWS($DR$2:DR8),$DR$2:$DR$113,0)),"")</f>
        <v xml:space="preserve">HOMICIDIO CULPOSO POR IMPRUDENCIA/NEGLIENCIA/IMPERICIA O INOBSERVANCIA </v>
      </c>
      <c r="HO8" s="206" t="str">
        <f>IFERROR(INDEX($A$2:$A$113,MATCH(ROWS($DS$2:DS8),$DS$2:$DS$113,0)),"")</f>
        <v xml:space="preserve">HOMICIDIO CULPOSO POR IMPRUDENCIA/NEGLIENCIA/IMPERICIA O INOBSERVANCIA </v>
      </c>
      <c r="HP8" s="206" t="str">
        <f>IFERROR(INDEX($A$2:$A$113,MATCH(ROWS($DT$2:DT8),$DT$2:$DT$113,0)),"")</f>
        <v xml:space="preserve">HOMICIDIO CULPOSO POR IMPRUDENCIA/NEGLIENCIA/IMPERICIA O INOBSERVANCIA </v>
      </c>
      <c r="HQ8" s="206" t="str">
        <f>IFERROR(INDEX($A$2:$A$113,MATCH(ROWS($DU$2:DU8),$DU$2:$DU$113,0)),"")</f>
        <v xml:space="preserve">HOMICIDIO CULPOSO POR IMPRUDENCIA/NEGLIENCIA/IMPERICIA O INOBSERVANCIA </v>
      </c>
      <c r="HR8" s="206" t="str">
        <f>IFERROR(INDEX($A$2:$A$113,MATCH(ROWS($DV$2:DV8),$DV$2:$DV$113,0)),"")</f>
        <v xml:space="preserve">HOMICIDIO CULPOSO POR IMPRUDENCIA/NEGLIENCIA/IMPERICIA O INOBSERVANCIA </v>
      </c>
      <c r="HS8" s="206" t="str">
        <f>IFERROR(INDEX($A$2:$A$113,MATCH(ROWS($DW$2:DW8),$DW$2:$DW$113,0)),"")</f>
        <v xml:space="preserve">HOMICIDIO CULPOSO POR IMPRUDENCIA/NEGLIENCIA/IMPERICIA O INOBSERVANCIA </v>
      </c>
      <c r="HT8" s="206" t="str">
        <f>IFERROR(INDEX($A$2:$A$113,MATCH(ROWS($DX$2:DX8),$DX$2:$DX$113,0)),"")</f>
        <v xml:space="preserve">HOMICIDIO CULPOSO POR IMPRUDENCIA/NEGLIENCIA/IMPERICIA O INOBSERVANCIA </v>
      </c>
      <c r="HU8" s="206" t="str">
        <f>IFERROR(INDEX($A$2:$A$113,MATCH(ROWS($DY$2:DY8),$DY$2:$DY$113,0)),"")</f>
        <v xml:space="preserve">HOMICIDIO CULPOSO POR IMPRUDENCIA/NEGLIENCIA/IMPERICIA O INOBSERVANCIA </v>
      </c>
      <c r="HV8" s="206" t="str">
        <f>IFERROR(INDEX($A$2:$A$113,MATCH(ROWS($DZ$2:DZ8),$DZ$2:$DZ$113,0)),"")</f>
        <v xml:space="preserve">HOMICIDIO CULPOSO POR IMPRUDENCIA/NEGLIENCIA/IMPERICIA O INOBSERVANCIA </v>
      </c>
      <c r="HW8" s="206" t="str">
        <f>IFERROR(INDEX($A$2:$A$113,MATCH(ROWS($EA$2:EA8),$EA$2:$EA$113,0)),"")</f>
        <v xml:space="preserve">HOMICIDIO CULPOSO POR IMPRUDENCIA/NEGLIENCIA/IMPERICIA O INOBSERVANCIA </v>
      </c>
      <c r="HX8" s="206" t="str">
        <f>IFERROR(INDEX($A$2:$A$113,MATCH(ROWS($EB$2:EB8),$EB$2:$EB$113,0)),"")</f>
        <v xml:space="preserve">HOMICIDIO CULPOSO POR IMPRUDENCIA/NEGLIENCIA/IMPERICIA O INOBSERVANCIA </v>
      </c>
      <c r="HY8" s="206" t="str">
        <f>IFERROR(INDEX($A$2:$A$113,MATCH(ROWS($EC$2:EC8),$EC$2:$EC$113,0)),"")</f>
        <v xml:space="preserve">HOMICIDIO CULPOSO POR IMPRUDENCIA/NEGLIENCIA/IMPERICIA O INOBSERVANCIA </v>
      </c>
      <c r="HZ8" s="206" t="str">
        <f>IFERROR(INDEX($A$2:$A$113,MATCH(ROWS($ED$2:ED8),$ED$2:$ED$113,0)),"")</f>
        <v xml:space="preserve">HOMICIDIO CULPOSO POR IMPRUDENCIA/NEGLIENCIA/IMPERICIA O INOBSERVANCIA </v>
      </c>
      <c r="IA8" s="206" t="str">
        <f>IFERROR(INDEX($A$2:$A$113,MATCH(ROWS($EE$2:EE8),$EE$2:$EE$113,0)),"")</f>
        <v xml:space="preserve">HOMICIDIO CULPOSO POR IMPRUDENCIA/NEGLIENCIA/IMPERICIA O INOBSERVANCIA </v>
      </c>
      <c r="IB8" s="206" t="str">
        <f>IFERROR(INDEX($A$2:$A$113,MATCH(ROWS($EF$2:EF8),$EF$2:$EF$113,0)),"")</f>
        <v xml:space="preserve">HOMICIDIO CULPOSO POR IMPRUDENCIA/NEGLIENCIA/IMPERICIA O INOBSERVANCIA </v>
      </c>
      <c r="IC8" s="206" t="str">
        <f>IFERROR(INDEX($A$2:$A$113,MATCH(ROWS($EG$2:EG8),$EG$2:$EG$113,0)),"")</f>
        <v xml:space="preserve">HOMICIDIO CULPOSO POR IMPRUDENCIA/NEGLIENCIA/IMPERICIA O INOBSERVANCIA </v>
      </c>
      <c r="ID8" s="206" t="str">
        <f>IFERROR(INDEX($A$2:$A$113,MATCH(ROWS($EH$2:EH8),$EH$2:$EH$113,0)),"")</f>
        <v xml:space="preserve">HOMICIDIO CULPOSO POR IMPRUDENCIA/NEGLIENCIA/IMPERICIA O INOBSERVANCIA </v>
      </c>
      <c r="IE8" s="206" t="str">
        <f>IFERROR(INDEX($A$2:$A$113,MATCH(ROWS($EI$2:EI8),$EI$2:$EI$113,0)),"")</f>
        <v xml:space="preserve">HOMICIDIO CULPOSO POR IMPRUDENCIA/NEGLIENCIA/IMPERICIA O INOBSERVANCIA </v>
      </c>
      <c r="IF8" s="206" t="str">
        <f>IFERROR(INDEX($A$2:$A$113,MATCH(ROWS($EJ$2:EJ8),$EJ$2:$EJ$113,0)),"")</f>
        <v xml:space="preserve">HOMICIDIO CULPOSO POR IMPRUDENCIA/NEGLIENCIA/IMPERICIA O INOBSERVANCIA </v>
      </c>
      <c r="IG8" s="206" t="str">
        <f>IFERROR(INDEX($A$2:$A$113,MATCH(ROWS($EK$2:EK8),$EK$2:$EK$113,0)),"")</f>
        <v xml:space="preserve">HOMICIDIO CULPOSO POR IMPRUDENCIA/NEGLIENCIA/IMPERICIA O INOBSERVANCIA </v>
      </c>
      <c r="IH8" s="206" t="str">
        <f>IFERROR(INDEX($A$2:$A$113,MATCH(ROWS($EL$2:EL8),$EL$2:$EL$113,0)),"")</f>
        <v xml:space="preserve">HOMICIDIO CULPOSO POR IMPRUDENCIA/NEGLIENCIA/IMPERICIA O INOBSERVANCIA </v>
      </c>
      <c r="II8" s="206" t="str">
        <f>IFERROR(INDEX($A$2:$A$113,MATCH(ROWS($EM$2:EM8),$EM$2:$EM$113,0)),"")</f>
        <v xml:space="preserve">HOMICIDIO CULPOSO POR IMPRUDENCIA/NEGLIENCIA/IMPERICIA O INOBSERVANCIA </v>
      </c>
      <c r="IJ8" s="206" t="str">
        <f>IFERROR(INDEX($A$2:$A$113,MATCH(ROWS($EN$2:EN8),$EN$2:$EN$113,0)),"")</f>
        <v xml:space="preserve">HOMICIDIO CULPOSO POR IMPRUDENCIA/NEGLIENCIA/IMPERICIA O INOBSERVANCIA </v>
      </c>
      <c r="IK8" s="207" t="str">
        <f>IFERROR(INDEX($A$2:$A$113,MATCH(ROWS($EO$2:EO8),$EO$2:$EO$113,0)),"")</f>
        <v xml:space="preserve">HOMICIDIO CULPOSO POR IMPRUDENCIA/NEGLIENCIA/IMPERICIA O INOBSERVANCIA </v>
      </c>
      <c r="IL8" s="207" t="str">
        <f>IFERROR(INDEX($A$2:$A$113,MATCH(ROWS($EP$2:EP8),$EP$2:$EP$113,0)),"")</f>
        <v xml:space="preserve">HOMICIDIO CULPOSO POR IMPRUDENCIA/NEGLIENCIA/IMPERICIA O INOBSERVANCIA </v>
      </c>
      <c r="IM8" s="207" t="str">
        <f>IFERROR(INDEX($A$2:$A$113,MATCH(ROWS($EQ$2:EQ8),$EQ$2:$EQ$113,0)),"")</f>
        <v xml:space="preserve">HOMICIDIO CULPOSO POR IMPRUDENCIA/NEGLIENCIA/IMPERICIA O INOBSERVANCIA </v>
      </c>
      <c r="IN8" s="207" t="str">
        <f>IFERROR(INDEX($A$2:$A$113,MATCH(ROWS($ER$2:ER8),$ER$2:$ER$113,0)),"")</f>
        <v xml:space="preserve">HOMICIDIO CULPOSO POR IMPRUDENCIA/NEGLIENCIA/IMPERICIA O INOBSERVANCIA </v>
      </c>
      <c r="IO8" s="207" t="str">
        <f>IFERROR(INDEX($A$2:$A$113,MATCH(ROWS($ES$2:ES8),$ES$2:$ES$113,0)),"")</f>
        <v xml:space="preserve">HOMICIDIO CULPOSO POR IMPRUDENCIA/NEGLIENCIA/IMPERICIA O INOBSERVANCIA </v>
      </c>
      <c r="IP8" s="207" t="str">
        <f>IFERROR(INDEX($A$2:$A$113,MATCH(ROWS($ET$2:ET8),$ET$2:$ET$113,0)),"")</f>
        <v xml:space="preserve">HOMICIDIO CULPOSO POR IMPRUDENCIA/NEGLIENCIA/IMPERICIA O INOBSERVANCIA </v>
      </c>
      <c r="IQ8" s="207" t="str">
        <f>IFERROR(INDEX($A$2:$A$113,MATCH(ROWS($EU$2:EU8),$EU$2:$EU$113,0)),"")</f>
        <v xml:space="preserve">HOMICIDIO CULPOSO POR IMPRUDENCIA/NEGLIENCIA/IMPERICIA O INOBSERVANCIA </v>
      </c>
      <c r="IR8" s="207" t="str">
        <f>IFERROR(INDEX($A$2:$A$113,MATCH(ROWS($EV$2:EV8),$EV$2:$EV$113,0)),"")</f>
        <v xml:space="preserve">HOMICIDIO CULPOSO POR IMPRUDENCIA/NEGLIENCIA/IMPERICIA O INOBSERVANCIA </v>
      </c>
      <c r="IS8" s="207" t="str">
        <f>IFERROR(INDEX($A$2:$A$113,MATCH(ROWS($EW$2:EW8),$EW$2:$EW$113,0)),"")</f>
        <v xml:space="preserve">HOMICIDIO CULPOSO POR IMPRUDENCIA/NEGLIENCIA/IMPERICIA O INOBSERVANCIA </v>
      </c>
      <c r="IT8" s="207" t="str">
        <f>IFERROR(INDEX($A$2:$A$113,MATCH(ROWS($EX$2:EX8),$EX$2:$EX$113,0)),"")</f>
        <v xml:space="preserve">HOMICIDIO CULPOSO POR IMPRUDENCIA/NEGLIENCIA/IMPERICIA O INOBSERVANCIA </v>
      </c>
      <c r="IU8" s="207" t="str">
        <f>IFERROR(INDEX($A$2:$A$113,MATCH(ROWS($EY$2:EY8),$EY$2:$EY$113,0)),"")</f>
        <v xml:space="preserve">HOMICIDIO CULPOSO POR IMPRUDENCIA/NEGLIENCIA/IMPERICIA O INOBSERVANCIA </v>
      </c>
      <c r="IV8" s="207" t="str">
        <f>IFERROR(INDEX($A$2:$A$113,MATCH(ROWS($EZ$2:EZ8),$EZ$2:$EZ$113,0)),"")</f>
        <v xml:space="preserve">HOMICIDIO CULPOSO POR IMPRUDENCIA/NEGLIENCIA/IMPERICIA O INOBSERVANCIA </v>
      </c>
      <c r="IW8" s="207" t="str">
        <f>IFERROR(INDEX($A$2:$A$113,MATCH(ROWS($FA$2:FA8),$FA$2:$FA$113,0)),"")</f>
        <v xml:space="preserve">HOMICIDIO CULPOSO POR IMPRUDENCIA/NEGLIENCIA/IMPERICIA O INOBSERVANCIA </v>
      </c>
      <c r="IX8" s="207" t="str">
        <f>IFERROR(INDEX($A$2:$A$113,MATCH(ROWS($FB$2:FB8),$FB$2:$FB$113,0)),"")</f>
        <v xml:space="preserve">HOMICIDIO CULPOSO POR IMPRUDENCIA/NEGLIENCIA/IMPERICIA O INOBSERVANCIA </v>
      </c>
      <c r="IY8" s="207" t="str">
        <f>IFERROR(INDEX($A$2:$A$113,MATCH(ROWS($FC$2:FC8),$FC$2:$FC$113,0)),"")</f>
        <v xml:space="preserve">HOMICIDIO CULPOSO POR IMPRUDENCIA/NEGLIENCIA/IMPERICIA O INOBSERVANCIA </v>
      </c>
      <c r="IZ8" s="207" t="str">
        <f>IFERROR(INDEX($A$2:$A$113,MATCH(ROWS($FD$2:FD8),$FD$2:$FD$113,0)),"")</f>
        <v xml:space="preserve">HOMICIDIO CULPOSO POR IMPRUDENCIA/NEGLIENCIA/IMPERICIA O INOBSERVANCIA </v>
      </c>
      <c r="JA8" s="207" t="str">
        <f>IFERROR(INDEX($A$2:$A$113,MATCH(ROWS($FE$2:FE8),$FE$2:$FE$113,0)),"")</f>
        <v xml:space="preserve">HOMICIDIO CULPOSO POR IMPRUDENCIA/NEGLIENCIA/IMPERICIA O INOBSERVANCIA </v>
      </c>
      <c r="JB8" s="207" t="str">
        <f>IFERROR(INDEX($A$2:$A$113,MATCH(ROWS($FF$2:FF8),$FF$2:$FF$113,0)),"")</f>
        <v xml:space="preserve">HOMICIDIO CULPOSO POR IMPRUDENCIA/NEGLIENCIA/IMPERICIA O INOBSERVANCIA </v>
      </c>
      <c r="JC8" s="207" t="str">
        <f>IFERROR(INDEX($A$2:$A$113,MATCH(ROWS($FG$2:FG8),$FG$2:$FG$113,0)),"")</f>
        <v xml:space="preserve">HOMICIDIO CULPOSO POR IMPRUDENCIA/NEGLIENCIA/IMPERICIA O INOBSERVANCIA </v>
      </c>
      <c r="JD8" s="207" t="str">
        <f>IFERROR(INDEX($A$2:$A$113,MATCH(ROWS($FH$2:FH8),$FH$2:$FH$113,0)),"")</f>
        <v xml:space="preserve">HOMICIDIO CULPOSO POR IMPRUDENCIA/NEGLIENCIA/IMPERICIA O INOBSERVANCIA </v>
      </c>
      <c r="JE8" s="207" t="str">
        <f>IFERROR(INDEX($A$2:$A$113,MATCH(ROWS($FI$2:FI8),$FI$2:$FI$113,0)),"")</f>
        <v xml:space="preserve">HOMICIDIO CULPOSO POR IMPRUDENCIA/NEGLIENCIA/IMPERICIA O INOBSERVANCIA </v>
      </c>
      <c r="JF8" s="207" t="str">
        <f>IFERROR(INDEX($A$2:$A$113,MATCH(ROWS($FJ$2:FJ8),$FJ$2:$FJ$113,0)),"")</f>
        <v xml:space="preserve">HOMICIDIO CULPOSO POR IMPRUDENCIA/NEGLIENCIA/IMPERICIA O INOBSERVANCIA </v>
      </c>
      <c r="JG8" s="207" t="str">
        <f>IFERROR(INDEX($A$2:$A$113,MATCH(ROWS($FK$2:FK8),$FK$2:$FK$113,0)),"")</f>
        <v xml:space="preserve">HOMICIDIO CULPOSO POR IMPRUDENCIA/NEGLIENCIA/IMPERICIA O INOBSERVANCIA </v>
      </c>
      <c r="JH8" s="207" t="str">
        <f>IFERROR(INDEX($A$2:$A$113,MATCH(ROWS($FL$2:FL8),$FL$2:$FL$113,0)),"")</f>
        <v xml:space="preserve">HOMICIDIO CULPOSO POR IMPRUDENCIA/NEGLIENCIA/IMPERICIA O INOBSERVANCIA </v>
      </c>
      <c r="JI8" s="207" t="str">
        <f>IFERROR(INDEX($A$2:$A$113,MATCH(ROWS($FM$2:FM8),$FM$2:$FM$113,0)),"")</f>
        <v xml:space="preserve">HOMICIDIO CULPOSO POR IMPRUDENCIA/NEGLIENCIA/IMPERICIA O INOBSERVANCIA </v>
      </c>
      <c r="JJ8" s="207" t="str">
        <f>IFERROR(INDEX($A$2:$A$113,MATCH(ROWS($FN$2:FN8),$FN$2:$FN$113,0)),"")</f>
        <v xml:space="preserve">HOMICIDIO CULPOSO POR IMPRUDENCIA/NEGLIENCIA/IMPERICIA O INOBSERVANCIA </v>
      </c>
      <c r="JK8" s="207" t="str">
        <f>IFERROR(INDEX($A$2:$A$113,MATCH(ROWS($FO$2:FO8),$FO$2:$FO$113,0)),"")</f>
        <v xml:space="preserve">HOMICIDIO CULPOSO POR IMPRUDENCIA/NEGLIENCIA/IMPERICIA O INOBSERVANCIA </v>
      </c>
      <c r="JL8" s="207" t="str">
        <f>IFERROR(INDEX($A$2:$A$113,MATCH(ROWS($FP$2:FP8),$FP$2:$FP$113,0)),"")</f>
        <v xml:space="preserve">HOMICIDIO CULPOSO POR IMPRUDENCIA/NEGLIENCIA/IMPERICIA O INOBSERVANCIA </v>
      </c>
      <c r="JM8" s="207" t="str">
        <f>IFERROR(INDEX($A$2:$A$113,MATCH(ROWS($FQ$2:FQ8),$FQ$2:$FQ$113,0)),"")</f>
        <v xml:space="preserve">HOMICIDIO CULPOSO POR IMPRUDENCIA/NEGLIENCIA/IMPERICIA O INOBSERVANCIA </v>
      </c>
      <c r="JN8" s="207" t="str">
        <f>IFERROR(INDEX($A$2:$A$113,MATCH(ROWS($FR$2:FR8),$FR$2:$FR$113,0)),"")</f>
        <v xml:space="preserve">HOMICIDIO CULPOSO POR IMPRUDENCIA/NEGLIENCIA/IMPERICIA O INOBSERVANCIA </v>
      </c>
      <c r="JO8" s="207" t="str">
        <f>IFERROR(INDEX($A$2:$A$113,MATCH(ROWS($FS$2:FS8),$FS$2:$FS$113,0)),"")</f>
        <v xml:space="preserve">HOMICIDIO CULPOSO POR IMPRUDENCIA/NEGLIENCIA/IMPERICIA O INOBSERVANCIA </v>
      </c>
      <c r="JP8" s="207" t="str">
        <f>IFERROR(INDEX($A$2:$A$113,MATCH(ROWS($FT$2:FT8),$FT$2:$FT$113,0)),"")</f>
        <v xml:space="preserve">HOMICIDIO CULPOSO POR IMPRUDENCIA/NEGLIENCIA/IMPERICIA O INOBSERVANCIA </v>
      </c>
      <c r="JQ8" s="207" t="str">
        <f>IFERROR(INDEX($A$2:$A$113,MATCH(ROWS($FU$2:FU8),$FU$2:$FU$113,0)),"")</f>
        <v xml:space="preserve">HOMICIDIO CULPOSO POR IMPRUDENCIA/NEGLIENCIA/IMPERICIA O INOBSERVANCIA </v>
      </c>
      <c r="JR8" s="207" t="str">
        <f>IFERROR(INDEX($A$2:$A$113,MATCH(ROWS($FV$2:FV8),$FV$2:$FV$113,0)),"")</f>
        <v xml:space="preserve">HOMICIDIO CULPOSO POR IMPRUDENCIA/NEGLIENCIA/IMPERICIA O INOBSERVANCIA </v>
      </c>
      <c r="JS8" s="207" t="str">
        <f>IFERROR(INDEX($A$2:$A$113,MATCH(ROWS($FW$2:FW8),$FW$2:$FW$113,0)),"")</f>
        <v xml:space="preserve">HOMICIDIO CULPOSO POR IMPRUDENCIA/NEGLIENCIA/IMPERICIA O INOBSERVANCIA </v>
      </c>
      <c r="JT8" s="207" t="str">
        <f>IFERROR(INDEX($A$2:$A$113,MATCH(ROWS($FX$2:FX8),$FX$2:$FX$113,0)),"")</f>
        <v xml:space="preserve">HOMICIDIO CULPOSO POR IMPRUDENCIA/NEGLIENCIA/IMPERICIA O INOBSERVANCIA </v>
      </c>
      <c r="JU8" s="207" t="str">
        <f>IFERROR(INDEX($A$2:$A$113,MATCH(ROWS($FY$2:FY8),$FY$2:$FY$113,0)),"")</f>
        <v xml:space="preserve">HOMICIDIO CULPOSO POR IMPRUDENCIA/NEGLIENCIA/IMPERICIA O INOBSERVANCIA </v>
      </c>
      <c r="JV8" s="207" t="str">
        <f>IFERROR(INDEX($A$2:$A$113,MATCH(ROWS($FZ$2:FZ8),$FZ$2:$FZ$113,0)),"")</f>
        <v xml:space="preserve">HOMICIDIO CULPOSO POR IMPRUDENCIA/NEGLIENCIA/IMPERICIA O INOBSERVANCIA </v>
      </c>
      <c r="JW8" s="207" t="str">
        <f>IFERROR(INDEX($A$2:$A$113,MATCH(ROWS($GA$2:GA8),$GA$2:$GA$113,0)),"")</f>
        <v xml:space="preserve">HOMICIDIO CULPOSO POR IMPRUDENCIA/NEGLIENCIA/IMPERICIA O INOBSERVANCIA </v>
      </c>
      <c r="JX8" s="207" t="str">
        <f>IFERROR(INDEX($A$2:$A$113,MATCH(ROWS($GB$2:GB8),$GB$2:$GB$113,0)),"")</f>
        <v xml:space="preserve">HOMICIDIO CULPOSO POR IMPRUDENCIA/NEGLIENCIA/IMPERICIA O INOBSERVANCIA </v>
      </c>
      <c r="JY8" s="207" t="str">
        <f>IFERROR(INDEX($A$2:$A$113,MATCH(ROWS($GC$2:GC8),$GC$2:$GC$113,0)),"")</f>
        <v xml:space="preserve">HOMICIDIO CULPOSO POR IMPRUDENCIA/NEGLIENCIA/IMPERICIA O INOBSERVANCIA </v>
      </c>
      <c r="JZ8" s="207" t="str">
        <f>IFERROR(INDEX($A$2:$A$113,MATCH(ROWS($GD$2:GD8),$GD$2:$GD$113,0)),"")</f>
        <v xml:space="preserve">HOMICIDIO CULPOSO POR IMPRUDENCIA/NEGLIENCIA/IMPERICIA O INOBSERVANCIA </v>
      </c>
      <c r="KA8" s="207" t="str">
        <f>IFERROR(INDEX($A$2:$A$113,MATCH(ROWS($GE$2:GE8),$GE$2:$GE$113,0)),"")</f>
        <v xml:space="preserve">HOMICIDIO CULPOSO POR IMPRUDENCIA/NEGLIENCIA/IMPERICIA O INOBSERVANCIA </v>
      </c>
      <c r="KB8" s="207" t="str">
        <f>IFERROR(INDEX($A$2:$A$113,MATCH(ROWS($GF$2:GF8),$GF$2:$GF$113,0)),"")</f>
        <v xml:space="preserve">HOMICIDIO CULPOSO POR IMPRUDENCIA/NEGLIENCIA/IMPERICIA O INOBSERVANCIA </v>
      </c>
      <c r="KC8" s="207" t="str">
        <f>IFERROR(INDEX($A$2:$A$113,MATCH(ROWS($GG$2:GG8),$GG$2:$GG$113,0)),"")</f>
        <v xml:space="preserve">HOMICIDIO CULPOSO POR IMPRUDENCIA/NEGLIENCIA/IMPERICIA O INOBSERVANCIA </v>
      </c>
      <c r="KD8" s="207" t="str">
        <f>IFERROR(INDEX($A$2:$A$113,MATCH(ROWS($GH$2:GH8),$GH$2:$GH$113,0)),"")</f>
        <v xml:space="preserve">HOMICIDIO CULPOSO POR IMPRUDENCIA/NEGLIENCIA/IMPERICIA O INOBSERVANCIA </v>
      </c>
      <c r="KE8" s="207" t="str">
        <f>IFERROR(INDEX($A$2:$A$113,MATCH(ROWS($GI$2:GI8),$GI$2:$GI$113,0)),"")</f>
        <v xml:space="preserve">HOMICIDIO CULPOSO POR IMPRUDENCIA/NEGLIENCIA/IMPERICIA O INOBSERVANCIA </v>
      </c>
      <c r="KF8" s="207" t="str">
        <f>IFERROR(INDEX($A$2:$A$113,MATCH(ROWS($GJ$2:GJ8),$GJ$2:$GJ$113,0)),"")</f>
        <v xml:space="preserve">HOMICIDIO CULPOSO POR IMPRUDENCIA/NEGLIENCIA/IMPERICIA O INOBSERVANCIA </v>
      </c>
      <c r="KG8" s="207" t="str">
        <f>IFERROR(INDEX($A$2:$A$113,MATCH(ROWS($GK$2:GK8),$GK$2:$GK$113,0)),"")</f>
        <v xml:space="preserve">HOMICIDIO CULPOSO POR IMPRUDENCIA/NEGLIENCIA/IMPERICIA O INOBSERVANCIA </v>
      </c>
      <c r="KH8" s="207" t="str">
        <f>IFERROR(INDEX($A$2:$A$113,MATCH(ROWS($GL$2:GL8),$GL$2:$GL$113,0)),"")</f>
        <v xml:space="preserve">HOMICIDIO CULPOSO POR IMPRUDENCIA/NEGLIENCIA/IMPERICIA O INOBSERVANCIA </v>
      </c>
      <c r="KI8" s="207" t="str">
        <f>IFERROR(INDEX($A$2:$A$113,MATCH(ROWS($GM$2:GM8),$GM$2:$GM$113,0)),"")</f>
        <v xml:space="preserve">HOMICIDIO CULPOSO POR IMPRUDENCIA/NEGLIENCIA/IMPERICIA O INOBSERVANCIA </v>
      </c>
      <c r="KJ8" s="207" t="str">
        <f>IFERROR(INDEX($A$2:$A$113,MATCH(ROWS($GN$2:GN8),$GN$2:$GN$113,0)),"")</f>
        <v xml:space="preserve">HOMICIDIO CULPOSO POR IMPRUDENCIA/NEGLIENCIA/IMPERICIA O INOBSERVANCIA </v>
      </c>
      <c r="KK8" s="207" t="str">
        <f>IFERROR(INDEX($A$2:$A$113,MATCH(ROWS($GO$2:GO8),$GO$2:$GO$113,0)),"")</f>
        <v xml:space="preserve">HOMICIDIO CULPOSO POR IMPRUDENCIA/NEGLIENCIA/IMPERICIA O INOBSERVANCIA </v>
      </c>
      <c r="KL8" s="207" t="str">
        <f>IFERROR(INDEX($A$2:$A$113,MATCH(ROWS($GP$2:GP8),$GP$2:$GP$113,0)),"")</f>
        <v xml:space="preserve">HOMICIDIO CULPOSO POR IMPRUDENCIA/NEGLIENCIA/IMPERICIA O INOBSERVANCIA </v>
      </c>
      <c r="KM8" s="207" t="str">
        <f>IFERROR(INDEX($A$2:$A$113,MATCH(ROWS($GQ$2:GQ8),$GQ$2:$GQ$113,0)),"")</f>
        <v xml:space="preserve">HOMICIDIO CULPOSO POR IMPRUDENCIA/NEGLIENCIA/IMPERICIA O INOBSERVANCIA </v>
      </c>
      <c r="KN8" s="207" t="str">
        <f>IFERROR(INDEX($A$2:$A$113,MATCH(ROWS($GR$2:GR8),$GR$2:$GR$113,0)),"")</f>
        <v xml:space="preserve">HOMICIDIO CULPOSO POR IMPRUDENCIA/NEGLIENCIA/IMPERICIA O INOBSERVANCIA </v>
      </c>
      <c r="KO8" s="207" t="str">
        <f>IFERROR(INDEX($A$2:$A$113,MATCH(ROWS($GS$2:GS8),$GS$2:$GS$113,0)),"")</f>
        <v xml:space="preserve">HOMICIDIO CULPOSO POR IMPRUDENCIA/NEGLIENCIA/IMPERICIA O INOBSERVANCIA </v>
      </c>
      <c r="KP8" s="207" t="str">
        <f>IFERROR(INDEX($A$2:$A$113,MATCH(ROWS($GT$2:GT8),$GT$2:$GT$113,0)),"")</f>
        <v xml:space="preserve">HOMICIDIO CULPOSO POR IMPRUDENCIA/NEGLIENCIA/IMPERICIA O INOBSERVANCIA </v>
      </c>
      <c r="KQ8" s="207" t="str">
        <f>IFERROR(INDEX($A$2:$A$113,MATCH(ROWS($GU$2:GU8),$GU$2:$GU$113,0)),"")</f>
        <v xml:space="preserve">HOMICIDIO CULPOSO POR IMPRUDENCIA/NEGLIENCIA/IMPERICIA O INOBSERVANCIA </v>
      </c>
      <c r="KR8" s="207" t="str">
        <f>IFERROR(INDEX($A$2:$A$113,MATCH(ROWS($GV$2:GV8),$GV$2:$GV$113,0)),"")</f>
        <v xml:space="preserve">HOMICIDIO CULPOSO POR IMPRUDENCIA/NEGLIENCIA/IMPERICIA O INOBSERVANCIA </v>
      </c>
      <c r="KS8" s="207" t="str">
        <f>IFERROR(INDEX($A$2:$A$113,MATCH(ROWS($GW$2:GW8),$GW$2:$GW$113,0)),"")</f>
        <v xml:space="preserve">HOMICIDIO CULPOSO POR IMPRUDENCIA/NEGLIENCIA/IMPERICIA O INOBSERVANCIA </v>
      </c>
    </row>
    <row r="9" spans="1:305" x14ac:dyDescent="0.25">
      <c r="A9" s="206" t="s">
        <v>63</v>
      </c>
      <c r="B9" s="206">
        <v>5</v>
      </c>
      <c r="D9" s="206" t="s">
        <v>49</v>
      </c>
      <c r="E9" s="206" t="s">
        <v>785</v>
      </c>
      <c r="F9" s="207">
        <f>--ISNUMBER(IFERROR(SEARCH('PLANILLA DJ'!$X$3,$A9,1),""))</f>
        <v>1</v>
      </c>
      <c r="G9" s="207">
        <f>--ISNUMBER(IFERROR(SEARCH('PLANILLA DJ'!$X$4,$A9,1),""))</f>
        <v>1</v>
      </c>
      <c r="H9" s="207">
        <f>--ISNUMBER(IFERROR(SEARCH('PLANILLA DJ'!$X$5,$A9,1),""))</f>
        <v>1</v>
      </c>
      <c r="I9" s="207">
        <f>--ISNUMBER(IFERROR(SEARCH('PLANILLA DJ'!$X$6,$A9,1),""))</f>
        <v>1</v>
      </c>
      <c r="J9" s="207">
        <f>--ISNUMBER(IFERROR(SEARCH('PLANILLA DJ'!$X$7,$A9,1),""))</f>
        <v>1</v>
      </c>
      <c r="K9" s="207">
        <f>--ISNUMBER(IFERROR(SEARCH('PLANILLA DJ'!$X$8,$A9,1),""))</f>
        <v>1</v>
      </c>
      <c r="L9" s="207">
        <f>--ISNUMBER(IFERROR(SEARCH('PLANILLA DJ'!$X$9,$A9,1),""))</f>
        <v>1</v>
      </c>
      <c r="M9" s="207">
        <f>--ISNUMBER(IFERROR(SEARCH('PLANILLA DJ'!$X$10,$A9,1),""))</f>
        <v>1</v>
      </c>
      <c r="N9" s="207">
        <f>--ISNUMBER(IFERROR(SEARCH('PLANILLA DJ'!$X$11,$A9,1),""))</f>
        <v>1</v>
      </c>
      <c r="O9" s="207">
        <f>--ISNUMBER(IFERROR(SEARCH('PLANILLA DJ'!$X$12,$A9,1),""))</f>
        <v>1</v>
      </c>
      <c r="P9" s="207">
        <f>--ISNUMBER(IFERROR(SEARCH('PLANILLA DJ'!$X$13,$A9,1),""))</f>
        <v>1</v>
      </c>
      <c r="Q9" s="207">
        <f>--ISNUMBER(IFERROR(SEARCH('PLANILLA DJ'!$X$14,$A9,1),""))</f>
        <v>1</v>
      </c>
      <c r="R9" s="207">
        <f>--ISNUMBER(IFERROR(SEARCH('PLANILLA DJ'!$X$15,$A9,1),""))</f>
        <v>1</v>
      </c>
      <c r="S9" s="207">
        <f>--ISNUMBER(IFERROR(SEARCH('PLANILLA DJ'!$X$16,$A9,1),""))</f>
        <v>1</v>
      </c>
      <c r="T9" s="207">
        <f>--ISNUMBER(IFERROR(SEARCH('PLANILLA DJ'!$X$17,$A9,1),""))</f>
        <v>1</v>
      </c>
      <c r="U9" s="207">
        <f>--ISNUMBER(IFERROR(SEARCH('PLANILLA DJ'!$X$18,$A9,1),""))</f>
        <v>1</v>
      </c>
      <c r="V9" s="207">
        <f>--ISNUMBER(IFERROR(SEARCH('PLANILLA DJ'!$X$19,$A9,1),""))</f>
        <v>1</v>
      </c>
      <c r="W9" s="207">
        <f>--ISNUMBER(IFERROR(SEARCH('PLANILLA DJ'!$X$20,$A9,1),""))</f>
        <v>1</v>
      </c>
      <c r="X9" s="207">
        <f>--ISNUMBER(IFERROR(SEARCH('PLANILLA DJ'!$X$21,$A9,1),""))</f>
        <v>1</v>
      </c>
      <c r="Y9" s="207">
        <f>--ISNUMBER(IFERROR(SEARCH('PLANILLA DJ'!$X$22,$A9,1),""))</f>
        <v>1</v>
      </c>
      <c r="Z9" s="207">
        <f>--ISNUMBER(IFERROR(SEARCH('PLANILLA DJ'!$X$23,$A9,1),""))</f>
        <v>1</v>
      </c>
      <c r="AA9" s="207">
        <f>--ISNUMBER(IFERROR(SEARCH('PLANILLA DJ'!$X$24,$A9,1),""))</f>
        <v>1</v>
      </c>
      <c r="AB9" s="207">
        <f>--ISNUMBER(IFERROR(SEARCH('PLANILLA DJ'!$X$25,$A9,1),""))</f>
        <v>1</v>
      </c>
      <c r="AC9" s="207">
        <f>--ISNUMBER(IFERROR(SEARCH('PLANILLA DJ'!$X$26,$A9,1),""))</f>
        <v>1</v>
      </c>
      <c r="AD9" s="207">
        <f>--ISNUMBER(IFERROR(SEARCH('PLANILLA DJ'!$X$27,$A9,1),""))</f>
        <v>1</v>
      </c>
      <c r="AE9" s="207">
        <f>--ISNUMBER(IFERROR(SEARCH('PLANILLA DJ'!$X$28,$A9,1),""))</f>
        <v>1</v>
      </c>
      <c r="AF9" s="207">
        <f>--ISNUMBER(IFERROR(SEARCH('PLANILLA DJ'!$X$29,$A9,1),""))</f>
        <v>1</v>
      </c>
      <c r="AG9" s="207">
        <f>--ISNUMBER(IFERROR(SEARCH('PLANILLA DJ'!$X$30,$A9,1),""))</f>
        <v>1</v>
      </c>
      <c r="AH9" s="207">
        <f>--ISNUMBER(IFERROR(SEARCH('PLANILLA DJ'!$X$31,$A9,1),""))</f>
        <v>1</v>
      </c>
      <c r="AI9" s="207">
        <f>--ISNUMBER(IFERROR(SEARCH('PLANILLA DJ'!$X$32,$A9,1),""))</f>
        <v>1</v>
      </c>
      <c r="AJ9" s="207">
        <f>--ISNUMBER(IFERROR(SEARCH('PLANILLA DJ'!$X$33,$A9,1),""))</f>
        <v>1</v>
      </c>
      <c r="AK9" s="207">
        <f>--ISNUMBER(IFERROR(SEARCH('PLANILLA DJ'!$X$34,$A9,1),""))</f>
        <v>1</v>
      </c>
      <c r="AL9" s="207">
        <f>--ISNUMBER(IFERROR(SEARCH('PLANILLA DJ'!$X$35,$A9,1),""))</f>
        <v>1</v>
      </c>
      <c r="AM9" s="207">
        <f>--ISNUMBER(IFERROR(SEARCH('PLANILLA DJ'!$X$36,$A9,1),""))</f>
        <v>1</v>
      </c>
      <c r="AN9" s="207">
        <f>--ISNUMBER(IFERROR(SEARCH('PLANILLA DJ'!$X$37,$A9,1),""))</f>
        <v>1</v>
      </c>
      <c r="AO9" s="207">
        <f>--ISNUMBER(IFERROR(SEARCH('PLANILLA DJ'!$X$38,$A9,1),""))</f>
        <v>1</v>
      </c>
      <c r="AP9" s="207">
        <f>--ISNUMBER(IFERROR(SEARCH('PLANILLA DJ'!$X$39,$A9,1),""))</f>
        <v>1</v>
      </c>
      <c r="AQ9" s="207">
        <f>--ISNUMBER(IFERROR(SEARCH('PLANILLA DJ'!$X$40,$A9,1),""))</f>
        <v>1</v>
      </c>
      <c r="AR9" s="207">
        <f>--ISNUMBER(IFERROR(SEARCH('PLANILLA DJ'!$X$41,$A9,1),""))</f>
        <v>1</v>
      </c>
      <c r="AS9" s="207">
        <f>--ISNUMBER(IFERROR(SEARCH('PLANILLA DJ'!$X$42,$A9,1),""))</f>
        <v>1</v>
      </c>
      <c r="AT9" s="207">
        <f>--ISNUMBER(IFERROR(SEARCH('PLANILLA DJ'!$X$43,$A9,1),""))</f>
        <v>1</v>
      </c>
      <c r="AU9" s="207">
        <f>--ISNUMBER(IFERROR(SEARCH('PLANILLA DJ'!$X$44,$A9,1),""))</f>
        <v>1</v>
      </c>
      <c r="AV9" s="207">
        <f>--ISNUMBER(IFERROR(SEARCH('PLANILLA DJ'!$X$45,$A9,1),""))</f>
        <v>1</v>
      </c>
      <c r="AW9" s="207">
        <f>--ISNUMBER(IFERROR(SEARCH('PLANILLA DJ'!$X$46,$A9,1),""))</f>
        <v>1</v>
      </c>
      <c r="AX9" s="207">
        <f>--ISNUMBER(IFERROR(SEARCH('PLANILLA DJ'!$X$47,$A9,1),""))</f>
        <v>1</v>
      </c>
      <c r="AY9" s="207">
        <f>--ISNUMBER(IFERROR(SEARCH('PLANILLA DJ'!$X$48,$A9,1),""))</f>
        <v>1</v>
      </c>
      <c r="AZ9" s="207">
        <f>--ISNUMBER(IFERROR(SEARCH('PLANILLA DJ'!$X$49,$A9,1),""))</f>
        <v>1</v>
      </c>
      <c r="BA9" s="207">
        <f>--ISNUMBER(IFERROR(SEARCH('PLANILLA DJ'!$X$50,$A9,1),""))</f>
        <v>1</v>
      </c>
      <c r="BB9" s="207">
        <f>--ISNUMBER(IFERROR(SEARCH('PLANILLA DJ'!$X$51,$A9,1),""))</f>
        <v>1</v>
      </c>
      <c r="BC9" s="207">
        <f>--ISNUMBER(IFERROR(SEARCH('PLANILLA DJ'!$X$52,$A9,1),""))</f>
        <v>1</v>
      </c>
      <c r="BD9" s="207">
        <f>--ISNUMBER(IFERROR(SEARCH('PLANILLA DJ'!$X$53,$A9,1),""))</f>
        <v>1</v>
      </c>
      <c r="BE9" s="207">
        <f>--ISNUMBER(IFERROR(SEARCH('PLANILLA DJ'!$X$54,$A9,1),""))</f>
        <v>1</v>
      </c>
      <c r="BF9" s="207">
        <f>--ISNUMBER(IFERROR(SEARCH('PLANILLA DJ'!$X$55,$A9,1),""))</f>
        <v>1</v>
      </c>
      <c r="BG9" s="207">
        <f>--ISNUMBER(IFERROR(SEARCH('PLANILLA DJ'!$X$56,$A9,1),""))</f>
        <v>1</v>
      </c>
      <c r="BH9" s="207">
        <f>--ISNUMBER(IFERROR(SEARCH('PLANILLA DJ'!$X$57,$A9,1),""))</f>
        <v>1</v>
      </c>
      <c r="BI9" s="207">
        <f>--ISNUMBER(IFERROR(SEARCH('PLANILLA DJ'!$X$58,$A9,1),""))</f>
        <v>1</v>
      </c>
      <c r="BJ9" s="207">
        <f>--ISNUMBER(IFERROR(SEARCH('PLANILLA DJ'!$X$59,$A9,1),""))</f>
        <v>1</v>
      </c>
      <c r="BK9" s="207">
        <f>--ISNUMBER(IFERROR(SEARCH('PLANILLA DJ'!$X$60,$A9,1),""))</f>
        <v>1</v>
      </c>
      <c r="BL9" s="207">
        <f>--ISNUMBER(IFERROR(SEARCH('PLANILLA DJ'!$X$61,$A9,1),""))</f>
        <v>1</v>
      </c>
      <c r="BM9" s="207">
        <f>--ISNUMBER(IFERROR(SEARCH('PLANILLA DJ'!$X$62,$A9,1),""))</f>
        <v>1</v>
      </c>
      <c r="BN9" s="207">
        <f>--ISNUMBER(IFERROR(SEARCH('PLANILLA DJ'!$X$63,$A9,1),""))</f>
        <v>1</v>
      </c>
      <c r="BO9" s="207">
        <f>--ISNUMBER(IFERROR(SEARCH('PLANILLA DJ'!$X$64,$A9,1),""))</f>
        <v>1</v>
      </c>
      <c r="BP9" s="207">
        <f>--ISNUMBER(IFERROR(SEARCH('PLANILLA DJ'!$X$65,$A9,1),""))</f>
        <v>1</v>
      </c>
      <c r="BQ9" s="207">
        <f>--ISNUMBER(IFERROR(SEARCH('PLANILLA DJ'!$X$66,$A9,1),""))</f>
        <v>1</v>
      </c>
      <c r="BR9" s="207">
        <f>--ISNUMBER(IFERROR(SEARCH('PLANILLA DJ'!$X$67,$A9,1),""))</f>
        <v>1</v>
      </c>
      <c r="BS9" s="207">
        <f>--ISNUMBER(IFERROR(SEARCH('PLANILLA DJ'!$X$68,$A9,1),""))</f>
        <v>1</v>
      </c>
      <c r="BT9" s="207">
        <f>--ISNUMBER(IFERROR(SEARCH('PLANILLA DJ'!$X$69,$A9,1),""))</f>
        <v>1</v>
      </c>
      <c r="BU9" s="207">
        <f>--ISNUMBER(IFERROR(SEARCH('PLANILLA DJ'!$X$70,$A9,1),""))</f>
        <v>1</v>
      </c>
      <c r="BV9" s="207">
        <f>--ISNUMBER(IFERROR(SEARCH('PLANILLA DJ'!$X$71,$A9,1),""))</f>
        <v>1</v>
      </c>
      <c r="BW9" s="207">
        <f>--ISNUMBER(IFERROR(SEARCH('PLANILLA DJ'!$X$72,$A9,1),""))</f>
        <v>1</v>
      </c>
      <c r="BX9" s="207">
        <f>--ISNUMBER(IFERROR(SEARCH('PLANILLA DJ'!$X$73,$A9,1),""))</f>
        <v>1</v>
      </c>
      <c r="BY9" s="207">
        <f>--ISNUMBER(IFERROR(SEARCH('PLANILLA DJ'!$X$74,$A9,1),""))</f>
        <v>1</v>
      </c>
      <c r="BZ9" s="207">
        <f>--ISNUMBER(IFERROR(SEARCH('PLANILLA DJ'!$X$75,$A9,1),""))</f>
        <v>1</v>
      </c>
      <c r="CA9" s="207">
        <f>--ISNUMBER(IFERROR(SEARCH('PLANILLA DJ'!$X$76,$A9,1),""))</f>
        <v>1</v>
      </c>
      <c r="CB9" s="207">
        <f>--ISNUMBER(IFERROR(SEARCH('PLANILLA DJ'!$X$77,$A9,1),""))</f>
        <v>1</v>
      </c>
      <c r="CC9" s="207">
        <f>--ISNUMBER(IFERROR(SEARCH('PLANILLA DJ'!$X$78,$A9,1),""))</f>
        <v>1</v>
      </c>
      <c r="CD9" s="207">
        <f>--ISNUMBER(IFERROR(SEARCH('PLANILLA DJ'!$X$79,$A9,1),""))</f>
        <v>1</v>
      </c>
      <c r="CE9" s="207">
        <f>--ISNUMBER(IFERROR(SEARCH('PLANILLA DJ'!$X$80,$A9,1),""))</f>
        <v>1</v>
      </c>
      <c r="CF9" s="207">
        <f>--ISNUMBER(IFERROR(SEARCH('PLANILLA DJ'!$X$81,$A9,1),""))</f>
        <v>1</v>
      </c>
      <c r="CG9" s="207">
        <f>--ISNUMBER(IFERROR(SEARCH('PLANILLA DJ'!$X$82,$A9,1),""))</f>
        <v>1</v>
      </c>
      <c r="CH9" s="207">
        <f>--ISNUMBER(IFERROR(SEARCH('PLANILLA DJ'!$X$83,$A9,1),""))</f>
        <v>1</v>
      </c>
      <c r="CI9" s="207">
        <f>--ISNUMBER(IFERROR(SEARCH('PLANILLA DJ'!$X$84,$A9,1),""))</f>
        <v>1</v>
      </c>
      <c r="CJ9" s="207">
        <f>--ISNUMBER(IFERROR(SEARCH('PLANILLA DJ'!$X$85,$A9,1),""))</f>
        <v>1</v>
      </c>
      <c r="CK9" s="207">
        <f>--ISNUMBER(IFERROR(SEARCH('PLANILLA DJ'!$X$86,$A9,1),""))</f>
        <v>1</v>
      </c>
      <c r="CL9" s="207">
        <f>--ISNUMBER(IFERROR(SEARCH('PLANILLA DJ'!$X$87,$A9,1),""))</f>
        <v>1</v>
      </c>
      <c r="CM9" s="207">
        <f>--ISNUMBER(IFERROR(SEARCH('PLANILLA DJ'!$X$88,$A9,1),""))</f>
        <v>1</v>
      </c>
      <c r="CN9" s="207">
        <f>--ISNUMBER(IFERROR(SEARCH('PLANILLA DJ'!$X$89,$A9,1),""))</f>
        <v>1</v>
      </c>
      <c r="CO9" s="207">
        <f>--ISNUMBER(IFERROR(SEARCH('PLANILLA DJ'!$X$90,$A9,1),""))</f>
        <v>1</v>
      </c>
      <c r="CP9" s="207">
        <f>--ISNUMBER(IFERROR(SEARCH('PLANILLA DJ'!$X$91,$A9,1),""))</f>
        <v>1</v>
      </c>
      <c r="CQ9" s="207">
        <f>--ISNUMBER(IFERROR(SEARCH('PLANILLA DJ'!$X$92,$A9,1),""))</f>
        <v>1</v>
      </c>
      <c r="CR9" s="207">
        <f>--ISNUMBER(IFERROR(SEARCH('PLANILLA DJ'!$X$93,$A9,1),""))</f>
        <v>1</v>
      </c>
      <c r="CS9" s="207">
        <f>--ISNUMBER(IFERROR(SEARCH('PLANILLA DJ'!$X$94,$A9,1),""))</f>
        <v>1</v>
      </c>
      <c r="CT9" s="207">
        <f>--ISNUMBER(IFERROR(SEARCH('PLANILLA DJ'!$X$95,$A9,1),""))</f>
        <v>1</v>
      </c>
      <c r="CU9" s="207">
        <f>--ISNUMBER(IFERROR(SEARCH('PLANILLA DJ'!$X$96,$A9,1),""))</f>
        <v>1</v>
      </c>
      <c r="CV9" s="207">
        <f>--ISNUMBER(IFERROR(SEARCH('PLANILLA DJ'!$X$97,$A9,1),""))</f>
        <v>1</v>
      </c>
      <c r="CW9" s="207">
        <f>--ISNUMBER(IFERROR(SEARCH('PLANILLA DJ'!$X$98,$A9,1),""))</f>
        <v>1</v>
      </c>
      <c r="CX9" s="207">
        <f>--ISNUMBER(IFERROR(SEARCH('PLANILLA DJ'!$X$99,$A9,1),""))</f>
        <v>1</v>
      </c>
      <c r="CY9" s="207">
        <f>--ISNUMBER(IFERROR(SEARCH('PLANILLA DJ'!$X$100,$A9,1),""))</f>
        <v>1</v>
      </c>
      <c r="CZ9" s="207">
        <f>--ISNUMBER(IFERROR(SEARCH('PLANILLA DJ'!$X$101,$A9,1),""))</f>
        <v>1</v>
      </c>
      <c r="DA9" s="207">
        <f>--ISNUMBER(IFERROR(SEARCH('PLANILLA DJ'!$X$102,$A9,1),""))</f>
        <v>1</v>
      </c>
      <c r="DB9" s="206">
        <f>IF(F9=1,COUNTIF($F$2:F9,1),"")</f>
        <v>8</v>
      </c>
      <c r="DC9" s="206">
        <f>IF(G9=1,COUNTIF($G$2:G9,1),"")</f>
        <v>8</v>
      </c>
      <c r="DD9" s="206">
        <f>IF(H9=1,COUNTIF($H$2:H9,1),"")</f>
        <v>8</v>
      </c>
      <c r="DE9" s="206">
        <f>IF(I9=1,COUNTIF($I$2:I9,1),"")</f>
        <v>8</v>
      </c>
      <c r="DF9" s="206">
        <f>IF(J9=1,COUNTIF($J$2:J9,1),"")</f>
        <v>8</v>
      </c>
      <c r="DG9" s="206">
        <f>IF(K9=1,COUNTIF($K$2:K9,1),"")</f>
        <v>8</v>
      </c>
      <c r="DH9" s="206">
        <f>IF(L9=1,COUNTIF($L$2:L9,1),"")</f>
        <v>8</v>
      </c>
      <c r="DI9" s="206">
        <f>IF(M9=1,COUNTIF($M$2:M9,1),"")</f>
        <v>8</v>
      </c>
      <c r="DJ9" s="206">
        <f>IF(N9=1,COUNTIF($N$2:N9,1),"")</f>
        <v>8</v>
      </c>
      <c r="DK9" s="206">
        <f>IF(O9=1,COUNTIF($O$2:O9,1),"")</f>
        <v>8</v>
      </c>
      <c r="DL9" s="206">
        <f>IF(P9=1,COUNTIF($P$2:P9,1),"")</f>
        <v>8</v>
      </c>
      <c r="DM9" s="206">
        <f>IF(Q9=1,COUNTIF($Q$2:Q9,1),"")</f>
        <v>8</v>
      </c>
      <c r="DN9" s="207">
        <f>IF(R9=1,COUNTIF($R$2:R9,1),"")</f>
        <v>8</v>
      </c>
      <c r="DO9" s="207">
        <f>IF(S9=1,COUNTIF($S$2:S9,1),"")</f>
        <v>8</v>
      </c>
      <c r="DP9" s="207">
        <f>IF(T9=1,COUNTIF($T$2:T9,1),"")</f>
        <v>8</v>
      </c>
      <c r="DQ9" s="207">
        <f>IF(U9=1,COUNTIF($U$2:U9,1),"")</f>
        <v>8</v>
      </c>
      <c r="DR9" s="207">
        <f>IF(V9=1,COUNTIF($V$2:V9,1),"")</f>
        <v>8</v>
      </c>
      <c r="DS9" s="207">
        <f>IF(W9=1,COUNTIF($W$2:W9,1),"")</f>
        <v>8</v>
      </c>
      <c r="DT9" s="207">
        <f>IF(X9=1,COUNTIF($X$2:X9,1),"")</f>
        <v>8</v>
      </c>
      <c r="DU9" s="207">
        <f>IF(Y9=1,COUNTIF($Y$2:Y9,1),"")</f>
        <v>8</v>
      </c>
      <c r="DV9" s="207">
        <f>IF(Z9=1,COUNTIF(Z$2:Z9,1),"")</f>
        <v>8</v>
      </c>
      <c r="DW9" s="207">
        <f>IF(AA9=1,COUNTIF($AA$2:AA9,1),"")</f>
        <v>8</v>
      </c>
      <c r="DX9" s="207">
        <f>IF(AB9=1,COUNTIF($AB$2:AB9,1),"")</f>
        <v>8</v>
      </c>
      <c r="DY9" s="207">
        <f>IF(AC9=1,COUNTIF($AC$2:AC9,1),"")</f>
        <v>8</v>
      </c>
      <c r="DZ9" s="207">
        <f>IF(AD9=1,COUNTIF($AD$2:AD9,1),"")</f>
        <v>8</v>
      </c>
      <c r="EA9" s="207">
        <f>IF(AE9=1,COUNTIF($AE$2:AE9,1),"")</f>
        <v>8</v>
      </c>
      <c r="EB9" s="207">
        <f>IF(AF9=1,COUNTIF($AF$2:AF9,1),"")</f>
        <v>8</v>
      </c>
      <c r="EC9" s="207">
        <f>IF(AG9=1,COUNTIF($AG$2:AG9,1),"")</f>
        <v>8</v>
      </c>
      <c r="ED9" s="207">
        <f>IF(AH9=1,COUNTIF($AH$2:AH9,1),"")</f>
        <v>8</v>
      </c>
      <c r="EE9" s="207">
        <f>IF(AI9=1,COUNTIF($AI$2:AI9,1),"")</f>
        <v>8</v>
      </c>
      <c r="EF9" s="207">
        <f>IF(AJ9=1,COUNTIF($AJ$2:AJ9,1),"")</f>
        <v>8</v>
      </c>
      <c r="EG9" s="207">
        <f>IF(AK9=1,COUNTIF($AK$2:AK9,1),"")</f>
        <v>8</v>
      </c>
      <c r="EH9" s="207">
        <f>IF(AL9=1,COUNTIF($AL$2:AL9,1),"")</f>
        <v>8</v>
      </c>
      <c r="EI9" s="207">
        <f>IF(AM9=1,COUNTIF($AM$2:AM9,1),"")</f>
        <v>8</v>
      </c>
      <c r="EJ9" s="207">
        <f>IF(AN9=1,COUNTIF($AN$2:AN9,1),"")</f>
        <v>8</v>
      </c>
      <c r="EK9" s="207">
        <f>IF(AO9=1,COUNTIF($AO$2:AO9,1),"")</f>
        <v>8</v>
      </c>
      <c r="EL9" s="207">
        <f>IF(AP9=1,COUNTIF($AP$2:AP9,1),"")</f>
        <v>8</v>
      </c>
      <c r="EM9" s="207">
        <f>IF(AQ9=1,COUNTIF($AQ$2:AQ9,1),"")</f>
        <v>8</v>
      </c>
      <c r="EN9" s="207">
        <f>IF(AR9=1,COUNTIF($AR$2:AR9,1),"")</f>
        <v>8</v>
      </c>
      <c r="EO9" s="207">
        <f>IF(AS9=1,COUNTIF($AS$2:AS9,1),"")</f>
        <v>8</v>
      </c>
      <c r="EP9" s="207">
        <f>IF(AT9=1,COUNTIF($AT$2:AT9,1),"")</f>
        <v>8</v>
      </c>
      <c r="EQ9" s="207">
        <f>IF(AU9=1,COUNTIF($AU$2:AU9,1),"")</f>
        <v>8</v>
      </c>
      <c r="ER9" s="207">
        <f>IF(AV9=1,COUNTIF($AV$2:AV9,1),"")</f>
        <v>8</v>
      </c>
      <c r="ES9" s="207">
        <f>IF(AW9=1,COUNTIF($AW$2:AW9,1),"")</f>
        <v>8</v>
      </c>
      <c r="ET9" s="207">
        <f>IF(AX9=1,COUNTIF($AX$2:AX9,1),"")</f>
        <v>8</v>
      </c>
      <c r="EU9" s="207">
        <f>IF(AY9=1,COUNTIF($AY$2:AY9,1),"")</f>
        <v>8</v>
      </c>
      <c r="EV9" s="207">
        <f>IF(AZ9=1,COUNTIF($AZ$2:AZ9,1),"")</f>
        <v>8</v>
      </c>
      <c r="EW9" s="207">
        <f>IF(BA9=1,COUNTIF($BA$2:BA9,1),"")</f>
        <v>8</v>
      </c>
      <c r="EX9" s="207">
        <f>IF(BB9=1,COUNTIF($BB$2:BB9,1),"")</f>
        <v>8</v>
      </c>
      <c r="EY9" s="207">
        <f>IF(BC9=1,COUNTIF($BC$2:BC9,1),"")</f>
        <v>8</v>
      </c>
      <c r="EZ9" s="207">
        <f>IF(BD9=1,COUNTIF($BD$2:BD9,1),"")</f>
        <v>8</v>
      </c>
      <c r="FA9" s="207">
        <f>IF(BE9=1,COUNTIF($BE$2:BE9,1),"")</f>
        <v>8</v>
      </c>
      <c r="FB9" s="207">
        <f>IF(BF9=1,COUNTIF($BF$2:BF9,1),"")</f>
        <v>8</v>
      </c>
      <c r="FC9" s="207">
        <f>IF(BG9=1,COUNTIF($BG$2:BG9,1),"")</f>
        <v>8</v>
      </c>
      <c r="FD9" s="207">
        <f>IF(BH9=1,COUNTIF($BH$2:BH9,1),"")</f>
        <v>8</v>
      </c>
      <c r="FE9" s="207">
        <f>IF(BI9=1,COUNTIF($BI$2:BI9,1),"")</f>
        <v>8</v>
      </c>
      <c r="FF9" s="207">
        <f>IF(BJ9=1,COUNTIF($BJ$2:BJ9,1),"")</f>
        <v>8</v>
      </c>
      <c r="FG9" s="207">
        <f>IF(BK9=1,COUNTIF($BK$2:BK9,1),"")</f>
        <v>8</v>
      </c>
      <c r="FH9" s="207">
        <f>IF(BL9=1,COUNTIF($BL$2:BL9,1),"")</f>
        <v>8</v>
      </c>
      <c r="FI9" s="207">
        <f>IF(BM9=1,COUNTIF($BM$2:BM9,1),"")</f>
        <v>8</v>
      </c>
      <c r="FJ9" s="207">
        <f>IF(BN9=1,COUNTIF($BN$2:BN9,1),"")</f>
        <v>8</v>
      </c>
      <c r="FK9" s="207">
        <f>IF(BO9=1,COUNTIF($BO$2:BO9,1),"")</f>
        <v>8</v>
      </c>
      <c r="FL9" s="207">
        <f>IF(BP9=1,COUNTIF($BP$2:BP9,1),"")</f>
        <v>8</v>
      </c>
      <c r="FM9" s="207">
        <f>IF(BQ9=1,COUNTIF($BQ$2:BQ9,1),"")</f>
        <v>8</v>
      </c>
      <c r="FN9" s="207">
        <f>IF(BR9=1,COUNTIF($BR$2:BR9,1),"")</f>
        <v>8</v>
      </c>
      <c r="FO9" s="207">
        <f>IF(BS9=1,COUNTIF($BS$2:BS9,1),"")</f>
        <v>8</v>
      </c>
      <c r="FP9" s="207">
        <f>IF(BT9=1,COUNTIF($BT$2:BT9,1),"")</f>
        <v>8</v>
      </c>
      <c r="FQ9" s="207">
        <f>IF(BU9=1,COUNTIF($BU$2:BU9,1),"")</f>
        <v>8</v>
      </c>
      <c r="FR9" s="207">
        <f>IF(BV9=1,COUNTIF($BV$2:BV9,1),"")</f>
        <v>8</v>
      </c>
      <c r="FS9" s="207">
        <f>IF(BW9=1,COUNTIF($BW$2:BW9,1),"")</f>
        <v>8</v>
      </c>
      <c r="FT9" s="207">
        <f>IF(BX9=1,COUNTIF($BX$2:BX9,1),"")</f>
        <v>8</v>
      </c>
      <c r="FU9" s="207">
        <f>IF(BY9=1,COUNTIF($BY$2:BY9,1),"")</f>
        <v>8</v>
      </c>
      <c r="FV9" s="207">
        <f>IF(BZ9=1,COUNTIF($BZ$2:BZ9,1),"")</f>
        <v>8</v>
      </c>
      <c r="FW9" s="207">
        <f>IF(CA9=1,COUNTIF($CA$2:CA9,1),"")</f>
        <v>8</v>
      </c>
      <c r="FX9" s="207">
        <f>IF(CB9=1,COUNTIF($CB$2:CB9,1),"")</f>
        <v>8</v>
      </c>
      <c r="FY9" s="207">
        <f>IF(CC9=1,COUNTIF($CC$2:CC9,1),"")</f>
        <v>8</v>
      </c>
      <c r="FZ9" s="207">
        <f>IF(CD9=1,COUNTIF($CD$2:CD9,1),"")</f>
        <v>8</v>
      </c>
      <c r="GA9" s="207">
        <f>IF(CE9=1,COUNTIF($CE$2:CE9,1),"")</f>
        <v>8</v>
      </c>
      <c r="GB9" s="207">
        <f>IF(CF9=1,COUNTIF($CF$2:CF9,1),"")</f>
        <v>8</v>
      </c>
      <c r="GC9" s="207">
        <f>IF(CG9=1,COUNTIF($CG$2:CG9,1),"")</f>
        <v>8</v>
      </c>
      <c r="GD9" s="207">
        <f>IF(CH9=1,COUNTIF($CH$2:CH9,1),"")</f>
        <v>8</v>
      </c>
      <c r="GE9" s="207">
        <f>IF(CI9=1,COUNTIF($CI$2:CI9,1),"")</f>
        <v>8</v>
      </c>
      <c r="GF9" s="207">
        <f>IF(CJ9=1,COUNTIF($CJ$2:CJ9,1),"")</f>
        <v>8</v>
      </c>
      <c r="GG9" s="207">
        <f>IF(CK9=1,COUNTIF($CK$2:CK9,1),"")</f>
        <v>8</v>
      </c>
      <c r="GH9" s="207">
        <f>IF(CL9=1,COUNTIF($CL$2:CL9,1),"")</f>
        <v>8</v>
      </c>
      <c r="GI9" s="207">
        <f>IF(CM9=1,COUNTIF($CM$2:CM9,1),"")</f>
        <v>8</v>
      </c>
      <c r="GJ9" s="207">
        <f>IF(CN9=1,COUNTIF($CN$2:CN9,1),"")</f>
        <v>8</v>
      </c>
      <c r="GK9" s="207">
        <f>IF(CO9=1,COUNTIF($CO$2:CO9,1),"")</f>
        <v>8</v>
      </c>
      <c r="GL9" s="207">
        <f>IF(CP9=1,COUNTIF($CP$2:CP9,1),"")</f>
        <v>8</v>
      </c>
      <c r="GM9" s="207">
        <f>IF(CQ9=1,COUNTIF($CQ$2:CQ9,1),"")</f>
        <v>8</v>
      </c>
      <c r="GN9" s="207">
        <f>IF(CR9=1,COUNTIF($CR$2:CR9,1),"")</f>
        <v>8</v>
      </c>
      <c r="GO9" s="207">
        <f>IF(CS9=1,COUNTIF($CS$2:CS9,1),"")</f>
        <v>8</v>
      </c>
      <c r="GP9" s="207">
        <f>IF(CT9=1,COUNTIF($CT$2:CT9,1),"")</f>
        <v>8</v>
      </c>
      <c r="GQ9" s="207">
        <f>IF(CU9=1,COUNTIF($CU$2:CU9,1),"")</f>
        <v>8</v>
      </c>
      <c r="GR9" s="207">
        <f>IF(CV9=1,COUNTIF($CV$2:CV9,1),"")</f>
        <v>8</v>
      </c>
      <c r="GS9" s="207">
        <f>IF(CW9=1,COUNTIF($CW$2:CW9,1),"")</f>
        <v>8</v>
      </c>
      <c r="GT9" s="207">
        <f>IF(CX9=1,COUNTIF($CX$2:CX9,1),"")</f>
        <v>8</v>
      </c>
      <c r="GU9" s="207">
        <f>IF(CY9=1,COUNTIF($CY$2:CY9,1),"")</f>
        <v>8</v>
      </c>
      <c r="GV9" s="207">
        <f>IF(CZ9=1,COUNTIF($CZ$2:CZ9,1),"")</f>
        <v>8</v>
      </c>
      <c r="GW9" s="207">
        <f>IF(DA9=1,COUNTIF($DA$2:DA9,1),"")</f>
        <v>8</v>
      </c>
      <c r="GX9" s="206" t="str">
        <f>IFERROR(INDEX($A$2:$A$113,MATCH(ROWS($DB$2:DB9),$DB$2:$DB$113,0)),"")</f>
        <v>LESIONES LEVES</v>
      </c>
      <c r="GY9" s="206" t="str">
        <f>IFERROR(INDEX($A$2:$A$113,MATCH(ROWS($DC$2:DC9),$DC$2:$DC$113,0)),"")</f>
        <v>LESIONES LEVES</v>
      </c>
      <c r="GZ9" s="206" t="str">
        <f>IFERROR(INDEX($A$2:$A$113,MATCH(ROWS($DD$2:DD9),$DD$2:$DD$113,0)),"")</f>
        <v>LESIONES LEVES</v>
      </c>
      <c r="HA9" s="206" t="str">
        <f>IFERROR(INDEX($A$2:$A$113,MATCH(ROWS($DE$2:DE9),$DE$2:$DE$113,0)),"")</f>
        <v>LESIONES LEVES</v>
      </c>
      <c r="HB9" s="206" t="str">
        <f>IFERROR(INDEX($A$2:$A$113,MATCH(ROWS($DF$2:DF9),$DF$2:$DF$113,0)),"")</f>
        <v>LESIONES LEVES</v>
      </c>
      <c r="HC9" s="206" t="str">
        <f>IFERROR(INDEX($A$2:$A$113,MATCH(ROWS($DG$2:DG9),$DG$2:$DG$113,0)),"")</f>
        <v>LESIONES LEVES</v>
      </c>
      <c r="HD9" s="206" t="str">
        <f>IFERROR(INDEX($A$2:$A$113,MATCH(ROWS($DH$2:DH9),$DH$2:$DH$113,0)),"")</f>
        <v>LESIONES LEVES</v>
      </c>
      <c r="HE9" s="206" t="str">
        <f>IFERROR(INDEX($A$2:$A$113,MATCH(ROWS($DI$2:DI9),$DI$2:$DI$113,0)),"")</f>
        <v>LESIONES LEVES</v>
      </c>
      <c r="HF9" s="206" t="str">
        <f>IFERROR(INDEX($A$2:$A$113,MATCH(ROWS($DJ$2:DJ9),$DJ$2:$DJ$113,0)),"")</f>
        <v>LESIONES LEVES</v>
      </c>
      <c r="HG9" s="206" t="str">
        <f>IFERROR(INDEX($A$2:$A$113,MATCH(ROWS($DK$2:DK9),$DK$2:$DK$113,0)),"")</f>
        <v>LESIONES LEVES</v>
      </c>
      <c r="HH9" s="206" t="str">
        <f>IFERROR(INDEX($A$2:$A$113,MATCH(ROWS($DL$2:DL9),$DL$2:$DL$113,0)),"")</f>
        <v>LESIONES LEVES</v>
      </c>
      <c r="HI9" s="206" t="str">
        <f>IFERROR(INDEX($A$2:$A$113,MATCH(ROWS($DM$2:DM9),$DM$2:$DM$113,0)),"")</f>
        <v>LESIONES LEVES</v>
      </c>
      <c r="HJ9" s="206" t="str">
        <f>IFERROR(INDEX($A$2:$A$113,MATCH(ROWS($DN$2:DN9),$DN$2:$DN$113,0)),"")</f>
        <v>LESIONES LEVES</v>
      </c>
      <c r="HK9" s="206" t="str">
        <f>IFERROR(INDEX($A$2:$A$113,MATCH(ROWS($DO$2:DO9),$DO$2:$DO$113,0)),"")</f>
        <v>LESIONES LEVES</v>
      </c>
      <c r="HL9" s="206" t="str">
        <f>IFERROR(INDEX($A$2:$A$113,MATCH(ROWS($DP$2:DP9),$DP$2:$DP$113,0)),"")</f>
        <v>LESIONES LEVES</v>
      </c>
      <c r="HM9" s="206" t="str">
        <f>IFERROR(INDEX($A$2:$A$113,MATCH(ROWS($DQ$2:DQ9),$DQ$2:$DQ$113,0)),"")</f>
        <v>LESIONES LEVES</v>
      </c>
      <c r="HN9" s="206" t="str">
        <f>IFERROR(INDEX($A$2:$A$113,MATCH(ROWS($DR$2:DR9),$DR$2:$DR$113,0)),"")</f>
        <v>LESIONES LEVES</v>
      </c>
      <c r="HO9" s="206" t="str">
        <f>IFERROR(INDEX($A$2:$A$113,MATCH(ROWS($DS$2:DS9),$DS$2:$DS$113,0)),"")</f>
        <v>LESIONES LEVES</v>
      </c>
      <c r="HP9" s="206" t="str">
        <f>IFERROR(INDEX($A$2:$A$113,MATCH(ROWS($DT$2:DT9),$DT$2:$DT$113,0)),"")</f>
        <v>LESIONES LEVES</v>
      </c>
      <c r="HQ9" s="206" t="str">
        <f>IFERROR(INDEX($A$2:$A$113,MATCH(ROWS($DU$2:DU9),$DU$2:$DU$113,0)),"")</f>
        <v>LESIONES LEVES</v>
      </c>
      <c r="HR9" s="206" t="str">
        <f>IFERROR(INDEX($A$2:$A$113,MATCH(ROWS($DV$2:DV9),$DV$2:$DV$113,0)),"")</f>
        <v>LESIONES LEVES</v>
      </c>
      <c r="HS9" s="206" t="str">
        <f>IFERROR(INDEX($A$2:$A$113,MATCH(ROWS($DW$2:DW9),$DW$2:$DW$113,0)),"")</f>
        <v>LESIONES LEVES</v>
      </c>
      <c r="HT9" s="206" t="str">
        <f>IFERROR(INDEX($A$2:$A$113,MATCH(ROWS($DX$2:DX9),$DX$2:$DX$113,0)),"")</f>
        <v>LESIONES LEVES</v>
      </c>
      <c r="HU9" s="206" t="str">
        <f>IFERROR(INDEX($A$2:$A$113,MATCH(ROWS($DY$2:DY9),$DY$2:$DY$113,0)),"")</f>
        <v>LESIONES LEVES</v>
      </c>
      <c r="HV9" s="206" t="str">
        <f>IFERROR(INDEX($A$2:$A$113,MATCH(ROWS($DZ$2:DZ9),$DZ$2:$DZ$113,0)),"")</f>
        <v>LESIONES LEVES</v>
      </c>
      <c r="HW9" s="206" t="str">
        <f>IFERROR(INDEX($A$2:$A$113,MATCH(ROWS($EA$2:EA9),$EA$2:$EA$113,0)),"")</f>
        <v>LESIONES LEVES</v>
      </c>
      <c r="HX9" s="206" t="str">
        <f>IFERROR(INDEX($A$2:$A$113,MATCH(ROWS($EB$2:EB9),$EB$2:$EB$113,0)),"")</f>
        <v>LESIONES LEVES</v>
      </c>
      <c r="HY9" s="206" t="str">
        <f>IFERROR(INDEX($A$2:$A$113,MATCH(ROWS($EC$2:EC9),$EC$2:$EC$113,0)),"")</f>
        <v>LESIONES LEVES</v>
      </c>
      <c r="HZ9" s="206" t="str">
        <f>IFERROR(INDEX($A$2:$A$113,MATCH(ROWS($ED$2:ED9),$ED$2:$ED$113,0)),"")</f>
        <v>LESIONES LEVES</v>
      </c>
      <c r="IA9" s="206" t="str">
        <f>IFERROR(INDEX($A$2:$A$113,MATCH(ROWS($EE$2:EE9),$EE$2:$EE$113,0)),"")</f>
        <v>LESIONES LEVES</v>
      </c>
      <c r="IB9" s="206" t="str">
        <f>IFERROR(INDEX($A$2:$A$113,MATCH(ROWS($EF$2:EF9),$EF$2:$EF$113,0)),"")</f>
        <v>LESIONES LEVES</v>
      </c>
      <c r="IC9" s="206" t="str">
        <f>IFERROR(INDEX($A$2:$A$113,MATCH(ROWS($EG$2:EG9),$EG$2:$EG$113,0)),"")</f>
        <v>LESIONES LEVES</v>
      </c>
      <c r="ID9" s="206" t="str">
        <f>IFERROR(INDEX($A$2:$A$113,MATCH(ROWS($EH$2:EH9),$EH$2:$EH$113,0)),"")</f>
        <v>LESIONES LEVES</v>
      </c>
      <c r="IE9" s="206" t="str">
        <f>IFERROR(INDEX($A$2:$A$113,MATCH(ROWS($EI$2:EI9),$EI$2:$EI$113,0)),"")</f>
        <v>LESIONES LEVES</v>
      </c>
      <c r="IF9" s="206" t="str">
        <f>IFERROR(INDEX($A$2:$A$113,MATCH(ROWS($EJ$2:EJ9),$EJ$2:$EJ$113,0)),"")</f>
        <v>LESIONES LEVES</v>
      </c>
      <c r="IG9" s="206" t="str">
        <f>IFERROR(INDEX($A$2:$A$113,MATCH(ROWS($EK$2:EK9),$EK$2:$EK$113,0)),"")</f>
        <v>LESIONES LEVES</v>
      </c>
      <c r="IH9" s="206" t="str">
        <f>IFERROR(INDEX($A$2:$A$113,MATCH(ROWS($EL$2:EL9),$EL$2:$EL$113,0)),"")</f>
        <v>LESIONES LEVES</v>
      </c>
      <c r="II9" s="206" t="str">
        <f>IFERROR(INDEX($A$2:$A$113,MATCH(ROWS($EM$2:EM9),$EM$2:$EM$113,0)),"")</f>
        <v>LESIONES LEVES</v>
      </c>
      <c r="IJ9" s="206" t="str">
        <f>IFERROR(INDEX($A$2:$A$113,MATCH(ROWS($EN$2:EN9),$EN$2:$EN$113,0)),"")</f>
        <v>LESIONES LEVES</v>
      </c>
      <c r="IK9" s="207" t="str">
        <f>IFERROR(INDEX($A$2:$A$113,MATCH(ROWS($EO$2:EO9),$EO$2:$EO$113,0)),"")</f>
        <v>LESIONES LEVES</v>
      </c>
      <c r="IL9" s="207" t="str">
        <f>IFERROR(INDEX($A$2:$A$113,MATCH(ROWS($EP$2:EP9),$EP$2:$EP$113,0)),"")</f>
        <v>LESIONES LEVES</v>
      </c>
      <c r="IM9" s="207" t="str">
        <f>IFERROR(INDEX($A$2:$A$113,MATCH(ROWS($EQ$2:EQ9),$EQ$2:$EQ$113,0)),"")</f>
        <v>LESIONES LEVES</v>
      </c>
      <c r="IN9" s="207" t="str">
        <f>IFERROR(INDEX($A$2:$A$113,MATCH(ROWS($ER$2:ER9),$ER$2:$ER$113,0)),"")</f>
        <v>LESIONES LEVES</v>
      </c>
      <c r="IO9" s="207" t="str">
        <f>IFERROR(INDEX($A$2:$A$113,MATCH(ROWS($ES$2:ES9),$ES$2:$ES$113,0)),"")</f>
        <v>LESIONES LEVES</v>
      </c>
      <c r="IP9" s="207" t="str">
        <f>IFERROR(INDEX($A$2:$A$113,MATCH(ROWS($ET$2:ET9),$ET$2:$ET$113,0)),"")</f>
        <v>LESIONES LEVES</v>
      </c>
      <c r="IQ9" s="207" t="str">
        <f>IFERROR(INDEX($A$2:$A$113,MATCH(ROWS($EU$2:EU9),$EU$2:$EU$113,0)),"")</f>
        <v>LESIONES LEVES</v>
      </c>
      <c r="IR9" s="207" t="str">
        <f>IFERROR(INDEX($A$2:$A$113,MATCH(ROWS($EV$2:EV9),$EV$2:$EV$113,0)),"")</f>
        <v>LESIONES LEVES</v>
      </c>
      <c r="IS9" s="207" t="str">
        <f>IFERROR(INDEX($A$2:$A$113,MATCH(ROWS($EW$2:EW9),$EW$2:$EW$113,0)),"")</f>
        <v>LESIONES LEVES</v>
      </c>
      <c r="IT9" s="207" t="str">
        <f>IFERROR(INDEX($A$2:$A$113,MATCH(ROWS($EX$2:EX9),$EX$2:$EX$113,0)),"")</f>
        <v>LESIONES LEVES</v>
      </c>
      <c r="IU9" s="207" t="str">
        <f>IFERROR(INDEX($A$2:$A$113,MATCH(ROWS($EY$2:EY9),$EY$2:$EY$113,0)),"")</f>
        <v>LESIONES LEVES</v>
      </c>
      <c r="IV9" s="207" t="str">
        <f>IFERROR(INDEX($A$2:$A$113,MATCH(ROWS($EZ$2:EZ9),$EZ$2:$EZ$113,0)),"")</f>
        <v>LESIONES LEVES</v>
      </c>
      <c r="IW9" s="207" t="str">
        <f>IFERROR(INDEX($A$2:$A$113,MATCH(ROWS($FA$2:FA9),$FA$2:$FA$113,0)),"")</f>
        <v>LESIONES LEVES</v>
      </c>
      <c r="IX9" s="207" t="str">
        <f>IFERROR(INDEX($A$2:$A$113,MATCH(ROWS($FB$2:FB9),$FB$2:$FB$113,0)),"")</f>
        <v>LESIONES LEVES</v>
      </c>
      <c r="IY9" s="207" t="str">
        <f>IFERROR(INDEX($A$2:$A$113,MATCH(ROWS($FC$2:FC9),$FC$2:$FC$113,0)),"")</f>
        <v>LESIONES LEVES</v>
      </c>
      <c r="IZ9" s="207" t="str">
        <f>IFERROR(INDEX($A$2:$A$113,MATCH(ROWS($FD$2:FD9),$FD$2:$FD$113,0)),"")</f>
        <v>LESIONES LEVES</v>
      </c>
      <c r="JA9" s="207" t="str">
        <f>IFERROR(INDEX($A$2:$A$113,MATCH(ROWS($FE$2:FE9),$FE$2:$FE$113,0)),"")</f>
        <v>LESIONES LEVES</v>
      </c>
      <c r="JB9" s="207" t="str">
        <f>IFERROR(INDEX($A$2:$A$113,MATCH(ROWS($FF$2:FF9),$FF$2:$FF$113,0)),"")</f>
        <v>LESIONES LEVES</v>
      </c>
      <c r="JC9" s="207" t="str">
        <f>IFERROR(INDEX($A$2:$A$113,MATCH(ROWS($FG$2:FG9),$FG$2:$FG$113,0)),"")</f>
        <v>LESIONES LEVES</v>
      </c>
      <c r="JD9" s="207" t="str">
        <f>IFERROR(INDEX($A$2:$A$113,MATCH(ROWS($FH$2:FH9),$FH$2:$FH$113,0)),"")</f>
        <v>LESIONES LEVES</v>
      </c>
      <c r="JE9" s="207" t="str">
        <f>IFERROR(INDEX($A$2:$A$113,MATCH(ROWS($FI$2:FI9),$FI$2:$FI$113,0)),"")</f>
        <v>LESIONES LEVES</v>
      </c>
      <c r="JF9" s="207" t="str">
        <f>IFERROR(INDEX($A$2:$A$113,MATCH(ROWS($FJ$2:FJ9),$FJ$2:$FJ$113,0)),"")</f>
        <v>LESIONES LEVES</v>
      </c>
      <c r="JG9" s="207" t="str">
        <f>IFERROR(INDEX($A$2:$A$113,MATCH(ROWS($FK$2:FK9),$FK$2:$FK$113,0)),"")</f>
        <v>LESIONES LEVES</v>
      </c>
      <c r="JH9" s="207" t="str">
        <f>IFERROR(INDEX($A$2:$A$113,MATCH(ROWS($FL$2:FL9),$FL$2:$FL$113,0)),"")</f>
        <v>LESIONES LEVES</v>
      </c>
      <c r="JI9" s="207" t="str">
        <f>IFERROR(INDEX($A$2:$A$113,MATCH(ROWS($FM$2:FM9),$FM$2:$FM$113,0)),"")</f>
        <v>LESIONES LEVES</v>
      </c>
      <c r="JJ9" s="207" t="str">
        <f>IFERROR(INDEX($A$2:$A$113,MATCH(ROWS($FN$2:FN9),$FN$2:$FN$113,0)),"")</f>
        <v>LESIONES LEVES</v>
      </c>
      <c r="JK9" s="207" t="str">
        <f>IFERROR(INDEX($A$2:$A$113,MATCH(ROWS($FO$2:FO9),$FO$2:$FO$113,0)),"")</f>
        <v>LESIONES LEVES</v>
      </c>
      <c r="JL9" s="207" t="str">
        <f>IFERROR(INDEX($A$2:$A$113,MATCH(ROWS($FP$2:FP9),$FP$2:$FP$113,0)),"")</f>
        <v>LESIONES LEVES</v>
      </c>
      <c r="JM9" s="207" t="str">
        <f>IFERROR(INDEX($A$2:$A$113,MATCH(ROWS($FQ$2:FQ9),$FQ$2:$FQ$113,0)),"")</f>
        <v>LESIONES LEVES</v>
      </c>
      <c r="JN9" s="207" t="str">
        <f>IFERROR(INDEX($A$2:$A$113,MATCH(ROWS($FR$2:FR9),$FR$2:$FR$113,0)),"")</f>
        <v>LESIONES LEVES</v>
      </c>
      <c r="JO9" s="207" t="str">
        <f>IFERROR(INDEX($A$2:$A$113,MATCH(ROWS($FS$2:FS9),$FS$2:$FS$113,0)),"")</f>
        <v>LESIONES LEVES</v>
      </c>
      <c r="JP9" s="207" t="str">
        <f>IFERROR(INDEX($A$2:$A$113,MATCH(ROWS($FT$2:FT9),$FT$2:$FT$113,0)),"")</f>
        <v>LESIONES LEVES</v>
      </c>
      <c r="JQ9" s="207" t="str">
        <f>IFERROR(INDEX($A$2:$A$113,MATCH(ROWS($FU$2:FU9),$FU$2:$FU$113,0)),"")</f>
        <v>LESIONES LEVES</v>
      </c>
      <c r="JR9" s="207" t="str">
        <f>IFERROR(INDEX($A$2:$A$113,MATCH(ROWS($FV$2:FV9),$FV$2:$FV$113,0)),"")</f>
        <v>LESIONES LEVES</v>
      </c>
      <c r="JS9" s="207" t="str">
        <f>IFERROR(INDEX($A$2:$A$113,MATCH(ROWS($FW$2:FW9),$FW$2:$FW$113,0)),"")</f>
        <v>LESIONES LEVES</v>
      </c>
      <c r="JT9" s="207" t="str">
        <f>IFERROR(INDEX($A$2:$A$113,MATCH(ROWS($FX$2:FX9),$FX$2:$FX$113,0)),"")</f>
        <v>LESIONES LEVES</v>
      </c>
      <c r="JU9" s="207" t="str">
        <f>IFERROR(INDEX($A$2:$A$113,MATCH(ROWS($FY$2:FY9),$FY$2:$FY$113,0)),"")</f>
        <v>LESIONES LEVES</v>
      </c>
      <c r="JV9" s="207" t="str">
        <f>IFERROR(INDEX($A$2:$A$113,MATCH(ROWS($FZ$2:FZ9),$FZ$2:$FZ$113,0)),"")</f>
        <v>LESIONES LEVES</v>
      </c>
      <c r="JW9" s="207" t="str">
        <f>IFERROR(INDEX($A$2:$A$113,MATCH(ROWS($GA$2:GA9),$GA$2:$GA$113,0)),"")</f>
        <v>LESIONES LEVES</v>
      </c>
      <c r="JX9" s="207" t="str">
        <f>IFERROR(INDEX($A$2:$A$113,MATCH(ROWS($GB$2:GB9),$GB$2:$GB$113,0)),"")</f>
        <v>LESIONES LEVES</v>
      </c>
      <c r="JY9" s="207" t="str">
        <f>IFERROR(INDEX($A$2:$A$113,MATCH(ROWS($GC$2:GC9),$GC$2:$GC$113,0)),"")</f>
        <v>LESIONES LEVES</v>
      </c>
      <c r="JZ9" s="207" t="str">
        <f>IFERROR(INDEX($A$2:$A$113,MATCH(ROWS($GD$2:GD9),$GD$2:$GD$113,0)),"")</f>
        <v>LESIONES LEVES</v>
      </c>
      <c r="KA9" s="207" t="str">
        <f>IFERROR(INDEX($A$2:$A$113,MATCH(ROWS($GE$2:GE9),$GE$2:$GE$113,0)),"")</f>
        <v>LESIONES LEVES</v>
      </c>
      <c r="KB9" s="207" t="str">
        <f>IFERROR(INDEX($A$2:$A$113,MATCH(ROWS($GF$2:GF9),$GF$2:$GF$113,0)),"")</f>
        <v>LESIONES LEVES</v>
      </c>
      <c r="KC9" s="207" t="str">
        <f>IFERROR(INDEX($A$2:$A$113,MATCH(ROWS($GG$2:GG9),$GG$2:$GG$113,0)),"")</f>
        <v>LESIONES LEVES</v>
      </c>
      <c r="KD9" s="207" t="str">
        <f>IFERROR(INDEX($A$2:$A$113,MATCH(ROWS($GH$2:GH9),$GH$2:$GH$113,0)),"")</f>
        <v>LESIONES LEVES</v>
      </c>
      <c r="KE9" s="207" t="str">
        <f>IFERROR(INDEX($A$2:$A$113,MATCH(ROWS($GI$2:GI9),$GI$2:$GI$113,0)),"")</f>
        <v>LESIONES LEVES</v>
      </c>
      <c r="KF9" s="207" t="str">
        <f>IFERROR(INDEX($A$2:$A$113,MATCH(ROWS($GJ$2:GJ9),$GJ$2:$GJ$113,0)),"")</f>
        <v>LESIONES LEVES</v>
      </c>
      <c r="KG9" s="207" t="str">
        <f>IFERROR(INDEX($A$2:$A$113,MATCH(ROWS($GK$2:GK9),$GK$2:$GK$113,0)),"")</f>
        <v>LESIONES LEVES</v>
      </c>
      <c r="KH9" s="207" t="str">
        <f>IFERROR(INDEX($A$2:$A$113,MATCH(ROWS($GL$2:GL9),$GL$2:$GL$113,0)),"")</f>
        <v>LESIONES LEVES</v>
      </c>
      <c r="KI9" s="207" t="str">
        <f>IFERROR(INDEX($A$2:$A$113,MATCH(ROWS($GM$2:GM9),$GM$2:$GM$113,0)),"")</f>
        <v>LESIONES LEVES</v>
      </c>
      <c r="KJ9" s="207" t="str">
        <f>IFERROR(INDEX($A$2:$A$113,MATCH(ROWS($GN$2:GN9),$GN$2:$GN$113,0)),"")</f>
        <v>LESIONES LEVES</v>
      </c>
      <c r="KK9" s="207" t="str">
        <f>IFERROR(INDEX($A$2:$A$113,MATCH(ROWS($GO$2:GO9),$GO$2:$GO$113,0)),"")</f>
        <v>LESIONES LEVES</v>
      </c>
      <c r="KL9" s="207" t="str">
        <f>IFERROR(INDEX($A$2:$A$113,MATCH(ROWS($GP$2:GP9),$GP$2:$GP$113,0)),"")</f>
        <v>LESIONES LEVES</v>
      </c>
      <c r="KM9" s="207" t="str">
        <f>IFERROR(INDEX($A$2:$A$113,MATCH(ROWS($GQ$2:GQ9),$GQ$2:$GQ$113,0)),"")</f>
        <v>LESIONES LEVES</v>
      </c>
      <c r="KN9" s="207" t="str">
        <f>IFERROR(INDEX($A$2:$A$113,MATCH(ROWS($GR$2:GR9),$GR$2:$GR$113,0)),"")</f>
        <v>LESIONES LEVES</v>
      </c>
      <c r="KO9" s="207" t="str">
        <f>IFERROR(INDEX($A$2:$A$113,MATCH(ROWS($GS$2:GS9),$GS$2:$GS$113,0)),"")</f>
        <v>LESIONES LEVES</v>
      </c>
      <c r="KP9" s="207" t="str">
        <f>IFERROR(INDEX($A$2:$A$113,MATCH(ROWS($GT$2:GT9),$GT$2:$GT$113,0)),"")</f>
        <v>LESIONES LEVES</v>
      </c>
      <c r="KQ9" s="207" t="str">
        <f>IFERROR(INDEX($A$2:$A$113,MATCH(ROWS($GU$2:GU9),$GU$2:$GU$113,0)),"")</f>
        <v>LESIONES LEVES</v>
      </c>
      <c r="KR9" s="207" t="str">
        <f>IFERROR(INDEX($A$2:$A$113,MATCH(ROWS($GV$2:GV9),$GV$2:$GV$113,0)),"")</f>
        <v>LESIONES LEVES</v>
      </c>
      <c r="KS9" s="207" t="str">
        <f>IFERROR(INDEX($A$2:$A$113,MATCH(ROWS($GW$2:GW9),$GW$2:$GW$113,0)),"")</f>
        <v>LESIONES LEVES</v>
      </c>
    </row>
    <row r="10" spans="1:305" x14ac:dyDescent="0.25">
      <c r="A10" s="206" t="s">
        <v>64</v>
      </c>
      <c r="B10" s="206">
        <v>5</v>
      </c>
      <c r="D10" s="206" t="s">
        <v>49</v>
      </c>
      <c r="E10" s="206" t="s">
        <v>785</v>
      </c>
      <c r="F10" s="207">
        <f>--ISNUMBER(IFERROR(SEARCH('PLANILLA DJ'!$X$3,$A10,1),""))</f>
        <v>1</v>
      </c>
      <c r="G10" s="207">
        <f>--ISNUMBER(IFERROR(SEARCH('PLANILLA DJ'!$X$4,$A10,1),""))</f>
        <v>1</v>
      </c>
      <c r="H10" s="207">
        <f>--ISNUMBER(IFERROR(SEARCH('PLANILLA DJ'!$X$5,$A10,1),""))</f>
        <v>1</v>
      </c>
      <c r="I10" s="207">
        <f>--ISNUMBER(IFERROR(SEARCH('PLANILLA DJ'!$X$6,$A10,1),""))</f>
        <v>1</v>
      </c>
      <c r="J10" s="207">
        <f>--ISNUMBER(IFERROR(SEARCH('PLANILLA DJ'!$X$7,$A10,1),""))</f>
        <v>1</v>
      </c>
      <c r="K10" s="207">
        <f>--ISNUMBER(IFERROR(SEARCH('PLANILLA DJ'!$X$8,$A10,1),""))</f>
        <v>1</v>
      </c>
      <c r="L10" s="207">
        <f>--ISNUMBER(IFERROR(SEARCH('PLANILLA DJ'!$X$9,$A10,1),""))</f>
        <v>1</v>
      </c>
      <c r="M10" s="207">
        <f>--ISNUMBER(IFERROR(SEARCH('PLANILLA DJ'!$X$10,$A10,1),""))</f>
        <v>1</v>
      </c>
      <c r="N10" s="207">
        <f>--ISNUMBER(IFERROR(SEARCH('PLANILLA DJ'!$X$11,$A10,1),""))</f>
        <v>1</v>
      </c>
      <c r="O10" s="207">
        <f>--ISNUMBER(IFERROR(SEARCH('PLANILLA DJ'!$X$12,$A10,1),""))</f>
        <v>1</v>
      </c>
      <c r="P10" s="207">
        <f>--ISNUMBER(IFERROR(SEARCH('PLANILLA DJ'!$X$13,$A10,1),""))</f>
        <v>1</v>
      </c>
      <c r="Q10" s="207">
        <f>--ISNUMBER(IFERROR(SEARCH('PLANILLA DJ'!$X$14,$A10,1),""))</f>
        <v>1</v>
      </c>
      <c r="R10" s="207">
        <f>--ISNUMBER(IFERROR(SEARCH('PLANILLA DJ'!$X$15,$A10,1),""))</f>
        <v>1</v>
      </c>
      <c r="S10" s="207">
        <f>--ISNUMBER(IFERROR(SEARCH('PLANILLA DJ'!$X$16,$A10,1),""))</f>
        <v>1</v>
      </c>
      <c r="T10" s="207">
        <f>--ISNUMBER(IFERROR(SEARCH('PLANILLA DJ'!$X$17,$A10,1),""))</f>
        <v>1</v>
      </c>
      <c r="U10" s="207">
        <f>--ISNUMBER(IFERROR(SEARCH('PLANILLA DJ'!$X$18,$A10,1),""))</f>
        <v>1</v>
      </c>
      <c r="V10" s="207">
        <f>--ISNUMBER(IFERROR(SEARCH('PLANILLA DJ'!$X$19,$A10,1),""))</f>
        <v>1</v>
      </c>
      <c r="W10" s="207">
        <f>--ISNUMBER(IFERROR(SEARCH('PLANILLA DJ'!$X$20,$A10,1),""))</f>
        <v>1</v>
      </c>
      <c r="X10" s="207">
        <f>--ISNUMBER(IFERROR(SEARCH('PLANILLA DJ'!$X$21,$A10,1),""))</f>
        <v>1</v>
      </c>
      <c r="Y10" s="207">
        <f>--ISNUMBER(IFERROR(SEARCH('PLANILLA DJ'!$X$22,$A10,1),""))</f>
        <v>1</v>
      </c>
      <c r="Z10" s="207">
        <f>--ISNUMBER(IFERROR(SEARCH('PLANILLA DJ'!$X$23,$A10,1),""))</f>
        <v>1</v>
      </c>
      <c r="AA10" s="207">
        <f>--ISNUMBER(IFERROR(SEARCH('PLANILLA DJ'!$X$24,$A10,1),""))</f>
        <v>1</v>
      </c>
      <c r="AB10" s="207">
        <f>--ISNUMBER(IFERROR(SEARCH('PLANILLA DJ'!$X$25,$A10,1),""))</f>
        <v>1</v>
      </c>
      <c r="AC10" s="207">
        <f>--ISNUMBER(IFERROR(SEARCH('PLANILLA DJ'!$X$26,$A10,1),""))</f>
        <v>1</v>
      </c>
      <c r="AD10" s="207">
        <f>--ISNUMBER(IFERROR(SEARCH('PLANILLA DJ'!$X$27,$A10,1),""))</f>
        <v>1</v>
      </c>
      <c r="AE10" s="207">
        <f>--ISNUMBER(IFERROR(SEARCH('PLANILLA DJ'!$X$28,$A10,1),""))</f>
        <v>1</v>
      </c>
      <c r="AF10" s="207">
        <f>--ISNUMBER(IFERROR(SEARCH('PLANILLA DJ'!$X$29,$A10,1),""))</f>
        <v>1</v>
      </c>
      <c r="AG10" s="207">
        <f>--ISNUMBER(IFERROR(SEARCH('PLANILLA DJ'!$X$30,$A10,1),""))</f>
        <v>1</v>
      </c>
      <c r="AH10" s="207">
        <f>--ISNUMBER(IFERROR(SEARCH('PLANILLA DJ'!$X$31,$A10,1),""))</f>
        <v>1</v>
      </c>
      <c r="AI10" s="207">
        <f>--ISNUMBER(IFERROR(SEARCH('PLANILLA DJ'!$X$32,$A10,1),""))</f>
        <v>1</v>
      </c>
      <c r="AJ10" s="207">
        <f>--ISNUMBER(IFERROR(SEARCH('PLANILLA DJ'!$X$33,$A10,1),""))</f>
        <v>1</v>
      </c>
      <c r="AK10" s="207">
        <f>--ISNUMBER(IFERROR(SEARCH('PLANILLA DJ'!$X$34,$A10,1),""))</f>
        <v>1</v>
      </c>
      <c r="AL10" s="207">
        <f>--ISNUMBER(IFERROR(SEARCH('PLANILLA DJ'!$X$35,$A10,1),""))</f>
        <v>1</v>
      </c>
      <c r="AM10" s="207">
        <f>--ISNUMBER(IFERROR(SEARCH('PLANILLA DJ'!$X$36,$A10,1),""))</f>
        <v>1</v>
      </c>
      <c r="AN10" s="207">
        <f>--ISNUMBER(IFERROR(SEARCH('PLANILLA DJ'!$X$37,$A10,1),""))</f>
        <v>1</v>
      </c>
      <c r="AO10" s="207">
        <f>--ISNUMBER(IFERROR(SEARCH('PLANILLA DJ'!$X$38,$A10,1),""))</f>
        <v>1</v>
      </c>
      <c r="AP10" s="207">
        <f>--ISNUMBER(IFERROR(SEARCH('PLANILLA DJ'!$X$39,$A10,1),""))</f>
        <v>1</v>
      </c>
      <c r="AQ10" s="207">
        <f>--ISNUMBER(IFERROR(SEARCH('PLANILLA DJ'!$X$40,$A10,1),""))</f>
        <v>1</v>
      </c>
      <c r="AR10" s="207">
        <f>--ISNUMBER(IFERROR(SEARCH('PLANILLA DJ'!$X$41,$A10,1),""))</f>
        <v>1</v>
      </c>
      <c r="AS10" s="207">
        <f>--ISNUMBER(IFERROR(SEARCH('PLANILLA DJ'!$X$42,$A10,1),""))</f>
        <v>1</v>
      </c>
      <c r="AT10" s="207">
        <f>--ISNUMBER(IFERROR(SEARCH('PLANILLA DJ'!$X$43,$A10,1),""))</f>
        <v>1</v>
      </c>
      <c r="AU10" s="207">
        <f>--ISNUMBER(IFERROR(SEARCH('PLANILLA DJ'!$X$44,$A10,1),""))</f>
        <v>1</v>
      </c>
      <c r="AV10" s="207">
        <f>--ISNUMBER(IFERROR(SEARCH('PLANILLA DJ'!$X$45,$A10,1),""))</f>
        <v>1</v>
      </c>
      <c r="AW10" s="207">
        <f>--ISNUMBER(IFERROR(SEARCH('PLANILLA DJ'!$X$46,$A10,1),""))</f>
        <v>1</v>
      </c>
      <c r="AX10" s="207">
        <f>--ISNUMBER(IFERROR(SEARCH('PLANILLA DJ'!$X$47,$A10,1),""))</f>
        <v>1</v>
      </c>
      <c r="AY10" s="207">
        <f>--ISNUMBER(IFERROR(SEARCH('PLANILLA DJ'!$X$48,$A10,1),""))</f>
        <v>1</v>
      </c>
      <c r="AZ10" s="207">
        <f>--ISNUMBER(IFERROR(SEARCH('PLANILLA DJ'!$X$49,$A10,1),""))</f>
        <v>1</v>
      </c>
      <c r="BA10" s="207">
        <f>--ISNUMBER(IFERROR(SEARCH('PLANILLA DJ'!$X$50,$A10,1),""))</f>
        <v>1</v>
      </c>
      <c r="BB10" s="207">
        <f>--ISNUMBER(IFERROR(SEARCH('PLANILLA DJ'!$X$51,$A10,1),""))</f>
        <v>1</v>
      </c>
      <c r="BC10" s="207">
        <f>--ISNUMBER(IFERROR(SEARCH('PLANILLA DJ'!$X$52,$A10,1),""))</f>
        <v>1</v>
      </c>
      <c r="BD10" s="207">
        <f>--ISNUMBER(IFERROR(SEARCH('PLANILLA DJ'!$X$53,$A10,1),""))</f>
        <v>1</v>
      </c>
      <c r="BE10" s="207">
        <f>--ISNUMBER(IFERROR(SEARCH('PLANILLA DJ'!$X$54,$A10,1),""))</f>
        <v>1</v>
      </c>
      <c r="BF10" s="207">
        <f>--ISNUMBER(IFERROR(SEARCH('PLANILLA DJ'!$X$55,$A10,1),""))</f>
        <v>1</v>
      </c>
      <c r="BG10" s="207">
        <f>--ISNUMBER(IFERROR(SEARCH('PLANILLA DJ'!$X$56,$A10,1),""))</f>
        <v>1</v>
      </c>
      <c r="BH10" s="207">
        <f>--ISNUMBER(IFERROR(SEARCH('PLANILLA DJ'!$X$57,$A10,1),""))</f>
        <v>1</v>
      </c>
      <c r="BI10" s="207">
        <f>--ISNUMBER(IFERROR(SEARCH('PLANILLA DJ'!$X$58,$A10,1),""))</f>
        <v>1</v>
      </c>
      <c r="BJ10" s="207">
        <f>--ISNUMBER(IFERROR(SEARCH('PLANILLA DJ'!$X$59,$A10,1),""))</f>
        <v>1</v>
      </c>
      <c r="BK10" s="207">
        <f>--ISNUMBER(IFERROR(SEARCH('PLANILLA DJ'!$X$60,$A10,1),""))</f>
        <v>1</v>
      </c>
      <c r="BL10" s="207">
        <f>--ISNUMBER(IFERROR(SEARCH('PLANILLA DJ'!$X$61,$A10,1),""))</f>
        <v>1</v>
      </c>
      <c r="BM10" s="207">
        <f>--ISNUMBER(IFERROR(SEARCH('PLANILLA DJ'!$X$62,$A10,1),""))</f>
        <v>1</v>
      </c>
      <c r="BN10" s="207">
        <f>--ISNUMBER(IFERROR(SEARCH('PLANILLA DJ'!$X$63,$A10,1),""))</f>
        <v>1</v>
      </c>
      <c r="BO10" s="207">
        <f>--ISNUMBER(IFERROR(SEARCH('PLANILLA DJ'!$X$64,$A10,1),""))</f>
        <v>1</v>
      </c>
      <c r="BP10" s="207">
        <f>--ISNUMBER(IFERROR(SEARCH('PLANILLA DJ'!$X$65,$A10,1),""))</f>
        <v>1</v>
      </c>
      <c r="BQ10" s="207">
        <f>--ISNUMBER(IFERROR(SEARCH('PLANILLA DJ'!$X$66,$A10,1),""))</f>
        <v>1</v>
      </c>
      <c r="BR10" s="207">
        <f>--ISNUMBER(IFERROR(SEARCH('PLANILLA DJ'!$X$67,$A10,1),""))</f>
        <v>1</v>
      </c>
      <c r="BS10" s="207">
        <f>--ISNUMBER(IFERROR(SEARCH('PLANILLA DJ'!$X$68,$A10,1),""))</f>
        <v>1</v>
      </c>
      <c r="BT10" s="207">
        <f>--ISNUMBER(IFERROR(SEARCH('PLANILLA DJ'!$X$69,$A10,1),""))</f>
        <v>1</v>
      </c>
      <c r="BU10" s="207">
        <f>--ISNUMBER(IFERROR(SEARCH('PLANILLA DJ'!$X$70,$A10,1),""))</f>
        <v>1</v>
      </c>
      <c r="BV10" s="207">
        <f>--ISNUMBER(IFERROR(SEARCH('PLANILLA DJ'!$X$71,$A10,1),""))</f>
        <v>1</v>
      </c>
      <c r="BW10" s="207">
        <f>--ISNUMBER(IFERROR(SEARCH('PLANILLA DJ'!$X$72,$A10,1),""))</f>
        <v>1</v>
      </c>
      <c r="BX10" s="207">
        <f>--ISNUMBER(IFERROR(SEARCH('PLANILLA DJ'!$X$73,$A10,1),""))</f>
        <v>1</v>
      </c>
      <c r="BY10" s="207">
        <f>--ISNUMBER(IFERROR(SEARCH('PLANILLA DJ'!$X$74,$A10,1),""))</f>
        <v>1</v>
      </c>
      <c r="BZ10" s="207">
        <f>--ISNUMBER(IFERROR(SEARCH('PLANILLA DJ'!$X$75,$A10,1),""))</f>
        <v>1</v>
      </c>
      <c r="CA10" s="207">
        <f>--ISNUMBER(IFERROR(SEARCH('PLANILLA DJ'!$X$76,$A10,1),""))</f>
        <v>1</v>
      </c>
      <c r="CB10" s="207">
        <f>--ISNUMBER(IFERROR(SEARCH('PLANILLA DJ'!$X$77,$A10,1),""))</f>
        <v>1</v>
      </c>
      <c r="CC10" s="207">
        <f>--ISNUMBER(IFERROR(SEARCH('PLANILLA DJ'!$X$78,$A10,1),""))</f>
        <v>1</v>
      </c>
      <c r="CD10" s="207">
        <f>--ISNUMBER(IFERROR(SEARCH('PLANILLA DJ'!$X$79,$A10,1),""))</f>
        <v>1</v>
      </c>
      <c r="CE10" s="207">
        <f>--ISNUMBER(IFERROR(SEARCH('PLANILLA DJ'!$X$80,$A10,1),""))</f>
        <v>1</v>
      </c>
      <c r="CF10" s="207">
        <f>--ISNUMBER(IFERROR(SEARCH('PLANILLA DJ'!$X$81,$A10,1),""))</f>
        <v>1</v>
      </c>
      <c r="CG10" s="207">
        <f>--ISNUMBER(IFERROR(SEARCH('PLANILLA DJ'!$X$82,$A10,1),""))</f>
        <v>1</v>
      </c>
      <c r="CH10" s="207">
        <f>--ISNUMBER(IFERROR(SEARCH('PLANILLA DJ'!$X$83,$A10,1),""))</f>
        <v>1</v>
      </c>
      <c r="CI10" s="207">
        <f>--ISNUMBER(IFERROR(SEARCH('PLANILLA DJ'!$X$84,$A10,1),""))</f>
        <v>1</v>
      </c>
      <c r="CJ10" s="207">
        <f>--ISNUMBER(IFERROR(SEARCH('PLANILLA DJ'!$X$85,$A10,1),""))</f>
        <v>1</v>
      </c>
      <c r="CK10" s="207">
        <f>--ISNUMBER(IFERROR(SEARCH('PLANILLA DJ'!$X$86,$A10,1),""))</f>
        <v>1</v>
      </c>
      <c r="CL10" s="207">
        <f>--ISNUMBER(IFERROR(SEARCH('PLANILLA DJ'!$X$87,$A10,1),""))</f>
        <v>1</v>
      </c>
      <c r="CM10" s="207">
        <f>--ISNUMBER(IFERROR(SEARCH('PLANILLA DJ'!$X$88,$A10,1),""))</f>
        <v>1</v>
      </c>
      <c r="CN10" s="207">
        <f>--ISNUMBER(IFERROR(SEARCH('PLANILLA DJ'!$X$89,$A10,1),""))</f>
        <v>1</v>
      </c>
      <c r="CO10" s="207">
        <f>--ISNUMBER(IFERROR(SEARCH('PLANILLA DJ'!$X$90,$A10,1),""))</f>
        <v>1</v>
      </c>
      <c r="CP10" s="207">
        <f>--ISNUMBER(IFERROR(SEARCH('PLANILLA DJ'!$X$91,$A10,1),""))</f>
        <v>1</v>
      </c>
      <c r="CQ10" s="207">
        <f>--ISNUMBER(IFERROR(SEARCH('PLANILLA DJ'!$X$92,$A10,1),""))</f>
        <v>1</v>
      </c>
      <c r="CR10" s="207">
        <f>--ISNUMBER(IFERROR(SEARCH('PLANILLA DJ'!$X$93,$A10,1),""))</f>
        <v>1</v>
      </c>
      <c r="CS10" s="207">
        <f>--ISNUMBER(IFERROR(SEARCH('PLANILLA DJ'!$X$94,$A10,1),""))</f>
        <v>1</v>
      </c>
      <c r="CT10" s="207">
        <f>--ISNUMBER(IFERROR(SEARCH('PLANILLA DJ'!$X$95,$A10,1),""))</f>
        <v>1</v>
      </c>
      <c r="CU10" s="207">
        <f>--ISNUMBER(IFERROR(SEARCH('PLANILLA DJ'!$X$96,$A10,1),""))</f>
        <v>1</v>
      </c>
      <c r="CV10" s="207">
        <f>--ISNUMBER(IFERROR(SEARCH('PLANILLA DJ'!$X$97,$A10,1),""))</f>
        <v>1</v>
      </c>
      <c r="CW10" s="207">
        <f>--ISNUMBER(IFERROR(SEARCH('PLANILLA DJ'!$X$98,$A10,1),""))</f>
        <v>1</v>
      </c>
      <c r="CX10" s="207">
        <f>--ISNUMBER(IFERROR(SEARCH('PLANILLA DJ'!$X$99,$A10,1),""))</f>
        <v>1</v>
      </c>
      <c r="CY10" s="207">
        <f>--ISNUMBER(IFERROR(SEARCH('PLANILLA DJ'!$X$100,$A10,1),""))</f>
        <v>1</v>
      </c>
      <c r="CZ10" s="207">
        <f>--ISNUMBER(IFERROR(SEARCH('PLANILLA DJ'!$X$101,$A10,1),""))</f>
        <v>1</v>
      </c>
      <c r="DA10" s="207">
        <f>--ISNUMBER(IFERROR(SEARCH('PLANILLA DJ'!$X$102,$A10,1),""))</f>
        <v>1</v>
      </c>
      <c r="DB10" s="206">
        <f>IF(F10=1,COUNTIF($F$2:F10,1),"")</f>
        <v>9</v>
      </c>
      <c r="DC10" s="206">
        <f>IF(G10=1,COUNTIF($G$2:G10,1),"")</f>
        <v>9</v>
      </c>
      <c r="DD10" s="206">
        <f>IF(H10=1,COUNTIF($H$2:H10,1),"")</f>
        <v>9</v>
      </c>
      <c r="DE10" s="206">
        <f>IF(I10=1,COUNTIF($I$2:I10,1),"")</f>
        <v>9</v>
      </c>
      <c r="DF10" s="206">
        <f>IF(J10=1,COUNTIF($J$2:J10,1),"")</f>
        <v>9</v>
      </c>
      <c r="DG10" s="206">
        <f>IF(K10=1,COUNTIF($K$2:K10,1),"")</f>
        <v>9</v>
      </c>
      <c r="DH10" s="206">
        <f>IF(L10=1,COUNTIF($L$2:L10,1),"")</f>
        <v>9</v>
      </c>
      <c r="DI10" s="206">
        <f>IF(M10=1,COUNTIF($M$2:M10,1),"")</f>
        <v>9</v>
      </c>
      <c r="DJ10" s="206">
        <f>IF(N10=1,COUNTIF($N$2:N10,1),"")</f>
        <v>9</v>
      </c>
      <c r="DK10" s="206">
        <f>IF(O10=1,COUNTIF($O$2:O10,1),"")</f>
        <v>9</v>
      </c>
      <c r="DL10" s="206">
        <f>IF(P10=1,COUNTIF($P$2:P10,1),"")</f>
        <v>9</v>
      </c>
      <c r="DM10" s="206">
        <f>IF(Q10=1,COUNTIF($Q$2:Q10,1),"")</f>
        <v>9</v>
      </c>
      <c r="DN10" s="207">
        <f>IF(R10=1,COUNTIF($R$2:R10,1),"")</f>
        <v>9</v>
      </c>
      <c r="DO10" s="207">
        <f>IF(S10=1,COUNTIF($S$2:S10,1),"")</f>
        <v>9</v>
      </c>
      <c r="DP10" s="207">
        <f>IF(T10=1,COUNTIF($T$2:T10,1),"")</f>
        <v>9</v>
      </c>
      <c r="DQ10" s="207">
        <f>IF(U10=1,COUNTIF($U$2:U10,1),"")</f>
        <v>9</v>
      </c>
      <c r="DR10" s="207">
        <f>IF(V10=1,COUNTIF($V$2:V10,1),"")</f>
        <v>9</v>
      </c>
      <c r="DS10" s="207">
        <f>IF(W10=1,COUNTIF($W$2:W10,1),"")</f>
        <v>9</v>
      </c>
      <c r="DT10" s="207">
        <f>IF(X10=1,COUNTIF($X$2:X10,1),"")</f>
        <v>9</v>
      </c>
      <c r="DU10" s="207">
        <f>IF(Y10=1,COUNTIF($Y$2:Y10,1),"")</f>
        <v>9</v>
      </c>
      <c r="DV10" s="207">
        <f>IF(Z10=1,COUNTIF(Z$2:Z10,1),"")</f>
        <v>9</v>
      </c>
      <c r="DW10" s="207">
        <f>IF(AA10=1,COUNTIF($AA$2:AA10,1),"")</f>
        <v>9</v>
      </c>
      <c r="DX10" s="207">
        <f>IF(AB10=1,COUNTIF($AB$2:AB10,1),"")</f>
        <v>9</v>
      </c>
      <c r="DY10" s="207">
        <f>IF(AC10=1,COUNTIF($AC$2:AC10,1),"")</f>
        <v>9</v>
      </c>
      <c r="DZ10" s="207">
        <f>IF(AD10=1,COUNTIF($AD$2:AD10,1),"")</f>
        <v>9</v>
      </c>
      <c r="EA10" s="207">
        <f>IF(AE10=1,COUNTIF($AE$2:AE10,1),"")</f>
        <v>9</v>
      </c>
      <c r="EB10" s="207">
        <f>IF(AF10=1,COUNTIF($AF$2:AF10,1),"")</f>
        <v>9</v>
      </c>
      <c r="EC10" s="207">
        <f>IF(AG10=1,COUNTIF($AG$2:AG10,1),"")</f>
        <v>9</v>
      </c>
      <c r="ED10" s="207">
        <f>IF(AH10=1,COUNTIF($AH$2:AH10,1),"")</f>
        <v>9</v>
      </c>
      <c r="EE10" s="207">
        <f>IF(AI10=1,COUNTIF($AI$2:AI10,1),"")</f>
        <v>9</v>
      </c>
      <c r="EF10" s="207">
        <f>IF(AJ10=1,COUNTIF($AJ$2:AJ10,1),"")</f>
        <v>9</v>
      </c>
      <c r="EG10" s="207">
        <f>IF(AK10=1,COUNTIF($AK$2:AK10,1),"")</f>
        <v>9</v>
      </c>
      <c r="EH10" s="207">
        <f>IF(AL10=1,COUNTIF($AL$2:AL10,1),"")</f>
        <v>9</v>
      </c>
      <c r="EI10" s="207">
        <f>IF(AM10=1,COUNTIF($AM$2:AM10,1),"")</f>
        <v>9</v>
      </c>
      <c r="EJ10" s="207">
        <f>IF(AN10=1,COUNTIF($AN$2:AN10,1),"")</f>
        <v>9</v>
      </c>
      <c r="EK10" s="207">
        <f>IF(AO10=1,COUNTIF($AO$2:AO10,1),"")</f>
        <v>9</v>
      </c>
      <c r="EL10" s="207">
        <f>IF(AP10=1,COUNTIF($AP$2:AP10,1),"")</f>
        <v>9</v>
      </c>
      <c r="EM10" s="207">
        <f>IF(AQ10=1,COUNTIF($AQ$2:AQ10,1),"")</f>
        <v>9</v>
      </c>
      <c r="EN10" s="207">
        <f>IF(AR10=1,COUNTIF($AR$2:AR10,1),"")</f>
        <v>9</v>
      </c>
      <c r="EO10" s="207">
        <f>IF(AS10=1,COUNTIF($AS$2:AS10,1),"")</f>
        <v>9</v>
      </c>
      <c r="EP10" s="207">
        <f>IF(AT10=1,COUNTIF($AT$2:AT10,1),"")</f>
        <v>9</v>
      </c>
      <c r="EQ10" s="207">
        <f>IF(AU10=1,COUNTIF($AU$2:AU10,1),"")</f>
        <v>9</v>
      </c>
      <c r="ER10" s="207">
        <f>IF(AV10=1,COUNTIF($AV$2:AV10,1),"")</f>
        <v>9</v>
      </c>
      <c r="ES10" s="207">
        <f>IF(AW10=1,COUNTIF($AW$2:AW10,1),"")</f>
        <v>9</v>
      </c>
      <c r="ET10" s="207">
        <f>IF(AX10=1,COUNTIF($AX$2:AX10,1),"")</f>
        <v>9</v>
      </c>
      <c r="EU10" s="207">
        <f>IF(AY10=1,COUNTIF($AY$2:AY10,1),"")</f>
        <v>9</v>
      </c>
      <c r="EV10" s="207">
        <f>IF(AZ10=1,COUNTIF($AZ$2:AZ10,1),"")</f>
        <v>9</v>
      </c>
      <c r="EW10" s="207">
        <f>IF(BA10=1,COUNTIF($BA$2:BA10,1),"")</f>
        <v>9</v>
      </c>
      <c r="EX10" s="207">
        <f>IF(BB10=1,COUNTIF($BB$2:BB10,1),"")</f>
        <v>9</v>
      </c>
      <c r="EY10" s="207">
        <f>IF(BC10=1,COUNTIF($BC$2:BC10,1),"")</f>
        <v>9</v>
      </c>
      <c r="EZ10" s="207">
        <f>IF(BD10=1,COUNTIF($BD$2:BD10,1),"")</f>
        <v>9</v>
      </c>
      <c r="FA10" s="207">
        <f>IF(BE10=1,COUNTIF($BE$2:BE10,1),"")</f>
        <v>9</v>
      </c>
      <c r="FB10" s="207">
        <f>IF(BF10=1,COUNTIF($BF$2:BF10,1),"")</f>
        <v>9</v>
      </c>
      <c r="FC10" s="207">
        <f>IF(BG10=1,COUNTIF($BG$2:BG10,1),"")</f>
        <v>9</v>
      </c>
      <c r="FD10" s="207">
        <f>IF(BH10=1,COUNTIF($BH$2:BH10,1),"")</f>
        <v>9</v>
      </c>
      <c r="FE10" s="207">
        <f>IF(BI10=1,COUNTIF($BI$2:BI10,1),"")</f>
        <v>9</v>
      </c>
      <c r="FF10" s="207">
        <f>IF(BJ10=1,COUNTIF($BJ$2:BJ10,1),"")</f>
        <v>9</v>
      </c>
      <c r="FG10" s="207">
        <f>IF(BK10=1,COUNTIF($BK$2:BK10,1),"")</f>
        <v>9</v>
      </c>
      <c r="FH10" s="207">
        <f>IF(BL10=1,COUNTIF($BL$2:BL10,1),"")</f>
        <v>9</v>
      </c>
      <c r="FI10" s="207">
        <f>IF(BM10=1,COUNTIF($BM$2:BM10,1),"")</f>
        <v>9</v>
      </c>
      <c r="FJ10" s="207">
        <f>IF(BN10=1,COUNTIF($BN$2:BN10,1),"")</f>
        <v>9</v>
      </c>
      <c r="FK10" s="207">
        <f>IF(BO10=1,COUNTIF($BO$2:BO10,1),"")</f>
        <v>9</v>
      </c>
      <c r="FL10" s="207">
        <f>IF(BP10=1,COUNTIF($BP$2:BP10,1),"")</f>
        <v>9</v>
      </c>
      <c r="FM10" s="207">
        <f>IF(BQ10=1,COUNTIF($BQ$2:BQ10,1),"")</f>
        <v>9</v>
      </c>
      <c r="FN10" s="207">
        <f>IF(BR10=1,COUNTIF($BR$2:BR10,1),"")</f>
        <v>9</v>
      </c>
      <c r="FO10" s="207">
        <f>IF(BS10=1,COUNTIF($BS$2:BS10,1),"")</f>
        <v>9</v>
      </c>
      <c r="FP10" s="207">
        <f>IF(BT10=1,COUNTIF($BT$2:BT10,1),"")</f>
        <v>9</v>
      </c>
      <c r="FQ10" s="207">
        <f>IF(BU10=1,COUNTIF($BU$2:BU10,1),"")</f>
        <v>9</v>
      </c>
      <c r="FR10" s="207">
        <f>IF(BV10=1,COUNTIF($BV$2:BV10,1),"")</f>
        <v>9</v>
      </c>
      <c r="FS10" s="207">
        <f>IF(BW10=1,COUNTIF($BW$2:BW10,1),"")</f>
        <v>9</v>
      </c>
      <c r="FT10" s="207">
        <f>IF(BX10=1,COUNTIF($BX$2:BX10,1),"")</f>
        <v>9</v>
      </c>
      <c r="FU10" s="207">
        <f>IF(BY10=1,COUNTIF($BY$2:BY10,1),"")</f>
        <v>9</v>
      </c>
      <c r="FV10" s="207">
        <f>IF(BZ10=1,COUNTIF($BZ$2:BZ10,1),"")</f>
        <v>9</v>
      </c>
      <c r="FW10" s="207">
        <f>IF(CA10=1,COUNTIF($CA$2:CA10,1),"")</f>
        <v>9</v>
      </c>
      <c r="FX10" s="207">
        <f>IF(CB10=1,COUNTIF($CB$2:CB10,1),"")</f>
        <v>9</v>
      </c>
      <c r="FY10" s="207">
        <f>IF(CC10=1,COUNTIF($CC$2:CC10,1),"")</f>
        <v>9</v>
      </c>
      <c r="FZ10" s="207">
        <f>IF(CD10=1,COUNTIF($CD$2:CD10,1),"")</f>
        <v>9</v>
      </c>
      <c r="GA10" s="207">
        <f>IF(CE10=1,COUNTIF($CE$2:CE10,1),"")</f>
        <v>9</v>
      </c>
      <c r="GB10" s="207">
        <f>IF(CF10=1,COUNTIF($CF$2:CF10,1),"")</f>
        <v>9</v>
      </c>
      <c r="GC10" s="207">
        <f>IF(CG10=1,COUNTIF($CG$2:CG10,1),"")</f>
        <v>9</v>
      </c>
      <c r="GD10" s="207">
        <f>IF(CH10=1,COUNTIF($CH$2:CH10,1),"")</f>
        <v>9</v>
      </c>
      <c r="GE10" s="207">
        <f>IF(CI10=1,COUNTIF($CI$2:CI10,1),"")</f>
        <v>9</v>
      </c>
      <c r="GF10" s="207">
        <f>IF(CJ10=1,COUNTIF($CJ$2:CJ10,1),"")</f>
        <v>9</v>
      </c>
      <c r="GG10" s="207">
        <f>IF(CK10=1,COUNTIF($CK$2:CK10,1),"")</f>
        <v>9</v>
      </c>
      <c r="GH10" s="207">
        <f>IF(CL10=1,COUNTIF($CL$2:CL10,1),"")</f>
        <v>9</v>
      </c>
      <c r="GI10" s="207">
        <f>IF(CM10=1,COUNTIF($CM$2:CM10,1),"")</f>
        <v>9</v>
      </c>
      <c r="GJ10" s="207">
        <f>IF(CN10=1,COUNTIF($CN$2:CN10,1),"")</f>
        <v>9</v>
      </c>
      <c r="GK10" s="207">
        <f>IF(CO10=1,COUNTIF($CO$2:CO10,1),"")</f>
        <v>9</v>
      </c>
      <c r="GL10" s="207">
        <f>IF(CP10=1,COUNTIF($CP$2:CP10,1),"")</f>
        <v>9</v>
      </c>
      <c r="GM10" s="207">
        <f>IF(CQ10=1,COUNTIF($CQ$2:CQ10,1),"")</f>
        <v>9</v>
      </c>
      <c r="GN10" s="207">
        <f>IF(CR10=1,COUNTIF($CR$2:CR10,1),"")</f>
        <v>9</v>
      </c>
      <c r="GO10" s="207">
        <f>IF(CS10=1,COUNTIF($CS$2:CS10,1),"")</f>
        <v>9</v>
      </c>
      <c r="GP10" s="207">
        <f>IF(CT10=1,COUNTIF($CT$2:CT10,1),"")</f>
        <v>9</v>
      </c>
      <c r="GQ10" s="207">
        <f>IF(CU10=1,COUNTIF($CU$2:CU10,1),"")</f>
        <v>9</v>
      </c>
      <c r="GR10" s="207">
        <f>IF(CV10=1,COUNTIF($CV$2:CV10,1),"")</f>
        <v>9</v>
      </c>
      <c r="GS10" s="207">
        <f>IF(CW10=1,COUNTIF($CW$2:CW10,1),"")</f>
        <v>9</v>
      </c>
      <c r="GT10" s="207">
        <f>IF(CX10=1,COUNTIF($CX$2:CX10,1),"")</f>
        <v>9</v>
      </c>
      <c r="GU10" s="207">
        <f>IF(CY10=1,COUNTIF($CY$2:CY10,1),"")</f>
        <v>9</v>
      </c>
      <c r="GV10" s="207">
        <f>IF(CZ10=1,COUNTIF($CZ$2:CZ10,1),"")</f>
        <v>9</v>
      </c>
      <c r="GW10" s="207">
        <f>IF(DA10=1,COUNTIF($DA$2:DA10,1),"")</f>
        <v>9</v>
      </c>
      <c r="GX10" s="206" t="str">
        <f>IFERROR(INDEX($A$2:$A$113,MATCH(ROWS($DB$2:DB10),$DB$2:$DB$113,0)),"")</f>
        <v>LESIONES GRAVES</v>
      </c>
      <c r="GY10" s="206" t="str">
        <f>IFERROR(INDEX($A$2:$A$113,MATCH(ROWS($DC$2:DC10),$DC$2:$DC$113,0)),"")</f>
        <v>LESIONES GRAVES</v>
      </c>
      <c r="GZ10" s="206" t="str">
        <f>IFERROR(INDEX($A$2:$A$113,MATCH(ROWS($DD$2:DD10),$DD$2:$DD$113,0)),"")</f>
        <v>LESIONES GRAVES</v>
      </c>
      <c r="HA10" s="206" t="str">
        <f>IFERROR(INDEX($A$2:$A$113,MATCH(ROWS($DE$2:DE10),$DE$2:$DE$113,0)),"")</f>
        <v>LESIONES GRAVES</v>
      </c>
      <c r="HB10" s="206" t="str">
        <f>IFERROR(INDEX($A$2:$A$113,MATCH(ROWS($DF$2:DF10),$DF$2:$DF$113,0)),"")</f>
        <v>LESIONES GRAVES</v>
      </c>
      <c r="HC10" s="206" t="str">
        <f>IFERROR(INDEX($A$2:$A$113,MATCH(ROWS($DG$2:DG10),$DG$2:$DG$113,0)),"")</f>
        <v>LESIONES GRAVES</v>
      </c>
      <c r="HD10" s="206" t="str">
        <f>IFERROR(INDEX($A$2:$A$113,MATCH(ROWS($DH$2:DH10),$DH$2:$DH$113,0)),"")</f>
        <v>LESIONES GRAVES</v>
      </c>
      <c r="HE10" s="206" t="str">
        <f>IFERROR(INDEX($A$2:$A$113,MATCH(ROWS($DI$2:DI10),$DI$2:$DI$113,0)),"")</f>
        <v>LESIONES GRAVES</v>
      </c>
      <c r="HF10" s="206" t="str">
        <f>IFERROR(INDEX($A$2:$A$113,MATCH(ROWS($DJ$2:DJ10),$DJ$2:$DJ$113,0)),"")</f>
        <v>LESIONES GRAVES</v>
      </c>
      <c r="HG10" s="206" t="str">
        <f>IFERROR(INDEX($A$2:$A$113,MATCH(ROWS($DK$2:DK10),$DK$2:$DK$113,0)),"")</f>
        <v>LESIONES GRAVES</v>
      </c>
      <c r="HH10" s="206" t="str">
        <f>IFERROR(INDEX($A$2:$A$113,MATCH(ROWS($DL$2:DL10),$DL$2:$DL$113,0)),"")</f>
        <v>LESIONES GRAVES</v>
      </c>
      <c r="HI10" s="206" t="str">
        <f>IFERROR(INDEX($A$2:$A$113,MATCH(ROWS($DM$2:DM10),$DM$2:$DM$113,0)),"")</f>
        <v>LESIONES GRAVES</v>
      </c>
      <c r="HJ10" s="206" t="str">
        <f>IFERROR(INDEX($A$2:$A$113,MATCH(ROWS($DN$2:DN10),$DN$2:$DN$113,0)),"")</f>
        <v>LESIONES GRAVES</v>
      </c>
      <c r="HK10" s="206" t="str">
        <f>IFERROR(INDEX($A$2:$A$113,MATCH(ROWS($DO$2:DO10),$DO$2:$DO$113,0)),"")</f>
        <v>LESIONES GRAVES</v>
      </c>
      <c r="HL10" s="206" t="str">
        <f>IFERROR(INDEX($A$2:$A$113,MATCH(ROWS($DP$2:DP10),$DP$2:$DP$113,0)),"")</f>
        <v>LESIONES GRAVES</v>
      </c>
      <c r="HM10" s="206" t="str">
        <f>IFERROR(INDEX($A$2:$A$113,MATCH(ROWS($DQ$2:DQ10),$DQ$2:$DQ$113,0)),"")</f>
        <v>LESIONES GRAVES</v>
      </c>
      <c r="HN10" s="206" t="str">
        <f>IFERROR(INDEX($A$2:$A$113,MATCH(ROWS($DR$2:DR10),$DR$2:$DR$113,0)),"")</f>
        <v>LESIONES GRAVES</v>
      </c>
      <c r="HO10" s="206" t="str">
        <f>IFERROR(INDEX($A$2:$A$113,MATCH(ROWS($DS$2:DS10),$DS$2:$DS$113,0)),"")</f>
        <v>LESIONES GRAVES</v>
      </c>
      <c r="HP10" s="206" t="str">
        <f>IFERROR(INDEX($A$2:$A$113,MATCH(ROWS($DT$2:DT10),$DT$2:$DT$113,0)),"")</f>
        <v>LESIONES GRAVES</v>
      </c>
      <c r="HQ10" s="206" t="str">
        <f>IFERROR(INDEX($A$2:$A$113,MATCH(ROWS($DU$2:DU10),$DU$2:$DU$113,0)),"")</f>
        <v>LESIONES GRAVES</v>
      </c>
      <c r="HR10" s="206" t="str">
        <f>IFERROR(INDEX($A$2:$A$113,MATCH(ROWS($DV$2:DV10),$DV$2:$DV$113,0)),"")</f>
        <v>LESIONES GRAVES</v>
      </c>
      <c r="HS10" s="206" t="str">
        <f>IFERROR(INDEX($A$2:$A$113,MATCH(ROWS($DW$2:DW10),$DW$2:$DW$113,0)),"")</f>
        <v>LESIONES GRAVES</v>
      </c>
      <c r="HT10" s="206" t="str">
        <f>IFERROR(INDEX($A$2:$A$113,MATCH(ROWS($DX$2:DX10),$DX$2:$DX$113,0)),"")</f>
        <v>LESIONES GRAVES</v>
      </c>
      <c r="HU10" s="206" t="str">
        <f>IFERROR(INDEX($A$2:$A$113,MATCH(ROWS($DY$2:DY10),$DY$2:$DY$113,0)),"")</f>
        <v>LESIONES GRAVES</v>
      </c>
      <c r="HV10" s="206" t="str">
        <f>IFERROR(INDEX($A$2:$A$113,MATCH(ROWS($DZ$2:DZ10),$DZ$2:$DZ$113,0)),"")</f>
        <v>LESIONES GRAVES</v>
      </c>
      <c r="HW10" s="206" t="str">
        <f>IFERROR(INDEX($A$2:$A$113,MATCH(ROWS($EA$2:EA10),$EA$2:$EA$113,0)),"")</f>
        <v>LESIONES GRAVES</v>
      </c>
      <c r="HX10" s="206" t="str">
        <f>IFERROR(INDEX($A$2:$A$113,MATCH(ROWS($EB$2:EB10),$EB$2:$EB$113,0)),"")</f>
        <v>LESIONES GRAVES</v>
      </c>
      <c r="HY10" s="206" t="str">
        <f>IFERROR(INDEX($A$2:$A$113,MATCH(ROWS($EC$2:EC10),$EC$2:$EC$113,0)),"")</f>
        <v>LESIONES GRAVES</v>
      </c>
      <c r="HZ10" s="206" t="str">
        <f>IFERROR(INDEX($A$2:$A$113,MATCH(ROWS($ED$2:ED10),$ED$2:$ED$113,0)),"")</f>
        <v>LESIONES GRAVES</v>
      </c>
      <c r="IA10" s="206" t="str">
        <f>IFERROR(INDEX($A$2:$A$113,MATCH(ROWS($EE$2:EE10),$EE$2:$EE$113,0)),"")</f>
        <v>LESIONES GRAVES</v>
      </c>
      <c r="IB10" s="206" t="str">
        <f>IFERROR(INDEX($A$2:$A$113,MATCH(ROWS($EF$2:EF10),$EF$2:$EF$113,0)),"")</f>
        <v>LESIONES GRAVES</v>
      </c>
      <c r="IC10" s="206" t="str">
        <f>IFERROR(INDEX($A$2:$A$113,MATCH(ROWS($EG$2:EG10),$EG$2:$EG$113,0)),"")</f>
        <v>LESIONES GRAVES</v>
      </c>
      <c r="ID10" s="206" t="str">
        <f>IFERROR(INDEX($A$2:$A$113,MATCH(ROWS($EH$2:EH10),$EH$2:$EH$113,0)),"")</f>
        <v>LESIONES GRAVES</v>
      </c>
      <c r="IE10" s="206" t="str">
        <f>IFERROR(INDEX($A$2:$A$113,MATCH(ROWS($EI$2:EI10),$EI$2:$EI$113,0)),"")</f>
        <v>LESIONES GRAVES</v>
      </c>
      <c r="IF10" s="206" t="str">
        <f>IFERROR(INDEX($A$2:$A$113,MATCH(ROWS($EJ$2:EJ10),$EJ$2:$EJ$113,0)),"")</f>
        <v>LESIONES GRAVES</v>
      </c>
      <c r="IG10" s="206" t="str">
        <f>IFERROR(INDEX($A$2:$A$113,MATCH(ROWS($EK$2:EK10),$EK$2:$EK$113,0)),"")</f>
        <v>LESIONES GRAVES</v>
      </c>
      <c r="IH10" s="206" t="str">
        <f>IFERROR(INDEX($A$2:$A$113,MATCH(ROWS($EL$2:EL10),$EL$2:$EL$113,0)),"")</f>
        <v>LESIONES GRAVES</v>
      </c>
      <c r="II10" s="206" t="str">
        <f>IFERROR(INDEX($A$2:$A$113,MATCH(ROWS($EM$2:EM10),$EM$2:$EM$113,0)),"")</f>
        <v>LESIONES GRAVES</v>
      </c>
      <c r="IJ10" s="206" t="str">
        <f>IFERROR(INDEX($A$2:$A$113,MATCH(ROWS($EN$2:EN10),$EN$2:$EN$113,0)),"")</f>
        <v>LESIONES GRAVES</v>
      </c>
      <c r="IK10" s="207" t="str">
        <f>IFERROR(INDEX($A$2:$A$113,MATCH(ROWS($EO$2:EO10),$EO$2:$EO$113,0)),"")</f>
        <v>LESIONES GRAVES</v>
      </c>
      <c r="IL10" s="207" t="str">
        <f>IFERROR(INDEX($A$2:$A$113,MATCH(ROWS($EP$2:EP10),$EP$2:$EP$113,0)),"")</f>
        <v>LESIONES GRAVES</v>
      </c>
      <c r="IM10" s="207" t="str">
        <f>IFERROR(INDEX($A$2:$A$113,MATCH(ROWS($EQ$2:EQ10),$EQ$2:$EQ$113,0)),"")</f>
        <v>LESIONES GRAVES</v>
      </c>
      <c r="IN10" s="207" t="str">
        <f>IFERROR(INDEX($A$2:$A$113,MATCH(ROWS($ER$2:ER10),$ER$2:$ER$113,0)),"")</f>
        <v>LESIONES GRAVES</v>
      </c>
      <c r="IO10" s="207" t="str">
        <f>IFERROR(INDEX($A$2:$A$113,MATCH(ROWS($ES$2:ES10),$ES$2:$ES$113,0)),"")</f>
        <v>LESIONES GRAVES</v>
      </c>
      <c r="IP10" s="207" t="str">
        <f>IFERROR(INDEX($A$2:$A$113,MATCH(ROWS($ET$2:ET10),$ET$2:$ET$113,0)),"")</f>
        <v>LESIONES GRAVES</v>
      </c>
      <c r="IQ10" s="207" t="str">
        <f>IFERROR(INDEX($A$2:$A$113,MATCH(ROWS($EU$2:EU10),$EU$2:$EU$113,0)),"")</f>
        <v>LESIONES GRAVES</v>
      </c>
      <c r="IR10" s="207" t="str">
        <f>IFERROR(INDEX($A$2:$A$113,MATCH(ROWS($EV$2:EV10),$EV$2:$EV$113,0)),"")</f>
        <v>LESIONES GRAVES</v>
      </c>
      <c r="IS10" s="207" t="str">
        <f>IFERROR(INDEX($A$2:$A$113,MATCH(ROWS($EW$2:EW10),$EW$2:$EW$113,0)),"")</f>
        <v>LESIONES GRAVES</v>
      </c>
      <c r="IT10" s="207" t="str">
        <f>IFERROR(INDEX($A$2:$A$113,MATCH(ROWS($EX$2:EX10),$EX$2:$EX$113,0)),"")</f>
        <v>LESIONES GRAVES</v>
      </c>
      <c r="IU10" s="207" t="str">
        <f>IFERROR(INDEX($A$2:$A$113,MATCH(ROWS($EY$2:EY10),$EY$2:$EY$113,0)),"")</f>
        <v>LESIONES GRAVES</v>
      </c>
      <c r="IV10" s="207" t="str">
        <f>IFERROR(INDEX($A$2:$A$113,MATCH(ROWS($EZ$2:EZ10),$EZ$2:$EZ$113,0)),"")</f>
        <v>LESIONES GRAVES</v>
      </c>
      <c r="IW10" s="207" t="str">
        <f>IFERROR(INDEX($A$2:$A$113,MATCH(ROWS($FA$2:FA10),$FA$2:$FA$113,0)),"")</f>
        <v>LESIONES GRAVES</v>
      </c>
      <c r="IX10" s="207" t="str">
        <f>IFERROR(INDEX($A$2:$A$113,MATCH(ROWS($FB$2:FB10),$FB$2:$FB$113,0)),"")</f>
        <v>LESIONES GRAVES</v>
      </c>
      <c r="IY10" s="207" t="str">
        <f>IFERROR(INDEX($A$2:$A$113,MATCH(ROWS($FC$2:FC10),$FC$2:$FC$113,0)),"")</f>
        <v>LESIONES GRAVES</v>
      </c>
      <c r="IZ10" s="207" t="str">
        <f>IFERROR(INDEX($A$2:$A$113,MATCH(ROWS($FD$2:FD10),$FD$2:$FD$113,0)),"")</f>
        <v>LESIONES GRAVES</v>
      </c>
      <c r="JA10" s="207" t="str">
        <f>IFERROR(INDEX($A$2:$A$113,MATCH(ROWS($FE$2:FE10),$FE$2:$FE$113,0)),"")</f>
        <v>LESIONES GRAVES</v>
      </c>
      <c r="JB10" s="207" t="str">
        <f>IFERROR(INDEX($A$2:$A$113,MATCH(ROWS($FF$2:FF10),$FF$2:$FF$113,0)),"")</f>
        <v>LESIONES GRAVES</v>
      </c>
      <c r="JC10" s="207" t="str">
        <f>IFERROR(INDEX($A$2:$A$113,MATCH(ROWS($FG$2:FG10),$FG$2:$FG$113,0)),"")</f>
        <v>LESIONES GRAVES</v>
      </c>
      <c r="JD10" s="207" t="str">
        <f>IFERROR(INDEX($A$2:$A$113,MATCH(ROWS($FH$2:FH10),$FH$2:$FH$113,0)),"")</f>
        <v>LESIONES GRAVES</v>
      </c>
      <c r="JE10" s="207" t="str">
        <f>IFERROR(INDEX($A$2:$A$113,MATCH(ROWS($FI$2:FI10),$FI$2:$FI$113,0)),"")</f>
        <v>LESIONES GRAVES</v>
      </c>
      <c r="JF10" s="207" t="str">
        <f>IFERROR(INDEX($A$2:$A$113,MATCH(ROWS($FJ$2:FJ10),$FJ$2:$FJ$113,0)),"")</f>
        <v>LESIONES GRAVES</v>
      </c>
      <c r="JG10" s="207" t="str">
        <f>IFERROR(INDEX($A$2:$A$113,MATCH(ROWS($FK$2:FK10),$FK$2:$FK$113,0)),"")</f>
        <v>LESIONES GRAVES</v>
      </c>
      <c r="JH10" s="207" t="str">
        <f>IFERROR(INDEX($A$2:$A$113,MATCH(ROWS($FL$2:FL10),$FL$2:$FL$113,0)),"")</f>
        <v>LESIONES GRAVES</v>
      </c>
      <c r="JI10" s="207" t="str">
        <f>IFERROR(INDEX($A$2:$A$113,MATCH(ROWS($FM$2:FM10),$FM$2:$FM$113,0)),"")</f>
        <v>LESIONES GRAVES</v>
      </c>
      <c r="JJ10" s="207" t="str">
        <f>IFERROR(INDEX($A$2:$A$113,MATCH(ROWS($FN$2:FN10),$FN$2:$FN$113,0)),"")</f>
        <v>LESIONES GRAVES</v>
      </c>
      <c r="JK10" s="207" t="str">
        <f>IFERROR(INDEX($A$2:$A$113,MATCH(ROWS($FO$2:FO10),$FO$2:$FO$113,0)),"")</f>
        <v>LESIONES GRAVES</v>
      </c>
      <c r="JL10" s="207" t="str">
        <f>IFERROR(INDEX($A$2:$A$113,MATCH(ROWS($FP$2:FP10),$FP$2:$FP$113,0)),"")</f>
        <v>LESIONES GRAVES</v>
      </c>
      <c r="JM10" s="207" t="str">
        <f>IFERROR(INDEX($A$2:$A$113,MATCH(ROWS($FQ$2:FQ10),$FQ$2:$FQ$113,0)),"")</f>
        <v>LESIONES GRAVES</v>
      </c>
      <c r="JN10" s="207" t="str">
        <f>IFERROR(INDEX($A$2:$A$113,MATCH(ROWS($FR$2:FR10),$FR$2:$FR$113,0)),"")</f>
        <v>LESIONES GRAVES</v>
      </c>
      <c r="JO10" s="207" t="str">
        <f>IFERROR(INDEX($A$2:$A$113,MATCH(ROWS($FS$2:FS10),$FS$2:$FS$113,0)),"")</f>
        <v>LESIONES GRAVES</v>
      </c>
      <c r="JP10" s="207" t="str">
        <f>IFERROR(INDEX($A$2:$A$113,MATCH(ROWS($FT$2:FT10),$FT$2:$FT$113,0)),"")</f>
        <v>LESIONES GRAVES</v>
      </c>
      <c r="JQ10" s="207" t="str">
        <f>IFERROR(INDEX($A$2:$A$113,MATCH(ROWS($FU$2:FU10),$FU$2:$FU$113,0)),"")</f>
        <v>LESIONES GRAVES</v>
      </c>
      <c r="JR10" s="207" t="str">
        <f>IFERROR(INDEX($A$2:$A$113,MATCH(ROWS($FV$2:FV10),$FV$2:$FV$113,0)),"")</f>
        <v>LESIONES GRAVES</v>
      </c>
      <c r="JS10" s="207" t="str">
        <f>IFERROR(INDEX($A$2:$A$113,MATCH(ROWS($FW$2:FW10),$FW$2:$FW$113,0)),"")</f>
        <v>LESIONES GRAVES</v>
      </c>
      <c r="JT10" s="207" t="str">
        <f>IFERROR(INDEX($A$2:$A$113,MATCH(ROWS($FX$2:FX10),$FX$2:$FX$113,0)),"")</f>
        <v>LESIONES GRAVES</v>
      </c>
      <c r="JU10" s="207" t="str">
        <f>IFERROR(INDEX($A$2:$A$113,MATCH(ROWS($FY$2:FY10),$FY$2:$FY$113,0)),"")</f>
        <v>LESIONES GRAVES</v>
      </c>
      <c r="JV10" s="207" t="str">
        <f>IFERROR(INDEX($A$2:$A$113,MATCH(ROWS($FZ$2:FZ10),$FZ$2:$FZ$113,0)),"")</f>
        <v>LESIONES GRAVES</v>
      </c>
      <c r="JW10" s="207" t="str">
        <f>IFERROR(INDEX($A$2:$A$113,MATCH(ROWS($GA$2:GA10),$GA$2:$GA$113,0)),"")</f>
        <v>LESIONES GRAVES</v>
      </c>
      <c r="JX10" s="207" t="str">
        <f>IFERROR(INDEX($A$2:$A$113,MATCH(ROWS($GB$2:GB10),$GB$2:$GB$113,0)),"")</f>
        <v>LESIONES GRAVES</v>
      </c>
      <c r="JY10" s="207" t="str">
        <f>IFERROR(INDEX($A$2:$A$113,MATCH(ROWS($GC$2:GC10),$GC$2:$GC$113,0)),"")</f>
        <v>LESIONES GRAVES</v>
      </c>
      <c r="JZ10" s="207" t="str">
        <f>IFERROR(INDEX($A$2:$A$113,MATCH(ROWS($GD$2:GD10),$GD$2:$GD$113,0)),"")</f>
        <v>LESIONES GRAVES</v>
      </c>
      <c r="KA10" s="207" t="str">
        <f>IFERROR(INDEX($A$2:$A$113,MATCH(ROWS($GE$2:GE10),$GE$2:$GE$113,0)),"")</f>
        <v>LESIONES GRAVES</v>
      </c>
      <c r="KB10" s="207" t="str">
        <f>IFERROR(INDEX($A$2:$A$113,MATCH(ROWS($GF$2:GF10),$GF$2:$GF$113,0)),"")</f>
        <v>LESIONES GRAVES</v>
      </c>
      <c r="KC10" s="207" t="str">
        <f>IFERROR(INDEX($A$2:$A$113,MATCH(ROWS($GG$2:GG10),$GG$2:$GG$113,0)),"")</f>
        <v>LESIONES GRAVES</v>
      </c>
      <c r="KD10" s="207" t="str">
        <f>IFERROR(INDEX($A$2:$A$113,MATCH(ROWS($GH$2:GH10),$GH$2:$GH$113,0)),"")</f>
        <v>LESIONES GRAVES</v>
      </c>
      <c r="KE10" s="207" t="str">
        <f>IFERROR(INDEX($A$2:$A$113,MATCH(ROWS($GI$2:GI10),$GI$2:$GI$113,0)),"")</f>
        <v>LESIONES GRAVES</v>
      </c>
      <c r="KF10" s="207" t="str">
        <f>IFERROR(INDEX($A$2:$A$113,MATCH(ROWS($GJ$2:GJ10),$GJ$2:$GJ$113,0)),"")</f>
        <v>LESIONES GRAVES</v>
      </c>
      <c r="KG10" s="207" t="str">
        <f>IFERROR(INDEX($A$2:$A$113,MATCH(ROWS($GK$2:GK10),$GK$2:$GK$113,0)),"")</f>
        <v>LESIONES GRAVES</v>
      </c>
      <c r="KH10" s="207" t="str">
        <f>IFERROR(INDEX($A$2:$A$113,MATCH(ROWS($GL$2:GL10),$GL$2:$GL$113,0)),"")</f>
        <v>LESIONES GRAVES</v>
      </c>
      <c r="KI10" s="207" t="str">
        <f>IFERROR(INDEX($A$2:$A$113,MATCH(ROWS($GM$2:GM10),$GM$2:$GM$113,0)),"")</f>
        <v>LESIONES GRAVES</v>
      </c>
      <c r="KJ10" s="207" t="str">
        <f>IFERROR(INDEX($A$2:$A$113,MATCH(ROWS($GN$2:GN10),$GN$2:$GN$113,0)),"")</f>
        <v>LESIONES GRAVES</v>
      </c>
      <c r="KK10" s="207" t="str">
        <f>IFERROR(INDEX($A$2:$A$113,MATCH(ROWS($GO$2:GO10),$GO$2:$GO$113,0)),"")</f>
        <v>LESIONES GRAVES</v>
      </c>
      <c r="KL10" s="207" t="str">
        <f>IFERROR(INDEX($A$2:$A$113,MATCH(ROWS($GP$2:GP10),$GP$2:$GP$113,0)),"")</f>
        <v>LESIONES GRAVES</v>
      </c>
      <c r="KM10" s="207" t="str">
        <f>IFERROR(INDEX($A$2:$A$113,MATCH(ROWS($GQ$2:GQ10),$GQ$2:$GQ$113,0)),"")</f>
        <v>LESIONES GRAVES</v>
      </c>
      <c r="KN10" s="207" t="str">
        <f>IFERROR(INDEX($A$2:$A$113,MATCH(ROWS($GR$2:GR10),$GR$2:$GR$113,0)),"")</f>
        <v>LESIONES GRAVES</v>
      </c>
      <c r="KO10" s="207" t="str">
        <f>IFERROR(INDEX($A$2:$A$113,MATCH(ROWS($GS$2:GS10),$GS$2:$GS$113,0)),"")</f>
        <v>LESIONES GRAVES</v>
      </c>
      <c r="KP10" s="207" t="str">
        <f>IFERROR(INDEX($A$2:$A$113,MATCH(ROWS($GT$2:GT10),$GT$2:$GT$113,0)),"")</f>
        <v>LESIONES GRAVES</v>
      </c>
      <c r="KQ10" s="207" t="str">
        <f>IFERROR(INDEX($A$2:$A$113,MATCH(ROWS($GU$2:GU10),$GU$2:$GU$113,0)),"")</f>
        <v>LESIONES GRAVES</v>
      </c>
      <c r="KR10" s="207" t="str">
        <f>IFERROR(INDEX($A$2:$A$113,MATCH(ROWS($GV$2:GV10),$GV$2:$GV$113,0)),"")</f>
        <v>LESIONES GRAVES</v>
      </c>
      <c r="KS10" s="207" t="str">
        <f>IFERROR(INDEX($A$2:$A$113,MATCH(ROWS($GW$2:GW10),$GW$2:$GW$113,0)),"")</f>
        <v>LESIONES GRAVES</v>
      </c>
    </row>
    <row r="11" spans="1:305" x14ac:dyDescent="0.25">
      <c r="A11" s="206" t="s">
        <v>65</v>
      </c>
      <c r="B11" s="206">
        <v>5</v>
      </c>
      <c r="D11" s="206" t="s">
        <v>49</v>
      </c>
      <c r="E11" s="206" t="s">
        <v>785</v>
      </c>
      <c r="F11" s="207">
        <f>--ISNUMBER(IFERROR(SEARCH('PLANILLA DJ'!$X$3,$A11,1),""))</f>
        <v>1</v>
      </c>
      <c r="G11" s="207">
        <f>--ISNUMBER(IFERROR(SEARCH('PLANILLA DJ'!$X$4,$A11,1),""))</f>
        <v>1</v>
      </c>
      <c r="H11" s="207">
        <f>--ISNUMBER(IFERROR(SEARCH('PLANILLA DJ'!$X$5,$A11,1),""))</f>
        <v>1</v>
      </c>
      <c r="I11" s="207">
        <f>--ISNUMBER(IFERROR(SEARCH('PLANILLA DJ'!$X$6,$A11,1),""))</f>
        <v>1</v>
      </c>
      <c r="J11" s="207">
        <f>--ISNUMBER(IFERROR(SEARCH('PLANILLA DJ'!$X$7,$A11,1),""))</f>
        <v>1</v>
      </c>
      <c r="K11" s="207">
        <f>--ISNUMBER(IFERROR(SEARCH('PLANILLA DJ'!$X$8,$A11,1),""))</f>
        <v>1</v>
      </c>
      <c r="L11" s="207">
        <f>--ISNUMBER(IFERROR(SEARCH('PLANILLA DJ'!$X$9,$A11,1),""))</f>
        <v>1</v>
      </c>
      <c r="M11" s="207">
        <f>--ISNUMBER(IFERROR(SEARCH('PLANILLA DJ'!$X$10,$A11,1),""))</f>
        <v>1</v>
      </c>
      <c r="N11" s="207">
        <f>--ISNUMBER(IFERROR(SEARCH('PLANILLA DJ'!$X$11,$A11,1),""))</f>
        <v>1</v>
      </c>
      <c r="O11" s="207">
        <f>--ISNUMBER(IFERROR(SEARCH('PLANILLA DJ'!$X$12,$A11,1),""))</f>
        <v>1</v>
      </c>
      <c r="P11" s="207">
        <f>--ISNUMBER(IFERROR(SEARCH('PLANILLA DJ'!$X$13,$A11,1),""))</f>
        <v>1</v>
      </c>
      <c r="Q11" s="207">
        <f>--ISNUMBER(IFERROR(SEARCH('PLANILLA DJ'!$X$14,$A11,1),""))</f>
        <v>1</v>
      </c>
      <c r="R11" s="207">
        <f>--ISNUMBER(IFERROR(SEARCH('PLANILLA DJ'!$X$15,$A11,1),""))</f>
        <v>1</v>
      </c>
      <c r="S11" s="207">
        <f>--ISNUMBER(IFERROR(SEARCH('PLANILLA DJ'!$X$16,$A11,1),""))</f>
        <v>1</v>
      </c>
      <c r="T11" s="207">
        <f>--ISNUMBER(IFERROR(SEARCH('PLANILLA DJ'!$X$17,$A11,1),""))</f>
        <v>1</v>
      </c>
      <c r="U11" s="207">
        <f>--ISNUMBER(IFERROR(SEARCH('PLANILLA DJ'!$X$18,$A11,1),""))</f>
        <v>1</v>
      </c>
      <c r="V11" s="207">
        <f>--ISNUMBER(IFERROR(SEARCH('PLANILLA DJ'!$X$19,$A11,1),""))</f>
        <v>1</v>
      </c>
      <c r="W11" s="207">
        <f>--ISNUMBER(IFERROR(SEARCH('PLANILLA DJ'!$X$20,$A11,1),""))</f>
        <v>1</v>
      </c>
      <c r="X11" s="207">
        <f>--ISNUMBER(IFERROR(SEARCH('PLANILLA DJ'!$X$21,$A11,1),""))</f>
        <v>1</v>
      </c>
      <c r="Y11" s="207">
        <f>--ISNUMBER(IFERROR(SEARCH('PLANILLA DJ'!$X$22,$A11,1),""))</f>
        <v>1</v>
      </c>
      <c r="Z11" s="207">
        <f>--ISNUMBER(IFERROR(SEARCH('PLANILLA DJ'!$X$23,$A11,1),""))</f>
        <v>1</v>
      </c>
      <c r="AA11" s="207">
        <f>--ISNUMBER(IFERROR(SEARCH('PLANILLA DJ'!$X$24,$A11,1),""))</f>
        <v>1</v>
      </c>
      <c r="AB11" s="207">
        <f>--ISNUMBER(IFERROR(SEARCH('PLANILLA DJ'!$X$25,$A11,1),""))</f>
        <v>1</v>
      </c>
      <c r="AC11" s="207">
        <f>--ISNUMBER(IFERROR(SEARCH('PLANILLA DJ'!$X$26,$A11,1),""))</f>
        <v>1</v>
      </c>
      <c r="AD11" s="207">
        <f>--ISNUMBER(IFERROR(SEARCH('PLANILLA DJ'!$X$27,$A11,1),""))</f>
        <v>1</v>
      </c>
      <c r="AE11" s="207">
        <f>--ISNUMBER(IFERROR(SEARCH('PLANILLA DJ'!$X$28,$A11,1),""))</f>
        <v>1</v>
      </c>
      <c r="AF11" s="207">
        <f>--ISNUMBER(IFERROR(SEARCH('PLANILLA DJ'!$X$29,$A11,1),""))</f>
        <v>1</v>
      </c>
      <c r="AG11" s="207">
        <f>--ISNUMBER(IFERROR(SEARCH('PLANILLA DJ'!$X$30,$A11,1),""))</f>
        <v>1</v>
      </c>
      <c r="AH11" s="207">
        <f>--ISNUMBER(IFERROR(SEARCH('PLANILLA DJ'!$X$31,$A11,1),""))</f>
        <v>1</v>
      </c>
      <c r="AI11" s="207">
        <f>--ISNUMBER(IFERROR(SEARCH('PLANILLA DJ'!$X$32,$A11,1),""))</f>
        <v>1</v>
      </c>
      <c r="AJ11" s="207">
        <f>--ISNUMBER(IFERROR(SEARCH('PLANILLA DJ'!$X$33,$A11,1),""))</f>
        <v>1</v>
      </c>
      <c r="AK11" s="207">
        <f>--ISNUMBER(IFERROR(SEARCH('PLANILLA DJ'!$X$34,$A11,1),""))</f>
        <v>1</v>
      </c>
      <c r="AL11" s="207">
        <f>--ISNUMBER(IFERROR(SEARCH('PLANILLA DJ'!$X$35,$A11,1),""))</f>
        <v>1</v>
      </c>
      <c r="AM11" s="207">
        <f>--ISNUMBER(IFERROR(SEARCH('PLANILLA DJ'!$X$36,$A11,1),""))</f>
        <v>1</v>
      </c>
      <c r="AN11" s="207">
        <f>--ISNUMBER(IFERROR(SEARCH('PLANILLA DJ'!$X$37,$A11,1),""))</f>
        <v>1</v>
      </c>
      <c r="AO11" s="207">
        <f>--ISNUMBER(IFERROR(SEARCH('PLANILLA DJ'!$X$38,$A11,1),""))</f>
        <v>1</v>
      </c>
      <c r="AP11" s="207">
        <f>--ISNUMBER(IFERROR(SEARCH('PLANILLA DJ'!$X$39,$A11,1),""))</f>
        <v>1</v>
      </c>
      <c r="AQ11" s="207">
        <f>--ISNUMBER(IFERROR(SEARCH('PLANILLA DJ'!$X$40,$A11,1),""))</f>
        <v>1</v>
      </c>
      <c r="AR11" s="207">
        <f>--ISNUMBER(IFERROR(SEARCH('PLANILLA DJ'!$X$41,$A11,1),""))</f>
        <v>1</v>
      </c>
      <c r="AS11" s="207">
        <f>--ISNUMBER(IFERROR(SEARCH('PLANILLA DJ'!$X$42,$A11,1),""))</f>
        <v>1</v>
      </c>
      <c r="AT11" s="207">
        <f>--ISNUMBER(IFERROR(SEARCH('PLANILLA DJ'!$X$43,$A11,1),""))</f>
        <v>1</v>
      </c>
      <c r="AU11" s="207">
        <f>--ISNUMBER(IFERROR(SEARCH('PLANILLA DJ'!$X$44,$A11,1),""))</f>
        <v>1</v>
      </c>
      <c r="AV11" s="207">
        <f>--ISNUMBER(IFERROR(SEARCH('PLANILLA DJ'!$X$45,$A11,1),""))</f>
        <v>1</v>
      </c>
      <c r="AW11" s="207">
        <f>--ISNUMBER(IFERROR(SEARCH('PLANILLA DJ'!$X$46,$A11,1),""))</f>
        <v>1</v>
      </c>
      <c r="AX11" s="207">
        <f>--ISNUMBER(IFERROR(SEARCH('PLANILLA DJ'!$X$47,$A11,1),""))</f>
        <v>1</v>
      </c>
      <c r="AY11" s="207">
        <f>--ISNUMBER(IFERROR(SEARCH('PLANILLA DJ'!$X$48,$A11,1),""))</f>
        <v>1</v>
      </c>
      <c r="AZ11" s="207">
        <f>--ISNUMBER(IFERROR(SEARCH('PLANILLA DJ'!$X$49,$A11,1),""))</f>
        <v>1</v>
      </c>
      <c r="BA11" s="207">
        <f>--ISNUMBER(IFERROR(SEARCH('PLANILLA DJ'!$X$50,$A11,1),""))</f>
        <v>1</v>
      </c>
      <c r="BB11" s="207">
        <f>--ISNUMBER(IFERROR(SEARCH('PLANILLA DJ'!$X$51,$A11,1),""))</f>
        <v>1</v>
      </c>
      <c r="BC11" s="207">
        <f>--ISNUMBER(IFERROR(SEARCH('PLANILLA DJ'!$X$52,$A11,1),""))</f>
        <v>1</v>
      </c>
      <c r="BD11" s="207">
        <f>--ISNUMBER(IFERROR(SEARCH('PLANILLA DJ'!$X$53,$A11,1),""))</f>
        <v>1</v>
      </c>
      <c r="BE11" s="207">
        <f>--ISNUMBER(IFERROR(SEARCH('PLANILLA DJ'!$X$54,$A11,1),""))</f>
        <v>1</v>
      </c>
      <c r="BF11" s="207">
        <f>--ISNUMBER(IFERROR(SEARCH('PLANILLA DJ'!$X$55,$A11,1),""))</f>
        <v>1</v>
      </c>
      <c r="BG11" s="207">
        <f>--ISNUMBER(IFERROR(SEARCH('PLANILLA DJ'!$X$56,$A11,1),""))</f>
        <v>1</v>
      </c>
      <c r="BH11" s="207">
        <f>--ISNUMBER(IFERROR(SEARCH('PLANILLA DJ'!$X$57,$A11,1),""))</f>
        <v>1</v>
      </c>
      <c r="BI11" s="207">
        <f>--ISNUMBER(IFERROR(SEARCH('PLANILLA DJ'!$X$58,$A11,1),""))</f>
        <v>1</v>
      </c>
      <c r="BJ11" s="207">
        <f>--ISNUMBER(IFERROR(SEARCH('PLANILLA DJ'!$X$59,$A11,1),""))</f>
        <v>1</v>
      </c>
      <c r="BK11" s="207">
        <f>--ISNUMBER(IFERROR(SEARCH('PLANILLA DJ'!$X$60,$A11,1),""))</f>
        <v>1</v>
      </c>
      <c r="BL11" s="207">
        <f>--ISNUMBER(IFERROR(SEARCH('PLANILLA DJ'!$X$61,$A11,1),""))</f>
        <v>1</v>
      </c>
      <c r="BM11" s="207">
        <f>--ISNUMBER(IFERROR(SEARCH('PLANILLA DJ'!$X$62,$A11,1),""))</f>
        <v>1</v>
      </c>
      <c r="BN11" s="207">
        <f>--ISNUMBER(IFERROR(SEARCH('PLANILLA DJ'!$X$63,$A11,1),""))</f>
        <v>1</v>
      </c>
      <c r="BO11" s="207">
        <f>--ISNUMBER(IFERROR(SEARCH('PLANILLA DJ'!$X$64,$A11,1),""))</f>
        <v>1</v>
      </c>
      <c r="BP11" s="207">
        <f>--ISNUMBER(IFERROR(SEARCH('PLANILLA DJ'!$X$65,$A11,1),""))</f>
        <v>1</v>
      </c>
      <c r="BQ11" s="207">
        <f>--ISNUMBER(IFERROR(SEARCH('PLANILLA DJ'!$X$66,$A11,1),""))</f>
        <v>1</v>
      </c>
      <c r="BR11" s="207">
        <f>--ISNUMBER(IFERROR(SEARCH('PLANILLA DJ'!$X$67,$A11,1),""))</f>
        <v>1</v>
      </c>
      <c r="BS11" s="207">
        <f>--ISNUMBER(IFERROR(SEARCH('PLANILLA DJ'!$X$68,$A11,1),""))</f>
        <v>1</v>
      </c>
      <c r="BT11" s="207">
        <f>--ISNUMBER(IFERROR(SEARCH('PLANILLA DJ'!$X$69,$A11,1),""))</f>
        <v>1</v>
      </c>
      <c r="BU11" s="207">
        <f>--ISNUMBER(IFERROR(SEARCH('PLANILLA DJ'!$X$70,$A11,1),""))</f>
        <v>1</v>
      </c>
      <c r="BV11" s="207">
        <f>--ISNUMBER(IFERROR(SEARCH('PLANILLA DJ'!$X$71,$A11,1),""))</f>
        <v>1</v>
      </c>
      <c r="BW11" s="207">
        <f>--ISNUMBER(IFERROR(SEARCH('PLANILLA DJ'!$X$72,$A11,1),""))</f>
        <v>1</v>
      </c>
      <c r="BX11" s="207">
        <f>--ISNUMBER(IFERROR(SEARCH('PLANILLA DJ'!$X$73,$A11,1),""))</f>
        <v>1</v>
      </c>
      <c r="BY11" s="207">
        <f>--ISNUMBER(IFERROR(SEARCH('PLANILLA DJ'!$X$74,$A11,1),""))</f>
        <v>1</v>
      </c>
      <c r="BZ11" s="207">
        <f>--ISNUMBER(IFERROR(SEARCH('PLANILLA DJ'!$X$75,$A11,1),""))</f>
        <v>1</v>
      </c>
      <c r="CA11" s="207">
        <f>--ISNUMBER(IFERROR(SEARCH('PLANILLA DJ'!$X$76,$A11,1),""))</f>
        <v>1</v>
      </c>
      <c r="CB11" s="207">
        <f>--ISNUMBER(IFERROR(SEARCH('PLANILLA DJ'!$X$77,$A11,1),""))</f>
        <v>1</v>
      </c>
      <c r="CC11" s="207">
        <f>--ISNUMBER(IFERROR(SEARCH('PLANILLA DJ'!$X$78,$A11,1),""))</f>
        <v>1</v>
      </c>
      <c r="CD11" s="207">
        <f>--ISNUMBER(IFERROR(SEARCH('PLANILLA DJ'!$X$79,$A11,1),""))</f>
        <v>1</v>
      </c>
      <c r="CE11" s="207">
        <f>--ISNUMBER(IFERROR(SEARCH('PLANILLA DJ'!$X$80,$A11,1),""))</f>
        <v>1</v>
      </c>
      <c r="CF11" s="207">
        <f>--ISNUMBER(IFERROR(SEARCH('PLANILLA DJ'!$X$81,$A11,1),""))</f>
        <v>1</v>
      </c>
      <c r="CG11" s="207">
        <f>--ISNUMBER(IFERROR(SEARCH('PLANILLA DJ'!$X$82,$A11,1),""))</f>
        <v>1</v>
      </c>
      <c r="CH11" s="207">
        <f>--ISNUMBER(IFERROR(SEARCH('PLANILLA DJ'!$X$83,$A11,1),""))</f>
        <v>1</v>
      </c>
      <c r="CI11" s="207">
        <f>--ISNUMBER(IFERROR(SEARCH('PLANILLA DJ'!$X$84,$A11,1),""))</f>
        <v>1</v>
      </c>
      <c r="CJ11" s="207">
        <f>--ISNUMBER(IFERROR(SEARCH('PLANILLA DJ'!$X$85,$A11,1),""))</f>
        <v>1</v>
      </c>
      <c r="CK11" s="207">
        <f>--ISNUMBER(IFERROR(SEARCH('PLANILLA DJ'!$X$86,$A11,1),""))</f>
        <v>1</v>
      </c>
      <c r="CL11" s="207">
        <f>--ISNUMBER(IFERROR(SEARCH('PLANILLA DJ'!$X$87,$A11,1),""))</f>
        <v>1</v>
      </c>
      <c r="CM11" s="207">
        <f>--ISNUMBER(IFERROR(SEARCH('PLANILLA DJ'!$X$88,$A11,1),""))</f>
        <v>1</v>
      </c>
      <c r="CN11" s="207">
        <f>--ISNUMBER(IFERROR(SEARCH('PLANILLA DJ'!$X$89,$A11,1),""))</f>
        <v>1</v>
      </c>
      <c r="CO11" s="207">
        <f>--ISNUMBER(IFERROR(SEARCH('PLANILLA DJ'!$X$90,$A11,1),""))</f>
        <v>1</v>
      </c>
      <c r="CP11" s="207">
        <f>--ISNUMBER(IFERROR(SEARCH('PLANILLA DJ'!$X$91,$A11,1),""))</f>
        <v>1</v>
      </c>
      <c r="CQ11" s="207">
        <f>--ISNUMBER(IFERROR(SEARCH('PLANILLA DJ'!$X$92,$A11,1),""))</f>
        <v>1</v>
      </c>
      <c r="CR11" s="207">
        <f>--ISNUMBER(IFERROR(SEARCH('PLANILLA DJ'!$X$93,$A11,1),""))</f>
        <v>1</v>
      </c>
      <c r="CS11" s="207">
        <f>--ISNUMBER(IFERROR(SEARCH('PLANILLA DJ'!$X$94,$A11,1),""))</f>
        <v>1</v>
      </c>
      <c r="CT11" s="207">
        <f>--ISNUMBER(IFERROR(SEARCH('PLANILLA DJ'!$X$95,$A11,1),""))</f>
        <v>1</v>
      </c>
      <c r="CU11" s="207">
        <f>--ISNUMBER(IFERROR(SEARCH('PLANILLA DJ'!$X$96,$A11,1),""))</f>
        <v>1</v>
      </c>
      <c r="CV11" s="207">
        <f>--ISNUMBER(IFERROR(SEARCH('PLANILLA DJ'!$X$97,$A11,1),""))</f>
        <v>1</v>
      </c>
      <c r="CW11" s="207">
        <f>--ISNUMBER(IFERROR(SEARCH('PLANILLA DJ'!$X$98,$A11,1),""))</f>
        <v>1</v>
      </c>
      <c r="CX11" s="207">
        <f>--ISNUMBER(IFERROR(SEARCH('PLANILLA DJ'!$X$99,$A11,1),""))</f>
        <v>1</v>
      </c>
      <c r="CY11" s="207">
        <f>--ISNUMBER(IFERROR(SEARCH('PLANILLA DJ'!$X$100,$A11,1),""))</f>
        <v>1</v>
      </c>
      <c r="CZ11" s="207">
        <f>--ISNUMBER(IFERROR(SEARCH('PLANILLA DJ'!$X$101,$A11,1),""))</f>
        <v>1</v>
      </c>
      <c r="DA11" s="207">
        <f>--ISNUMBER(IFERROR(SEARCH('PLANILLA DJ'!$X$102,$A11,1),""))</f>
        <v>1</v>
      </c>
      <c r="DB11" s="206">
        <f>IF(F11=1,COUNTIF($F$2:F11,1),"")</f>
        <v>10</v>
      </c>
      <c r="DC11" s="206">
        <f>IF(G11=1,COUNTIF($G$2:G11,1),"")</f>
        <v>10</v>
      </c>
      <c r="DD11" s="206">
        <f>IF(H11=1,COUNTIF($H$2:H11,1),"")</f>
        <v>10</v>
      </c>
      <c r="DE11" s="206">
        <f>IF(I11=1,COUNTIF($I$2:I11,1),"")</f>
        <v>10</v>
      </c>
      <c r="DF11" s="206">
        <f>IF(J11=1,COUNTIF($J$2:J11,1),"")</f>
        <v>10</v>
      </c>
      <c r="DG11" s="206">
        <f>IF(K11=1,COUNTIF($K$2:K11,1),"")</f>
        <v>10</v>
      </c>
      <c r="DH11" s="206">
        <f>IF(L11=1,COUNTIF($L$2:L11,1),"")</f>
        <v>10</v>
      </c>
      <c r="DI11" s="206">
        <f>IF(M11=1,COUNTIF($M$2:M11,1),"")</f>
        <v>10</v>
      </c>
      <c r="DJ11" s="206">
        <f>IF(N11=1,COUNTIF($N$2:N11,1),"")</f>
        <v>10</v>
      </c>
      <c r="DK11" s="206">
        <f>IF(O11=1,COUNTIF($O$2:O11,1),"")</f>
        <v>10</v>
      </c>
      <c r="DL11" s="206">
        <f>IF(P11=1,COUNTIF($P$2:P11,1),"")</f>
        <v>10</v>
      </c>
      <c r="DM11" s="206">
        <f>IF(Q11=1,COUNTIF($Q$2:Q11,1),"")</f>
        <v>10</v>
      </c>
      <c r="DN11" s="207">
        <f>IF(R11=1,COUNTIF($R$2:R11,1),"")</f>
        <v>10</v>
      </c>
      <c r="DO11" s="207">
        <f>IF(S11=1,COUNTIF($S$2:S11,1),"")</f>
        <v>10</v>
      </c>
      <c r="DP11" s="207">
        <f>IF(T11=1,COUNTIF($T$2:T11,1),"")</f>
        <v>10</v>
      </c>
      <c r="DQ11" s="207">
        <f>IF(U11=1,COUNTIF($U$2:U11,1),"")</f>
        <v>10</v>
      </c>
      <c r="DR11" s="207">
        <f>IF(V11=1,COUNTIF($V$2:V11,1),"")</f>
        <v>10</v>
      </c>
      <c r="DS11" s="207">
        <f>IF(W11=1,COUNTIF($W$2:W11,1),"")</f>
        <v>10</v>
      </c>
      <c r="DT11" s="207">
        <f>IF(X11=1,COUNTIF($X$2:X11,1),"")</f>
        <v>10</v>
      </c>
      <c r="DU11" s="207">
        <f>IF(Y11=1,COUNTIF($Y$2:Y11,1),"")</f>
        <v>10</v>
      </c>
      <c r="DV11" s="207">
        <f>IF(Z11=1,COUNTIF(Z$2:Z11,1),"")</f>
        <v>10</v>
      </c>
      <c r="DW11" s="207">
        <f>IF(AA11=1,COUNTIF($AA$2:AA11,1),"")</f>
        <v>10</v>
      </c>
      <c r="DX11" s="207">
        <f>IF(AB11=1,COUNTIF($AB$2:AB11,1),"")</f>
        <v>10</v>
      </c>
      <c r="DY11" s="207">
        <f>IF(AC11=1,COUNTIF($AC$2:AC11,1),"")</f>
        <v>10</v>
      </c>
      <c r="DZ11" s="207">
        <f>IF(AD11=1,COUNTIF($AD$2:AD11,1),"")</f>
        <v>10</v>
      </c>
      <c r="EA11" s="207">
        <f>IF(AE11=1,COUNTIF($AE$2:AE11,1),"")</f>
        <v>10</v>
      </c>
      <c r="EB11" s="207">
        <f>IF(AF11=1,COUNTIF($AF$2:AF11,1),"")</f>
        <v>10</v>
      </c>
      <c r="EC11" s="207">
        <f>IF(AG11=1,COUNTIF($AG$2:AG11,1),"")</f>
        <v>10</v>
      </c>
      <c r="ED11" s="207">
        <f>IF(AH11=1,COUNTIF($AH$2:AH11,1),"")</f>
        <v>10</v>
      </c>
      <c r="EE11" s="207">
        <f>IF(AI11=1,COUNTIF($AI$2:AI11,1),"")</f>
        <v>10</v>
      </c>
      <c r="EF11" s="207">
        <f>IF(AJ11=1,COUNTIF($AJ$2:AJ11,1),"")</f>
        <v>10</v>
      </c>
      <c r="EG11" s="207">
        <f>IF(AK11=1,COUNTIF($AK$2:AK11,1),"")</f>
        <v>10</v>
      </c>
      <c r="EH11" s="207">
        <f>IF(AL11=1,COUNTIF($AL$2:AL11,1),"")</f>
        <v>10</v>
      </c>
      <c r="EI11" s="207">
        <f>IF(AM11=1,COUNTIF($AM$2:AM11,1),"")</f>
        <v>10</v>
      </c>
      <c r="EJ11" s="207">
        <f>IF(AN11=1,COUNTIF($AN$2:AN11,1),"")</f>
        <v>10</v>
      </c>
      <c r="EK11" s="207">
        <f>IF(AO11=1,COUNTIF($AO$2:AO11,1),"")</f>
        <v>10</v>
      </c>
      <c r="EL11" s="207">
        <f>IF(AP11=1,COUNTIF($AP$2:AP11,1),"")</f>
        <v>10</v>
      </c>
      <c r="EM11" s="207">
        <f>IF(AQ11=1,COUNTIF($AQ$2:AQ11,1),"")</f>
        <v>10</v>
      </c>
      <c r="EN11" s="207">
        <f>IF(AR11=1,COUNTIF($AR$2:AR11,1),"")</f>
        <v>10</v>
      </c>
      <c r="EO11" s="207">
        <f>IF(AS11=1,COUNTIF($AS$2:AS11,1),"")</f>
        <v>10</v>
      </c>
      <c r="EP11" s="207">
        <f>IF(AT11=1,COUNTIF($AT$2:AT11,1),"")</f>
        <v>10</v>
      </c>
      <c r="EQ11" s="207">
        <f>IF(AU11=1,COUNTIF($AU$2:AU11,1),"")</f>
        <v>10</v>
      </c>
      <c r="ER11" s="207">
        <f>IF(AV11=1,COUNTIF($AV$2:AV11,1),"")</f>
        <v>10</v>
      </c>
      <c r="ES11" s="207">
        <f>IF(AW11=1,COUNTIF($AW$2:AW11,1),"")</f>
        <v>10</v>
      </c>
      <c r="ET11" s="207">
        <f>IF(AX11=1,COUNTIF($AX$2:AX11,1),"")</f>
        <v>10</v>
      </c>
      <c r="EU11" s="207">
        <f>IF(AY11=1,COUNTIF($AY$2:AY11,1),"")</f>
        <v>10</v>
      </c>
      <c r="EV11" s="207">
        <f>IF(AZ11=1,COUNTIF($AZ$2:AZ11,1),"")</f>
        <v>10</v>
      </c>
      <c r="EW11" s="207">
        <f>IF(BA11=1,COUNTIF($BA$2:BA11,1),"")</f>
        <v>10</v>
      </c>
      <c r="EX11" s="207">
        <f>IF(BB11=1,COUNTIF($BB$2:BB11,1),"")</f>
        <v>10</v>
      </c>
      <c r="EY11" s="207">
        <f>IF(BC11=1,COUNTIF($BC$2:BC11,1),"")</f>
        <v>10</v>
      </c>
      <c r="EZ11" s="207">
        <f>IF(BD11=1,COUNTIF($BD$2:BD11,1),"")</f>
        <v>10</v>
      </c>
      <c r="FA11" s="207">
        <f>IF(BE11=1,COUNTIF($BE$2:BE11,1),"")</f>
        <v>10</v>
      </c>
      <c r="FB11" s="207">
        <f>IF(BF11=1,COUNTIF($BF$2:BF11,1),"")</f>
        <v>10</v>
      </c>
      <c r="FC11" s="207">
        <f>IF(BG11=1,COUNTIF($BG$2:BG11,1),"")</f>
        <v>10</v>
      </c>
      <c r="FD11" s="207">
        <f>IF(BH11=1,COUNTIF($BH$2:BH11,1),"")</f>
        <v>10</v>
      </c>
      <c r="FE11" s="207">
        <f>IF(BI11=1,COUNTIF($BI$2:BI11,1),"")</f>
        <v>10</v>
      </c>
      <c r="FF11" s="207">
        <f>IF(BJ11=1,COUNTIF($BJ$2:BJ11,1),"")</f>
        <v>10</v>
      </c>
      <c r="FG11" s="207">
        <f>IF(BK11=1,COUNTIF($BK$2:BK11,1),"")</f>
        <v>10</v>
      </c>
      <c r="FH11" s="207">
        <f>IF(BL11=1,COUNTIF($BL$2:BL11,1),"")</f>
        <v>10</v>
      </c>
      <c r="FI11" s="207">
        <f>IF(BM11=1,COUNTIF($BM$2:BM11,1),"")</f>
        <v>10</v>
      </c>
      <c r="FJ11" s="207">
        <f>IF(BN11=1,COUNTIF($BN$2:BN11,1),"")</f>
        <v>10</v>
      </c>
      <c r="FK11" s="207">
        <f>IF(BO11=1,COUNTIF($BO$2:BO11,1),"")</f>
        <v>10</v>
      </c>
      <c r="FL11" s="207">
        <f>IF(BP11=1,COUNTIF($BP$2:BP11,1),"")</f>
        <v>10</v>
      </c>
      <c r="FM11" s="207">
        <f>IF(BQ11=1,COUNTIF($BQ$2:BQ11,1),"")</f>
        <v>10</v>
      </c>
      <c r="FN11" s="207">
        <f>IF(BR11=1,COUNTIF($BR$2:BR11,1),"")</f>
        <v>10</v>
      </c>
      <c r="FO11" s="207">
        <f>IF(BS11=1,COUNTIF($BS$2:BS11,1),"")</f>
        <v>10</v>
      </c>
      <c r="FP11" s="207">
        <f>IF(BT11=1,COUNTIF($BT$2:BT11,1),"")</f>
        <v>10</v>
      </c>
      <c r="FQ11" s="207">
        <f>IF(BU11=1,COUNTIF($BU$2:BU11,1),"")</f>
        <v>10</v>
      </c>
      <c r="FR11" s="207">
        <f>IF(BV11=1,COUNTIF($BV$2:BV11,1),"")</f>
        <v>10</v>
      </c>
      <c r="FS11" s="207">
        <f>IF(BW11=1,COUNTIF($BW$2:BW11,1),"")</f>
        <v>10</v>
      </c>
      <c r="FT11" s="207">
        <f>IF(BX11=1,COUNTIF($BX$2:BX11,1),"")</f>
        <v>10</v>
      </c>
      <c r="FU11" s="207">
        <f>IF(BY11=1,COUNTIF($BY$2:BY11,1),"")</f>
        <v>10</v>
      </c>
      <c r="FV11" s="207">
        <f>IF(BZ11=1,COUNTIF($BZ$2:BZ11,1),"")</f>
        <v>10</v>
      </c>
      <c r="FW11" s="207">
        <f>IF(CA11=1,COUNTIF($CA$2:CA11,1),"")</f>
        <v>10</v>
      </c>
      <c r="FX11" s="207">
        <f>IF(CB11=1,COUNTIF($CB$2:CB11,1),"")</f>
        <v>10</v>
      </c>
      <c r="FY11" s="207">
        <f>IF(CC11=1,COUNTIF($CC$2:CC11,1),"")</f>
        <v>10</v>
      </c>
      <c r="FZ11" s="207">
        <f>IF(CD11=1,COUNTIF($CD$2:CD11,1),"")</f>
        <v>10</v>
      </c>
      <c r="GA11" s="207">
        <f>IF(CE11=1,COUNTIF($CE$2:CE11,1),"")</f>
        <v>10</v>
      </c>
      <c r="GB11" s="207">
        <f>IF(CF11=1,COUNTIF($CF$2:CF11,1),"")</f>
        <v>10</v>
      </c>
      <c r="GC11" s="207">
        <f>IF(CG11=1,COUNTIF($CG$2:CG11,1),"")</f>
        <v>10</v>
      </c>
      <c r="GD11" s="207">
        <f>IF(CH11=1,COUNTIF($CH$2:CH11,1),"")</f>
        <v>10</v>
      </c>
      <c r="GE11" s="207">
        <f>IF(CI11=1,COUNTIF($CI$2:CI11,1),"")</f>
        <v>10</v>
      </c>
      <c r="GF11" s="207">
        <f>IF(CJ11=1,COUNTIF($CJ$2:CJ11,1),"")</f>
        <v>10</v>
      </c>
      <c r="GG11" s="207">
        <f>IF(CK11=1,COUNTIF($CK$2:CK11,1),"")</f>
        <v>10</v>
      </c>
      <c r="GH11" s="207">
        <f>IF(CL11=1,COUNTIF($CL$2:CL11,1),"")</f>
        <v>10</v>
      </c>
      <c r="GI11" s="207">
        <f>IF(CM11=1,COUNTIF($CM$2:CM11,1),"")</f>
        <v>10</v>
      </c>
      <c r="GJ11" s="207">
        <f>IF(CN11=1,COUNTIF($CN$2:CN11,1),"")</f>
        <v>10</v>
      </c>
      <c r="GK11" s="207">
        <f>IF(CO11=1,COUNTIF($CO$2:CO11,1),"")</f>
        <v>10</v>
      </c>
      <c r="GL11" s="207">
        <f>IF(CP11=1,COUNTIF($CP$2:CP11,1),"")</f>
        <v>10</v>
      </c>
      <c r="GM11" s="207">
        <f>IF(CQ11=1,COUNTIF($CQ$2:CQ11,1),"")</f>
        <v>10</v>
      </c>
      <c r="GN11" s="207">
        <f>IF(CR11=1,COUNTIF($CR$2:CR11,1),"")</f>
        <v>10</v>
      </c>
      <c r="GO11" s="207">
        <f>IF(CS11=1,COUNTIF($CS$2:CS11,1),"")</f>
        <v>10</v>
      </c>
      <c r="GP11" s="207">
        <f>IF(CT11=1,COUNTIF($CT$2:CT11,1),"")</f>
        <v>10</v>
      </c>
      <c r="GQ11" s="207">
        <f>IF(CU11=1,COUNTIF($CU$2:CU11,1),"")</f>
        <v>10</v>
      </c>
      <c r="GR11" s="207">
        <f>IF(CV11=1,COUNTIF($CV$2:CV11,1),"")</f>
        <v>10</v>
      </c>
      <c r="GS11" s="207">
        <f>IF(CW11=1,COUNTIF($CW$2:CW11,1),"")</f>
        <v>10</v>
      </c>
      <c r="GT11" s="207">
        <f>IF(CX11=1,COUNTIF($CX$2:CX11,1),"")</f>
        <v>10</v>
      </c>
      <c r="GU11" s="207">
        <f>IF(CY11=1,COUNTIF($CY$2:CY11,1),"")</f>
        <v>10</v>
      </c>
      <c r="GV11" s="207">
        <f>IF(CZ11=1,COUNTIF($CZ$2:CZ11,1),"")</f>
        <v>10</v>
      </c>
      <c r="GW11" s="207">
        <f>IF(DA11=1,COUNTIF($DA$2:DA11,1),"")</f>
        <v>10</v>
      </c>
      <c r="GX11" s="206" t="str">
        <f>IFERROR(INDEX($A$2:$A$113,MATCH(ROWS($DB$2:DB11),$DB$2:$DB$113,0)),"")</f>
        <v>LESIONES GRAVISIMAS</v>
      </c>
      <c r="GY11" s="206" t="str">
        <f>IFERROR(INDEX($A$2:$A$113,MATCH(ROWS($DC$2:DC11),$DC$2:$DC$113,0)),"")</f>
        <v>LESIONES GRAVISIMAS</v>
      </c>
      <c r="GZ11" s="206" t="str">
        <f>IFERROR(INDEX($A$2:$A$113,MATCH(ROWS($DD$2:DD11),$DD$2:$DD$113,0)),"")</f>
        <v>LESIONES GRAVISIMAS</v>
      </c>
      <c r="HA11" s="206" t="str">
        <f>IFERROR(INDEX($A$2:$A$113,MATCH(ROWS($DE$2:DE11),$DE$2:$DE$113,0)),"")</f>
        <v>LESIONES GRAVISIMAS</v>
      </c>
      <c r="HB11" s="206" t="str">
        <f>IFERROR(INDEX($A$2:$A$113,MATCH(ROWS($DF$2:DF11),$DF$2:$DF$113,0)),"")</f>
        <v>LESIONES GRAVISIMAS</v>
      </c>
      <c r="HC11" s="206" t="str">
        <f>IFERROR(INDEX($A$2:$A$113,MATCH(ROWS($DG$2:DG11),$DG$2:$DG$113,0)),"")</f>
        <v>LESIONES GRAVISIMAS</v>
      </c>
      <c r="HD11" s="206" t="str">
        <f>IFERROR(INDEX($A$2:$A$113,MATCH(ROWS($DH$2:DH11),$DH$2:$DH$113,0)),"")</f>
        <v>LESIONES GRAVISIMAS</v>
      </c>
      <c r="HE11" s="206" t="str">
        <f>IFERROR(INDEX($A$2:$A$113,MATCH(ROWS($DI$2:DI11),$DI$2:$DI$113,0)),"")</f>
        <v>LESIONES GRAVISIMAS</v>
      </c>
      <c r="HF11" s="206" t="str">
        <f>IFERROR(INDEX($A$2:$A$113,MATCH(ROWS($DJ$2:DJ11),$DJ$2:$DJ$113,0)),"")</f>
        <v>LESIONES GRAVISIMAS</v>
      </c>
      <c r="HG11" s="206" t="str">
        <f>IFERROR(INDEX($A$2:$A$113,MATCH(ROWS($DK$2:DK11),$DK$2:$DK$113,0)),"")</f>
        <v>LESIONES GRAVISIMAS</v>
      </c>
      <c r="HH11" s="206" t="str">
        <f>IFERROR(INDEX($A$2:$A$113,MATCH(ROWS($DL$2:DL11),$DL$2:$DL$113,0)),"")</f>
        <v>LESIONES GRAVISIMAS</v>
      </c>
      <c r="HI11" s="206" t="str">
        <f>IFERROR(INDEX($A$2:$A$113,MATCH(ROWS($DM$2:DM11),$DM$2:$DM$113,0)),"")</f>
        <v>LESIONES GRAVISIMAS</v>
      </c>
      <c r="HJ11" s="206" t="str">
        <f>IFERROR(INDEX($A$2:$A$113,MATCH(ROWS($DN$2:DN11),$DN$2:$DN$113,0)),"")</f>
        <v>LESIONES GRAVISIMAS</v>
      </c>
      <c r="HK11" s="206" t="str">
        <f>IFERROR(INDEX($A$2:$A$113,MATCH(ROWS($DO$2:DO11),$DO$2:$DO$113,0)),"")</f>
        <v>LESIONES GRAVISIMAS</v>
      </c>
      <c r="HL11" s="206" t="str">
        <f>IFERROR(INDEX($A$2:$A$113,MATCH(ROWS($DP$2:DP11),$DP$2:$DP$113,0)),"")</f>
        <v>LESIONES GRAVISIMAS</v>
      </c>
      <c r="HM11" s="206" t="str">
        <f>IFERROR(INDEX($A$2:$A$113,MATCH(ROWS($DQ$2:DQ11),$DQ$2:$DQ$113,0)),"")</f>
        <v>LESIONES GRAVISIMAS</v>
      </c>
      <c r="HN11" s="206" t="str">
        <f>IFERROR(INDEX($A$2:$A$113,MATCH(ROWS($DR$2:DR11),$DR$2:$DR$113,0)),"")</f>
        <v>LESIONES GRAVISIMAS</v>
      </c>
      <c r="HO11" s="206" t="str">
        <f>IFERROR(INDEX($A$2:$A$113,MATCH(ROWS($DS$2:DS11),$DS$2:$DS$113,0)),"")</f>
        <v>LESIONES GRAVISIMAS</v>
      </c>
      <c r="HP11" s="206" t="str">
        <f>IFERROR(INDEX($A$2:$A$113,MATCH(ROWS($DT$2:DT11),$DT$2:$DT$113,0)),"")</f>
        <v>LESIONES GRAVISIMAS</v>
      </c>
      <c r="HQ11" s="206" t="str">
        <f>IFERROR(INDEX($A$2:$A$113,MATCH(ROWS($DU$2:DU11),$DU$2:$DU$113,0)),"")</f>
        <v>LESIONES GRAVISIMAS</v>
      </c>
      <c r="HR11" s="206" t="str">
        <f>IFERROR(INDEX($A$2:$A$113,MATCH(ROWS($DV$2:DV11),$DV$2:$DV$113,0)),"")</f>
        <v>LESIONES GRAVISIMAS</v>
      </c>
      <c r="HS11" s="206" t="str">
        <f>IFERROR(INDEX($A$2:$A$113,MATCH(ROWS($DW$2:DW11),$DW$2:$DW$113,0)),"")</f>
        <v>LESIONES GRAVISIMAS</v>
      </c>
      <c r="HT11" s="206" t="str">
        <f>IFERROR(INDEX($A$2:$A$113,MATCH(ROWS($DX$2:DX11),$DX$2:$DX$113,0)),"")</f>
        <v>LESIONES GRAVISIMAS</v>
      </c>
      <c r="HU11" s="206" t="str">
        <f>IFERROR(INDEX($A$2:$A$113,MATCH(ROWS($DY$2:DY11),$DY$2:$DY$113,0)),"")</f>
        <v>LESIONES GRAVISIMAS</v>
      </c>
      <c r="HV11" s="206" t="str">
        <f>IFERROR(INDEX($A$2:$A$113,MATCH(ROWS($DZ$2:DZ11),$DZ$2:$DZ$113,0)),"")</f>
        <v>LESIONES GRAVISIMAS</v>
      </c>
      <c r="HW11" s="206" t="str">
        <f>IFERROR(INDEX($A$2:$A$113,MATCH(ROWS($EA$2:EA11),$EA$2:$EA$113,0)),"")</f>
        <v>LESIONES GRAVISIMAS</v>
      </c>
      <c r="HX11" s="206" t="str">
        <f>IFERROR(INDEX($A$2:$A$113,MATCH(ROWS($EB$2:EB11),$EB$2:$EB$113,0)),"")</f>
        <v>LESIONES GRAVISIMAS</v>
      </c>
      <c r="HY11" s="206" t="str">
        <f>IFERROR(INDEX($A$2:$A$113,MATCH(ROWS($EC$2:EC11),$EC$2:$EC$113,0)),"")</f>
        <v>LESIONES GRAVISIMAS</v>
      </c>
      <c r="HZ11" s="206" t="str">
        <f>IFERROR(INDEX($A$2:$A$113,MATCH(ROWS($ED$2:ED11),$ED$2:$ED$113,0)),"")</f>
        <v>LESIONES GRAVISIMAS</v>
      </c>
      <c r="IA11" s="206" t="str">
        <f>IFERROR(INDEX($A$2:$A$113,MATCH(ROWS($EE$2:EE11),$EE$2:$EE$113,0)),"")</f>
        <v>LESIONES GRAVISIMAS</v>
      </c>
      <c r="IB11" s="206" t="str">
        <f>IFERROR(INDEX($A$2:$A$113,MATCH(ROWS($EF$2:EF11),$EF$2:$EF$113,0)),"")</f>
        <v>LESIONES GRAVISIMAS</v>
      </c>
      <c r="IC11" s="206" t="str">
        <f>IFERROR(INDEX($A$2:$A$113,MATCH(ROWS($EG$2:EG11),$EG$2:$EG$113,0)),"")</f>
        <v>LESIONES GRAVISIMAS</v>
      </c>
      <c r="ID11" s="206" t="str">
        <f>IFERROR(INDEX($A$2:$A$113,MATCH(ROWS($EH$2:EH11),$EH$2:$EH$113,0)),"")</f>
        <v>LESIONES GRAVISIMAS</v>
      </c>
      <c r="IE11" s="206" t="str">
        <f>IFERROR(INDEX($A$2:$A$113,MATCH(ROWS($EI$2:EI11),$EI$2:$EI$113,0)),"")</f>
        <v>LESIONES GRAVISIMAS</v>
      </c>
      <c r="IF11" s="206" t="str">
        <f>IFERROR(INDEX($A$2:$A$113,MATCH(ROWS($EJ$2:EJ11),$EJ$2:$EJ$113,0)),"")</f>
        <v>LESIONES GRAVISIMAS</v>
      </c>
      <c r="IG11" s="206" t="str">
        <f>IFERROR(INDEX($A$2:$A$113,MATCH(ROWS($EK$2:EK11),$EK$2:$EK$113,0)),"")</f>
        <v>LESIONES GRAVISIMAS</v>
      </c>
      <c r="IH11" s="206" t="str">
        <f>IFERROR(INDEX($A$2:$A$113,MATCH(ROWS($EL$2:EL11),$EL$2:$EL$113,0)),"")</f>
        <v>LESIONES GRAVISIMAS</v>
      </c>
      <c r="II11" s="206" t="str">
        <f>IFERROR(INDEX($A$2:$A$113,MATCH(ROWS($EM$2:EM11),$EM$2:$EM$113,0)),"")</f>
        <v>LESIONES GRAVISIMAS</v>
      </c>
      <c r="IJ11" s="206" t="str">
        <f>IFERROR(INDEX($A$2:$A$113,MATCH(ROWS($EN$2:EN11),$EN$2:$EN$113,0)),"")</f>
        <v>LESIONES GRAVISIMAS</v>
      </c>
      <c r="IK11" s="207" t="str">
        <f>IFERROR(INDEX($A$2:$A$113,MATCH(ROWS($EO$2:EO11),$EO$2:$EO$113,0)),"")</f>
        <v>LESIONES GRAVISIMAS</v>
      </c>
      <c r="IL11" s="207" t="str">
        <f>IFERROR(INDEX($A$2:$A$113,MATCH(ROWS($EP$2:EP11),$EP$2:$EP$113,0)),"")</f>
        <v>LESIONES GRAVISIMAS</v>
      </c>
      <c r="IM11" s="207" t="str">
        <f>IFERROR(INDEX($A$2:$A$113,MATCH(ROWS($EQ$2:EQ11),$EQ$2:$EQ$113,0)),"")</f>
        <v>LESIONES GRAVISIMAS</v>
      </c>
      <c r="IN11" s="207" t="str">
        <f>IFERROR(INDEX($A$2:$A$113,MATCH(ROWS($ER$2:ER11),$ER$2:$ER$113,0)),"")</f>
        <v>LESIONES GRAVISIMAS</v>
      </c>
      <c r="IO11" s="207" t="str">
        <f>IFERROR(INDEX($A$2:$A$113,MATCH(ROWS($ES$2:ES11),$ES$2:$ES$113,0)),"")</f>
        <v>LESIONES GRAVISIMAS</v>
      </c>
      <c r="IP11" s="207" t="str">
        <f>IFERROR(INDEX($A$2:$A$113,MATCH(ROWS($ET$2:ET11),$ET$2:$ET$113,0)),"")</f>
        <v>LESIONES GRAVISIMAS</v>
      </c>
      <c r="IQ11" s="207" t="str">
        <f>IFERROR(INDEX($A$2:$A$113,MATCH(ROWS($EU$2:EU11),$EU$2:$EU$113,0)),"")</f>
        <v>LESIONES GRAVISIMAS</v>
      </c>
      <c r="IR11" s="207" t="str">
        <f>IFERROR(INDEX($A$2:$A$113,MATCH(ROWS($EV$2:EV11),$EV$2:$EV$113,0)),"")</f>
        <v>LESIONES GRAVISIMAS</v>
      </c>
      <c r="IS11" s="207" t="str">
        <f>IFERROR(INDEX($A$2:$A$113,MATCH(ROWS($EW$2:EW11),$EW$2:$EW$113,0)),"")</f>
        <v>LESIONES GRAVISIMAS</v>
      </c>
      <c r="IT11" s="207" t="str">
        <f>IFERROR(INDEX($A$2:$A$113,MATCH(ROWS($EX$2:EX11),$EX$2:$EX$113,0)),"")</f>
        <v>LESIONES GRAVISIMAS</v>
      </c>
      <c r="IU11" s="207" t="str">
        <f>IFERROR(INDEX($A$2:$A$113,MATCH(ROWS($EY$2:EY11),$EY$2:$EY$113,0)),"")</f>
        <v>LESIONES GRAVISIMAS</v>
      </c>
      <c r="IV11" s="207" t="str">
        <f>IFERROR(INDEX($A$2:$A$113,MATCH(ROWS($EZ$2:EZ11),$EZ$2:$EZ$113,0)),"")</f>
        <v>LESIONES GRAVISIMAS</v>
      </c>
      <c r="IW11" s="207" t="str">
        <f>IFERROR(INDEX($A$2:$A$113,MATCH(ROWS($FA$2:FA11),$FA$2:$FA$113,0)),"")</f>
        <v>LESIONES GRAVISIMAS</v>
      </c>
      <c r="IX11" s="207" t="str">
        <f>IFERROR(INDEX($A$2:$A$113,MATCH(ROWS($FB$2:FB11),$FB$2:$FB$113,0)),"")</f>
        <v>LESIONES GRAVISIMAS</v>
      </c>
      <c r="IY11" s="207" t="str">
        <f>IFERROR(INDEX($A$2:$A$113,MATCH(ROWS($FC$2:FC11),$FC$2:$FC$113,0)),"")</f>
        <v>LESIONES GRAVISIMAS</v>
      </c>
      <c r="IZ11" s="207" t="str">
        <f>IFERROR(INDEX($A$2:$A$113,MATCH(ROWS($FD$2:FD11),$FD$2:$FD$113,0)),"")</f>
        <v>LESIONES GRAVISIMAS</v>
      </c>
      <c r="JA11" s="207" t="str">
        <f>IFERROR(INDEX($A$2:$A$113,MATCH(ROWS($FE$2:FE11),$FE$2:$FE$113,0)),"")</f>
        <v>LESIONES GRAVISIMAS</v>
      </c>
      <c r="JB11" s="207" t="str">
        <f>IFERROR(INDEX($A$2:$A$113,MATCH(ROWS($FF$2:FF11),$FF$2:$FF$113,0)),"")</f>
        <v>LESIONES GRAVISIMAS</v>
      </c>
      <c r="JC11" s="207" t="str">
        <f>IFERROR(INDEX($A$2:$A$113,MATCH(ROWS($FG$2:FG11),$FG$2:$FG$113,0)),"")</f>
        <v>LESIONES GRAVISIMAS</v>
      </c>
      <c r="JD11" s="207" t="str">
        <f>IFERROR(INDEX($A$2:$A$113,MATCH(ROWS($FH$2:FH11),$FH$2:$FH$113,0)),"")</f>
        <v>LESIONES GRAVISIMAS</v>
      </c>
      <c r="JE11" s="207" t="str">
        <f>IFERROR(INDEX($A$2:$A$113,MATCH(ROWS($FI$2:FI11),$FI$2:$FI$113,0)),"")</f>
        <v>LESIONES GRAVISIMAS</v>
      </c>
      <c r="JF11" s="207" t="str">
        <f>IFERROR(INDEX($A$2:$A$113,MATCH(ROWS($FJ$2:FJ11),$FJ$2:$FJ$113,0)),"")</f>
        <v>LESIONES GRAVISIMAS</v>
      </c>
      <c r="JG11" s="207" t="str">
        <f>IFERROR(INDEX($A$2:$A$113,MATCH(ROWS($FK$2:FK11),$FK$2:$FK$113,0)),"")</f>
        <v>LESIONES GRAVISIMAS</v>
      </c>
      <c r="JH11" s="207" t="str">
        <f>IFERROR(INDEX($A$2:$A$113,MATCH(ROWS($FL$2:FL11),$FL$2:$FL$113,0)),"")</f>
        <v>LESIONES GRAVISIMAS</v>
      </c>
      <c r="JI11" s="207" t="str">
        <f>IFERROR(INDEX($A$2:$A$113,MATCH(ROWS($FM$2:FM11),$FM$2:$FM$113,0)),"")</f>
        <v>LESIONES GRAVISIMAS</v>
      </c>
      <c r="JJ11" s="207" t="str">
        <f>IFERROR(INDEX($A$2:$A$113,MATCH(ROWS($FN$2:FN11),$FN$2:$FN$113,0)),"")</f>
        <v>LESIONES GRAVISIMAS</v>
      </c>
      <c r="JK11" s="207" t="str">
        <f>IFERROR(INDEX($A$2:$A$113,MATCH(ROWS($FO$2:FO11),$FO$2:$FO$113,0)),"")</f>
        <v>LESIONES GRAVISIMAS</v>
      </c>
      <c r="JL11" s="207" t="str">
        <f>IFERROR(INDEX($A$2:$A$113,MATCH(ROWS($FP$2:FP11),$FP$2:$FP$113,0)),"")</f>
        <v>LESIONES GRAVISIMAS</v>
      </c>
      <c r="JM11" s="207" t="str">
        <f>IFERROR(INDEX($A$2:$A$113,MATCH(ROWS($FQ$2:FQ11),$FQ$2:$FQ$113,0)),"")</f>
        <v>LESIONES GRAVISIMAS</v>
      </c>
      <c r="JN11" s="207" t="str">
        <f>IFERROR(INDEX($A$2:$A$113,MATCH(ROWS($FR$2:FR11),$FR$2:$FR$113,0)),"")</f>
        <v>LESIONES GRAVISIMAS</v>
      </c>
      <c r="JO11" s="207" t="str">
        <f>IFERROR(INDEX($A$2:$A$113,MATCH(ROWS($FS$2:FS11),$FS$2:$FS$113,0)),"")</f>
        <v>LESIONES GRAVISIMAS</v>
      </c>
      <c r="JP11" s="207" t="str">
        <f>IFERROR(INDEX($A$2:$A$113,MATCH(ROWS($FT$2:FT11),$FT$2:$FT$113,0)),"")</f>
        <v>LESIONES GRAVISIMAS</v>
      </c>
      <c r="JQ11" s="207" t="str">
        <f>IFERROR(INDEX($A$2:$A$113,MATCH(ROWS($FU$2:FU11),$FU$2:$FU$113,0)),"")</f>
        <v>LESIONES GRAVISIMAS</v>
      </c>
      <c r="JR11" s="207" t="str">
        <f>IFERROR(INDEX($A$2:$A$113,MATCH(ROWS($FV$2:FV11),$FV$2:$FV$113,0)),"")</f>
        <v>LESIONES GRAVISIMAS</v>
      </c>
      <c r="JS11" s="207" t="str">
        <f>IFERROR(INDEX($A$2:$A$113,MATCH(ROWS($FW$2:FW11),$FW$2:$FW$113,0)),"")</f>
        <v>LESIONES GRAVISIMAS</v>
      </c>
      <c r="JT11" s="207" t="str">
        <f>IFERROR(INDEX($A$2:$A$113,MATCH(ROWS($FX$2:FX11),$FX$2:$FX$113,0)),"")</f>
        <v>LESIONES GRAVISIMAS</v>
      </c>
      <c r="JU11" s="207" t="str">
        <f>IFERROR(INDEX($A$2:$A$113,MATCH(ROWS($FY$2:FY11),$FY$2:$FY$113,0)),"")</f>
        <v>LESIONES GRAVISIMAS</v>
      </c>
      <c r="JV11" s="207" t="str">
        <f>IFERROR(INDEX($A$2:$A$113,MATCH(ROWS($FZ$2:FZ11),$FZ$2:$FZ$113,0)),"")</f>
        <v>LESIONES GRAVISIMAS</v>
      </c>
      <c r="JW11" s="207" t="str">
        <f>IFERROR(INDEX($A$2:$A$113,MATCH(ROWS($GA$2:GA11),$GA$2:$GA$113,0)),"")</f>
        <v>LESIONES GRAVISIMAS</v>
      </c>
      <c r="JX11" s="207" t="str">
        <f>IFERROR(INDEX($A$2:$A$113,MATCH(ROWS($GB$2:GB11),$GB$2:$GB$113,0)),"")</f>
        <v>LESIONES GRAVISIMAS</v>
      </c>
      <c r="JY11" s="207" t="str">
        <f>IFERROR(INDEX($A$2:$A$113,MATCH(ROWS($GC$2:GC11),$GC$2:$GC$113,0)),"")</f>
        <v>LESIONES GRAVISIMAS</v>
      </c>
      <c r="JZ11" s="207" t="str">
        <f>IFERROR(INDEX($A$2:$A$113,MATCH(ROWS($GD$2:GD11),$GD$2:$GD$113,0)),"")</f>
        <v>LESIONES GRAVISIMAS</v>
      </c>
      <c r="KA11" s="207" t="str">
        <f>IFERROR(INDEX($A$2:$A$113,MATCH(ROWS($GE$2:GE11),$GE$2:$GE$113,0)),"")</f>
        <v>LESIONES GRAVISIMAS</v>
      </c>
      <c r="KB11" s="207" t="str">
        <f>IFERROR(INDEX($A$2:$A$113,MATCH(ROWS($GF$2:GF11),$GF$2:$GF$113,0)),"")</f>
        <v>LESIONES GRAVISIMAS</v>
      </c>
      <c r="KC11" s="207" t="str">
        <f>IFERROR(INDEX($A$2:$A$113,MATCH(ROWS($GG$2:GG11),$GG$2:$GG$113,0)),"")</f>
        <v>LESIONES GRAVISIMAS</v>
      </c>
      <c r="KD11" s="207" t="str">
        <f>IFERROR(INDEX($A$2:$A$113,MATCH(ROWS($GH$2:GH11),$GH$2:$GH$113,0)),"")</f>
        <v>LESIONES GRAVISIMAS</v>
      </c>
      <c r="KE11" s="207" t="str">
        <f>IFERROR(INDEX($A$2:$A$113,MATCH(ROWS($GI$2:GI11),$GI$2:$GI$113,0)),"")</f>
        <v>LESIONES GRAVISIMAS</v>
      </c>
      <c r="KF11" s="207" t="str">
        <f>IFERROR(INDEX($A$2:$A$113,MATCH(ROWS($GJ$2:GJ11),$GJ$2:$GJ$113,0)),"")</f>
        <v>LESIONES GRAVISIMAS</v>
      </c>
      <c r="KG11" s="207" t="str">
        <f>IFERROR(INDEX($A$2:$A$113,MATCH(ROWS($GK$2:GK11),$GK$2:$GK$113,0)),"")</f>
        <v>LESIONES GRAVISIMAS</v>
      </c>
      <c r="KH11" s="207" t="str">
        <f>IFERROR(INDEX($A$2:$A$113,MATCH(ROWS($GL$2:GL11),$GL$2:$GL$113,0)),"")</f>
        <v>LESIONES GRAVISIMAS</v>
      </c>
      <c r="KI11" s="207" t="str">
        <f>IFERROR(INDEX($A$2:$A$113,MATCH(ROWS($GM$2:GM11),$GM$2:$GM$113,0)),"")</f>
        <v>LESIONES GRAVISIMAS</v>
      </c>
      <c r="KJ11" s="207" t="str">
        <f>IFERROR(INDEX($A$2:$A$113,MATCH(ROWS($GN$2:GN11),$GN$2:$GN$113,0)),"")</f>
        <v>LESIONES GRAVISIMAS</v>
      </c>
      <c r="KK11" s="207" t="str">
        <f>IFERROR(INDEX($A$2:$A$113,MATCH(ROWS($GO$2:GO11),$GO$2:$GO$113,0)),"")</f>
        <v>LESIONES GRAVISIMAS</v>
      </c>
      <c r="KL11" s="207" t="str">
        <f>IFERROR(INDEX($A$2:$A$113,MATCH(ROWS($GP$2:GP11),$GP$2:$GP$113,0)),"")</f>
        <v>LESIONES GRAVISIMAS</v>
      </c>
      <c r="KM11" s="207" t="str">
        <f>IFERROR(INDEX($A$2:$A$113,MATCH(ROWS($GQ$2:GQ11),$GQ$2:$GQ$113,0)),"")</f>
        <v>LESIONES GRAVISIMAS</v>
      </c>
      <c r="KN11" s="207" t="str">
        <f>IFERROR(INDEX($A$2:$A$113,MATCH(ROWS($GR$2:GR11),$GR$2:$GR$113,0)),"")</f>
        <v>LESIONES GRAVISIMAS</v>
      </c>
      <c r="KO11" s="207" t="str">
        <f>IFERROR(INDEX($A$2:$A$113,MATCH(ROWS($GS$2:GS11),$GS$2:$GS$113,0)),"")</f>
        <v>LESIONES GRAVISIMAS</v>
      </c>
      <c r="KP11" s="207" t="str">
        <f>IFERROR(INDEX($A$2:$A$113,MATCH(ROWS($GT$2:GT11),$GT$2:$GT$113,0)),"")</f>
        <v>LESIONES GRAVISIMAS</v>
      </c>
      <c r="KQ11" s="207" t="str">
        <f>IFERROR(INDEX($A$2:$A$113,MATCH(ROWS($GU$2:GU11),$GU$2:$GU$113,0)),"")</f>
        <v>LESIONES GRAVISIMAS</v>
      </c>
      <c r="KR11" s="207" t="str">
        <f>IFERROR(INDEX($A$2:$A$113,MATCH(ROWS($GV$2:GV11),$GV$2:$GV$113,0)),"")</f>
        <v>LESIONES GRAVISIMAS</v>
      </c>
      <c r="KS11" s="207" t="str">
        <f>IFERROR(INDEX($A$2:$A$113,MATCH(ROWS($GW$2:GW11),$GW$2:$GW$113,0)),"")</f>
        <v>LESIONES GRAVISIMAS</v>
      </c>
    </row>
    <row r="12" spans="1:305" x14ac:dyDescent="0.25">
      <c r="A12" s="206" t="s">
        <v>66</v>
      </c>
      <c r="B12" s="206">
        <v>6</v>
      </c>
      <c r="D12" s="206" t="s">
        <v>49</v>
      </c>
      <c r="E12" s="206" t="s">
        <v>785</v>
      </c>
      <c r="F12" s="207">
        <f>--ISNUMBER(IFERROR(SEARCH('PLANILLA DJ'!$X$3,$A12,1),""))</f>
        <v>1</v>
      </c>
      <c r="G12" s="207">
        <f>--ISNUMBER(IFERROR(SEARCH('PLANILLA DJ'!$X$4,$A12,1),""))</f>
        <v>1</v>
      </c>
      <c r="H12" s="207">
        <f>--ISNUMBER(IFERROR(SEARCH('PLANILLA DJ'!$X$5,$A12,1),""))</f>
        <v>1</v>
      </c>
      <c r="I12" s="207">
        <f>--ISNUMBER(IFERROR(SEARCH('PLANILLA DJ'!$X$6,$A12,1),""))</f>
        <v>1</v>
      </c>
      <c r="J12" s="207">
        <f>--ISNUMBER(IFERROR(SEARCH('PLANILLA DJ'!$X$7,$A12,1),""))</f>
        <v>1</v>
      </c>
      <c r="K12" s="207">
        <f>--ISNUMBER(IFERROR(SEARCH('PLANILLA DJ'!$X$8,$A12,1),""))</f>
        <v>1</v>
      </c>
      <c r="L12" s="207">
        <f>--ISNUMBER(IFERROR(SEARCH('PLANILLA DJ'!$X$9,$A12,1),""))</f>
        <v>1</v>
      </c>
      <c r="M12" s="207">
        <f>--ISNUMBER(IFERROR(SEARCH('PLANILLA DJ'!$X$10,$A12,1),""))</f>
        <v>1</v>
      </c>
      <c r="N12" s="207">
        <f>--ISNUMBER(IFERROR(SEARCH('PLANILLA DJ'!$X$11,$A12,1),""))</f>
        <v>1</v>
      </c>
      <c r="O12" s="207">
        <f>--ISNUMBER(IFERROR(SEARCH('PLANILLA DJ'!$X$12,$A12,1),""))</f>
        <v>1</v>
      </c>
      <c r="P12" s="207">
        <f>--ISNUMBER(IFERROR(SEARCH('PLANILLA DJ'!$X$13,$A12,1),""))</f>
        <v>1</v>
      </c>
      <c r="Q12" s="207">
        <f>--ISNUMBER(IFERROR(SEARCH('PLANILLA DJ'!$X$14,$A12,1),""))</f>
        <v>1</v>
      </c>
      <c r="R12" s="207">
        <f>--ISNUMBER(IFERROR(SEARCH('PLANILLA DJ'!$X$15,$A12,1),""))</f>
        <v>1</v>
      </c>
      <c r="S12" s="207">
        <f>--ISNUMBER(IFERROR(SEARCH('PLANILLA DJ'!$X$16,$A12,1),""))</f>
        <v>1</v>
      </c>
      <c r="T12" s="207">
        <f>--ISNUMBER(IFERROR(SEARCH('PLANILLA DJ'!$X$17,$A12,1),""))</f>
        <v>1</v>
      </c>
      <c r="U12" s="207">
        <f>--ISNUMBER(IFERROR(SEARCH('PLANILLA DJ'!$X$18,$A12,1),""))</f>
        <v>1</v>
      </c>
      <c r="V12" s="207">
        <f>--ISNUMBER(IFERROR(SEARCH('PLANILLA DJ'!$X$19,$A12,1),""))</f>
        <v>1</v>
      </c>
      <c r="W12" s="207">
        <f>--ISNUMBER(IFERROR(SEARCH('PLANILLA DJ'!$X$20,$A12,1),""))</f>
        <v>1</v>
      </c>
      <c r="X12" s="207">
        <f>--ISNUMBER(IFERROR(SEARCH('PLANILLA DJ'!$X$21,$A12,1),""))</f>
        <v>1</v>
      </c>
      <c r="Y12" s="207">
        <f>--ISNUMBER(IFERROR(SEARCH('PLANILLA DJ'!$X$22,$A12,1),""))</f>
        <v>1</v>
      </c>
      <c r="Z12" s="207">
        <f>--ISNUMBER(IFERROR(SEARCH('PLANILLA DJ'!$X$23,$A12,1),""))</f>
        <v>1</v>
      </c>
      <c r="AA12" s="207">
        <f>--ISNUMBER(IFERROR(SEARCH('PLANILLA DJ'!$X$24,$A12,1),""))</f>
        <v>1</v>
      </c>
      <c r="AB12" s="207">
        <f>--ISNUMBER(IFERROR(SEARCH('PLANILLA DJ'!$X$25,$A12,1),""))</f>
        <v>1</v>
      </c>
      <c r="AC12" s="207">
        <f>--ISNUMBER(IFERROR(SEARCH('PLANILLA DJ'!$X$26,$A12,1),""))</f>
        <v>1</v>
      </c>
      <c r="AD12" s="207">
        <f>--ISNUMBER(IFERROR(SEARCH('PLANILLA DJ'!$X$27,$A12,1),""))</f>
        <v>1</v>
      </c>
      <c r="AE12" s="207">
        <f>--ISNUMBER(IFERROR(SEARCH('PLANILLA DJ'!$X$28,$A12,1),""))</f>
        <v>1</v>
      </c>
      <c r="AF12" s="207">
        <f>--ISNUMBER(IFERROR(SEARCH('PLANILLA DJ'!$X$29,$A12,1),""))</f>
        <v>1</v>
      </c>
      <c r="AG12" s="207">
        <f>--ISNUMBER(IFERROR(SEARCH('PLANILLA DJ'!$X$30,$A12,1),""))</f>
        <v>1</v>
      </c>
      <c r="AH12" s="207">
        <f>--ISNUMBER(IFERROR(SEARCH('PLANILLA DJ'!$X$31,$A12,1),""))</f>
        <v>1</v>
      </c>
      <c r="AI12" s="207">
        <f>--ISNUMBER(IFERROR(SEARCH('PLANILLA DJ'!$X$32,$A12,1),""))</f>
        <v>1</v>
      </c>
      <c r="AJ12" s="207">
        <f>--ISNUMBER(IFERROR(SEARCH('PLANILLA DJ'!$X$33,$A12,1),""))</f>
        <v>1</v>
      </c>
      <c r="AK12" s="207">
        <f>--ISNUMBER(IFERROR(SEARCH('PLANILLA DJ'!$X$34,$A12,1),""))</f>
        <v>1</v>
      </c>
      <c r="AL12" s="207">
        <f>--ISNUMBER(IFERROR(SEARCH('PLANILLA DJ'!$X$35,$A12,1),""))</f>
        <v>1</v>
      </c>
      <c r="AM12" s="207">
        <f>--ISNUMBER(IFERROR(SEARCH('PLANILLA DJ'!$X$36,$A12,1),""))</f>
        <v>1</v>
      </c>
      <c r="AN12" s="207">
        <f>--ISNUMBER(IFERROR(SEARCH('PLANILLA DJ'!$X$37,$A12,1),""))</f>
        <v>1</v>
      </c>
      <c r="AO12" s="207">
        <f>--ISNUMBER(IFERROR(SEARCH('PLANILLA DJ'!$X$38,$A12,1),""))</f>
        <v>1</v>
      </c>
      <c r="AP12" s="207">
        <f>--ISNUMBER(IFERROR(SEARCH('PLANILLA DJ'!$X$39,$A12,1),""))</f>
        <v>1</v>
      </c>
      <c r="AQ12" s="207">
        <f>--ISNUMBER(IFERROR(SEARCH('PLANILLA DJ'!$X$40,$A12,1),""))</f>
        <v>1</v>
      </c>
      <c r="AR12" s="207">
        <f>--ISNUMBER(IFERROR(SEARCH('PLANILLA DJ'!$X$41,$A12,1),""))</f>
        <v>1</v>
      </c>
      <c r="AS12" s="207">
        <f>--ISNUMBER(IFERROR(SEARCH('PLANILLA DJ'!$X$42,$A12,1),""))</f>
        <v>1</v>
      </c>
      <c r="AT12" s="207">
        <f>--ISNUMBER(IFERROR(SEARCH('PLANILLA DJ'!$X$43,$A12,1),""))</f>
        <v>1</v>
      </c>
      <c r="AU12" s="207">
        <f>--ISNUMBER(IFERROR(SEARCH('PLANILLA DJ'!$X$44,$A12,1),""))</f>
        <v>1</v>
      </c>
      <c r="AV12" s="207">
        <f>--ISNUMBER(IFERROR(SEARCH('PLANILLA DJ'!$X$45,$A12,1),""))</f>
        <v>1</v>
      </c>
      <c r="AW12" s="207">
        <f>--ISNUMBER(IFERROR(SEARCH('PLANILLA DJ'!$X$46,$A12,1),""))</f>
        <v>1</v>
      </c>
      <c r="AX12" s="207">
        <f>--ISNUMBER(IFERROR(SEARCH('PLANILLA DJ'!$X$47,$A12,1),""))</f>
        <v>1</v>
      </c>
      <c r="AY12" s="207">
        <f>--ISNUMBER(IFERROR(SEARCH('PLANILLA DJ'!$X$48,$A12,1),""))</f>
        <v>1</v>
      </c>
      <c r="AZ12" s="207">
        <f>--ISNUMBER(IFERROR(SEARCH('PLANILLA DJ'!$X$49,$A12,1),""))</f>
        <v>1</v>
      </c>
      <c r="BA12" s="207">
        <f>--ISNUMBER(IFERROR(SEARCH('PLANILLA DJ'!$X$50,$A12,1),""))</f>
        <v>1</v>
      </c>
      <c r="BB12" s="207">
        <f>--ISNUMBER(IFERROR(SEARCH('PLANILLA DJ'!$X$51,$A12,1),""))</f>
        <v>1</v>
      </c>
      <c r="BC12" s="207">
        <f>--ISNUMBER(IFERROR(SEARCH('PLANILLA DJ'!$X$52,$A12,1),""))</f>
        <v>1</v>
      </c>
      <c r="BD12" s="207">
        <f>--ISNUMBER(IFERROR(SEARCH('PLANILLA DJ'!$X$53,$A12,1),""))</f>
        <v>1</v>
      </c>
      <c r="BE12" s="207">
        <f>--ISNUMBER(IFERROR(SEARCH('PLANILLA DJ'!$X$54,$A12,1),""))</f>
        <v>1</v>
      </c>
      <c r="BF12" s="207">
        <f>--ISNUMBER(IFERROR(SEARCH('PLANILLA DJ'!$X$55,$A12,1),""))</f>
        <v>1</v>
      </c>
      <c r="BG12" s="207">
        <f>--ISNUMBER(IFERROR(SEARCH('PLANILLA DJ'!$X$56,$A12,1),""))</f>
        <v>1</v>
      </c>
      <c r="BH12" s="207">
        <f>--ISNUMBER(IFERROR(SEARCH('PLANILLA DJ'!$X$57,$A12,1),""))</f>
        <v>1</v>
      </c>
      <c r="BI12" s="207">
        <f>--ISNUMBER(IFERROR(SEARCH('PLANILLA DJ'!$X$58,$A12,1),""))</f>
        <v>1</v>
      </c>
      <c r="BJ12" s="207">
        <f>--ISNUMBER(IFERROR(SEARCH('PLANILLA DJ'!$X$59,$A12,1),""))</f>
        <v>1</v>
      </c>
      <c r="BK12" s="207">
        <f>--ISNUMBER(IFERROR(SEARCH('PLANILLA DJ'!$X$60,$A12,1),""))</f>
        <v>1</v>
      </c>
      <c r="BL12" s="207">
        <f>--ISNUMBER(IFERROR(SEARCH('PLANILLA DJ'!$X$61,$A12,1),""))</f>
        <v>1</v>
      </c>
      <c r="BM12" s="207">
        <f>--ISNUMBER(IFERROR(SEARCH('PLANILLA DJ'!$X$62,$A12,1),""))</f>
        <v>1</v>
      </c>
      <c r="BN12" s="207">
        <f>--ISNUMBER(IFERROR(SEARCH('PLANILLA DJ'!$X$63,$A12,1),""))</f>
        <v>1</v>
      </c>
      <c r="BO12" s="207">
        <f>--ISNUMBER(IFERROR(SEARCH('PLANILLA DJ'!$X$64,$A12,1),""))</f>
        <v>1</v>
      </c>
      <c r="BP12" s="207">
        <f>--ISNUMBER(IFERROR(SEARCH('PLANILLA DJ'!$X$65,$A12,1),""))</f>
        <v>1</v>
      </c>
      <c r="BQ12" s="207">
        <f>--ISNUMBER(IFERROR(SEARCH('PLANILLA DJ'!$X$66,$A12,1),""))</f>
        <v>1</v>
      </c>
      <c r="BR12" s="207">
        <f>--ISNUMBER(IFERROR(SEARCH('PLANILLA DJ'!$X$67,$A12,1),""))</f>
        <v>1</v>
      </c>
      <c r="BS12" s="207">
        <f>--ISNUMBER(IFERROR(SEARCH('PLANILLA DJ'!$X$68,$A12,1),""))</f>
        <v>1</v>
      </c>
      <c r="BT12" s="207">
        <f>--ISNUMBER(IFERROR(SEARCH('PLANILLA DJ'!$X$69,$A12,1),""))</f>
        <v>1</v>
      </c>
      <c r="BU12" s="207">
        <f>--ISNUMBER(IFERROR(SEARCH('PLANILLA DJ'!$X$70,$A12,1),""))</f>
        <v>1</v>
      </c>
      <c r="BV12" s="207">
        <f>--ISNUMBER(IFERROR(SEARCH('PLANILLA DJ'!$X$71,$A12,1),""))</f>
        <v>1</v>
      </c>
      <c r="BW12" s="207">
        <f>--ISNUMBER(IFERROR(SEARCH('PLANILLA DJ'!$X$72,$A12,1),""))</f>
        <v>1</v>
      </c>
      <c r="BX12" s="207">
        <f>--ISNUMBER(IFERROR(SEARCH('PLANILLA DJ'!$X$73,$A12,1),""))</f>
        <v>1</v>
      </c>
      <c r="BY12" s="207">
        <f>--ISNUMBER(IFERROR(SEARCH('PLANILLA DJ'!$X$74,$A12,1),""))</f>
        <v>1</v>
      </c>
      <c r="BZ12" s="207">
        <f>--ISNUMBER(IFERROR(SEARCH('PLANILLA DJ'!$X$75,$A12,1),""))</f>
        <v>1</v>
      </c>
      <c r="CA12" s="207">
        <f>--ISNUMBER(IFERROR(SEARCH('PLANILLA DJ'!$X$76,$A12,1),""))</f>
        <v>1</v>
      </c>
      <c r="CB12" s="207">
        <f>--ISNUMBER(IFERROR(SEARCH('PLANILLA DJ'!$X$77,$A12,1),""))</f>
        <v>1</v>
      </c>
      <c r="CC12" s="207">
        <f>--ISNUMBER(IFERROR(SEARCH('PLANILLA DJ'!$X$78,$A12,1),""))</f>
        <v>1</v>
      </c>
      <c r="CD12" s="207">
        <f>--ISNUMBER(IFERROR(SEARCH('PLANILLA DJ'!$X$79,$A12,1),""))</f>
        <v>1</v>
      </c>
      <c r="CE12" s="207">
        <f>--ISNUMBER(IFERROR(SEARCH('PLANILLA DJ'!$X$80,$A12,1),""))</f>
        <v>1</v>
      </c>
      <c r="CF12" s="207">
        <f>--ISNUMBER(IFERROR(SEARCH('PLANILLA DJ'!$X$81,$A12,1),""))</f>
        <v>1</v>
      </c>
      <c r="CG12" s="207">
        <f>--ISNUMBER(IFERROR(SEARCH('PLANILLA DJ'!$X$82,$A12,1),""))</f>
        <v>1</v>
      </c>
      <c r="CH12" s="207">
        <f>--ISNUMBER(IFERROR(SEARCH('PLANILLA DJ'!$X$83,$A12,1),""))</f>
        <v>1</v>
      </c>
      <c r="CI12" s="207">
        <f>--ISNUMBER(IFERROR(SEARCH('PLANILLA DJ'!$X$84,$A12,1),""))</f>
        <v>1</v>
      </c>
      <c r="CJ12" s="207">
        <f>--ISNUMBER(IFERROR(SEARCH('PLANILLA DJ'!$X$85,$A12,1),""))</f>
        <v>1</v>
      </c>
      <c r="CK12" s="207">
        <f>--ISNUMBER(IFERROR(SEARCH('PLANILLA DJ'!$X$86,$A12,1),""))</f>
        <v>1</v>
      </c>
      <c r="CL12" s="207">
        <f>--ISNUMBER(IFERROR(SEARCH('PLANILLA DJ'!$X$87,$A12,1),""))</f>
        <v>1</v>
      </c>
      <c r="CM12" s="207">
        <f>--ISNUMBER(IFERROR(SEARCH('PLANILLA DJ'!$X$88,$A12,1),""))</f>
        <v>1</v>
      </c>
      <c r="CN12" s="207">
        <f>--ISNUMBER(IFERROR(SEARCH('PLANILLA DJ'!$X$89,$A12,1),""))</f>
        <v>1</v>
      </c>
      <c r="CO12" s="207">
        <f>--ISNUMBER(IFERROR(SEARCH('PLANILLA DJ'!$X$90,$A12,1),""))</f>
        <v>1</v>
      </c>
      <c r="CP12" s="207">
        <f>--ISNUMBER(IFERROR(SEARCH('PLANILLA DJ'!$X$91,$A12,1),""))</f>
        <v>1</v>
      </c>
      <c r="CQ12" s="207">
        <f>--ISNUMBER(IFERROR(SEARCH('PLANILLA DJ'!$X$92,$A12,1),""))</f>
        <v>1</v>
      </c>
      <c r="CR12" s="207">
        <f>--ISNUMBER(IFERROR(SEARCH('PLANILLA DJ'!$X$93,$A12,1),""))</f>
        <v>1</v>
      </c>
      <c r="CS12" s="207">
        <f>--ISNUMBER(IFERROR(SEARCH('PLANILLA DJ'!$X$94,$A12,1),""))</f>
        <v>1</v>
      </c>
      <c r="CT12" s="207">
        <f>--ISNUMBER(IFERROR(SEARCH('PLANILLA DJ'!$X$95,$A12,1),""))</f>
        <v>1</v>
      </c>
      <c r="CU12" s="207">
        <f>--ISNUMBER(IFERROR(SEARCH('PLANILLA DJ'!$X$96,$A12,1),""))</f>
        <v>1</v>
      </c>
      <c r="CV12" s="207">
        <f>--ISNUMBER(IFERROR(SEARCH('PLANILLA DJ'!$X$97,$A12,1),""))</f>
        <v>1</v>
      </c>
      <c r="CW12" s="207">
        <f>--ISNUMBER(IFERROR(SEARCH('PLANILLA DJ'!$X$98,$A12,1),""))</f>
        <v>1</v>
      </c>
      <c r="CX12" s="207">
        <f>--ISNUMBER(IFERROR(SEARCH('PLANILLA DJ'!$X$99,$A12,1),""))</f>
        <v>1</v>
      </c>
      <c r="CY12" s="207">
        <f>--ISNUMBER(IFERROR(SEARCH('PLANILLA DJ'!$X$100,$A12,1),""))</f>
        <v>1</v>
      </c>
      <c r="CZ12" s="207">
        <f>--ISNUMBER(IFERROR(SEARCH('PLANILLA DJ'!$X$101,$A12,1),""))</f>
        <v>1</v>
      </c>
      <c r="DA12" s="207">
        <f>--ISNUMBER(IFERROR(SEARCH('PLANILLA DJ'!$X$102,$A12,1),""))</f>
        <v>1</v>
      </c>
      <c r="DB12" s="206">
        <f>IF(F12=1,COUNTIF($F$2:F12,1),"")</f>
        <v>11</v>
      </c>
      <c r="DC12" s="206">
        <f>IF(G12=1,COUNTIF($G$2:G12,1),"")</f>
        <v>11</v>
      </c>
      <c r="DD12" s="206">
        <f>IF(H12=1,COUNTIF($H$2:H12,1),"")</f>
        <v>11</v>
      </c>
      <c r="DE12" s="206">
        <f>IF(I12=1,COUNTIF($I$2:I12,1),"")</f>
        <v>11</v>
      </c>
      <c r="DF12" s="206">
        <f>IF(J12=1,COUNTIF($J$2:J12,1),"")</f>
        <v>11</v>
      </c>
      <c r="DG12" s="206">
        <f>IF(K12=1,COUNTIF($K$2:K12,1),"")</f>
        <v>11</v>
      </c>
      <c r="DH12" s="206">
        <f>IF(L12=1,COUNTIF($L$2:L12,1),"")</f>
        <v>11</v>
      </c>
      <c r="DI12" s="206">
        <f>IF(M12=1,COUNTIF($M$2:M12,1),"")</f>
        <v>11</v>
      </c>
      <c r="DJ12" s="206">
        <f>IF(N12=1,COUNTIF($N$2:N12,1),"")</f>
        <v>11</v>
      </c>
      <c r="DK12" s="206">
        <f>IF(O12=1,COUNTIF($O$2:O12,1),"")</f>
        <v>11</v>
      </c>
      <c r="DL12" s="206">
        <f>IF(P12=1,COUNTIF($P$2:P12,1),"")</f>
        <v>11</v>
      </c>
      <c r="DM12" s="206">
        <f>IF(Q12=1,COUNTIF($Q$2:Q12,1),"")</f>
        <v>11</v>
      </c>
      <c r="DN12" s="207">
        <f>IF(R12=1,COUNTIF($R$2:R12,1),"")</f>
        <v>11</v>
      </c>
      <c r="DO12" s="207">
        <f>IF(S12=1,COUNTIF($S$2:S12,1),"")</f>
        <v>11</v>
      </c>
      <c r="DP12" s="207">
        <f>IF(T12=1,COUNTIF($T$2:T12,1),"")</f>
        <v>11</v>
      </c>
      <c r="DQ12" s="207">
        <f>IF(U12=1,COUNTIF($U$2:U12,1),"")</f>
        <v>11</v>
      </c>
      <c r="DR12" s="207">
        <f>IF(V12=1,COUNTIF($V$2:V12,1),"")</f>
        <v>11</v>
      </c>
      <c r="DS12" s="207">
        <f>IF(W12=1,COUNTIF($W$2:W12,1),"")</f>
        <v>11</v>
      </c>
      <c r="DT12" s="207">
        <f>IF(X12=1,COUNTIF($X$2:X12,1),"")</f>
        <v>11</v>
      </c>
      <c r="DU12" s="207">
        <f>IF(Y12=1,COUNTIF($Y$2:Y12,1),"")</f>
        <v>11</v>
      </c>
      <c r="DV12" s="207">
        <f>IF(Z12=1,COUNTIF(Z$2:Z12,1),"")</f>
        <v>11</v>
      </c>
      <c r="DW12" s="207">
        <f>IF(AA12=1,COUNTIF($AA$2:AA12,1),"")</f>
        <v>11</v>
      </c>
      <c r="DX12" s="207">
        <f>IF(AB12=1,COUNTIF($AB$2:AB12,1),"")</f>
        <v>11</v>
      </c>
      <c r="DY12" s="207">
        <f>IF(AC12=1,COUNTIF($AC$2:AC12,1),"")</f>
        <v>11</v>
      </c>
      <c r="DZ12" s="207">
        <f>IF(AD12=1,COUNTIF($AD$2:AD12,1),"")</f>
        <v>11</v>
      </c>
      <c r="EA12" s="207">
        <f>IF(AE12=1,COUNTIF($AE$2:AE12,1),"")</f>
        <v>11</v>
      </c>
      <c r="EB12" s="207">
        <f>IF(AF12=1,COUNTIF($AF$2:AF12,1),"")</f>
        <v>11</v>
      </c>
      <c r="EC12" s="207">
        <f>IF(AG12=1,COUNTIF($AG$2:AG12,1),"")</f>
        <v>11</v>
      </c>
      <c r="ED12" s="207">
        <f>IF(AH12=1,COUNTIF($AH$2:AH12,1),"")</f>
        <v>11</v>
      </c>
      <c r="EE12" s="207">
        <f>IF(AI12=1,COUNTIF($AI$2:AI12,1),"")</f>
        <v>11</v>
      </c>
      <c r="EF12" s="207">
        <f>IF(AJ12=1,COUNTIF($AJ$2:AJ12,1),"")</f>
        <v>11</v>
      </c>
      <c r="EG12" s="207">
        <f>IF(AK12=1,COUNTIF($AK$2:AK12,1),"")</f>
        <v>11</v>
      </c>
      <c r="EH12" s="207">
        <f>IF(AL12=1,COUNTIF($AL$2:AL12,1),"")</f>
        <v>11</v>
      </c>
      <c r="EI12" s="207">
        <f>IF(AM12=1,COUNTIF($AM$2:AM12,1),"")</f>
        <v>11</v>
      </c>
      <c r="EJ12" s="207">
        <f>IF(AN12=1,COUNTIF($AN$2:AN12,1),"")</f>
        <v>11</v>
      </c>
      <c r="EK12" s="207">
        <f>IF(AO12=1,COUNTIF($AO$2:AO12,1),"")</f>
        <v>11</v>
      </c>
      <c r="EL12" s="207">
        <f>IF(AP12=1,COUNTIF($AP$2:AP12,1),"")</f>
        <v>11</v>
      </c>
      <c r="EM12" s="207">
        <f>IF(AQ12=1,COUNTIF($AQ$2:AQ12,1),"")</f>
        <v>11</v>
      </c>
      <c r="EN12" s="207">
        <f>IF(AR12=1,COUNTIF($AR$2:AR12,1),"")</f>
        <v>11</v>
      </c>
      <c r="EO12" s="207">
        <f>IF(AS12=1,COUNTIF($AS$2:AS12,1),"")</f>
        <v>11</v>
      </c>
      <c r="EP12" s="207">
        <f>IF(AT12=1,COUNTIF($AT$2:AT12,1),"")</f>
        <v>11</v>
      </c>
      <c r="EQ12" s="207">
        <f>IF(AU12=1,COUNTIF($AU$2:AU12,1),"")</f>
        <v>11</v>
      </c>
      <c r="ER12" s="207">
        <f>IF(AV12=1,COUNTIF($AV$2:AV12,1),"")</f>
        <v>11</v>
      </c>
      <c r="ES12" s="207">
        <f>IF(AW12=1,COUNTIF($AW$2:AW12,1),"")</f>
        <v>11</v>
      </c>
      <c r="ET12" s="207">
        <f>IF(AX12=1,COUNTIF($AX$2:AX12,1),"")</f>
        <v>11</v>
      </c>
      <c r="EU12" s="207">
        <f>IF(AY12=1,COUNTIF($AY$2:AY12,1),"")</f>
        <v>11</v>
      </c>
      <c r="EV12" s="207">
        <f>IF(AZ12=1,COUNTIF($AZ$2:AZ12,1),"")</f>
        <v>11</v>
      </c>
      <c r="EW12" s="207">
        <f>IF(BA12=1,COUNTIF($BA$2:BA12,1),"")</f>
        <v>11</v>
      </c>
      <c r="EX12" s="207">
        <f>IF(BB12=1,COUNTIF($BB$2:BB12,1),"")</f>
        <v>11</v>
      </c>
      <c r="EY12" s="207">
        <f>IF(BC12=1,COUNTIF($BC$2:BC12,1),"")</f>
        <v>11</v>
      </c>
      <c r="EZ12" s="207">
        <f>IF(BD12=1,COUNTIF($BD$2:BD12,1),"")</f>
        <v>11</v>
      </c>
      <c r="FA12" s="207">
        <f>IF(BE12=1,COUNTIF($BE$2:BE12,1),"")</f>
        <v>11</v>
      </c>
      <c r="FB12" s="207">
        <f>IF(BF12=1,COUNTIF($BF$2:BF12,1),"")</f>
        <v>11</v>
      </c>
      <c r="FC12" s="207">
        <f>IF(BG12=1,COUNTIF($BG$2:BG12,1),"")</f>
        <v>11</v>
      </c>
      <c r="FD12" s="207">
        <f>IF(BH12=1,COUNTIF($BH$2:BH12,1),"")</f>
        <v>11</v>
      </c>
      <c r="FE12" s="207">
        <f>IF(BI12=1,COUNTIF($BI$2:BI12,1),"")</f>
        <v>11</v>
      </c>
      <c r="FF12" s="207">
        <f>IF(BJ12=1,COUNTIF($BJ$2:BJ12,1),"")</f>
        <v>11</v>
      </c>
      <c r="FG12" s="207">
        <f>IF(BK12=1,COUNTIF($BK$2:BK12,1),"")</f>
        <v>11</v>
      </c>
      <c r="FH12" s="207">
        <f>IF(BL12=1,COUNTIF($BL$2:BL12,1),"")</f>
        <v>11</v>
      </c>
      <c r="FI12" s="207">
        <f>IF(BM12=1,COUNTIF($BM$2:BM12,1),"")</f>
        <v>11</v>
      </c>
      <c r="FJ12" s="207">
        <f>IF(BN12=1,COUNTIF($BN$2:BN12,1),"")</f>
        <v>11</v>
      </c>
      <c r="FK12" s="207">
        <f>IF(BO12=1,COUNTIF($BO$2:BO12,1),"")</f>
        <v>11</v>
      </c>
      <c r="FL12" s="207">
        <f>IF(BP12=1,COUNTIF($BP$2:BP12,1),"")</f>
        <v>11</v>
      </c>
      <c r="FM12" s="207">
        <f>IF(BQ12=1,COUNTIF($BQ$2:BQ12,1),"")</f>
        <v>11</v>
      </c>
      <c r="FN12" s="207">
        <f>IF(BR12=1,COUNTIF($BR$2:BR12,1),"")</f>
        <v>11</v>
      </c>
      <c r="FO12" s="207">
        <f>IF(BS12=1,COUNTIF($BS$2:BS12,1),"")</f>
        <v>11</v>
      </c>
      <c r="FP12" s="207">
        <f>IF(BT12=1,COUNTIF($BT$2:BT12,1),"")</f>
        <v>11</v>
      </c>
      <c r="FQ12" s="207">
        <f>IF(BU12=1,COUNTIF($BU$2:BU12,1),"")</f>
        <v>11</v>
      </c>
      <c r="FR12" s="207">
        <f>IF(BV12=1,COUNTIF($BV$2:BV12,1),"")</f>
        <v>11</v>
      </c>
      <c r="FS12" s="207">
        <f>IF(BW12=1,COUNTIF($BW$2:BW12,1),"")</f>
        <v>11</v>
      </c>
      <c r="FT12" s="207">
        <f>IF(BX12=1,COUNTIF($BX$2:BX12,1),"")</f>
        <v>11</v>
      </c>
      <c r="FU12" s="207">
        <f>IF(BY12=1,COUNTIF($BY$2:BY12,1),"")</f>
        <v>11</v>
      </c>
      <c r="FV12" s="207">
        <f>IF(BZ12=1,COUNTIF($BZ$2:BZ12,1),"")</f>
        <v>11</v>
      </c>
      <c r="FW12" s="207">
        <f>IF(CA12=1,COUNTIF($CA$2:CA12,1),"")</f>
        <v>11</v>
      </c>
      <c r="FX12" s="207">
        <f>IF(CB12=1,COUNTIF($CB$2:CB12,1),"")</f>
        <v>11</v>
      </c>
      <c r="FY12" s="207">
        <f>IF(CC12=1,COUNTIF($CC$2:CC12,1),"")</f>
        <v>11</v>
      </c>
      <c r="FZ12" s="207">
        <f>IF(CD12=1,COUNTIF($CD$2:CD12,1),"")</f>
        <v>11</v>
      </c>
      <c r="GA12" s="207">
        <f>IF(CE12=1,COUNTIF($CE$2:CE12,1),"")</f>
        <v>11</v>
      </c>
      <c r="GB12" s="207">
        <f>IF(CF12=1,COUNTIF($CF$2:CF12,1),"")</f>
        <v>11</v>
      </c>
      <c r="GC12" s="207">
        <f>IF(CG12=1,COUNTIF($CG$2:CG12,1),"")</f>
        <v>11</v>
      </c>
      <c r="GD12" s="207">
        <f>IF(CH12=1,COUNTIF($CH$2:CH12,1),"")</f>
        <v>11</v>
      </c>
      <c r="GE12" s="207">
        <f>IF(CI12=1,COUNTIF($CI$2:CI12,1),"")</f>
        <v>11</v>
      </c>
      <c r="GF12" s="207">
        <f>IF(CJ12=1,COUNTIF($CJ$2:CJ12,1),"")</f>
        <v>11</v>
      </c>
      <c r="GG12" s="207">
        <f>IF(CK12=1,COUNTIF($CK$2:CK12,1),"")</f>
        <v>11</v>
      </c>
      <c r="GH12" s="207">
        <f>IF(CL12=1,COUNTIF($CL$2:CL12,1),"")</f>
        <v>11</v>
      </c>
      <c r="GI12" s="207">
        <f>IF(CM12=1,COUNTIF($CM$2:CM12,1),"")</f>
        <v>11</v>
      </c>
      <c r="GJ12" s="207">
        <f>IF(CN12=1,COUNTIF($CN$2:CN12,1),"")</f>
        <v>11</v>
      </c>
      <c r="GK12" s="207">
        <f>IF(CO12=1,COUNTIF($CO$2:CO12,1),"")</f>
        <v>11</v>
      </c>
      <c r="GL12" s="207">
        <f>IF(CP12=1,COUNTIF($CP$2:CP12,1),"")</f>
        <v>11</v>
      </c>
      <c r="GM12" s="207">
        <f>IF(CQ12=1,COUNTIF($CQ$2:CQ12,1),"")</f>
        <v>11</v>
      </c>
      <c r="GN12" s="207">
        <f>IF(CR12=1,COUNTIF($CR$2:CR12,1),"")</f>
        <v>11</v>
      </c>
      <c r="GO12" s="207">
        <f>IF(CS12=1,COUNTIF($CS$2:CS12,1),"")</f>
        <v>11</v>
      </c>
      <c r="GP12" s="207">
        <f>IF(CT12=1,COUNTIF($CT$2:CT12,1),"")</f>
        <v>11</v>
      </c>
      <c r="GQ12" s="207">
        <f>IF(CU12=1,COUNTIF($CU$2:CU12,1),"")</f>
        <v>11</v>
      </c>
      <c r="GR12" s="207">
        <f>IF(CV12=1,COUNTIF($CV$2:CV12,1),"")</f>
        <v>11</v>
      </c>
      <c r="GS12" s="207">
        <f>IF(CW12=1,COUNTIF($CW$2:CW12,1),"")</f>
        <v>11</v>
      </c>
      <c r="GT12" s="207">
        <f>IF(CX12=1,COUNTIF($CX$2:CX12,1),"")</f>
        <v>11</v>
      </c>
      <c r="GU12" s="207">
        <f>IF(CY12=1,COUNTIF($CY$2:CY12,1),"")</f>
        <v>11</v>
      </c>
      <c r="GV12" s="207">
        <f>IF(CZ12=1,COUNTIF($CZ$2:CZ12,1),"")</f>
        <v>11</v>
      </c>
      <c r="GW12" s="207">
        <f>IF(DA12=1,COUNTIF($DA$2:DA12,1),"")</f>
        <v>11</v>
      </c>
      <c r="GX12" s="206" t="str">
        <f>IFERROR(INDEX($A$2:$A$113,MATCH(ROWS($DB$2:DB12),$DB$2:$DB$113,0)),"")</f>
        <v>LESIONES CULPOSAS POR SINIESTROS VIALES</v>
      </c>
      <c r="GY12" s="206" t="str">
        <f>IFERROR(INDEX($A$2:$A$113,MATCH(ROWS($DC$2:DC12),$DC$2:$DC$113,0)),"")</f>
        <v>LESIONES CULPOSAS POR SINIESTROS VIALES</v>
      </c>
      <c r="GZ12" s="206" t="str">
        <f>IFERROR(INDEX($A$2:$A$113,MATCH(ROWS($DD$2:DD12),$DD$2:$DD$113,0)),"")</f>
        <v>LESIONES CULPOSAS POR SINIESTROS VIALES</v>
      </c>
      <c r="HA12" s="206" t="str">
        <f>IFERROR(INDEX($A$2:$A$113,MATCH(ROWS($DE$2:DE12),$DE$2:$DE$113,0)),"")</f>
        <v>LESIONES CULPOSAS POR SINIESTROS VIALES</v>
      </c>
      <c r="HB12" s="206" t="str">
        <f>IFERROR(INDEX($A$2:$A$113,MATCH(ROWS($DF$2:DF12),$DF$2:$DF$113,0)),"")</f>
        <v>LESIONES CULPOSAS POR SINIESTROS VIALES</v>
      </c>
      <c r="HC12" s="206" t="str">
        <f>IFERROR(INDEX($A$2:$A$113,MATCH(ROWS($DG$2:DG12),$DG$2:$DG$113,0)),"")</f>
        <v>LESIONES CULPOSAS POR SINIESTROS VIALES</v>
      </c>
      <c r="HD12" s="206" t="str">
        <f>IFERROR(INDEX($A$2:$A$113,MATCH(ROWS($DH$2:DH12),$DH$2:$DH$113,0)),"")</f>
        <v>LESIONES CULPOSAS POR SINIESTROS VIALES</v>
      </c>
      <c r="HE12" s="206" t="str">
        <f>IFERROR(INDEX($A$2:$A$113,MATCH(ROWS($DI$2:DI12),$DI$2:$DI$113,0)),"")</f>
        <v>LESIONES CULPOSAS POR SINIESTROS VIALES</v>
      </c>
      <c r="HF12" s="206" t="str">
        <f>IFERROR(INDEX($A$2:$A$113,MATCH(ROWS($DJ$2:DJ12),$DJ$2:$DJ$113,0)),"")</f>
        <v>LESIONES CULPOSAS POR SINIESTROS VIALES</v>
      </c>
      <c r="HG12" s="206" t="str">
        <f>IFERROR(INDEX($A$2:$A$113,MATCH(ROWS($DK$2:DK12),$DK$2:$DK$113,0)),"")</f>
        <v>LESIONES CULPOSAS POR SINIESTROS VIALES</v>
      </c>
      <c r="HH12" s="206" t="str">
        <f>IFERROR(INDEX($A$2:$A$113,MATCH(ROWS($DL$2:DL12),$DL$2:$DL$113,0)),"")</f>
        <v>LESIONES CULPOSAS POR SINIESTROS VIALES</v>
      </c>
      <c r="HI12" s="206" t="str">
        <f>IFERROR(INDEX($A$2:$A$113,MATCH(ROWS($DM$2:DM12),$DM$2:$DM$113,0)),"")</f>
        <v>LESIONES CULPOSAS POR SINIESTROS VIALES</v>
      </c>
      <c r="HJ12" s="206" t="str">
        <f>IFERROR(INDEX($A$2:$A$113,MATCH(ROWS($DN$2:DN12),$DN$2:$DN$113,0)),"")</f>
        <v>LESIONES CULPOSAS POR SINIESTROS VIALES</v>
      </c>
      <c r="HK12" s="206" t="str">
        <f>IFERROR(INDEX($A$2:$A$113,MATCH(ROWS($DO$2:DO12),$DO$2:$DO$113,0)),"")</f>
        <v>LESIONES CULPOSAS POR SINIESTROS VIALES</v>
      </c>
      <c r="HL12" s="206" t="str">
        <f>IFERROR(INDEX($A$2:$A$113,MATCH(ROWS($DP$2:DP12),$DP$2:$DP$113,0)),"")</f>
        <v>LESIONES CULPOSAS POR SINIESTROS VIALES</v>
      </c>
      <c r="HM12" s="206" t="str">
        <f>IFERROR(INDEX($A$2:$A$113,MATCH(ROWS($DQ$2:DQ12),$DQ$2:$DQ$113,0)),"")</f>
        <v>LESIONES CULPOSAS POR SINIESTROS VIALES</v>
      </c>
      <c r="HN12" s="206" t="str">
        <f>IFERROR(INDEX($A$2:$A$113,MATCH(ROWS($DR$2:DR12),$DR$2:$DR$113,0)),"")</f>
        <v>LESIONES CULPOSAS POR SINIESTROS VIALES</v>
      </c>
      <c r="HO12" s="206" t="str">
        <f>IFERROR(INDEX($A$2:$A$113,MATCH(ROWS($DS$2:DS12),$DS$2:$DS$113,0)),"")</f>
        <v>LESIONES CULPOSAS POR SINIESTROS VIALES</v>
      </c>
      <c r="HP12" s="206" t="str">
        <f>IFERROR(INDEX($A$2:$A$113,MATCH(ROWS($DT$2:DT12),$DT$2:$DT$113,0)),"")</f>
        <v>LESIONES CULPOSAS POR SINIESTROS VIALES</v>
      </c>
      <c r="HQ12" s="206" t="str">
        <f>IFERROR(INDEX($A$2:$A$113,MATCH(ROWS($DU$2:DU12),$DU$2:$DU$113,0)),"")</f>
        <v>LESIONES CULPOSAS POR SINIESTROS VIALES</v>
      </c>
      <c r="HR12" s="206" t="str">
        <f>IFERROR(INDEX($A$2:$A$113,MATCH(ROWS($DV$2:DV12),$DV$2:$DV$113,0)),"")</f>
        <v>LESIONES CULPOSAS POR SINIESTROS VIALES</v>
      </c>
      <c r="HS12" s="206" t="str">
        <f>IFERROR(INDEX($A$2:$A$113,MATCH(ROWS($DW$2:DW12),$DW$2:$DW$113,0)),"")</f>
        <v>LESIONES CULPOSAS POR SINIESTROS VIALES</v>
      </c>
      <c r="HT12" s="206" t="str">
        <f>IFERROR(INDEX($A$2:$A$113,MATCH(ROWS($DX$2:DX12),$DX$2:$DX$113,0)),"")</f>
        <v>LESIONES CULPOSAS POR SINIESTROS VIALES</v>
      </c>
      <c r="HU12" s="206" t="str">
        <f>IFERROR(INDEX($A$2:$A$113,MATCH(ROWS($DY$2:DY12),$DY$2:$DY$113,0)),"")</f>
        <v>LESIONES CULPOSAS POR SINIESTROS VIALES</v>
      </c>
      <c r="HV12" s="206" t="str">
        <f>IFERROR(INDEX($A$2:$A$113,MATCH(ROWS($DZ$2:DZ12),$DZ$2:$DZ$113,0)),"")</f>
        <v>LESIONES CULPOSAS POR SINIESTROS VIALES</v>
      </c>
      <c r="HW12" s="206" t="str">
        <f>IFERROR(INDEX($A$2:$A$113,MATCH(ROWS($EA$2:EA12),$EA$2:$EA$113,0)),"")</f>
        <v>LESIONES CULPOSAS POR SINIESTROS VIALES</v>
      </c>
      <c r="HX12" s="206" t="str">
        <f>IFERROR(INDEX($A$2:$A$113,MATCH(ROWS($EB$2:EB12),$EB$2:$EB$113,0)),"")</f>
        <v>LESIONES CULPOSAS POR SINIESTROS VIALES</v>
      </c>
      <c r="HY12" s="206" t="str">
        <f>IFERROR(INDEX($A$2:$A$113,MATCH(ROWS($EC$2:EC12),$EC$2:$EC$113,0)),"")</f>
        <v>LESIONES CULPOSAS POR SINIESTROS VIALES</v>
      </c>
      <c r="HZ12" s="206" t="str">
        <f>IFERROR(INDEX($A$2:$A$113,MATCH(ROWS($ED$2:ED12),$ED$2:$ED$113,0)),"")</f>
        <v>LESIONES CULPOSAS POR SINIESTROS VIALES</v>
      </c>
      <c r="IA12" s="206" t="str">
        <f>IFERROR(INDEX($A$2:$A$113,MATCH(ROWS($EE$2:EE12),$EE$2:$EE$113,0)),"")</f>
        <v>LESIONES CULPOSAS POR SINIESTROS VIALES</v>
      </c>
      <c r="IB12" s="206" t="str">
        <f>IFERROR(INDEX($A$2:$A$113,MATCH(ROWS($EF$2:EF12),$EF$2:$EF$113,0)),"")</f>
        <v>LESIONES CULPOSAS POR SINIESTROS VIALES</v>
      </c>
      <c r="IC12" s="206" t="str">
        <f>IFERROR(INDEX($A$2:$A$113,MATCH(ROWS($EG$2:EG12),$EG$2:$EG$113,0)),"")</f>
        <v>LESIONES CULPOSAS POR SINIESTROS VIALES</v>
      </c>
      <c r="ID12" s="206" t="str">
        <f>IFERROR(INDEX($A$2:$A$113,MATCH(ROWS($EH$2:EH12),$EH$2:$EH$113,0)),"")</f>
        <v>LESIONES CULPOSAS POR SINIESTROS VIALES</v>
      </c>
      <c r="IE12" s="206" t="str">
        <f>IFERROR(INDEX($A$2:$A$113,MATCH(ROWS($EI$2:EI12),$EI$2:$EI$113,0)),"")</f>
        <v>LESIONES CULPOSAS POR SINIESTROS VIALES</v>
      </c>
      <c r="IF12" s="206" t="str">
        <f>IFERROR(INDEX($A$2:$A$113,MATCH(ROWS($EJ$2:EJ12),$EJ$2:$EJ$113,0)),"")</f>
        <v>LESIONES CULPOSAS POR SINIESTROS VIALES</v>
      </c>
      <c r="IG12" s="206" t="str">
        <f>IFERROR(INDEX($A$2:$A$113,MATCH(ROWS($EK$2:EK12),$EK$2:$EK$113,0)),"")</f>
        <v>LESIONES CULPOSAS POR SINIESTROS VIALES</v>
      </c>
      <c r="IH12" s="206" t="str">
        <f>IFERROR(INDEX($A$2:$A$113,MATCH(ROWS($EL$2:EL12),$EL$2:$EL$113,0)),"")</f>
        <v>LESIONES CULPOSAS POR SINIESTROS VIALES</v>
      </c>
      <c r="II12" s="206" t="str">
        <f>IFERROR(INDEX($A$2:$A$113,MATCH(ROWS($EM$2:EM12),$EM$2:$EM$113,0)),"")</f>
        <v>LESIONES CULPOSAS POR SINIESTROS VIALES</v>
      </c>
      <c r="IJ12" s="206" t="str">
        <f>IFERROR(INDEX($A$2:$A$113,MATCH(ROWS($EN$2:EN12),$EN$2:$EN$113,0)),"")</f>
        <v>LESIONES CULPOSAS POR SINIESTROS VIALES</v>
      </c>
      <c r="IK12" s="207" t="str">
        <f>IFERROR(INDEX($A$2:$A$113,MATCH(ROWS($EO$2:EO12),$EO$2:$EO$113,0)),"")</f>
        <v>LESIONES CULPOSAS POR SINIESTROS VIALES</v>
      </c>
      <c r="IL12" s="207" t="str">
        <f>IFERROR(INDEX($A$2:$A$113,MATCH(ROWS($EP$2:EP12),$EP$2:$EP$113,0)),"")</f>
        <v>LESIONES CULPOSAS POR SINIESTROS VIALES</v>
      </c>
      <c r="IM12" s="207" t="str">
        <f>IFERROR(INDEX($A$2:$A$113,MATCH(ROWS($EQ$2:EQ12),$EQ$2:$EQ$113,0)),"")</f>
        <v>LESIONES CULPOSAS POR SINIESTROS VIALES</v>
      </c>
      <c r="IN12" s="207" t="str">
        <f>IFERROR(INDEX($A$2:$A$113,MATCH(ROWS($ER$2:ER12),$ER$2:$ER$113,0)),"")</f>
        <v>LESIONES CULPOSAS POR SINIESTROS VIALES</v>
      </c>
      <c r="IO12" s="207" t="str">
        <f>IFERROR(INDEX($A$2:$A$113,MATCH(ROWS($ES$2:ES12),$ES$2:$ES$113,0)),"")</f>
        <v>LESIONES CULPOSAS POR SINIESTROS VIALES</v>
      </c>
      <c r="IP12" s="207" t="str">
        <f>IFERROR(INDEX($A$2:$A$113,MATCH(ROWS($ET$2:ET12),$ET$2:$ET$113,0)),"")</f>
        <v>LESIONES CULPOSAS POR SINIESTROS VIALES</v>
      </c>
      <c r="IQ12" s="207" t="str">
        <f>IFERROR(INDEX($A$2:$A$113,MATCH(ROWS($EU$2:EU12),$EU$2:$EU$113,0)),"")</f>
        <v>LESIONES CULPOSAS POR SINIESTROS VIALES</v>
      </c>
      <c r="IR12" s="207" t="str">
        <f>IFERROR(INDEX($A$2:$A$113,MATCH(ROWS($EV$2:EV12),$EV$2:$EV$113,0)),"")</f>
        <v>LESIONES CULPOSAS POR SINIESTROS VIALES</v>
      </c>
      <c r="IS12" s="207" t="str">
        <f>IFERROR(INDEX($A$2:$A$113,MATCH(ROWS($EW$2:EW12),$EW$2:$EW$113,0)),"")</f>
        <v>LESIONES CULPOSAS POR SINIESTROS VIALES</v>
      </c>
      <c r="IT12" s="207" t="str">
        <f>IFERROR(INDEX($A$2:$A$113,MATCH(ROWS($EX$2:EX12),$EX$2:$EX$113,0)),"")</f>
        <v>LESIONES CULPOSAS POR SINIESTROS VIALES</v>
      </c>
      <c r="IU12" s="207" t="str">
        <f>IFERROR(INDEX($A$2:$A$113,MATCH(ROWS($EY$2:EY12),$EY$2:$EY$113,0)),"")</f>
        <v>LESIONES CULPOSAS POR SINIESTROS VIALES</v>
      </c>
      <c r="IV12" s="207" t="str">
        <f>IFERROR(INDEX($A$2:$A$113,MATCH(ROWS($EZ$2:EZ12),$EZ$2:$EZ$113,0)),"")</f>
        <v>LESIONES CULPOSAS POR SINIESTROS VIALES</v>
      </c>
      <c r="IW12" s="207" t="str">
        <f>IFERROR(INDEX($A$2:$A$113,MATCH(ROWS($FA$2:FA12),$FA$2:$FA$113,0)),"")</f>
        <v>LESIONES CULPOSAS POR SINIESTROS VIALES</v>
      </c>
      <c r="IX12" s="207" t="str">
        <f>IFERROR(INDEX($A$2:$A$113,MATCH(ROWS($FB$2:FB12),$FB$2:$FB$113,0)),"")</f>
        <v>LESIONES CULPOSAS POR SINIESTROS VIALES</v>
      </c>
      <c r="IY12" s="207" t="str">
        <f>IFERROR(INDEX($A$2:$A$113,MATCH(ROWS($FC$2:FC12),$FC$2:$FC$113,0)),"")</f>
        <v>LESIONES CULPOSAS POR SINIESTROS VIALES</v>
      </c>
      <c r="IZ12" s="207" t="str">
        <f>IFERROR(INDEX($A$2:$A$113,MATCH(ROWS($FD$2:FD12),$FD$2:$FD$113,0)),"")</f>
        <v>LESIONES CULPOSAS POR SINIESTROS VIALES</v>
      </c>
      <c r="JA12" s="207" t="str">
        <f>IFERROR(INDEX($A$2:$A$113,MATCH(ROWS($FE$2:FE12),$FE$2:$FE$113,0)),"")</f>
        <v>LESIONES CULPOSAS POR SINIESTROS VIALES</v>
      </c>
      <c r="JB12" s="207" t="str">
        <f>IFERROR(INDEX($A$2:$A$113,MATCH(ROWS($FF$2:FF12),$FF$2:$FF$113,0)),"")</f>
        <v>LESIONES CULPOSAS POR SINIESTROS VIALES</v>
      </c>
      <c r="JC12" s="207" t="str">
        <f>IFERROR(INDEX($A$2:$A$113,MATCH(ROWS($FG$2:FG12),$FG$2:$FG$113,0)),"")</f>
        <v>LESIONES CULPOSAS POR SINIESTROS VIALES</v>
      </c>
      <c r="JD12" s="207" t="str">
        <f>IFERROR(INDEX($A$2:$A$113,MATCH(ROWS($FH$2:FH12),$FH$2:$FH$113,0)),"")</f>
        <v>LESIONES CULPOSAS POR SINIESTROS VIALES</v>
      </c>
      <c r="JE12" s="207" t="str">
        <f>IFERROR(INDEX($A$2:$A$113,MATCH(ROWS($FI$2:FI12),$FI$2:$FI$113,0)),"")</f>
        <v>LESIONES CULPOSAS POR SINIESTROS VIALES</v>
      </c>
      <c r="JF12" s="207" t="str">
        <f>IFERROR(INDEX($A$2:$A$113,MATCH(ROWS($FJ$2:FJ12),$FJ$2:$FJ$113,0)),"")</f>
        <v>LESIONES CULPOSAS POR SINIESTROS VIALES</v>
      </c>
      <c r="JG12" s="207" t="str">
        <f>IFERROR(INDEX($A$2:$A$113,MATCH(ROWS($FK$2:FK12),$FK$2:$FK$113,0)),"")</f>
        <v>LESIONES CULPOSAS POR SINIESTROS VIALES</v>
      </c>
      <c r="JH12" s="207" t="str">
        <f>IFERROR(INDEX($A$2:$A$113,MATCH(ROWS($FL$2:FL12),$FL$2:$FL$113,0)),"")</f>
        <v>LESIONES CULPOSAS POR SINIESTROS VIALES</v>
      </c>
      <c r="JI12" s="207" t="str">
        <f>IFERROR(INDEX($A$2:$A$113,MATCH(ROWS($FM$2:FM12),$FM$2:$FM$113,0)),"")</f>
        <v>LESIONES CULPOSAS POR SINIESTROS VIALES</v>
      </c>
      <c r="JJ12" s="207" t="str">
        <f>IFERROR(INDEX($A$2:$A$113,MATCH(ROWS($FN$2:FN12),$FN$2:$FN$113,0)),"")</f>
        <v>LESIONES CULPOSAS POR SINIESTROS VIALES</v>
      </c>
      <c r="JK12" s="207" t="str">
        <f>IFERROR(INDEX($A$2:$A$113,MATCH(ROWS($FO$2:FO12),$FO$2:$FO$113,0)),"")</f>
        <v>LESIONES CULPOSAS POR SINIESTROS VIALES</v>
      </c>
      <c r="JL12" s="207" t="str">
        <f>IFERROR(INDEX($A$2:$A$113,MATCH(ROWS($FP$2:FP12),$FP$2:$FP$113,0)),"")</f>
        <v>LESIONES CULPOSAS POR SINIESTROS VIALES</v>
      </c>
      <c r="JM12" s="207" t="str">
        <f>IFERROR(INDEX($A$2:$A$113,MATCH(ROWS($FQ$2:FQ12),$FQ$2:$FQ$113,0)),"")</f>
        <v>LESIONES CULPOSAS POR SINIESTROS VIALES</v>
      </c>
      <c r="JN12" s="207" t="str">
        <f>IFERROR(INDEX($A$2:$A$113,MATCH(ROWS($FR$2:FR12),$FR$2:$FR$113,0)),"")</f>
        <v>LESIONES CULPOSAS POR SINIESTROS VIALES</v>
      </c>
      <c r="JO12" s="207" t="str">
        <f>IFERROR(INDEX($A$2:$A$113,MATCH(ROWS($FS$2:FS12),$FS$2:$FS$113,0)),"")</f>
        <v>LESIONES CULPOSAS POR SINIESTROS VIALES</v>
      </c>
      <c r="JP12" s="207" t="str">
        <f>IFERROR(INDEX($A$2:$A$113,MATCH(ROWS($FT$2:FT12),$FT$2:$FT$113,0)),"")</f>
        <v>LESIONES CULPOSAS POR SINIESTROS VIALES</v>
      </c>
      <c r="JQ12" s="207" t="str">
        <f>IFERROR(INDEX($A$2:$A$113,MATCH(ROWS($FU$2:FU12),$FU$2:$FU$113,0)),"")</f>
        <v>LESIONES CULPOSAS POR SINIESTROS VIALES</v>
      </c>
      <c r="JR12" s="207" t="str">
        <f>IFERROR(INDEX($A$2:$A$113,MATCH(ROWS($FV$2:FV12),$FV$2:$FV$113,0)),"")</f>
        <v>LESIONES CULPOSAS POR SINIESTROS VIALES</v>
      </c>
      <c r="JS12" s="207" t="str">
        <f>IFERROR(INDEX($A$2:$A$113,MATCH(ROWS($FW$2:FW12),$FW$2:$FW$113,0)),"")</f>
        <v>LESIONES CULPOSAS POR SINIESTROS VIALES</v>
      </c>
      <c r="JT12" s="207" t="str">
        <f>IFERROR(INDEX($A$2:$A$113,MATCH(ROWS($FX$2:FX12),$FX$2:$FX$113,0)),"")</f>
        <v>LESIONES CULPOSAS POR SINIESTROS VIALES</v>
      </c>
      <c r="JU12" s="207" t="str">
        <f>IFERROR(INDEX($A$2:$A$113,MATCH(ROWS($FY$2:FY12),$FY$2:$FY$113,0)),"")</f>
        <v>LESIONES CULPOSAS POR SINIESTROS VIALES</v>
      </c>
      <c r="JV12" s="207" t="str">
        <f>IFERROR(INDEX($A$2:$A$113,MATCH(ROWS($FZ$2:FZ12),$FZ$2:$FZ$113,0)),"")</f>
        <v>LESIONES CULPOSAS POR SINIESTROS VIALES</v>
      </c>
      <c r="JW12" s="207" t="str">
        <f>IFERROR(INDEX($A$2:$A$113,MATCH(ROWS($GA$2:GA12),$GA$2:$GA$113,0)),"")</f>
        <v>LESIONES CULPOSAS POR SINIESTROS VIALES</v>
      </c>
      <c r="JX12" s="207" t="str">
        <f>IFERROR(INDEX($A$2:$A$113,MATCH(ROWS($GB$2:GB12),$GB$2:$GB$113,0)),"")</f>
        <v>LESIONES CULPOSAS POR SINIESTROS VIALES</v>
      </c>
      <c r="JY12" s="207" t="str">
        <f>IFERROR(INDEX($A$2:$A$113,MATCH(ROWS($GC$2:GC12),$GC$2:$GC$113,0)),"")</f>
        <v>LESIONES CULPOSAS POR SINIESTROS VIALES</v>
      </c>
      <c r="JZ12" s="207" t="str">
        <f>IFERROR(INDEX($A$2:$A$113,MATCH(ROWS($GD$2:GD12),$GD$2:$GD$113,0)),"")</f>
        <v>LESIONES CULPOSAS POR SINIESTROS VIALES</v>
      </c>
      <c r="KA12" s="207" t="str">
        <f>IFERROR(INDEX($A$2:$A$113,MATCH(ROWS($GE$2:GE12),$GE$2:$GE$113,0)),"")</f>
        <v>LESIONES CULPOSAS POR SINIESTROS VIALES</v>
      </c>
      <c r="KB12" s="207" t="str">
        <f>IFERROR(INDEX($A$2:$A$113,MATCH(ROWS($GF$2:GF12),$GF$2:$GF$113,0)),"")</f>
        <v>LESIONES CULPOSAS POR SINIESTROS VIALES</v>
      </c>
      <c r="KC12" s="207" t="str">
        <f>IFERROR(INDEX($A$2:$A$113,MATCH(ROWS($GG$2:GG12),$GG$2:$GG$113,0)),"")</f>
        <v>LESIONES CULPOSAS POR SINIESTROS VIALES</v>
      </c>
      <c r="KD12" s="207" t="str">
        <f>IFERROR(INDEX($A$2:$A$113,MATCH(ROWS($GH$2:GH12),$GH$2:$GH$113,0)),"")</f>
        <v>LESIONES CULPOSAS POR SINIESTROS VIALES</v>
      </c>
      <c r="KE12" s="207" t="str">
        <f>IFERROR(INDEX($A$2:$A$113,MATCH(ROWS($GI$2:GI12),$GI$2:$GI$113,0)),"")</f>
        <v>LESIONES CULPOSAS POR SINIESTROS VIALES</v>
      </c>
      <c r="KF12" s="207" t="str">
        <f>IFERROR(INDEX($A$2:$A$113,MATCH(ROWS($GJ$2:GJ12),$GJ$2:$GJ$113,0)),"")</f>
        <v>LESIONES CULPOSAS POR SINIESTROS VIALES</v>
      </c>
      <c r="KG12" s="207" t="str">
        <f>IFERROR(INDEX($A$2:$A$113,MATCH(ROWS($GK$2:GK12),$GK$2:$GK$113,0)),"")</f>
        <v>LESIONES CULPOSAS POR SINIESTROS VIALES</v>
      </c>
      <c r="KH12" s="207" t="str">
        <f>IFERROR(INDEX($A$2:$A$113,MATCH(ROWS($GL$2:GL12),$GL$2:$GL$113,0)),"")</f>
        <v>LESIONES CULPOSAS POR SINIESTROS VIALES</v>
      </c>
      <c r="KI12" s="207" t="str">
        <f>IFERROR(INDEX($A$2:$A$113,MATCH(ROWS($GM$2:GM12),$GM$2:$GM$113,0)),"")</f>
        <v>LESIONES CULPOSAS POR SINIESTROS VIALES</v>
      </c>
      <c r="KJ12" s="207" t="str">
        <f>IFERROR(INDEX($A$2:$A$113,MATCH(ROWS($GN$2:GN12),$GN$2:$GN$113,0)),"")</f>
        <v>LESIONES CULPOSAS POR SINIESTROS VIALES</v>
      </c>
      <c r="KK12" s="207" t="str">
        <f>IFERROR(INDEX($A$2:$A$113,MATCH(ROWS($GO$2:GO12),$GO$2:$GO$113,0)),"")</f>
        <v>LESIONES CULPOSAS POR SINIESTROS VIALES</v>
      </c>
      <c r="KL12" s="207" t="str">
        <f>IFERROR(INDEX($A$2:$A$113,MATCH(ROWS($GP$2:GP12),$GP$2:$GP$113,0)),"")</f>
        <v>LESIONES CULPOSAS POR SINIESTROS VIALES</v>
      </c>
      <c r="KM12" s="207" t="str">
        <f>IFERROR(INDEX($A$2:$A$113,MATCH(ROWS($GQ$2:GQ12),$GQ$2:$GQ$113,0)),"")</f>
        <v>LESIONES CULPOSAS POR SINIESTROS VIALES</v>
      </c>
      <c r="KN12" s="207" t="str">
        <f>IFERROR(INDEX($A$2:$A$113,MATCH(ROWS($GR$2:GR12),$GR$2:$GR$113,0)),"")</f>
        <v>LESIONES CULPOSAS POR SINIESTROS VIALES</v>
      </c>
      <c r="KO12" s="207" t="str">
        <f>IFERROR(INDEX($A$2:$A$113,MATCH(ROWS($GS$2:GS12),$GS$2:$GS$113,0)),"")</f>
        <v>LESIONES CULPOSAS POR SINIESTROS VIALES</v>
      </c>
      <c r="KP12" s="207" t="str">
        <f>IFERROR(INDEX($A$2:$A$113,MATCH(ROWS($GT$2:GT12),$GT$2:$GT$113,0)),"")</f>
        <v>LESIONES CULPOSAS POR SINIESTROS VIALES</v>
      </c>
      <c r="KQ12" s="207" t="str">
        <f>IFERROR(INDEX($A$2:$A$113,MATCH(ROWS($GU$2:GU12),$GU$2:$GU$113,0)),"")</f>
        <v>LESIONES CULPOSAS POR SINIESTROS VIALES</v>
      </c>
      <c r="KR12" s="207" t="str">
        <f>IFERROR(INDEX($A$2:$A$113,MATCH(ROWS($GV$2:GV12),$GV$2:$GV$113,0)),"")</f>
        <v>LESIONES CULPOSAS POR SINIESTROS VIALES</v>
      </c>
      <c r="KS12" s="207" t="str">
        <f>IFERROR(INDEX($A$2:$A$113,MATCH(ROWS($GW$2:GW12),$GW$2:$GW$113,0)),"")</f>
        <v>LESIONES CULPOSAS POR SINIESTROS VIALES</v>
      </c>
    </row>
    <row r="13" spans="1:305" x14ac:dyDescent="0.25">
      <c r="A13" s="206" t="s">
        <v>67</v>
      </c>
      <c r="B13" s="206">
        <v>7</v>
      </c>
      <c r="D13" s="206" t="s">
        <v>49</v>
      </c>
      <c r="E13" s="206" t="s">
        <v>785</v>
      </c>
      <c r="F13" s="207">
        <f>--ISNUMBER(IFERROR(SEARCH('PLANILLA DJ'!$X$3,$A13,1),""))</f>
        <v>1</v>
      </c>
      <c r="G13" s="207">
        <f>--ISNUMBER(IFERROR(SEARCH('PLANILLA DJ'!$X$4,$A13,1),""))</f>
        <v>1</v>
      </c>
      <c r="H13" s="207">
        <f>--ISNUMBER(IFERROR(SEARCH('PLANILLA DJ'!$X$5,$A13,1),""))</f>
        <v>1</v>
      </c>
      <c r="I13" s="207">
        <f>--ISNUMBER(IFERROR(SEARCH('PLANILLA DJ'!$X$6,$A13,1),""))</f>
        <v>1</v>
      </c>
      <c r="J13" s="207">
        <f>--ISNUMBER(IFERROR(SEARCH('PLANILLA DJ'!$X$7,$A13,1),""))</f>
        <v>1</v>
      </c>
      <c r="K13" s="207">
        <f>--ISNUMBER(IFERROR(SEARCH('PLANILLA DJ'!$X$8,$A13,1),""))</f>
        <v>1</v>
      </c>
      <c r="L13" s="207">
        <f>--ISNUMBER(IFERROR(SEARCH('PLANILLA DJ'!$X$9,$A13,1),""))</f>
        <v>1</v>
      </c>
      <c r="M13" s="207">
        <f>--ISNUMBER(IFERROR(SEARCH('PLANILLA DJ'!$X$10,$A13,1),""))</f>
        <v>1</v>
      </c>
      <c r="N13" s="207">
        <f>--ISNUMBER(IFERROR(SEARCH('PLANILLA DJ'!$X$11,$A13,1),""))</f>
        <v>1</v>
      </c>
      <c r="O13" s="207">
        <f>--ISNUMBER(IFERROR(SEARCH('PLANILLA DJ'!$X$12,$A13,1),""))</f>
        <v>1</v>
      </c>
      <c r="P13" s="207">
        <f>--ISNUMBER(IFERROR(SEARCH('PLANILLA DJ'!$X$13,$A13,1),""))</f>
        <v>1</v>
      </c>
      <c r="Q13" s="207">
        <f>--ISNUMBER(IFERROR(SEARCH('PLANILLA DJ'!$X$14,$A13,1),""))</f>
        <v>1</v>
      </c>
      <c r="R13" s="207">
        <f>--ISNUMBER(IFERROR(SEARCH('PLANILLA DJ'!$X$15,$A13,1),""))</f>
        <v>1</v>
      </c>
      <c r="S13" s="207">
        <f>--ISNUMBER(IFERROR(SEARCH('PLANILLA DJ'!$X$16,$A13,1),""))</f>
        <v>1</v>
      </c>
      <c r="T13" s="207">
        <f>--ISNUMBER(IFERROR(SEARCH('PLANILLA DJ'!$X$17,$A13,1),""))</f>
        <v>1</v>
      </c>
      <c r="U13" s="207">
        <f>--ISNUMBER(IFERROR(SEARCH('PLANILLA DJ'!$X$18,$A13,1),""))</f>
        <v>1</v>
      </c>
      <c r="V13" s="207">
        <f>--ISNUMBER(IFERROR(SEARCH('PLANILLA DJ'!$X$19,$A13,1),""))</f>
        <v>1</v>
      </c>
      <c r="W13" s="207">
        <f>--ISNUMBER(IFERROR(SEARCH('PLANILLA DJ'!$X$20,$A13,1),""))</f>
        <v>1</v>
      </c>
      <c r="X13" s="207">
        <f>--ISNUMBER(IFERROR(SEARCH('PLANILLA DJ'!$X$21,$A13,1),""))</f>
        <v>1</v>
      </c>
      <c r="Y13" s="207">
        <f>--ISNUMBER(IFERROR(SEARCH('PLANILLA DJ'!$X$22,$A13,1),""))</f>
        <v>1</v>
      </c>
      <c r="Z13" s="207">
        <f>--ISNUMBER(IFERROR(SEARCH('PLANILLA DJ'!$X$23,$A13,1),""))</f>
        <v>1</v>
      </c>
      <c r="AA13" s="207">
        <f>--ISNUMBER(IFERROR(SEARCH('PLANILLA DJ'!$X$24,$A13,1),""))</f>
        <v>1</v>
      </c>
      <c r="AB13" s="207">
        <f>--ISNUMBER(IFERROR(SEARCH('PLANILLA DJ'!$X$25,$A13,1),""))</f>
        <v>1</v>
      </c>
      <c r="AC13" s="207">
        <f>--ISNUMBER(IFERROR(SEARCH('PLANILLA DJ'!$X$26,$A13,1),""))</f>
        <v>1</v>
      </c>
      <c r="AD13" s="207">
        <f>--ISNUMBER(IFERROR(SEARCH('PLANILLA DJ'!$X$27,$A13,1),""))</f>
        <v>1</v>
      </c>
      <c r="AE13" s="207">
        <f>--ISNUMBER(IFERROR(SEARCH('PLANILLA DJ'!$X$28,$A13,1),""))</f>
        <v>1</v>
      </c>
      <c r="AF13" s="207">
        <f>--ISNUMBER(IFERROR(SEARCH('PLANILLA DJ'!$X$29,$A13,1),""))</f>
        <v>1</v>
      </c>
      <c r="AG13" s="207">
        <f>--ISNUMBER(IFERROR(SEARCH('PLANILLA DJ'!$X$30,$A13,1),""))</f>
        <v>1</v>
      </c>
      <c r="AH13" s="207">
        <f>--ISNUMBER(IFERROR(SEARCH('PLANILLA DJ'!$X$31,$A13,1),""))</f>
        <v>1</v>
      </c>
      <c r="AI13" s="207">
        <f>--ISNUMBER(IFERROR(SEARCH('PLANILLA DJ'!$X$32,$A13,1),""))</f>
        <v>1</v>
      </c>
      <c r="AJ13" s="207">
        <f>--ISNUMBER(IFERROR(SEARCH('PLANILLA DJ'!$X$33,$A13,1),""))</f>
        <v>1</v>
      </c>
      <c r="AK13" s="207">
        <f>--ISNUMBER(IFERROR(SEARCH('PLANILLA DJ'!$X$34,$A13,1),""))</f>
        <v>1</v>
      </c>
      <c r="AL13" s="207">
        <f>--ISNUMBER(IFERROR(SEARCH('PLANILLA DJ'!$X$35,$A13,1),""))</f>
        <v>1</v>
      </c>
      <c r="AM13" s="207">
        <f>--ISNUMBER(IFERROR(SEARCH('PLANILLA DJ'!$X$36,$A13,1),""))</f>
        <v>1</v>
      </c>
      <c r="AN13" s="207">
        <f>--ISNUMBER(IFERROR(SEARCH('PLANILLA DJ'!$X$37,$A13,1),""))</f>
        <v>1</v>
      </c>
      <c r="AO13" s="207">
        <f>--ISNUMBER(IFERROR(SEARCH('PLANILLA DJ'!$X$38,$A13,1),""))</f>
        <v>1</v>
      </c>
      <c r="AP13" s="207">
        <f>--ISNUMBER(IFERROR(SEARCH('PLANILLA DJ'!$X$39,$A13,1),""))</f>
        <v>1</v>
      </c>
      <c r="AQ13" s="207">
        <f>--ISNUMBER(IFERROR(SEARCH('PLANILLA DJ'!$X$40,$A13,1),""))</f>
        <v>1</v>
      </c>
      <c r="AR13" s="207">
        <f>--ISNUMBER(IFERROR(SEARCH('PLANILLA DJ'!$X$41,$A13,1),""))</f>
        <v>1</v>
      </c>
      <c r="AS13" s="207">
        <f>--ISNUMBER(IFERROR(SEARCH('PLANILLA DJ'!$X$42,$A13,1),""))</f>
        <v>1</v>
      </c>
      <c r="AT13" s="207">
        <f>--ISNUMBER(IFERROR(SEARCH('PLANILLA DJ'!$X$43,$A13,1),""))</f>
        <v>1</v>
      </c>
      <c r="AU13" s="207">
        <f>--ISNUMBER(IFERROR(SEARCH('PLANILLA DJ'!$X$44,$A13,1),""))</f>
        <v>1</v>
      </c>
      <c r="AV13" s="207">
        <f>--ISNUMBER(IFERROR(SEARCH('PLANILLA DJ'!$X$45,$A13,1),""))</f>
        <v>1</v>
      </c>
      <c r="AW13" s="207">
        <f>--ISNUMBER(IFERROR(SEARCH('PLANILLA DJ'!$X$46,$A13,1),""))</f>
        <v>1</v>
      </c>
      <c r="AX13" s="207">
        <f>--ISNUMBER(IFERROR(SEARCH('PLANILLA DJ'!$X$47,$A13,1),""))</f>
        <v>1</v>
      </c>
      <c r="AY13" s="207">
        <f>--ISNUMBER(IFERROR(SEARCH('PLANILLA DJ'!$X$48,$A13,1),""))</f>
        <v>1</v>
      </c>
      <c r="AZ13" s="207">
        <f>--ISNUMBER(IFERROR(SEARCH('PLANILLA DJ'!$X$49,$A13,1),""))</f>
        <v>1</v>
      </c>
      <c r="BA13" s="207">
        <f>--ISNUMBER(IFERROR(SEARCH('PLANILLA DJ'!$X$50,$A13,1),""))</f>
        <v>1</v>
      </c>
      <c r="BB13" s="207">
        <f>--ISNUMBER(IFERROR(SEARCH('PLANILLA DJ'!$X$51,$A13,1),""))</f>
        <v>1</v>
      </c>
      <c r="BC13" s="207">
        <f>--ISNUMBER(IFERROR(SEARCH('PLANILLA DJ'!$X$52,$A13,1),""))</f>
        <v>1</v>
      </c>
      <c r="BD13" s="207">
        <f>--ISNUMBER(IFERROR(SEARCH('PLANILLA DJ'!$X$53,$A13,1),""))</f>
        <v>1</v>
      </c>
      <c r="BE13" s="207">
        <f>--ISNUMBER(IFERROR(SEARCH('PLANILLA DJ'!$X$54,$A13,1),""))</f>
        <v>1</v>
      </c>
      <c r="BF13" s="207">
        <f>--ISNUMBER(IFERROR(SEARCH('PLANILLA DJ'!$X$55,$A13,1),""))</f>
        <v>1</v>
      </c>
      <c r="BG13" s="207">
        <f>--ISNUMBER(IFERROR(SEARCH('PLANILLA DJ'!$X$56,$A13,1),""))</f>
        <v>1</v>
      </c>
      <c r="BH13" s="207">
        <f>--ISNUMBER(IFERROR(SEARCH('PLANILLA DJ'!$X$57,$A13,1),""))</f>
        <v>1</v>
      </c>
      <c r="BI13" s="207">
        <f>--ISNUMBER(IFERROR(SEARCH('PLANILLA DJ'!$X$58,$A13,1),""))</f>
        <v>1</v>
      </c>
      <c r="BJ13" s="207">
        <f>--ISNUMBER(IFERROR(SEARCH('PLANILLA DJ'!$X$59,$A13,1),""))</f>
        <v>1</v>
      </c>
      <c r="BK13" s="207">
        <f>--ISNUMBER(IFERROR(SEARCH('PLANILLA DJ'!$X$60,$A13,1),""))</f>
        <v>1</v>
      </c>
      <c r="BL13" s="207">
        <f>--ISNUMBER(IFERROR(SEARCH('PLANILLA DJ'!$X$61,$A13,1),""))</f>
        <v>1</v>
      </c>
      <c r="BM13" s="207">
        <f>--ISNUMBER(IFERROR(SEARCH('PLANILLA DJ'!$X$62,$A13,1),""))</f>
        <v>1</v>
      </c>
      <c r="BN13" s="207">
        <f>--ISNUMBER(IFERROR(SEARCH('PLANILLA DJ'!$X$63,$A13,1),""))</f>
        <v>1</v>
      </c>
      <c r="BO13" s="207">
        <f>--ISNUMBER(IFERROR(SEARCH('PLANILLA DJ'!$X$64,$A13,1),""))</f>
        <v>1</v>
      </c>
      <c r="BP13" s="207">
        <f>--ISNUMBER(IFERROR(SEARCH('PLANILLA DJ'!$X$65,$A13,1),""))</f>
        <v>1</v>
      </c>
      <c r="BQ13" s="207">
        <f>--ISNUMBER(IFERROR(SEARCH('PLANILLA DJ'!$X$66,$A13,1),""))</f>
        <v>1</v>
      </c>
      <c r="BR13" s="207">
        <f>--ISNUMBER(IFERROR(SEARCH('PLANILLA DJ'!$X$67,$A13,1),""))</f>
        <v>1</v>
      </c>
      <c r="BS13" s="207">
        <f>--ISNUMBER(IFERROR(SEARCH('PLANILLA DJ'!$X$68,$A13,1),""))</f>
        <v>1</v>
      </c>
      <c r="BT13" s="207">
        <f>--ISNUMBER(IFERROR(SEARCH('PLANILLA DJ'!$X$69,$A13,1),""))</f>
        <v>1</v>
      </c>
      <c r="BU13" s="207">
        <f>--ISNUMBER(IFERROR(SEARCH('PLANILLA DJ'!$X$70,$A13,1),""))</f>
        <v>1</v>
      </c>
      <c r="BV13" s="207">
        <f>--ISNUMBER(IFERROR(SEARCH('PLANILLA DJ'!$X$71,$A13,1),""))</f>
        <v>1</v>
      </c>
      <c r="BW13" s="207">
        <f>--ISNUMBER(IFERROR(SEARCH('PLANILLA DJ'!$X$72,$A13,1),""))</f>
        <v>1</v>
      </c>
      <c r="BX13" s="207">
        <f>--ISNUMBER(IFERROR(SEARCH('PLANILLA DJ'!$X$73,$A13,1),""))</f>
        <v>1</v>
      </c>
      <c r="BY13" s="207">
        <f>--ISNUMBER(IFERROR(SEARCH('PLANILLA DJ'!$X$74,$A13,1),""))</f>
        <v>1</v>
      </c>
      <c r="BZ13" s="207">
        <f>--ISNUMBER(IFERROR(SEARCH('PLANILLA DJ'!$X$75,$A13,1),""))</f>
        <v>1</v>
      </c>
      <c r="CA13" s="207">
        <f>--ISNUMBER(IFERROR(SEARCH('PLANILLA DJ'!$X$76,$A13,1),""))</f>
        <v>1</v>
      </c>
      <c r="CB13" s="207">
        <f>--ISNUMBER(IFERROR(SEARCH('PLANILLA DJ'!$X$77,$A13,1),""))</f>
        <v>1</v>
      </c>
      <c r="CC13" s="207">
        <f>--ISNUMBER(IFERROR(SEARCH('PLANILLA DJ'!$X$78,$A13,1),""))</f>
        <v>1</v>
      </c>
      <c r="CD13" s="207">
        <f>--ISNUMBER(IFERROR(SEARCH('PLANILLA DJ'!$X$79,$A13,1),""))</f>
        <v>1</v>
      </c>
      <c r="CE13" s="207">
        <f>--ISNUMBER(IFERROR(SEARCH('PLANILLA DJ'!$X$80,$A13,1),""))</f>
        <v>1</v>
      </c>
      <c r="CF13" s="207">
        <f>--ISNUMBER(IFERROR(SEARCH('PLANILLA DJ'!$X$81,$A13,1),""))</f>
        <v>1</v>
      </c>
      <c r="CG13" s="207">
        <f>--ISNUMBER(IFERROR(SEARCH('PLANILLA DJ'!$X$82,$A13,1),""))</f>
        <v>1</v>
      </c>
      <c r="CH13" s="207">
        <f>--ISNUMBER(IFERROR(SEARCH('PLANILLA DJ'!$X$83,$A13,1),""))</f>
        <v>1</v>
      </c>
      <c r="CI13" s="207">
        <f>--ISNUMBER(IFERROR(SEARCH('PLANILLA DJ'!$X$84,$A13,1),""))</f>
        <v>1</v>
      </c>
      <c r="CJ13" s="207">
        <f>--ISNUMBER(IFERROR(SEARCH('PLANILLA DJ'!$X$85,$A13,1),""))</f>
        <v>1</v>
      </c>
      <c r="CK13" s="207">
        <f>--ISNUMBER(IFERROR(SEARCH('PLANILLA DJ'!$X$86,$A13,1),""))</f>
        <v>1</v>
      </c>
      <c r="CL13" s="207">
        <f>--ISNUMBER(IFERROR(SEARCH('PLANILLA DJ'!$X$87,$A13,1),""))</f>
        <v>1</v>
      </c>
      <c r="CM13" s="207">
        <f>--ISNUMBER(IFERROR(SEARCH('PLANILLA DJ'!$X$88,$A13,1),""))</f>
        <v>1</v>
      </c>
      <c r="CN13" s="207">
        <f>--ISNUMBER(IFERROR(SEARCH('PLANILLA DJ'!$X$89,$A13,1),""))</f>
        <v>1</v>
      </c>
      <c r="CO13" s="207">
        <f>--ISNUMBER(IFERROR(SEARCH('PLANILLA DJ'!$X$90,$A13,1),""))</f>
        <v>1</v>
      </c>
      <c r="CP13" s="207">
        <f>--ISNUMBER(IFERROR(SEARCH('PLANILLA DJ'!$X$91,$A13,1),""))</f>
        <v>1</v>
      </c>
      <c r="CQ13" s="207">
        <f>--ISNUMBER(IFERROR(SEARCH('PLANILLA DJ'!$X$92,$A13,1),""))</f>
        <v>1</v>
      </c>
      <c r="CR13" s="207">
        <f>--ISNUMBER(IFERROR(SEARCH('PLANILLA DJ'!$X$93,$A13,1),""))</f>
        <v>1</v>
      </c>
      <c r="CS13" s="207">
        <f>--ISNUMBER(IFERROR(SEARCH('PLANILLA DJ'!$X$94,$A13,1),""))</f>
        <v>1</v>
      </c>
      <c r="CT13" s="207">
        <f>--ISNUMBER(IFERROR(SEARCH('PLANILLA DJ'!$X$95,$A13,1),""))</f>
        <v>1</v>
      </c>
      <c r="CU13" s="207">
        <f>--ISNUMBER(IFERROR(SEARCH('PLANILLA DJ'!$X$96,$A13,1),""))</f>
        <v>1</v>
      </c>
      <c r="CV13" s="207">
        <f>--ISNUMBER(IFERROR(SEARCH('PLANILLA DJ'!$X$97,$A13,1),""))</f>
        <v>1</v>
      </c>
      <c r="CW13" s="207">
        <f>--ISNUMBER(IFERROR(SEARCH('PLANILLA DJ'!$X$98,$A13,1),""))</f>
        <v>1</v>
      </c>
      <c r="CX13" s="207">
        <f>--ISNUMBER(IFERROR(SEARCH('PLANILLA DJ'!$X$99,$A13,1),""))</f>
        <v>1</v>
      </c>
      <c r="CY13" s="207">
        <f>--ISNUMBER(IFERROR(SEARCH('PLANILLA DJ'!$X$100,$A13,1),""))</f>
        <v>1</v>
      </c>
      <c r="CZ13" s="207">
        <f>--ISNUMBER(IFERROR(SEARCH('PLANILLA DJ'!$X$101,$A13,1),""))</f>
        <v>1</v>
      </c>
      <c r="DA13" s="207">
        <f>--ISNUMBER(IFERROR(SEARCH('PLANILLA DJ'!$X$102,$A13,1),""))</f>
        <v>1</v>
      </c>
      <c r="DB13" s="206">
        <f>IF(F13=1,COUNTIF($F$2:F13,1),"")</f>
        <v>12</v>
      </c>
      <c r="DC13" s="206">
        <f>IF(G13=1,COUNTIF($G$2:G13,1),"")</f>
        <v>12</v>
      </c>
      <c r="DD13" s="206">
        <f>IF(H13=1,COUNTIF($H$2:H13,1),"")</f>
        <v>12</v>
      </c>
      <c r="DE13" s="206">
        <f>IF(I13=1,COUNTIF($I$2:I13,1),"")</f>
        <v>12</v>
      </c>
      <c r="DF13" s="206">
        <f>IF(J13=1,COUNTIF($J$2:J13,1),"")</f>
        <v>12</v>
      </c>
      <c r="DG13" s="206">
        <f>IF(K13=1,COUNTIF($K$2:K13,1),"")</f>
        <v>12</v>
      </c>
      <c r="DH13" s="206">
        <f>IF(L13=1,COUNTIF($L$2:L13,1),"")</f>
        <v>12</v>
      </c>
      <c r="DI13" s="206">
        <f>IF(M13=1,COUNTIF($M$2:M13,1),"")</f>
        <v>12</v>
      </c>
      <c r="DJ13" s="206">
        <f>IF(N13=1,COUNTIF($N$2:N13,1),"")</f>
        <v>12</v>
      </c>
      <c r="DK13" s="206">
        <f>IF(O13=1,COUNTIF($O$2:O13,1),"")</f>
        <v>12</v>
      </c>
      <c r="DL13" s="206">
        <f>IF(P13=1,COUNTIF($P$2:P13,1),"")</f>
        <v>12</v>
      </c>
      <c r="DM13" s="206">
        <f>IF(Q13=1,COUNTIF($Q$2:Q13,1),"")</f>
        <v>12</v>
      </c>
      <c r="DN13" s="207">
        <f>IF(R13=1,COUNTIF($R$2:R13,1),"")</f>
        <v>12</v>
      </c>
      <c r="DO13" s="207">
        <f>IF(S13=1,COUNTIF($S$2:S13,1),"")</f>
        <v>12</v>
      </c>
      <c r="DP13" s="207">
        <f>IF(T13=1,COUNTIF($T$2:T13,1),"")</f>
        <v>12</v>
      </c>
      <c r="DQ13" s="207">
        <f>IF(U13=1,COUNTIF($U$2:U13,1),"")</f>
        <v>12</v>
      </c>
      <c r="DR13" s="207">
        <f>IF(V13=1,COUNTIF($V$2:V13,1),"")</f>
        <v>12</v>
      </c>
      <c r="DS13" s="207">
        <f>IF(W13=1,COUNTIF($W$2:W13,1),"")</f>
        <v>12</v>
      </c>
      <c r="DT13" s="207">
        <f>IF(X13=1,COUNTIF($X$2:X13,1),"")</f>
        <v>12</v>
      </c>
      <c r="DU13" s="207">
        <f>IF(Y13=1,COUNTIF($Y$2:Y13,1),"")</f>
        <v>12</v>
      </c>
      <c r="DV13" s="207">
        <f>IF(Z13=1,COUNTIF(Z$2:Z13,1),"")</f>
        <v>12</v>
      </c>
      <c r="DW13" s="207">
        <f>IF(AA13=1,COUNTIF($AA$2:AA13,1),"")</f>
        <v>12</v>
      </c>
      <c r="DX13" s="207">
        <f>IF(AB13=1,COUNTIF($AB$2:AB13,1),"")</f>
        <v>12</v>
      </c>
      <c r="DY13" s="207">
        <f>IF(AC13=1,COUNTIF($AC$2:AC13,1),"")</f>
        <v>12</v>
      </c>
      <c r="DZ13" s="207">
        <f>IF(AD13=1,COUNTIF($AD$2:AD13,1),"")</f>
        <v>12</v>
      </c>
      <c r="EA13" s="207">
        <f>IF(AE13=1,COUNTIF($AE$2:AE13,1),"")</f>
        <v>12</v>
      </c>
      <c r="EB13" s="207">
        <f>IF(AF13=1,COUNTIF($AF$2:AF13,1),"")</f>
        <v>12</v>
      </c>
      <c r="EC13" s="207">
        <f>IF(AG13=1,COUNTIF($AG$2:AG13,1),"")</f>
        <v>12</v>
      </c>
      <c r="ED13" s="207">
        <f>IF(AH13=1,COUNTIF($AH$2:AH13,1),"")</f>
        <v>12</v>
      </c>
      <c r="EE13" s="207">
        <f>IF(AI13=1,COUNTIF($AI$2:AI13,1),"")</f>
        <v>12</v>
      </c>
      <c r="EF13" s="207">
        <f>IF(AJ13=1,COUNTIF($AJ$2:AJ13,1),"")</f>
        <v>12</v>
      </c>
      <c r="EG13" s="207">
        <f>IF(AK13=1,COUNTIF($AK$2:AK13,1),"")</f>
        <v>12</v>
      </c>
      <c r="EH13" s="207">
        <f>IF(AL13=1,COUNTIF($AL$2:AL13,1),"")</f>
        <v>12</v>
      </c>
      <c r="EI13" s="207">
        <f>IF(AM13=1,COUNTIF($AM$2:AM13,1),"")</f>
        <v>12</v>
      </c>
      <c r="EJ13" s="207">
        <f>IF(AN13=1,COUNTIF($AN$2:AN13,1),"")</f>
        <v>12</v>
      </c>
      <c r="EK13" s="207">
        <f>IF(AO13=1,COUNTIF($AO$2:AO13,1),"")</f>
        <v>12</v>
      </c>
      <c r="EL13" s="207">
        <f>IF(AP13=1,COUNTIF($AP$2:AP13,1),"")</f>
        <v>12</v>
      </c>
      <c r="EM13" s="207">
        <f>IF(AQ13=1,COUNTIF($AQ$2:AQ13,1),"")</f>
        <v>12</v>
      </c>
      <c r="EN13" s="207">
        <f>IF(AR13=1,COUNTIF($AR$2:AR13,1),"")</f>
        <v>12</v>
      </c>
      <c r="EO13" s="207">
        <f>IF(AS13=1,COUNTIF($AS$2:AS13,1),"")</f>
        <v>12</v>
      </c>
      <c r="EP13" s="207">
        <f>IF(AT13=1,COUNTIF($AT$2:AT13,1),"")</f>
        <v>12</v>
      </c>
      <c r="EQ13" s="207">
        <f>IF(AU13=1,COUNTIF($AU$2:AU13,1),"")</f>
        <v>12</v>
      </c>
      <c r="ER13" s="207">
        <f>IF(AV13=1,COUNTIF($AV$2:AV13,1),"")</f>
        <v>12</v>
      </c>
      <c r="ES13" s="207">
        <f>IF(AW13=1,COUNTIF($AW$2:AW13,1),"")</f>
        <v>12</v>
      </c>
      <c r="ET13" s="207">
        <f>IF(AX13=1,COUNTIF($AX$2:AX13,1),"")</f>
        <v>12</v>
      </c>
      <c r="EU13" s="207">
        <f>IF(AY13=1,COUNTIF($AY$2:AY13,1),"")</f>
        <v>12</v>
      </c>
      <c r="EV13" s="207">
        <f>IF(AZ13=1,COUNTIF($AZ$2:AZ13,1),"")</f>
        <v>12</v>
      </c>
      <c r="EW13" s="207">
        <f>IF(BA13=1,COUNTIF($BA$2:BA13,1),"")</f>
        <v>12</v>
      </c>
      <c r="EX13" s="207">
        <f>IF(BB13=1,COUNTIF($BB$2:BB13,1),"")</f>
        <v>12</v>
      </c>
      <c r="EY13" s="207">
        <f>IF(BC13=1,COUNTIF($BC$2:BC13,1),"")</f>
        <v>12</v>
      </c>
      <c r="EZ13" s="207">
        <f>IF(BD13=1,COUNTIF($BD$2:BD13,1),"")</f>
        <v>12</v>
      </c>
      <c r="FA13" s="207">
        <f>IF(BE13=1,COUNTIF($BE$2:BE13,1),"")</f>
        <v>12</v>
      </c>
      <c r="FB13" s="207">
        <f>IF(BF13=1,COUNTIF($BF$2:BF13,1),"")</f>
        <v>12</v>
      </c>
      <c r="FC13" s="207">
        <f>IF(BG13=1,COUNTIF($BG$2:BG13,1),"")</f>
        <v>12</v>
      </c>
      <c r="FD13" s="207">
        <f>IF(BH13=1,COUNTIF($BH$2:BH13,1),"")</f>
        <v>12</v>
      </c>
      <c r="FE13" s="207">
        <f>IF(BI13=1,COUNTIF($BI$2:BI13,1),"")</f>
        <v>12</v>
      </c>
      <c r="FF13" s="207">
        <f>IF(BJ13=1,COUNTIF($BJ$2:BJ13,1),"")</f>
        <v>12</v>
      </c>
      <c r="FG13" s="207">
        <f>IF(BK13=1,COUNTIF($BK$2:BK13,1),"")</f>
        <v>12</v>
      </c>
      <c r="FH13" s="207">
        <f>IF(BL13=1,COUNTIF($BL$2:BL13,1),"")</f>
        <v>12</v>
      </c>
      <c r="FI13" s="207">
        <f>IF(BM13=1,COUNTIF($BM$2:BM13,1),"")</f>
        <v>12</v>
      </c>
      <c r="FJ13" s="207">
        <f>IF(BN13=1,COUNTIF($BN$2:BN13,1),"")</f>
        <v>12</v>
      </c>
      <c r="FK13" s="207">
        <f>IF(BO13=1,COUNTIF($BO$2:BO13,1),"")</f>
        <v>12</v>
      </c>
      <c r="FL13" s="207">
        <f>IF(BP13=1,COUNTIF($BP$2:BP13,1),"")</f>
        <v>12</v>
      </c>
      <c r="FM13" s="207">
        <f>IF(BQ13=1,COUNTIF($BQ$2:BQ13,1),"")</f>
        <v>12</v>
      </c>
      <c r="FN13" s="207">
        <f>IF(BR13=1,COUNTIF($BR$2:BR13,1),"")</f>
        <v>12</v>
      </c>
      <c r="FO13" s="207">
        <f>IF(BS13=1,COUNTIF($BS$2:BS13,1),"")</f>
        <v>12</v>
      </c>
      <c r="FP13" s="207">
        <f>IF(BT13=1,COUNTIF($BT$2:BT13,1),"")</f>
        <v>12</v>
      </c>
      <c r="FQ13" s="207">
        <f>IF(BU13=1,COUNTIF($BU$2:BU13,1),"")</f>
        <v>12</v>
      </c>
      <c r="FR13" s="207">
        <f>IF(BV13=1,COUNTIF($BV$2:BV13,1),"")</f>
        <v>12</v>
      </c>
      <c r="FS13" s="207">
        <f>IF(BW13=1,COUNTIF($BW$2:BW13,1),"")</f>
        <v>12</v>
      </c>
      <c r="FT13" s="207">
        <f>IF(BX13=1,COUNTIF($BX$2:BX13,1),"")</f>
        <v>12</v>
      </c>
      <c r="FU13" s="207">
        <f>IF(BY13=1,COUNTIF($BY$2:BY13,1),"")</f>
        <v>12</v>
      </c>
      <c r="FV13" s="207">
        <f>IF(BZ13=1,COUNTIF($BZ$2:BZ13,1),"")</f>
        <v>12</v>
      </c>
      <c r="FW13" s="207">
        <f>IF(CA13=1,COUNTIF($CA$2:CA13,1),"")</f>
        <v>12</v>
      </c>
      <c r="FX13" s="207">
        <f>IF(CB13=1,COUNTIF($CB$2:CB13,1),"")</f>
        <v>12</v>
      </c>
      <c r="FY13" s="207">
        <f>IF(CC13=1,COUNTIF($CC$2:CC13,1),"")</f>
        <v>12</v>
      </c>
      <c r="FZ13" s="207">
        <f>IF(CD13=1,COUNTIF($CD$2:CD13,1),"")</f>
        <v>12</v>
      </c>
      <c r="GA13" s="207">
        <f>IF(CE13=1,COUNTIF($CE$2:CE13,1),"")</f>
        <v>12</v>
      </c>
      <c r="GB13" s="207">
        <f>IF(CF13=1,COUNTIF($CF$2:CF13,1),"")</f>
        <v>12</v>
      </c>
      <c r="GC13" s="207">
        <f>IF(CG13=1,COUNTIF($CG$2:CG13,1),"")</f>
        <v>12</v>
      </c>
      <c r="GD13" s="207">
        <f>IF(CH13=1,COUNTIF($CH$2:CH13,1),"")</f>
        <v>12</v>
      </c>
      <c r="GE13" s="207">
        <f>IF(CI13=1,COUNTIF($CI$2:CI13,1),"")</f>
        <v>12</v>
      </c>
      <c r="GF13" s="207">
        <f>IF(CJ13=1,COUNTIF($CJ$2:CJ13,1),"")</f>
        <v>12</v>
      </c>
      <c r="GG13" s="207">
        <f>IF(CK13=1,COUNTIF($CK$2:CK13,1),"")</f>
        <v>12</v>
      </c>
      <c r="GH13" s="207">
        <f>IF(CL13=1,COUNTIF($CL$2:CL13,1),"")</f>
        <v>12</v>
      </c>
      <c r="GI13" s="207">
        <f>IF(CM13=1,COUNTIF($CM$2:CM13,1),"")</f>
        <v>12</v>
      </c>
      <c r="GJ13" s="207">
        <f>IF(CN13=1,COUNTIF($CN$2:CN13,1),"")</f>
        <v>12</v>
      </c>
      <c r="GK13" s="207">
        <f>IF(CO13=1,COUNTIF($CO$2:CO13,1),"")</f>
        <v>12</v>
      </c>
      <c r="GL13" s="207">
        <f>IF(CP13=1,COUNTIF($CP$2:CP13,1),"")</f>
        <v>12</v>
      </c>
      <c r="GM13" s="207">
        <f>IF(CQ13=1,COUNTIF($CQ$2:CQ13,1),"")</f>
        <v>12</v>
      </c>
      <c r="GN13" s="207">
        <f>IF(CR13=1,COUNTIF($CR$2:CR13,1),"")</f>
        <v>12</v>
      </c>
      <c r="GO13" s="207">
        <f>IF(CS13=1,COUNTIF($CS$2:CS13,1),"")</f>
        <v>12</v>
      </c>
      <c r="GP13" s="207">
        <f>IF(CT13=1,COUNTIF($CT$2:CT13,1),"")</f>
        <v>12</v>
      </c>
      <c r="GQ13" s="207">
        <f>IF(CU13=1,COUNTIF($CU$2:CU13,1),"")</f>
        <v>12</v>
      </c>
      <c r="GR13" s="207">
        <f>IF(CV13=1,COUNTIF($CV$2:CV13,1),"")</f>
        <v>12</v>
      </c>
      <c r="GS13" s="207">
        <f>IF(CW13=1,COUNTIF($CW$2:CW13,1),"")</f>
        <v>12</v>
      </c>
      <c r="GT13" s="207">
        <f>IF(CX13=1,COUNTIF($CX$2:CX13,1),"")</f>
        <v>12</v>
      </c>
      <c r="GU13" s="207">
        <f>IF(CY13=1,COUNTIF($CY$2:CY13,1),"")</f>
        <v>12</v>
      </c>
      <c r="GV13" s="207">
        <f>IF(CZ13=1,COUNTIF($CZ$2:CZ13,1),"")</f>
        <v>12</v>
      </c>
      <c r="GW13" s="207">
        <f>IF(DA13=1,COUNTIF($DA$2:DA13,1),"")</f>
        <v>12</v>
      </c>
      <c r="GX13" s="206" t="str">
        <f>IFERROR(INDEX($A$2:$A$113,MATCH(ROWS($DB$2:DB13),$DB$2:$DB$113,0)),"")</f>
        <v>LESIONES CULPOSAS POR OTROS HECHOS</v>
      </c>
      <c r="GY13" s="206" t="str">
        <f>IFERROR(INDEX($A$2:$A$113,MATCH(ROWS($DC$2:DC13),$DC$2:$DC$113,0)),"")</f>
        <v>LESIONES CULPOSAS POR OTROS HECHOS</v>
      </c>
      <c r="GZ13" s="206" t="str">
        <f>IFERROR(INDEX($A$2:$A$113,MATCH(ROWS($DD$2:DD13),$DD$2:$DD$113,0)),"")</f>
        <v>LESIONES CULPOSAS POR OTROS HECHOS</v>
      </c>
      <c r="HA13" s="206" t="str">
        <f>IFERROR(INDEX($A$2:$A$113,MATCH(ROWS($DE$2:DE13),$DE$2:$DE$113,0)),"")</f>
        <v>LESIONES CULPOSAS POR OTROS HECHOS</v>
      </c>
      <c r="HB13" s="206" t="str">
        <f>IFERROR(INDEX($A$2:$A$113,MATCH(ROWS($DF$2:DF13),$DF$2:$DF$113,0)),"")</f>
        <v>LESIONES CULPOSAS POR OTROS HECHOS</v>
      </c>
      <c r="HC13" s="206" t="str">
        <f>IFERROR(INDEX($A$2:$A$113,MATCH(ROWS($DG$2:DG13),$DG$2:$DG$113,0)),"")</f>
        <v>LESIONES CULPOSAS POR OTROS HECHOS</v>
      </c>
      <c r="HD13" s="206" t="str">
        <f>IFERROR(INDEX($A$2:$A$113,MATCH(ROWS($DH$2:DH13),$DH$2:$DH$113,0)),"")</f>
        <v>LESIONES CULPOSAS POR OTROS HECHOS</v>
      </c>
      <c r="HE13" s="206" t="str">
        <f>IFERROR(INDEX($A$2:$A$113,MATCH(ROWS($DI$2:DI13),$DI$2:$DI$113,0)),"")</f>
        <v>LESIONES CULPOSAS POR OTROS HECHOS</v>
      </c>
      <c r="HF13" s="206" t="str">
        <f>IFERROR(INDEX($A$2:$A$113,MATCH(ROWS($DJ$2:DJ13),$DJ$2:$DJ$113,0)),"")</f>
        <v>LESIONES CULPOSAS POR OTROS HECHOS</v>
      </c>
      <c r="HG13" s="206" t="str">
        <f>IFERROR(INDEX($A$2:$A$113,MATCH(ROWS($DK$2:DK13),$DK$2:$DK$113,0)),"")</f>
        <v>LESIONES CULPOSAS POR OTROS HECHOS</v>
      </c>
      <c r="HH13" s="206" t="str">
        <f>IFERROR(INDEX($A$2:$A$113,MATCH(ROWS($DL$2:DL13),$DL$2:$DL$113,0)),"")</f>
        <v>LESIONES CULPOSAS POR OTROS HECHOS</v>
      </c>
      <c r="HI13" s="206" t="str">
        <f>IFERROR(INDEX($A$2:$A$113,MATCH(ROWS($DM$2:DM13),$DM$2:$DM$113,0)),"")</f>
        <v>LESIONES CULPOSAS POR OTROS HECHOS</v>
      </c>
      <c r="HJ13" s="206" t="str">
        <f>IFERROR(INDEX($A$2:$A$113,MATCH(ROWS($DN$2:DN13),$DN$2:$DN$113,0)),"")</f>
        <v>LESIONES CULPOSAS POR OTROS HECHOS</v>
      </c>
      <c r="HK13" s="206" t="str">
        <f>IFERROR(INDEX($A$2:$A$113,MATCH(ROWS($DO$2:DO13),$DO$2:$DO$113,0)),"")</f>
        <v>LESIONES CULPOSAS POR OTROS HECHOS</v>
      </c>
      <c r="HL13" s="206" t="str">
        <f>IFERROR(INDEX($A$2:$A$113,MATCH(ROWS($DP$2:DP13),$DP$2:$DP$113,0)),"")</f>
        <v>LESIONES CULPOSAS POR OTROS HECHOS</v>
      </c>
      <c r="HM13" s="206" t="str">
        <f>IFERROR(INDEX($A$2:$A$113,MATCH(ROWS($DQ$2:DQ13),$DQ$2:$DQ$113,0)),"")</f>
        <v>LESIONES CULPOSAS POR OTROS HECHOS</v>
      </c>
      <c r="HN13" s="206" t="str">
        <f>IFERROR(INDEX($A$2:$A$113,MATCH(ROWS($DR$2:DR13),$DR$2:$DR$113,0)),"")</f>
        <v>LESIONES CULPOSAS POR OTROS HECHOS</v>
      </c>
      <c r="HO13" s="206" t="str">
        <f>IFERROR(INDEX($A$2:$A$113,MATCH(ROWS($DS$2:DS13),$DS$2:$DS$113,0)),"")</f>
        <v>LESIONES CULPOSAS POR OTROS HECHOS</v>
      </c>
      <c r="HP13" s="206" t="str">
        <f>IFERROR(INDEX($A$2:$A$113,MATCH(ROWS($DT$2:DT13),$DT$2:$DT$113,0)),"")</f>
        <v>LESIONES CULPOSAS POR OTROS HECHOS</v>
      </c>
      <c r="HQ13" s="206" t="str">
        <f>IFERROR(INDEX($A$2:$A$113,MATCH(ROWS($DU$2:DU13),$DU$2:$DU$113,0)),"")</f>
        <v>LESIONES CULPOSAS POR OTROS HECHOS</v>
      </c>
      <c r="HR13" s="206" t="str">
        <f>IFERROR(INDEX($A$2:$A$113,MATCH(ROWS($DV$2:DV13),$DV$2:$DV$113,0)),"")</f>
        <v>LESIONES CULPOSAS POR OTROS HECHOS</v>
      </c>
      <c r="HS13" s="206" t="str">
        <f>IFERROR(INDEX($A$2:$A$113,MATCH(ROWS($DW$2:DW13),$DW$2:$DW$113,0)),"")</f>
        <v>LESIONES CULPOSAS POR OTROS HECHOS</v>
      </c>
      <c r="HT13" s="206" t="str">
        <f>IFERROR(INDEX($A$2:$A$113,MATCH(ROWS($DX$2:DX13),$DX$2:$DX$113,0)),"")</f>
        <v>LESIONES CULPOSAS POR OTROS HECHOS</v>
      </c>
      <c r="HU13" s="206" t="str">
        <f>IFERROR(INDEX($A$2:$A$113,MATCH(ROWS($DY$2:DY13),$DY$2:$DY$113,0)),"")</f>
        <v>LESIONES CULPOSAS POR OTROS HECHOS</v>
      </c>
      <c r="HV13" s="206" t="str">
        <f>IFERROR(INDEX($A$2:$A$113,MATCH(ROWS($DZ$2:DZ13),$DZ$2:$DZ$113,0)),"")</f>
        <v>LESIONES CULPOSAS POR OTROS HECHOS</v>
      </c>
      <c r="HW13" s="206" t="str">
        <f>IFERROR(INDEX($A$2:$A$113,MATCH(ROWS($EA$2:EA13),$EA$2:$EA$113,0)),"")</f>
        <v>LESIONES CULPOSAS POR OTROS HECHOS</v>
      </c>
      <c r="HX13" s="206" t="str">
        <f>IFERROR(INDEX($A$2:$A$113,MATCH(ROWS($EB$2:EB13),$EB$2:$EB$113,0)),"")</f>
        <v>LESIONES CULPOSAS POR OTROS HECHOS</v>
      </c>
      <c r="HY13" s="206" t="str">
        <f>IFERROR(INDEX($A$2:$A$113,MATCH(ROWS($EC$2:EC13),$EC$2:$EC$113,0)),"")</f>
        <v>LESIONES CULPOSAS POR OTROS HECHOS</v>
      </c>
      <c r="HZ13" s="206" t="str">
        <f>IFERROR(INDEX($A$2:$A$113,MATCH(ROWS($ED$2:ED13),$ED$2:$ED$113,0)),"")</f>
        <v>LESIONES CULPOSAS POR OTROS HECHOS</v>
      </c>
      <c r="IA13" s="206" t="str">
        <f>IFERROR(INDEX($A$2:$A$113,MATCH(ROWS($EE$2:EE13),$EE$2:$EE$113,0)),"")</f>
        <v>LESIONES CULPOSAS POR OTROS HECHOS</v>
      </c>
      <c r="IB13" s="206" t="str">
        <f>IFERROR(INDEX($A$2:$A$113,MATCH(ROWS($EF$2:EF13),$EF$2:$EF$113,0)),"")</f>
        <v>LESIONES CULPOSAS POR OTROS HECHOS</v>
      </c>
      <c r="IC13" s="206" t="str">
        <f>IFERROR(INDEX($A$2:$A$113,MATCH(ROWS($EG$2:EG13),$EG$2:$EG$113,0)),"")</f>
        <v>LESIONES CULPOSAS POR OTROS HECHOS</v>
      </c>
      <c r="ID13" s="206" t="str">
        <f>IFERROR(INDEX($A$2:$A$113,MATCH(ROWS($EH$2:EH13),$EH$2:$EH$113,0)),"")</f>
        <v>LESIONES CULPOSAS POR OTROS HECHOS</v>
      </c>
      <c r="IE13" s="206" t="str">
        <f>IFERROR(INDEX($A$2:$A$113,MATCH(ROWS($EI$2:EI13),$EI$2:$EI$113,0)),"")</f>
        <v>LESIONES CULPOSAS POR OTROS HECHOS</v>
      </c>
      <c r="IF13" s="206" t="str">
        <f>IFERROR(INDEX($A$2:$A$113,MATCH(ROWS($EJ$2:EJ13),$EJ$2:$EJ$113,0)),"")</f>
        <v>LESIONES CULPOSAS POR OTROS HECHOS</v>
      </c>
      <c r="IG13" s="206" t="str">
        <f>IFERROR(INDEX($A$2:$A$113,MATCH(ROWS($EK$2:EK13),$EK$2:$EK$113,0)),"")</f>
        <v>LESIONES CULPOSAS POR OTROS HECHOS</v>
      </c>
      <c r="IH13" s="206" t="str">
        <f>IFERROR(INDEX($A$2:$A$113,MATCH(ROWS($EL$2:EL13),$EL$2:$EL$113,0)),"")</f>
        <v>LESIONES CULPOSAS POR OTROS HECHOS</v>
      </c>
      <c r="II13" s="206" t="str">
        <f>IFERROR(INDEX($A$2:$A$113,MATCH(ROWS($EM$2:EM13),$EM$2:$EM$113,0)),"")</f>
        <v>LESIONES CULPOSAS POR OTROS HECHOS</v>
      </c>
      <c r="IJ13" s="206" t="str">
        <f>IFERROR(INDEX($A$2:$A$113,MATCH(ROWS($EN$2:EN13),$EN$2:$EN$113,0)),"")</f>
        <v>LESIONES CULPOSAS POR OTROS HECHOS</v>
      </c>
      <c r="IK13" s="207" t="str">
        <f>IFERROR(INDEX($A$2:$A$113,MATCH(ROWS($EO$2:EO13),$EO$2:$EO$113,0)),"")</f>
        <v>LESIONES CULPOSAS POR OTROS HECHOS</v>
      </c>
      <c r="IL13" s="207" t="str">
        <f>IFERROR(INDEX($A$2:$A$113,MATCH(ROWS($EP$2:EP13),$EP$2:$EP$113,0)),"")</f>
        <v>LESIONES CULPOSAS POR OTROS HECHOS</v>
      </c>
      <c r="IM13" s="207" t="str">
        <f>IFERROR(INDEX($A$2:$A$113,MATCH(ROWS($EQ$2:EQ13),$EQ$2:$EQ$113,0)),"")</f>
        <v>LESIONES CULPOSAS POR OTROS HECHOS</v>
      </c>
      <c r="IN13" s="207" t="str">
        <f>IFERROR(INDEX($A$2:$A$113,MATCH(ROWS($ER$2:ER13),$ER$2:$ER$113,0)),"")</f>
        <v>LESIONES CULPOSAS POR OTROS HECHOS</v>
      </c>
      <c r="IO13" s="207" t="str">
        <f>IFERROR(INDEX($A$2:$A$113,MATCH(ROWS($ES$2:ES13),$ES$2:$ES$113,0)),"")</f>
        <v>LESIONES CULPOSAS POR OTROS HECHOS</v>
      </c>
      <c r="IP13" s="207" t="str">
        <f>IFERROR(INDEX($A$2:$A$113,MATCH(ROWS($ET$2:ET13),$ET$2:$ET$113,0)),"")</f>
        <v>LESIONES CULPOSAS POR OTROS HECHOS</v>
      </c>
      <c r="IQ13" s="207" t="str">
        <f>IFERROR(INDEX($A$2:$A$113,MATCH(ROWS($EU$2:EU13),$EU$2:$EU$113,0)),"")</f>
        <v>LESIONES CULPOSAS POR OTROS HECHOS</v>
      </c>
      <c r="IR13" s="207" t="str">
        <f>IFERROR(INDEX($A$2:$A$113,MATCH(ROWS($EV$2:EV13),$EV$2:$EV$113,0)),"")</f>
        <v>LESIONES CULPOSAS POR OTROS HECHOS</v>
      </c>
      <c r="IS13" s="207" t="str">
        <f>IFERROR(INDEX($A$2:$A$113,MATCH(ROWS($EW$2:EW13),$EW$2:$EW$113,0)),"")</f>
        <v>LESIONES CULPOSAS POR OTROS HECHOS</v>
      </c>
      <c r="IT13" s="207" t="str">
        <f>IFERROR(INDEX($A$2:$A$113,MATCH(ROWS($EX$2:EX13),$EX$2:$EX$113,0)),"")</f>
        <v>LESIONES CULPOSAS POR OTROS HECHOS</v>
      </c>
      <c r="IU13" s="207" t="str">
        <f>IFERROR(INDEX($A$2:$A$113,MATCH(ROWS($EY$2:EY13),$EY$2:$EY$113,0)),"")</f>
        <v>LESIONES CULPOSAS POR OTROS HECHOS</v>
      </c>
      <c r="IV13" s="207" t="str">
        <f>IFERROR(INDEX($A$2:$A$113,MATCH(ROWS($EZ$2:EZ13),$EZ$2:$EZ$113,0)),"")</f>
        <v>LESIONES CULPOSAS POR OTROS HECHOS</v>
      </c>
      <c r="IW13" s="207" t="str">
        <f>IFERROR(INDEX($A$2:$A$113,MATCH(ROWS($FA$2:FA13),$FA$2:$FA$113,0)),"")</f>
        <v>LESIONES CULPOSAS POR OTROS HECHOS</v>
      </c>
      <c r="IX13" s="207" t="str">
        <f>IFERROR(INDEX($A$2:$A$113,MATCH(ROWS($FB$2:FB13),$FB$2:$FB$113,0)),"")</f>
        <v>LESIONES CULPOSAS POR OTROS HECHOS</v>
      </c>
      <c r="IY13" s="207" t="str">
        <f>IFERROR(INDEX($A$2:$A$113,MATCH(ROWS($FC$2:FC13),$FC$2:$FC$113,0)),"")</f>
        <v>LESIONES CULPOSAS POR OTROS HECHOS</v>
      </c>
      <c r="IZ13" s="207" t="str">
        <f>IFERROR(INDEX($A$2:$A$113,MATCH(ROWS($FD$2:FD13),$FD$2:$FD$113,0)),"")</f>
        <v>LESIONES CULPOSAS POR OTROS HECHOS</v>
      </c>
      <c r="JA13" s="207" t="str">
        <f>IFERROR(INDEX($A$2:$A$113,MATCH(ROWS($FE$2:FE13),$FE$2:$FE$113,0)),"")</f>
        <v>LESIONES CULPOSAS POR OTROS HECHOS</v>
      </c>
      <c r="JB13" s="207" t="str">
        <f>IFERROR(INDEX($A$2:$A$113,MATCH(ROWS($FF$2:FF13),$FF$2:$FF$113,0)),"")</f>
        <v>LESIONES CULPOSAS POR OTROS HECHOS</v>
      </c>
      <c r="JC13" s="207" t="str">
        <f>IFERROR(INDEX($A$2:$A$113,MATCH(ROWS($FG$2:FG13),$FG$2:$FG$113,0)),"")</f>
        <v>LESIONES CULPOSAS POR OTROS HECHOS</v>
      </c>
      <c r="JD13" s="207" t="str">
        <f>IFERROR(INDEX($A$2:$A$113,MATCH(ROWS($FH$2:FH13),$FH$2:$FH$113,0)),"")</f>
        <v>LESIONES CULPOSAS POR OTROS HECHOS</v>
      </c>
      <c r="JE13" s="207" t="str">
        <f>IFERROR(INDEX($A$2:$A$113,MATCH(ROWS($FI$2:FI13),$FI$2:$FI$113,0)),"")</f>
        <v>LESIONES CULPOSAS POR OTROS HECHOS</v>
      </c>
      <c r="JF13" s="207" t="str">
        <f>IFERROR(INDEX($A$2:$A$113,MATCH(ROWS($FJ$2:FJ13),$FJ$2:$FJ$113,0)),"")</f>
        <v>LESIONES CULPOSAS POR OTROS HECHOS</v>
      </c>
      <c r="JG13" s="207" t="str">
        <f>IFERROR(INDEX($A$2:$A$113,MATCH(ROWS($FK$2:FK13),$FK$2:$FK$113,0)),"")</f>
        <v>LESIONES CULPOSAS POR OTROS HECHOS</v>
      </c>
      <c r="JH13" s="207" t="str">
        <f>IFERROR(INDEX($A$2:$A$113,MATCH(ROWS($FL$2:FL13),$FL$2:$FL$113,0)),"")</f>
        <v>LESIONES CULPOSAS POR OTROS HECHOS</v>
      </c>
      <c r="JI13" s="207" t="str">
        <f>IFERROR(INDEX($A$2:$A$113,MATCH(ROWS($FM$2:FM13),$FM$2:$FM$113,0)),"")</f>
        <v>LESIONES CULPOSAS POR OTROS HECHOS</v>
      </c>
      <c r="JJ13" s="207" t="str">
        <f>IFERROR(INDEX($A$2:$A$113,MATCH(ROWS($FN$2:FN13),$FN$2:$FN$113,0)),"")</f>
        <v>LESIONES CULPOSAS POR OTROS HECHOS</v>
      </c>
      <c r="JK13" s="207" t="str">
        <f>IFERROR(INDEX($A$2:$A$113,MATCH(ROWS($FO$2:FO13),$FO$2:$FO$113,0)),"")</f>
        <v>LESIONES CULPOSAS POR OTROS HECHOS</v>
      </c>
      <c r="JL13" s="207" t="str">
        <f>IFERROR(INDEX($A$2:$A$113,MATCH(ROWS($FP$2:FP13),$FP$2:$FP$113,0)),"")</f>
        <v>LESIONES CULPOSAS POR OTROS HECHOS</v>
      </c>
      <c r="JM13" s="207" t="str">
        <f>IFERROR(INDEX($A$2:$A$113,MATCH(ROWS($FQ$2:FQ13),$FQ$2:$FQ$113,0)),"")</f>
        <v>LESIONES CULPOSAS POR OTROS HECHOS</v>
      </c>
      <c r="JN13" s="207" t="str">
        <f>IFERROR(INDEX($A$2:$A$113,MATCH(ROWS($FR$2:FR13),$FR$2:$FR$113,0)),"")</f>
        <v>LESIONES CULPOSAS POR OTROS HECHOS</v>
      </c>
      <c r="JO13" s="207" t="str">
        <f>IFERROR(INDEX($A$2:$A$113,MATCH(ROWS($FS$2:FS13),$FS$2:$FS$113,0)),"")</f>
        <v>LESIONES CULPOSAS POR OTROS HECHOS</v>
      </c>
      <c r="JP13" s="207" t="str">
        <f>IFERROR(INDEX($A$2:$A$113,MATCH(ROWS($FT$2:FT13),$FT$2:$FT$113,0)),"")</f>
        <v>LESIONES CULPOSAS POR OTROS HECHOS</v>
      </c>
      <c r="JQ13" s="207" t="str">
        <f>IFERROR(INDEX($A$2:$A$113,MATCH(ROWS($FU$2:FU13),$FU$2:$FU$113,0)),"")</f>
        <v>LESIONES CULPOSAS POR OTROS HECHOS</v>
      </c>
      <c r="JR13" s="207" t="str">
        <f>IFERROR(INDEX($A$2:$A$113,MATCH(ROWS($FV$2:FV13),$FV$2:$FV$113,0)),"")</f>
        <v>LESIONES CULPOSAS POR OTROS HECHOS</v>
      </c>
      <c r="JS13" s="207" t="str">
        <f>IFERROR(INDEX($A$2:$A$113,MATCH(ROWS($FW$2:FW13),$FW$2:$FW$113,0)),"")</f>
        <v>LESIONES CULPOSAS POR OTROS HECHOS</v>
      </c>
      <c r="JT13" s="207" t="str">
        <f>IFERROR(INDEX($A$2:$A$113,MATCH(ROWS($FX$2:FX13),$FX$2:$FX$113,0)),"")</f>
        <v>LESIONES CULPOSAS POR OTROS HECHOS</v>
      </c>
      <c r="JU13" s="207" t="str">
        <f>IFERROR(INDEX($A$2:$A$113,MATCH(ROWS($FY$2:FY13),$FY$2:$FY$113,0)),"")</f>
        <v>LESIONES CULPOSAS POR OTROS HECHOS</v>
      </c>
      <c r="JV13" s="207" t="str">
        <f>IFERROR(INDEX($A$2:$A$113,MATCH(ROWS($FZ$2:FZ13),$FZ$2:$FZ$113,0)),"")</f>
        <v>LESIONES CULPOSAS POR OTROS HECHOS</v>
      </c>
      <c r="JW13" s="207" t="str">
        <f>IFERROR(INDEX($A$2:$A$113,MATCH(ROWS($GA$2:GA13),$GA$2:$GA$113,0)),"")</f>
        <v>LESIONES CULPOSAS POR OTROS HECHOS</v>
      </c>
      <c r="JX13" s="207" t="str">
        <f>IFERROR(INDEX($A$2:$A$113,MATCH(ROWS($GB$2:GB13),$GB$2:$GB$113,0)),"")</f>
        <v>LESIONES CULPOSAS POR OTROS HECHOS</v>
      </c>
      <c r="JY13" s="207" t="str">
        <f>IFERROR(INDEX($A$2:$A$113,MATCH(ROWS($GC$2:GC13),$GC$2:$GC$113,0)),"")</f>
        <v>LESIONES CULPOSAS POR OTROS HECHOS</v>
      </c>
      <c r="JZ13" s="207" t="str">
        <f>IFERROR(INDEX($A$2:$A$113,MATCH(ROWS($GD$2:GD13),$GD$2:$GD$113,0)),"")</f>
        <v>LESIONES CULPOSAS POR OTROS HECHOS</v>
      </c>
      <c r="KA13" s="207" t="str">
        <f>IFERROR(INDEX($A$2:$A$113,MATCH(ROWS($GE$2:GE13),$GE$2:$GE$113,0)),"")</f>
        <v>LESIONES CULPOSAS POR OTROS HECHOS</v>
      </c>
      <c r="KB13" s="207" t="str">
        <f>IFERROR(INDEX($A$2:$A$113,MATCH(ROWS($GF$2:GF13),$GF$2:$GF$113,0)),"")</f>
        <v>LESIONES CULPOSAS POR OTROS HECHOS</v>
      </c>
      <c r="KC13" s="207" t="str">
        <f>IFERROR(INDEX($A$2:$A$113,MATCH(ROWS($GG$2:GG13),$GG$2:$GG$113,0)),"")</f>
        <v>LESIONES CULPOSAS POR OTROS HECHOS</v>
      </c>
      <c r="KD13" s="207" t="str">
        <f>IFERROR(INDEX($A$2:$A$113,MATCH(ROWS($GH$2:GH13),$GH$2:$GH$113,0)),"")</f>
        <v>LESIONES CULPOSAS POR OTROS HECHOS</v>
      </c>
      <c r="KE13" s="207" t="str">
        <f>IFERROR(INDEX($A$2:$A$113,MATCH(ROWS($GI$2:GI13),$GI$2:$GI$113,0)),"")</f>
        <v>LESIONES CULPOSAS POR OTROS HECHOS</v>
      </c>
      <c r="KF13" s="207" t="str">
        <f>IFERROR(INDEX($A$2:$A$113,MATCH(ROWS($GJ$2:GJ13),$GJ$2:$GJ$113,0)),"")</f>
        <v>LESIONES CULPOSAS POR OTROS HECHOS</v>
      </c>
      <c r="KG13" s="207" t="str">
        <f>IFERROR(INDEX($A$2:$A$113,MATCH(ROWS($GK$2:GK13),$GK$2:$GK$113,0)),"")</f>
        <v>LESIONES CULPOSAS POR OTROS HECHOS</v>
      </c>
      <c r="KH13" s="207" t="str">
        <f>IFERROR(INDEX($A$2:$A$113,MATCH(ROWS($GL$2:GL13),$GL$2:$GL$113,0)),"")</f>
        <v>LESIONES CULPOSAS POR OTROS HECHOS</v>
      </c>
      <c r="KI13" s="207" t="str">
        <f>IFERROR(INDEX($A$2:$A$113,MATCH(ROWS($GM$2:GM13),$GM$2:$GM$113,0)),"")</f>
        <v>LESIONES CULPOSAS POR OTROS HECHOS</v>
      </c>
      <c r="KJ13" s="207" t="str">
        <f>IFERROR(INDEX($A$2:$A$113,MATCH(ROWS($GN$2:GN13),$GN$2:$GN$113,0)),"")</f>
        <v>LESIONES CULPOSAS POR OTROS HECHOS</v>
      </c>
      <c r="KK13" s="207" t="str">
        <f>IFERROR(INDEX($A$2:$A$113,MATCH(ROWS($GO$2:GO13),$GO$2:$GO$113,0)),"")</f>
        <v>LESIONES CULPOSAS POR OTROS HECHOS</v>
      </c>
      <c r="KL13" s="207" t="str">
        <f>IFERROR(INDEX($A$2:$A$113,MATCH(ROWS($GP$2:GP13),$GP$2:$GP$113,0)),"")</f>
        <v>LESIONES CULPOSAS POR OTROS HECHOS</v>
      </c>
      <c r="KM13" s="207" t="str">
        <f>IFERROR(INDEX($A$2:$A$113,MATCH(ROWS($GQ$2:GQ13),$GQ$2:$GQ$113,0)),"")</f>
        <v>LESIONES CULPOSAS POR OTROS HECHOS</v>
      </c>
      <c r="KN13" s="207" t="str">
        <f>IFERROR(INDEX($A$2:$A$113,MATCH(ROWS($GR$2:GR13),$GR$2:$GR$113,0)),"")</f>
        <v>LESIONES CULPOSAS POR OTROS HECHOS</v>
      </c>
      <c r="KO13" s="207" t="str">
        <f>IFERROR(INDEX($A$2:$A$113,MATCH(ROWS($GS$2:GS13),$GS$2:$GS$113,0)),"")</f>
        <v>LESIONES CULPOSAS POR OTROS HECHOS</v>
      </c>
      <c r="KP13" s="207" t="str">
        <f>IFERROR(INDEX($A$2:$A$113,MATCH(ROWS($GT$2:GT13),$GT$2:$GT$113,0)),"")</f>
        <v>LESIONES CULPOSAS POR OTROS HECHOS</v>
      </c>
      <c r="KQ13" s="207" t="str">
        <f>IFERROR(INDEX($A$2:$A$113,MATCH(ROWS($GU$2:GU13),$GU$2:$GU$113,0)),"")</f>
        <v>LESIONES CULPOSAS POR OTROS HECHOS</v>
      </c>
      <c r="KR13" s="207" t="str">
        <f>IFERROR(INDEX($A$2:$A$113,MATCH(ROWS($GV$2:GV13),$GV$2:$GV$113,0)),"")</f>
        <v>LESIONES CULPOSAS POR OTROS HECHOS</v>
      </c>
      <c r="KS13" s="207" t="str">
        <f>IFERROR(INDEX($A$2:$A$113,MATCH(ROWS($GW$2:GW13),$GW$2:$GW$113,0)),"")</f>
        <v>LESIONES CULPOSAS POR OTROS HECHOS</v>
      </c>
    </row>
    <row r="14" spans="1:305" x14ac:dyDescent="0.25">
      <c r="A14" s="206" t="s">
        <v>68</v>
      </c>
      <c r="B14" s="206">
        <v>8</v>
      </c>
      <c r="D14" s="206" t="s">
        <v>786</v>
      </c>
      <c r="E14" s="206" t="s">
        <v>785</v>
      </c>
      <c r="F14" s="207">
        <f>--ISNUMBER(IFERROR(SEARCH('PLANILLA DJ'!$X$3,$A14,1),""))</f>
        <v>1</v>
      </c>
      <c r="G14" s="207">
        <f>--ISNUMBER(IFERROR(SEARCH('PLANILLA DJ'!$X$4,$A14,1),""))</f>
        <v>1</v>
      </c>
      <c r="H14" s="207">
        <f>--ISNUMBER(IFERROR(SEARCH('PLANILLA DJ'!$X$5,$A14,1),""))</f>
        <v>1</v>
      </c>
      <c r="I14" s="207">
        <f>--ISNUMBER(IFERROR(SEARCH('PLANILLA DJ'!$X$6,$A14,1),""))</f>
        <v>1</v>
      </c>
      <c r="J14" s="207">
        <f>--ISNUMBER(IFERROR(SEARCH('PLANILLA DJ'!$X$7,$A14,1),""))</f>
        <v>1</v>
      </c>
      <c r="K14" s="207">
        <f>--ISNUMBER(IFERROR(SEARCH('PLANILLA DJ'!$X$8,$A14,1),""))</f>
        <v>1</v>
      </c>
      <c r="L14" s="207">
        <f>--ISNUMBER(IFERROR(SEARCH('PLANILLA DJ'!$X$9,$A14,1),""))</f>
        <v>1</v>
      </c>
      <c r="M14" s="207">
        <f>--ISNUMBER(IFERROR(SEARCH('PLANILLA DJ'!$X$10,$A14,1),""))</f>
        <v>1</v>
      </c>
      <c r="N14" s="207">
        <f>--ISNUMBER(IFERROR(SEARCH('PLANILLA DJ'!$X$11,$A14,1),""))</f>
        <v>1</v>
      </c>
      <c r="O14" s="207">
        <f>--ISNUMBER(IFERROR(SEARCH('PLANILLA DJ'!$X$12,$A14,1),""))</f>
        <v>1</v>
      </c>
      <c r="P14" s="207">
        <f>--ISNUMBER(IFERROR(SEARCH('PLANILLA DJ'!$X$13,$A14,1),""))</f>
        <v>1</v>
      </c>
      <c r="Q14" s="207">
        <f>--ISNUMBER(IFERROR(SEARCH('PLANILLA DJ'!$X$14,$A14,1),""))</f>
        <v>1</v>
      </c>
      <c r="R14" s="207">
        <f>--ISNUMBER(IFERROR(SEARCH('PLANILLA DJ'!$X$15,$A14,1),""))</f>
        <v>1</v>
      </c>
      <c r="S14" s="207">
        <f>--ISNUMBER(IFERROR(SEARCH('PLANILLA DJ'!$X$16,$A14,1),""))</f>
        <v>1</v>
      </c>
      <c r="T14" s="207">
        <f>--ISNUMBER(IFERROR(SEARCH('PLANILLA DJ'!$X$17,$A14,1),""))</f>
        <v>1</v>
      </c>
      <c r="U14" s="207">
        <f>--ISNUMBER(IFERROR(SEARCH('PLANILLA DJ'!$X$18,$A14,1),""))</f>
        <v>1</v>
      </c>
      <c r="V14" s="207">
        <f>--ISNUMBER(IFERROR(SEARCH('PLANILLA DJ'!$X$19,$A14,1),""))</f>
        <v>1</v>
      </c>
      <c r="W14" s="207">
        <f>--ISNUMBER(IFERROR(SEARCH('PLANILLA DJ'!$X$20,$A14,1),""))</f>
        <v>1</v>
      </c>
      <c r="X14" s="207">
        <f>--ISNUMBER(IFERROR(SEARCH('PLANILLA DJ'!$X$21,$A14,1),""))</f>
        <v>1</v>
      </c>
      <c r="Y14" s="207">
        <f>--ISNUMBER(IFERROR(SEARCH('PLANILLA DJ'!$X$22,$A14,1),""))</f>
        <v>1</v>
      </c>
      <c r="Z14" s="207">
        <f>--ISNUMBER(IFERROR(SEARCH('PLANILLA DJ'!$X$23,$A14,1),""))</f>
        <v>1</v>
      </c>
      <c r="AA14" s="207">
        <f>--ISNUMBER(IFERROR(SEARCH('PLANILLA DJ'!$X$24,$A14,1),""))</f>
        <v>1</v>
      </c>
      <c r="AB14" s="207">
        <f>--ISNUMBER(IFERROR(SEARCH('PLANILLA DJ'!$X$25,$A14,1),""))</f>
        <v>1</v>
      </c>
      <c r="AC14" s="207">
        <f>--ISNUMBER(IFERROR(SEARCH('PLANILLA DJ'!$X$26,$A14,1),""))</f>
        <v>1</v>
      </c>
      <c r="AD14" s="207">
        <f>--ISNUMBER(IFERROR(SEARCH('PLANILLA DJ'!$X$27,$A14,1),""))</f>
        <v>1</v>
      </c>
      <c r="AE14" s="207">
        <f>--ISNUMBER(IFERROR(SEARCH('PLANILLA DJ'!$X$28,$A14,1),""))</f>
        <v>1</v>
      </c>
      <c r="AF14" s="207">
        <f>--ISNUMBER(IFERROR(SEARCH('PLANILLA DJ'!$X$29,$A14,1),""))</f>
        <v>1</v>
      </c>
      <c r="AG14" s="207">
        <f>--ISNUMBER(IFERROR(SEARCH('PLANILLA DJ'!$X$30,$A14,1),""))</f>
        <v>1</v>
      </c>
      <c r="AH14" s="207">
        <f>--ISNUMBER(IFERROR(SEARCH('PLANILLA DJ'!$X$31,$A14,1),""))</f>
        <v>1</v>
      </c>
      <c r="AI14" s="207">
        <f>--ISNUMBER(IFERROR(SEARCH('PLANILLA DJ'!$X$32,$A14,1),""))</f>
        <v>1</v>
      </c>
      <c r="AJ14" s="207">
        <f>--ISNUMBER(IFERROR(SEARCH('PLANILLA DJ'!$X$33,$A14,1),""))</f>
        <v>1</v>
      </c>
      <c r="AK14" s="207">
        <f>--ISNUMBER(IFERROR(SEARCH('PLANILLA DJ'!$X$34,$A14,1),""))</f>
        <v>1</v>
      </c>
      <c r="AL14" s="207">
        <f>--ISNUMBER(IFERROR(SEARCH('PLANILLA DJ'!$X$35,$A14,1),""))</f>
        <v>1</v>
      </c>
      <c r="AM14" s="207">
        <f>--ISNUMBER(IFERROR(SEARCH('PLANILLA DJ'!$X$36,$A14,1),""))</f>
        <v>1</v>
      </c>
      <c r="AN14" s="207">
        <f>--ISNUMBER(IFERROR(SEARCH('PLANILLA DJ'!$X$37,$A14,1),""))</f>
        <v>1</v>
      </c>
      <c r="AO14" s="207">
        <f>--ISNUMBER(IFERROR(SEARCH('PLANILLA DJ'!$X$38,$A14,1),""))</f>
        <v>1</v>
      </c>
      <c r="AP14" s="207">
        <f>--ISNUMBER(IFERROR(SEARCH('PLANILLA DJ'!$X$39,$A14,1),""))</f>
        <v>1</v>
      </c>
      <c r="AQ14" s="207">
        <f>--ISNUMBER(IFERROR(SEARCH('PLANILLA DJ'!$X$40,$A14,1),""))</f>
        <v>1</v>
      </c>
      <c r="AR14" s="207">
        <f>--ISNUMBER(IFERROR(SEARCH('PLANILLA DJ'!$X$41,$A14,1),""))</f>
        <v>1</v>
      </c>
      <c r="AS14" s="207">
        <f>--ISNUMBER(IFERROR(SEARCH('PLANILLA DJ'!$X$42,$A14,1),""))</f>
        <v>1</v>
      </c>
      <c r="AT14" s="207">
        <f>--ISNUMBER(IFERROR(SEARCH('PLANILLA DJ'!$X$43,$A14,1),""))</f>
        <v>1</v>
      </c>
      <c r="AU14" s="207">
        <f>--ISNUMBER(IFERROR(SEARCH('PLANILLA DJ'!$X$44,$A14,1),""))</f>
        <v>1</v>
      </c>
      <c r="AV14" s="207">
        <f>--ISNUMBER(IFERROR(SEARCH('PLANILLA DJ'!$X$45,$A14,1),""))</f>
        <v>1</v>
      </c>
      <c r="AW14" s="207">
        <f>--ISNUMBER(IFERROR(SEARCH('PLANILLA DJ'!$X$46,$A14,1),""))</f>
        <v>1</v>
      </c>
      <c r="AX14" s="207">
        <f>--ISNUMBER(IFERROR(SEARCH('PLANILLA DJ'!$X$47,$A14,1),""))</f>
        <v>1</v>
      </c>
      <c r="AY14" s="207">
        <f>--ISNUMBER(IFERROR(SEARCH('PLANILLA DJ'!$X$48,$A14,1),""))</f>
        <v>1</v>
      </c>
      <c r="AZ14" s="207">
        <f>--ISNUMBER(IFERROR(SEARCH('PLANILLA DJ'!$X$49,$A14,1),""))</f>
        <v>1</v>
      </c>
      <c r="BA14" s="207">
        <f>--ISNUMBER(IFERROR(SEARCH('PLANILLA DJ'!$X$50,$A14,1),""))</f>
        <v>1</v>
      </c>
      <c r="BB14" s="207">
        <f>--ISNUMBER(IFERROR(SEARCH('PLANILLA DJ'!$X$51,$A14,1),""))</f>
        <v>1</v>
      </c>
      <c r="BC14" s="207">
        <f>--ISNUMBER(IFERROR(SEARCH('PLANILLA DJ'!$X$52,$A14,1),""))</f>
        <v>1</v>
      </c>
      <c r="BD14" s="207">
        <f>--ISNUMBER(IFERROR(SEARCH('PLANILLA DJ'!$X$53,$A14,1),""))</f>
        <v>1</v>
      </c>
      <c r="BE14" s="207">
        <f>--ISNUMBER(IFERROR(SEARCH('PLANILLA DJ'!$X$54,$A14,1),""))</f>
        <v>1</v>
      </c>
      <c r="BF14" s="207">
        <f>--ISNUMBER(IFERROR(SEARCH('PLANILLA DJ'!$X$55,$A14,1),""))</f>
        <v>1</v>
      </c>
      <c r="BG14" s="207">
        <f>--ISNUMBER(IFERROR(SEARCH('PLANILLA DJ'!$X$56,$A14,1),""))</f>
        <v>1</v>
      </c>
      <c r="BH14" s="207">
        <f>--ISNUMBER(IFERROR(SEARCH('PLANILLA DJ'!$X$57,$A14,1),""))</f>
        <v>1</v>
      </c>
      <c r="BI14" s="207">
        <f>--ISNUMBER(IFERROR(SEARCH('PLANILLA DJ'!$X$58,$A14,1),""))</f>
        <v>1</v>
      </c>
      <c r="BJ14" s="207">
        <f>--ISNUMBER(IFERROR(SEARCH('PLANILLA DJ'!$X$59,$A14,1),""))</f>
        <v>1</v>
      </c>
      <c r="BK14" s="207">
        <f>--ISNUMBER(IFERROR(SEARCH('PLANILLA DJ'!$X$60,$A14,1),""))</f>
        <v>1</v>
      </c>
      <c r="BL14" s="207">
        <f>--ISNUMBER(IFERROR(SEARCH('PLANILLA DJ'!$X$61,$A14,1),""))</f>
        <v>1</v>
      </c>
      <c r="BM14" s="207">
        <f>--ISNUMBER(IFERROR(SEARCH('PLANILLA DJ'!$X$62,$A14,1),""))</f>
        <v>1</v>
      </c>
      <c r="BN14" s="207">
        <f>--ISNUMBER(IFERROR(SEARCH('PLANILLA DJ'!$X$63,$A14,1),""))</f>
        <v>1</v>
      </c>
      <c r="BO14" s="207">
        <f>--ISNUMBER(IFERROR(SEARCH('PLANILLA DJ'!$X$64,$A14,1),""))</f>
        <v>1</v>
      </c>
      <c r="BP14" s="207">
        <f>--ISNUMBER(IFERROR(SEARCH('PLANILLA DJ'!$X$65,$A14,1),""))</f>
        <v>1</v>
      </c>
      <c r="BQ14" s="207">
        <f>--ISNUMBER(IFERROR(SEARCH('PLANILLA DJ'!$X$66,$A14,1),""))</f>
        <v>1</v>
      </c>
      <c r="BR14" s="207">
        <f>--ISNUMBER(IFERROR(SEARCH('PLANILLA DJ'!$X$67,$A14,1),""))</f>
        <v>1</v>
      </c>
      <c r="BS14" s="207">
        <f>--ISNUMBER(IFERROR(SEARCH('PLANILLA DJ'!$X$68,$A14,1),""))</f>
        <v>1</v>
      </c>
      <c r="BT14" s="207">
        <f>--ISNUMBER(IFERROR(SEARCH('PLANILLA DJ'!$X$69,$A14,1),""))</f>
        <v>1</v>
      </c>
      <c r="BU14" s="207">
        <f>--ISNUMBER(IFERROR(SEARCH('PLANILLA DJ'!$X$70,$A14,1),""))</f>
        <v>1</v>
      </c>
      <c r="BV14" s="207">
        <f>--ISNUMBER(IFERROR(SEARCH('PLANILLA DJ'!$X$71,$A14,1),""))</f>
        <v>1</v>
      </c>
      <c r="BW14" s="207">
        <f>--ISNUMBER(IFERROR(SEARCH('PLANILLA DJ'!$X$72,$A14,1),""))</f>
        <v>1</v>
      </c>
      <c r="BX14" s="207">
        <f>--ISNUMBER(IFERROR(SEARCH('PLANILLA DJ'!$X$73,$A14,1),""))</f>
        <v>1</v>
      </c>
      <c r="BY14" s="207">
        <f>--ISNUMBER(IFERROR(SEARCH('PLANILLA DJ'!$X$74,$A14,1),""))</f>
        <v>1</v>
      </c>
      <c r="BZ14" s="207">
        <f>--ISNUMBER(IFERROR(SEARCH('PLANILLA DJ'!$X$75,$A14,1),""))</f>
        <v>1</v>
      </c>
      <c r="CA14" s="207">
        <f>--ISNUMBER(IFERROR(SEARCH('PLANILLA DJ'!$X$76,$A14,1),""))</f>
        <v>1</v>
      </c>
      <c r="CB14" s="207">
        <f>--ISNUMBER(IFERROR(SEARCH('PLANILLA DJ'!$X$77,$A14,1),""))</f>
        <v>1</v>
      </c>
      <c r="CC14" s="207">
        <f>--ISNUMBER(IFERROR(SEARCH('PLANILLA DJ'!$X$78,$A14,1),""))</f>
        <v>1</v>
      </c>
      <c r="CD14" s="207">
        <f>--ISNUMBER(IFERROR(SEARCH('PLANILLA DJ'!$X$79,$A14,1),""))</f>
        <v>1</v>
      </c>
      <c r="CE14" s="207">
        <f>--ISNUMBER(IFERROR(SEARCH('PLANILLA DJ'!$X$80,$A14,1),""))</f>
        <v>1</v>
      </c>
      <c r="CF14" s="207">
        <f>--ISNUMBER(IFERROR(SEARCH('PLANILLA DJ'!$X$81,$A14,1),""))</f>
        <v>1</v>
      </c>
      <c r="CG14" s="207">
        <f>--ISNUMBER(IFERROR(SEARCH('PLANILLA DJ'!$X$82,$A14,1),""))</f>
        <v>1</v>
      </c>
      <c r="CH14" s="207">
        <f>--ISNUMBER(IFERROR(SEARCH('PLANILLA DJ'!$X$83,$A14,1),""))</f>
        <v>1</v>
      </c>
      <c r="CI14" s="207">
        <f>--ISNUMBER(IFERROR(SEARCH('PLANILLA DJ'!$X$84,$A14,1),""))</f>
        <v>1</v>
      </c>
      <c r="CJ14" s="207">
        <f>--ISNUMBER(IFERROR(SEARCH('PLANILLA DJ'!$X$85,$A14,1),""))</f>
        <v>1</v>
      </c>
      <c r="CK14" s="207">
        <f>--ISNUMBER(IFERROR(SEARCH('PLANILLA DJ'!$X$86,$A14,1),""))</f>
        <v>1</v>
      </c>
      <c r="CL14" s="207">
        <f>--ISNUMBER(IFERROR(SEARCH('PLANILLA DJ'!$X$87,$A14,1),""))</f>
        <v>1</v>
      </c>
      <c r="CM14" s="207">
        <f>--ISNUMBER(IFERROR(SEARCH('PLANILLA DJ'!$X$88,$A14,1),""))</f>
        <v>1</v>
      </c>
      <c r="CN14" s="207">
        <f>--ISNUMBER(IFERROR(SEARCH('PLANILLA DJ'!$X$89,$A14,1),""))</f>
        <v>1</v>
      </c>
      <c r="CO14" s="207">
        <f>--ISNUMBER(IFERROR(SEARCH('PLANILLA DJ'!$X$90,$A14,1),""))</f>
        <v>1</v>
      </c>
      <c r="CP14" s="207">
        <f>--ISNUMBER(IFERROR(SEARCH('PLANILLA DJ'!$X$91,$A14,1),""))</f>
        <v>1</v>
      </c>
      <c r="CQ14" s="207">
        <f>--ISNUMBER(IFERROR(SEARCH('PLANILLA DJ'!$X$92,$A14,1),""))</f>
        <v>1</v>
      </c>
      <c r="CR14" s="207">
        <f>--ISNUMBER(IFERROR(SEARCH('PLANILLA DJ'!$X$93,$A14,1),""))</f>
        <v>1</v>
      </c>
      <c r="CS14" s="207">
        <f>--ISNUMBER(IFERROR(SEARCH('PLANILLA DJ'!$X$94,$A14,1),""))</f>
        <v>1</v>
      </c>
      <c r="CT14" s="207">
        <f>--ISNUMBER(IFERROR(SEARCH('PLANILLA DJ'!$X$95,$A14,1),""))</f>
        <v>1</v>
      </c>
      <c r="CU14" s="207">
        <f>--ISNUMBER(IFERROR(SEARCH('PLANILLA DJ'!$X$96,$A14,1),""))</f>
        <v>1</v>
      </c>
      <c r="CV14" s="207">
        <f>--ISNUMBER(IFERROR(SEARCH('PLANILLA DJ'!$X$97,$A14,1),""))</f>
        <v>1</v>
      </c>
      <c r="CW14" s="207">
        <f>--ISNUMBER(IFERROR(SEARCH('PLANILLA DJ'!$X$98,$A14,1),""))</f>
        <v>1</v>
      </c>
      <c r="CX14" s="207">
        <f>--ISNUMBER(IFERROR(SEARCH('PLANILLA DJ'!$X$99,$A14,1),""))</f>
        <v>1</v>
      </c>
      <c r="CY14" s="207">
        <f>--ISNUMBER(IFERROR(SEARCH('PLANILLA DJ'!$X$100,$A14,1),""))</f>
        <v>1</v>
      </c>
      <c r="CZ14" s="207">
        <f>--ISNUMBER(IFERROR(SEARCH('PLANILLA DJ'!$X$101,$A14,1),""))</f>
        <v>1</v>
      </c>
      <c r="DA14" s="207">
        <f>--ISNUMBER(IFERROR(SEARCH('PLANILLA DJ'!$X$102,$A14,1),""))</f>
        <v>1</v>
      </c>
      <c r="DB14" s="206">
        <f>IF(F14=1,COUNTIF($F$2:F14,1),"")</f>
        <v>13</v>
      </c>
      <c r="DC14" s="206">
        <f>IF(G14=1,COUNTIF($G$2:G14,1),"")</f>
        <v>13</v>
      </c>
      <c r="DD14" s="206">
        <f>IF(H14=1,COUNTIF($H$2:H14,1),"")</f>
        <v>13</v>
      </c>
      <c r="DE14" s="206">
        <f>IF(I14=1,COUNTIF($I$2:I14,1),"")</f>
        <v>13</v>
      </c>
      <c r="DF14" s="206">
        <f>IF(J14=1,COUNTIF($J$2:J14,1),"")</f>
        <v>13</v>
      </c>
      <c r="DG14" s="206">
        <f>IF(K14=1,COUNTIF($K$2:K14,1),"")</f>
        <v>13</v>
      </c>
      <c r="DH14" s="206">
        <f>IF(L14=1,COUNTIF($L$2:L14,1),"")</f>
        <v>13</v>
      </c>
      <c r="DI14" s="206">
        <f>IF(M14=1,COUNTIF($M$2:M14,1),"")</f>
        <v>13</v>
      </c>
      <c r="DJ14" s="206">
        <f>IF(N14=1,COUNTIF($N$2:N14,1),"")</f>
        <v>13</v>
      </c>
      <c r="DK14" s="206">
        <f>IF(O14=1,COUNTIF($O$2:O14,1),"")</f>
        <v>13</v>
      </c>
      <c r="DL14" s="206">
        <f>IF(P14=1,COUNTIF($P$2:P14,1),"")</f>
        <v>13</v>
      </c>
      <c r="DM14" s="206">
        <f>IF(Q14=1,COUNTIF($Q$2:Q14,1),"")</f>
        <v>13</v>
      </c>
      <c r="DN14" s="207">
        <f>IF(R14=1,COUNTIF($R$2:R14,1),"")</f>
        <v>13</v>
      </c>
      <c r="DO14" s="207">
        <f>IF(S14=1,COUNTIF($S$2:S14,1),"")</f>
        <v>13</v>
      </c>
      <c r="DP14" s="207">
        <f>IF(T14=1,COUNTIF($T$2:T14,1),"")</f>
        <v>13</v>
      </c>
      <c r="DQ14" s="207">
        <f>IF(U14=1,COUNTIF($U$2:U14,1),"")</f>
        <v>13</v>
      </c>
      <c r="DR14" s="207">
        <f>IF(V14=1,COUNTIF($V$2:V14,1),"")</f>
        <v>13</v>
      </c>
      <c r="DS14" s="207">
        <f>IF(W14=1,COUNTIF($W$2:W14,1),"")</f>
        <v>13</v>
      </c>
      <c r="DT14" s="207">
        <f>IF(X14=1,COUNTIF($X$2:X14,1),"")</f>
        <v>13</v>
      </c>
      <c r="DU14" s="207">
        <f>IF(Y14=1,COUNTIF($Y$2:Y14,1),"")</f>
        <v>13</v>
      </c>
      <c r="DV14" s="207">
        <f>IF(Z14=1,COUNTIF(Z$2:Z14,1),"")</f>
        <v>13</v>
      </c>
      <c r="DW14" s="207">
        <f>IF(AA14=1,COUNTIF($AA$2:AA14,1),"")</f>
        <v>13</v>
      </c>
      <c r="DX14" s="207">
        <f>IF(AB14=1,COUNTIF($AB$2:AB14,1),"")</f>
        <v>13</v>
      </c>
      <c r="DY14" s="207">
        <f>IF(AC14=1,COUNTIF($AC$2:AC14,1),"")</f>
        <v>13</v>
      </c>
      <c r="DZ14" s="207">
        <f>IF(AD14=1,COUNTIF($AD$2:AD14,1),"")</f>
        <v>13</v>
      </c>
      <c r="EA14" s="207">
        <f>IF(AE14=1,COUNTIF($AE$2:AE14,1),"")</f>
        <v>13</v>
      </c>
      <c r="EB14" s="207">
        <f>IF(AF14=1,COUNTIF($AF$2:AF14,1),"")</f>
        <v>13</v>
      </c>
      <c r="EC14" s="207">
        <f>IF(AG14=1,COUNTIF($AG$2:AG14,1),"")</f>
        <v>13</v>
      </c>
      <c r="ED14" s="207">
        <f>IF(AH14=1,COUNTIF($AH$2:AH14,1),"")</f>
        <v>13</v>
      </c>
      <c r="EE14" s="207">
        <f>IF(AI14=1,COUNTIF($AI$2:AI14,1),"")</f>
        <v>13</v>
      </c>
      <c r="EF14" s="207">
        <f>IF(AJ14=1,COUNTIF($AJ$2:AJ14,1),"")</f>
        <v>13</v>
      </c>
      <c r="EG14" s="207">
        <f>IF(AK14=1,COUNTIF($AK$2:AK14,1),"")</f>
        <v>13</v>
      </c>
      <c r="EH14" s="207">
        <f>IF(AL14=1,COUNTIF($AL$2:AL14,1),"")</f>
        <v>13</v>
      </c>
      <c r="EI14" s="207">
        <f>IF(AM14=1,COUNTIF($AM$2:AM14,1),"")</f>
        <v>13</v>
      </c>
      <c r="EJ14" s="207">
        <f>IF(AN14=1,COUNTIF($AN$2:AN14,1),"")</f>
        <v>13</v>
      </c>
      <c r="EK14" s="207">
        <f>IF(AO14=1,COUNTIF($AO$2:AO14,1),"")</f>
        <v>13</v>
      </c>
      <c r="EL14" s="207">
        <f>IF(AP14=1,COUNTIF($AP$2:AP14,1),"")</f>
        <v>13</v>
      </c>
      <c r="EM14" s="207">
        <f>IF(AQ14=1,COUNTIF($AQ$2:AQ14,1),"")</f>
        <v>13</v>
      </c>
      <c r="EN14" s="207">
        <f>IF(AR14=1,COUNTIF($AR$2:AR14,1),"")</f>
        <v>13</v>
      </c>
      <c r="EO14" s="207">
        <f>IF(AS14=1,COUNTIF($AS$2:AS14,1),"")</f>
        <v>13</v>
      </c>
      <c r="EP14" s="207">
        <f>IF(AT14=1,COUNTIF($AT$2:AT14,1),"")</f>
        <v>13</v>
      </c>
      <c r="EQ14" s="207">
        <f>IF(AU14=1,COUNTIF($AU$2:AU14,1),"")</f>
        <v>13</v>
      </c>
      <c r="ER14" s="207">
        <f>IF(AV14=1,COUNTIF($AV$2:AV14,1),"")</f>
        <v>13</v>
      </c>
      <c r="ES14" s="207">
        <f>IF(AW14=1,COUNTIF($AW$2:AW14,1),"")</f>
        <v>13</v>
      </c>
      <c r="ET14" s="207">
        <f>IF(AX14=1,COUNTIF($AX$2:AX14,1),"")</f>
        <v>13</v>
      </c>
      <c r="EU14" s="207">
        <f>IF(AY14=1,COUNTIF($AY$2:AY14,1),"")</f>
        <v>13</v>
      </c>
      <c r="EV14" s="207">
        <f>IF(AZ14=1,COUNTIF($AZ$2:AZ14,1),"")</f>
        <v>13</v>
      </c>
      <c r="EW14" s="207">
        <f>IF(BA14=1,COUNTIF($BA$2:BA14,1),"")</f>
        <v>13</v>
      </c>
      <c r="EX14" s="207">
        <f>IF(BB14=1,COUNTIF($BB$2:BB14,1),"")</f>
        <v>13</v>
      </c>
      <c r="EY14" s="207">
        <f>IF(BC14=1,COUNTIF($BC$2:BC14,1),"")</f>
        <v>13</v>
      </c>
      <c r="EZ14" s="207">
        <f>IF(BD14=1,COUNTIF($BD$2:BD14,1),"")</f>
        <v>13</v>
      </c>
      <c r="FA14" s="207">
        <f>IF(BE14=1,COUNTIF($BE$2:BE14,1),"")</f>
        <v>13</v>
      </c>
      <c r="FB14" s="207">
        <f>IF(BF14=1,COUNTIF($BF$2:BF14,1),"")</f>
        <v>13</v>
      </c>
      <c r="FC14" s="207">
        <f>IF(BG14=1,COUNTIF($BG$2:BG14,1),"")</f>
        <v>13</v>
      </c>
      <c r="FD14" s="207">
        <f>IF(BH14=1,COUNTIF($BH$2:BH14,1),"")</f>
        <v>13</v>
      </c>
      <c r="FE14" s="207">
        <f>IF(BI14=1,COUNTIF($BI$2:BI14,1),"")</f>
        <v>13</v>
      </c>
      <c r="FF14" s="207">
        <f>IF(BJ14=1,COUNTIF($BJ$2:BJ14,1),"")</f>
        <v>13</v>
      </c>
      <c r="FG14" s="207">
        <f>IF(BK14=1,COUNTIF($BK$2:BK14,1),"")</f>
        <v>13</v>
      </c>
      <c r="FH14" s="207">
        <f>IF(BL14=1,COUNTIF($BL$2:BL14,1),"")</f>
        <v>13</v>
      </c>
      <c r="FI14" s="207">
        <f>IF(BM14=1,COUNTIF($BM$2:BM14,1),"")</f>
        <v>13</v>
      </c>
      <c r="FJ14" s="207">
        <f>IF(BN14=1,COUNTIF($BN$2:BN14,1),"")</f>
        <v>13</v>
      </c>
      <c r="FK14" s="207">
        <f>IF(BO14=1,COUNTIF($BO$2:BO14,1),"")</f>
        <v>13</v>
      </c>
      <c r="FL14" s="207">
        <f>IF(BP14=1,COUNTIF($BP$2:BP14,1),"")</f>
        <v>13</v>
      </c>
      <c r="FM14" s="207">
        <f>IF(BQ14=1,COUNTIF($BQ$2:BQ14,1),"")</f>
        <v>13</v>
      </c>
      <c r="FN14" s="207">
        <f>IF(BR14=1,COUNTIF($BR$2:BR14,1),"")</f>
        <v>13</v>
      </c>
      <c r="FO14" s="207">
        <f>IF(BS14=1,COUNTIF($BS$2:BS14,1),"")</f>
        <v>13</v>
      </c>
      <c r="FP14" s="207">
        <f>IF(BT14=1,COUNTIF($BT$2:BT14,1),"")</f>
        <v>13</v>
      </c>
      <c r="FQ14" s="207">
        <f>IF(BU14=1,COUNTIF($BU$2:BU14,1),"")</f>
        <v>13</v>
      </c>
      <c r="FR14" s="207">
        <f>IF(BV14=1,COUNTIF($BV$2:BV14,1),"")</f>
        <v>13</v>
      </c>
      <c r="FS14" s="207">
        <f>IF(BW14=1,COUNTIF($BW$2:BW14,1),"")</f>
        <v>13</v>
      </c>
      <c r="FT14" s="207">
        <f>IF(BX14=1,COUNTIF($BX$2:BX14,1),"")</f>
        <v>13</v>
      </c>
      <c r="FU14" s="207">
        <f>IF(BY14=1,COUNTIF($BY$2:BY14,1),"")</f>
        <v>13</v>
      </c>
      <c r="FV14" s="207">
        <f>IF(BZ14=1,COUNTIF($BZ$2:BZ14,1),"")</f>
        <v>13</v>
      </c>
      <c r="FW14" s="207">
        <f>IF(CA14=1,COUNTIF($CA$2:CA14,1),"")</f>
        <v>13</v>
      </c>
      <c r="FX14" s="207">
        <f>IF(CB14=1,COUNTIF($CB$2:CB14,1),"")</f>
        <v>13</v>
      </c>
      <c r="FY14" s="207">
        <f>IF(CC14=1,COUNTIF($CC$2:CC14,1),"")</f>
        <v>13</v>
      </c>
      <c r="FZ14" s="207">
        <f>IF(CD14=1,COUNTIF($CD$2:CD14,1),"")</f>
        <v>13</v>
      </c>
      <c r="GA14" s="207">
        <f>IF(CE14=1,COUNTIF($CE$2:CE14,1),"")</f>
        <v>13</v>
      </c>
      <c r="GB14" s="207">
        <f>IF(CF14=1,COUNTIF($CF$2:CF14,1),"")</f>
        <v>13</v>
      </c>
      <c r="GC14" s="207">
        <f>IF(CG14=1,COUNTIF($CG$2:CG14,1),"")</f>
        <v>13</v>
      </c>
      <c r="GD14" s="207">
        <f>IF(CH14=1,COUNTIF($CH$2:CH14,1),"")</f>
        <v>13</v>
      </c>
      <c r="GE14" s="207">
        <f>IF(CI14=1,COUNTIF($CI$2:CI14,1),"")</f>
        <v>13</v>
      </c>
      <c r="GF14" s="207">
        <f>IF(CJ14=1,COUNTIF($CJ$2:CJ14,1),"")</f>
        <v>13</v>
      </c>
      <c r="GG14" s="207">
        <f>IF(CK14=1,COUNTIF($CK$2:CK14,1),"")</f>
        <v>13</v>
      </c>
      <c r="GH14" s="207">
        <f>IF(CL14=1,COUNTIF($CL$2:CL14,1),"")</f>
        <v>13</v>
      </c>
      <c r="GI14" s="207">
        <f>IF(CM14=1,COUNTIF($CM$2:CM14,1),"")</f>
        <v>13</v>
      </c>
      <c r="GJ14" s="207">
        <f>IF(CN14=1,COUNTIF($CN$2:CN14,1),"")</f>
        <v>13</v>
      </c>
      <c r="GK14" s="207">
        <f>IF(CO14=1,COUNTIF($CO$2:CO14,1),"")</f>
        <v>13</v>
      </c>
      <c r="GL14" s="207">
        <f>IF(CP14=1,COUNTIF($CP$2:CP14,1),"")</f>
        <v>13</v>
      </c>
      <c r="GM14" s="207">
        <f>IF(CQ14=1,COUNTIF($CQ$2:CQ14,1),"")</f>
        <v>13</v>
      </c>
      <c r="GN14" s="207">
        <f>IF(CR14=1,COUNTIF($CR$2:CR14,1),"")</f>
        <v>13</v>
      </c>
      <c r="GO14" s="207">
        <f>IF(CS14=1,COUNTIF($CS$2:CS14,1),"")</f>
        <v>13</v>
      </c>
      <c r="GP14" s="207">
        <f>IF(CT14=1,COUNTIF($CT$2:CT14,1),"")</f>
        <v>13</v>
      </c>
      <c r="GQ14" s="207">
        <f>IF(CU14=1,COUNTIF($CU$2:CU14,1),"")</f>
        <v>13</v>
      </c>
      <c r="GR14" s="207">
        <f>IF(CV14=1,COUNTIF($CV$2:CV14,1),"")</f>
        <v>13</v>
      </c>
      <c r="GS14" s="207">
        <f>IF(CW14=1,COUNTIF($CW$2:CW14,1),"")</f>
        <v>13</v>
      </c>
      <c r="GT14" s="207">
        <f>IF(CX14=1,COUNTIF($CX$2:CX14,1),"")</f>
        <v>13</v>
      </c>
      <c r="GU14" s="207">
        <f>IF(CY14=1,COUNTIF($CY$2:CY14,1),"")</f>
        <v>13</v>
      </c>
      <c r="GV14" s="207">
        <f>IF(CZ14=1,COUNTIF($CZ$2:CZ14,1),"")</f>
        <v>13</v>
      </c>
      <c r="GW14" s="207">
        <f>IF(DA14=1,COUNTIF($DA$2:DA14,1),"")</f>
        <v>13</v>
      </c>
      <c r="GX14" s="206" t="str">
        <f>IFERROR(INDEX($A$2:$A$113,MATCH(ROWS($DB$2:DB14),$DB$2:$DB$113,0)),"")</f>
        <v xml:space="preserve">ABUSO DE ARMAS SIN LESIONES </v>
      </c>
      <c r="GY14" s="206" t="str">
        <f>IFERROR(INDEX($A$2:$A$113,MATCH(ROWS($DC$2:DC14),$DC$2:$DC$113,0)),"")</f>
        <v xml:space="preserve">ABUSO DE ARMAS SIN LESIONES </v>
      </c>
      <c r="GZ14" s="206" t="str">
        <f>IFERROR(INDEX($A$2:$A$113,MATCH(ROWS($DD$2:DD14),$DD$2:$DD$113,0)),"")</f>
        <v xml:space="preserve">ABUSO DE ARMAS SIN LESIONES </v>
      </c>
      <c r="HA14" s="206" t="str">
        <f>IFERROR(INDEX($A$2:$A$113,MATCH(ROWS($DE$2:DE14),$DE$2:$DE$113,0)),"")</f>
        <v xml:space="preserve">ABUSO DE ARMAS SIN LESIONES </v>
      </c>
      <c r="HB14" s="206" t="str">
        <f>IFERROR(INDEX($A$2:$A$113,MATCH(ROWS($DF$2:DF14),$DF$2:$DF$113,0)),"")</f>
        <v xml:space="preserve">ABUSO DE ARMAS SIN LESIONES </v>
      </c>
      <c r="HC14" s="206" t="str">
        <f>IFERROR(INDEX($A$2:$A$113,MATCH(ROWS($DG$2:DG14),$DG$2:$DG$113,0)),"")</f>
        <v xml:space="preserve">ABUSO DE ARMAS SIN LESIONES </v>
      </c>
      <c r="HD14" s="206" t="str">
        <f>IFERROR(INDEX($A$2:$A$113,MATCH(ROWS($DH$2:DH14),$DH$2:$DH$113,0)),"")</f>
        <v xml:space="preserve">ABUSO DE ARMAS SIN LESIONES </v>
      </c>
      <c r="HE14" s="206" t="str">
        <f>IFERROR(INDEX($A$2:$A$113,MATCH(ROWS($DI$2:DI14),$DI$2:$DI$113,0)),"")</f>
        <v xml:space="preserve">ABUSO DE ARMAS SIN LESIONES </v>
      </c>
      <c r="HF14" s="206" t="str">
        <f>IFERROR(INDEX($A$2:$A$113,MATCH(ROWS($DJ$2:DJ14),$DJ$2:$DJ$113,0)),"")</f>
        <v xml:space="preserve">ABUSO DE ARMAS SIN LESIONES </v>
      </c>
      <c r="HG14" s="206" t="str">
        <f>IFERROR(INDEX($A$2:$A$113,MATCH(ROWS($DK$2:DK14),$DK$2:$DK$113,0)),"")</f>
        <v xml:space="preserve">ABUSO DE ARMAS SIN LESIONES </v>
      </c>
      <c r="HH14" s="206" t="str">
        <f>IFERROR(INDEX($A$2:$A$113,MATCH(ROWS($DL$2:DL14),$DL$2:$DL$113,0)),"")</f>
        <v xml:space="preserve">ABUSO DE ARMAS SIN LESIONES </v>
      </c>
      <c r="HI14" s="206" t="str">
        <f>IFERROR(INDEX($A$2:$A$113,MATCH(ROWS($DM$2:DM14),$DM$2:$DM$113,0)),"")</f>
        <v xml:space="preserve">ABUSO DE ARMAS SIN LESIONES </v>
      </c>
      <c r="HJ14" s="206" t="str">
        <f>IFERROR(INDEX($A$2:$A$113,MATCH(ROWS($DN$2:DN14),$DN$2:$DN$113,0)),"")</f>
        <v xml:space="preserve">ABUSO DE ARMAS SIN LESIONES </v>
      </c>
      <c r="HK14" s="206" t="str">
        <f>IFERROR(INDEX($A$2:$A$113,MATCH(ROWS($DO$2:DO14),$DO$2:$DO$113,0)),"")</f>
        <v xml:space="preserve">ABUSO DE ARMAS SIN LESIONES </v>
      </c>
      <c r="HL14" s="206" t="str">
        <f>IFERROR(INDEX($A$2:$A$113,MATCH(ROWS($DP$2:DP14),$DP$2:$DP$113,0)),"")</f>
        <v xml:space="preserve">ABUSO DE ARMAS SIN LESIONES </v>
      </c>
      <c r="HM14" s="206" t="str">
        <f>IFERROR(INDEX($A$2:$A$113,MATCH(ROWS($DQ$2:DQ14),$DQ$2:$DQ$113,0)),"")</f>
        <v xml:space="preserve">ABUSO DE ARMAS SIN LESIONES </v>
      </c>
      <c r="HN14" s="206" t="str">
        <f>IFERROR(INDEX($A$2:$A$113,MATCH(ROWS($DR$2:DR14),$DR$2:$DR$113,0)),"")</f>
        <v xml:space="preserve">ABUSO DE ARMAS SIN LESIONES </v>
      </c>
      <c r="HO14" s="206" t="str">
        <f>IFERROR(INDEX($A$2:$A$113,MATCH(ROWS($DS$2:DS14),$DS$2:$DS$113,0)),"")</f>
        <v xml:space="preserve">ABUSO DE ARMAS SIN LESIONES </v>
      </c>
      <c r="HP14" s="206" t="str">
        <f>IFERROR(INDEX($A$2:$A$113,MATCH(ROWS($DT$2:DT14),$DT$2:$DT$113,0)),"")</f>
        <v xml:space="preserve">ABUSO DE ARMAS SIN LESIONES </v>
      </c>
      <c r="HQ14" s="206" t="str">
        <f>IFERROR(INDEX($A$2:$A$113,MATCH(ROWS($DU$2:DU14),$DU$2:$DU$113,0)),"")</f>
        <v xml:space="preserve">ABUSO DE ARMAS SIN LESIONES </v>
      </c>
      <c r="HR14" s="206" t="str">
        <f>IFERROR(INDEX($A$2:$A$113,MATCH(ROWS($DV$2:DV14),$DV$2:$DV$113,0)),"")</f>
        <v xml:space="preserve">ABUSO DE ARMAS SIN LESIONES </v>
      </c>
      <c r="HS14" s="206" t="str">
        <f>IFERROR(INDEX($A$2:$A$113,MATCH(ROWS($DW$2:DW14),$DW$2:$DW$113,0)),"")</f>
        <v xml:space="preserve">ABUSO DE ARMAS SIN LESIONES </v>
      </c>
      <c r="HT14" s="206" t="str">
        <f>IFERROR(INDEX($A$2:$A$113,MATCH(ROWS($DX$2:DX14),$DX$2:$DX$113,0)),"")</f>
        <v xml:space="preserve">ABUSO DE ARMAS SIN LESIONES </v>
      </c>
      <c r="HU14" s="206" t="str">
        <f>IFERROR(INDEX($A$2:$A$113,MATCH(ROWS($DY$2:DY14),$DY$2:$DY$113,0)),"")</f>
        <v xml:space="preserve">ABUSO DE ARMAS SIN LESIONES </v>
      </c>
      <c r="HV14" s="206" t="str">
        <f>IFERROR(INDEX($A$2:$A$113,MATCH(ROWS($DZ$2:DZ14),$DZ$2:$DZ$113,0)),"")</f>
        <v xml:space="preserve">ABUSO DE ARMAS SIN LESIONES </v>
      </c>
      <c r="HW14" s="206" t="str">
        <f>IFERROR(INDEX($A$2:$A$113,MATCH(ROWS($EA$2:EA14),$EA$2:$EA$113,0)),"")</f>
        <v xml:space="preserve">ABUSO DE ARMAS SIN LESIONES </v>
      </c>
      <c r="HX14" s="206" t="str">
        <f>IFERROR(INDEX($A$2:$A$113,MATCH(ROWS($EB$2:EB14),$EB$2:$EB$113,0)),"")</f>
        <v xml:space="preserve">ABUSO DE ARMAS SIN LESIONES </v>
      </c>
      <c r="HY14" s="206" t="str">
        <f>IFERROR(INDEX($A$2:$A$113,MATCH(ROWS($EC$2:EC14),$EC$2:$EC$113,0)),"")</f>
        <v xml:space="preserve">ABUSO DE ARMAS SIN LESIONES </v>
      </c>
      <c r="HZ14" s="206" t="str">
        <f>IFERROR(INDEX($A$2:$A$113,MATCH(ROWS($ED$2:ED14),$ED$2:$ED$113,0)),"")</f>
        <v xml:space="preserve">ABUSO DE ARMAS SIN LESIONES </v>
      </c>
      <c r="IA14" s="206" t="str">
        <f>IFERROR(INDEX($A$2:$A$113,MATCH(ROWS($EE$2:EE14),$EE$2:$EE$113,0)),"")</f>
        <v xml:space="preserve">ABUSO DE ARMAS SIN LESIONES </v>
      </c>
      <c r="IB14" s="206" t="str">
        <f>IFERROR(INDEX($A$2:$A$113,MATCH(ROWS($EF$2:EF14),$EF$2:$EF$113,0)),"")</f>
        <v xml:space="preserve">ABUSO DE ARMAS SIN LESIONES </v>
      </c>
      <c r="IC14" s="206" t="str">
        <f>IFERROR(INDEX($A$2:$A$113,MATCH(ROWS($EG$2:EG14),$EG$2:$EG$113,0)),"")</f>
        <v xml:space="preserve">ABUSO DE ARMAS SIN LESIONES </v>
      </c>
      <c r="ID14" s="206" t="str">
        <f>IFERROR(INDEX($A$2:$A$113,MATCH(ROWS($EH$2:EH14),$EH$2:$EH$113,0)),"")</f>
        <v xml:space="preserve">ABUSO DE ARMAS SIN LESIONES </v>
      </c>
      <c r="IE14" s="206" t="str">
        <f>IFERROR(INDEX($A$2:$A$113,MATCH(ROWS($EI$2:EI14),$EI$2:$EI$113,0)),"")</f>
        <v xml:space="preserve">ABUSO DE ARMAS SIN LESIONES </v>
      </c>
      <c r="IF14" s="206" t="str">
        <f>IFERROR(INDEX($A$2:$A$113,MATCH(ROWS($EJ$2:EJ14),$EJ$2:$EJ$113,0)),"")</f>
        <v xml:space="preserve">ABUSO DE ARMAS SIN LESIONES </v>
      </c>
      <c r="IG14" s="206" t="str">
        <f>IFERROR(INDEX($A$2:$A$113,MATCH(ROWS($EK$2:EK14),$EK$2:$EK$113,0)),"")</f>
        <v xml:space="preserve">ABUSO DE ARMAS SIN LESIONES </v>
      </c>
      <c r="IH14" s="206" t="str">
        <f>IFERROR(INDEX($A$2:$A$113,MATCH(ROWS($EL$2:EL14),$EL$2:$EL$113,0)),"")</f>
        <v xml:space="preserve">ABUSO DE ARMAS SIN LESIONES </v>
      </c>
      <c r="II14" s="206" t="str">
        <f>IFERROR(INDEX($A$2:$A$113,MATCH(ROWS($EM$2:EM14),$EM$2:$EM$113,0)),"")</f>
        <v xml:space="preserve">ABUSO DE ARMAS SIN LESIONES </v>
      </c>
      <c r="IJ14" s="206" t="str">
        <f>IFERROR(INDEX($A$2:$A$113,MATCH(ROWS($EN$2:EN14),$EN$2:$EN$113,0)),"")</f>
        <v xml:space="preserve">ABUSO DE ARMAS SIN LESIONES </v>
      </c>
      <c r="IK14" s="207" t="str">
        <f>IFERROR(INDEX($A$2:$A$113,MATCH(ROWS($EO$2:EO14),$EO$2:$EO$113,0)),"")</f>
        <v xml:space="preserve">ABUSO DE ARMAS SIN LESIONES </v>
      </c>
      <c r="IL14" s="207" t="str">
        <f>IFERROR(INDEX($A$2:$A$113,MATCH(ROWS($EP$2:EP14),$EP$2:$EP$113,0)),"")</f>
        <v xml:space="preserve">ABUSO DE ARMAS SIN LESIONES </v>
      </c>
      <c r="IM14" s="207" t="str">
        <f>IFERROR(INDEX($A$2:$A$113,MATCH(ROWS($EQ$2:EQ14),$EQ$2:$EQ$113,0)),"")</f>
        <v xml:space="preserve">ABUSO DE ARMAS SIN LESIONES </v>
      </c>
      <c r="IN14" s="207" t="str">
        <f>IFERROR(INDEX($A$2:$A$113,MATCH(ROWS($ER$2:ER14),$ER$2:$ER$113,0)),"")</f>
        <v xml:space="preserve">ABUSO DE ARMAS SIN LESIONES </v>
      </c>
      <c r="IO14" s="207" t="str">
        <f>IFERROR(INDEX($A$2:$A$113,MATCH(ROWS($ES$2:ES14),$ES$2:$ES$113,0)),"")</f>
        <v xml:space="preserve">ABUSO DE ARMAS SIN LESIONES </v>
      </c>
      <c r="IP14" s="207" t="str">
        <f>IFERROR(INDEX($A$2:$A$113,MATCH(ROWS($ET$2:ET14),$ET$2:$ET$113,0)),"")</f>
        <v xml:space="preserve">ABUSO DE ARMAS SIN LESIONES </v>
      </c>
      <c r="IQ14" s="207" t="str">
        <f>IFERROR(INDEX($A$2:$A$113,MATCH(ROWS($EU$2:EU14),$EU$2:$EU$113,0)),"")</f>
        <v xml:space="preserve">ABUSO DE ARMAS SIN LESIONES </v>
      </c>
      <c r="IR14" s="207" t="str">
        <f>IFERROR(INDEX($A$2:$A$113,MATCH(ROWS($EV$2:EV14),$EV$2:$EV$113,0)),"")</f>
        <v xml:space="preserve">ABUSO DE ARMAS SIN LESIONES </v>
      </c>
      <c r="IS14" s="207" t="str">
        <f>IFERROR(INDEX($A$2:$A$113,MATCH(ROWS($EW$2:EW14),$EW$2:$EW$113,0)),"")</f>
        <v xml:space="preserve">ABUSO DE ARMAS SIN LESIONES </v>
      </c>
      <c r="IT14" s="207" t="str">
        <f>IFERROR(INDEX($A$2:$A$113,MATCH(ROWS($EX$2:EX14),$EX$2:$EX$113,0)),"")</f>
        <v xml:space="preserve">ABUSO DE ARMAS SIN LESIONES </v>
      </c>
      <c r="IU14" s="207" t="str">
        <f>IFERROR(INDEX($A$2:$A$113,MATCH(ROWS($EY$2:EY14),$EY$2:$EY$113,0)),"")</f>
        <v xml:space="preserve">ABUSO DE ARMAS SIN LESIONES </v>
      </c>
      <c r="IV14" s="207" t="str">
        <f>IFERROR(INDEX($A$2:$A$113,MATCH(ROWS($EZ$2:EZ14),$EZ$2:$EZ$113,0)),"")</f>
        <v xml:space="preserve">ABUSO DE ARMAS SIN LESIONES </v>
      </c>
      <c r="IW14" s="207" t="str">
        <f>IFERROR(INDEX($A$2:$A$113,MATCH(ROWS($FA$2:FA14),$FA$2:$FA$113,0)),"")</f>
        <v xml:space="preserve">ABUSO DE ARMAS SIN LESIONES </v>
      </c>
      <c r="IX14" s="207" t="str">
        <f>IFERROR(INDEX($A$2:$A$113,MATCH(ROWS($FB$2:FB14),$FB$2:$FB$113,0)),"")</f>
        <v xml:space="preserve">ABUSO DE ARMAS SIN LESIONES </v>
      </c>
      <c r="IY14" s="207" t="str">
        <f>IFERROR(INDEX($A$2:$A$113,MATCH(ROWS($FC$2:FC14),$FC$2:$FC$113,0)),"")</f>
        <v xml:space="preserve">ABUSO DE ARMAS SIN LESIONES </v>
      </c>
      <c r="IZ14" s="207" t="str">
        <f>IFERROR(INDEX($A$2:$A$113,MATCH(ROWS($FD$2:FD14),$FD$2:$FD$113,0)),"")</f>
        <v xml:space="preserve">ABUSO DE ARMAS SIN LESIONES </v>
      </c>
      <c r="JA14" s="207" t="str">
        <f>IFERROR(INDEX($A$2:$A$113,MATCH(ROWS($FE$2:FE14),$FE$2:$FE$113,0)),"")</f>
        <v xml:space="preserve">ABUSO DE ARMAS SIN LESIONES </v>
      </c>
      <c r="JB14" s="207" t="str">
        <f>IFERROR(INDEX($A$2:$A$113,MATCH(ROWS($FF$2:FF14),$FF$2:$FF$113,0)),"")</f>
        <v xml:space="preserve">ABUSO DE ARMAS SIN LESIONES </v>
      </c>
      <c r="JC14" s="207" t="str">
        <f>IFERROR(INDEX($A$2:$A$113,MATCH(ROWS($FG$2:FG14),$FG$2:$FG$113,0)),"")</f>
        <v xml:space="preserve">ABUSO DE ARMAS SIN LESIONES </v>
      </c>
      <c r="JD14" s="207" t="str">
        <f>IFERROR(INDEX($A$2:$A$113,MATCH(ROWS($FH$2:FH14),$FH$2:$FH$113,0)),"")</f>
        <v xml:space="preserve">ABUSO DE ARMAS SIN LESIONES </v>
      </c>
      <c r="JE14" s="207" t="str">
        <f>IFERROR(INDEX($A$2:$A$113,MATCH(ROWS($FI$2:FI14),$FI$2:$FI$113,0)),"")</f>
        <v xml:space="preserve">ABUSO DE ARMAS SIN LESIONES </v>
      </c>
      <c r="JF14" s="207" t="str">
        <f>IFERROR(INDEX($A$2:$A$113,MATCH(ROWS($FJ$2:FJ14),$FJ$2:$FJ$113,0)),"")</f>
        <v xml:space="preserve">ABUSO DE ARMAS SIN LESIONES </v>
      </c>
      <c r="JG14" s="207" t="str">
        <f>IFERROR(INDEX($A$2:$A$113,MATCH(ROWS($FK$2:FK14),$FK$2:$FK$113,0)),"")</f>
        <v xml:space="preserve">ABUSO DE ARMAS SIN LESIONES </v>
      </c>
      <c r="JH14" s="207" t="str">
        <f>IFERROR(INDEX($A$2:$A$113,MATCH(ROWS($FL$2:FL14),$FL$2:$FL$113,0)),"")</f>
        <v xml:space="preserve">ABUSO DE ARMAS SIN LESIONES </v>
      </c>
      <c r="JI14" s="207" t="str">
        <f>IFERROR(INDEX($A$2:$A$113,MATCH(ROWS($FM$2:FM14),$FM$2:$FM$113,0)),"")</f>
        <v xml:space="preserve">ABUSO DE ARMAS SIN LESIONES </v>
      </c>
      <c r="JJ14" s="207" t="str">
        <f>IFERROR(INDEX($A$2:$A$113,MATCH(ROWS($FN$2:FN14),$FN$2:$FN$113,0)),"")</f>
        <v xml:space="preserve">ABUSO DE ARMAS SIN LESIONES </v>
      </c>
      <c r="JK14" s="207" t="str">
        <f>IFERROR(INDEX($A$2:$A$113,MATCH(ROWS($FO$2:FO14),$FO$2:$FO$113,0)),"")</f>
        <v xml:space="preserve">ABUSO DE ARMAS SIN LESIONES </v>
      </c>
      <c r="JL14" s="207" t="str">
        <f>IFERROR(INDEX($A$2:$A$113,MATCH(ROWS($FP$2:FP14),$FP$2:$FP$113,0)),"")</f>
        <v xml:space="preserve">ABUSO DE ARMAS SIN LESIONES </v>
      </c>
      <c r="JM14" s="207" t="str">
        <f>IFERROR(INDEX($A$2:$A$113,MATCH(ROWS($FQ$2:FQ14),$FQ$2:$FQ$113,0)),"")</f>
        <v xml:space="preserve">ABUSO DE ARMAS SIN LESIONES </v>
      </c>
      <c r="JN14" s="207" t="str">
        <f>IFERROR(INDEX($A$2:$A$113,MATCH(ROWS($FR$2:FR14),$FR$2:$FR$113,0)),"")</f>
        <v xml:space="preserve">ABUSO DE ARMAS SIN LESIONES </v>
      </c>
      <c r="JO14" s="207" t="str">
        <f>IFERROR(INDEX($A$2:$A$113,MATCH(ROWS($FS$2:FS14),$FS$2:$FS$113,0)),"")</f>
        <v xml:space="preserve">ABUSO DE ARMAS SIN LESIONES </v>
      </c>
      <c r="JP14" s="207" t="str">
        <f>IFERROR(INDEX($A$2:$A$113,MATCH(ROWS($FT$2:FT14),$FT$2:$FT$113,0)),"")</f>
        <v xml:space="preserve">ABUSO DE ARMAS SIN LESIONES </v>
      </c>
      <c r="JQ14" s="207" t="str">
        <f>IFERROR(INDEX($A$2:$A$113,MATCH(ROWS($FU$2:FU14),$FU$2:$FU$113,0)),"")</f>
        <v xml:space="preserve">ABUSO DE ARMAS SIN LESIONES </v>
      </c>
      <c r="JR14" s="207" t="str">
        <f>IFERROR(INDEX($A$2:$A$113,MATCH(ROWS($FV$2:FV14),$FV$2:$FV$113,0)),"")</f>
        <v xml:space="preserve">ABUSO DE ARMAS SIN LESIONES </v>
      </c>
      <c r="JS14" s="207" t="str">
        <f>IFERROR(INDEX($A$2:$A$113,MATCH(ROWS($FW$2:FW14),$FW$2:$FW$113,0)),"")</f>
        <v xml:space="preserve">ABUSO DE ARMAS SIN LESIONES </v>
      </c>
      <c r="JT14" s="207" t="str">
        <f>IFERROR(INDEX($A$2:$A$113,MATCH(ROWS($FX$2:FX14),$FX$2:$FX$113,0)),"")</f>
        <v xml:space="preserve">ABUSO DE ARMAS SIN LESIONES </v>
      </c>
      <c r="JU14" s="207" t="str">
        <f>IFERROR(INDEX($A$2:$A$113,MATCH(ROWS($FY$2:FY14),$FY$2:$FY$113,0)),"")</f>
        <v xml:space="preserve">ABUSO DE ARMAS SIN LESIONES </v>
      </c>
      <c r="JV14" s="207" t="str">
        <f>IFERROR(INDEX($A$2:$A$113,MATCH(ROWS($FZ$2:FZ14),$FZ$2:$FZ$113,0)),"")</f>
        <v xml:space="preserve">ABUSO DE ARMAS SIN LESIONES </v>
      </c>
      <c r="JW14" s="207" t="str">
        <f>IFERROR(INDEX($A$2:$A$113,MATCH(ROWS($GA$2:GA14),$GA$2:$GA$113,0)),"")</f>
        <v xml:space="preserve">ABUSO DE ARMAS SIN LESIONES </v>
      </c>
      <c r="JX14" s="207" t="str">
        <f>IFERROR(INDEX($A$2:$A$113,MATCH(ROWS($GB$2:GB14),$GB$2:$GB$113,0)),"")</f>
        <v xml:space="preserve">ABUSO DE ARMAS SIN LESIONES </v>
      </c>
      <c r="JY14" s="207" t="str">
        <f>IFERROR(INDEX($A$2:$A$113,MATCH(ROWS($GC$2:GC14),$GC$2:$GC$113,0)),"")</f>
        <v xml:space="preserve">ABUSO DE ARMAS SIN LESIONES </v>
      </c>
      <c r="JZ14" s="207" t="str">
        <f>IFERROR(INDEX($A$2:$A$113,MATCH(ROWS($GD$2:GD14),$GD$2:$GD$113,0)),"")</f>
        <v xml:space="preserve">ABUSO DE ARMAS SIN LESIONES </v>
      </c>
      <c r="KA14" s="207" t="str">
        <f>IFERROR(INDEX($A$2:$A$113,MATCH(ROWS($GE$2:GE14),$GE$2:$GE$113,0)),"")</f>
        <v xml:space="preserve">ABUSO DE ARMAS SIN LESIONES </v>
      </c>
      <c r="KB14" s="207" t="str">
        <f>IFERROR(INDEX($A$2:$A$113,MATCH(ROWS($GF$2:GF14),$GF$2:$GF$113,0)),"")</f>
        <v xml:space="preserve">ABUSO DE ARMAS SIN LESIONES </v>
      </c>
      <c r="KC14" s="207" t="str">
        <f>IFERROR(INDEX($A$2:$A$113,MATCH(ROWS($GG$2:GG14),$GG$2:$GG$113,0)),"")</f>
        <v xml:space="preserve">ABUSO DE ARMAS SIN LESIONES </v>
      </c>
      <c r="KD14" s="207" t="str">
        <f>IFERROR(INDEX($A$2:$A$113,MATCH(ROWS($GH$2:GH14),$GH$2:$GH$113,0)),"")</f>
        <v xml:space="preserve">ABUSO DE ARMAS SIN LESIONES </v>
      </c>
      <c r="KE14" s="207" t="str">
        <f>IFERROR(INDEX($A$2:$A$113,MATCH(ROWS($GI$2:GI14),$GI$2:$GI$113,0)),"")</f>
        <v xml:space="preserve">ABUSO DE ARMAS SIN LESIONES </v>
      </c>
      <c r="KF14" s="207" t="str">
        <f>IFERROR(INDEX($A$2:$A$113,MATCH(ROWS($GJ$2:GJ14),$GJ$2:$GJ$113,0)),"")</f>
        <v xml:space="preserve">ABUSO DE ARMAS SIN LESIONES </v>
      </c>
      <c r="KG14" s="207" t="str">
        <f>IFERROR(INDEX($A$2:$A$113,MATCH(ROWS($GK$2:GK14),$GK$2:$GK$113,0)),"")</f>
        <v xml:space="preserve">ABUSO DE ARMAS SIN LESIONES </v>
      </c>
      <c r="KH14" s="207" t="str">
        <f>IFERROR(INDEX($A$2:$A$113,MATCH(ROWS($GL$2:GL14),$GL$2:$GL$113,0)),"")</f>
        <v xml:space="preserve">ABUSO DE ARMAS SIN LESIONES </v>
      </c>
      <c r="KI14" s="207" t="str">
        <f>IFERROR(INDEX($A$2:$A$113,MATCH(ROWS($GM$2:GM14),$GM$2:$GM$113,0)),"")</f>
        <v xml:space="preserve">ABUSO DE ARMAS SIN LESIONES </v>
      </c>
      <c r="KJ14" s="207" t="str">
        <f>IFERROR(INDEX($A$2:$A$113,MATCH(ROWS($GN$2:GN14),$GN$2:$GN$113,0)),"")</f>
        <v xml:space="preserve">ABUSO DE ARMAS SIN LESIONES </v>
      </c>
      <c r="KK14" s="207" t="str">
        <f>IFERROR(INDEX($A$2:$A$113,MATCH(ROWS($GO$2:GO14),$GO$2:$GO$113,0)),"")</f>
        <v xml:space="preserve">ABUSO DE ARMAS SIN LESIONES </v>
      </c>
      <c r="KL14" s="207" t="str">
        <f>IFERROR(INDEX($A$2:$A$113,MATCH(ROWS($GP$2:GP14),$GP$2:$GP$113,0)),"")</f>
        <v xml:space="preserve">ABUSO DE ARMAS SIN LESIONES </v>
      </c>
      <c r="KM14" s="207" t="str">
        <f>IFERROR(INDEX($A$2:$A$113,MATCH(ROWS($GQ$2:GQ14),$GQ$2:$GQ$113,0)),"")</f>
        <v xml:space="preserve">ABUSO DE ARMAS SIN LESIONES </v>
      </c>
      <c r="KN14" s="207" t="str">
        <f>IFERROR(INDEX($A$2:$A$113,MATCH(ROWS($GR$2:GR14),$GR$2:$GR$113,0)),"")</f>
        <v xml:space="preserve">ABUSO DE ARMAS SIN LESIONES </v>
      </c>
      <c r="KO14" s="207" t="str">
        <f>IFERROR(INDEX($A$2:$A$113,MATCH(ROWS($GS$2:GS14),$GS$2:$GS$113,0)),"")</f>
        <v xml:space="preserve">ABUSO DE ARMAS SIN LESIONES </v>
      </c>
      <c r="KP14" s="207" t="str">
        <f>IFERROR(INDEX($A$2:$A$113,MATCH(ROWS($GT$2:GT14),$GT$2:$GT$113,0)),"")</f>
        <v xml:space="preserve">ABUSO DE ARMAS SIN LESIONES </v>
      </c>
      <c r="KQ14" s="207" t="str">
        <f>IFERROR(INDEX($A$2:$A$113,MATCH(ROWS($GU$2:GU14),$GU$2:$GU$113,0)),"")</f>
        <v xml:space="preserve">ABUSO DE ARMAS SIN LESIONES </v>
      </c>
      <c r="KR14" s="207" t="str">
        <f>IFERROR(INDEX($A$2:$A$113,MATCH(ROWS($GV$2:GV14),$GV$2:$GV$113,0)),"")</f>
        <v xml:space="preserve">ABUSO DE ARMAS SIN LESIONES </v>
      </c>
      <c r="KS14" s="207" t="str">
        <f>IFERROR(INDEX($A$2:$A$113,MATCH(ROWS($GW$2:GW14),$GW$2:$GW$113,0)),"")</f>
        <v xml:space="preserve">ABUSO DE ARMAS SIN LESIONES </v>
      </c>
    </row>
    <row r="15" spans="1:305" x14ac:dyDescent="0.25">
      <c r="A15" s="206" t="s">
        <v>69</v>
      </c>
      <c r="B15" s="206">
        <v>8</v>
      </c>
      <c r="D15" s="206" t="s">
        <v>786</v>
      </c>
      <c r="E15" s="206" t="s">
        <v>785</v>
      </c>
      <c r="F15" s="207">
        <f>--ISNUMBER(IFERROR(SEARCH('PLANILLA DJ'!$X$3,$A15,1),""))</f>
        <v>1</v>
      </c>
      <c r="G15" s="207">
        <f>--ISNUMBER(IFERROR(SEARCH('PLANILLA DJ'!$X$4,$A15,1),""))</f>
        <v>1</v>
      </c>
      <c r="H15" s="207">
        <f>--ISNUMBER(IFERROR(SEARCH('PLANILLA DJ'!$X$5,$A15,1),""))</f>
        <v>1</v>
      </c>
      <c r="I15" s="207">
        <f>--ISNUMBER(IFERROR(SEARCH('PLANILLA DJ'!$X$6,$A15,1),""))</f>
        <v>1</v>
      </c>
      <c r="J15" s="207">
        <f>--ISNUMBER(IFERROR(SEARCH('PLANILLA DJ'!$X$7,$A15,1),""))</f>
        <v>1</v>
      </c>
      <c r="K15" s="207">
        <f>--ISNUMBER(IFERROR(SEARCH('PLANILLA DJ'!$X$8,$A15,1),""))</f>
        <v>1</v>
      </c>
      <c r="L15" s="207">
        <f>--ISNUMBER(IFERROR(SEARCH('PLANILLA DJ'!$X$9,$A15,1),""))</f>
        <v>1</v>
      </c>
      <c r="M15" s="207">
        <f>--ISNUMBER(IFERROR(SEARCH('PLANILLA DJ'!$X$10,$A15,1),""))</f>
        <v>1</v>
      </c>
      <c r="N15" s="207">
        <f>--ISNUMBER(IFERROR(SEARCH('PLANILLA DJ'!$X$11,$A15,1),""))</f>
        <v>1</v>
      </c>
      <c r="O15" s="207">
        <f>--ISNUMBER(IFERROR(SEARCH('PLANILLA DJ'!$X$12,$A15,1),""))</f>
        <v>1</v>
      </c>
      <c r="P15" s="207">
        <f>--ISNUMBER(IFERROR(SEARCH('PLANILLA DJ'!$X$13,$A15,1),""))</f>
        <v>1</v>
      </c>
      <c r="Q15" s="207">
        <f>--ISNUMBER(IFERROR(SEARCH('PLANILLA DJ'!$X$14,$A15,1),""))</f>
        <v>1</v>
      </c>
      <c r="R15" s="207">
        <f>--ISNUMBER(IFERROR(SEARCH('PLANILLA DJ'!$X$15,$A15,1),""))</f>
        <v>1</v>
      </c>
      <c r="S15" s="207">
        <f>--ISNUMBER(IFERROR(SEARCH('PLANILLA DJ'!$X$16,$A15,1),""))</f>
        <v>1</v>
      </c>
      <c r="T15" s="207">
        <f>--ISNUMBER(IFERROR(SEARCH('PLANILLA DJ'!$X$17,$A15,1),""))</f>
        <v>1</v>
      </c>
      <c r="U15" s="207">
        <f>--ISNUMBER(IFERROR(SEARCH('PLANILLA DJ'!$X$18,$A15,1),""))</f>
        <v>1</v>
      </c>
      <c r="V15" s="207">
        <f>--ISNUMBER(IFERROR(SEARCH('PLANILLA DJ'!$X$19,$A15,1),""))</f>
        <v>1</v>
      </c>
      <c r="W15" s="207">
        <f>--ISNUMBER(IFERROR(SEARCH('PLANILLA DJ'!$X$20,$A15,1),""))</f>
        <v>1</v>
      </c>
      <c r="X15" s="207">
        <f>--ISNUMBER(IFERROR(SEARCH('PLANILLA DJ'!$X$21,$A15,1),""))</f>
        <v>1</v>
      </c>
      <c r="Y15" s="207">
        <f>--ISNUMBER(IFERROR(SEARCH('PLANILLA DJ'!$X$22,$A15,1),""))</f>
        <v>1</v>
      </c>
      <c r="Z15" s="207">
        <f>--ISNUMBER(IFERROR(SEARCH('PLANILLA DJ'!$X$23,$A15,1),""))</f>
        <v>1</v>
      </c>
      <c r="AA15" s="207">
        <f>--ISNUMBER(IFERROR(SEARCH('PLANILLA DJ'!$X$24,$A15,1),""))</f>
        <v>1</v>
      </c>
      <c r="AB15" s="207">
        <f>--ISNUMBER(IFERROR(SEARCH('PLANILLA DJ'!$X$25,$A15,1),""))</f>
        <v>1</v>
      </c>
      <c r="AC15" s="207">
        <f>--ISNUMBER(IFERROR(SEARCH('PLANILLA DJ'!$X$26,$A15,1),""))</f>
        <v>1</v>
      </c>
      <c r="AD15" s="207">
        <f>--ISNUMBER(IFERROR(SEARCH('PLANILLA DJ'!$X$27,$A15,1),""))</f>
        <v>1</v>
      </c>
      <c r="AE15" s="207">
        <f>--ISNUMBER(IFERROR(SEARCH('PLANILLA DJ'!$X$28,$A15,1),""))</f>
        <v>1</v>
      </c>
      <c r="AF15" s="207">
        <f>--ISNUMBER(IFERROR(SEARCH('PLANILLA DJ'!$X$29,$A15,1),""))</f>
        <v>1</v>
      </c>
      <c r="AG15" s="207">
        <f>--ISNUMBER(IFERROR(SEARCH('PLANILLA DJ'!$X$30,$A15,1),""))</f>
        <v>1</v>
      </c>
      <c r="AH15" s="207">
        <f>--ISNUMBER(IFERROR(SEARCH('PLANILLA DJ'!$X$31,$A15,1),""))</f>
        <v>1</v>
      </c>
      <c r="AI15" s="207">
        <f>--ISNUMBER(IFERROR(SEARCH('PLANILLA DJ'!$X$32,$A15,1),""))</f>
        <v>1</v>
      </c>
      <c r="AJ15" s="207">
        <f>--ISNUMBER(IFERROR(SEARCH('PLANILLA DJ'!$X$33,$A15,1),""))</f>
        <v>1</v>
      </c>
      <c r="AK15" s="207">
        <f>--ISNUMBER(IFERROR(SEARCH('PLANILLA DJ'!$X$34,$A15,1),""))</f>
        <v>1</v>
      </c>
      <c r="AL15" s="207">
        <f>--ISNUMBER(IFERROR(SEARCH('PLANILLA DJ'!$X$35,$A15,1),""))</f>
        <v>1</v>
      </c>
      <c r="AM15" s="207">
        <f>--ISNUMBER(IFERROR(SEARCH('PLANILLA DJ'!$X$36,$A15,1),""))</f>
        <v>1</v>
      </c>
      <c r="AN15" s="207">
        <f>--ISNUMBER(IFERROR(SEARCH('PLANILLA DJ'!$X$37,$A15,1),""))</f>
        <v>1</v>
      </c>
      <c r="AO15" s="207">
        <f>--ISNUMBER(IFERROR(SEARCH('PLANILLA DJ'!$X$38,$A15,1),""))</f>
        <v>1</v>
      </c>
      <c r="AP15" s="207">
        <f>--ISNUMBER(IFERROR(SEARCH('PLANILLA DJ'!$X$39,$A15,1),""))</f>
        <v>1</v>
      </c>
      <c r="AQ15" s="207">
        <f>--ISNUMBER(IFERROR(SEARCH('PLANILLA DJ'!$X$40,$A15,1),""))</f>
        <v>1</v>
      </c>
      <c r="AR15" s="207">
        <f>--ISNUMBER(IFERROR(SEARCH('PLANILLA DJ'!$X$41,$A15,1),""))</f>
        <v>1</v>
      </c>
      <c r="AS15" s="207">
        <f>--ISNUMBER(IFERROR(SEARCH('PLANILLA DJ'!$X$42,$A15,1),""))</f>
        <v>1</v>
      </c>
      <c r="AT15" s="207">
        <f>--ISNUMBER(IFERROR(SEARCH('PLANILLA DJ'!$X$43,$A15,1),""))</f>
        <v>1</v>
      </c>
      <c r="AU15" s="207">
        <f>--ISNUMBER(IFERROR(SEARCH('PLANILLA DJ'!$X$44,$A15,1),""))</f>
        <v>1</v>
      </c>
      <c r="AV15" s="207">
        <f>--ISNUMBER(IFERROR(SEARCH('PLANILLA DJ'!$X$45,$A15,1),""))</f>
        <v>1</v>
      </c>
      <c r="AW15" s="207">
        <f>--ISNUMBER(IFERROR(SEARCH('PLANILLA DJ'!$X$46,$A15,1),""))</f>
        <v>1</v>
      </c>
      <c r="AX15" s="207">
        <f>--ISNUMBER(IFERROR(SEARCH('PLANILLA DJ'!$X$47,$A15,1),""))</f>
        <v>1</v>
      </c>
      <c r="AY15" s="207">
        <f>--ISNUMBER(IFERROR(SEARCH('PLANILLA DJ'!$X$48,$A15,1),""))</f>
        <v>1</v>
      </c>
      <c r="AZ15" s="207">
        <f>--ISNUMBER(IFERROR(SEARCH('PLANILLA DJ'!$X$49,$A15,1),""))</f>
        <v>1</v>
      </c>
      <c r="BA15" s="207">
        <f>--ISNUMBER(IFERROR(SEARCH('PLANILLA DJ'!$X$50,$A15,1),""))</f>
        <v>1</v>
      </c>
      <c r="BB15" s="207">
        <f>--ISNUMBER(IFERROR(SEARCH('PLANILLA DJ'!$X$51,$A15,1),""))</f>
        <v>1</v>
      </c>
      <c r="BC15" s="207">
        <f>--ISNUMBER(IFERROR(SEARCH('PLANILLA DJ'!$X$52,$A15,1),""))</f>
        <v>1</v>
      </c>
      <c r="BD15" s="207">
        <f>--ISNUMBER(IFERROR(SEARCH('PLANILLA DJ'!$X$53,$A15,1),""))</f>
        <v>1</v>
      </c>
      <c r="BE15" s="207">
        <f>--ISNUMBER(IFERROR(SEARCH('PLANILLA DJ'!$X$54,$A15,1),""))</f>
        <v>1</v>
      </c>
      <c r="BF15" s="207">
        <f>--ISNUMBER(IFERROR(SEARCH('PLANILLA DJ'!$X$55,$A15,1),""))</f>
        <v>1</v>
      </c>
      <c r="BG15" s="207">
        <f>--ISNUMBER(IFERROR(SEARCH('PLANILLA DJ'!$X$56,$A15,1),""))</f>
        <v>1</v>
      </c>
      <c r="BH15" s="207">
        <f>--ISNUMBER(IFERROR(SEARCH('PLANILLA DJ'!$X$57,$A15,1),""))</f>
        <v>1</v>
      </c>
      <c r="BI15" s="207">
        <f>--ISNUMBER(IFERROR(SEARCH('PLANILLA DJ'!$X$58,$A15,1),""))</f>
        <v>1</v>
      </c>
      <c r="BJ15" s="207">
        <f>--ISNUMBER(IFERROR(SEARCH('PLANILLA DJ'!$X$59,$A15,1),""))</f>
        <v>1</v>
      </c>
      <c r="BK15" s="207">
        <f>--ISNUMBER(IFERROR(SEARCH('PLANILLA DJ'!$X$60,$A15,1),""))</f>
        <v>1</v>
      </c>
      <c r="BL15" s="207">
        <f>--ISNUMBER(IFERROR(SEARCH('PLANILLA DJ'!$X$61,$A15,1),""))</f>
        <v>1</v>
      </c>
      <c r="BM15" s="207">
        <f>--ISNUMBER(IFERROR(SEARCH('PLANILLA DJ'!$X$62,$A15,1),""))</f>
        <v>1</v>
      </c>
      <c r="BN15" s="207">
        <f>--ISNUMBER(IFERROR(SEARCH('PLANILLA DJ'!$X$63,$A15,1),""))</f>
        <v>1</v>
      </c>
      <c r="BO15" s="207">
        <f>--ISNUMBER(IFERROR(SEARCH('PLANILLA DJ'!$X$64,$A15,1),""))</f>
        <v>1</v>
      </c>
      <c r="BP15" s="207">
        <f>--ISNUMBER(IFERROR(SEARCH('PLANILLA DJ'!$X$65,$A15,1),""))</f>
        <v>1</v>
      </c>
      <c r="BQ15" s="207">
        <f>--ISNUMBER(IFERROR(SEARCH('PLANILLA DJ'!$X$66,$A15,1),""))</f>
        <v>1</v>
      </c>
      <c r="BR15" s="207">
        <f>--ISNUMBER(IFERROR(SEARCH('PLANILLA DJ'!$X$67,$A15,1),""))</f>
        <v>1</v>
      </c>
      <c r="BS15" s="207">
        <f>--ISNUMBER(IFERROR(SEARCH('PLANILLA DJ'!$X$68,$A15,1),""))</f>
        <v>1</v>
      </c>
      <c r="BT15" s="207">
        <f>--ISNUMBER(IFERROR(SEARCH('PLANILLA DJ'!$X$69,$A15,1),""))</f>
        <v>1</v>
      </c>
      <c r="BU15" s="207">
        <f>--ISNUMBER(IFERROR(SEARCH('PLANILLA DJ'!$X$70,$A15,1),""))</f>
        <v>1</v>
      </c>
      <c r="BV15" s="207">
        <f>--ISNUMBER(IFERROR(SEARCH('PLANILLA DJ'!$X$71,$A15,1),""))</f>
        <v>1</v>
      </c>
      <c r="BW15" s="207">
        <f>--ISNUMBER(IFERROR(SEARCH('PLANILLA DJ'!$X$72,$A15,1),""))</f>
        <v>1</v>
      </c>
      <c r="BX15" s="207">
        <f>--ISNUMBER(IFERROR(SEARCH('PLANILLA DJ'!$X$73,$A15,1),""))</f>
        <v>1</v>
      </c>
      <c r="BY15" s="207">
        <f>--ISNUMBER(IFERROR(SEARCH('PLANILLA DJ'!$X$74,$A15,1),""))</f>
        <v>1</v>
      </c>
      <c r="BZ15" s="207">
        <f>--ISNUMBER(IFERROR(SEARCH('PLANILLA DJ'!$X$75,$A15,1),""))</f>
        <v>1</v>
      </c>
      <c r="CA15" s="207">
        <f>--ISNUMBER(IFERROR(SEARCH('PLANILLA DJ'!$X$76,$A15,1),""))</f>
        <v>1</v>
      </c>
      <c r="CB15" s="207">
        <f>--ISNUMBER(IFERROR(SEARCH('PLANILLA DJ'!$X$77,$A15,1),""))</f>
        <v>1</v>
      </c>
      <c r="CC15" s="207">
        <f>--ISNUMBER(IFERROR(SEARCH('PLANILLA DJ'!$X$78,$A15,1),""))</f>
        <v>1</v>
      </c>
      <c r="CD15" s="207">
        <f>--ISNUMBER(IFERROR(SEARCH('PLANILLA DJ'!$X$79,$A15,1),""))</f>
        <v>1</v>
      </c>
      <c r="CE15" s="207">
        <f>--ISNUMBER(IFERROR(SEARCH('PLANILLA DJ'!$X$80,$A15,1),""))</f>
        <v>1</v>
      </c>
      <c r="CF15" s="207">
        <f>--ISNUMBER(IFERROR(SEARCH('PLANILLA DJ'!$X$81,$A15,1),""))</f>
        <v>1</v>
      </c>
      <c r="CG15" s="207">
        <f>--ISNUMBER(IFERROR(SEARCH('PLANILLA DJ'!$X$82,$A15,1),""))</f>
        <v>1</v>
      </c>
      <c r="CH15" s="207">
        <f>--ISNUMBER(IFERROR(SEARCH('PLANILLA DJ'!$X$83,$A15,1),""))</f>
        <v>1</v>
      </c>
      <c r="CI15" s="207">
        <f>--ISNUMBER(IFERROR(SEARCH('PLANILLA DJ'!$X$84,$A15,1),""))</f>
        <v>1</v>
      </c>
      <c r="CJ15" s="207">
        <f>--ISNUMBER(IFERROR(SEARCH('PLANILLA DJ'!$X$85,$A15,1),""))</f>
        <v>1</v>
      </c>
      <c r="CK15" s="207">
        <f>--ISNUMBER(IFERROR(SEARCH('PLANILLA DJ'!$X$86,$A15,1),""))</f>
        <v>1</v>
      </c>
      <c r="CL15" s="207">
        <f>--ISNUMBER(IFERROR(SEARCH('PLANILLA DJ'!$X$87,$A15,1),""))</f>
        <v>1</v>
      </c>
      <c r="CM15" s="207">
        <f>--ISNUMBER(IFERROR(SEARCH('PLANILLA DJ'!$X$88,$A15,1),""))</f>
        <v>1</v>
      </c>
      <c r="CN15" s="207">
        <f>--ISNUMBER(IFERROR(SEARCH('PLANILLA DJ'!$X$89,$A15,1),""))</f>
        <v>1</v>
      </c>
      <c r="CO15" s="207">
        <f>--ISNUMBER(IFERROR(SEARCH('PLANILLA DJ'!$X$90,$A15,1),""))</f>
        <v>1</v>
      </c>
      <c r="CP15" s="207">
        <f>--ISNUMBER(IFERROR(SEARCH('PLANILLA DJ'!$X$91,$A15,1),""))</f>
        <v>1</v>
      </c>
      <c r="CQ15" s="207">
        <f>--ISNUMBER(IFERROR(SEARCH('PLANILLA DJ'!$X$92,$A15,1),""))</f>
        <v>1</v>
      </c>
      <c r="CR15" s="207">
        <f>--ISNUMBER(IFERROR(SEARCH('PLANILLA DJ'!$X$93,$A15,1),""))</f>
        <v>1</v>
      </c>
      <c r="CS15" s="207">
        <f>--ISNUMBER(IFERROR(SEARCH('PLANILLA DJ'!$X$94,$A15,1),""))</f>
        <v>1</v>
      </c>
      <c r="CT15" s="207">
        <f>--ISNUMBER(IFERROR(SEARCH('PLANILLA DJ'!$X$95,$A15,1),""))</f>
        <v>1</v>
      </c>
      <c r="CU15" s="207">
        <f>--ISNUMBER(IFERROR(SEARCH('PLANILLA DJ'!$X$96,$A15,1),""))</f>
        <v>1</v>
      </c>
      <c r="CV15" s="207">
        <f>--ISNUMBER(IFERROR(SEARCH('PLANILLA DJ'!$X$97,$A15,1),""))</f>
        <v>1</v>
      </c>
      <c r="CW15" s="207">
        <f>--ISNUMBER(IFERROR(SEARCH('PLANILLA DJ'!$X$98,$A15,1),""))</f>
        <v>1</v>
      </c>
      <c r="CX15" s="207">
        <f>--ISNUMBER(IFERROR(SEARCH('PLANILLA DJ'!$X$99,$A15,1),""))</f>
        <v>1</v>
      </c>
      <c r="CY15" s="207">
        <f>--ISNUMBER(IFERROR(SEARCH('PLANILLA DJ'!$X$100,$A15,1),""))</f>
        <v>1</v>
      </c>
      <c r="CZ15" s="207">
        <f>--ISNUMBER(IFERROR(SEARCH('PLANILLA DJ'!$X$101,$A15,1),""))</f>
        <v>1</v>
      </c>
      <c r="DA15" s="207">
        <f>--ISNUMBER(IFERROR(SEARCH('PLANILLA DJ'!$X$102,$A15,1),""))</f>
        <v>1</v>
      </c>
      <c r="DB15" s="206">
        <f>IF(F15=1,COUNTIF($F$2:F15,1),"")</f>
        <v>14</v>
      </c>
      <c r="DC15" s="206">
        <f>IF(G15=1,COUNTIF($G$2:G15,1),"")</f>
        <v>14</v>
      </c>
      <c r="DD15" s="206">
        <f>IF(H15=1,COUNTIF($H$2:H15,1),"")</f>
        <v>14</v>
      </c>
      <c r="DE15" s="206">
        <f>IF(I15=1,COUNTIF($I$2:I15,1),"")</f>
        <v>14</v>
      </c>
      <c r="DF15" s="206">
        <f>IF(J15=1,COUNTIF($J$2:J15,1),"")</f>
        <v>14</v>
      </c>
      <c r="DG15" s="206">
        <f>IF(K15=1,COUNTIF($K$2:K15,1),"")</f>
        <v>14</v>
      </c>
      <c r="DH15" s="206">
        <f>IF(L15=1,COUNTIF($L$2:L15,1),"")</f>
        <v>14</v>
      </c>
      <c r="DI15" s="206">
        <f>IF(M15=1,COUNTIF($M$2:M15,1),"")</f>
        <v>14</v>
      </c>
      <c r="DJ15" s="206">
        <f>IF(N15=1,COUNTIF($N$2:N15,1),"")</f>
        <v>14</v>
      </c>
      <c r="DK15" s="206">
        <f>IF(O15=1,COUNTIF($O$2:O15,1),"")</f>
        <v>14</v>
      </c>
      <c r="DL15" s="206">
        <f>IF(P15=1,COUNTIF($P$2:P15,1),"")</f>
        <v>14</v>
      </c>
      <c r="DM15" s="206">
        <f>IF(Q15=1,COUNTIF($Q$2:Q15,1),"")</f>
        <v>14</v>
      </c>
      <c r="DN15" s="207">
        <f>IF(R15=1,COUNTIF($R$2:R15,1),"")</f>
        <v>14</v>
      </c>
      <c r="DO15" s="207">
        <f>IF(S15=1,COUNTIF($S$2:S15,1),"")</f>
        <v>14</v>
      </c>
      <c r="DP15" s="207">
        <f>IF(T15=1,COUNTIF($T$2:T15,1),"")</f>
        <v>14</v>
      </c>
      <c r="DQ15" s="207">
        <f>IF(U15=1,COUNTIF($U$2:U15,1),"")</f>
        <v>14</v>
      </c>
      <c r="DR15" s="207">
        <f>IF(V15=1,COUNTIF($V$2:V15,1),"")</f>
        <v>14</v>
      </c>
      <c r="DS15" s="207">
        <f>IF(W15=1,COUNTIF($W$2:W15,1),"")</f>
        <v>14</v>
      </c>
      <c r="DT15" s="207">
        <f>IF(X15=1,COUNTIF($X$2:X15,1),"")</f>
        <v>14</v>
      </c>
      <c r="DU15" s="207">
        <f>IF(Y15=1,COUNTIF($Y$2:Y15,1),"")</f>
        <v>14</v>
      </c>
      <c r="DV15" s="207">
        <f>IF(Z15=1,COUNTIF(Z$2:Z15,1),"")</f>
        <v>14</v>
      </c>
      <c r="DW15" s="207">
        <f>IF(AA15=1,COUNTIF($AA$2:AA15,1),"")</f>
        <v>14</v>
      </c>
      <c r="DX15" s="207">
        <f>IF(AB15=1,COUNTIF($AB$2:AB15,1),"")</f>
        <v>14</v>
      </c>
      <c r="DY15" s="207">
        <f>IF(AC15=1,COUNTIF($AC$2:AC15,1),"")</f>
        <v>14</v>
      </c>
      <c r="DZ15" s="207">
        <f>IF(AD15=1,COUNTIF($AD$2:AD15,1),"")</f>
        <v>14</v>
      </c>
      <c r="EA15" s="207">
        <f>IF(AE15=1,COUNTIF($AE$2:AE15,1),"")</f>
        <v>14</v>
      </c>
      <c r="EB15" s="207">
        <f>IF(AF15=1,COUNTIF($AF$2:AF15,1),"")</f>
        <v>14</v>
      </c>
      <c r="EC15" s="207">
        <f>IF(AG15=1,COUNTIF($AG$2:AG15,1),"")</f>
        <v>14</v>
      </c>
      <c r="ED15" s="207">
        <f>IF(AH15=1,COUNTIF($AH$2:AH15,1),"")</f>
        <v>14</v>
      </c>
      <c r="EE15" s="207">
        <f>IF(AI15=1,COUNTIF($AI$2:AI15,1),"")</f>
        <v>14</v>
      </c>
      <c r="EF15" s="207">
        <f>IF(AJ15=1,COUNTIF($AJ$2:AJ15,1),"")</f>
        <v>14</v>
      </c>
      <c r="EG15" s="207">
        <f>IF(AK15=1,COUNTIF($AK$2:AK15,1),"")</f>
        <v>14</v>
      </c>
      <c r="EH15" s="207">
        <f>IF(AL15=1,COUNTIF($AL$2:AL15,1),"")</f>
        <v>14</v>
      </c>
      <c r="EI15" s="207">
        <f>IF(AM15=1,COUNTIF($AM$2:AM15,1),"")</f>
        <v>14</v>
      </c>
      <c r="EJ15" s="207">
        <f>IF(AN15=1,COUNTIF($AN$2:AN15,1),"")</f>
        <v>14</v>
      </c>
      <c r="EK15" s="207">
        <f>IF(AO15=1,COUNTIF($AO$2:AO15,1),"")</f>
        <v>14</v>
      </c>
      <c r="EL15" s="207">
        <f>IF(AP15=1,COUNTIF($AP$2:AP15,1),"")</f>
        <v>14</v>
      </c>
      <c r="EM15" s="207">
        <f>IF(AQ15=1,COUNTIF($AQ$2:AQ15,1),"")</f>
        <v>14</v>
      </c>
      <c r="EN15" s="207">
        <f>IF(AR15=1,COUNTIF($AR$2:AR15,1),"")</f>
        <v>14</v>
      </c>
      <c r="EO15" s="207">
        <f>IF(AS15=1,COUNTIF($AS$2:AS15,1),"")</f>
        <v>14</v>
      </c>
      <c r="EP15" s="207">
        <f>IF(AT15=1,COUNTIF($AT$2:AT15,1),"")</f>
        <v>14</v>
      </c>
      <c r="EQ15" s="207">
        <f>IF(AU15=1,COUNTIF($AU$2:AU15,1),"")</f>
        <v>14</v>
      </c>
      <c r="ER15" s="207">
        <f>IF(AV15=1,COUNTIF($AV$2:AV15,1),"")</f>
        <v>14</v>
      </c>
      <c r="ES15" s="207">
        <f>IF(AW15=1,COUNTIF($AW$2:AW15,1),"")</f>
        <v>14</v>
      </c>
      <c r="ET15" s="207">
        <f>IF(AX15=1,COUNTIF($AX$2:AX15,1),"")</f>
        <v>14</v>
      </c>
      <c r="EU15" s="207">
        <f>IF(AY15=1,COUNTIF($AY$2:AY15,1),"")</f>
        <v>14</v>
      </c>
      <c r="EV15" s="207">
        <f>IF(AZ15=1,COUNTIF($AZ$2:AZ15,1),"")</f>
        <v>14</v>
      </c>
      <c r="EW15" s="207">
        <f>IF(BA15=1,COUNTIF($BA$2:BA15,1),"")</f>
        <v>14</v>
      </c>
      <c r="EX15" s="207">
        <f>IF(BB15=1,COUNTIF($BB$2:BB15,1),"")</f>
        <v>14</v>
      </c>
      <c r="EY15" s="207">
        <f>IF(BC15=1,COUNTIF($BC$2:BC15,1),"")</f>
        <v>14</v>
      </c>
      <c r="EZ15" s="207">
        <f>IF(BD15=1,COUNTIF($BD$2:BD15,1),"")</f>
        <v>14</v>
      </c>
      <c r="FA15" s="207">
        <f>IF(BE15=1,COUNTIF($BE$2:BE15,1),"")</f>
        <v>14</v>
      </c>
      <c r="FB15" s="207">
        <f>IF(BF15=1,COUNTIF($BF$2:BF15,1),"")</f>
        <v>14</v>
      </c>
      <c r="FC15" s="207">
        <f>IF(BG15=1,COUNTIF($BG$2:BG15,1),"")</f>
        <v>14</v>
      </c>
      <c r="FD15" s="207">
        <f>IF(BH15=1,COUNTIF($BH$2:BH15,1),"")</f>
        <v>14</v>
      </c>
      <c r="FE15" s="207">
        <f>IF(BI15=1,COUNTIF($BI$2:BI15,1),"")</f>
        <v>14</v>
      </c>
      <c r="FF15" s="207">
        <f>IF(BJ15=1,COUNTIF($BJ$2:BJ15,1),"")</f>
        <v>14</v>
      </c>
      <c r="FG15" s="207">
        <f>IF(BK15=1,COUNTIF($BK$2:BK15,1),"")</f>
        <v>14</v>
      </c>
      <c r="FH15" s="207">
        <f>IF(BL15=1,COUNTIF($BL$2:BL15,1),"")</f>
        <v>14</v>
      </c>
      <c r="FI15" s="207">
        <f>IF(BM15=1,COUNTIF($BM$2:BM15,1),"")</f>
        <v>14</v>
      </c>
      <c r="FJ15" s="207">
        <f>IF(BN15=1,COUNTIF($BN$2:BN15,1),"")</f>
        <v>14</v>
      </c>
      <c r="FK15" s="207">
        <f>IF(BO15=1,COUNTIF($BO$2:BO15,1),"")</f>
        <v>14</v>
      </c>
      <c r="FL15" s="207">
        <f>IF(BP15=1,COUNTIF($BP$2:BP15,1),"")</f>
        <v>14</v>
      </c>
      <c r="FM15" s="207">
        <f>IF(BQ15=1,COUNTIF($BQ$2:BQ15,1),"")</f>
        <v>14</v>
      </c>
      <c r="FN15" s="207">
        <f>IF(BR15=1,COUNTIF($BR$2:BR15,1),"")</f>
        <v>14</v>
      </c>
      <c r="FO15" s="207">
        <f>IF(BS15=1,COUNTIF($BS$2:BS15,1),"")</f>
        <v>14</v>
      </c>
      <c r="FP15" s="207">
        <f>IF(BT15=1,COUNTIF($BT$2:BT15,1),"")</f>
        <v>14</v>
      </c>
      <c r="FQ15" s="207">
        <f>IF(BU15=1,COUNTIF($BU$2:BU15,1),"")</f>
        <v>14</v>
      </c>
      <c r="FR15" s="207">
        <f>IF(BV15=1,COUNTIF($BV$2:BV15,1),"")</f>
        <v>14</v>
      </c>
      <c r="FS15" s="207">
        <f>IF(BW15=1,COUNTIF($BW$2:BW15,1),"")</f>
        <v>14</v>
      </c>
      <c r="FT15" s="207">
        <f>IF(BX15=1,COUNTIF($BX$2:BX15,1),"")</f>
        <v>14</v>
      </c>
      <c r="FU15" s="207">
        <f>IF(BY15=1,COUNTIF($BY$2:BY15,1),"")</f>
        <v>14</v>
      </c>
      <c r="FV15" s="207">
        <f>IF(BZ15=1,COUNTIF($BZ$2:BZ15,1),"")</f>
        <v>14</v>
      </c>
      <c r="FW15" s="207">
        <f>IF(CA15=1,COUNTIF($CA$2:CA15,1),"")</f>
        <v>14</v>
      </c>
      <c r="FX15" s="207">
        <f>IF(CB15=1,COUNTIF($CB$2:CB15,1),"")</f>
        <v>14</v>
      </c>
      <c r="FY15" s="207">
        <f>IF(CC15=1,COUNTIF($CC$2:CC15,1),"")</f>
        <v>14</v>
      </c>
      <c r="FZ15" s="207">
        <f>IF(CD15=1,COUNTIF($CD$2:CD15,1),"")</f>
        <v>14</v>
      </c>
      <c r="GA15" s="207">
        <f>IF(CE15=1,COUNTIF($CE$2:CE15,1),"")</f>
        <v>14</v>
      </c>
      <c r="GB15" s="207">
        <f>IF(CF15=1,COUNTIF($CF$2:CF15,1),"")</f>
        <v>14</v>
      </c>
      <c r="GC15" s="207">
        <f>IF(CG15=1,COUNTIF($CG$2:CG15,1),"")</f>
        <v>14</v>
      </c>
      <c r="GD15" s="207">
        <f>IF(CH15=1,COUNTIF($CH$2:CH15,1),"")</f>
        <v>14</v>
      </c>
      <c r="GE15" s="207">
        <f>IF(CI15=1,COUNTIF($CI$2:CI15,1),"")</f>
        <v>14</v>
      </c>
      <c r="GF15" s="207">
        <f>IF(CJ15=1,COUNTIF($CJ$2:CJ15,1),"")</f>
        <v>14</v>
      </c>
      <c r="GG15" s="207">
        <f>IF(CK15=1,COUNTIF($CK$2:CK15,1),"")</f>
        <v>14</v>
      </c>
      <c r="GH15" s="207">
        <f>IF(CL15=1,COUNTIF($CL$2:CL15,1),"")</f>
        <v>14</v>
      </c>
      <c r="GI15" s="207">
        <f>IF(CM15=1,COUNTIF($CM$2:CM15,1),"")</f>
        <v>14</v>
      </c>
      <c r="GJ15" s="207">
        <f>IF(CN15=1,COUNTIF($CN$2:CN15,1),"")</f>
        <v>14</v>
      </c>
      <c r="GK15" s="207">
        <f>IF(CO15=1,COUNTIF($CO$2:CO15,1),"")</f>
        <v>14</v>
      </c>
      <c r="GL15" s="207">
        <f>IF(CP15=1,COUNTIF($CP$2:CP15,1),"")</f>
        <v>14</v>
      </c>
      <c r="GM15" s="207">
        <f>IF(CQ15=1,COUNTIF($CQ$2:CQ15,1),"")</f>
        <v>14</v>
      </c>
      <c r="GN15" s="207">
        <f>IF(CR15=1,COUNTIF($CR$2:CR15,1),"")</f>
        <v>14</v>
      </c>
      <c r="GO15" s="207">
        <f>IF(CS15=1,COUNTIF($CS$2:CS15,1),"")</f>
        <v>14</v>
      </c>
      <c r="GP15" s="207">
        <f>IF(CT15=1,COUNTIF($CT$2:CT15,1),"")</f>
        <v>14</v>
      </c>
      <c r="GQ15" s="207">
        <f>IF(CU15=1,COUNTIF($CU$2:CU15,1),"")</f>
        <v>14</v>
      </c>
      <c r="GR15" s="207">
        <f>IF(CV15=1,COUNTIF($CV$2:CV15,1),"")</f>
        <v>14</v>
      </c>
      <c r="GS15" s="207">
        <f>IF(CW15=1,COUNTIF($CW$2:CW15,1),"")</f>
        <v>14</v>
      </c>
      <c r="GT15" s="207">
        <f>IF(CX15=1,COUNTIF($CX$2:CX15,1),"")</f>
        <v>14</v>
      </c>
      <c r="GU15" s="207">
        <f>IF(CY15=1,COUNTIF($CY$2:CY15,1),"")</f>
        <v>14</v>
      </c>
      <c r="GV15" s="207">
        <f>IF(CZ15=1,COUNTIF($CZ$2:CZ15,1),"")</f>
        <v>14</v>
      </c>
      <c r="GW15" s="207">
        <f>IF(DA15=1,COUNTIF($DA$2:DA15,1),"")</f>
        <v>14</v>
      </c>
      <c r="GX15" s="206" t="str">
        <f>IFERROR(INDEX($A$2:$A$113,MATCH(ROWS($DB$2:DB15),$DB$2:$DB$113,0)),"")</f>
        <v>ABUSO DE ARMAS CON LESIONES</v>
      </c>
      <c r="GY15" s="206" t="str">
        <f>IFERROR(INDEX($A$2:$A$113,MATCH(ROWS($DC$2:DC15),$DC$2:$DC$113,0)),"")</f>
        <v>ABUSO DE ARMAS CON LESIONES</v>
      </c>
      <c r="GZ15" s="206" t="str">
        <f>IFERROR(INDEX($A$2:$A$113,MATCH(ROWS($DD$2:DD15),$DD$2:$DD$113,0)),"")</f>
        <v>ABUSO DE ARMAS CON LESIONES</v>
      </c>
      <c r="HA15" s="206" t="str">
        <f>IFERROR(INDEX($A$2:$A$113,MATCH(ROWS($DE$2:DE15),$DE$2:$DE$113,0)),"")</f>
        <v>ABUSO DE ARMAS CON LESIONES</v>
      </c>
      <c r="HB15" s="206" t="str">
        <f>IFERROR(INDEX($A$2:$A$113,MATCH(ROWS($DF$2:DF15),$DF$2:$DF$113,0)),"")</f>
        <v>ABUSO DE ARMAS CON LESIONES</v>
      </c>
      <c r="HC15" s="206" t="str">
        <f>IFERROR(INDEX($A$2:$A$113,MATCH(ROWS($DG$2:DG15),$DG$2:$DG$113,0)),"")</f>
        <v>ABUSO DE ARMAS CON LESIONES</v>
      </c>
      <c r="HD15" s="206" t="str">
        <f>IFERROR(INDEX($A$2:$A$113,MATCH(ROWS($DH$2:DH15),$DH$2:$DH$113,0)),"")</f>
        <v>ABUSO DE ARMAS CON LESIONES</v>
      </c>
      <c r="HE15" s="206" t="str">
        <f>IFERROR(INDEX($A$2:$A$113,MATCH(ROWS($DI$2:DI15),$DI$2:$DI$113,0)),"")</f>
        <v>ABUSO DE ARMAS CON LESIONES</v>
      </c>
      <c r="HF15" s="206" t="str">
        <f>IFERROR(INDEX($A$2:$A$113,MATCH(ROWS($DJ$2:DJ15),$DJ$2:$DJ$113,0)),"")</f>
        <v>ABUSO DE ARMAS CON LESIONES</v>
      </c>
      <c r="HG15" s="206" t="str">
        <f>IFERROR(INDEX($A$2:$A$113,MATCH(ROWS($DK$2:DK15),$DK$2:$DK$113,0)),"")</f>
        <v>ABUSO DE ARMAS CON LESIONES</v>
      </c>
      <c r="HH15" s="206" t="str">
        <f>IFERROR(INDEX($A$2:$A$113,MATCH(ROWS($DL$2:DL15),$DL$2:$DL$113,0)),"")</f>
        <v>ABUSO DE ARMAS CON LESIONES</v>
      </c>
      <c r="HI15" s="206" t="str">
        <f>IFERROR(INDEX($A$2:$A$113,MATCH(ROWS($DM$2:DM15),$DM$2:$DM$113,0)),"")</f>
        <v>ABUSO DE ARMAS CON LESIONES</v>
      </c>
      <c r="HJ15" s="206" t="str">
        <f>IFERROR(INDEX($A$2:$A$113,MATCH(ROWS($DN$2:DN15),$DN$2:$DN$113,0)),"")</f>
        <v>ABUSO DE ARMAS CON LESIONES</v>
      </c>
      <c r="HK15" s="206" t="str">
        <f>IFERROR(INDEX($A$2:$A$113,MATCH(ROWS($DO$2:DO15),$DO$2:$DO$113,0)),"")</f>
        <v>ABUSO DE ARMAS CON LESIONES</v>
      </c>
      <c r="HL15" s="206" t="str">
        <f>IFERROR(INDEX($A$2:$A$113,MATCH(ROWS($DP$2:DP15),$DP$2:$DP$113,0)),"")</f>
        <v>ABUSO DE ARMAS CON LESIONES</v>
      </c>
      <c r="HM15" s="206" t="str">
        <f>IFERROR(INDEX($A$2:$A$113,MATCH(ROWS($DQ$2:DQ15),$DQ$2:$DQ$113,0)),"")</f>
        <v>ABUSO DE ARMAS CON LESIONES</v>
      </c>
      <c r="HN15" s="206" t="str">
        <f>IFERROR(INDEX($A$2:$A$113,MATCH(ROWS($DR$2:DR15),$DR$2:$DR$113,0)),"")</f>
        <v>ABUSO DE ARMAS CON LESIONES</v>
      </c>
      <c r="HO15" s="206" t="str">
        <f>IFERROR(INDEX($A$2:$A$113,MATCH(ROWS($DS$2:DS15),$DS$2:$DS$113,0)),"")</f>
        <v>ABUSO DE ARMAS CON LESIONES</v>
      </c>
      <c r="HP15" s="206" t="str">
        <f>IFERROR(INDEX($A$2:$A$113,MATCH(ROWS($DT$2:DT15),$DT$2:$DT$113,0)),"")</f>
        <v>ABUSO DE ARMAS CON LESIONES</v>
      </c>
      <c r="HQ15" s="206" t="str">
        <f>IFERROR(INDEX($A$2:$A$113,MATCH(ROWS($DU$2:DU15),$DU$2:$DU$113,0)),"")</f>
        <v>ABUSO DE ARMAS CON LESIONES</v>
      </c>
      <c r="HR15" s="206" t="str">
        <f>IFERROR(INDEX($A$2:$A$113,MATCH(ROWS($DV$2:DV15),$DV$2:$DV$113,0)),"")</f>
        <v>ABUSO DE ARMAS CON LESIONES</v>
      </c>
      <c r="HS15" s="206" t="str">
        <f>IFERROR(INDEX($A$2:$A$113,MATCH(ROWS($DW$2:DW15),$DW$2:$DW$113,0)),"")</f>
        <v>ABUSO DE ARMAS CON LESIONES</v>
      </c>
      <c r="HT15" s="206" t="str">
        <f>IFERROR(INDEX($A$2:$A$113,MATCH(ROWS($DX$2:DX15),$DX$2:$DX$113,0)),"")</f>
        <v>ABUSO DE ARMAS CON LESIONES</v>
      </c>
      <c r="HU15" s="206" t="str">
        <f>IFERROR(INDEX($A$2:$A$113,MATCH(ROWS($DY$2:DY15),$DY$2:$DY$113,0)),"")</f>
        <v>ABUSO DE ARMAS CON LESIONES</v>
      </c>
      <c r="HV15" s="206" t="str">
        <f>IFERROR(INDEX($A$2:$A$113,MATCH(ROWS($DZ$2:DZ15),$DZ$2:$DZ$113,0)),"")</f>
        <v>ABUSO DE ARMAS CON LESIONES</v>
      </c>
      <c r="HW15" s="206" t="str">
        <f>IFERROR(INDEX($A$2:$A$113,MATCH(ROWS($EA$2:EA15),$EA$2:$EA$113,0)),"")</f>
        <v>ABUSO DE ARMAS CON LESIONES</v>
      </c>
      <c r="HX15" s="206" t="str">
        <f>IFERROR(INDEX($A$2:$A$113,MATCH(ROWS($EB$2:EB15),$EB$2:$EB$113,0)),"")</f>
        <v>ABUSO DE ARMAS CON LESIONES</v>
      </c>
      <c r="HY15" s="206" t="str">
        <f>IFERROR(INDEX($A$2:$A$113,MATCH(ROWS($EC$2:EC15),$EC$2:$EC$113,0)),"")</f>
        <v>ABUSO DE ARMAS CON LESIONES</v>
      </c>
      <c r="HZ15" s="206" t="str">
        <f>IFERROR(INDEX($A$2:$A$113,MATCH(ROWS($ED$2:ED15),$ED$2:$ED$113,0)),"")</f>
        <v>ABUSO DE ARMAS CON LESIONES</v>
      </c>
      <c r="IA15" s="206" t="str">
        <f>IFERROR(INDEX($A$2:$A$113,MATCH(ROWS($EE$2:EE15),$EE$2:$EE$113,0)),"")</f>
        <v>ABUSO DE ARMAS CON LESIONES</v>
      </c>
      <c r="IB15" s="206" t="str">
        <f>IFERROR(INDEX($A$2:$A$113,MATCH(ROWS($EF$2:EF15),$EF$2:$EF$113,0)),"")</f>
        <v>ABUSO DE ARMAS CON LESIONES</v>
      </c>
      <c r="IC15" s="206" t="str">
        <f>IFERROR(INDEX($A$2:$A$113,MATCH(ROWS($EG$2:EG15),$EG$2:$EG$113,0)),"")</f>
        <v>ABUSO DE ARMAS CON LESIONES</v>
      </c>
      <c r="ID15" s="206" t="str">
        <f>IFERROR(INDEX($A$2:$A$113,MATCH(ROWS($EH$2:EH15),$EH$2:$EH$113,0)),"")</f>
        <v>ABUSO DE ARMAS CON LESIONES</v>
      </c>
      <c r="IE15" s="206" t="str">
        <f>IFERROR(INDEX($A$2:$A$113,MATCH(ROWS($EI$2:EI15),$EI$2:$EI$113,0)),"")</f>
        <v>ABUSO DE ARMAS CON LESIONES</v>
      </c>
      <c r="IF15" s="206" t="str">
        <f>IFERROR(INDEX($A$2:$A$113,MATCH(ROWS($EJ$2:EJ15),$EJ$2:$EJ$113,0)),"")</f>
        <v>ABUSO DE ARMAS CON LESIONES</v>
      </c>
      <c r="IG15" s="206" t="str">
        <f>IFERROR(INDEX($A$2:$A$113,MATCH(ROWS($EK$2:EK15),$EK$2:$EK$113,0)),"")</f>
        <v>ABUSO DE ARMAS CON LESIONES</v>
      </c>
      <c r="IH15" s="206" t="str">
        <f>IFERROR(INDEX($A$2:$A$113,MATCH(ROWS($EL$2:EL15),$EL$2:$EL$113,0)),"")</f>
        <v>ABUSO DE ARMAS CON LESIONES</v>
      </c>
      <c r="II15" s="206" t="str">
        <f>IFERROR(INDEX($A$2:$A$113,MATCH(ROWS($EM$2:EM15),$EM$2:$EM$113,0)),"")</f>
        <v>ABUSO DE ARMAS CON LESIONES</v>
      </c>
      <c r="IJ15" s="206" t="str">
        <f>IFERROR(INDEX($A$2:$A$113,MATCH(ROWS($EN$2:EN15),$EN$2:$EN$113,0)),"")</f>
        <v>ABUSO DE ARMAS CON LESIONES</v>
      </c>
      <c r="IK15" s="207" t="str">
        <f>IFERROR(INDEX($A$2:$A$113,MATCH(ROWS($EO$2:EO15),$EO$2:$EO$113,0)),"")</f>
        <v>ABUSO DE ARMAS CON LESIONES</v>
      </c>
      <c r="IL15" s="207" t="str">
        <f>IFERROR(INDEX($A$2:$A$113,MATCH(ROWS($EP$2:EP15),$EP$2:$EP$113,0)),"")</f>
        <v>ABUSO DE ARMAS CON LESIONES</v>
      </c>
      <c r="IM15" s="207" t="str">
        <f>IFERROR(INDEX($A$2:$A$113,MATCH(ROWS($EQ$2:EQ15),$EQ$2:$EQ$113,0)),"")</f>
        <v>ABUSO DE ARMAS CON LESIONES</v>
      </c>
      <c r="IN15" s="207" t="str">
        <f>IFERROR(INDEX($A$2:$A$113,MATCH(ROWS($ER$2:ER15),$ER$2:$ER$113,0)),"")</f>
        <v>ABUSO DE ARMAS CON LESIONES</v>
      </c>
      <c r="IO15" s="207" t="str">
        <f>IFERROR(INDEX($A$2:$A$113,MATCH(ROWS($ES$2:ES15),$ES$2:$ES$113,0)),"")</f>
        <v>ABUSO DE ARMAS CON LESIONES</v>
      </c>
      <c r="IP15" s="207" t="str">
        <f>IFERROR(INDEX($A$2:$A$113,MATCH(ROWS($ET$2:ET15),$ET$2:$ET$113,0)),"")</f>
        <v>ABUSO DE ARMAS CON LESIONES</v>
      </c>
      <c r="IQ15" s="207" t="str">
        <f>IFERROR(INDEX($A$2:$A$113,MATCH(ROWS($EU$2:EU15),$EU$2:$EU$113,0)),"")</f>
        <v>ABUSO DE ARMAS CON LESIONES</v>
      </c>
      <c r="IR15" s="207" t="str">
        <f>IFERROR(INDEX($A$2:$A$113,MATCH(ROWS($EV$2:EV15),$EV$2:$EV$113,0)),"")</f>
        <v>ABUSO DE ARMAS CON LESIONES</v>
      </c>
      <c r="IS15" s="207" t="str">
        <f>IFERROR(INDEX($A$2:$A$113,MATCH(ROWS($EW$2:EW15),$EW$2:$EW$113,0)),"")</f>
        <v>ABUSO DE ARMAS CON LESIONES</v>
      </c>
      <c r="IT15" s="207" t="str">
        <f>IFERROR(INDEX($A$2:$A$113,MATCH(ROWS($EX$2:EX15),$EX$2:$EX$113,0)),"")</f>
        <v>ABUSO DE ARMAS CON LESIONES</v>
      </c>
      <c r="IU15" s="207" t="str">
        <f>IFERROR(INDEX($A$2:$A$113,MATCH(ROWS($EY$2:EY15),$EY$2:$EY$113,0)),"")</f>
        <v>ABUSO DE ARMAS CON LESIONES</v>
      </c>
      <c r="IV15" s="207" t="str">
        <f>IFERROR(INDEX($A$2:$A$113,MATCH(ROWS($EZ$2:EZ15),$EZ$2:$EZ$113,0)),"")</f>
        <v>ABUSO DE ARMAS CON LESIONES</v>
      </c>
      <c r="IW15" s="207" t="str">
        <f>IFERROR(INDEX($A$2:$A$113,MATCH(ROWS($FA$2:FA15),$FA$2:$FA$113,0)),"")</f>
        <v>ABUSO DE ARMAS CON LESIONES</v>
      </c>
      <c r="IX15" s="207" t="str">
        <f>IFERROR(INDEX($A$2:$A$113,MATCH(ROWS($FB$2:FB15),$FB$2:$FB$113,0)),"")</f>
        <v>ABUSO DE ARMAS CON LESIONES</v>
      </c>
      <c r="IY15" s="207" t="str">
        <f>IFERROR(INDEX($A$2:$A$113,MATCH(ROWS($FC$2:FC15),$FC$2:$FC$113,0)),"")</f>
        <v>ABUSO DE ARMAS CON LESIONES</v>
      </c>
      <c r="IZ15" s="207" t="str">
        <f>IFERROR(INDEX($A$2:$A$113,MATCH(ROWS($FD$2:FD15),$FD$2:$FD$113,0)),"")</f>
        <v>ABUSO DE ARMAS CON LESIONES</v>
      </c>
      <c r="JA15" s="207" t="str">
        <f>IFERROR(INDEX($A$2:$A$113,MATCH(ROWS($FE$2:FE15),$FE$2:$FE$113,0)),"")</f>
        <v>ABUSO DE ARMAS CON LESIONES</v>
      </c>
      <c r="JB15" s="207" t="str">
        <f>IFERROR(INDEX($A$2:$A$113,MATCH(ROWS($FF$2:FF15),$FF$2:$FF$113,0)),"")</f>
        <v>ABUSO DE ARMAS CON LESIONES</v>
      </c>
      <c r="JC15" s="207" t="str">
        <f>IFERROR(INDEX($A$2:$A$113,MATCH(ROWS($FG$2:FG15),$FG$2:$FG$113,0)),"")</f>
        <v>ABUSO DE ARMAS CON LESIONES</v>
      </c>
      <c r="JD15" s="207" t="str">
        <f>IFERROR(INDEX($A$2:$A$113,MATCH(ROWS($FH$2:FH15),$FH$2:$FH$113,0)),"")</f>
        <v>ABUSO DE ARMAS CON LESIONES</v>
      </c>
      <c r="JE15" s="207" t="str">
        <f>IFERROR(INDEX($A$2:$A$113,MATCH(ROWS($FI$2:FI15),$FI$2:$FI$113,0)),"")</f>
        <v>ABUSO DE ARMAS CON LESIONES</v>
      </c>
      <c r="JF15" s="207" t="str">
        <f>IFERROR(INDEX($A$2:$A$113,MATCH(ROWS($FJ$2:FJ15),$FJ$2:$FJ$113,0)),"")</f>
        <v>ABUSO DE ARMAS CON LESIONES</v>
      </c>
      <c r="JG15" s="207" t="str">
        <f>IFERROR(INDEX($A$2:$A$113,MATCH(ROWS($FK$2:FK15),$FK$2:$FK$113,0)),"")</f>
        <v>ABUSO DE ARMAS CON LESIONES</v>
      </c>
      <c r="JH15" s="207" t="str">
        <f>IFERROR(INDEX($A$2:$A$113,MATCH(ROWS($FL$2:FL15),$FL$2:$FL$113,0)),"")</f>
        <v>ABUSO DE ARMAS CON LESIONES</v>
      </c>
      <c r="JI15" s="207" t="str">
        <f>IFERROR(INDEX($A$2:$A$113,MATCH(ROWS($FM$2:FM15),$FM$2:$FM$113,0)),"")</f>
        <v>ABUSO DE ARMAS CON LESIONES</v>
      </c>
      <c r="JJ15" s="207" t="str">
        <f>IFERROR(INDEX($A$2:$A$113,MATCH(ROWS($FN$2:FN15),$FN$2:$FN$113,0)),"")</f>
        <v>ABUSO DE ARMAS CON LESIONES</v>
      </c>
      <c r="JK15" s="207" t="str">
        <f>IFERROR(INDEX($A$2:$A$113,MATCH(ROWS($FO$2:FO15),$FO$2:$FO$113,0)),"")</f>
        <v>ABUSO DE ARMAS CON LESIONES</v>
      </c>
      <c r="JL15" s="207" t="str">
        <f>IFERROR(INDEX($A$2:$A$113,MATCH(ROWS($FP$2:FP15),$FP$2:$FP$113,0)),"")</f>
        <v>ABUSO DE ARMAS CON LESIONES</v>
      </c>
      <c r="JM15" s="207" t="str">
        <f>IFERROR(INDEX($A$2:$A$113,MATCH(ROWS($FQ$2:FQ15),$FQ$2:$FQ$113,0)),"")</f>
        <v>ABUSO DE ARMAS CON LESIONES</v>
      </c>
      <c r="JN15" s="207" t="str">
        <f>IFERROR(INDEX($A$2:$A$113,MATCH(ROWS($FR$2:FR15),$FR$2:$FR$113,0)),"")</f>
        <v>ABUSO DE ARMAS CON LESIONES</v>
      </c>
      <c r="JO15" s="207" t="str">
        <f>IFERROR(INDEX($A$2:$A$113,MATCH(ROWS($FS$2:FS15),$FS$2:$FS$113,0)),"")</f>
        <v>ABUSO DE ARMAS CON LESIONES</v>
      </c>
      <c r="JP15" s="207" t="str">
        <f>IFERROR(INDEX($A$2:$A$113,MATCH(ROWS($FT$2:FT15),$FT$2:$FT$113,0)),"")</f>
        <v>ABUSO DE ARMAS CON LESIONES</v>
      </c>
      <c r="JQ15" s="207" t="str">
        <f>IFERROR(INDEX($A$2:$A$113,MATCH(ROWS($FU$2:FU15),$FU$2:$FU$113,0)),"")</f>
        <v>ABUSO DE ARMAS CON LESIONES</v>
      </c>
      <c r="JR15" s="207" t="str">
        <f>IFERROR(INDEX($A$2:$A$113,MATCH(ROWS($FV$2:FV15),$FV$2:$FV$113,0)),"")</f>
        <v>ABUSO DE ARMAS CON LESIONES</v>
      </c>
      <c r="JS15" s="207" t="str">
        <f>IFERROR(INDEX($A$2:$A$113,MATCH(ROWS($FW$2:FW15),$FW$2:$FW$113,0)),"")</f>
        <v>ABUSO DE ARMAS CON LESIONES</v>
      </c>
      <c r="JT15" s="207" t="str">
        <f>IFERROR(INDEX($A$2:$A$113,MATCH(ROWS($FX$2:FX15),$FX$2:$FX$113,0)),"")</f>
        <v>ABUSO DE ARMAS CON LESIONES</v>
      </c>
      <c r="JU15" s="207" t="str">
        <f>IFERROR(INDEX($A$2:$A$113,MATCH(ROWS($FY$2:FY15),$FY$2:$FY$113,0)),"")</f>
        <v>ABUSO DE ARMAS CON LESIONES</v>
      </c>
      <c r="JV15" s="207" t="str">
        <f>IFERROR(INDEX($A$2:$A$113,MATCH(ROWS($FZ$2:FZ15),$FZ$2:$FZ$113,0)),"")</f>
        <v>ABUSO DE ARMAS CON LESIONES</v>
      </c>
      <c r="JW15" s="207" t="str">
        <f>IFERROR(INDEX($A$2:$A$113,MATCH(ROWS($GA$2:GA15),$GA$2:$GA$113,0)),"")</f>
        <v>ABUSO DE ARMAS CON LESIONES</v>
      </c>
      <c r="JX15" s="207" t="str">
        <f>IFERROR(INDEX($A$2:$A$113,MATCH(ROWS($GB$2:GB15),$GB$2:$GB$113,0)),"")</f>
        <v>ABUSO DE ARMAS CON LESIONES</v>
      </c>
      <c r="JY15" s="207" t="str">
        <f>IFERROR(INDEX($A$2:$A$113,MATCH(ROWS($GC$2:GC15),$GC$2:$GC$113,0)),"")</f>
        <v>ABUSO DE ARMAS CON LESIONES</v>
      </c>
      <c r="JZ15" s="207" t="str">
        <f>IFERROR(INDEX($A$2:$A$113,MATCH(ROWS($GD$2:GD15),$GD$2:$GD$113,0)),"")</f>
        <v>ABUSO DE ARMAS CON LESIONES</v>
      </c>
      <c r="KA15" s="207" t="str">
        <f>IFERROR(INDEX($A$2:$A$113,MATCH(ROWS($GE$2:GE15),$GE$2:$GE$113,0)),"")</f>
        <v>ABUSO DE ARMAS CON LESIONES</v>
      </c>
      <c r="KB15" s="207" t="str">
        <f>IFERROR(INDEX($A$2:$A$113,MATCH(ROWS($GF$2:GF15),$GF$2:$GF$113,0)),"")</f>
        <v>ABUSO DE ARMAS CON LESIONES</v>
      </c>
      <c r="KC15" s="207" t="str">
        <f>IFERROR(INDEX($A$2:$A$113,MATCH(ROWS($GG$2:GG15),$GG$2:$GG$113,0)),"")</f>
        <v>ABUSO DE ARMAS CON LESIONES</v>
      </c>
      <c r="KD15" s="207" t="str">
        <f>IFERROR(INDEX($A$2:$A$113,MATCH(ROWS($GH$2:GH15),$GH$2:$GH$113,0)),"")</f>
        <v>ABUSO DE ARMAS CON LESIONES</v>
      </c>
      <c r="KE15" s="207" t="str">
        <f>IFERROR(INDEX($A$2:$A$113,MATCH(ROWS($GI$2:GI15),$GI$2:$GI$113,0)),"")</f>
        <v>ABUSO DE ARMAS CON LESIONES</v>
      </c>
      <c r="KF15" s="207" t="str">
        <f>IFERROR(INDEX($A$2:$A$113,MATCH(ROWS($GJ$2:GJ15),$GJ$2:$GJ$113,0)),"")</f>
        <v>ABUSO DE ARMAS CON LESIONES</v>
      </c>
      <c r="KG15" s="207" t="str">
        <f>IFERROR(INDEX($A$2:$A$113,MATCH(ROWS($GK$2:GK15),$GK$2:$GK$113,0)),"")</f>
        <v>ABUSO DE ARMAS CON LESIONES</v>
      </c>
      <c r="KH15" s="207" t="str">
        <f>IFERROR(INDEX($A$2:$A$113,MATCH(ROWS($GL$2:GL15),$GL$2:$GL$113,0)),"")</f>
        <v>ABUSO DE ARMAS CON LESIONES</v>
      </c>
      <c r="KI15" s="207" t="str">
        <f>IFERROR(INDEX($A$2:$A$113,MATCH(ROWS($GM$2:GM15),$GM$2:$GM$113,0)),"")</f>
        <v>ABUSO DE ARMAS CON LESIONES</v>
      </c>
      <c r="KJ15" s="207" t="str">
        <f>IFERROR(INDEX($A$2:$A$113,MATCH(ROWS($GN$2:GN15),$GN$2:$GN$113,0)),"")</f>
        <v>ABUSO DE ARMAS CON LESIONES</v>
      </c>
      <c r="KK15" s="207" t="str">
        <f>IFERROR(INDEX($A$2:$A$113,MATCH(ROWS($GO$2:GO15),$GO$2:$GO$113,0)),"")</f>
        <v>ABUSO DE ARMAS CON LESIONES</v>
      </c>
      <c r="KL15" s="207" t="str">
        <f>IFERROR(INDEX($A$2:$A$113,MATCH(ROWS($GP$2:GP15),$GP$2:$GP$113,0)),"")</f>
        <v>ABUSO DE ARMAS CON LESIONES</v>
      </c>
      <c r="KM15" s="207" t="str">
        <f>IFERROR(INDEX($A$2:$A$113,MATCH(ROWS($GQ$2:GQ15),$GQ$2:$GQ$113,0)),"")</f>
        <v>ABUSO DE ARMAS CON LESIONES</v>
      </c>
      <c r="KN15" s="207" t="str">
        <f>IFERROR(INDEX($A$2:$A$113,MATCH(ROWS($GR$2:GR15),$GR$2:$GR$113,0)),"")</f>
        <v>ABUSO DE ARMAS CON LESIONES</v>
      </c>
      <c r="KO15" s="207" t="str">
        <f>IFERROR(INDEX($A$2:$A$113,MATCH(ROWS($GS$2:GS15),$GS$2:$GS$113,0)),"")</f>
        <v>ABUSO DE ARMAS CON LESIONES</v>
      </c>
      <c r="KP15" s="207" t="str">
        <f>IFERROR(INDEX($A$2:$A$113,MATCH(ROWS($GT$2:GT15),$GT$2:$GT$113,0)),"")</f>
        <v>ABUSO DE ARMAS CON LESIONES</v>
      </c>
      <c r="KQ15" s="207" t="str">
        <f>IFERROR(INDEX($A$2:$A$113,MATCH(ROWS($GU$2:GU15),$GU$2:$GU$113,0)),"")</f>
        <v>ABUSO DE ARMAS CON LESIONES</v>
      </c>
      <c r="KR15" s="207" t="str">
        <f>IFERROR(INDEX($A$2:$A$113,MATCH(ROWS($GV$2:GV15),$GV$2:$GV$113,0)),"")</f>
        <v>ABUSO DE ARMAS CON LESIONES</v>
      </c>
      <c r="KS15" s="207" t="str">
        <f>IFERROR(INDEX($A$2:$A$113,MATCH(ROWS($GW$2:GW15),$GW$2:$GW$113,0)),"")</f>
        <v>ABUSO DE ARMAS CON LESIONES</v>
      </c>
    </row>
    <row r="16" spans="1:305" x14ac:dyDescent="0.25">
      <c r="A16" s="206" t="s">
        <v>9</v>
      </c>
      <c r="B16" s="206">
        <v>8</v>
      </c>
      <c r="D16" s="206" t="s">
        <v>787</v>
      </c>
      <c r="E16" s="206" t="s">
        <v>785</v>
      </c>
      <c r="F16" s="207">
        <f>--ISNUMBER(IFERROR(SEARCH('PLANILLA DJ'!$X$3,$A16,1),""))</f>
        <v>1</v>
      </c>
      <c r="G16" s="207">
        <f>--ISNUMBER(IFERROR(SEARCH('PLANILLA DJ'!$X$4,$A16,1),""))</f>
        <v>1</v>
      </c>
      <c r="H16" s="207">
        <f>--ISNUMBER(IFERROR(SEARCH('PLANILLA DJ'!$X$5,$A16,1),""))</f>
        <v>1</v>
      </c>
      <c r="I16" s="207">
        <f>--ISNUMBER(IFERROR(SEARCH('PLANILLA DJ'!$X$6,$A16,1),""))</f>
        <v>1</v>
      </c>
      <c r="J16" s="207">
        <f>--ISNUMBER(IFERROR(SEARCH('PLANILLA DJ'!$X$7,$A16,1),""))</f>
        <v>1</v>
      </c>
      <c r="K16" s="207">
        <f>--ISNUMBER(IFERROR(SEARCH('PLANILLA DJ'!$X$8,$A16,1),""))</f>
        <v>1</v>
      </c>
      <c r="L16" s="207">
        <f>--ISNUMBER(IFERROR(SEARCH('PLANILLA DJ'!$X$9,$A16,1),""))</f>
        <v>1</v>
      </c>
      <c r="M16" s="207">
        <f>--ISNUMBER(IFERROR(SEARCH('PLANILLA DJ'!$X$10,$A16,1),""))</f>
        <v>1</v>
      </c>
      <c r="N16" s="207">
        <f>--ISNUMBER(IFERROR(SEARCH('PLANILLA DJ'!$X$11,$A16,1),""))</f>
        <v>1</v>
      </c>
      <c r="O16" s="207">
        <f>--ISNUMBER(IFERROR(SEARCH('PLANILLA DJ'!$X$12,$A16,1),""))</f>
        <v>1</v>
      </c>
      <c r="P16" s="207">
        <f>--ISNUMBER(IFERROR(SEARCH('PLANILLA DJ'!$X$13,$A16,1),""))</f>
        <v>1</v>
      </c>
      <c r="Q16" s="207">
        <f>--ISNUMBER(IFERROR(SEARCH('PLANILLA DJ'!$X$14,$A16,1),""))</f>
        <v>1</v>
      </c>
      <c r="R16" s="207">
        <f>--ISNUMBER(IFERROR(SEARCH('PLANILLA DJ'!$X$15,$A16,1),""))</f>
        <v>1</v>
      </c>
      <c r="S16" s="207">
        <f>--ISNUMBER(IFERROR(SEARCH('PLANILLA DJ'!$X$16,$A16,1),""))</f>
        <v>1</v>
      </c>
      <c r="T16" s="207">
        <f>--ISNUMBER(IFERROR(SEARCH('PLANILLA DJ'!$X$17,$A16,1),""))</f>
        <v>1</v>
      </c>
      <c r="U16" s="207">
        <f>--ISNUMBER(IFERROR(SEARCH('PLANILLA DJ'!$X$18,$A16,1),""))</f>
        <v>1</v>
      </c>
      <c r="V16" s="207">
        <f>--ISNUMBER(IFERROR(SEARCH('PLANILLA DJ'!$X$19,$A16,1),""))</f>
        <v>1</v>
      </c>
      <c r="W16" s="207">
        <f>--ISNUMBER(IFERROR(SEARCH('PLANILLA DJ'!$X$20,$A16,1),""))</f>
        <v>1</v>
      </c>
      <c r="X16" s="207">
        <f>--ISNUMBER(IFERROR(SEARCH('PLANILLA DJ'!$X$21,$A16,1),""))</f>
        <v>1</v>
      </c>
      <c r="Y16" s="207">
        <f>--ISNUMBER(IFERROR(SEARCH('PLANILLA DJ'!$X$22,$A16,1),""))</f>
        <v>1</v>
      </c>
      <c r="Z16" s="207">
        <f>--ISNUMBER(IFERROR(SEARCH('PLANILLA DJ'!$X$23,$A16,1),""))</f>
        <v>1</v>
      </c>
      <c r="AA16" s="207">
        <f>--ISNUMBER(IFERROR(SEARCH('PLANILLA DJ'!$X$24,$A16,1),""))</f>
        <v>1</v>
      </c>
      <c r="AB16" s="207">
        <f>--ISNUMBER(IFERROR(SEARCH('PLANILLA DJ'!$X$25,$A16,1),""))</f>
        <v>1</v>
      </c>
      <c r="AC16" s="207">
        <f>--ISNUMBER(IFERROR(SEARCH('PLANILLA DJ'!$X$26,$A16,1),""))</f>
        <v>1</v>
      </c>
      <c r="AD16" s="207">
        <f>--ISNUMBER(IFERROR(SEARCH('PLANILLA DJ'!$X$27,$A16,1),""))</f>
        <v>1</v>
      </c>
      <c r="AE16" s="207">
        <f>--ISNUMBER(IFERROR(SEARCH('PLANILLA DJ'!$X$28,$A16,1),""))</f>
        <v>1</v>
      </c>
      <c r="AF16" s="207">
        <f>--ISNUMBER(IFERROR(SEARCH('PLANILLA DJ'!$X$29,$A16,1),""))</f>
        <v>1</v>
      </c>
      <c r="AG16" s="207">
        <f>--ISNUMBER(IFERROR(SEARCH('PLANILLA DJ'!$X$30,$A16,1),""))</f>
        <v>1</v>
      </c>
      <c r="AH16" s="207">
        <f>--ISNUMBER(IFERROR(SEARCH('PLANILLA DJ'!$X$31,$A16,1),""))</f>
        <v>1</v>
      </c>
      <c r="AI16" s="207">
        <f>--ISNUMBER(IFERROR(SEARCH('PLANILLA DJ'!$X$32,$A16,1),""))</f>
        <v>1</v>
      </c>
      <c r="AJ16" s="207">
        <f>--ISNUMBER(IFERROR(SEARCH('PLANILLA DJ'!$X$33,$A16,1),""))</f>
        <v>1</v>
      </c>
      <c r="AK16" s="207">
        <f>--ISNUMBER(IFERROR(SEARCH('PLANILLA DJ'!$X$34,$A16,1),""))</f>
        <v>1</v>
      </c>
      <c r="AL16" s="207">
        <f>--ISNUMBER(IFERROR(SEARCH('PLANILLA DJ'!$X$35,$A16,1),""))</f>
        <v>1</v>
      </c>
      <c r="AM16" s="207">
        <f>--ISNUMBER(IFERROR(SEARCH('PLANILLA DJ'!$X$36,$A16,1),""))</f>
        <v>1</v>
      </c>
      <c r="AN16" s="207">
        <f>--ISNUMBER(IFERROR(SEARCH('PLANILLA DJ'!$X$37,$A16,1),""))</f>
        <v>1</v>
      </c>
      <c r="AO16" s="207">
        <f>--ISNUMBER(IFERROR(SEARCH('PLANILLA DJ'!$X$38,$A16,1),""))</f>
        <v>1</v>
      </c>
      <c r="AP16" s="207">
        <f>--ISNUMBER(IFERROR(SEARCH('PLANILLA DJ'!$X$39,$A16,1),""))</f>
        <v>1</v>
      </c>
      <c r="AQ16" s="207">
        <f>--ISNUMBER(IFERROR(SEARCH('PLANILLA DJ'!$X$40,$A16,1),""))</f>
        <v>1</v>
      </c>
      <c r="AR16" s="207">
        <f>--ISNUMBER(IFERROR(SEARCH('PLANILLA DJ'!$X$41,$A16,1),""))</f>
        <v>1</v>
      </c>
      <c r="AS16" s="207">
        <f>--ISNUMBER(IFERROR(SEARCH('PLANILLA DJ'!$X$42,$A16,1),""))</f>
        <v>1</v>
      </c>
      <c r="AT16" s="207">
        <f>--ISNUMBER(IFERROR(SEARCH('PLANILLA DJ'!$X$43,$A16,1),""))</f>
        <v>1</v>
      </c>
      <c r="AU16" s="207">
        <f>--ISNUMBER(IFERROR(SEARCH('PLANILLA DJ'!$X$44,$A16,1),""))</f>
        <v>1</v>
      </c>
      <c r="AV16" s="207">
        <f>--ISNUMBER(IFERROR(SEARCH('PLANILLA DJ'!$X$45,$A16,1),""))</f>
        <v>1</v>
      </c>
      <c r="AW16" s="207">
        <f>--ISNUMBER(IFERROR(SEARCH('PLANILLA DJ'!$X$46,$A16,1),""))</f>
        <v>1</v>
      </c>
      <c r="AX16" s="207">
        <f>--ISNUMBER(IFERROR(SEARCH('PLANILLA DJ'!$X$47,$A16,1),""))</f>
        <v>1</v>
      </c>
      <c r="AY16" s="207">
        <f>--ISNUMBER(IFERROR(SEARCH('PLANILLA DJ'!$X$48,$A16,1),""))</f>
        <v>1</v>
      </c>
      <c r="AZ16" s="207">
        <f>--ISNUMBER(IFERROR(SEARCH('PLANILLA DJ'!$X$49,$A16,1),""))</f>
        <v>1</v>
      </c>
      <c r="BA16" s="207">
        <f>--ISNUMBER(IFERROR(SEARCH('PLANILLA DJ'!$X$50,$A16,1),""))</f>
        <v>1</v>
      </c>
      <c r="BB16" s="207">
        <f>--ISNUMBER(IFERROR(SEARCH('PLANILLA DJ'!$X$51,$A16,1),""))</f>
        <v>1</v>
      </c>
      <c r="BC16" s="207">
        <f>--ISNUMBER(IFERROR(SEARCH('PLANILLA DJ'!$X$52,$A16,1),""))</f>
        <v>1</v>
      </c>
      <c r="BD16" s="207">
        <f>--ISNUMBER(IFERROR(SEARCH('PLANILLA DJ'!$X$53,$A16,1),""))</f>
        <v>1</v>
      </c>
      <c r="BE16" s="207">
        <f>--ISNUMBER(IFERROR(SEARCH('PLANILLA DJ'!$X$54,$A16,1),""))</f>
        <v>1</v>
      </c>
      <c r="BF16" s="207">
        <f>--ISNUMBER(IFERROR(SEARCH('PLANILLA DJ'!$X$55,$A16,1),""))</f>
        <v>1</v>
      </c>
      <c r="BG16" s="207">
        <f>--ISNUMBER(IFERROR(SEARCH('PLANILLA DJ'!$X$56,$A16,1),""))</f>
        <v>1</v>
      </c>
      <c r="BH16" s="207">
        <f>--ISNUMBER(IFERROR(SEARCH('PLANILLA DJ'!$X$57,$A16,1),""))</f>
        <v>1</v>
      </c>
      <c r="BI16" s="207">
        <f>--ISNUMBER(IFERROR(SEARCH('PLANILLA DJ'!$X$58,$A16,1),""))</f>
        <v>1</v>
      </c>
      <c r="BJ16" s="207">
        <f>--ISNUMBER(IFERROR(SEARCH('PLANILLA DJ'!$X$59,$A16,1),""))</f>
        <v>1</v>
      </c>
      <c r="BK16" s="207">
        <f>--ISNUMBER(IFERROR(SEARCH('PLANILLA DJ'!$X$60,$A16,1),""))</f>
        <v>1</v>
      </c>
      <c r="BL16" s="207">
        <f>--ISNUMBER(IFERROR(SEARCH('PLANILLA DJ'!$X$61,$A16,1),""))</f>
        <v>1</v>
      </c>
      <c r="BM16" s="207">
        <f>--ISNUMBER(IFERROR(SEARCH('PLANILLA DJ'!$X$62,$A16,1),""))</f>
        <v>1</v>
      </c>
      <c r="BN16" s="207">
        <f>--ISNUMBER(IFERROR(SEARCH('PLANILLA DJ'!$X$63,$A16,1),""))</f>
        <v>1</v>
      </c>
      <c r="BO16" s="207">
        <f>--ISNUMBER(IFERROR(SEARCH('PLANILLA DJ'!$X$64,$A16,1),""))</f>
        <v>1</v>
      </c>
      <c r="BP16" s="207">
        <f>--ISNUMBER(IFERROR(SEARCH('PLANILLA DJ'!$X$65,$A16,1),""))</f>
        <v>1</v>
      </c>
      <c r="BQ16" s="207">
        <f>--ISNUMBER(IFERROR(SEARCH('PLANILLA DJ'!$X$66,$A16,1),""))</f>
        <v>1</v>
      </c>
      <c r="BR16" s="207">
        <f>--ISNUMBER(IFERROR(SEARCH('PLANILLA DJ'!$X$67,$A16,1),""))</f>
        <v>1</v>
      </c>
      <c r="BS16" s="207">
        <f>--ISNUMBER(IFERROR(SEARCH('PLANILLA DJ'!$X$68,$A16,1),""))</f>
        <v>1</v>
      </c>
      <c r="BT16" s="207">
        <f>--ISNUMBER(IFERROR(SEARCH('PLANILLA DJ'!$X$69,$A16,1),""))</f>
        <v>1</v>
      </c>
      <c r="BU16" s="207">
        <f>--ISNUMBER(IFERROR(SEARCH('PLANILLA DJ'!$X$70,$A16,1),""))</f>
        <v>1</v>
      </c>
      <c r="BV16" s="207">
        <f>--ISNUMBER(IFERROR(SEARCH('PLANILLA DJ'!$X$71,$A16,1),""))</f>
        <v>1</v>
      </c>
      <c r="BW16" s="207">
        <f>--ISNUMBER(IFERROR(SEARCH('PLANILLA DJ'!$X$72,$A16,1),""))</f>
        <v>1</v>
      </c>
      <c r="BX16" s="207">
        <f>--ISNUMBER(IFERROR(SEARCH('PLANILLA DJ'!$X$73,$A16,1),""))</f>
        <v>1</v>
      </c>
      <c r="BY16" s="207">
        <f>--ISNUMBER(IFERROR(SEARCH('PLANILLA DJ'!$X$74,$A16,1),""))</f>
        <v>1</v>
      </c>
      <c r="BZ16" s="207">
        <f>--ISNUMBER(IFERROR(SEARCH('PLANILLA DJ'!$X$75,$A16,1),""))</f>
        <v>1</v>
      </c>
      <c r="CA16" s="207">
        <f>--ISNUMBER(IFERROR(SEARCH('PLANILLA DJ'!$X$76,$A16,1),""))</f>
        <v>1</v>
      </c>
      <c r="CB16" s="207">
        <f>--ISNUMBER(IFERROR(SEARCH('PLANILLA DJ'!$X$77,$A16,1),""))</f>
        <v>1</v>
      </c>
      <c r="CC16" s="207">
        <f>--ISNUMBER(IFERROR(SEARCH('PLANILLA DJ'!$X$78,$A16,1),""))</f>
        <v>1</v>
      </c>
      <c r="CD16" s="207">
        <f>--ISNUMBER(IFERROR(SEARCH('PLANILLA DJ'!$X$79,$A16,1),""))</f>
        <v>1</v>
      </c>
      <c r="CE16" s="207">
        <f>--ISNUMBER(IFERROR(SEARCH('PLANILLA DJ'!$X$80,$A16,1),""))</f>
        <v>1</v>
      </c>
      <c r="CF16" s="207">
        <f>--ISNUMBER(IFERROR(SEARCH('PLANILLA DJ'!$X$81,$A16,1),""))</f>
        <v>1</v>
      </c>
      <c r="CG16" s="207">
        <f>--ISNUMBER(IFERROR(SEARCH('PLANILLA DJ'!$X$82,$A16,1),""))</f>
        <v>1</v>
      </c>
      <c r="CH16" s="207">
        <f>--ISNUMBER(IFERROR(SEARCH('PLANILLA DJ'!$X$83,$A16,1),""))</f>
        <v>1</v>
      </c>
      <c r="CI16" s="207">
        <f>--ISNUMBER(IFERROR(SEARCH('PLANILLA DJ'!$X$84,$A16,1),""))</f>
        <v>1</v>
      </c>
      <c r="CJ16" s="207">
        <f>--ISNUMBER(IFERROR(SEARCH('PLANILLA DJ'!$X$85,$A16,1),""))</f>
        <v>1</v>
      </c>
      <c r="CK16" s="207">
        <f>--ISNUMBER(IFERROR(SEARCH('PLANILLA DJ'!$X$86,$A16,1),""))</f>
        <v>1</v>
      </c>
      <c r="CL16" s="207">
        <f>--ISNUMBER(IFERROR(SEARCH('PLANILLA DJ'!$X$87,$A16,1),""))</f>
        <v>1</v>
      </c>
      <c r="CM16" s="207">
        <f>--ISNUMBER(IFERROR(SEARCH('PLANILLA DJ'!$X$88,$A16,1),""))</f>
        <v>1</v>
      </c>
      <c r="CN16" s="207">
        <f>--ISNUMBER(IFERROR(SEARCH('PLANILLA DJ'!$X$89,$A16,1),""))</f>
        <v>1</v>
      </c>
      <c r="CO16" s="207">
        <f>--ISNUMBER(IFERROR(SEARCH('PLANILLA DJ'!$X$90,$A16,1),""))</f>
        <v>1</v>
      </c>
      <c r="CP16" s="207">
        <f>--ISNUMBER(IFERROR(SEARCH('PLANILLA DJ'!$X$91,$A16,1),""))</f>
        <v>1</v>
      </c>
      <c r="CQ16" s="207">
        <f>--ISNUMBER(IFERROR(SEARCH('PLANILLA DJ'!$X$92,$A16,1),""))</f>
        <v>1</v>
      </c>
      <c r="CR16" s="207">
        <f>--ISNUMBER(IFERROR(SEARCH('PLANILLA DJ'!$X$93,$A16,1),""))</f>
        <v>1</v>
      </c>
      <c r="CS16" s="207">
        <f>--ISNUMBER(IFERROR(SEARCH('PLANILLA DJ'!$X$94,$A16,1),""))</f>
        <v>1</v>
      </c>
      <c r="CT16" s="207">
        <f>--ISNUMBER(IFERROR(SEARCH('PLANILLA DJ'!$X$95,$A16,1),""))</f>
        <v>1</v>
      </c>
      <c r="CU16" s="207">
        <f>--ISNUMBER(IFERROR(SEARCH('PLANILLA DJ'!$X$96,$A16,1),""))</f>
        <v>1</v>
      </c>
      <c r="CV16" s="207">
        <f>--ISNUMBER(IFERROR(SEARCH('PLANILLA DJ'!$X$97,$A16,1),""))</f>
        <v>1</v>
      </c>
      <c r="CW16" s="207">
        <f>--ISNUMBER(IFERROR(SEARCH('PLANILLA DJ'!$X$98,$A16,1),""))</f>
        <v>1</v>
      </c>
      <c r="CX16" s="207">
        <f>--ISNUMBER(IFERROR(SEARCH('PLANILLA DJ'!$X$99,$A16,1),""))</f>
        <v>1</v>
      </c>
      <c r="CY16" s="207">
        <f>--ISNUMBER(IFERROR(SEARCH('PLANILLA DJ'!$X$100,$A16,1),""))</f>
        <v>1</v>
      </c>
      <c r="CZ16" s="207">
        <f>--ISNUMBER(IFERROR(SEARCH('PLANILLA DJ'!$X$101,$A16,1),""))</f>
        <v>1</v>
      </c>
      <c r="DA16" s="207">
        <f>--ISNUMBER(IFERROR(SEARCH('PLANILLA DJ'!$X$102,$A16,1),""))</f>
        <v>1</v>
      </c>
      <c r="DB16" s="206">
        <f>IF(F16=1,COUNTIF($F$2:F16,1),"")</f>
        <v>15</v>
      </c>
      <c r="DC16" s="206">
        <f>IF(G16=1,COUNTIF($G$2:G16,1),"")</f>
        <v>15</v>
      </c>
      <c r="DD16" s="206">
        <f>IF(H16=1,COUNTIF($H$2:H16,1),"")</f>
        <v>15</v>
      </c>
      <c r="DE16" s="206">
        <f>IF(I16=1,COUNTIF($I$2:I16,1),"")</f>
        <v>15</v>
      </c>
      <c r="DF16" s="206">
        <f>IF(J16=1,COUNTIF($J$2:J16,1),"")</f>
        <v>15</v>
      </c>
      <c r="DG16" s="206">
        <f>IF(K16=1,COUNTIF($K$2:K16,1),"")</f>
        <v>15</v>
      </c>
      <c r="DH16" s="206">
        <f>IF(L16=1,COUNTIF($L$2:L16,1),"")</f>
        <v>15</v>
      </c>
      <c r="DI16" s="206">
        <f>IF(M16=1,COUNTIF($M$2:M16,1),"")</f>
        <v>15</v>
      </c>
      <c r="DJ16" s="206">
        <f>IF(N16=1,COUNTIF($N$2:N16,1),"")</f>
        <v>15</v>
      </c>
      <c r="DK16" s="206">
        <f>IF(O16=1,COUNTIF($O$2:O16,1),"")</f>
        <v>15</v>
      </c>
      <c r="DL16" s="206">
        <f>IF(P16=1,COUNTIF($P$2:P16,1),"")</f>
        <v>15</v>
      </c>
      <c r="DM16" s="206">
        <f>IF(Q16=1,COUNTIF($Q$2:Q16,1),"")</f>
        <v>15</v>
      </c>
      <c r="DN16" s="207">
        <f>IF(R16=1,COUNTIF($R$2:R16,1),"")</f>
        <v>15</v>
      </c>
      <c r="DO16" s="207">
        <f>IF(S16=1,COUNTIF($S$2:S16,1),"")</f>
        <v>15</v>
      </c>
      <c r="DP16" s="207">
        <f>IF(T16=1,COUNTIF($T$2:T16,1),"")</f>
        <v>15</v>
      </c>
      <c r="DQ16" s="207">
        <f>IF(U16=1,COUNTIF($U$2:U16,1),"")</f>
        <v>15</v>
      </c>
      <c r="DR16" s="207">
        <f>IF(V16=1,COUNTIF($V$2:V16,1),"")</f>
        <v>15</v>
      </c>
      <c r="DS16" s="207">
        <f>IF(W16=1,COUNTIF($W$2:W16,1),"")</f>
        <v>15</v>
      </c>
      <c r="DT16" s="207">
        <f>IF(X16=1,COUNTIF($X$2:X16,1),"")</f>
        <v>15</v>
      </c>
      <c r="DU16" s="207">
        <f>IF(Y16=1,COUNTIF($Y$2:Y16,1),"")</f>
        <v>15</v>
      </c>
      <c r="DV16" s="207">
        <f>IF(Z16=1,COUNTIF(Z$2:Z16,1),"")</f>
        <v>15</v>
      </c>
      <c r="DW16" s="207">
        <f>IF(AA16=1,COUNTIF($AA$2:AA16,1),"")</f>
        <v>15</v>
      </c>
      <c r="DX16" s="207">
        <f>IF(AB16=1,COUNTIF($AB$2:AB16,1),"")</f>
        <v>15</v>
      </c>
      <c r="DY16" s="207">
        <f>IF(AC16=1,COUNTIF($AC$2:AC16,1),"")</f>
        <v>15</v>
      </c>
      <c r="DZ16" s="207">
        <f>IF(AD16=1,COUNTIF($AD$2:AD16,1),"")</f>
        <v>15</v>
      </c>
      <c r="EA16" s="207">
        <f>IF(AE16=1,COUNTIF($AE$2:AE16,1),"")</f>
        <v>15</v>
      </c>
      <c r="EB16" s="207">
        <f>IF(AF16=1,COUNTIF($AF$2:AF16,1),"")</f>
        <v>15</v>
      </c>
      <c r="EC16" s="207">
        <f>IF(AG16=1,COUNTIF($AG$2:AG16,1),"")</f>
        <v>15</v>
      </c>
      <c r="ED16" s="207">
        <f>IF(AH16=1,COUNTIF($AH$2:AH16,1),"")</f>
        <v>15</v>
      </c>
      <c r="EE16" s="207">
        <f>IF(AI16=1,COUNTIF($AI$2:AI16,1),"")</f>
        <v>15</v>
      </c>
      <c r="EF16" s="207">
        <f>IF(AJ16=1,COUNTIF($AJ$2:AJ16,1),"")</f>
        <v>15</v>
      </c>
      <c r="EG16" s="207">
        <f>IF(AK16=1,COUNTIF($AK$2:AK16,1),"")</f>
        <v>15</v>
      </c>
      <c r="EH16" s="207">
        <f>IF(AL16=1,COUNTIF($AL$2:AL16,1),"")</f>
        <v>15</v>
      </c>
      <c r="EI16" s="207">
        <f>IF(AM16=1,COUNTIF($AM$2:AM16,1),"")</f>
        <v>15</v>
      </c>
      <c r="EJ16" s="207">
        <f>IF(AN16=1,COUNTIF($AN$2:AN16,1),"")</f>
        <v>15</v>
      </c>
      <c r="EK16" s="207">
        <f>IF(AO16=1,COUNTIF($AO$2:AO16,1),"")</f>
        <v>15</v>
      </c>
      <c r="EL16" s="207">
        <f>IF(AP16=1,COUNTIF($AP$2:AP16,1),"")</f>
        <v>15</v>
      </c>
      <c r="EM16" s="207">
        <f>IF(AQ16=1,COUNTIF($AQ$2:AQ16,1),"")</f>
        <v>15</v>
      </c>
      <c r="EN16" s="207">
        <f>IF(AR16=1,COUNTIF($AR$2:AR16,1),"")</f>
        <v>15</v>
      </c>
      <c r="EO16" s="207">
        <f>IF(AS16=1,COUNTIF($AS$2:AS16,1),"")</f>
        <v>15</v>
      </c>
      <c r="EP16" s="207">
        <f>IF(AT16=1,COUNTIF($AT$2:AT16,1),"")</f>
        <v>15</v>
      </c>
      <c r="EQ16" s="207">
        <f>IF(AU16=1,COUNTIF($AU$2:AU16,1),"")</f>
        <v>15</v>
      </c>
      <c r="ER16" s="207">
        <f>IF(AV16=1,COUNTIF($AV$2:AV16,1),"")</f>
        <v>15</v>
      </c>
      <c r="ES16" s="207">
        <f>IF(AW16=1,COUNTIF($AW$2:AW16,1),"")</f>
        <v>15</v>
      </c>
      <c r="ET16" s="207">
        <f>IF(AX16=1,COUNTIF($AX$2:AX16,1),"")</f>
        <v>15</v>
      </c>
      <c r="EU16" s="207">
        <f>IF(AY16=1,COUNTIF($AY$2:AY16,1),"")</f>
        <v>15</v>
      </c>
      <c r="EV16" s="207">
        <f>IF(AZ16=1,COUNTIF($AZ$2:AZ16,1),"")</f>
        <v>15</v>
      </c>
      <c r="EW16" s="207">
        <f>IF(BA16=1,COUNTIF($BA$2:BA16,1),"")</f>
        <v>15</v>
      </c>
      <c r="EX16" s="207">
        <f>IF(BB16=1,COUNTIF($BB$2:BB16,1),"")</f>
        <v>15</v>
      </c>
      <c r="EY16" s="207">
        <f>IF(BC16=1,COUNTIF($BC$2:BC16,1),"")</f>
        <v>15</v>
      </c>
      <c r="EZ16" s="207">
        <f>IF(BD16=1,COUNTIF($BD$2:BD16,1),"")</f>
        <v>15</v>
      </c>
      <c r="FA16" s="207">
        <f>IF(BE16=1,COUNTIF($BE$2:BE16,1),"")</f>
        <v>15</v>
      </c>
      <c r="FB16" s="207">
        <f>IF(BF16=1,COUNTIF($BF$2:BF16,1),"")</f>
        <v>15</v>
      </c>
      <c r="FC16" s="207">
        <f>IF(BG16=1,COUNTIF($BG$2:BG16,1),"")</f>
        <v>15</v>
      </c>
      <c r="FD16" s="207">
        <f>IF(BH16=1,COUNTIF($BH$2:BH16,1),"")</f>
        <v>15</v>
      </c>
      <c r="FE16" s="207">
        <f>IF(BI16=1,COUNTIF($BI$2:BI16,1),"")</f>
        <v>15</v>
      </c>
      <c r="FF16" s="207">
        <f>IF(BJ16=1,COUNTIF($BJ$2:BJ16,1),"")</f>
        <v>15</v>
      </c>
      <c r="FG16" s="207">
        <f>IF(BK16=1,COUNTIF($BK$2:BK16,1),"")</f>
        <v>15</v>
      </c>
      <c r="FH16" s="207">
        <f>IF(BL16=1,COUNTIF($BL$2:BL16,1),"")</f>
        <v>15</v>
      </c>
      <c r="FI16" s="207">
        <f>IF(BM16=1,COUNTIF($BM$2:BM16,1),"")</f>
        <v>15</v>
      </c>
      <c r="FJ16" s="207">
        <f>IF(BN16=1,COUNTIF($BN$2:BN16,1),"")</f>
        <v>15</v>
      </c>
      <c r="FK16" s="207">
        <f>IF(BO16=1,COUNTIF($BO$2:BO16,1),"")</f>
        <v>15</v>
      </c>
      <c r="FL16" s="207">
        <f>IF(BP16=1,COUNTIF($BP$2:BP16,1),"")</f>
        <v>15</v>
      </c>
      <c r="FM16" s="207">
        <f>IF(BQ16=1,COUNTIF($BQ$2:BQ16,1),"")</f>
        <v>15</v>
      </c>
      <c r="FN16" s="207">
        <f>IF(BR16=1,COUNTIF($BR$2:BR16,1),"")</f>
        <v>15</v>
      </c>
      <c r="FO16" s="207">
        <f>IF(BS16=1,COUNTIF($BS$2:BS16,1),"")</f>
        <v>15</v>
      </c>
      <c r="FP16" s="207">
        <f>IF(BT16=1,COUNTIF($BT$2:BT16,1),"")</f>
        <v>15</v>
      </c>
      <c r="FQ16" s="207">
        <f>IF(BU16=1,COUNTIF($BU$2:BU16,1),"")</f>
        <v>15</v>
      </c>
      <c r="FR16" s="207">
        <f>IF(BV16=1,COUNTIF($BV$2:BV16,1),"")</f>
        <v>15</v>
      </c>
      <c r="FS16" s="207">
        <f>IF(BW16=1,COUNTIF($BW$2:BW16,1),"")</f>
        <v>15</v>
      </c>
      <c r="FT16" s="207">
        <f>IF(BX16=1,COUNTIF($BX$2:BX16,1),"")</f>
        <v>15</v>
      </c>
      <c r="FU16" s="207">
        <f>IF(BY16=1,COUNTIF($BY$2:BY16,1),"")</f>
        <v>15</v>
      </c>
      <c r="FV16" s="207">
        <f>IF(BZ16=1,COUNTIF($BZ$2:BZ16,1),"")</f>
        <v>15</v>
      </c>
      <c r="FW16" s="207">
        <f>IF(CA16=1,COUNTIF($CA$2:CA16,1),"")</f>
        <v>15</v>
      </c>
      <c r="FX16" s="207">
        <f>IF(CB16=1,COUNTIF($CB$2:CB16,1),"")</f>
        <v>15</v>
      </c>
      <c r="FY16" s="207">
        <f>IF(CC16=1,COUNTIF($CC$2:CC16,1),"")</f>
        <v>15</v>
      </c>
      <c r="FZ16" s="207">
        <f>IF(CD16=1,COUNTIF($CD$2:CD16,1),"")</f>
        <v>15</v>
      </c>
      <c r="GA16" s="207">
        <f>IF(CE16=1,COUNTIF($CE$2:CE16,1),"")</f>
        <v>15</v>
      </c>
      <c r="GB16" s="207">
        <f>IF(CF16=1,COUNTIF($CF$2:CF16,1),"")</f>
        <v>15</v>
      </c>
      <c r="GC16" s="207">
        <f>IF(CG16=1,COUNTIF($CG$2:CG16,1),"")</f>
        <v>15</v>
      </c>
      <c r="GD16" s="207">
        <f>IF(CH16=1,COUNTIF($CH$2:CH16,1),"")</f>
        <v>15</v>
      </c>
      <c r="GE16" s="207">
        <f>IF(CI16=1,COUNTIF($CI$2:CI16,1),"")</f>
        <v>15</v>
      </c>
      <c r="GF16" s="207">
        <f>IF(CJ16=1,COUNTIF($CJ$2:CJ16,1),"")</f>
        <v>15</v>
      </c>
      <c r="GG16" s="207">
        <f>IF(CK16=1,COUNTIF($CK$2:CK16,1),"")</f>
        <v>15</v>
      </c>
      <c r="GH16" s="207">
        <f>IF(CL16=1,COUNTIF($CL$2:CL16,1),"")</f>
        <v>15</v>
      </c>
      <c r="GI16" s="207">
        <f>IF(CM16=1,COUNTIF($CM$2:CM16,1),"")</f>
        <v>15</v>
      </c>
      <c r="GJ16" s="207">
        <f>IF(CN16=1,COUNTIF($CN$2:CN16,1),"")</f>
        <v>15</v>
      </c>
      <c r="GK16" s="207">
        <f>IF(CO16=1,COUNTIF($CO$2:CO16,1),"")</f>
        <v>15</v>
      </c>
      <c r="GL16" s="207">
        <f>IF(CP16=1,COUNTIF($CP$2:CP16,1),"")</f>
        <v>15</v>
      </c>
      <c r="GM16" s="207">
        <f>IF(CQ16=1,COUNTIF($CQ$2:CQ16,1),"")</f>
        <v>15</v>
      </c>
      <c r="GN16" s="207">
        <f>IF(CR16=1,COUNTIF($CR$2:CR16,1),"")</f>
        <v>15</v>
      </c>
      <c r="GO16" s="207">
        <f>IF(CS16=1,COUNTIF($CS$2:CS16,1),"")</f>
        <v>15</v>
      </c>
      <c r="GP16" s="207">
        <f>IF(CT16=1,COUNTIF($CT$2:CT16,1),"")</f>
        <v>15</v>
      </c>
      <c r="GQ16" s="207">
        <f>IF(CU16=1,COUNTIF($CU$2:CU16,1),"")</f>
        <v>15</v>
      </c>
      <c r="GR16" s="207">
        <f>IF(CV16=1,COUNTIF($CV$2:CV16,1),"")</f>
        <v>15</v>
      </c>
      <c r="GS16" s="207">
        <f>IF(CW16=1,COUNTIF($CW$2:CW16,1),"")</f>
        <v>15</v>
      </c>
      <c r="GT16" s="207">
        <f>IF(CX16=1,COUNTIF($CX$2:CX16,1),"")</f>
        <v>15</v>
      </c>
      <c r="GU16" s="207">
        <f>IF(CY16=1,COUNTIF($CY$2:CY16,1),"")</f>
        <v>15</v>
      </c>
      <c r="GV16" s="207">
        <f>IF(CZ16=1,COUNTIF($CZ$2:CZ16,1),"")</f>
        <v>15</v>
      </c>
      <c r="GW16" s="207">
        <f>IF(DA16=1,COUNTIF($DA$2:DA16,1),"")</f>
        <v>15</v>
      </c>
      <c r="GX16" s="206" t="str">
        <f>IFERROR(INDEX($A$2:$A$113,MATCH(ROWS($DB$2:DB16),$DB$2:$DB$113,0)),"")</f>
        <v xml:space="preserve">OTRO DELITO CONTRA LAS PERSONAS </v>
      </c>
      <c r="GY16" s="206" t="str">
        <f>IFERROR(INDEX($A$2:$A$113,MATCH(ROWS($DC$2:DC16),$DC$2:$DC$113,0)),"")</f>
        <v xml:space="preserve">OTRO DELITO CONTRA LAS PERSONAS </v>
      </c>
      <c r="GZ16" s="206" t="str">
        <f>IFERROR(INDEX($A$2:$A$113,MATCH(ROWS($DD$2:DD16),$DD$2:$DD$113,0)),"")</f>
        <v xml:space="preserve">OTRO DELITO CONTRA LAS PERSONAS </v>
      </c>
      <c r="HA16" s="206" t="str">
        <f>IFERROR(INDEX($A$2:$A$113,MATCH(ROWS($DE$2:DE16),$DE$2:$DE$113,0)),"")</f>
        <v xml:space="preserve">OTRO DELITO CONTRA LAS PERSONAS </v>
      </c>
      <c r="HB16" s="206" t="str">
        <f>IFERROR(INDEX($A$2:$A$113,MATCH(ROWS($DF$2:DF16),$DF$2:$DF$113,0)),"")</f>
        <v xml:space="preserve">OTRO DELITO CONTRA LAS PERSONAS </v>
      </c>
      <c r="HC16" s="206" t="str">
        <f>IFERROR(INDEX($A$2:$A$113,MATCH(ROWS($DG$2:DG16),$DG$2:$DG$113,0)),"")</f>
        <v xml:space="preserve">OTRO DELITO CONTRA LAS PERSONAS </v>
      </c>
      <c r="HD16" s="206" t="str">
        <f>IFERROR(INDEX($A$2:$A$113,MATCH(ROWS($DH$2:DH16),$DH$2:$DH$113,0)),"")</f>
        <v xml:space="preserve">OTRO DELITO CONTRA LAS PERSONAS </v>
      </c>
      <c r="HE16" s="206" t="str">
        <f>IFERROR(INDEX($A$2:$A$113,MATCH(ROWS($DI$2:DI16),$DI$2:$DI$113,0)),"")</f>
        <v xml:space="preserve">OTRO DELITO CONTRA LAS PERSONAS </v>
      </c>
      <c r="HF16" s="206" t="str">
        <f>IFERROR(INDEX($A$2:$A$113,MATCH(ROWS($DJ$2:DJ16),$DJ$2:$DJ$113,0)),"")</f>
        <v xml:space="preserve">OTRO DELITO CONTRA LAS PERSONAS </v>
      </c>
      <c r="HG16" s="206" t="str">
        <f>IFERROR(INDEX($A$2:$A$113,MATCH(ROWS($DK$2:DK16),$DK$2:$DK$113,0)),"")</f>
        <v xml:space="preserve">OTRO DELITO CONTRA LAS PERSONAS </v>
      </c>
      <c r="HH16" s="206" t="str">
        <f>IFERROR(INDEX($A$2:$A$113,MATCH(ROWS($DL$2:DL16),$DL$2:$DL$113,0)),"")</f>
        <v xml:space="preserve">OTRO DELITO CONTRA LAS PERSONAS </v>
      </c>
      <c r="HI16" s="206" t="str">
        <f>IFERROR(INDEX($A$2:$A$113,MATCH(ROWS($DM$2:DM16),$DM$2:$DM$113,0)),"")</f>
        <v xml:space="preserve">OTRO DELITO CONTRA LAS PERSONAS </v>
      </c>
      <c r="HJ16" s="206" t="str">
        <f>IFERROR(INDEX($A$2:$A$113,MATCH(ROWS($DN$2:DN16),$DN$2:$DN$113,0)),"")</f>
        <v xml:space="preserve">OTRO DELITO CONTRA LAS PERSONAS </v>
      </c>
      <c r="HK16" s="206" t="str">
        <f>IFERROR(INDEX($A$2:$A$113,MATCH(ROWS($DO$2:DO16),$DO$2:$DO$113,0)),"")</f>
        <v xml:space="preserve">OTRO DELITO CONTRA LAS PERSONAS </v>
      </c>
      <c r="HL16" s="206" t="str">
        <f>IFERROR(INDEX($A$2:$A$113,MATCH(ROWS($DP$2:DP16),$DP$2:$DP$113,0)),"")</f>
        <v xml:space="preserve">OTRO DELITO CONTRA LAS PERSONAS </v>
      </c>
      <c r="HM16" s="206" t="str">
        <f>IFERROR(INDEX($A$2:$A$113,MATCH(ROWS($DQ$2:DQ16),$DQ$2:$DQ$113,0)),"")</f>
        <v xml:space="preserve">OTRO DELITO CONTRA LAS PERSONAS </v>
      </c>
      <c r="HN16" s="206" t="str">
        <f>IFERROR(INDEX($A$2:$A$113,MATCH(ROWS($DR$2:DR16),$DR$2:$DR$113,0)),"")</f>
        <v xml:space="preserve">OTRO DELITO CONTRA LAS PERSONAS </v>
      </c>
      <c r="HO16" s="206" t="str">
        <f>IFERROR(INDEX($A$2:$A$113,MATCH(ROWS($DS$2:DS16),$DS$2:$DS$113,0)),"")</f>
        <v xml:space="preserve">OTRO DELITO CONTRA LAS PERSONAS </v>
      </c>
      <c r="HP16" s="206" t="str">
        <f>IFERROR(INDEX($A$2:$A$113,MATCH(ROWS($DT$2:DT16),$DT$2:$DT$113,0)),"")</f>
        <v xml:space="preserve">OTRO DELITO CONTRA LAS PERSONAS </v>
      </c>
      <c r="HQ16" s="206" t="str">
        <f>IFERROR(INDEX($A$2:$A$113,MATCH(ROWS($DU$2:DU16),$DU$2:$DU$113,0)),"")</f>
        <v xml:space="preserve">OTRO DELITO CONTRA LAS PERSONAS </v>
      </c>
      <c r="HR16" s="206" t="str">
        <f>IFERROR(INDEX($A$2:$A$113,MATCH(ROWS($DV$2:DV16),$DV$2:$DV$113,0)),"")</f>
        <v xml:space="preserve">OTRO DELITO CONTRA LAS PERSONAS </v>
      </c>
      <c r="HS16" s="206" t="str">
        <f>IFERROR(INDEX($A$2:$A$113,MATCH(ROWS($DW$2:DW16),$DW$2:$DW$113,0)),"")</f>
        <v xml:space="preserve">OTRO DELITO CONTRA LAS PERSONAS </v>
      </c>
      <c r="HT16" s="206" t="str">
        <f>IFERROR(INDEX($A$2:$A$113,MATCH(ROWS($DX$2:DX16),$DX$2:$DX$113,0)),"")</f>
        <v xml:space="preserve">OTRO DELITO CONTRA LAS PERSONAS </v>
      </c>
      <c r="HU16" s="206" t="str">
        <f>IFERROR(INDEX($A$2:$A$113,MATCH(ROWS($DY$2:DY16),$DY$2:$DY$113,0)),"")</f>
        <v xml:space="preserve">OTRO DELITO CONTRA LAS PERSONAS </v>
      </c>
      <c r="HV16" s="206" t="str">
        <f>IFERROR(INDEX($A$2:$A$113,MATCH(ROWS($DZ$2:DZ16),$DZ$2:$DZ$113,0)),"")</f>
        <v xml:space="preserve">OTRO DELITO CONTRA LAS PERSONAS </v>
      </c>
      <c r="HW16" s="206" t="str">
        <f>IFERROR(INDEX($A$2:$A$113,MATCH(ROWS($EA$2:EA16),$EA$2:$EA$113,0)),"")</f>
        <v xml:space="preserve">OTRO DELITO CONTRA LAS PERSONAS </v>
      </c>
      <c r="HX16" s="206" t="str">
        <f>IFERROR(INDEX($A$2:$A$113,MATCH(ROWS($EB$2:EB16),$EB$2:$EB$113,0)),"")</f>
        <v xml:space="preserve">OTRO DELITO CONTRA LAS PERSONAS </v>
      </c>
      <c r="HY16" s="206" t="str">
        <f>IFERROR(INDEX($A$2:$A$113,MATCH(ROWS($EC$2:EC16),$EC$2:$EC$113,0)),"")</f>
        <v xml:space="preserve">OTRO DELITO CONTRA LAS PERSONAS </v>
      </c>
      <c r="HZ16" s="206" t="str">
        <f>IFERROR(INDEX($A$2:$A$113,MATCH(ROWS($ED$2:ED16),$ED$2:$ED$113,0)),"")</f>
        <v xml:space="preserve">OTRO DELITO CONTRA LAS PERSONAS </v>
      </c>
      <c r="IA16" s="206" t="str">
        <f>IFERROR(INDEX($A$2:$A$113,MATCH(ROWS($EE$2:EE16),$EE$2:$EE$113,0)),"")</f>
        <v xml:space="preserve">OTRO DELITO CONTRA LAS PERSONAS </v>
      </c>
      <c r="IB16" s="206" t="str">
        <f>IFERROR(INDEX($A$2:$A$113,MATCH(ROWS($EF$2:EF16),$EF$2:$EF$113,0)),"")</f>
        <v xml:space="preserve">OTRO DELITO CONTRA LAS PERSONAS </v>
      </c>
      <c r="IC16" s="206" t="str">
        <f>IFERROR(INDEX($A$2:$A$113,MATCH(ROWS($EG$2:EG16),$EG$2:$EG$113,0)),"")</f>
        <v xml:space="preserve">OTRO DELITO CONTRA LAS PERSONAS </v>
      </c>
      <c r="ID16" s="206" t="str">
        <f>IFERROR(INDEX($A$2:$A$113,MATCH(ROWS($EH$2:EH16),$EH$2:$EH$113,0)),"")</f>
        <v xml:space="preserve">OTRO DELITO CONTRA LAS PERSONAS </v>
      </c>
      <c r="IE16" s="206" t="str">
        <f>IFERROR(INDEX($A$2:$A$113,MATCH(ROWS($EI$2:EI16),$EI$2:$EI$113,0)),"")</f>
        <v xml:space="preserve">OTRO DELITO CONTRA LAS PERSONAS </v>
      </c>
      <c r="IF16" s="206" t="str">
        <f>IFERROR(INDEX($A$2:$A$113,MATCH(ROWS($EJ$2:EJ16),$EJ$2:$EJ$113,0)),"")</f>
        <v xml:space="preserve">OTRO DELITO CONTRA LAS PERSONAS </v>
      </c>
      <c r="IG16" s="206" t="str">
        <f>IFERROR(INDEX($A$2:$A$113,MATCH(ROWS($EK$2:EK16),$EK$2:$EK$113,0)),"")</f>
        <v xml:space="preserve">OTRO DELITO CONTRA LAS PERSONAS </v>
      </c>
      <c r="IH16" s="206" t="str">
        <f>IFERROR(INDEX($A$2:$A$113,MATCH(ROWS($EL$2:EL16),$EL$2:$EL$113,0)),"")</f>
        <v xml:space="preserve">OTRO DELITO CONTRA LAS PERSONAS </v>
      </c>
      <c r="II16" s="206" t="str">
        <f>IFERROR(INDEX($A$2:$A$113,MATCH(ROWS($EM$2:EM16),$EM$2:$EM$113,0)),"")</f>
        <v xml:space="preserve">OTRO DELITO CONTRA LAS PERSONAS </v>
      </c>
      <c r="IJ16" s="206" t="str">
        <f>IFERROR(INDEX($A$2:$A$113,MATCH(ROWS($EN$2:EN16),$EN$2:$EN$113,0)),"")</f>
        <v xml:space="preserve">OTRO DELITO CONTRA LAS PERSONAS </v>
      </c>
      <c r="IK16" s="207" t="str">
        <f>IFERROR(INDEX($A$2:$A$113,MATCH(ROWS($EO$2:EO16),$EO$2:$EO$113,0)),"")</f>
        <v xml:space="preserve">OTRO DELITO CONTRA LAS PERSONAS </v>
      </c>
      <c r="IL16" s="207" t="str">
        <f>IFERROR(INDEX($A$2:$A$113,MATCH(ROWS($EP$2:EP16),$EP$2:$EP$113,0)),"")</f>
        <v xml:space="preserve">OTRO DELITO CONTRA LAS PERSONAS </v>
      </c>
      <c r="IM16" s="207" t="str">
        <f>IFERROR(INDEX($A$2:$A$113,MATCH(ROWS($EQ$2:EQ16),$EQ$2:$EQ$113,0)),"")</f>
        <v xml:space="preserve">OTRO DELITO CONTRA LAS PERSONAS </v>
      </c>
      <c r="IN16" s="207" t="str">
        <f>IFERROR(INDEX($A$2:$A$113,MATCH(ROWS($ER$2:ER16),$ER$2:$ER$113,0)),"")</f>
        <v xml:space="preserve">OTRO DELITO CONTRA LAS PERSONAS </v>
      </c>
      <c r="IO16" s="207" t="str">
        <f>IFERROR(INDEX($A$2:$A$113,MATCH(ROWS($ES$2:ES16),$ES$2:$ES$113,0)),"")</f>
        <v xml:space="preserve">OTRO DELITO CONTRA LAS PERSONAS </v>
      </c>
      <c r="IP16" s="207" t="str">
        <f>IFERROR(INDEX($A$2:$A$113,MATCH(ROWS($ET$2:ET16),$ET$2:$ET$113,0)),"")</f>
        <v xml:space="preserve">OTRO DELITO CONTRA LAS PERSONAS </v>
      </c>
      <c r="IQ16" s="207" t="str">
        <f>IFERROR(INDEX($A$2:$A$113,MATCH(ROWS($EU$2:EU16),$EU$2:$EU$113,0)),"")</f>
        <v xml:space="preserve">OTRO DELITO CONTRA LAS PERSONAS </v>
      </c>
      <c r="IR16" s="207" t="str">
        <f>IFERROR(INDEX($A$2:$A$113,MATCH(ROWS($EV$2:EV16),$EV$2:$EV$113,0)),"")</f>
        <v xml:space="preserve">OTRO DELITO CONTRA LAS PERSONAS </v>
      </c>
      <c r="IS16" s="207" t="str">
        <f>IFERROR(INDEX($A$2:$A$113,MATCH(ROWS($EW$2:EW16),$EW$2:$EW$113,0)),"")</f>
        <v xml:space="preserve">OTRO DELITO CONTRA LAS PERSONAS </v>
      </c>
      <c r="IT16" s="207" t="str">
        <f>IFERROR(INDEX($A$2:$A$113,MATCH(ROWS($EX$2:EX16),$EX$2:$EX$113,0)),"")</f>
        <v xml:space="preserve">OTRO DELITO CONTRA LAS PERSONAS </v>
      </c>
      <c r="IU16" s="207" t="str">
        <f>IFERROR(INDEX($A$2:$A$113,MATCH(ROWS($EY$2:EY16),$EY$2:$EY$113,0)),"")</f>
        <v xml:space="preserve">OTRO DELITO CONTRA LAS PERSONAS </v>
      </c>
      <c r="IV16" s="207" t="str">
        <f>IFERROR(INDEX($A$2:$A$113,MATCH(ROWS($EZ$2:EZ16),$EZ$2:$EZ$113,0)),"")</f>
        <v xml:space="preserve">OTRO DELITO CONTRA LAS PERSONAS </v>
      </c>
      <c r="IW16" s="207" t="str">
        <f>IFERROR(INDEX($A$2:$A$113,MATCH(ROWS($FA$2:FA16),$FA$2:$FA$113,0)),"")</f>
        <v xml:space="preserve">OTRO DELITO CONTRA LAS PERSONAS </v>
      </c>
      <c r="IX16" s="207" t="str">
        <f>IFERROR(INDEX($A$2:$A$113,MATCH(ROWS($FB$2:FB16),$FB$2:$FB$113,0)),"")</f>
        <v xml:space="preserve">OTRO DELITO CONTRA LAS PERSONAS </v>
      </c>
      <c r="IY16" s="207" t="str">
        <f>IFERROR(INDEX($A$2:$A$113,MATCH(ROWS($FC$2:FC16),$FC$2:$FC$113,0)),"")</f>
        <v xml:space="preserve">OTRO DELITO CONTRA LAS PERSONAS </v>
      </c>
      <c r="IZ16" s="207" t="str">
        <f>IFERROR(INDEX($A$2:$A$113,MATCH(ROWS($FD$2:FD16),$FD$2:$FD$113,0)),"")</f>
        <v xml:space="preserve">OTRO DELITO CONTRA LAS PERSONAS </v>
      </c>
      <c r="JA16" s="207" t="str">
        <f>IFERROR(INDEX($A$2:$A$113,MATCH(ROWS($FE$2:FE16),$FE$2:$FE$113,0)),"")</f>
        <v xml:space="preserve">OTRO DELITO CONTRA LAS PERSONAS </v>
      </c>
      <c r="JB16" s="207" t="str">
        <f>IFERROR(INDEX($A$2:$A$113,MATCH(ROWS($FF$2:FF16),$FF$2:$FF$113,0)),"")</f>
        <v xml:space="preserve">OTRO DELITO CONTRA LAS PERSONAS </v>
      </c>
      <c r="JC16" s="207" t="str">
        <f>IFERROR(INDEX($A$2:$A$113,MATCH(ROWS($FG$2:FG16),$FG$2:$FG$113,0)),"")</f>
        <v xml:space="preserve">OTRO DELITO CONTRA LAS PERSONAS </v>
      </c>
      <c r="JD16" s="207" t="str">
        <f>IFERROR(INDEX($A$2:$A$113,MATCH(ROWS($FH$2:FH16),$FH$2:$FH$113,0)),"")</f>
        <v xml:space="preserve">OTRO DELITO CONTRA LAS PERSONAS </v>
      </c>
      <c r="JE16" s="207" t="str">
        <f>IFERROR(INDEX($A$2:$A$113,MATCH(ROWS($FI$2:FI16),$FI$2:$FI$113,0)),"")</f>
        <v xml:space="preserve">OTRO DELITO CONTRA LAS PERSONAS </v>
      </c>
      <c r="JF16" s="207" t="str">
        <f>IFERROR(INDEX($A$2:$A$113,MATCH(ROWS($FJ$2:FJ16),$FJ$2:$FJ$113,0)),"")</f>
        <v xml:space="preserve">OTRO DELITO CONTRA LAS PERSONAS </v>
      </c>
      <c r="JG16" s="207" t="str">
        <f>IFERROR(INDEX($A$2:$A$113,MATCH(ROWS($FK$2:FK16),$FK$2:$FK$113,0)),"")</f>
        <v xml:space="preserve">OTRO DELITO CONTRA LAS PERSONAS </v>
      </c>
      <c r="JH16" s="207" t="str">
        <f>IFERROR(INDEX($A$2:$A$113,MATCH(ROWS($FL$2:FL16),$FL$2:$FL$113,0)),"")</f>
        <v xml:space="preserve">OTRO DELITO CONTRA LAS PERSONAS </v>
      </c>
      <c r="JI16" s="207" t="str">
        <f>IFERROR(INDEX($A$2:$A$113,MATCH(ROWS($FM$2:FM16),$FM$2:$FM$113,0)),"")</f>
        <v xml:space="preserve">OTRO DELITO CONTRA LAS PERSONAS </v>
      </c>
      <c r="JJ16" s="207" t="str">
        <f>IFERROR(INDEX($A$2:$A$113,MATCH(ROWS($FN$2:FN16),$FN$2:$FN$113,0)),"")</f>
        <v xml:space="preserve">OTRO DELITO CONTRA LAS PERSONAS </v>
      </c>
      <c r="JK16" s="207" t="str">
        <f>IFERROR(INDEX($A$2:$A$113,MATCH(ROWS($FO$2:FO16),$FO$2:$FO$113,0)),"")</f>
        <v xml:space="preserve">OTRO DELITO CONTRA LAS PERSONAS </v>
      </c>
      <c r="JL16" s="207" t="str">
        <f>IFERROR(INDEX($A$2:$A$113,MATCH(ROWS($FP$2:FP16),$FP$2:$FP$113,0)),"")</f>
        <v xml:space="preserve">OTRO DELITO CONTRA LAS PERSONAS </v>
      </c>
      <c r="JM16" s="207" t="str">
        <f>IFERROR(INDEX($A$2:$A$113,MATCH(ROWS($FQ$2:FQ16),$FQ$2:$FQ$113,0)),"")</f>
        <v xml:space="preserve">OTRO DELITO CONTRA LAS PERSONAS </v>
      </c>
      <c r="JN16" s="207" t="str">
        <f>IFERROR(INDEX($A$2:$A$113,MATCH(ROWS($FR$2:FR16),$FR$2:$FR$113,0)),"")</f>
        <v xml:space="preserve">OTRO DELITO CONTRA LAS PERSONAS </v>
      </c>
      <c r="JO16" s="207" t="str">
        <f>IFERROR(INDEX($A$2:$A$113,MATCH(ROWS($FS$2:FS16),$FS$2:$FS$113,0)),"")</f>
        <v xml:space="preserve">OTRO DELITO CONTRA LAS PERSONAS </v>
      </c>
      <c r="JP16" s="207" t="str">
        <f>IFERROR(INDEX($A$2:$A$113,MATCH(ROWS($FT$2:FT16),$FT$2:$FT$113,0)),"")</f>
        <v xml:space="preserve">OTRO DELITO CONTRA LAS PERSONAS </v>
      </c>
      <c r="JQ16" s="207" t="str">
        <f>IFERROR(INDEX($A$2:$A$113,MATCH(ROWS($FU$2:FU16),$FU$2:$FU$113,0)),"")</f>
        <v xml:space="preserve">OTRO DELITO CONTRA LAS PERSONAS </v>
      </c>
      <c r="JR16" s="207" t="str">
        <f>IFERROR(INDEX($A$2:$A$113,MATCH(ROWS($FV$2:FV16),$FV$2:$FV$113,0)),"")</f>
        <v xml:space="preserve">OTRO DELITO CONTRA LAS PERSONAS </v>
      </c>
      <c r="JS16" s="207" t="str">
        <f>IFERROR(INDEX($A$2:$A$113,MATCH(ROWS($FW$2:FW16),$FW$2:$FW$113,0)),"")</f>
        <v xml:space="preserve">OTRO DELITO CONTRA LAS PERSONAS </v>
      </c>
      <c r="JT16" s="207" t="str">
        <f>IFERROR(INDEX($A$2:$A$113,MATCH(ROWS($FX$2:FX16),$FX$2:$FX$113,0)),"")</f>
        <v xml:space="preserve">OTRO DELITO CONTRA LAS PERSONAS </v>
      </c>
      <c r="JU16" s="207" t="str">
        <f>IFERROR(INDEX($A$2:$A$113,MATCH(ROWS($FY$2:FY16),$FY$2:$FY$113,0)),"")</f>
        <v xml:space="preserve">OTRO DELITO CONTRA LAS PERSONAS </v>
      </c>
      <c r="JV16" s="207" t="str">
        <f>IFERROR(INDEX($A$2:$A$113,MATCH(ROWS($FZ$2:FZ16),$FZ$2:$FZ$113,0)),"")</f>
        <v xml:space="preserve">OTRO DELITO CONTRA LAS PERSONAS </v>
      </c>
      <c r="JW16" s="207" t="str">
        <f>IFERROR(INDEX($A$2:$A$113,MATCH(ROWS($GA$2:GA16),$GA$2:$GA$113,0)),"")</f>
        <v xml:space="preserve">OTRO DELITO CONTRA LAS PERSONAS </v>
      </c>
      <c r="JX16" s="207" t="str">
        <f>IFERROR(INDEX($A$2:$A$113,MATCH(ROWS($GB$2:GB16),$GB$2:$GB$113,0)),"")</f>
        <v xml:space="preserve">OTRO DELITO CONTRA LAS PERSONAS </v>
      </c>
      <c r="JY16" s="207" t="str">
        <f>IFERROR(INDEX($A$2:$A$113,MATCH(ROWS($GC$2:GC16),$GC$2:$GC$113,0)),"")</f>
        <v xml:space="preserve">OTRO DELITO CONTRA LAS PERSONAS </v>
      </c>
      <c r="JZ16" s="207" t="str">
        <f>IFERROR(INDEX($A$2:$A$113,MATCH(ROWS($GD$2:GD16),$GD$2:$GD$113,0)),"")</f>
        <v xml:space="preserve">OTRO DELITO CONTRA LAS PERSONAS </v>
      </c>
      <c r="KA16" s="207" t="str">
        <f>IFERROR(INDEX($A$2:$A$113,MATCH(ROWS($GE$2:GE16),$GE$2:$GE$113,0)),"")</f>
        <v xml:space="preserve">OTRO DELITO CONTRA LAS PERSONAS </v>
      </c>
      <c r="KB16" s="207" t="str">
        <f>IFERROR(INDEX($A$2:$A$113,MATCH(ROWS($GF$2:GF16),$GF$2:$GF$113,0)),"")</f>
        <v xml:space="preserve">OTRO DELITO CONTRA LAS PERSONAS </v>
      </c>
      <c r="KC16" s="207" t="str">
        <f>IFERROR(INDEX($A$2:$A$113,MATCH(ROWS($GG$2:GG16),$GG$2:$GG$113,0)),"")</f>
        <v xml:space="preserve">OTRO DELITO CONTRA LAS PERSONAS </v>
      </c>
      <c r="KD16" s="207" t="str">
        <f>IFERROR(INDEX($A$2:$A$113,MATCH(ROWS($GH$2:GH16),$GH$2:$GH$113,0)),"")</f>
        <v xml:space="preserve">OTRO DELITO CONTRA LAS PERSONAS </v>
      </c>
      <c r="KE16" s="207" t="str">
        <f>IFERROR(INDEX($A$2:$A$113,MATCH(ROWS($GI$2:GI16),$GI$2:$GI$113,0)),"")</f>
        <v xml:space="preserve">OTRO DELITO CONTRA LAS PERSONAS </v>
      </c>
      <c r="KF16" s="207" t="str">
        <f>IFERROR(INDEX($A$2:$A$113,MATCH(ROWS($GJ$2:GJ16),$GJ$2:$GJ$113,0)),"")</f>
        <v xml:space="preserve">OTRO DELITO CONTRA LAS PERSONAS </v>
      </c>
      <c r="KG16" s="207" t="str">
        <f>IFERROR(INDEX($A$2:$A$113,MATCH(ROWS($GK$2:GK16),$GK$2:$GK$113,0)),"")</f>
        <v xml:space="preserve">OTRO DELITO CONTRA LAS PERSONAS </v>
      </c>
      <c r="KH16" s="207" t="str">
        <f>IFERROR(INDEX($A$2:$A$113,MATCH(ROWS($GL$2:GL16),$GL$2:$GL$113,0)),"")</f>
        <v xml:space="preserve">OTRO DELITO CONTRA LAS PERSONAS </v>
      </c>
      <c r="KI16" s="207" t="str">
        <f>IFERROR(INDEX($A$2:$A$113,MATCH(ROWS($GM$2:GM16),$GM$2:$GM$113,0)),"")</f>
        <v xml:space="preserve">OTRO DELITO CONTRA LAS PERSONAS </v>
      </c>
      <c r="KJ16" s="207" t="str">
        <f>IFERROR(INDEX($A$2:$A$113,MATCH(ROWS($GN$2:GN16),$GN$2:$GN$113,0)),"")</f>
        <v xml:space="preserve">OTRO DELITO CONTRA LAS PERSONAS </v>
      </c>
      <c r="KK16" s="207" t="str">
        <f>IFERROR(INDEX($A$2:$A$113,MATCH(ROWS($GO$2:GO16),$GO$2:$GO$113,0)),"")</f>
        <v xml:space="preserve">OTRO DELITO CONTRA LAS PERSONAS </v>
      </c>
      <c r="KL16" s="207" t="str">
        <f>IFERROR(INDEX($A$2:$A$113,MATCH(ROWS($GP$2:GP16),$GP$2:$GP$113,0)),"")</f>
        <v xml:space="preserve">OTRO DELITO CONTRA LAS PERSONAS </v>
      </c>
      <c r="KM16" s="207" t="str">
        <f>IFERROR(INDEX($A$2:$A$113,MATCH(ROWS($GQ$2:GQ16),$GQ$2:$GQ$113,0)),"")</f>
        <v xml:space="preserve">OTRO DELITO CONTRA LAS PERSONAS </v>
      </c>
      <c r="KN16" s="207" t="str">
        <f>IFERROR(INDEX($A$2:$A$113,MATCH(ROWS($GR$2:GR16),$GR$2:$GR$113,0)),"")</f>
        <v xml:space="preserve">OTRO DELITO CONTRA LAS PERSONAS </v>
      </c>
      <c r="KO16" s="207" t="str">
        <f>IFERROR(INDEX($A$2:$A$113,MATCH(ROWS($GS$2:GS16),$GS$2:$GS$113,0)),"")</f>
        <v xml:space="preserve">OTRO DELITO CONTRA LAS PERSONAS </v>
      </c>
      <c r="KP16" s="207" t="str">
        <f>IFERROR(INDEX($A$2:$A$113,MATCH(ROWS($GT$2:GT16),$GT$2:$GT$113,0)),"")</f>
        <v xml:space="preserve">OTRO DELITO CONTRA LAS PERSONAS </v>
      </c>
      <c r="KQ16" s="207" t="str">
        <f>IFERROR(INDEX($A$2:$A$113,MATCH(ROWS($GU$2:GU16),$GU$2:$GU$113,0)),"")</f>
        <v xml:space="preserve">OTRO DELITO CONTRA LAS PERSONAS </v>
      </c>
      <c r="KR16" s="207" t="str">
        <f>IFERROR(INDEX($A$2:$A$113,MATCH(ROWS($GV$2:GV16),$GV$2:$GV$113,0)),"")</f>
        <v xml:space="preserve">OTRO DELITO CONTRA LAS PERSONAS </v>
      </c>
      <c r="KS16" s="207" t="str">
        <f>IFERROR(INDEX($A$2:$A$113,MATCH(ROWS($GW$2:GW16),$GW$2:$GW$113,0)),"")</f>
        <v xml:space="preserve">OTRO DELITO CONTRA LAS PERSONAS </v>
      </c>
    </row>
    <row r="17" spans="1:305" x14ac:dyDescent="0.25">
      <c r="A17" s="206" t="s">
        <v>514</v>
      </c>
      <c r="B17" s="206">
        <v>9</v>
      </c>
      <c r="D17" s="206" t="s">
        <v>788</v>
      </c>
      <c r="E17" s="206" t="s">
        <v>70</v>
      </c>
      <c r="F17" s="207">
        <f>--ISNUMBER(IFERROR(SEARCH('PLANILLA DJ'!$X$3,$A17,1),""))</f>
        <v>1</v>
      </c>
      <c r="G17" s="207">
        <f>--ISNUMBER(IFERROR(SEARCH('PLANILLA DJ'!$X$4,$A17,1),""))</f>
        <v>1</v>
      </c>
      <c r="H17" s="207">
        <f>--ISNUMBER(IFERROR(SEARCH('PLANILLA DJ'!$X$5,$A17,1),""))</f>
        <v>1</v>
      </c>
      <c r="I17" s="207">
        <f>--ISNUMBER(IFERROR(SEARCH('PLANILLA DJ'!$X$6,$A17,1),""))</f>
        <v>1</v>
      </c>
      <c r="J17" s="207">
        <f>--ISNUMBER(IFERROR(SEARCH('PLANILLA DJ'!$X$7,$A17,1),""))</f>
        <v>1</v>
      </c>
      <c r="K17" s="207">
        <f>--ISNUMBER(IFERROR(SEARCH('PLANILLA DJ'!$X$8,$A17,1),""))</f>
        <v>1</v>
      </c>
      <c r="L17" s="207">
        <f>--ISNUMBER(IFERROR(SEARCH('PLANILLA DJ'!$X$9,$A17,1),""))</f>
        <v>1</v>
      </c>
      <c r="M17" s="207">
        <f>--ISNUMBER(IFERROR(SEARCH('PLANILLA DJ'!$X$10,$A17,1),""))</f>
        <v>1</v>
      </c>
      <c r="N17" s="207">
        <f>--ISNUMBER(IFERROR(SEARCH('PLANILLA DJ'!$X$11,$A17,1),""))</f>
        <v>1</v>
      </c>
      <c r="O17" s="207">
        <f>--ISNUMBER(IFERROR(SEARCH('PLANILLA DJ'!$X$12,$A17,1),""))</f>
        <v>1</v>
      </c>
      <c r="P17" s="207">
        <f>--ISNUMBER(IFERROR(SEARCH('PLANILLA DJ'!$X$13,$A17,1),""))</f>
        <v>1</v>
      </c>
      <c r="Q17" s="207">
        <f>--ISNUMBER(IFERROR(SEARCH('PLANILLA DJ'!$X$14,$A17,1),""))</f>
        <v>1</v>
      </c>
      <c r="R17" s="207">
        <f>--ISNUMBER(IFERROR(SEARCH('PLANILLA DJ'!$X$15,$A17,1),""))</f>
        <v>1</v>
      </c>
      <c r="S17" s="207">
        <f>--ISNUMBER(IFERROR(SEARCH('PLANILLA DJ'!$X$16,$A17,1),""))</f>
        <v>1</v>
      </c>
      <c r="T17" s="207">
        <f>--ISNUMBER(IFERROR(SEARCH('PLANILLA DJ'!$X$17,$A17,1),""))</f>
        <v>1</v>
      </c>
      <c r="U17" s="207">
        <f>--ISNUMBER(IFERROR(SEARCH('PLANILLA DJ'!$X$18,$A17,1),""))</f>
        <v>1</v>
      </c>
      <c r="V17" s="207">
        <f>--ISNUMBER(IFERROR(SEARCH('PLANILLA DJ'!$X$19,$A17,1),""))</f>
        <v>1</v>
      </c>
      <c r="W17" s="207">
        <f>--ISNUMBER(IFERROR(SEARCH('PLANILLA DJ'!$X$20,$A17,1),""))</f>
        <v>1</v>
      </c>
      <c r="X17" s="207">
        <f>--ISNUMBER(IFERROR(SEARCH('PLANILLA DJ'!$X$21,$A17,1),""))</f>
        <v>1</v>
      </c>
      <c r="Y17" s="207">
        <f>--ISNUMBER(IFERROR(SEARCH('PLANILLA DJ'!$X$22,$A17,1),""))</f>
        <v>1</v>
      </c>
      <c r="Z17" s="207">
        <f>--ISNUMBER(IFERROR(SEARCH('PLANILLA DJ'!$X$23,$A17,1),""))</f>
        <v>1</v>
      </c>
      <c r="AA17" s="207">
        <f>--ISNUMBER(IFERROR(SEARCH('PLANILLA DJ'!$X$24,$A17,1),""))</f>
        <v>1</v>
      </c>
      <c r="AB17" s="207">
        <f>--ISNUMBER(IFERROR(SEARCH('PLANILLA DJ'!$X$25,$A17,1),""))</f>
        <v>1</v>
      </c>
      <c r="AC17" s="207">
        <f>--ISNUMBER(IFERROR(SEARCH('PLANILLA DJ'!$X$26,$A17,1),""))</f>
        <v>1</v>
      </c>
      <c r="AD17" s="207">
        <f>--ISNUMBER(IFERROR(SEARCH('PLANILLA DJ'!$X$27,$A17,1),""))</f>
        <v>1</v>
      </c>
      <c r="AE17" s="207">
        <f>--ISNUMBER(IFERROR(SEARCH('PLANILLA DJ'!$X$28,$A17,1),""))</f>
        <v>1</v>
      </c>
      <c r="AF17" s="207">
        <f>--ISNUMBER(IFERROR(SEARCH('PLANILLA DJ'!$X$29,$A17,1),""))</f>
        <v>1</v>
      </c>
      <c r="AG17" s="207">
        <f>--ISNUMBER(IFERROR(SEARCH('PLANILLA DJ'!$X$30,$A17,1),""))</f>
        <v>1</v>
      </c>
      <c r="AH17" s="207">
        <f>--ISNUMBER(IFERROR(SEARCH('PLANILLA DJ'!$X$31,$A17,1),""))</f>
        <v>1</v>
      </c>
      <c r="AI17" s="207">
        <f>--ISNUMBER(IFERROR(SEARCH('PLANILLA DJ'!$X$32,$A17,1),""))</f>
        <v>1</v>
      </c>
      <c r="AJ17" s="207">
        <f>--ISNUMBER(IFERROR(SEARCH('PLANILLA DJ'!$X$33,$A17,1),""))</f>
        <v>1</v>
      </c>
      <c r="AK17" s="207">
        <f>--ISNUMBER(IFERROR(SEARCH('PLANILLA DJ'!$X$34,$A17,1),""))</f>
        <v>1</v>
      </c>
      <c r="AL17" s="207">
        <f>--ISNUMBER(IFERROR(SEARCH('PLANILLA DJ'!$X$35,$A17,1),""))</f>
        <v>1</v>
      </c>
      <c r="AM17" s="207">
        <f>--ISNUMBER(IFERROR(SEARCH('PLANILLA DJ'!$X$36,$A17,1),""))</f>
        <v>1</v>
      </c>
      <c r="AN17" s="207">
        <f>--ISNUMBER(IFERROR(SEARCH('PLANILLA DJ'!$X$37,$A17,1),""))</f>
        <v>1</v>
      </c>
      <c r="AO17" s="207">
        <f>--ISNUMBER(IFERROR(SEARCH('PLANILLA DJ'!$X$38,$A17,1),""))</f>
        <v>1</v>
      </c>
      <c r="AP17" s="207">
        <f>--ISNUMBER(IFERROR(SEARCH('PLANILLA DJ'!$X$39,$A17,1),""))</f>
        <v>1</v>
      </c>
      <c r="AQ17" s="207">
        <f>--ISNUMBER(IFERROR(SEARCH('PLANILLA DJ'!$X$40,$A17,1),""))</f>
        <v>1</v>
      </c>
      <c r="AR17" s="207">
        <f>--ISNUMBER(IFERROR(SEARCH('PLANILLA DJ'!$X$41,$A17,1),""))</f>
        <v>1</v>
      </c>
      <c r="AS17" s="207">
        <f>--ISNUMBER(IFERROR(SEARCH('PLANILLA DJ'!$X$42,$A17,1),""))</f>
        <v>1</v>
      </c>
      <c r="AT17" s="207">
        <f>--ISNUMBER(IFERROR(SEARCH('PLANILLA DJ'!$X$43,$A17,1),""))</f>
        <v>1</v>
      </c>
      <c r="AU17" s="207">
        <f>--ISNUMBER(IFERROR(SEARCH('PLANILLA DJ'!$X$44,$A17,1),""))</f>
        <v>1</v>
      </c>
      <c r="AV17" s="207">
        <f>--ISNUMBER(IFERROR(SEARCH('PLANILLA DJ'!$X$45,$A17,1),""))</f>
        <v>1</v>
      </c>
      <c r="AW17" s="207">
        <f>--ISNUMBER(IFERROR(SEARCH('PLANILLA DJ'!$X$46,$A17,1),""))</f>
        <v>1</v>
      </c>
      <c r="AX17" s="207">
        <f>--ISNUMBER(IFERROR(SEARCH('PLANILLA DJ'!$X$47,$A17,1),""))</f>
        <v>1</v>
      </c>
      <c r="AY17" s="207">
        <f>--ISNUMBER(IFERROR(SEARCH('PLANILLA DJ'!$X$48,$A17,1),""))</f>
        <v>1</v>
      </c>
      <c r="AZ17" s="207">
        <f>--ISNUMBER(IFERROR(SEARCH('PLANILLA DJ'!$X$49,$A17,1),""))</f>
        <v>1</v>
      </c>
      <c r="BA17" s="207">
        <f>--ISNUMBER(IFERROR(SEARCH('PLANILLA DJ'!$X$50,$A17,1),""))</f>
        <v>1</v>
      </c>
      <c r="BB17" s="207">
        <f>--ISNUMBER(IFERROR(SEARCH('PLANILLA DJ'!$X$51,$A17,1),""))</f>
        <v>1</v>
      </c>
      <c r="BC17" s="207">
        <f>--ISNUMBER(IFERROR(SEARCH('PLANILLA DJ'!$X$52,$A17,1),""))</f>
        <v>1</v>
      </c>
      <c r="BD17" s="207">
        <f>--ISNUMBER(IFERROR(SEARCH('PLANILLA DJ'!$X$53,$A17,1),""))</f>
        <v>1</v>
      </c>
      <c r="BE17" s="207">
        <f>--ISNUMBER(IFERROR(SEARCH('PLANILLA DJ'!$X$54,$A17,1),""))</f>
        <v>1</v>
      </c>
      <c r="BF17" s="207">
        <f>--ISNUMBER(IFERROR(SEARCH('PLANILLA DJ'!$X$55,$A17,1),""))</f>
        <v>1</v>
      </c>
      <c r="BG17" s="207">
        <f>--ISNUMBER(IFERROR(SEARCH('PLANILLA DJ'!$X$56,$A17,1),""))</f>
        <v>1</v>
      </c>
      <c r="BH17" s="207">
        <f>--ISNUMBER(IFERROR(SEARCH('PLANILLA DJ'!$X$57,$A17,1),""))</f>
        <v>1</v>
      </c>
      <c r="BI17" s="207">
        <f>--ISNUMBER(IFERROR(SEARCH('PLANILLA DJ'!$X$58,$A17,1),""))</f>
        <v>1</v>
      </c>
      <c r="BJ17" s="207">
        <f>--ISNUMBER(IFERROR(SEARCH('PLANILLA DJ'!$X$59,$A17,1),""))</f>
        <v>1</v>
      </c>
      <c r="BK17" s="207">
        <f>--ISNUMBER(IFERROR(SEARCH('PLANILLA DJ'!$X$60,$A17,1),""))</f>
        <v>1</v>
      </c>
      <c r="BL17" s="207">
        <f>--ISNUMBER(IFERROR(SEARCH('PLANILLA DJ'!$X$61,$A17,1),""))</f>
        <v>1</v>
      </c>
      <c r="BM17" s="207">
        <f>--ISNUMBER(IFERROR(SEARCH('PLANILLA DJ'!$X$62,$A17,1),""))</f>
        <v>1</v>
      </c>
      <c r="BN17" s="207">
        <f>--ISNUMBER(IFERROR(SEARCH('PLANILLA DJ'!$X$63,$A17,1),""))</f>
        <v>1</v>
      </c>
      <c r="BO17" s="207">
        <f>--ISNUMBER(IFERROR(SEARCH('PLANILLA DJ'!$X$64,$A17,1),""))</f>
        <v>1</v>
      </c>
      <c r="BP17" s="207">
        <f>--ISNUMBER(IFERROR(SEARCH('PLANILLA DJ'!$X$65,$A17,1),""))</f>
        <v>1</v>
      </c>
      <c r="BQ17" s="207">
        <f>--ISNUMBER(IFERROR(SEARCH('PLANILLA DJ'!$X$66,$A17,1),""))</f>
        <v>1</v>
      </c>
      <c r="BR17" s="207">
        <f>--ISNUMBER(IFERROR(SEARCH('PLANILLA DJ'!$X$67,$A17,1),""))</f>
        <v>1</v>
      </c>
      <c r="BS17" s="207">
        <f>--ISNUMBER(IFERROR(SEARCH('PLANILLA DJ'!$X$68,$A17,1),""))</f>
        <v>1</v>
      </c>
      <c r="BT17" s="207">
        <f>--ISNUMBER(IFERROR(SEARCH('PLANILLA DJ'!$X$69,$A17,1),""))</f>
        <v>1</v>
      </c>
      <c r="BU17" s="207">
        <f>--ISNUMBER(IFERROR(SEARCH('PLANILLA DJ'!$X$70,$A17,1),""))</f>
        <v>1</v>
      </c>
      <c r="BV17" s="207">
        <f>--ISNUMBER(IFERROR(SEARCH('PLANILLA DJ'!$X$71,$A17,1),""))</f>
        <v>1</v>
      </c>
      <c r="BW17" s="207">
        <f>--ISNUMBER(IFERROR(SEARCH('PLANILLA DJ'!$X$72,$A17,1),""))</f>
        <v>1</v>
      </c>
      <c r="BX17" s="207">
        <f>--ISNUMBER(IFERROR(SEARCH('PLANILLA DJ'!$X$73,$A17,1),""))</f>
        <v>1</v>
      </c>
      <c r="BY17" s="207">
        <f>--ISNUMBER(IFERROR(SEARCH('PLANILLA DJ'!$X$74,$A17,1),""))</f>
        <v>1</v>
      </c>
      <c r="BZ17" s="207">
        <f>--ISNUMBER(IFERROR(SEARCH('PLANILLA DJ'!$X$75,$A17,1),""))</f>
        <v>1</v>
      </c>
      <c r="CA17" s="207">
        <f>--ISNUMBER(IFERROR(SEARCH('PLANILLA DJ'!$X$76,$A17,1),""))</f>
        <v>1</v>
      </c>
      <c r="CB17" s="207">
        <f>--ISNUMBER(IFERROR(SEARCH('PLANILLA DJ'!$X$77,$A17,1),""))</f>
        <v>1</v>
      </c>
      <c r="CC17" s="207">
        <f>--ISNUMBER(IFERROR(SEARCH('PLANILLA DJ'!$X$78,$A17,1),""))</f>
        <v>1</v>
      </c>
      <c r="CD17" s="207">
        <f>--ISNUMBER(IFERROR(SEARCH('PLANILLA DJ'!$X$79,$A17,1),""))</f>
        <v>1</v>
      </c>
      <c r="CE17" s="207">
        <f>--ISNUMBER(IFERROR(SEARCH('PLANILLA DJ'!$X$80,$A17,1),""))</f>
        <v>1</v>
      </c>
      <c r="CF17" s="207">
        <f>--ISNUMBER(IFERROR(SEARCH('PLANILLA DJ'!$X$81,$A17,1),""))</f>
        <v>1</v>
      </c>
      <c r="CG17" s="207">
        <f>--ISNUMBER(IFERROR(SEARCH('PLANILLA DJ'!$X$82,$A17,1),""))</f>
        <v>1</v>
      </c>
      <c r="CH17" s="207">
        <f>--ISNUMBER(IFERROR(SEARCH('PLANILLA DJ'!$X$83,$A17,1),""))</f>
        <v>1</v>
      </c>
      <c r="CI17" s="207">
        <f>--ISNUMBER(IFERROR(SEARCH('PLANILLA DJ'!$X$84,$A17,1),""))</f>
        <v>1</v>
      </c>
      <c r="CJ17" s="207">
        <f>--ISNUMBER(IFERROR(SEARCH('PLANILLA DJ'!$X$85,$A17,1),""))</f>
        <v>1</v>
      </c>
      <c r="CK17" s="207">
        <f>--ISNUMBER(IFERROR(SEARCH('PLANILLA DJ'!$X$86,$A17,1),""))</f>
        <v>1</v>
      </c>
      <c r="CL17" s="207">
        <f>--ISNUMBER(IFERROR(SEARCH('PLANILLA DJ'!$X$87,$A17,1),""))</f>
        <v>1</v>
      </c>
      <c r="CM17" s="207">
        <f>--ISNUMBER(IFERROR(SEARCH('PLANILLA DJ'!$X$88,$A17,1),""))</f>
        <v>1</v>
      </c>
      <c r="CN17" s="207">
        <f>--ISNUMBER(IFERROR(SEARCH('PLANILLA DJ'!$X$89,$A17,1),""))</f>
        <v>1</v>
      </c>
      <c r="CO17" s="207">
        <f>--ISNUMBER(IFERROR(SEARCH('PLANILLA DJ'!$X$90,$A17,1),""))</f>
        <v>1</v>
      </c>
      <c r="CP17" s="207">
        <f>--ISNUMBER(IFERROR(SEARCH('PLANILLA DJ'!$X$91,$A17,1),""))</f>
        <v>1</v>
      </c>
      <c r="CQ17" s="207">
        <f>--ISNUMBER(IFERROR(SEARCH('PLANILLA DJ'!$X$92,$A17,1),""))</f>
        <v>1</v>
      </c>
      <c r="CR17" s="207">
        <f>--ISNUMBER(IFERROR(SEARCH('PLANILLA DJ'!$X$93,$A17,1),""))</f>
        <v>1</v>
      </c>
      <c r="CS17" s="207">
        <f>--ISNUMBER(IFERROR(SEARCH('PLANILLA DJ'!$X$94,$A17,1),""))</f>
        <v>1</v>
      </c>
      <c r="CT17" s="207">
        <f>--ISNUMBER(IFERROR(SEARCH('PLANILLA DJ'!$X$95,$A17,1),""))</f>
        <v>1</v>
      </c>
      <c r="CU17" s="207">
        <f>--ISNUMBER(IFERROR(SEARCH('PLANILLA DJ'!$X$96,$A17,1),""))</f>
        <v>1</v>
      </c>
      <c r="CV17" s="207">
        <f>--ISNUMBER(IFERROR(SEARCH('PLANILLA DJ'!$X$97,$A17,1),""))</f>
        <v>1</v>
      </c>
      <c r="CW17" s="207">
        <f>--ISNUMBER(IFERROR(SEARCH('PLANILLA DJ'!$X$98,$A17,1),""))</f>
        <v>1</v>
      </c>
      <c r="CX17" s="207">
        <f>--ISNUMBER(IFERROR(SEARCH('PLANILLA DJ'!$X$99,$A17,1),""))</f>
        <v>1</v>
      </c>
      <c r="CY17" s="207">
        <f>--ISNUMBER(IFERROR(SEARCH('PLANILLA DJ'!$X$100,$A17,1),""))</f>
        <v>1</v>
      </c>
      <c r="CZ17" s="207">
        <f>--ISNUMBER(IFERROR(SEARCH('PLANILLA DJ'!$X$101,$A17,1),""))</f>
        <v>1</v>
      </c>
      <c r="DA17" s="207">
        <f>--ISNUMBER(IFERROR(SEARCH('PLANILLA DJ'!$X$102,$A17,1),""))</f>
        <v>1</v>
      </c>
      <c r="DB17" s="206">
        <f>IF(F17=1,COUNTIF($F$2:F17,1),"")</f>
        <v>16</v>
      </c>
      <c r="DC17" s="206">
        <f>IF(G17=1,COUNTIF($G$2:G17,1),"")</f>
        <v>16</v>
      </c>
      <c r="DD17" s="206">
        <f>IF(H17=1,COUNTIF($H$2:H17,1),"")</f>
        <v>16</v>
      </c>
      <c r="DE17" s="206">
        <f>IF(I17=1,COUNTIF($I$2:I17,1),"")</f>
        <v>16</v>
      </c>
      <c r="DF17" s="206">
        <f>IF(J17=1,COUNTIF($J$2:J17,1),"")</f>
        <v>16</v>
      </c>
      <c r="DG17" s="206">
        <f>IF(K17=1,COUNTIF($K$2:K17,1),"")</f>
        <v>16</v>
      </c>
      <c r="DH17" s="206">
        <f>IF(L17=1,COUNTIF($L$2:L17,1),"")</f>
        <v>16</v>
      </c>
      <c r="DI17" s="206">
        <f>IF(M17=1,COUNTIF($M$2:M17,1),"")</f>
        <v>16</v>
      </c>
      <c r="DJ17" s="206">
        <f>IF(N17=1,COUNTIF($N$2:N17,1),"")</f>
        <v>16</v>
      </c>
      <c r="DK17" s="206">
        <f>IF(O17=1,COUNTIF($O$2:O17,1),"")</f>
        <v>16</v>
      </c>
      <c r="DL17" s="206">
        <f>IF(P17=1,COUNTIF($P$2:P17,1),"")</f>
        <v>16</v>
      </c>
      <c r="DM17" s="206">
        <f>IF(Q17=1,COUNTIF($Q$2:Q17,1),"")</f>
        <v>16</v>
      </c>
      <c r="DN17" s="207">
        <f>IF(R17=1,COUNTIF($R$2:R17,1),"")</f>
        <v>16</v>
      </c>
      <c r="DO17" s="207">
        <f>IF(S17=1,COUNTIF($S$2:S17,1),"")</f>
        <v>16</v>
      </c>
      <c r="DP17" s="207">
        <f>IF(T17=1,COUNTIF($T$2:T17,1),"")</f>
        <v>16</v>
      </c>
      <c r="DQ17" s="207">
        <f>IF(U17=1,COUNTIF($U$2:U17,1),"")</f>
        <v>16</v>
      </c>
      <c r="DR17" s="207">
        <f>IF(V17=1,COUNTIF($V$2:V17,1),"")</f>
        <v>16</v>
      </c>
      <c r="DS17" s="207">
        <f>IF(W17=1,COUNTIF($W$2:W17,1),"")</f>
        <v>16</v>
      </c>
      <c r="DT17" s="207">
        <f>IF(X17=1,COUNTIF($X$2:X17,1),"")</f>
        <v>16</v>
      </c>
      <c r="DU17" s="207">
        <f>IF(Y17=1,COUNTIF($Y$2:Y17,1),"")</f>
        <v>16</v>
      </c>
      <c r="DV17" s="207">
        <f>IF(Z17=1,COUNTIF(Z$2:Z17,1),"")</f>
        <v>16</v>
      </c>
      <c r="DW17" s="207">
        <f>IF(AA17=1,COUNTIF($AA$2:AA17,1),"")</f>
        <v>16</v>
      </c>
      <c r="DX17" s="207">
        <f>IF(AB17=1,COUNTIF($AB$2:AB17,1),"")</f>
        <v>16</v>
      </c>
      <c r="DY17" s="207">
        <f>IF(AC17=1,COUNTIF($AC$2:AC17,1),"")</f>
        <v>16</v>
      </c>
      <c r="DZ17" s="207">
        <f>IF(AD17=1,COUNTIF($AD$2:AD17,1),"")</f>
        <v>16</v>
      </c>
      <c r="EA17" s="207">
        <f>IF(AE17=1,COUNTIF($AE$2:AE17,1),"")</f>
        <v>16</v>
      </c>
      <c r="EB17" s="207">
        <f>IF(AF17=1,COUNTIF($AF$2:AF17,1),"")</f>
        <v>16</v>
      </c>
      <c r="EC17" s="207">
        <f>IF(AG17=1,COUNTIF($AG$2:AG17,1),"")</f>
        <v>16</v>
      </c>
      <c r="ED17" s="207">
        <f>IF(AH17=1,COUNTIF($AH$2:AH17,1),"")</f>
        <v>16</v>
      </c>
      <c r="EE17" s="207">
        <f>IF(AI17=1,COUNTIF($AI$2:AI17,1),"")</f>
        <v>16</v>
      </c>
      <c r="EF17" s="207">
        <f>IF(AJ17=1,COUNTIF($AJ$2:AJ17,1),"")</f>
        <v>16</v>
      </c>
      <c r="EG17" s="207">
        <f>IF(AK17=1,COUNTIF($AK$2:AK17,1),"")</f>
        <v>16</v>
      </c>
      <c r="EH17" s="207">
        <f>IF(AL17=1,COUNTIF($AL$2:AL17,1),"")</f>
        <v>16</v>
      </c>
      <c r="EI17" s="207">
        <f>IF(AM17=1,COUNTIF($AM$2:AM17,1),"")</f>
        <v>16</v>
      </c>
      <c r="EJ17" s="207">
        <f>IF(AN17=1,COUNTIF($AN$2:AN17,1),"")</f>
        <v>16</v>
      </c>
      <c r="EK17" s="207">
        <f>IF(AO17=1,COUNTIF($AO$2:AO17,1),"")</f>
        <v>16</v>
      </c>
      <c r="EL17" s="207">
        <f>IF(AP17=1,COUNTIF($AP$2:AP17,1),"")</f>
        <v>16</v>
      </c>
      <c r="EM17" s="207">
        <f>IF(AQ17=1,COUNTIF($AQ$2:AQ17,1),"")</f>
        <v>16</v>
      </c>
      <c r="EN17" s="207">
        <f>IF(AR17=1,COUNTIF($AR$2:AR17,1),"")</f>
        <v>16</v>
      </c>
      <c r="EO17" s="207">
        <f>IF(AS17=1,COUNTIF($AS$2:AS17,1),"")</f>
        <v>16</v>
      </c>
      <c r="EP17" s="207">
        <f>IF(AT17=1,COUNTIF($AT$2:AT17,1),"")</f>
        <v>16</v>
      </c>
      <c r="EQ17" s="207">
        <f>IF(AU17=1,COUNTIF($AU$2:AU17,1),"")</f>
        <v>16</v>
      </c>
      <c r="ER17" s="207">
        <f>IF(AV17=1,COUNTIF($AV$2:AV17,1),"")</f>
        <v>16</v>
      </c>
      <c r="ES17" s="207">
        <f>IF(AW17=1,COUNTIF($AW$2:AW17,1),"")</f>
        <v>16</v>
      </c>
      <c r="ET17" s="207">
        <f>IF(AX17=1,COUNTIF($AX$2:AX17,1),"")</f>
        <v>16</v>
      </c>
      <c r="EU17" s="207">
        <f>IF(AY17=1,COUNTIF($AY$2:AY17,1),"")</f>
        <v>16</v>
      </c>
      <c r="EV17" s="207">
        <f>IF(AZ17=1,COUNTIF($AZ$2:AZ17,1),"")</f>
        <v>16</v>
      </c>
      <c r="EW17" s="207">
        <f>IF(BA17=1,COUNTIF($BA$2:BA17,1),"")</f>
        <v>16</v>
      </c>
      <c r="EX17" s="207">
        <f>IF(BB17=1,COUNTIF($BB$2:BB17,1),"")</f>
        <v>16</v>
      </c>
      <c r="EY17" s="207">
        <f>IF(BC17=1,COUNTIF($BC$2:BC17,1),"")</f>
        <v>16</v>
      </c>
      <c r="EZ17" s="207">
        <f>IF(BD17=1,COUNTIF($BD$2:BD17,1),"")</f>
        <v>16</v>
      </c>
      <c r="FA17" s="207">
        <f>IF(BE17=1,COUNTIF($BE$2:BE17,1),"")</f>
        <v>16</v>
      </c>
      <c r="FB17" s="207">
        <f>IF(BF17=1,COUNTIF($BF$2:BF17,1),"")</f>
        <v>16</v>
      </c>
      <c r="FC17" s="207">
        <f>IF(BG17=1,COUNTIF($BG$2:BG17,1),"")</f>
        <v>16</v>
      </c>
      <c r="FD17" s="207">
        <f>IF(BH17=1,COUNTIF($BH$2:BH17,1),"")</f>
        <v>16</v>
      </c>
      <c r="FE17" s="207">
        <f>IF(BI17=1,COUNTIF($BI$2:BI17,1),"")</f>
        <v>16</v>
      </c>
      <c r="FF17" s="207">
        <f>IF(BJ17=1,COUNTIF($BJ$2:BJ17,1),"")</f>
        <v>16</v>
      </c>
      <c r="FG17" s="207">
        <f>IF(BK17=1,COUNTIF($BK$2:BK17,1),"")</f>
        <v>16</v>
      </c>
      <c r="FH17" s="207">
        <f>IF(BL17=1,COUNTIF($BL$2:BL17,1),"")</f>
        <v>16</v>
      </c>
      <c r="FI17" s="207">
        <f>IF(BM17=1,COUNTIF($BM$2:BM17,1),"")</f>
        <v>16</v>
      </c>
      <c r="FJ17" s="207">
        <f>IF(BN17=1,COUNTIF($BN$2:BN17,1),"")</f>
        <v>16</v>
      </c>
      <c r="FK17" s="207">
        <f>IF(BO17=1,COUNTIF($BO$2:BO17,1),"")</f>
        <v>16</v>
      </c>
      <c r="FL17" s="207">
        <f>IF(BP17=1,COUNTIF($BP$2:BP17,1),"")</f>
        <v>16</v>
      </c>
      <c r="FM17" s="207">
        <f>IF(BQ17=1,COUNTIF($BQ$2:BQ17,1),"")</f>
        <v>16</v>
      </c>
      <c r="FN17" s="207">
        <f>IF(BR17=1,COUNTIF($BR$2:BR17,1),"")</f>
        <v>16</v>
      </c>
      <c r="FO17" s="207">
        <f>IF(BS17=1,COUNTIF($BS$2:BS17,1),"")</f>
        <v>16</v>
      </c>
      <c r="FP17" s="207">
        <f>IF(BT17=1,COUNTIF($BT$2:BT17,1),"")</f>
        <v>16</v>
      </c>
      <c r="FQ17" s="207">
        <f>IF(BU17=1,COUNTIF($BU$2:BU17,1),"")</f>
        <v>16</v>
      </c>
      <c r="FR17" s="207">
        <f>IF(BV17=1,COUNTIF($BV$2:BV17,1),"")</f>
        <v>16</v>
      </c>
      <c r="FS17" s="207">
        <f>IF(BW17=1,COUNTIF($BW$2:BW17,1),"")</f>
        <v>16</v>
      </c>
      <c r="FT17" s="207">
        <f>IF(BX17=1,COUNTIF($BX$2:BX17,1),"")</f>
        <v>16</v>
      </c>
      <c r="FU17" s="207">
        <f>IF(BY17=1,COUNTIF($BY$2:BY17,1),"")</f>
        <v>16</v>
      </c>
      <c r="FV17" s="207">
        <f>IF(BZ17=1,COUNTIF($BZ$2:BZ17,1),"")</f>
        <v>16</v>
      </c>
      <c r="FW17" s="207">
        <f>IF(CA17=1,COUNTIF($CA$2:CA17,1),"")</f>
        <v>16</v>
      </c>
      <c r="FX17" s="207">
        <f>IF(CB17=1,COUNTIF($CB$2:CB17,1),"")</f>
        <v>16</v>
      </c>
      <c r="FY17" s="207">
        <f>IF(CC17=1,COUNTIF($CC$2:CC17,1),"")</f>
        <v>16</v>
      </c>
      <c r="FZ17" s="207">
        <f>IF(CD17=1,COUNTIF($CD$2:CD17,1),"")</f>
        <v>16</v>
      </c>
      <c r="GA17" s="207">
        <f>IF(CE17=1,COUNTIF($CE$2:CE17,1),"")</f>
        <v>16</v>
      </c>
      <c r="GB17" s="207">
        <f>IF(CF17=1,COUNTIF($CF$2:CF17,1),"")</f>
        <v>16</v>
      </c>
      <c r="GC17" s="207">
        <f>IF(CG17=1,COUNTIF($CG$2:CG17,1),"")</f>
        <v>16</v>
      </c>
      <c r="GD17" s="207">
        <f>IF(CH17=1,COUNTIF($CH$2:CH17,1),"")</f>
        <v>16</v>
      </c>
      <c r="GE17" s="207">
        <f>IF(CI17=1,COUNTIF($CI$2:CI17,1),"")</f>
        <v>16</v>
      </c>
      <c r="GF17" s="207">
        <f>IF(CJ17=1,COUNTIF($CJ$2:CJ17,1),"")</f>
        <v>16</v>
      </c>
      <c r="GG17" s="207">
        <f>IF(CK17=1,COUNTIF($CK$2:CK17,1),"")</f>
        <v>16</v>
      </c>
      <c r="GH17" s="207">
        <f>IF(CL17=1,COUNTIF($CL$2:CL17,1),"")</f>
        <v>16</v>
      </c>
      <c r="GI17" s="207">
        <f>IF(CM17=1,COUNTIF($CM$2:CM17,1),"")</f>
        <v>16</v>
      </c>
      <c r="GJ17" s="207">
        <f>IF(CN17=1,COUNTIF($CN$2:CN17,1),"")</f>
        <v>16</v>
      </c>
      <c r="GK17" s="207">
        <f>IF(CO17=1,COUNTIF($CO$2:CO17,1),"")</f>
        <v>16</v>
      </c>
      <c r="GL17" s="207">
        <f>IF(CP17=1,COUNTIF($CP$2:CP17,1),"")</f>
        <v>16</v>
      </c>
      <c r="GM17" s="207">
        <f>IF(CQ17=1,COUNTIF($CQ$2:CQ17,1),"")</f>
        <v>16</v>
      </c>
      <c r="GN17" s="207">
        <f>IF(CR17=1,COUNTIF($CR$2:CR17,1),"")</f>
        <v>16</v>
      </c>
      <c r="GO17" s="207">
        <f>IF(CS17=1,COUNTIF($CS$2:CS17,1),"")</f>
        <v>16</v>
      </c>
      <c r="GP17" s="207">
        <f>IF(CT17=1,COUNTIF($CT$2:CT17,1),"")</f>
        <v>16</v>
      </c>
      <c r="GQ17" s="207">
        <f>IF(CU17=1,COUNTIF($CU$2:CU17,1),"")</f>
        <v>16</v>
      </c>
      <c r="GR17" s="207">
        <f>IF(CV17=1,COUNTIF($CV$2:CV17,1),"")</f>
        <v>16</v>
      </c>
      <c r="GS17" s="207">
        <f>IF(CW17=1,COUNTIF($CW$2:CW17,1),"")</f>
        <v>16</v>
      </c>
      <c r="GT17" s="207">
        <f>IF(CX17=1,COUNTIF($CX$2:CX17,1),"")</f>
        <v>16</v>
      </c>
      <c r="GU17" s="207">
        <f>IF(CY17=1,COUNTIF($CY$2:CY17,1),"")</f>
        <v>16</v>
      </c>
      <c r="GV17" s="207">
        <f>IF(CZ17=1,COUNTIF($CZ$2:CZ17,1),"")</f>
        <v>16</v>
      </c>
      <c r="GW17" s="207">
        <f>IF(DA17=1,COUNTIF($DA$2:DA17,1),"")</f>
        <v>16</v>
      </c>
      <c r="GX17" s="206" t="str">
        <f>IFERROR(INDEX($A$2:$A$113,MATCH(ROWS($DB$2:DB17),$DB$2:$DB$113,0)),"")</f>
        <v>OTRO DELITO CONTRA EL HONOR (CALUMNIA, INJURIA, ESCRACHE)</v>
      </c>
      <c r="GY17" s="206" t="str">
        <f>IFERROR(INDEX($A$2:$A$113,MATCH(ROWS($DC$2:DC17),$DC$2:$DC$113,0)),"")</f>
        <v>OTRO DELITO CONTRA EL HONOR (CALUMNIA, INJURIA, ESCRACHE)</v>
      </c>
      <c r="GZ17" s="206" t="str">
        <f>IFERROR(INDEX($A$2:$A$113,MATCH(ROWS($DD$2:DD17),$DD$2:$DD$113,0)),"")</f>
        <v>OTRO DELITO CONTRA EL HONOR (CALUMNIA, INJURIA, ESCRACHE)</v>
      </c>
      <c r="HA17" s="206" t="str">
        <f>IFERROR(INDEX($A$2:$A$113,MATCH(ROWS($DE$2:DE17),$DE$2:$DE$113,0)),"")</f>
        <v>OTRO DELITO CONTRA EL HONOR (CALUMNIA, INJURIA, ESCRACHE)</v>
      </c>
      <c r="HB17" s="206" t="str">
        <f>IFERROR(INDEX($A$2:$A$113,MATCH(ROWS($DF$2:DF17),$DF$2:$DF$113,0)),"")</f>
        <v>OTRO DELITO CONTRA EL HONOR (CALUMNIA, INJURIA, ESCRACHE)</v>
      </c>
      <c r="HC17" s="206" t="str">
        <f>IFERROR(INDEX($A$2:$A$113,MATCH(ROWS($DG$2:DG17),$DG$2:$DG$113,0)),"")</f>
        <v>OTRO DELITO CONTRA EL HONOR (CALUMNIA, INJURIA, ESCRACHE)</v>
      </c>
      <c r="HD17" s="206" t="str">
        <f>IFERROR(INDEX($A$2:$A$113,MATCH(ROWS($DH$2:DH17),$DH$2:$DH$113,0)),"")</f>
        <v>OTRO DELITO CONTRA EL HONOR (CALUMNIA, INJURIA, ESCRACHE)</v>
      </c>
      <c r="HE17" s="206" t="str">
        <f>IFERROR(INDEX($A$2:$A$113,MATCH(ROWS($DI$2:DI17),$DI$2:$DI$113,0)),"")</f>
        <v>OTRO DELITO CONTRA EL HONOR (CALUMNIA, INJURIA, ESCRACHE)</v>
      </c>
      <c r="HF17" s="206" t="str">
        <f>IFERROR(INDEX($A$2:$A$113,MATCH(ROWS($DJ$2:DJ17),$DJ$2:$DJ$113,0)),"")</f>
        <v>OTRO DELITO CONTRA EL HONOR (CALUMNIA, INJURIA, ESCRACHE)</v>
      </c>
      <c r="HG17" s="206" t="str">
        <f>IFERROR(INDEX($A$2:$A$113,MATCH(ROWS($DK$2:DK17),$DK$2:$DK$113,0)),"")</f>
        <v>OTRO DELITO CONTRA EL HONOR (CALUMNIA, INJURIA, ESCRACHE)</v>
      </c>
      <c r="HH17" s="206" t="str">
        <f>IFERROR(INDEX($A$2:$A$113,MATCH(ROWS($DL$2:DL17),$DL$2:$DL$113,0)),"")</f>
        <v>OTRO DELITO CONTRA EL HONOR (CALUMNIA, INJURIA, ESCRACHE)</v>
      </c>
      <c r="HI17" s="206" t="str">
        <f>IFERROR(INDEX($A$2:$A$113,MATCH(ROWS($DM$2:DM17),$DM$2:$DM$113,0)),"")</f>
        <v>OTRO DELITO CONTRA EL HONOR (CALUMNIA, INJURIA, ESCRACHE)</v>
      </c>
      <c r="HJ17" s="206" t="str">
        <f>IFERROR(INDEX($A$2:$A$113,MATCH(ROWS($DN$2:DN17),$DN$2:$DN$113,0)),"")</f>
        <v>OTRO DELITO CONTRA EL HONOR (CALUMNIA, INJURIA, ESCRACHE)</v>
      </c>
      <c r="HK17" s="206" t="str">
        <f>IFERROR(INDEX($A$2:$A$113,MATCH(ROWS($DO$2:DO17),$DO$2:$DO$113,0)),"")</f>
        <v>OTRO DELITO CONTRA EL HONOR (CALUMNIA, INJURIA, ESCRACHE)</v>
      </c>
      <c r="HL17" s="206" t="str">
        <f>IFERROR(INDEX($A$2:$A$113,MATCH(ROWS($DP$2:DP17),$DP$2:$DP$113,0)),"")</f>
        <v>OTRO DELITO CONTRA EL HONOR (CALUMNIA, INJURIA, ESCRACHE)</v>
      </c>
      <c r="HM17" s="206" t="str">
        <f>IFERROR(INDEX($A$2:$A$113,MATCH(ROWS($DQ$2:DQ17),$DQ$2:$DQ$113,0)),"")</f>
        <v>OTRO DELITO CONTRA EL HONOR (CALUMNIA, INJURIA, ESCRACHE)</v>
      </c>
      <c r="HN17" s="206" t="str">
        <f>IFERROR(INDEX($A$2:$A$113,MATCH(ROWS($DR$2:DR17),$DR$2:$DR$113,0)),"")</f>
        <v>OTRO DELITO CONTRA EL HONOR (CALUMNIA, INJURIA, ESCRACHE)</v>
      </c>
      <c r="HO17" s="206" t="str">
        <f>IFERROR(INDEX($A$2:$A$113,MATCH(ROWS($DS$2:DS17),$DS$2:$DS$113,0)),"")</f>
        <v>OTRO DELITO CONTRA EL HONOR (CALUMNIA, INJURIA, ESCRACHE)</v>
      </c>
      <c r="HP17" s="206" t="str">
        <f>IFERROR(INDEX($A$2:$A$113,MATCH(ROWS($DT$2:DT17),$DT$2:$DT$113,0)),"")</f>
        <v>OTRO DELITO CONTRA EL HONOR (CALUMNIA, INJURIA, ESCRACHE)</v>
      </c>
      <c r="HQ17" s="206" t="str">
        <f>IFERROR(INDEX($A$2:$A$113,MATCH(ROWS($DU$2:DU17),$DU$2:$DU$113,0)),"")</f>
        <v>OTRO DELITO CONTRA EL HONOR (CALUMNIA, INJURIA, ESCRACHE)</v>
      </c>
      <c r="HR17" s="206" t="str">
        <f>IFERROR(INDEX($A$2:$A$113,MATCH(ROWS($DV$2:DV17),$DV$2:$DV$113,0)),"")</f>
        <v>OTRO DELITO CONTRA EL HONOR (CALUMNIA, INJURIA, ESCRACHE)</v>
      </c>
      <c r="HS17" s="206" t="str">
        <f>IFERROR(INDEX($A$2:$A$113,MATCH(ROWS($DW$2:DW17),$DW$2:$DW$113,0)),"")</f>
        <v>OTRO DELITO CONTRA EL HONOR (CALUMNIA, INJURIA, ESCRACHE)</v>
      </c>
      <c r="HT17" s="206" t="str">
        <f>IFERROR(INDEX($A$2:$A$113,MATCH(ROWS($DX$2:DX17),$DX$2:$DX$113,0)),"")</f>
        <v>OTRO DELITO CONTRA EL HONOR (CALUMNIA, INJURIA, ESCRACHE)</v>
      </c>
      <c r="HU17" s="206" t="str">
        <f>IFERROR(INDEX($A$2:$A$113,MATCH(ROWS($DY$2:DY17),$DY$2:$DY$113,0)),"")</f>
        <v>OTRO DELITO CONTRA EL HONOR (CALUMNIA, INJURIA, ESCRACHE)</v>
      </c>
      <c r="HV17" s="206" t="str">
        <f>IFERROR(INDEX($A$2:$A$113,MATCH(ROWS($DZ$2:DZ17),$DZ$2:$DZ$113,0)),"")</f>
        <v>OTRO DELITO CONTRA EL HONOR (CALUMNIA, INJURIA, ESCRACHE)</v>
      </c>
      <c r="HW17" s="206" t="str">
        <f>IFERROR(INDEX($A$2:$A$113,MATCH(ROWS($EA$2:EA17),$EA$2:$EA$113,0)),"")</f>
        <v>OTRO DELITO CONTRA EL HONOR (CALUMNIA, INJURIA, ESCRACHE)</v>
      </c>
      <c r="HX17" s="206" t="str">
        <f>IFERROR(INDEX($A$2:$A$113,MATCH(ROWS($EB$2:EB17),$EB$2:$EB$113,0)),"")</f>
        <v>OTRO DELITO CONTRA EL HONOR (CALUMNIA, INJURIA, ESCRACHE)</v>
      </c>
      <c r="HY17" s="206" t="str">
        <f>IFERROR(INDEX($A$2:$A$113,MATCH(ROWS($EC$2:EC17),$EC$2:$EC$113,0)),"")</f>
        <v>OTRO DELITO CONTRA EL HONOR (CALUMNIA, INJURIA, ESCRACHE)</v>
      </c>
      <c r="HZ17" s="206" t="str">
        <f>IFERROR(INDEX($A$2:$A$113,MATCH(ROWS($ED$2:ED17),$ED$2:$ED$113,0)),"")</f>
        <v>OTRO DELITO CONTRA EL HONOR (CALUMNIA, INJURIA, ESCRACHE)</v>
      </c>
      <c r="IA17" s="206" t="str">
        <f>IFERROR(INDEX($A$2:$A$113,MATCH(ROWS($EE$2:EE17),$EE$2:$EE$113,0)),"")</f>
        <v>OTRO DELITO CONTRA EL HONOR (CALUMNIA, INJURIA, ESCRACHE)</v>
      </c>
      <c r="IB17" s="206" t="str">
        <f>IFERROR(INDEX($A$2:$A$113,MATCH(ROWS($EF$2:EF17),$EF$2:$EF$113,0)),"")</f>
        <v>OTRO DELITO CONTRA EL HONOR (CALUMNIA, INJURIA, ESCRACHE)</v>
      </c>
      <c r="IC17" s="206" t="str">
        <f>IFERROR(INDEX($A$2:$A$113,MATCH(ROWS($EG$2:EG17),$EG$2:$EG$113,0)),"")</f>
        <v>OTRO DELITO CONTRA EL HONOR (CALUMNIA, INJURIA, ESCRACHE)</v>
      </c>
      <c r="ID17" s="206" t="str">
        <f>IFERROR(INDEX($A$2:$A$113,MATCH(ROWS($EH$2:EH17),$EH$2:$EH$113,0)),"")</f>
        <v>OTRO DELITO CONTRA EL HONOR (CALUMNIA, INJURIA, ESCRACHE)</v>
      </c>
      <c r="IE17" s="206" t="str">
        <f>IFERROR(INDEX($A$2:$A$113,MATCH(ROWS($EI$2:EI17),$EI$2:$EI$113,0)),"")</f>
        <v>OTRO DELITO CONTRA EL HONOR (CALUMNIA, INJURIA, ESCRACHE)</v>
      </c>
      <c r="IF17" s="206" t="str">
        <f>IFERROR(INDEX($A$2:$A$113,MATCH(ROWS($EJ$2:EJ17),$EJ$2:$EJ$113,0)),"")</f>
        <v>OTRO DELITO CONTRA EL HONOR (CALUMNIA, INJURIA, ESCRACHE)</v>
      </c>
      <c r="IG17" s="206" t="str">
        <f>IFERROR(INDEX($A$2:$A$113,MATCH(ROWS($EK$2:EK17),$EK$2:$EK$113,0)),"")</f>
        <v>OTRO DELITO CONTRA EL HONOR (CALUMNIA, INJURIA, ESCRACHE)</v>
      </c>
      <c r="IH17" s="206" t="str">
        <f>IFERROR(INDEX($A$2:$A$113,MATCH(ROWS($EL$2:EL17),$EL$2:$EL$113,0)),"")</f>
        <v>OTRO DELITO CONTRA EL HONOR (CALUMNIA, INJURIA, ESCRACHE)</v>
      </c>
      <c r="II17" s="206" t="str">
        <f>IFERROR(INDEX($A$2:$A$113,MATCH(ROWS($EM$2:EM17),$EM$2:$EM$113,0)),"")</f>
        <v>OTRO DELITO CONTRA EL HONOR (CALUMNIA, INJURIA, ESCRACHE)</v>
      </c>
      <c r="IJ17" s="206" t="str">
        <f>IFERROR(INDEX($A$2:$A$113,MATCH(ROWS($EN$2:EN17),$EN$2:$EN$113,0)),"")</f>
        <v>OTRO DELITO CONTRA EL HONOR (CALUMNIA, INJURIA, ESCRACHE)</v>
      </c>
      <c r="IK17" s="207" t="str">
        <f>IFERROR(INDEX($A$2:$A$113,MATCH(ROWS($EO$2:EO17),$EO$2:$EO$113,0)),"")</f>
        <v>OTRO DELITO CONTRA EL HONOR (CALUMNIA, INJURIA, ESCRACHE)</v>
      </c>
      <c r="IL17" s="207" t="str">
        <f>IFERROR(INDEX($A$2:$A$113,MATCH(ROWS($EP$2:EP17),$EP$2:$EP$113,0)),"")</f>
        <v>OTRO DELITO CONTRA EL HONOR (CALUMNIA, INJURIA, ESCRACHE)</v>
      </c>
      <c r="IM17" s="207" t="str">
        <f>IFERROR(INDEX($A$2:$A$113,MATCH(ROWS($EQ$2:EQ17),$EQ$2:$EQ$113,0)),"")</f>
        <v>OTRO DELITO CONTRA EL HONOR (CALUMNIA, INJURIA, ESCRACHE)</v>
      </c>
      <c r="IN17" s="207" t="str">
        <f>IFERROR(INDEX($A$2:$A$113,MATCH(ROWS($ER$2:ER17),$ER$2:$ER$113,0)),"")</f>
        <v>OTRO DELITO CONTRA EL HONOR (CALUMNIA, INJURIA, ESCRACHE)</v>
      </c>
      <c r="IO17" s="207" t="str">
        <f>IFERROR(INDEX($A$2:$A$113,MATCH(ROWS($ES$2:ES17),$ES$2:$ES$113,0)),"")</f>
        <v>OTRO DELITO CONTRA EL HONOR (CALUMNIA, INJURIA, ESCRACHE)</v>
      </c>
      <c r="IP17" s="207" t="str">
        <f>IFERROR(INDEX($A$2:$A$113,MATCH(ROWS($ET$2:ET17),$ET$2:$ET$113,0)),"")</f>
        <v>OTRO DELITO CONTRA EL HONOR (CALUMNIA, INJURIA, ESCRACHE)</v>
      </c>
      <c r="IQ17" s="207" t="str">
        <f>IFERROR(INDEX($A$2:$A$113,MATCH(ROWS($EU$2:EU17),$EU$2:$EU$113,0)),"")</f>
        <v>OTRO DELITO CONTRA EL HONOR (CALUMNIA, INJURIA, ESCRACHE)</v>
      </c>
      <c r="IR17" s="207" t="str">
        <f>IFERROR(INDEX($A$2:$A$113,MATCH(ROWS($EV$2:EV17),$EV$2:$EV$113,0)),"")</f>
        <v>OTRO DELITO CONTRA EL HONOR (CALUMNIA, INJURIA, ESCRACHE)</v>
      </c>
      <c r="IS17" s="207" t="str">
        <f>IFERROR(INDEX($A$2:$A$113,MATCH(ROWS($EW$2:EW17),$EW$2:$EW$113,0)),"")</f>
        <v>OTRO DELITO CONTRA EL HONOR (CALUMNIA, INJURIA, ESCRACHE)</v>
      </c>
      <c r="IT17" s="207" t="str">
        <f>IFERROR(INDEX($A$2:$A$113,MATCH(ROWS($EX$2:EX17),$EX$2:$EX$113,0)),"")</f>
        <v>OTRO DELITO CONTRA EL HONOR (CALUMNIA, INJURIA, ESCRACHE)</v>
      </c>
      <c r="IU17" s="207" t="str">
        <f>IFERROR(INDEX($A$2:$A$113,MATCH(ROWS($EY$2:EY17),$EY$2:$EY$113,0)),"")</f>
        <v>OTRO DELITO CONTRA EL HONOR (CALUMNIA, INJURIA, ESCRACHE)</v>
      </c>
      <c r="IV17" s="207" t="str">
        <f>IFERROR(INDEX($A$2:$A$113,MATCH(ROWS($EZ$2:EZ17),$EZ$2:$EZ$113,0)),"")</f>
        <v>OTRO DELITO CONTRA EL HONOR (CALUMNIA, INJURIA, ESCRACHE)</v>
      </c>
      <c r="IW17" s="207" t="str">
        <f>IFERROR(INDEX($A$2:$A$113,MATCH(ROWS($FA$2:FA17),$FA$2:$FA$113,0)),"")</f>
        <v>OTRO DELITO CONTRA EL HONOR (CALUMNIA, INJURIA, ESCRACHE)</v>
      </c>
      <c r="IX17" s="207" t="str">
        <f>IFERROR(INDEX($A$2:$A$113,MATCH(ROWS($FB$2:FB17),$FB$2:$FB$113,0)),"")</f>
        <v>OTRO DELITO CONTRA EL HONOR (CALUMNIA, INJURIA, ESCRACHE)</v>
      </c>
      <c r="IY17" s="207" t="str">
        <f>IFERROR(INDEX($A$2:$A$113,MATCH(ROWS($FC$2:FC17),$FC$2:$FC$113,0)),"")</f>
        <v>OTRO DELITO CONTRA EL HONOR (CALUMNIA, INJURIA, ESCRACHE)</v>
      </c>
      <c r="IZ17" s="207" t="str">
        <f>IFERROR(INDEX($A$2:$A$113,MATCH(ROWS($FD$2:FD17),$FD$2:$FD$113,0)),"")</f>
        <v>OTRO DELITO CONTRA EL HONOR (CALUMNIA, INJURIA, ESCRACHE)</v>
      </c>
      <c r="JA17" s="207" t="str">
        <f>IFERROR(INDEX($A$2:$A$113,MATCH(ROWS($FE$2:FE17),$FE$2:$FE$113,0)),"")</f>
        <v>OTRO DELITO CONTRA EL HONOR (CALUMNIA, INJURIA, ESCRACHE)</v>
      </c>
      <c r="JB17" s="207" t="str">
        <f>IFERROR(INDEX($A$2:$A$113,MATCH(ROWS($FF$2:FF17),$FF$2:$FF$113,0)),"")</f>
        <v>OTRO DELITO CONTRA EL HONOR (CALUMNIA, INJURIA, ESCRACHE)</v>
      </c>
      <c r="JC17" s="207" t="str">
        <f>IFERROR(INDEX($A$2:$A$113,MATCH(ROWS($FG$2:FG17),$FG$2:$FG$113,0)),"")</f>
        <v>OTRO DELITO CONTRA EL HONOR (CALUMNIA, INJURIA, ESCRACHE)</v>
      </c>
      <c r="JD17" s="207" t="str">
        <f>IFERROR(INDEX($A$2:$A$113,MATCH(ROWS($FH$2:FH17),$FH$2:$FH$113,0)),"")</f>
        <v>OTRO DELITO CONTRA EL HONOR (CALUMNIA, INJURIA, ESCRACHE)</v>
      </c>
      <c r="JE17" s="207" t="str">
        <f>IFERROR(INDEX($A$2:$A$113,MATCH(ROWS($FI$2:FI17),$FI$2:$FI$113,0)),"")</f>
        <v>OTRO DELITO CONTRA EL HONOR (CALUMNIA, INJURIA, ESCRACHE)</v>
      </c>
      <c r="JF17" s="207" t="str">
        <f>IFERROR(INDEX($A$2:$A$113,MATCH(ROWS($FJ$2:FJ17),$FJ$2:$FJ$113,0)),"")</f>
        <v>OTRO DELITO CONTRA EL HONOR (CALUMNIA, INJURIA, ESCRACHE)</v>
      </c>
      <c r="JG17" s="207" t="str">
        <f>IFERROR(INDEX($A$2:$A$113,MATCH(ROWS($FK$2:FK17),$FK$2:$FK$113,0)),"")</f>
        <v>OTRO DELITO CONTRA EL HONOR (CALUMNIA, INJURIA, ESCRACHE)</v>
      </c>
      <c r="JH17" s="207" t="str">
        <f>IFERROR(INDEX($A$2:$A$113,MATCH(ROWS($FL$2:FL17),$FL$2:$FL$113,0)),"")</f>
        <v>OTRO DELITO CONTRA EL HONOR (CALUMNIA, INJURIA, ESCRACHE)</v>
      </c>
      <c r="JI17" s="207" t="str">
        <f>IFERROR(INDEX($A$2:$A$113,MATCH(ROWS($FM$2:FM17),$FM$2:$FM$113,0)),"")</f>
        <v>OTRO DELITO CONTRA EL HONOR (CALUMNIA, INJURIA, ESCRACHE)</v>
      </c>
      <c r="JJ17" s="207" t="str">
        <f>IFERROR(INDEX($A$2:$A$113,MATCH(ROWS($FN$2:FN17),$FN$2:$FN$113,0)),"")</f>
        <v>OTRO DELITO CONTRA EL HONOR (CALUMNIA, INJURIA, ESCRACHE)</v>
      </c>
      <c r="JK17" s="207" t="str">
        <f>IFERROR(INDEX($A$2:$A$113,MATCH(ROWS($FO$2:FO17),$FO$2:$FO$113,0)),"")</f>
        <v>OTRO DELITO CONTRA EL HONOR (CALUMNIA, INJURIA, ESCRACHE)</v>
      </c>
      <c r="JL17" s="207" t="str">
        <f>IFERROR(INDEX($A$2:$A$113,MATCH(ROWS($FP$2:FP17),$FP$2:$FP$113,0)),"")</f>
        <v>OTRO DELITO CONTRA EL HONOR (CALUMNIA, INJURIA, ESCRACHE)</v>
      </c>
      <c r="JM17" s="207" t="str">
        <f>IFERROR(INDEX($A$2:$A$113,MATCH(ROWS($FQ$2:FQ17),$FQ$2:$FQ$113,0)),"")</f>
        <v>OTRO DELITO CONTRA EL HONOR (CALUMNIA, INJURIA, ESCRACHE)</v>
      </c>
      <c r="JN17" s="207" t="str">
        <f>IFERROR(INDEX($A$2:$A$113,MATCH(ROWS($FR$2:FR17),$FR$2:$FR$113,0)),"")</f>
        <v>OTRO DELITO CONTRA EL HONOR (CALUMNIA, INJURIA, ESCRACHE)</v>
      </c>
      <c r="JO17" s="207" t="str">
        <f>IFERROR(INDEX($A$2:$A$113,MATCH(ROWS($FS$2:FS17),$FS$2:$FS$113,0)),"")</f>
        <v>OTRO DELITO CONTRA EL HONOR (CALUMNIA, INJURIA, ESCRACHE)</v>
      </c>
      <c r="JP17" s="207" t="str">
        <f>IFERROR(INDEX($A$2:$A$113,MATCH(ROWS($FT$2:FT17),$FT$2:$FT$113,0)),"")</f>
        <v>OTRO DELITO CONTRA EL HONOR (CALUMNIA, INJURIA, ESCRACHE)</v>
      </c>
      <c r="JQ17" s="207" t="str">
        <f>IFERROR(INDEX($A$2:$A$113,MATCH(ROWS($FU$2:FU17),$FU$2:$FU$113,0)),"")</f>
        <v>OTRO DELITO CONTRA EL HONOR (CALUMNIA, INJURIA, ESCRACHE)</v>
      </c>
      <c r="JR17" s="207" t="str">
        <f>IFERROR(INDEX($A$2:$A$113,MATCH(ROWS($FV$2:FV17),$FV$2:$FV$113,0)),"")</f>
        <v>OTRO DELITO CONTRA EL HONOR (CALUMNIA, INJURIA, ESCRACHE)</v>
      </c>
      <c r="JS17" s="207" t="str">
        <f>IFERROR(INDEX($A$2:$A$113,MATCH(ROWS($FW$2:FW17),$FW$2:$FW$113,0)),"")</f>
        <v>OTRO DELITO CONTRA EL HONOR (CALUMNIA, INJURIA, ESCRACHE)</v>
      </c>
      <c r="JT17" s="207" t="str">
        <f>IFERROR(INDEX($A$2:$A$113,MATCH(ROWS($FX$2:FX17),$FX$2:$FX$113,0)),"")</f>
        <v>OTRO DELITO CONTRA EL HONOR (CALUMNIA, INJURIA, ESCRACHE)</v>
      </c>
      <c r="JU17" s="207" t="str">
        <f>IFERROR(INDEX($A$2:$A$113,MATCH(ROWS($FY$2:FY17),$FY$2:$FY$113,0)),"")</f>
        <v>OTRO DELITO CONTRA EL HONOR (CALUMNIA, INJURIA, ESCRACHE)</v>
      </c>
      <c r="JV17" s="207" t="str">
        <f>IFERROR(INDEX($A$2:$A$113,MATCH(ROWS($FZ$2:FZ17),$FZ$2:$FZ$113,0)),"")</f>
        <v>OTRO DELITO CONTRA EL HONOR (CALUMNIA, INJURIA, ESCRACHE)</v>
      </c>
      <c r="JW17" s="207" t="str">
        <f>IFERROR(INDEX($A$2:$A$113,MATCH(ROWS($GA$2:GA17),$GA$2:$GA$113,0)),"")</f>
        <v>OTRO DELITO CONTRA EL HONOR (CALUMNIA, INJURIA, ESCRACHE)</v>
      </c>
      <c r="JX17" s="207" t="str">
        <f>IFERROR(INDEX($A$2:$A$113,MATCH(ROWS($GB$2:GB17),$GB$2:$GB$113,0)),"")</f>
        <v>OTRO DELITO CONTRA EL HONOR (CALUMNIA, INJURIA, ESCRACHE)</v>
      </c>
      <c r="JY17" s="207" t="str">
        <f>IFERROR(INDEX($A$2:$A$113,MATCH(ROWS($GC$2:GC17),$GC$2:$GC$113,0)),"")</f>
        <v>OTRO DELITO CONTRA EL HONOR (CALUMNIA, INJURIA, ESCRACHE)</v>
      </c>
      <c r="JZ17" s="207" t="str">
        <f>IFERROR(INDEX($A$2:$A$113,MATCH(ROWS($GD$2:GD17),$GD$2:$GD$113,0)),"")</f>
        <v>OTRO DELITO CONTRA EL HONOR (CALUMNIA, INJURIA, ESCRACHE)</v>
      </c>
      <c r="KA17" s="207" t="str">
        <f>IFERROR(INDEX($A$2:$A$113,MATCH(ROWS($GE$2:GE17),$GE$2:$GE$113,0)),"")</f>
        <v>OTRO DELITO CONTRA EL HONOR (CALUMNIA, INJURIA, ESCRACHE)</v>
      </c>
      <c r="KB17" s="207" t="str">
        <f>IFERROR(INDEX($A$2:$A$113,MATCH(ROWS($GF$2:GF17),$GF$2:$GF$113,0)),"")</f>
        <v>OTRO DELITO CONTRA EL HONOR (CALUMNIA, INJURIA, ESCRACHE)</v>
      </c>
      <c r="KC17" s="207" t="str">
        <f>IFERROR(INDEX($A$2:$A$113,MATCH(ROWS($GG$2:GG17),$GG$2:$GG$113,0)),"")</f>
        <v>OTRO DELITO CONTRA EL HONOR (CALUMNIA, INJURIA, ESCRACHE)</v>
      </c>
      <c r="KD17" s="207" t="str">
        <f>IFERROR(INDEX($A$2:$A$113,MATCH(ROWS($GH$2:GH17),$GH$2:$GH$113,0)),"")</f>
        <v>OTRO DELITO CONTRA EL HONOR (CALUMNIA, INJURIA, ESCRACHE)</v>
      </c>
      <c r="KE17" s="207" t="str">
        <f>IFERROR(INDEX($A$2:$A$113,MATCH(ROWS($GI$2:GI17),$GI$2:$GI$113,0)),"")</f>
        <v>OTRO DELITO CONTRA EL HONOR (CALUMNIA, INJURIA, ESCRACHE)</v>
      </c>
      <c r="KF17" s="207" t="str">
        <f>IFERROR(INDEX($A$2:$A$113,MATCH(ROWS($GJ$2:GJ17),$GJ$2:$GJ$113,0)),"")</f>
        <v>OTRO DELITO CONTRA EL HONOR (CALUMNIA, INJURIA, ESCRACHE)</v>
      </c>
      <c r="KG17" s="207" t="str">
        <f>IFERROR(INDEX($A$2:$A$113,MATCH(ROWS($GK$2:GK17),$GK$2:$GK$113,0)),"")</f>
        <v>OTRO DELITO CONTRA EL HONOR (CALUMNIA, INJURIA, ESCRACHE)</v>
      </c>
      <c r="KH17" s="207" t="str">
        <f>IFERROR(INDEX($A$2:$A$113,MATCH(ROWS($GL$2:GL17),$GL$2:$GL$113,0)),"")</f>
        <v>OTRO DELITO CONTRA EL HONOR (CALUMNIA, INJURIA, ESCRACHE)</v>
      </c>
      <c r="KI17" s="207" t="str">
        <f>IFERROR(INDEX($A$2:$A$113,MATCH(ROWS($GM$2:GM17),$GM$2:$GM$113,0)),"")</f>
        <v>OTRO DELITO CONTRA EL HONOR (CALUMNIA, INJURIA, ESCRACHE)</v>
      </c>
      <c r="KJ17" s="207" t="str">
        <f>IFERROR(INDEX($A$2:$A$113,MATCH(ROWS($GN$2:GN17),$GN$2:$GN$113,0)),"")</f>
        <v>OTRO DELITO CONTRA EL HONOR (CALUMNIA, INJURIA, ESCRACHE)</v>
      </c>
      <c r="KK17" s="207" t="str">
        <f>IFERROR(INDEX($A$2:$A$113,MATCH(ROWS($GO$2:GO17),$GO$2:$GO$113,0)),"")</f>
        <v>OTRO DELITO CONTRA EL HONOR (CALUMNIA, INJURIA, ESCRACHE)</v>
      </c>
      <c r="KL17" s="207" t="str">
        <f>IFERROR(INDEX($A$2:$A$113,MATCH(ROWS($GP$2:GP17),$GP$2:$GP$113,0)),"")</f>
        <v>OTRO DELITO CONTRA EL HONOR (CALUMNIA, INJURIA, ESCRACHE)</v>
      </c>
      <c r="KM17" s="207" t="str">
        <f>IFERROR(INDEX($A$2:$A$113,MATCH(ROWS($GQ$2:GQ17),$GQ$2:$GQ$113,0)),"")</f>
        <v>OTRO DELITO CONTRA EL HONOR (CALUMNIA, INJURIA, ESCRACHE)</v>
      </c>
      <c r="KN17" s="207" t="str">
        <f>IFERROR(INDEX($A$2:$A$113,MATCH(ROWS($GR$2:GR17),$GR$2:$GR$113,0)),"")</f>
        <v>OTRO DELITO CONTRA EL HONOR (CALUMNIA, INJURIA, ESCRACHE)</v>
      </c>
      <c r="KO17" s="207" t="str">
        <f>IFERROR(INDEX($A$2:$A$113,MATCH(ROWS($GS$2:GS17),$GS$2:$GS$113,0)),"")</f>
        <v>OTRO DELITO CONTRA EL HONOR (CALUMNIA, INJURIA, ESCRACHE)</v>
      </c>
      <c r="KP17" s="207" t="str">
        <f>IFERROR(INDEX($A$2:$A$113,MATCH(ROWS($GT$2:GT17),$GT$2:$GT$113,0)),"")</f>
        <v>OTRO DELITO CONTRA EL HONOR (CALUMNIA, INJURIA, ESCRACHE)</v>
      </c>
      <c r="KQ17" s="207" t="str">
        <f>IFERROR(INDEX($A$2:$A$113,MATCH(ROWS($GU$2:GU17),$GU$2:$GU$113,0)),"")</f>
        <v>OTRO DELITO CONTRA EL HONOR (CALUMNIA, INJURIA, ESCRACHE)</v>
      </c>
      <c r="KR17" s="207" t="str">
        <f>IFERROR(INDEX($A$2:$A$113,MATCH(ROWS($GV$2:GV17),$GV$2:$GV$113,0)),"")</f>
        <v>OTRO DELITO CONTRA EL HONOR (CALUMNIA, INJURIA, ESCRACHE)</v>
      </c>
      <c r="KS17" s="207" t="str">
        <f>IFERROR(INDEX($A$2:$A$113,MATCH(ROWS($GW$2:GW17),$GW$2:$GW$113,0)),"")</f>
        <v>OTRO DELITO CONTRA EL HONOR (CALUMNIA, INJURIA, ESCRACHE)</v>
      </c>
    </row>
    <row r="18" spans="1:305" x14ac:dyDescent="0.25">
      <c r="A18" s="206" t="s">
        <v>893</v>
      </c>
      <c r="B18" s="206">
        <v>10</v>
      </c>
      <c r="D18" s="206" t="s">
        <v>789</v>
      </c>
      <c r="E18" s="206" t="s">
        <v>71</v>
      </c>
      <c r="F18" s="207">
        <f>--ISNUMBER(IFERROR(SEARCH('PLANILLA DJ'!$X$3,$A18,1),""))</f>
        <v>1</v>
      </c>
      <c r="G18" s="207">
        <f>--ISNUMBER(IFERROR(SEARCH('PLANILLA DJ'!$X$4,$A18,1),""))</f>
        <v>1</v>
      </c>
      <c r="H18" s="207">
        <f>--ISNUMBER(IFERROR(SEARCH('PLANILLA DJ'!$X$5,$A18,1),""))</f>
        <v>1</v>
      </c>
      <c r="I18" s="207">
        <f>--ISNUMBER(IFERROR(SEARCH('PLANILLA DJ'!$X$6,$A18,1),""))</f>
        <v>1</v>
      </c>
      <c r="J18" s="207">
        <f>--ISNUMBER(IFERROR(SEARCH('PLANILLA DJ'!$X$7,$A18,1),""))</f>
        <v>1</v>
      </c>
      <c r="K18" s="207">
        <f>--ISNUMBER(IFERROR(SEARCH('PLANILLA DJ'!$X$8,$A18,1),""))</f>
        <v>1</v>
      </c>
      <c r="L18" s="207">
        <f>--ISNUMBER(IFERROR(SEARCH('PLANILLA DJ'!$X$9,$A18,1),""))</f>
        <v>1</v>
      </c>
      <c r="M18" s="207">
        <f>--ISNUMBER(IFERROR(SEARCH('PLANILLA DJ'!$X$10,$A18,1),""))</f>
        <v>1</v>
      </c>
      <c r="N18" s="207">
        <f>--ISNUMBER(IFERROR(SEARCH('PLANILLA DJ'!$X$11,$A18,1),""))</f>
        <v>1</v>
      </c>
      <c r="O18" s="207">
        <f>--ISNUMBER(IFERROR(SEARCH('PLANILLA DJ'!$X$12,$A18,1),""))</f>
        <v>1</v>
      </c>
      <c r="P18" s="207">
        <f>--ISNUMBER(IFERROR(SEARCH('PLANILLA DJ'!$X$13,$A18,1),""))</f>
        <v>1</v>
      </c>
      <c r="Q18" s="207">
        <f>--ISNUMBER(IFERROR(SEARCH('PLANILLA DJ'!$X$14,$A18,1),""))</f>
        <v>1</v>
      </c>
      <c r="R18" s="207">
        <f>--ISNUMBER(IFERROR(SEARCH('PLANILLA DJ'!$X$15,$A18,1),""))</f>
        <v>1</v>
      </c>
      <c r="S18" s="207">
        <f>--ISNUMBER(IFERROR(SEARCH('PLANILLA DJ'!$X$16,$A18,1),""))</f>
        <v>1</v>
      </c>
      <c r="T18" s="207">
        <f>--ISNUMBER(IFERROR(SEARCH('PLANILLA DJ'!$X$17,$A18,1),""))</f>
        <v>1</v>
      </c>
      <c r="U18" s="207">
        <f>--ISNUMBER(IFERROR(SEARCH('PLANILLA DJ'!$X$18,$A18,1),""))</f>
        <v>1</v>
      </c>
      <c r="V18" s="207">
        <f>--ISNUMBER(IFERROR(SEARCH('PLANILLA DJ'!$X$19,$A18,1),""))</f>
        <v>1</v>
      </c>
      <c r="W18" s="207">
        <f>--ISNUMBER(IFERROR(SEARCH('PLANILLA DJ'!$X$20,$A18,1),""))</f>
        <v>1</v>
      </c>
      <c r="X18" s="207">
        <f>--ISNUMBER(IFERROR(SEARCH('PLANILLA DJ'!$X$21,$A18,1),""))</f>
        <v>1</v>
      </c>
      <c r="Y18" s="207">
        <f>--ISNUMBER(IFERROR(SEARCH('PLANILLA DJ'!$X$22,$A18,1),""))</f>
        <v>1</v>
      </c>
      <c r="Z18" s="207">
        <f>--ISNUMBER(IFERROR(SEARCH('PLANILLA DJ'!$X$23,$A18,1),""))</f>
        <v>1</v>
      </c>
      <c r="AA18" s="207">
        <f>--ISNUMBER(IFERROR(SEARCH('PLANILLA DJ'!$X$24,$A18,1),""))</f>
        <v>1</v>
      </c>
      <c r="AB18" s="207">
        <f>--ISNUMBER(IFERROR(SEARCH('PLANILLA DJ'!$X$25,$A18,1),""))</f>
        <v>1</v>
      </c>
      <c r="AC18" s="207">
        <f>--ISNUMBER(IFERROR(SEARCH('PLANILLA DJ'!$X$26,$A18,1),""))</f>
        <v>1</v>
      </c>
      <c r="AD18" s="207">
        <f>--ISNUMBER(IFERROR(SEARCH('PLANILLA DJ'!$X$27,$A18,1),""))</f>
        <v>1</v>
      </c>
      <c r="AE18" s="207">
        <f>--ISNUMBER(IFERROR(SEARCH('PLANILLA DJ'!$X$28,$A18,1),""))</f>
        <v>1</v>
      </c>
      <c r="AF18" s="207">
        <f>--ISNUMBER(IFERROR(SEARCH('PLANILLA DJ'!$X$29,$A18,1),""))</f>
        <v>1</v>
      </c>
      <c r="AG18" s="207">
        <f>--ISNUMBER(IFERROR(SEARCH('PLANILLA DJ'!$X$30,$A18,1),""))</f>
        <v>1</v>
      </c>
      <c r="AH18" s="207">
        <f>--ISNUMBER(IFERROR(SEARCH('PLANILLA DJ'!$X$31,$A18,1),""))</f>
        <v>1</v>
      </c>
      <c r="AI18" s="207">
        <f>--ISNUMBER(IFERROR(SEARCH('PLANILLA DJ'!$X$32,$A18,1),""))</f>
        <v>1</v>
      </c>
      <c r="AJ18" s="207">
        <f>--ISNUMBER(IFERROR(SEARCH('PLANILLA DJ'!$X$33,$A18,1),""))</f>
        <v>1</v>
      </c>
      <c r="AK18" s="207">
        <f>--ISNUMBER(IFERROR(SEARCH('PLANILLA DJ'!$X$34,$A18,1),""))</f>
        <v>1</v>
      </c>
      <c r="AL18" s="207">
        <f>--ISNUMBER(IFERROR(SEARCH('PLANILLA DJ'!$X$35,$A18,1),""))</f>
        <v>1</v>
      </c>
      <c r="AM18" s="207">
        <f>--ISNUMBER(IFERROR(SEARCH('PLANILLA DJ'!$X$36,$A18,1),""))</f>
        <v>1</v>
      </c>
      <c r="AN18" s="207">
        <f>--ISNUMBER(IFERROR(SEARCH('PLANILLA DJ'!$X$37,$A18,1),""))</f>
        <v>1</v>
      </c>
      <c r="AO18" s="207">
        <f>--ISNUMBER(IFERROR(SEARCH('PLANILLA DJ'!$X$38,$A18,1),""))</f>
        <v>1</v>
      </c>
      <c r="AP18" s="207">
        <f>--ISNUMBER(IFERROR(SEARCH('PLANILLA DJ'!$X$39,$A18,1),""))</f>
        <v>1</v>
      </c>
      <c r="AQ18" s="207">
        <f>--ISNUMBER(IFERROR(SEARCH('PLANILLA DJ'!$X$40,$A18,1),""))</f>
        <v>1</v>
      </c>
      <c r="AR18" s="207">
        <f>--ISNUMBER(IFERROR(SEARCH('PLANILLA DJ'!$X$41,$A18,1),""))</f>
        <v>1</v>
      </c>
      <c r="AS18" s="207">
        <f>--ISNUMBER(IFERROR(SEARCH('PLANILLA DJ'!$X$42,$A18,1),""))</f>
        <v>1</v>
      </c>
      <c r="AT18" s="207">
        <f>--ISNUMBER(IFERROR(SEARCH('PLANILLA DJ'!$X$43,$A18,1),""))</f>
        <v>1</v>
      </c>
      <c r="AU18" s="207">
        <f>--ISNUMBER(IFERROR(SEARCH('PLANILLA DJ'!$X$44,$A18,1),""))</f>
        <v>1</v>
      </c>
      <c r="AV18" s="207">
        <f>--ISNUMBER(IFERROR(SEARCH('PLANILLA DJ'!$X$45,$A18,1),""))</f>
        <v>1</v>
      </c>
      <c r="AW18" s="207">
        <f>--ISNUMBER(IFERROR(SEARCH('PLANILLA DJ'!$X$46,$A18,1),""))</f>
        <v>1</v>
      </c>
      <c r="AX18" s="207">
        <f>--ISNUMBER(IFERROR(SEARCH('PLANILLA DJ'!$X$47,$A18,1),""))</f>
        <v>1</v>
      </c>
      <c r="AY18" s="207">
        <f>--ISNUMBER(IFERROR(SEARCH('PLANILLA DJ'!$X$48,$A18,1),""))</f>
        <v>1</v>
      </c>
      <c r="AZ18" s="207">
        <f>--ISNUMBER(IFERROR(SEARCH('PLANILLA DJ'!$X$49,$A18,1),""))</f>
        <v>1</v>
      </c>
      <c r="BA18" s="207">
        <f>--ISNUMBER(IFERROR(SEARCH('PLANILLA DJ'!$X$50,$A18,1),""))</f>
        <v>1</v>
      </c>
      <c r="BB18" s="207">
        <f>--ISNUMBER(IFERROR(SEARCH('PLANILLA DJ'!$X$51,$A18,1),""))</f>
        <v>1</v>
      </c>
      <c r="BC18" s="207">
        <f>--ISNUMBER(IFERROR(SEARCH('PLANILLA DJ'!$X$52,$A18,1),""))</f>
        <v>1</v>
      </c>
      <c r="BD18" s="207">
        <f>--ISNUMBER(IFERROR(SEARCH('PLANILLA DJ'!$X$53,$A18,1),""))</f>
        <v>1</v>
      </c>
      <c r="BE18" s="207">
        <f>--ISNUMBER(IFERROR(SEARCH('PLANILLA DJ'!$X$54,$A18,1),""))</f>
        <v>1</v>
      </c>
      <c r="BF18" s="207">
        <f>--ISNUMBER(IFERROR(SEARCH('PLANILLA DJ'!$X$55,$A18,1),""))</f>
        <v>1</v>
      </c>
      <c r="BG18" s="207">
        <f>--ISNUMBER(IFERROR(SEARCH('PLANILLA DJ'!$X$56,$A18,1),""))</f>
        <v>1</v>
      </c>
      <c r="BH18" s="207">
        <f>--ISNUMBER(IFERROR(SEARCH('PLANILLA DJ'!$X$57,$A18,1),""))</f>
        <v>1</v>
      </c>
      <c r="BI18" s="207">
        <f>--ISNUMBER(IFERROR(SEARCH('PLANILLA DJ'!$X$58,$A18,1),""))</f>
        <v>1</v>
      </c>
      <c r="BJ18" s="207">
        <f>--ISNUMBER(IFERROR(SEARCH('PLANILLA DJ'!$X$59,$A18,1),""))</f>
        <v>1</v>
      </c>
      <c r="BK18" s="207">
        <f>--ISNUMBER(IFERROR(SEARCH('PLANILLA DJ'!$X$60,$A18,1),""))</f>
        <v>1</v>
      </c>
      <c r="BL18" s="207">
        <f>--ISNUMBER(IFERROR(SEARCH('PLANILLA DJ'!$X$61,$A18,1),""))</f>
        <v>1</v>
      </c>
      <c r="BM18" s="207">
        <f>--ISNUMBER(IFERROR(SEARCH('PLANILLA DJ'!$X$62,$A18,1),""))</f>
        <v>1</v>
      </c>
      <c r="BN18" s="207">
        <f>--ISNUMBER(IFERROR(SEARCH('PLANILLA DJ'!$X$63,$A18,1),""))</f>
        <v>1</v>
      </c>
      <c r="BO18" s="207">
        <f>--ISNUMBER(IFERROR(SEARCH('PLANILLA DJ'!$X$64,$A18,1),""))</f>
        <v>1</v>
      </c>
      <c r="BP18" s="207">
        <f>--ISNUMBER(IFERROR(SEARCH('PLANILLA DJ'!$X$65,$A18,1),""))</f>
        <v>1</v>
      </c>
      <c r="BQ18" s="207">
        <f>--ISNUMBER(IFERROR(SEARCH('PLANILLA DJ'!$X$66,$A18,1),""))</f>
        <v>1</v>
      </c>
      <c r="BR18" s="207">
        <f>--ISNUMBER(IFERROR(SEARCH('PLANILLA DJ'!$X$67,$A18,1),""))</f>
        <v>1</v>
      </c>
      <c r="BS18" s="207">
        <f>--ISNUMBER(IFERROR(SEARCH('PLANILLA DJ'!$X$68,$A18,1),""))</f>
        <v>1</v>
      </c>
      <c r="BT18" s="207">
        <f>--ISNUMBER(IFERROR(SEARCH('PLANILLA DJ'!$X$69,$A18,1),""))</f>
        <v>1</v>
      </c>
      <c r="BU18" s="207">
        <f>--ISNUMBER(IFERROR(SEARCH('PLANILLA DJ'!$X$70,$A18,1),""))</f>
        <v>1</v>
      </c>
      <c r="BV18" s="207">
        <f>--ISNUMBER(IFERROR(SEARCH('PLANILLA DJ'!$X$71,$A18,1),""))</f>
        <v>1</v>
      </c>
      <c r="BW18" s="207">
        <f>--ISNUMBER(IFERROR(SEARCH('PLANILLA DJ'!$X$72,$A18,1),""))</f>
        <v>1</v>
      </c>
      <c r="BX18" s="207">
        <f>--ISNUMBER(IFERROR(SEARCH('PLANILLA DJ'!$X$73,$A18,1),""))</f>
        <v>1</v>
      </c>
      <c r="BY18" s="207">
        <f>--ISNUMBER(IFERROR(SEARCH('PLANILLA DJ'!$X$74,$A18,1),""))</f>
        <v>1</v>
      </c>
      <c r="BZ18" s="207">
        <f>--ISNUMBER(IFERROR(SEARCH('PLANILLA DJ'!$X$75,$A18,1),""))</f>
        <v>1</v>
      </c>
      <c r="CA18" s="207">
        <f>--ISNUMBER(IFERROR(SEARCH('PLANILLA DJ'!$X$76,$A18,1),""))</f>
        <v>1</v>
      </c>
      <c r="CB18" s="207">
        <f>--ISNUMBER(IFERROR(SEARCH('PLANILLA DJ'!$X$77,$A18,1),""))</f>
        <v>1</v>
      </c>
      <c r="CC18" s="207">
        <f>--ISNUMBER(IFERROR(SEARCH('PLANILLA DJ'!$X$78,$A18,1),""))</f>
        <v>1</v>
      </c>
      <c r="CD18" s="207">
        <f>--ISNUMBER(IFERROR(SEARCH('PLANILLA DJ'!$X$79,$A18,1),""))</f>
        <v>1</v>
      </c>
      <c r="CE18" s="207">
        <f>--ISNUMBER(IFERROR(SEARCH('PLANILLA DJ'!$X$80,$A18,1),""))</f>
        <v>1</v>
      </c>
      <c r="CF18" s="207">
        <f>--ISNUMBER(IFERROR(SEARCH('PLANILLA DJ'!$X$81,$A18,1),""))</f>
        <v>1</v>
      </c>
      <c r="CG18" s="207">
        <f>--ISNUMBER(IFERROR(SEARCH('PLANILLA DJ'!$X$82,$A18,1),""))</f>
        <v>1</v>
      </c>
      <c r="CH18" s="207">
        <f>--ISNUMBER(IFERROR(SEARCH('PLANILLA DJ'!$X$83,$A18,1),""))</f>
        <v>1</v>
      </c>
      <c r="CI18" s="207">
        <f>--ISNUMBER(IFERROR(SEARCH('PLANILLA DJ'!$X$84,$A18,1),""))</f>
        <v>1</v>
      </c>
      <c r="CJ18" s="207">
        <f>--ISNUMBER(IFERROR(SEARCH('PLANILLA DJ'!$X$85,$A18,1),""))</f>
        <v>1</v>
      </c>
      <c r="CK18" s="207">
        <f>--ISNUMBER(IFERROR(SEARCH('PLANILLA DJ'!$X$86,$A18,1),""))</f>
        <v>1</v>
      </c>
      <c r="CL18" s="207">
        <f>--ISNUMBER(IFERROR(SEARCH('PLANILLA DJ'!$X$87,$A18,1),""))</f>
        <v>1</v>
      </c>
      <c r="CM18" s="207">
        <f>--ISNUMBER(IFERROR(SEARCH('PLANILLA DJ'!$X$88,$A18,1),""))</f>
        <v>1</v>
      </c>
      <c r="CN18" s="207">
        <f>--ISNUMBER(IFERROR(SEARCH('PLANILLA DJ'!$X$89,$A18,1),""))</f>
        <v>1</v>
      </c>
      <c r="CO18" s="207">
        <f>--ISNUMBER(IFERROR(SEARCH('PLANILLA DJ'!$X$90,$A18,1),""))</f>
        <v>1</v>
      </c>
      <c r="CP18" s="207">
        <f>--ISNUMBER(IFERROR(SEARCH('PLANILLA DJ'!$X$91,$A18,1),""))</f>
        <v>1</v>
      </c>
      <c r="CQ18" s="207">
        <f>--ISNUMBER(IFERROR(SEARCH('PLANILLA DJ'!$X$92,$A18,1),""))</f>
        <v>1</v>
      </c>
      <c r="CR18" s="207">
        <f>--ISNUMBER(IFERROR(SEARCH('PLANILLA DJ'!$X$93,$A18,1),""))</f>
        <v>1</v>
      </c>
      <c r="CS18" s="207">
        <f>--ISNUMBER(IFERROR(SEARCH('PLANILLA DJ'!$X$94,$A18,1),""))</f>
        <v>1</v>
      </c>
      <c r="CT18" s="207">
        <f>--ISNUMBER(IFERROR(SEARCH('PLANILLA DJ'!$X$95,$A18,1),""))</f>
        <v>1</v>
      </c>
      <c r="CU18" s="207">
        <f>--ISNUMBER(IFERROR(SEARCH('PLANILLA DJ'!$X$96,$A18,1),""))</f>
        <v>1</v>
      </c>
      <c r="CV18" s="207">
        <f>--ISNUMBER(IFERROR(SEARCH('PLANILLA DJ'!$X$97,$A18,1),""))</f>
        <v>1</v>
      </c>
      <c r="CW18" s="207">
        <f>--ISNUMBER(IFERROR(SEARCH('PLANILLA DJ'!$X$98,$A18,1),""))</f>
        <v>1</v>
      </c>
      <c r="CX18" s="207">
        <f>--ISNUMBER(IFERROR(SEARCH('PLANILLA DJ'!$X$99,$A18,1),""))</f>
        <v>1</v>
      </c>
      <c r="CY18" s="207">
        <f>--ISNUMBER(IFERROR(SEARCH('PLANILLA DJ'!$X$100,$A18,1),""))</f>
        <v>1</v>
      </c>
      <c r="CZ18" s="207">
        <f>--ISNUMBER(IFERROR(SEARCH('PLANILLA DJ'!$X$101,$A18,1),""))</f>
        <v>1</v>
      </c>
      <c r="DA18" s="207">
        <f>--ISNUMBER(IFERROR(SEARCH('PLANILLA DJ'!$X$102,$A18,1),""))</f>
        <v>1</v>
      </c>
      <c r="DB18" s="206">
        <f>IF(F18=1,COUNTIF($F$2:F18,1),"")</f>
        <v>17</v>
      </c>
      <c r="DC18" s="206">
        <f>IF(G18=1,COUNTIF($G$2:G18,1),"")</f>
        <v>17</v>
      </c>
      <c r="DD18" s="206">
        <f>IF(H18=1,COUNTIF($H$2:H18,1),"")</f>
        <v>17</v>
      </c>
      <c r="DE18" s="206">
        <f>IF(I18=1,COUNTIF($I$2:I18,1),"")</f>
        <v>17</v>
      </c>
      <c r="DF18" s="206">
        <f>IF(J18=1,COUNTIF($J$2:J18,1),"")</f>
        <v>17</v>
      </c>
      <c r="DG18" s="206">
        <f>IF(K18=1,COUNTIF($K$2:K18,1),"")</f>
        <v>17</v>
      </c>
      <c r="DH18" s="206">
        <f>IF(L18=1,COUNTIF($L$2:L18,1),"")</f>
        <v>17</v>
      </c>
      <c r="DI18" s="206">
        <f>IF(M18=1,COUNTIF($M$2:M18,1),"")</f>
        <v>17</v>
      </c>
      <c r="DJ18" s="206">
        <f>IF(N18=1,COUNTIF($N$2:N18,1),"")</f>
        <v>17</v>
      </c>
      <c r="DK18" s="206">
        <f>IF(O18=1,COUNTIF($O$2:O18,1),"")</f>
        <v>17</v>
      </c>
      <c r="DL18" s="206">
        <f>IF(P18=1,COUNTIF($P$2:P18,1),"")</f>
        <v>17</v>
      </c>
      <c r="DM18" s="206">
        <f>IF(Q18=1,COUNTIF($Q$2:Q18,1),"")</f>
        <v>17</v>
      </c>
      <c r="DN18" s="207">
        <f>IF(R18=1,COUNTIF($R$2:R18,1),"")</f>
        <v>17</v>
      </c>
      <c r="DO18" s="207">
        <f>IF(S18=1,COUNTIF($S$2:S18,1),"")</f>
        <v>17</v>
      </c>
      <c r="DP18" s="207">
        <f>IF(T18=1,COUNTIF($T$2:T18,1),"")</f>
        <v>17</v>
      </c>
      <c r="DQ18" s="207">
        <f>IF(U18=1,COUNTIF($U$2:U18,1),"")</f>
        <v>17</v>
      </c>
      <c r="DR18" s="207">
        <f>IF(V18=1,COUNTIF($V$2:V18,1),"")</f>
        <v>17</v>
      </c>
      <c r="DS18" s="207">
        <f>IF(W18=1,COUNTIF($W$2:W18,1),"")</f>
        <v>17</v>
      </c>
      <c r="DT18" s="207">
        <f>IF(X18=1,COUNTIF($X$2:X18,1),"")</f>
        <v>17</v>
      </c>
      <c r="DU18" s="207">
        <f>IF(Y18=1,COUNTIF($Y$2:Y18,1),"")</f>
        <v>17</v>
      </c>
      <c r="DV18" s="207">
        <f>IF(Z18=1,COUNTIF(Z$2:Z18,1),"")</f>
        <v>17</v>
      </c>
      <c r="DW18" s="207">
        <f>IF(AA18=1,COUNTIF($AA$2:AA18,1),"")</f>
        <v>17</v>
      </c>
      <c r="DX18" s="207">
        <f>IF(AB18=1,COUNTIF($AB$2:AB18,1),"")</f>
        <v>17</v>
      </c>
      <c r="DY18" s="207">
        <f>IF(AC18=1,COUNTIF($AC$2:AC18,1),"")</f>
        <v>17</v>
      </c>
      <c r="DZ18" s="207">
        <f>IF(AD18=1,COUNTIF($AD$2:AD18,1),"")</f>
        <v>17</v>
      </c>
      <c r="EA18" s="207">
        <f>IF(AE18=1,COUNTIF($AE$2:AE18,1),"")</f>
        <v>17</v>
      </c>
      <c r="EB18" s="207">
        <f>IF(AF18=1,COUNTIF($AF$2:AF18,1),"")</f>
        <v>17</v>
      </c>
      <c r="EC18" s="207">
        <f>IF(AG18=1,COUNTIF($AG$2:AG18,1),"")</f>
        <v>17</v>
      </c>
      <c r="ED18" s="207">
        <f>IF(AH18=1,COUNTIF($AH$2:AH18,1),"")</f>
        <v>17</v>
      </c>
      <c r="EE18" s="207">
        <f>IF(AI18=1,COUNTIF($AI$2:AI18,1),"")</f>
        <v>17</v>
      </c>
      <c r="EF18" s="207">
        <f>IF(AJ18=1,COUNTIF($AJ$2:AJ18,1),"")</f>
        <v>17</v>
      </c>
      <c r="EG18" s="207">
        <f>IF(AK18=1,COUNTIF($AK$2:AK18,1),"")</f>
        <v>17</v>
      </c>
      <c r="EH18" s="207">
        <f>IF(AL18=1,COUNTIF($AL$2:AL18,1),"")</f>
        <v>17</v>
      </c>
      <c r="EI18" s="207">
        <f>IF(AM18=1,COUNTIF($AM$2:AM18,1),"")</f>
        <v>17</v>
      </c>
      <c r="EJ18" s="207">
        <f>IF(AN18=1,COUNTIF($AN$2:AN18,1),"")</f>
        <v>17</v>
      </c>
      <c r="EK18" s="207">
        <f>IF(AO18=1,COUNTIF($AO$2:AO18,1),"")</f>
        <v>17</v>
      </c>
      <c r="EL18" s="207">
        <f>IF(AP18=1,COUNTIF($AP$2:AP18,1),"")</f>
        <v>17</v>
      </c>
      <c r="EM18" s="207">
        <f>IF(AQ18=1,COUNTIF($AQ$2:AQ18,1),"")</f>
        <v>17</v>
      </c>
      <c r="EN18" s="207">
        <f>IF(AR18=1,COUNTIF($AR$2:AR18,1),"")</f>
        <v>17</v>
      </c>
      <c r="EO18" s="207">
        <f>IF(AS18=1,COUNTIF($AS$2:AS18,1),"")</f>
        <v>17</v>
      </c>
      <c r="EP18" s="207">
        <f>IF(AT18=1,COUNTIF($AT$2:AT18,1),"")</f>
        <v>17</v>
      </c>
      <c r="EQ18" s="207">
        <f>IF(AU18=1,COUNTIF($AU$2:AU18,1),"")</f>
        <v>17</v>
      </c>
      <c r="ER18" s="207">
        <f>IF(AV18=1,COUNTIF($AV$2:AV18,1),"")</f>
        <v>17</v>
      </c>
      <c r="ES18" s="207">
        <f>IF(AW18=1,COUNTIF($AW$2:AW18,1),"")</f>
        <v>17</v>
      </c>
      <c r="ET18" s="207">
        <f>IF(AX18=1,COUNTIF($AX$2:AX18,1),"")</f>
        <v>17</v>
      </c>
      <c r="EU18" s="207">
        <f>IF(AY18=1,COUNTIF($AY$2:AY18,1),"")</f>
        <v>17</v>
      </c>
      <c r="EV18" s="207">
        <f>IF(AZ18=1,COUNTIF($AZ$2:AZ18,1),"")</f>
        <v>17</v>
      </c>
      <c r="EW18" s="207">
        <f>IF(BA18=1,COUNTIF($BA$2:BA18,1),"")</f>
        <v>17</v>
      </c>
      <c r="EX18" s="207">
        <f>IF(BB18=1,COUNTIF($BB$2:BB18,1),"")</f>
        <v>17</v>
      </c>
      <c r="EY18" s="207">
        <f>IF(BC18=1,COUNTIF($BC$2:BC18,1),"")</f>
        <v>17</v>
      </c>
      <c r="EZ18" s="207">
        <f>IF(BD18=1,COUNTIF($BD$2:BD18,1),"")</f>
        <v>17</v>
      </c>
      <c r="FA18" s="207">
        <f>IF(BE18=1,COUNTIF($BE$2:BE18,1),"")</f>
        <v>17</v>
      </c>
      <c r="FB18" s="207">
        <f>IF(BF18=1,COUNTIF($BF$2:BF18,1),"")</f>
        <v>17</v>
      </c>
      <c r="FC18" s="207">
        <f>IF(BG18=1,COUNTIF($BG$2:BG18,1),"")</f>
        <v>17</v>
      </c>
      <c r="FD18" s="207">
        <f>IF(BH18=1,COUNTIF($BH$2:BH18,1),"")</f>
        <v>17</v>
      </c>
      <c r="FE18" s="207">
        <f>IF(BI18=1,COUNTIF($BI$2:BI18,1),"")</f>
        <v>17</v>
      </c>
      <c r="FF18" s="207">
        <f>IF(BJ18=1,COUNTIF($BJ$2:BJ18,1),"")</f>
        <v>17</v>
      </c>
      <c r="FG18" s="207">
        <f>IF(BK18=1,COUNTIF($BK$2:BK18,1),"")</f>
        <v>17</v>
      </c>
      <c r="FH18" s="207">
        <f>IF(BL18=1,COUNTIF($BL$2:BL18,1),"")</f>
        <v>17</v>
      </c>
      <c r="FI18" s="207">
        <f>IF(BM18=1,COUNTIF($BM$2:BM18,1),"")</f>
        <v>17</v>
      </c>
      <c r="FJ18" s="207">
        <f>IF(BN18=1,COUNTIF($BN$2:BN18,1),"")</f>
        <v>17</v>
      </c>
      <c r="FK18" s="207">
        <f>IF(BO18=1,COUNTIF($BO$2:BO18,1),"")</f>
        <v>17</v>
      </c>
      <c r="FL18" s="207">
        <f>IF(BP18=1,COUNTIF($BP$2:BP18,1),"")</f>
        <v>17</v>
      </c>
      <c r="FM18" s="207">
        <f>IF(BQ18=1,COUNTIF($BQ$2:BQ18,1),"")</f>
        <v>17</v>
      </c>
      <c r="FN18" s="207">
        <f>IF(BR18=1,COUNTIF($BR$2:BR18,1),"")</f>
        <v>17</v>
      </c>
      <c r="FO18" s="207">
        <f>IF(BS18=1,COUNTIF($BS$2:BS18,1),"")</f>
        <v>17</v>
      </c>
      <c r="FP18" s="207">
        <f>IF(BT18=1,COUNTIF($BT$2:BT18,1),"")</f>
        <v>17</v>
      </c>
      <c r="FQ18" s="207">
        <f>IF(BU18=1,COUNTIF($BU$2:BU18,1),"")</f>
        <v>17</v>
      </c>
      <c r="FR18" s="207">
        <f>IF(BV18=1,COUNTIF($BV$2:BV18,1),"")</f>
        <v>17</v>
      </c>
      <c r="FS18" s="207">
        <f>IF(BW18=1,COUNTIF($BW$2:BW18,1),"")</f>
        <v>17</v>
      </c>
      <c r="FT18" s="207">
        <f>IF(BX18=1,COUNTIF($BX$2:BX18,1),"")</f>
        <v>17</v>
      </c>
      <c r="FU18" s="207">
        <f>IF(BY18=1,COUNTIF($BY$2:BY18,1),"")</f>
        <v>17</v>
      </c>
      <c r="FV18" s="207">
        <f>IF(BZ18=1,COUNTIF($BZ$2:BZ18,1),"")</f>
        <v>17</v>
      </c>
      <c r="FW18" s="207">
        <f>IF(CA18=1,COUNTIF($CA$2:CA18,1),"")</f>
        <v>17</v>
      </c>
      <c r="FX18" s="207">
        <f>IF(CB18=1,COUNTIF($CB$2:CB18,1),"")</f>
        <v>17</v>
      </c>
      <c r="FY18" s="207">
        <f>IF(CC18=1,COUNTIF($CC$2:CC18,1),"")</f>
        <v>17</v>
      </c>
      <c r="FZ18" s="207">
        <f>IF(CD18=1,COUNTIF($CD$2:CD18,1),"")</f>
        <v>17</v>
      </c>
      <c r="GA18" s="207">
        <f>IF(CE18=1,COUNTIF($CE$2:CE18,1),"")</f>
        <v>17</v>
      </c>
      <c r="GB18" s="207">
        <f>IF(CF18=1,COUNTIF($CF$2:CF18,1),"")</f>
        <v>17</v>
      </c>
      <c r="GC18" s="207">
        <f>IF(CG18=1,COUNTIF($CG$2:CG18,1),"")</f>
        <v>17</v>
      </c>
      <c r="GD18" s="207">
        <f>IF(CH18=1,COUNTIF($CH$2:CH18,1),"")</f>
        <v>17</v>
      </c>
      <c r="GE18" s="207">
        <f>IF(CI18=1,COUNTIF($CI$2:CI18,1),"")</f>
        <v>17</v>
      </c>
      <c r="GF18" s="207">
        <f>IF(CJ18=1,COUNTIF($CJ$2:CJ18,1),"")</f>
        <v>17</v>
      </c>
      <c r="GG18" s="207">
        <f>IF(CK18=1,COUNTIF($CK$2:CK18,1),"")</f>
        <v>17</v>
      </c>
      <c r="GH18" s="207">
        <f>IF(CL18=1,COUNTIF($CL$2:CL18,1),"")</f>
        <v>17</v>
      </c>
      <c r="GI18" s="207">
        <f>IF(CM18=1,COUNTIF($CM$2:CM18,1),"")</f>
        <v>17</v>
      </c>
      <c r="GJ18" s="207">
        <f>IF(CN18=1,COUNTIF($CN$2:CN18,1),"")</f>
        <v>17</v>
      </c>
      <c r="GK18" s="207">
        <f>IF(CO18=1,COUNTIF($CO$2:CO18,1),"")</f>
        <v>17</v>
      </c>
      <c r="GL18" s="207">
        <f>IF(CP18=1,COUNTIF($CP$2:CP18,1),"")</f>
        <v>17</v>
      </c>
      <c r="GM18" s="207">
        <f>IF(CQ18=1,COUNTIF($CQ$2:CQ18,1),"")</f>
        <v>17</v>
      </c>
      <c r="GN18" s="207">
        <f>IF(CR18=1,COUNTIF($CR$2:CR18,1),"")</f>
        <v>17</v>
      </c>
      <c r="GO18" s="207">
        <f>IF(CS18=1,COUNTIF($CS$2:CS18,1),"")</f>
        <v>17</v>
      </c>
      <c r="GP18" s="207">
        <f>IF(CT18=1,COUNTIF($CT$2:CT18,1),"")</f>
        <v>17</v>
      </c>
      <c r="GQ18" s="207">
        <f>IF(CU18=1,COUNTIF($CU$2:CU18,1),"")</f>
        <v>17</v>
      </c>
      <c r="GR18" s="207">
        <f>IF(CV18=1,COUNTIF($CV$2:CV18,1),"")</f>
        <v>17</v>
      </c>
      <c r="GS18" s="207">
        <f>IF(CW18=1,COUNTIF($CW$2:CW18,1),"")</f>
        <v>17</v>
      </c>
      <c r="GT18" s="207">
        <f>IF(CX18=1,COUNTIF($CX$2:CX18,1),"")</f>
        <v>17</v>
      </c>
      <c r="GU18" s="207">
        <f>IF(CY18=1,COUNTIF($CY$2:CY18,1),"")</f>
        <v>17</v>
      </c>
      <c r="GV18" s="207">
        <f>IF(CZ18=1,COUNTIF($CZ$2:CZ18,1),"")</f>
        <v>17</v>
      </c>
      <c r="GW18" s="207">
        <f>IF(DA18=1,COUNTIF($DA$2:DA18,1),"")</f>
        <v>17</v>
      </c>
      <c r="GX18" s="206" t="str">
        <f>IFERROR(INDEX($A$2:$A$113,MATCH(ROWS($DB$2:DB18),$DB$2:$DB$113,0)),"")</f>
        <v xml:space="preserve">ABUSO SEXUAL CON ACCESO CARNAL (VIOLACION) </v>
      </c>
      <c r="GY18" s="206" t="str">
        <f>IFERROR(INDEX($A$2:$A$113,MATCH(ROWS($DC$2:DC18),$DC$2:$DC$113,0)),"")</f>
        <v xml:space="preserve">ABUSO SEXUAL CON ACCESO CARNAL (VIOLACION) </v>
      </c>
      <c r="GZ18" s="206" t="str">
        <f>IFERROR(INDEX($A$2:$A$113,MATCH(ROWS($DD$2:DD18),$DD$2:$DD$113,0)),"")</f>
        <v xml:space="preserve">ABUSO SEXUAL CON ACCESO CARNAL (VIOLACION) </v>
      </c>
      <c r="HA18" s="206" t="str">
        <f>IFERROR(INDEX($A$2:$A$113,MATCH(ROWS($DE$2:DE18),$DE$2:$DE$113,0)),"")</f>
        <v xml:space="preserve">ABUSO SEXUAL CON ACCESO CARNAL (VIOLACION) </v>
      </c>
      <c r="HB18" s="206" t="str">
        <f>IFERROR(INDEX($A$2:$A$113,MATCH(ROWS($DF$2:DF18),$DF$2:$DF$113,0)),"")</f>
        <v xml:space="preserve">ABUSO SEXUAL CON ACCESO CARNAL (VIOLACION) </v>
      </c>
      <c r="HC18" s="206" t="str">
        <f>IFERROR(INDEX($A$2:$A$113,MATCH(ROWS($DG$2:DG18),$DG$2:$DG$113,0)),"")</f>
        <v xml:space="preserve">ABUSO SEXUAL CON ACCESO CARNAL (VIOLACION) </v>
      </c>
      <c r="HD18" s="206" t="str">
        <f>IFERROR(INDEX($A$2:$A$113,MATCH(ROWS($DH$2:DH18),$DH$2:$DH$113,0)),"")</f>
        <v xml:space="preserve">ABUSO SEXUAL CON ACCESO CARNAL (VIOLACION) </v>
      </c>
      <c r="HE18" s="206" t="str">
        <f>IFERROR(INDEX($A$2:$A$113,MATCH(ROWS($DI$2:DI18),$DI$2:$DI$113,0)),"")</f>
        <v xml:space="preserve">ABUSO SEXUAL CON ACCESO CARNAL (VIOLACION) </v>
      </c>
      <c r="HF18" s="206" t="str">
        <f>IFERROR(INDEX($A$2:$A$113,MATCH(ROWS($DJ$2:DJ18),$DJ$2:$DJ$113,0)),"")</f>
        <v xml:space="preserve">ABUSO SEXUAL CON ACCESO CARNAL (VIOLACION) </v>
      </c>
      <c r="HG18" s="206" t="str">
        <f>IFERROR(INDEX($A$2:$A$113,MATCH(ROWS($DK$2:DK18),$DK$2:$DK$113,0)),"")</f>
        <v xml:space="preserve">ABUSO SEXUAL CON ACCESO CARNAL (VIOLACION) </v>
      </c>
      <c r="HH18" s="206" t="str">
        <f>IFERROR(INDEX($A$2:$A$113,MATCH(ROWS($DL$2:DL18),$DL$2:$DL$113,0)),"")</f>
        <v xml:space="preserve">ABUSO SEXUAL CON ACCESO CARNAL (VIOLACION) </v>
      </c>
      <c r="HI18" s="206" t="str">
        <f>IFERROR(INDEX($A$2:$A$113,MATCH(ROWS($DM$2:DM18),$DM$2:$DM$113,0)),"")</f>
        <v xml:space="preserve">ABUSO SEXUAL CON ACCESO CARNAL (VIOLACION) </v>
      </c>
      <c r="HJ18" s="206" t="str">
        <f>IFERROR(INDEX($A$2:$A$113,MATCH(ROWS($DN$2:DN18),$DN$2:$DN$113,0)),"")</f>
        <v xml:space="preserve">ABUSO SEXUAL CON ACCESO CARNAL (VIOLACION) </v>
      </c>
      <c r="HK18" s="206" t="str">
        <f>IFERROR(INDEX($A$2:$A$113,MATCH(ROWS($DO$2:DO18),$DO$2:$DO$113,0)),"")</f>
        <v xml:space="preserve">ABUSO SEXUAL CON ACCESO CARNAL (VIOLACION) </v>
      </c>
      <c r="HL18" s="206" t="str">
        <f>IFERROR(INDEX($A$2:$A$113,MATCH(ROWS($DP$2:DP18),$DP$2:$DP$113,0)),"")</f>
        <v xml:space="preserve">ABUSO SEXUAL CON ACCESO CARNAL (VIOLACION) </v>
      </c>
      <c r="HM18" s="206" t="str">
        <f>IFERROR(INDEX($A$2:$A$113,MATCH(ROWS($DQ$2:DQ18),$DQ$2:$DQ$113,0)),"")</f>
        <v xml:space="preserve">ABUSO SEXUAL CON ACCESO CARNAL (VIOLACION) </v>
      </c>
      <c r="HN18" s="206" t="str">
        <f>IFERROR(INDEX($A$2:$A$113,MATCH(ROWS($DR$2:DR18),$DR$2:$DR$113,0)),"")</f>
        <v xml:space="preserve">ABUSO SEXUAL CON ACCESO CARNAL (VIOLACION) </v>
      </c>
      <c r="HO18" s="206" t="str">
        <f>IFERROR(INDEX($A$2:$A$113,MATCH(ROWS($DS$2:DS18),$DS$2:$DS$113,0)),"")</f>
        <v xml:space="preserve">ABUSO SEXUAL CON ACCESO CARNAL (VIOLACION) </v>
      </c>
      <c r="HP18" s="206" t="str">
        <f>IFERROR(INDEX($A$2:$A$113,MATCH(ROWS($DT$2:DT18),$DT$2:$DT$113,0)),"")</f>
        <v xml:space="preserve">ABUSO SEXUAL CON ACCESO CARNAL (VIOLACION) </v>
      </c>
      <c r="HQ18" s="206" t="str">
        <f>IFERROR(INDEX($A$2:$A$113,MATCH(ROWS($DU$2:DU18),$DU$2:$DU$113,0)),"")</f>
        <v xml:space="preserve">ABUSO SEXUAL CON ACCESO CARNAL (VIOLACION) </v>
      </c>
      <c r="HR18" s="206" t="str">
        <f>IFERROR(INDEX($A$2:$A$113,MATCH(ROWS($DV$2:DV18),$DV$2:$DV$113,0)),"")</f>
        <v xml:space="preserve">ABUSO SEXUAL CON ACCESO CARNAL (VIOLACION) </v>
      </c>
      <c r="HS18" s="206" t="str">
        <f>IFERROR(INDEX($A$2:$A$113,MATCH(ROWS($DW$2:DW18),$DW$2:$DW$113,0)),"")</f>
        <v xml:space="preserve">ABUSO SEXUAL CON ACCESO CARNAL (VIOLACION) </v>
      </c>
      <c r="HT18" s="206" t="str">
        <f>IFERROR(INDEX($A$2:$A$113,MATCH(ROWS($DX$2:DX18),$DX$2:$DX$113,0)),"")</f>
        <v xml:space="preserve">ABUSO SEXUAL CON ACCESO CARNAL (VIOLACION) </v>
      </c>
      <c r="HU18" s="206" t="str">
        <f>IFERROR(INDEX($A$2:$A$113,MATCH(ROWS($DY$2:DY18),$DY$2:$DY$113,0)),"")</f>
        <v xml:space="preserve">ABUSO SEXUAL CON ACCESO CARNAL (VIOLACION) </v>
      </c>
      <c r="HV18" s="206" t="str">
        <f>IFERROR(INDEX($A$2:$A$113,MATCH(ROWS($DZ$2:DZ18),$DZ$2:$DZ$113,0)),"")</f>
        <v xml:space="preserve">ABUSO SEXUAL CON ACCESO CARNAL (VIOLACION) </v>
      </c>
      <c r="HW18" s="206" t="str">
        <f>IFERROR(INDEX($A$2:$A$113,MATCH(ROWS($EA$2:EA18),$EA$2:$EA$113,0)),"")</f>
        <v xml:space="preserve">ABUSO SEXUAL CON ACCESO CARNAL (VIOLACION) </v>
      </c>
      <c r="HX18" s="206" t="str">
        <f>IFERROR(INDEX($A$2:$A$113,MATCH(ROWS($EB$2:EB18),$EB$2:$EB$113,0)),"")</f>
        <v xml:space="preserve">ABUSO SEXUAL CON ACCESO CARNAL (VIOLACION) </v>
      </c>
      <c r="HY18" s="206" t="str">
        <f>IFERROR(INDEX($A$2:$A$113,MATCH(ROWS($EC$2:EC18),$EC$2:$EC$113,0)),"")</f>
        <v xml:space="preserve">ABUSO SEXUAL CON ACCESO CARNAL (VIOLACION) </v>
      </c>
      <c r="HZ18" s="206" t="str">
        <f>IFERROR(INDEX($A$2:$A$113,MATCH(ROWS($ED$2:ED18),$ED$2:$ED$113,0)),"")</f>
        <v xml:space="preserve">ABUSO SEXUAL CON ACCESO CARNAL (VIOLACION) </v>
      </c>
      <c r="IA18" s="206" t="str">
        <f>IFERROR(INDEX($A$2:$A$113,MATCH(ROWS($EE$2:EE18),$EE$2:$EE$113,0)),"")</f>
        <v xml:space="preserve">ABUSO SEXUAL CON ACCESO CARNAL (VIOLACION) </v>
      </c>
      <c r="IB18" s="206" t="str">
        <f>IFERROR(INDEX($A$2:$A$113,MATCH(ROWS($EF$2:EF18),$EF$2:$EF$113,0)),"")</f>
        <v xml:space="preserve">ABUSO SEXUAL CON ACCESO CARNAL (VIOLACION) </v>
      </c>
      <c r="IC18" s="206" t="str">
        <f>IFERROR(INDEX($A$2:$A$113,MATCH(ROWS($EG$2:EG18),$EG$2:$EG$113,0)),"")</f>
        <v xml:space="preserve">ABUSO SEXUAL CON ACCESO CARNAL (VIOLACION) </v>
      </c>
      <c r="ID18" s="206" t="str">
        <f>IFERROR(INDEX($A$2:$A$113,MATCH(ROWS($EH$2:EH18),$EH$2:$EH$113,0)),"")</f>
        <v xml:space="preserve">ABUSO SEXUAL CON ACCESO CARNAL (VIOLACION) </v>
      </c>
      <c r="IE18" s="206" t="str">
        <f>IFERROR(INDEX($A$2:$A$113,MATCH(ROWS($EI$2:EI18),$EI$2:$EI$113,0)),"")</f>
        <v xml:space="preserve">ABUSO SEXUAL CON ACCESO CARNAL (VIOLACION) </v>
      </c>
      <c r="IF18" s="206" t="str">
        <f>IFERROR(INDEX($A$2:$A$113,MATCH(ROWS($EJ$2:EJ18),$EJ$2:$EJ$113,0)),"")</f>
        <v xml:space="preserve">ABUSO SEXUAL CON ACCESO CARNAL (VIOLACION) </v>
      </c>
      <c r="IG18" s="206" t="str">
        <f>IFERROR(INDEX($A$2:$A$113,MATCH(ROWS($EK$2:EK18),$EK$2:$EK$113,0)),"")</f>
        <v xml:space="preserve">ABUSO SEXUAL CON ACCESO CARNAL (VIOLACION) </v>
      </c>
      <c r="IH18" s="206" t="str">
        <f>IFERROR(INDEX($A$2:$A$113,MATCH(ROWS($EL$2:EL18),$EL$2:$EL$113,0)),"")</f>
        <v xml:space="preserve">ABUSO SEXUAL CON ACCESO CARNAL (VIOLACION) </v>
      </c>
      <c r="II18" s="206" t="str">
        <f>IFERROR(INDEX($A$2:$A$113,MATCH(ROWS($EM$2:EM18),$EM$2:$EM$113,0)),"")</f>
        <v xml:space="preserve">ABUSO SEXUAL CON ACCESO CARNAL (VIOLACION) </v>
      </c>
      <c r="IJ18" s="206" t="str">
        <f>IFERROR(INDEX($A$2:$A$113,MATCH(ROWS($EN$2:EN18),$EN$2:$EN$113,0)),"")</f>
        <v xml:space="preserve">ABUSO SEXUAL CON ACCESO CARNAL (VIOLACION) </v>
      </c>
      <c r="IK18" s="207" t="str">
        <f>IFERROR(INDEX($A$2:$A$113,MATCH(ROWS($EO$2:EO18),$EO$2:$EO$113,0)),"")</f>
        <v xml:space="preserve">ABUSO SEXUAL CON ACCESO CARNAL (VIOLACION) </v>
      </c>
      <c r="IL18" s="207" t="str">
        <f>IFERROR(INDEX($A$2:$A$113,MATCH(ROWS($EP$2:EP18),$EP$2:$EP$113,0)),"")</f>
        <v xml:space="preserve">ABUSO SEXUAL CON ACCESO CARNAL (VIOLACION) </v>
      </c>
      <c r="IM18" s="207" t="str">
        <f>IFERROR(INDEX($A$2:$A$113,MATCH(ROWS($EQ$2:EQ18),$EQ$2:$EQ$113,0)),"")</f>
        <v xml:space="preserve">ABUSO SEXUAL CON ACCESO CARNAL (VIOLACION) </v>
      </c>
      <c r="IN18" s="207" t="str">
        <f>IFERROR(INDEX($A$2:$A$113,MATCH(ROWS($ER$2:ER18),$ER$2:$ER$113,0)),"")</f>
        <v xml:space="preserve">ABUSO SEXUAL CON ACCESO CARNAL (VIOLACION) </v>
      </c>
      <c r="IO18" s="207" t="str">
        <f>IFERROR(INDEX($A$2:$A$113,MATCH(ROWS($ES$2:ES18),$ES$2:$ES$113,0)),"")</f>
        <v xml:space="preserve">ABUSO SEXUAL CON ACCESO CARNAL (VIOLACION) </v>
      </c>
      <c r="IP18" s="207" t="str">
        <f>IFERROR(INDEX($A$2:$A$113,MATCH(ROWS($ET$2:ET18),$ET$2:$ET$113,0)),"")</f>
        <v xml:space="preserve">ABUSO SEXUAL CON ACCESO CARNAL (VIOLACION) </v>
      </c>
      <c r="IQ18" s="207" t="str">
        <f>IFERROR(INDEX($A$2:$A$113,MATCH(ROWS($EU$2:EU18),$EU$2:$EU$113,0)),"")</f>
        <v xml:space="preserve">ABUSO SEXUAL CON ACCESO CARNAL (VIOLACION) </v>
      </c>
      <c r="IR18" s="207" t="str">
        <f>IFERROR(INDEX($A$2:$A$113,MATCH(ROWS($EV$2:EV18),$EV$2:$EV$113,0)),"")</f>
        <v xml:space="preserve">ABUSO SEXUAL CON ACCESO CARNAL (VIOLACION) </v>
      </c>
      <c r="IS18" s="207" t="str">
        <f>IFERROR(INDEX($A$2:$A$113,MATCH(ROWS($EW$2:EW18),$EW$2:$EW$113,0)),"")</f>
        <v xml:space="preserve">ABUSO SEXUAL CON ACCESO CARNAL (VIOLACION) </v>
      </c>
      <c r="IT18" s="207" t="str">
        <f>IFERROR(INDEX($A$2:$A$113,MATCH(ROWS($EX$2:EX18),$EX$2:$EX$113,0)),"")</f>
        <v xml:space="preserve">ABUSO SEXUAL CON ACCESO CARNAL (VIOLACION) </v>
      </c>
      <c r="IU18" s="207" t="str">
        <f>IFERROR(INDEX($A$2:$A$113,MATCH(ROWS($EY$2:EY18),$EY$2:$EY$113,0)),"")</f>
        <v xml:space="preserve">ABUSO SEXUAL CON ACCESO CARNAL (VIOLACION) </v>
      </c>
      <c r="IV18" s="207" t="str">
        <f>IFERROR(INDEX($A$2:$A$113,MATCH(ROWS($EZ$2:EZ18),$EZ$2:$EZ$113,0)),"")</f>
        <v xml:space="preserve">ABUSO SEXUAL CON ACCESO CARNAL (VIOLACION) </v>
      </c>
      <c r="IW18" s="207" t="str">
        <f>IFERROR(INDEX($A$2:$A$113,MATCH(ROWS($FA$2:FA18),$FA$2:$FA$113,0)),"")</f>
        <v xml:space="preserve">ABUSO SEXUAL CON ACCESO CARNAL (VIOLACION) </v>
      </c>
      <c r="IX18" s="207" t="str">
        <f>IFERROR(INDEX($A$2:$A$113,MATCH(ROWS($FB$2:FB18),$FB$2:$FB$113,0)),"")</f>
        <v xml:space="preserve">ABUSO SEXUAL CON ACCESO CARNAL (VIOLACION) </v>
      </c>
      <c r="IY18" s="207" t="str">
        <f>IFERROR(INDEX($A$2:$A$113,MATCH(ROWS($FC$2:FC18),$FC$2:$FC$113,0)),"")</f>
        <v xml:space="preserve">ABUSO SEXUAL CON ACCESO CARNAL (VIOLACION) </v>
      </c>
      <c r="IZ18" s="207" t="str">
        <f>IFERROR(INDEX($A$2:$A$113,MATCH(ROWS($FD$2:FD18),$FD$2:$FD$113,0)),"")</f>
        <v xml:space="preserve">ABUSO SEXUAL CON ACCESO CARNAL (VIOLACION) </v>
      </c>
      <c r="JA18" s="207" t="str">
        <f>IFERROR(INDEX($A$2:$A$113,MATCH(ROWS($FE$2:FE18),$FE$2:$FE$113,0)),"")</f>
        <v xml:space="preserve">ABUSO SEXUAL CON ACCESO CARNAL (VIOLACION) </v>
      </c>
      <c r="JB18" s="207" t="str">
        <f>IFERROR(INDEX($A$2:$A$113,MATCH(ROWS($FF$2:FF18),$FF$2:$FF$113,0)),"")</f>
        <v xml:space="preserve">ABUSO SEXUAL CON ACCESO CARNAL (VIOLACION) </v>
      </c>
      <c r="JC18" s="207" t="str">
        <f>IFERROR(INDEX($A$2:$A$113,MATCH(ROWS($FG$2:FG18),$FG$2:$FG$113,0)),"")</f>
        <v xml:space="preserve">ABUSO SEXUAL CON ACCESO CARNAL (VIOLACION) </v>
      </c>
      <c r="JD18" s="207" t="str">
        <f>IFERROR(INDEX($A$2:$A$113,MATCH(ROWS($FH$2:FH18),$FH$2:$FH$113,0)),"")</f>
        <v xml:space="preserve">ABUSO SEXUAL CON ACCESO CARNAL (VIOLACION) </v>
      </c>
      <c r="JE18" s="207" t="str">
        <f>IFERROR(INDEX($A$2:$A$113,MATCH(ROWS($FI$2:FI18),$FI$2:$FI$113,0)),"")</f>
        <v xml:space="preserve">ABUSO SEXUAL CON ACCESO CARNAL (VIOLACION) </v>
      </c>
      <c r="JF18" s="207" t="str">
        <f>IFERROR(INDEX($A$2:$A$113,MATCH(ROWS($FJ$2:FJ18),$FJ$2:$FJ$113,0)),"")</f>
        <v xml:space="preserve">ABUSO SEXUAL CON ACCESO CARNAL (VIOLACION) </v>
      </c>
      <c r="JG18" s="207" t="str">
        <f>IFERROR(INDEX($A$2:$A$113,MATCH(ROWS($FK$2:FK18),$FK$2:$FK$113,0)),"")</f>
        <v xml:space="preserve">ABUSO SEXUAL CON ACCESO CARNAL (VIOLACION) </v>
      </c>
      <c r="JH18" s="207" t="str">
        <f>IFERROR(INDEX($A$2:$A$113,MATCH(ROWS($FL$2:FL18),$FL$2:$FL$113,0)),"")</f>
        <v xml:space="preserve">ABUSO SEXUAL CON ACCESO CARNAL (VIOLACION) </v>
      </c>
      <c r="JI18" s="207" t="str">
        <f>IFERROR(INDEX($A$2:$A$113,MATCH(ROWS($FM$2:FM18),$FM$2:$FM$113,0)),"")</f>
        <v xml:space="preserve">ABUSO SEXUAL CON ACCESO CARNAL (VIOLACION) </v>
      </c>
      <c r="JJ18" s="207" t="str">
        <f>IFERROR(INDEX($A$2:$A$113,MATCH(ROWS($FN$2:FN18),$FN$2:$FN$113,0)),"")</f>
        <v xml:space="preserve">ABUSO SEXUAL CON ACCESO CARNAL (VIOLACION) </v>
      </c>
      <c r="JK18" s="207" t="str">
        <f>IFERROR(INDEX($A$2:$A$113,MATCH(ROWS($FO$2:FO18),$FO$2:$FO$113,0)),"")</f>
        <v xml:space="preserve">ABUSO SEXUAL CON ACCESO CARNAL (VIOLACION) </v>
      </c>
      <c r="JL18" s="207" t="str">
        <f>IFERROR(INDEX($A$2:$A$113,MATCH(ROWS($FP$2:FP18),$FP$2:$FP$113,0)),"")</f>
        <v xml:space="preserve">ABUSO SEXUAL CON ACCESO CARNAL (VIOLACION) </v>
      </c>
      <c r="JM18" s="207" t="str">
        <f>IFERROR(INDEX($A$2:$A$113,MATCH(ROWS($FQ$2:FQ18),$FQ$2:$FQ$113,0)),"")</f>
        <v xml:space="preserve">ABUSO SEXUAL CON ACCESO CARNAL (VIOLACION) </v>
      </c>
      <c r="JN18" s="207" t="str">
        <f>IFERROR(INDEX($A$2:$A$113,MATCH(ROWS($FR$2:FR18),$FR$2:$FR$113,0)),"")</f>
        <v xml:space="preserve">ABUSO SEXUAL CON ACCESO CARNAL (VIOLACION) </v>
      </c>
      <c r="JO18" s="207" t="str">
        <f>IFERROR(INDEX($A$2:$A$113,MATCH(ROWS($FS$2:FS18),$FS$2:$FS$113,0)),"")</f>
        <v xml:space="preserve">ABUSO SEXUAL CON ACCESO CARNAL (VIOLACION) </v>
      </c>
      <c r="JP18" s="207" t="str">
        <f>IFERROR(INDEX($A$2:$A$113,MATCH(ROWS($FT$2:FT18),$FT$2:$FT$113,0)),"")</f>
        <v xml:space="preserve">ABUSO SEXUAL CON ACCESO CARNAL (VIOLACION) </v>
      </c>
      <c r="JQ18" s="207" t="str">
        <f>IFERROR(INDEX($A$2:$A$113,MATCH(ROWS($FU$2:FU18),$FU$2:$FU$113,0)),"")</f>
        <v xml:space="preserve">ABUSO SEXUAL CON ACCESO CARNAL (VIOLACION) </v>
      </c>
      <c r="JR18" s="207" t="str">
        <f>IFERROR(INDEX($A$2:$A$113,MATCH(ROWS($FV$2:FV18),$FV$2:$FV$113,0)),"")</f>
        <v xml:space="preserve">ABUSO SEXUAL CON ACCESO CARNAL (VIOLACION) </v>
      </c>
      <c r="JS18" s="207" t="str">
        <f>IFERROR(INDEX($A$2:$A$113,MATCH(ROWS($FW$2:FW18),$FW$2:$FW$113,0)),"")</f>
        <v xml:space="preserve">ABUSO SEXUAL CON ACCESO CARNAL (VIOLACION) </v>
      </c>
      <c r="JT18" s="207" t="str">
        <f>IFERROR(INDEX($A$2:$A$113,MATCH(ROWS($FX$2:FX18),$FX$2:$FX$113,0)),"")</f>
        <v xml:space="preserve">ABUSO SEXUAL CON ACCESO CARNAL (VIOLACION) </v>
      </c>
      <c r="JU18" s="207" t="str">
        <f>IFERROR(INDEX($A$2:$A$113,MATCH(ROWS($FY$2:FY18),$FY$2:$FY$113,0)),"")</f>
        <v xml:space="preserve">ABUSO SEXUAL CON ACCESO CARNAL (VIOLACION) </v>
      </c>
      <c r="JV18" s="207" t="str">
        <f>IFERROR(INDEX($A$2:$A$113,MATCH(ROWS($FZ$2:FZ18),$FZ$2:$FZ$113,0)),"")</f>
        <v xml:space="preserve">ABUSO SEXUAL CON ACCESO CARNAL (VIOLACION) </v>
      </c>
      <c r="JW18" s="207" t="str">
        <f>IFERROR(INDEX($A$2:$A$113,MATCH(ROWS($GA$2:GA18),$GA$2:$GA$113,0)),"")</f>
        <v xml:space="preserve">ABUSO SEXUAL CON ACCESO CARNAL (VIOLACION) </v>
      </c>
      <c r="JX18" s="207" t="str">
        <f>IFERROR(INDEX($A$2:$A$113,MATCH(ROWS($GB$2:GB18),$GB$2:$GB$113,0)),"")</f>
        <v xml:space="preserve">ABUSO SEXUAL CON ACCESO CARNAL (VIOLACION) </v>
      </c>
      <c r="JY18" s="207" t="str">
        <f>IFERROR(INDEX($A$2:$A$113,MATCH(ROWS($GC$2:GC18),$GC$2:$GC$113,0)),"")</f>
        <v xml:space="preserve">ABUSO SEXUAL CON ACCESO CARNAL (VIOLACION) </v>
      </c>
      <c r="JZ18" s="207" t="str">
        <f>IFERROR(INDEX($A$2:$A$113,MATCH(ROWS($GD$2:GD18),$GD$2:$GD$113,0)),"")</f>
        <v xml:space="preserve">ABUSO SEXUAL CON ACCESO CARNAL (VIOLACION) </v>
      </c>
      <c r="KA18" s="207" t="str">
        <f>IFERROR(INDEX($A$2:$A$113,MATCH(ROWS($GE$2:GE18),$GE$2:$GE$113,0)),"")</f>
        <v xml:space="preserve">ABUSO SEXUAL CON ACCESO CARNAL (VIOLACION) </v>
      </c>
      <c r="KB18" s="207" t="str">
        <f>IFERROR(INDEX($A$2:$A$113,MATCH(ROWS($GF$2:GF18),$GF$2:$GF$113,0)),"")</f>
        <v xml:space="preserve">ABUSO SEXUAL CON ACCESO CARNAL (VIOLACION) </v>
      </c>
      <c r="KC18" s="207" t="str">
        <f>IFERROR(INDEX($A$2:$A$113,MATCH(ROWS($GG$2:GG18),$GG$2:$GG$113,0)),"")</f>
        <v xml:space="preserve">ABUSO SEXUAL CON ACCESO CARNAL (VIOLACION) </v>
      </c>
      <c r="KD18" s="207" t="str">
        <f>IFERROR(INDEX($A$2:$A$113,MATCH(ROWS($GH$2:GH18),$GH$2:$GH$113,0)),"")</f>
        <v xml:space="preserve">ABUSO SEXUAL CON ACCESO CARNAL (VIOLACION) </v>
      </c>
      <c r="KE18" s="207" t="str">
        <f>IFERROR(INDEX($A$2:$A$113,MATCH(ROWS($GI$2:GI18),$GI$2:$GI$113,0)),"")</f>
        <v xml:space="preserve">ABUSO SEXUAL CON ACCESO CARNAL (VIOLACION) </v>
      </c>
      <c r="KF18" s="207" t="str">
        <f>IFERROR(INDEX($A$2:$A$113,MATCH(ROWS($GJ$2:GJ18),$GJ$2:$GJ$113,0)),"")</f>
        <v xml:space="preserve">ABUSO SEXUAL CON ACCESO CARNAL (VIOLACION) </v>
      </c>
      <c r="KG18" s="207" t="str">
        <f>IFERROR(INDEX($A$2:$A$113,MATCH(ROWS($GK$2:GK18),$GK$2:$GK$113,0)),"")</f>
        <v xml:space="preserve">ABUSO SEXUAL CON ACCESO CARNAL (VIOLACION) </v>
      </c>
      <c r="KH18" s="207" t="str">
        <f>IFERROR(INDEX($A$2:$A$113,MATCH(ROWS($GL$2:GL18),$GL$2:$GL$113,0)),"")</f>
        <v xml:space="preserve">ABUSO SEXUAL CON ACCESO CARNAL (VIOLACION) </v>
      </c>
      <c r="KI18" s="207" t="str">
        <f>IFERROR(INDEX($A$2:$A$113,MATCH(ROWS($GM$2:GM18),$GM$2:$GM$113,0)),"")</f>
        <v xml:space="preserve">ABUSO SEXUAL CON ACCESO CARNAL (VIOLACION) </v>
      </c>
      <c r="KJ18" s="207" t="str">
        <f>IFERROR(INDEX($A$2:$A$113,MATCH(ROWS($GN$2:GN18),$GN$2:$GN$113,0)),"")</f>
        <v xml:space="preserve">ABUSO SEXUAL CON ACCESO CARNAL (VIOLACION) </v>
      </c>
      <c r="KK18" s="207" t="str">
        <f>IFERROR(INDEX($A$2:$A$113,MATCH(ROWS($GO$2:GO18),$GO$2:$GO$113,0)),"")</f>
        <v xml:space="preserve">ABUSO SEXUAL CON ACCESO CARNAL (VIOLACION) </v>
      </c>
      <c r="KL18" s="207" t="str">
        <f>IFERROR(INDEX($A$2:$A$113,MATCH(ROWS($GP$2:GP18),$GP$2:$GP$113,0)),"")</f>
        <v xml:space="preserve">ABUSO SEXUAL CON ACCESO CARNAL (VIOLACION) </v>
      </c>
      <c r="KM18" s="207" t="str">
        <f>IFERROR(INDEX($A$2:$A$113,MATCH(ROWS($GQ$2:GQ18),$GQ$2:$GQ$113,0)),"")</f>
        <v xml:space="preserve">ABUSO SEXUAL CON ACCESO CARNAL (VIOLACION) </v>
      </c>
      <c r="KN18" s="207" t="str">
        <f>IFERROR(INDEX($A$2:$A$113,MATCH(ROWS($GR$2:GR18),$GR$2:$GR$113,0)),"")</f>
        <v xml:space="preserve">ABUSO SEXUAL CON ACCESO CARNAL (VIOLACION) </v>
      </c>
      <c r="KO18" s="207" t="str">
        <f>IFERROR(INDEX($A$2:$A$113,MATCH(ROWS($GS$2:GS18),$GS$2:$GS$113,0)),"")</f>
        <v xml:space="preserve">ABUSO SEXUAL CON ACCESO CARNAL (VIOLACION) </v>
      </c>
      <c r="KP18" s="207" t="str">
        <f>IFERROR(INDEX($A$2:$A$113,MATCH(ROWS($GT$2:GT18),$GT$2:$GT$113,0)),"")</f>
        <v xml:space="preserve">ABUSO SEXUAL CON ACCESO CARNAL (VIOLACION) </v>
      </c>
      <c r="KQ18" s="207" t="str">
        <f>IFERROR(INDEX($A$2:$A$113,MATCH(ROWS($GU$2:GU18),$GU$2:$GU$113,0)),"")</f>
        <v xml:space="preserve">ABUSO SEXUAL CON ACCESO CARNAL (VIOLACION) </v>
      </c>
      <c r="KR18" s="207" t="str">
        <f>IFERROR(INDEX($A$2:$A$113,MATCH(ROWS($GV$2:GV18),$GV$2:$GV$113,0)),"")</f>
        <v xml:space="preserve">ABUSO SEXUAL CON ACCESO CARNAL (VIOLACION) </v>
      </c>
      <c r="KS18" s="207" t="str">
        <f>IFERROR(INDEX($A$2:$A$113,MATCH(ROWS($GW$2:GW18),$GW$2:$GW$113,0)),"")</f>
        <v xml:space="preserve">ABUSO SEXUAL CON ACCESO CARNAL (VIOLACION) </v>
      </c>
    </row>
    <row r="19" spans="1:305" x14ac:dyDescent="0.25">
      <c r="A19" s="206" t="s">
        <v>894</v>
      </c>
      <c r="B19" s="206">
        <v>10</v>
      </c>
      <c r="D19" s="206" t="s">
        <v>789</v>
      </c>
      <c r="E19" s="206" t="s">
        <v>71</v>
      </c>
      <c r="F19" s="207">
        <f>--ISNUMBER(IFERROR(SEARCH('PLANILLA DJ'!$X$3,$A19,1),""))</f>
        <v>1</v>
      </c>
      <c r="G19" s="207">
        <f>--ISNUMBER(IFERROR(SEARCH('PLANILLA DJ'!$X$4,$A19,1),""))</f>
        <v>1</v>
      </c>
      <c r="H19" s="207">
        <f>--ISNUMBER(IFERROR(SEARCH('PLANILLA DJ'!$X$5,$A19,1),""))</f>
        <v>1</v>
      </c>
      <c r="I19" s="207">
        <f>--ISNUMBER(IFERROR(SEARCH('PLANILLA DJ'!$X$6,$A19,1),""))</f>
        <v>1</v>
      </c>
      <c r="J19" s="207">
        <f>--ISNUMBER(IFERROR(SEARCH('PLANILLA DJ'!$X$7,$A19,1),""))</f>
        <v>1</v>
      </c>
      <c r="K19" s="207">
        <f>--ISNUMBER(IFERROR(SEARCH('PLANILLA DJ'!$X$8,$A19,1),""))</f>
        <v>1</v>
      </c>
      <c r="L19" s="207">
        <f>--ISNUMBER(IFERROR(SEARCH('PLANILLA DJ'!$X$9,$A19,1),""))</f>
        <v>1</v>
      </c>
      <c r="M19" s="207">
        <f>--ISNUMBER(IFERROR(SEARCH('PLANILLA DJ'!$X$10,$A19,1),""))</f>
        <v>1</v>
      </c>
      <c r="N19" s="207">
        <f>--ISNUMBER(IFERROR(SEARCH('PLANILLA DJ'!$X$11,$A19,1),""))</f>
        <v>1</v>
      </c>
      <c r="O19" s="207">
        <f>--ISNUMBER(IFERROR(SEARCH('PLANILLA DJ'!$X$12,$A19,1),""))</f>
        <v>1</v>
      </c>
      <c r="P19" s="207">
        <f>--ISNUMBER(IFERROR(SEARCH('PLANILLA DJ'!$X$13,$A19,1),""))</f>
        <v>1</v>
      </c>
      <c r="Q19" s="207">
        <f>--ISNUMBER(IFERROR(SEARCH('PLANILLA DJ'!$X$14,$A19,1),""))</f>
        <v>1</v>
      </c>
      <c r="R19" s="207">
        <f>--ISNUMBER(IFERROR(SEARCH('PLANILLA DJ'!$X$15,$A19,1),""))</f>
        <v>1</v>
      </c>
      <c r="S19" s="207">
        <f>--ISNUMBER(IFERROR(SEARCH('PLANILLA DJ'!$X$16,$A19,1),""))</f>
        <v>1</v>
      </c>
      <c r="T19" s="207">
        <f>--ISNUMBER(IFERROR(SEARCH('PLANILLA DJ'!$X$17,$A19,1),""))</f>
        <v>1</v>
      </c>
      <c r="U19" s="207">
        <f>--ISNUMBER(IFERROR(SEARCH('PLANILLA DJ'!$X$18,$A19,1),""))</f>
        <v>1</v>
      </c>
      <c r="V19" s="207">
        <f>--ISNUMBER(IFERROR(SEARCH('PLANILLA DJ'!$X$19,$A19,1),""))</f>
        <v>1</v>
      </c>
      <c r="W19" s="207">
        <f>--ISNUMBER(IFERROR(SEARCH('PLANILLA DJ'!$X$20,$A19,1),""))</f>
        <v>1</v>
      </c>
      <c r="X19" s="207">
        <f>--ISNUMBER(IFERROR(SEARCH('PLANILLA DJ'!$X$21,$A19,1),""))</f>
        <v>1</v>
      </c>
      <c r="Y19" s="207">
        <f>--ISNUMBER(IFERROR(SEARCH('PLANILLA DJ'!$X$22,$A19,1),""))</f>
        <v>1</v>
      </c>
      <c r="Z19" s="207">
        <f>--ISNUMBER(IFERROR(SEARCH('PLANILLA DJ'!$X$23,$A19,1),""))</f>
        <v>1</v>
      </c>
      <c r="AA19" s="207">
        <f>--ISNUMBER(IFERROR(SEARCH('PLANILLA DJ'!$X$24,$A19,1),""))</f>
        <v>1</v>
      </c>
      <c r="AB19" s="207">
        <f>--ISNUMBER(IFERROR(SEARCH('PLANILLA DJ'!$X$25,$A19,1),""))</f>
        <v>1</v>
      </c>
      <c r="AC19" s="207">
        <f>--ISNUMBER(IFERROR(SEARCH('PLANILLA DJ'!$X$26,$A19,1),""))</f>
        <v>1</v>
      </c>
      <c r="AD19" s="207">
        <f>--ISNUMBER(IFERROR(SEARCH('PLANILLA DJ'!$X$27,$A19,1),""))</f>
        <v>1</v>
      </c>
      <c r="AE19" s="207">
        <f>--ISNUMBER(IFERROR(SEARCH('PLANILLA DJ'!$X$28,$A19,1),""))</f>
        <v>1</v>
      </c>
      <c r="AF19" s="207">
        <f>--ISNUMBER(IFERROR(SEARCH('PLANILLA DJ'!$X$29,$A19,1),""))</f>
        <v>1</v>
      </c>
      <c r="AG19" s="207">
        <f>--ISNUMBER(IFERROR(SEARCH('PLANILLA DJ'!$X$30,$A19,1),""))</f>
        <v>1</v>
      </c>
      <c r="AH19" s="207">
        <f>--ISNUMBER(IFERROR(SEARCH('PLANILLA DJ'!$X$31,$A19,1),""))</f>
        <v>1</v>
      </c>
      <c r="AI19" s="207">
        <f>--ISNUMBER(IFERROR(SEARCH('PLANILLA DJ'!$X$32,$A19,1),""))</f>
        <v>1</v>
      </c>
      <c r="AJ19" s="207">
        <f>--ISNUMBER(IFERROR(SEARCH('PLANILLA DJ'!$X$33,$A19,1),""))</f>
        <v>1</v>
      </c>
      <c r="AK19" s="207">
        <f>--ISNUMBER(IFERROR(SEARCH('PLANILLA DJ'!$X$34,$A19,1),""))</f>
        <v>1</v>
      </c>
      <c r="AL19" s="207">
        <f>--ISNUMBER(IFERROR(SEARCH('PLANILLA DJ'!$X$35,$A19,1),""))</f>
        <v>1</v>
      </c>
      <c r="AM19" s="207">
        <f>--ISNUMBER(IFERROR(SEARCH('PLANILLA DJ'!$X$36,$A19,1),""))</f>
        <v>1</v>
      </c>
      <c r="AN19" s="207">
        <f>--ISNUMBER(IFERROR(SEARCH('PLANILLA DJ'!$X$37,$A19,1),""))</f>
        <v>1</v>
      </c>
      <c r="AO19" s="207">
        <f>--ISNUMBER(IFERROR(SEARCH('PLANILLA DJ'!$X$38,$A19,1),""))</f>
        <v>1</v>
      </c>
      <c r="AP19" s="207">
        <f>--ISNUMBER(IFERROR(SEARCH('PLANILLA DJ'!$X$39,$A19,1),""))</f>
        <v>1</v>
      </c>
      <c r="AQ19" s="207">
        <f>--ISNUMBER(IFERROR(SEARCH('PLANILLA DJ'!$X$40,$A19,1),""))</f>
        <v>1</v>
      </c>
      <c r="AR19" s="207">
        <f>--ISNUMBER(IFERROR(SEARCH('PLANILLA DJ'!$X$41,$A19,1),""))</f>
        <v>1</v>
      </c>
      <c r="AS19" s="207">
        <f>--ISNUMBER(IFERROR(SEARCH('PLANILLA DJ'!$X$42,$A19,1),""))</f>
        <v>1</v>
      </c>
      <c r="AT19" s="207">
        <f>--ISNUMBER(IFERROR(SEARCH('PLANILLA DJ'!$X$43,$A19,1),""))</f>
        <v>1</v>
      </c>
      <c r="AU19" s="207">
        <f>--ISNUMBER(IFERROR(SEARCH('PLANILLA DJ'!$X$44,$A19,1),""))</f>
        <v>1</v>
      </c>
      <c r="AV19" s="207">
        <f>--ISNUMBER(IFERROR(SEARCH('PLANILLA DJ'!$X$45,$A19,1),""))</f>
        <v>1</v>
      </c>
      <c r="AW19" s="207">
        <f>--ISNUMBER(IFERROR(SEARCH('PLANILLA DJ'!$X$46,$A19,1),""))</f>
        <v>1</v>
      </c>
      <c r="AX19" s="207">
        <f>--ISNUMBER(IFERROR(SEARCH('PLANILLA DJ'!$X$47,$A19,1),""))</f>
        <v>1</v>
      </c>
      <c r="AY19" s="207">
        <f>--ISNUMBER(IFERROR(SEARCH('PLANILLA DJ'!$X$48,$A19,1),""))</f>
        <v>1</v>
      </c>
      <c r="AZ19" s="207">
        <f>--ISNUMBER(IFERROR(SEARCH('PLANILLA DJ'!$X$49,$A19,1),""))</f>
        <v>1</v>
      </c>
      <c r="BA19" s="207">
        <f>--ISNUMBER(IFERROR(SEARCH('PLANILLA DJ'!$X$50,$A19,1),""))</f>
        <v>1</v>
      </c>
      <c r="BB19" s="207">
        <f>--ISNUMBER(IFERROR(SEARCH('PLANILLA DJ'!$X$51,$A19,1),""))</f>
        <v>1</v>
      </c>
      <c r="BC19" s="207">
        <f>--ISNUMBER(IFERROR(SEARCH('PLANILLA DJ'!$X$52,$A19,1),""))</f>
        <v>1</v>
      </c>
      <c r="BD19" s="207">
        <f>--ISNUMBER(IFERROR(SEARCH('PLANILLA DJ'!$X$53,$A19,1),""))</f>
        <v>1</v>
      </c>
      <c r="BE19" s="207">
        <f>--ISNUMBER(IFERROR(SEARCH('PLANILLA DJ'!$X$54,$A19,1),""))</f>
        <v>1</v>
      </c>
      <c r="BF19" s="207">
        <f>--ISNUMBER(IFERROR(SEARCH('PLANILLA DJ'!$X$55,$A19,1),""))</f>
        <v>1</v>
      </c>
      <c r="BG19" s="207">
        <f>--ISNUMBER(IFERROR(SEARCH('PLANILLA DJ'!$X$56,$A19,1),""))</f>
        <v>1</v>
      </c>
      <c r="BH19" s="207">
        <f>--ISNUMBER(IFERROR(SEARCH('PLANILLA DJ'!$X$57,$A19,1),""))</f>
        <v>1</v>
      </c>
      <c r="BI19" s="207">
        <f>--ISNUMBER(IFERROR(SEARCH('PLANILLA DJ'!$X$58,$A19,1),""))</f>
        <v>1</v>
      </c>
      <c r="BJ19" s="207">
        <f>--ISNUMBER(IFERROR(SEARCH('PLANILLA DJ'!$X$59,$A19,1),""))</f>
        <v>1</v>
      </c>
      <c r="BK19" s="207">
        <f>--ISNUMBER(IFERROR(SEARCH('PLANILLA DJ'!$X$60,$A19,1),""))</f>
        <v>1</v>
      </c>
      <c r="BL19" s="207">
        <f>--ISNUMBER(IFERROR(SEARCH('PLANILLA DJ'!$X$61,$A19,1),""))</f>
        <v>1</v>
      </c>
      <c r="BM19" s="207">
        <f>--ISNUMBER(IFERROR(SEARCH('PLANILLA DJ'!$X$62,$A19,1),""))</f>
        <v>1</v>
      </c>
      <c r="BN19" s="207">
        <f>--ISNUMBER(IFERROR(SEARCH('PLANILLA DJ'!$X$63,$A19,1),""))</f>
        <v>1</v>
      </c>
      <c r="BO19" s="207">
        <f>--ISNUMBER(IFERROR(SEARCH('PLANILLA DJ'!$X$64,$A19,1),""))</f>
        <v>1</v>
      </c>
      <c r="BP19" s="207">
        <f>--ISNUMBER(IFERROR(SEARCH('PLANILLA DJ'!$X$65,$A19,1),""))</f>
        <v>1</v>
      </c>
      <c r="BQ19" s="207">
        <f>--ISNUMBER(IFERROR(SEARCH('PLANILLA DJ'!$X$66,$A19,1),""))</f>
        <v>1</v>
      </c>
      <c r="BR19" s="207">
        <f>--ISNUMBER(IFERROR(SEARCH('PLANILLA DJ'!$X$67,$A19,1),""))</f>
        <v>1</v>
      </c>
      <c r="BS19" s="207">
        <f>--ISNUMBER(IFERROR(SEARCH('PLANILLA DJ'!$X$68,$A19,1),""))</f>
        <v>1</v>
      </c>
      <c r="BT19" s="207">
        <f>--ISNUMBER(IFERROR(SEARCH('PLANILLA DJ'!$X$69,$A19,1),""))</f>
        <v>1</v>
      </c>
      <c r="BU19" s="207">
        <f>--ISNUMBER(IFERROR(SEARCH('PLANILLA DJ'!$X$70,$A19,1),""))</f>
        <v>1</v>
      </c>
      <c r="BV19" s="207">
        <f>--ISNUMBER(IFERROR(SEARCH('PLANILLA DJ'!$X$71,$A19,1),""))</f>
        <v>1</v>
      </c>
      <c r="BW19" s="207">
        <f>--ISNUMBER(IFERROR(SEARCH('PLANILLA DJ'!$X$72,$A19,1),""))</f>
        <v>1</v>
      </c>
      <c r="BX19" s="207">
        <f>--ISNUMBER(IFERROR(SEARCH('PLANILLA DJ'!$X$73,$A19,1),""))</f>
        <v>1</v>
      </c>
      <c r="BY19" s="207">
        <f>--ISNUMBER(IFERROR(SEARCH('PLANILLA DJ'!$X$74,$A19,1),""))</f>
        <v>1</v>
      </c>
      <c r="BZ19" s="207">
        <f>--ISNUMBER(IFERROR(SEARCH('PLANILLA DJ'!$X$75,$A19,1),""))</f>
        <v>1</v>
      </c>
      <c r="CA19" s="207">
        <f>--ISNUMBER(IFERROR(SEARCH('PLANILLA DJ'!$X$76,$A19,1),""))</f>
        <v>1</v>
      </c>
      <c r="CB19" s="207">
        <f>--ISNUMBER(IFERROR(SEARCH('PLANILLA DJ'!$X$77,$A19,1),""))</f>
        <v>1</v>
      </c>
      <c r="CC19" s="207">
        <f>--ISNUMBER(IFERROR(SEARCH('PLANILLA DJ'!$X$78,$A19,1),""))</f>
        <v>1</v>
      </c>
      <c r="CD19" s="207">
        <f>--ISNUMBER(IFERROR(SEARCH('PLANILLA DJ'!$X$79,$A19,1),""))</f>
        <v>1</v>
      </c>
      <c r="CE19" s="207">
        <f>--ISNUMBER(IFERROR(SEARCH('PLANILLA DJ'!$X$80,$A19,1),""))</f>
        <v>1</v>
      </c>
      <c r="CF19" s="207">
        <f>--ISNUMBER(IFERROR(SEARCH('PLANILLA DJ'!$X$81,$A19,1),""))</f>
        <v>1</v>
      </c>
      <c r="CG19" s="207">
        <f>--ISNUMBER(IFERROR(SEARCH('PLANILLA DJ'!$X$82,$A19,1),""))</f>
        <v>1</v>
      </c>
      <c r="CH19" s="207">
        <f>--ISNUMBER(IFERROR(SEARCH('PLANILLA DJ'!$X$83,$A19,1),""))</f>
        <v>1</v>
      </c>
      <c r="CI19" s="207">
        <f>--ISNUMBER(IFERROR(SEARCH('PLANILLA DJ'!$X$84,$A19,1),""))</f>
        <v>1</v>
      </c>
      <c r="CJ19" s="207">
        <f>--ISNUMBER(IFERROR(SEARCH('PLANILLA DJ'!$X$85,$A19,1),""))</f>
        <v>1</v>
      </c>
      <c r="CK19" s="207">
        <f>--ISNUMBER(IFERROR(SEARCH('PLANILLA DJ'!$X$86,$A19,1),""))</f>
        <v>1</v>
      </c>
      <c r="CL19" s="207">
        <f>--ISNUMBER(IFERROR(SEARCH('PLANILLA DJ'!$X$87,$A19,1),""))</f>
        <v>1</v>
      </c>
      <c r="CM19" s="207">
        <f>--ISNUMBER(IFERROR(SEARCH('PLANILLA DJ'!$X$88,$A19,1),""))</f>
        <v>1</v>
      </c>
      <c r="CN19" s="207">
        <f>--ISNUMBER(IFERROR(SEARCH('PLANILLA DJ'!$X$89,$A19,1),""))</f>
        <v>1</v>
      </c>
      <c r="CO19" s="207">
        <f>--ISNUMBER(IFERROR(SEARCH('PLANILLA DJ'!$X$90,$A19,1),""))</f>
        <v>1</v>
      </c>
      <c r="CP19" s="207">
        <f>--ISNUMBER(IFERROR(SEARCH('PLANILLA DJ'!$X$91,$A19,1),""))</f>
        <v>1</v>
      </c>
      <c r="CQ19" s="207">
        <f>--ISNUMBER(IFERROR(SEARCH('PLANILLA DJ'!$X$92,$A19,1),""))</f>
        <v>1</v>
      </c>
      <c r="CR19" s="207">
        <f>--ISNUMBER(IFERROR(SEARCH('PLANILLA DJ'!$X$93,$A19,1),""))</f>
        <v>1</v>
      </c>
      <c r="CS19" s="207">
        <f>--ISNUMBER(IFERROR(SEARCH('PLANILLA DJ'!$X$94,$A19,1),""))</f>
        <v>1</v>
      </c>
      <c r="CT19" s="207">
        <f>--ISNUMBER(IFERROR(SEARCH('PLANILLA DJ'!$X$95,$A19,1),""))</f>
        <v>1</v>
      </c>
      <c r="CU19" s="207">
        <f>--ISNUMBER(IFERROR(SEARCH('PLANILLA DJ'!$X$96,$A19,1),""))</f>
        <v>1</v>
      </c>
      <c r="CV19" s="207">
        <f>--ISNUMBER(IFERROR(SEARCH('PLANILLA DJ'!$X$97,$A19,1),""))</f>
        <v>1</v>
      </c>
      <c r="CW19" s="207">
        <f>--ISNUMBER(IFERROR(SEARCH('PLANILLA DJ'!$X$98,$A19,1),""))</f>
        <v>1</v>
      </c>
      <c r="CX19" s="207">
        <f>--ISNUMBER(IFERROR(SEARCH('PLANILLA DJ'!$X$99,$A19,1),""))</f>
        <v>1</v>
      </c>
      <c r="CY19" s="207">
        <f>--ISNUMBER(IFERROR(SEARCH('PLANILLA DJ'!$X$100,$A19,1),""))</f>
        <v>1</v>
      </c>
      <c r="CZ19" s="207">
        <f>--ISNUMBER(IFERROR(SEARCH('PLANILLA DJ'!$X$101,$A19,1),""))</f>
        <v>1</v>
      </c>
      <c r="DA19" s="207">
        <f>--ISNUMBER(IFERROR(SEARCH('PLANILLA DJ'!$X$102,$A19,1),""))</f>
        <v>1</v>
      </c>
      <c r="DB19" s="206">
        <f>IF(F19=1,COUNTIF($F$2:F19,1),"")</f>
        <v>18</v>
      </c>
      <c r="DC19" s="206">
        <f>IF(G19=1,COUNTIF($G$2:G19,1),"")</f>
        <v>18</v>
      </c>
      <c r="DD19" s="206">
        <f>IF(H19=1,COUNTIF($H$2:H19,1),"")</f>
        <v>18</v>
      </c>
      <c r="DE19" s="206">
        <f>IF(I19=1,COUNTIF($I$2:I19,1),"")</f>
        <v>18</v>
      </c>
      <c r="DF19" s="206">
        <f>IF(J19=1,COUNTIF($J$2:J19,1),"")</f>
        <v>18</v>
      </c>
      <c r="DG19" s="206">
        <f>IF(K19=1,COUNTIF($K$2:K19,1),"")</f>
        <v>18</v>
      </c>
      <c r="DH19" s="206">
        <f>IF(L19=1,COUNTIF($L$2:L19,1),"")</f>
        <v>18</v>
      </c>
      <c r="DI19" s="206">
        <f>IF(M19=1,COUNTIF($M$2:M19,1),"")</f>
        <v>18</v>
      </c>
      <c r="DJ19" s="206">
        <f>IF(N19=1,COUNTIF($N$2:N19,1),"")</f>
        <v>18</v>
      </c>
      <c r="DK19" s="206">
        <f>IF(O19=1,COUNTIF($O$2:O19,1),"")</f>
        <v>18</v>
      </c>
      <c r="DL19" s="206">
        <f>IF(P19=1,COUNTIF($P$2:P19,1),"")</f>
        <v>18</v>
      </c>
      <c r="DM19" s="206">
        <f>IF(Q19=1,COUNTIF($Q$2:Q19,1),"")</f>
        <v>18</v>
      </c>
      <c r="DN19" s="207">
        <f>IF(R19=1,COUNTIF($R$2:R19,1),"")</f>
        <v>18</v>
      </c>
      <c r="DO19" s="207">
        <f>IF(S19=1,COUNTIF($S$2:S19,1),"")</f>
        <v>18</v>
      </c>
      <c r="DP19" s="207">
        <f>IF(T19=1,COUNTIF($T$2:T19,1),"")</f>
        <v>18</v>
      </c>
      <c r="DQ19" s="207">
        <f>IF(U19=1,COUNTIF($U$2:U19,1),"")</f>
        <v>18</v>
      </c>
      <c r="DR19" s="207">
        <f>IF(V19=1,COUNTIF($V$2:V19,1),"")</f>
        <v>18</v>
      </c>
      <c r="DS19" s="207">
        <f>IF(W19=1,COUNTIF($W$2:W19,1),"")</f>
        <v>18</v>
      </c>
      <c r="DT19" s="207">
        <f>IF(X19=1,COUNTIF($X$2:X19,1),"")</f>
        <v>18</v>
      </c>
      <c r="DU19" s="207">
        <f>IF(Y19=1,COUNTIF($Y$2:Y19,1),"")</f>
        <v>18</v>
      </c>
      <c r="DV19" s="207">
        <f>IF(Z19=1,COUNTIF(Z$2:Z19,1),"")</f>
        <v>18</v>
      </c>
      <c r="DW19" s="207">
        <f>IF(AA19=1,COUNTIF($AA$2:AA19,1),"")</f>
        <v>18</v>
      </c>
      <c r="DX19" s="207">
        <f>IF(AB19=1,COUNTIF($AB$2:AB19,1),"")</f>
        <v>18</v>
      </c>
      <c r="DY19" s="207">
        <f>IF(AC19=1,COUNTIF($AC$2:AC19,1),"")</f>
        <v>18</v>
      </c>
      <c r="DZ19" s="207">
        <f>IF(AD19=1,COUNTIF($AD$2:AD19,1),"")</f>
        <v>18</v>
      </c>
      <c r="EA19" s="207">
        <f>IF(AE19=1,COUNTIF($AE$2:AE19,1),"")</f>
        <v>18</v>
      </c>
      <c r="EB19" s="207">
        <f>IF(AF19=1,COUNTIF($AF$2:AF19,1),"")</f>
        <v>18</v>
      </c>
      <c r="EC19" s="207">
        <f>IF(AG19=1,COUNTIF($AG$2:AG19,1),"")</f>
        <v>18</v>
      </c>
      <c r="ED19" s="207">
        <f>IF(AH19=1,COUNTIF($AH$2:AH19,1),"")</f>
        <v>18</v>
      </c>
      <c r="EE19" s="207">
        <f>IF(AI19=1,COUNTIF($AI$2:AI19,1),"")</f>
        <v>18</v>
      </c>
      <c r="EF19" s="207">
        <f>IF(AJ19=1,COUNTIF($AJ$2:AJ19,1),"")</f>
        <v>18</v>
      </c>
      <c r="EG19" s="207">
        <f>IF(AK19=1,COUNTIF($AK$2:AK19,1),"")</f>
        <v>18</v>
      </c>
      <c r="EH19" s="207">
        <f>IF(AL19=1,COUNTIF($AL$2:AL19,1),"")</f>
        <v>18</v>
      </c>
      <c r="EI19" s="207">
        <f>IF(AM19=1,COUNTIF($AM$2:AM19,1),"")</f>
        <v>18</v>
      </c>
      <c r="EJ19" s="207">
        <f>IF(AN19=1,COUNTIF($AN$2:AN19,1),"")</f>
        <v>18</v>
      </c>
      <c r="EK19" s="207">
        <f>IF(AO19=1,COUNTIF($AO$2:AO19,1),"")</f>
        <v>18</v>
      </c>
      <c r="EL19" s="207">
        <f>IF(AP19=1,COUNTIF($AP$2:AP19,1),"")</f>
        <v>18</v>
      </c>
      <c r="EM19" s="207">
        <f>IF(AQ19=1,COUNTIF($AQ$2:AQ19,1),"")</f>
        <v>18</v>
      </c>
      <c r="EN19" s="207">
        <f>IF(AR19=1,COUNTIF($AR$2:AR19,1),"")</f>
        <v>18</v>
      </c>
      <c r="EO19" s="207">
        <f>IF(AS19=1,COUNTIF($AS$2:AS19,1),"")</f>
        <v>18</v>
      </c>
      <c r="EP19" s="207">
        <f>IF(AT19=1,COUNTIF($AT$2:AT19,1),"")</f>
        <v>18</v>
      </c>
      <c r="EQ19" s="207">
        <f>IF(AU19=1,COUNTIF($AU$2:AU19,1),"")</f>
        <v>18</v>
      </c>
      <c r="ER19" s="207">
        <f>IF(AV19=1,COUNTIF($AV$2:AV19,1),"")</f>
        <v>18</v>
      </c>
      <c r="ES19" s="207">
        <f>IF(AW19=1,COUNTIF($AW$2:AW19,1),"")</f>
        <v>18</v>
      </c>
      <c r="ET19" s="207">
        <f>IF(AX19=1,COUNTIF($AX$2:AX19,1),"")</f>
        <v>18</v>
      </c>
      <c r="EU19" s="207">
        <f>IF(AY19=1,COUNTIF($AY$2:AY19,1),"")</f>
        <v>18</v>
      </c>
      <c r="EV19" s="207">
        <f>IF(AZ19=1,COUNTIF($AZ$2:AZ19,1),"")</f>
        <v>18</v>
      </c>
      <c r="EW19" s="207">
        <f>IF(BA19=1,COUNTIF($BA$2:BA19,1),"")</f>
        <v>18</v>
      </c>
      <c r="EX19" s="207">
        <f>IF(BB19=1,COUNTIF($BB$2:BB19,1),"")</f>
        <v>18</v>
      </c>
      <c r="EY19" s="207">
        <f>IF(BC19=1,COUNTIF($BC$2:BC19,1),"")</f>
        <v>18</v>
      </c>
      <c r="EZ19" s="207">
        <f>IF(BD19=1,COUNTIF($BD$2:BD19,1),"")</f>
        <v>18</v>
      </c>
      <c r="FA19" s="207">
        <f>IF(BE19=1,COUNTIF($BE$2:BE19,1),"")</f>
        <v>18</v>
      </c>
      <c r="FB19" s="207">
        <f>IF(BF19=1,COUNTIF($BF$2:BF19,1),"")</f>
        <v>18</v>
      </c>
      <c r="FC19" s="207">
        <f>IF(BG19=1,COUNTIF($BG$2:BG19,1),"")</f>
        <v>18</v>
      </c>
      <c r="FD19" s="207">
        <f>IF(BH19=1,COUNTIF($BH$2:BH19,1),"")</f>
        <v>18</v>
      </c>
      <c r="FE19" s="207">
        <f>IF(BI19=1,COUNTIF($BI$2:BI19,1),"")</f>
        <v>18</v>
      </c>
      <c r="FF19" s="207">
        <f>IF(BJ19=1,COUNTIF($BJ$2:BJ19,1),"")</f>
        <v>18</v>
      </c>
      <c r="FG19" s="207">
        <f>IF(BK19=1,COUNTIF($BK$2:BK19,1),"")</f>
        <v>18</v>
      </c>
      <c r="FH19" s="207">
        <f>IF(BL19=1,COUNTIF($BL$2:BL19,1),"")</f>
        <v>18</v>
      </c>
      <c r="FI19" s="207">
        <f>IF(BM19=1,COUNTIF($BM$2:BM19,1),"")</f>
        <v>18</v>
      </c>
      <c r="FJ19" s="207">
        <f>IF(BN19=1,COUNTIF($BN$2:BN19,1),"")</f>
        <v>18</v>
      </c>
      <c r="FK19" s="207">
        <f>IF(BO19=1,COUNTIF($BO$2:BO19,1),"")</f>
        <v>18</v>
      </c>
      <c r="FL19" s="207">
        <f>IF(BP19=1,COUNTIF($BP$2:BP19,1),"")</f>
        <v>18</v>
      </c>
      <c r="FM19" s="207">
        <f>IF(BQ19=1,COUNTIF($BQ$2:BQ19,1),"")</f>
        <v>18</v>
      </c>
      <c r="FN19" s="207">
        <f>IF(BR19=1,COUNTIF($BR$2:BR19,1),"")</f>
        <v>18</v>
      </c>
      <c r="FO19" s="207">
        <f>IF(BS19=1,COUNTIF($BS$2:BS19,1),"")</f>
        <v>18</v>
      </c>
      <c r="FP19" s="207">
        <f>IF(BT19=1,COUNTIF($BT$2:BT19,1),"")</f>
        <v>18</v>
      </c>
      <c r="FQ19" s="207">
        <f>IF(BU19=1,COUNTIF($BU$2:BU19,1),"")</f>
        <v>18</v>
      </c>
      <c r="FR19" s="207">
        <f>IF(BV19=1,COUNTIF($BV$2:BV19,1),"")</f>
        <v>18</v>
      </c>
      <c r="FS19" s="207">
        <f>IF(BW19=1,COUNTIF($BW$2:BW19,1),"")</f>
        <v>18</v>
      </c>
      <c r="FT19" s="207">
        <f>IF(BX19=1,COUNTIF($BX$2:BX19,1),"")</f>
        <v>18</v>
      </c>
      <c r="FU19" s="207">
        <f>IF(BY19=1,COUNTIF($BY$2:BY19,1),"")</f>
        <v>18</v>
      </c>
      <c r="FV19" s="207">
        <f>IF(BZ19=1,COUNTIF($BZ$2:BZ19,1),"")</f>
        <v>18</v>
      </c>
      <c r="FW19" s="207">
        <f>IF(CA19=1,COUNTIF($CA$2:CA19,1),"")</f>
        <v>18</v>
      </c>
      <c r="FX19" s="207">
        <f>IF(CB19=1,COUNTIF($CB$2:CB19,1),"")</f>
        <v>18</v>
      </c>
      <c r="FY19" s="207">
        <f>IF(CC19=1,COUNTIF($CC$2:CC19,1),"")</f>
        <v>18</v>
      </c>
      <c r="FZ19" s="207">
        <f>IF(CD19=1,COUNTIF($CD$2:CD19,1),"")</f>
        <v>18</v>
      </c>
      <c r="GA19" s="207">
        <f>IF(CE19=1,COUNTIF($CE$2:CE19,1),"")</f>
        <v>18</v>
      </c>
      <c r="GB19" s="207">
        <f>IF(CF19=1,COUNTIF($CF$2:CF19,1),"")</f>
        <v>18</v>
      </c>
      <c r="GC19" s="207">
        <f>IF(CG19=1,COUNTIF($CG$2:CG19,1),"")</f>
        <v>18</v>
      </c>
      <c r="GD19" s="207">
        <f>IF(CH19=1,COUNTIF($CH$2:CH19,1),"")</f>
        <v>18</v>
      </c>
      <c r="GE19" s="207">
        <f>IF(CI19=1,COUNTIF($CI$2:CI19,1),"")</f>
        <v>18</v>
      </c>
      <c r="GF19" s="207">
        <f>IF(CJ19=1,COUNTIF($CJ$2:CJ19,1),"")</f>
        <v>18</v>
      </c>
      <c r="GG19" s="207">
        <f>IF(CK19=1,COUNTIF($CK$2:CK19,1),"")</f>
        <v>18</v>
      </c>
      <c r="GH19" s="207">
        <f>IF(CL19=1,COUNTIF($CL$2:CL19,1),"")</f>
        <v>18</v>
      </c>
      <c r="GI19" s="207">
        <f>IF(CM19=1,COUNTIF($CM$2:CM19,1),"")</f>
        <v>18</v>
      </c>
      <c r="GJ19" s="207">
        <f>IF(CN19=1,COUNTIF($CN$2:CN19,1),"")</f>
        <v>18</v>
      </c>
      <c r="GK19" s="207">
        <f>IF(CO19=1,COUNTIF($CO$2:CO19,1),"")</f>
        <v>18</v>
      </c>
      <c r="GL19" s="207">
        <f>IF(CP19=1,COUNTIF($CP$2:CP19,1),"")</f>
        <v>18</v>
      </c>
      <c r="GM19" s="207">
        <f>IF(CQ19=1,COUNTIF($CQ$2:CQ19,1),"")</f>
        <v>18</v>
      </c>
      <c r="GN19" s="207">
        <f>IF(CR19=1,COUNTIF($CR$2:CR19,1),"")</f>
        <v>18</v>
      </c>
      <c r="GO19" s="207">
        <f>IF(CS19=1,COUNTIF($CS$2:CS19,1),"")</f>
        <v>18</v>
      </c>
      <c r="GP19" s="207">
        <f>IF(CT19=1,COUNTIF($CT$2:CT19,1),"")</f>
        <v>18</v>
      </c>
      <c r="GQ19" s="207">
        <f>IF(CU19=1,COUNTIF($CU$2:CU19,1),"")</f>
        <v>18</v>
      </c>
      <c r="GR19" s="207">
        <f>IF(CV19=1,COUNTIF($CV$2:CV19,1),"")</f>
        <v>18</v>
      </c>
      <c r="GS19" s="207">
        <f>IF(CW19=1,COUNTIF($CW$2:CW19,1),"")</f>
        <v>18</v>
      </c>
      <c r="GT19" s="207">
        <f>IF(CX19=1,COUNTIF($CX$2:CX19,1),"")</f>
        <v>18</v>
      </c>
      <c r="GU19" s="207">
        <f>IF(CY19=1,COUNTIF($CY$2:CY19,1),"")</f>
        <v>18</v>
      </c>
      <c r="GV19" s="207">
        <f>IF(CZ19=1,COUNTIF($CZ$2:CZ19,1),"")</f>
        <v>18</v>
      </c>
      <c r="GW19" s="207">
        <f>IF(DA19=1,COUNTIF($DA$2:DA19,1),"")</f>
        <v>18</v>
      </c>
      <c r="GX19" s="206" t="str">
        <f>IFERROR(INDEX($A$2:$A$113,MATCH(ROWS($DB$2:DB19),$DB$2:$DB$113,0)),"")</f>
        <v xml:space="preserve">ABUSO SEXUAL CON ACCESO CARNAL (VIOLACION)  AGRAVADO POR EL VINCULO </v>
      </c>
      <c r="GY19" s="206" t="str">
        <f>IFERROR(INDEX($A$2:$A$113,MATCH(ROWS($DC$2:DC19),$DC$2:$DC$113,0)),"")</f>
        <v xml:space="preserve">ABUSO SEXUAL CON ACCESO CARNAL (VIOLACION)  AGRAVADO POR EL VINCULO </v>
      </c>
      <c r="GZ19" s="206" t="str">
        <f>IFERROR(INDEX($A$2:$A$113,MATCH(ROWS($DD$2:DD19),$DD$2:$DD$113,0)),"")</f>
        <v xml:space="preserve">ABUSO SEXUAL CON ACCESO CARNAL (VIOLACION)  AGRAVADO POR EL VINCULO </v>
      </c>
      <c r="HA19" s="206" t="str">
        <f>IFERROR(INDEX($A$2:$A$113,MATCH(ROWS($DE$2:DE19),$DE$2:$DE$113,0)),"")</f>
        <v xml:space="preserve">ABUSO SEXUAL CON ACCESO CARNAL (VIOLACION)  AGRAVADO POR EL VINCULO </v>
      </c>
      <c r="HB19" s="206" t="str">
        <f>IFERROR(INDEX($A$2:$A$113,MATCH(ROWS($DF$2:DF19),$DF$2:$DF$113,0)),"")</f>
        <v xml:space="preserve">ABUSO SEXUAL CON ACCESO CARNAL (VIOLACION)  AGRAVADO POR EL VINCULO </v>
      </c>
      <c r="HC19" s="206" t="str">
        <f>IFERROR(INDEX($A$2:$A$113,MATCH(ROWS($DG$2:DG19),$DG$2:$DG$113,0)),"")</f>
        <v xml:space="preserve">ABUSO SEXUAL CON ACCESO CARNAL (VIOLACION)  AGRAVADO POR EL VINCULO </v>
      </c>
      <c r="HD19" s="206" t="str">
        <f>IFERROR(INDEX($A$2:$A$113,MATCH(ROWS($DH$2:DH19),$DH$2:$DH$113,0)),"")</f>
        <v xml:space="preserve">ABUSO SEXUAL CON ACCESO CARNAL (VIOLACION)  AGRAVADO POR EL VINCULO </v>
      </c>
      <c r="HE19" s="206" t="str">
        <f>IFERROR(INDEX($A$2:$A$113,MATCH(ROWS($DI$2:DI19),$DI$2:$DI$113,0)),"")</f>
        <v xml:space="preserve">ABUSO SEXUAL CON ACCESO CARNAL (VIOLACION)  AGRAVADO POR EL VINCULO </v>
      </c>
      <c r="HF19" s="206" t="str">
        <f>IFERROR(INDEX($A$2:$A$113,MATCH(ROWS($DJ$2:DJ19),$DJ$2:$DJ$113,0)),"")</f>
        <v xml:space="preserve">ABUSO SEXUAL CON ACCESO CARNAL (VIOLACION)  AGRAVADO POR EL VINCULO </v>
      </c>
      <c r="HG19" s="206" t="str">
        <f>IFERROR(INDEX($A$2:$A$113,MATCH(ROWS($DK$2:DK19),$DK$2:$DK$113,0)),"")</f>
        <v xml:space="preserve">ABUSO SEXUAL CON ACCESO CARNAL (VIOLACION)  AGRAVADO POR EL VINCULO </v>
      </c>
      <c r="HH19" s="206" t="str">
        <f>IFERROR(INDEX($A$2:$A$113,MATCH(ROWS($DL$2:DL19),$DL$2:$DL$113,0)),"")</f>
        <v xml:space="preserve">ABUSO SEXUAL CON ACCESO CARNAL (VIOLACION)  AGRAVADO POR EL VINCULO </v>
      </c>
      <c r="HI19" s="206" t="str">
        <f>IFERROR(INDEX($A$2:$A$113,MATCH(ROWS($DM$2:DM19),$DM$2:$DM$113,0)),"")</f>
        <v xml:space="preserve">ABUSO SEXUAL CON ACCESO CARNAL (VIOLACION)  AGRAVADO POR EL VINCULO </v>
      </c>
      <c r="HJ19" s="206" t="str">
        <f>IFERROR(INDEX($A$2:$A$113,MATCH(ROWS($DN$2:DN19),$DN$2:$DN$113,0)),"")</f>
        <v xml:space="preserve">ABUSO SEXUAL CON ACCESO CARNAL (VIOLACION)  AGRAVADO POR EL VINCULO </v>
      </c>
      <c r="HK19" s="206" t="str">
        <f>IFERROR(INDEX($A$2:$A$113,MATCH(ROWS($DO$2:DO19),$DO$2:$DO$113,0)),"")</f>
        <v xml:space="preserve">ABUSO SEXUAL CON ACCESO CARNAL (VIOLACION)  AGRAVADO POR EL VINCULO </v>
      </c>
      <c r="HL19" s="206" t="str">
        <f>IFERROR(INDEX($A$2:$A$113,MATCH(ROWS($DP$2:DP19),$DP$2:$DP$113,0)),"")</f>
        <v xml:space="preserve">ABUSO SEXUAL CON ACCESO CARNAL (VIOLACION)  AGRAVADO POR EL VINCULO </v>
      </c>
      <c r="HM19" s="206" t="str">
        <f>IFERROR(INDEX($A$2:$A$113,MATCH(ROWS($DQ$2:DQ19),$DQ$2:$DQ$113,0)),"")</f>
        <v xml:space="preserve">ABUSO SEXUAL CON ACCESO CARNAL (VIOLACION)  AGRAVADO POR EL VINCULO </v>
      </c>
      <c r="HN19" s="206" t="str">
        <f>IFERROR(INDEX($A$2:$A$113,MATCH(ROWS($DR$2:DR19),$DR$2:$DR$113,0)),"")</f>
        <v xml:space="preserve">ABUSO SEXUAL CON ACCESO CARNAL (VIOLACION)  AGRAVADO POR EL VINCULO </v>
      </c>
      <c r="HO19" s="206" t="str">
        <f>IFERROR(INDEX($A$2:$A$113,MATCH(ROWS($DS$2:DS19),$DS$2:$DS$113,0)),"")</f>
        <v xml:space="preserve">ABUSO SEXUAL CON ACCESO CARNAL (VIOLACION)  AGRAVADO POR EL VINCULO </v>
      </c>
      <c r="HP19" s="206" t="str">
        <f>IFERROR(INDEX($A$2:$A$113,MATCH(ROWS($DT$2:DT19),$DT$2:$DT$113,0)),"")</f>
        <v xml:space="preserve">ABUSO SEXUAL CON ACCESO CARNAL (VIOLACION)  AGRAVADO POR EL VINCULO </v>
      </c>
      <c r="HQ19" s="206" t="str">
        <f>IFERROR(INDEX($A$2:$A$113,MATCH(ROWS($DU$2:DU19),$DU$2:$DU$113,0)),"")</f>
        <v xml:space="preserve">ABUSO SEXUAL CON ACCESO CARNAL (VIOLACION)  AGRAVADO POR EL VINCULO </v>
      </c>
      <c r="HR19" s="206" t="str">
        <f>IFERROR(INDEX($A$2:$A$113,MATCH(ROWS($DV$2:DV19),$DV$2:$DV$113,0)),"")</f>
        <v xml:space="preserve">ABUSO SEXUAL CON ACCESO CARNAL (VIOLACION)  AGRAVADO POR EL VINCULO </v>
      </c>
      <c r="HS19" s="206" t="str">
        <f>IFERROR(INDEX($A$2:$A$113,MATCH(ROWS($DW$2:DW19),$DW$2:$DW$113,0)),"")</f>
        <v xml:space="preserve">ABUSO SEXUAL CON ACCESO CARNAL (VIOLACION)  AGRAVADO POR EL VINCULO </v>
      </c>
      <c r="HT19" s="206" t="str">
        <f>IFERROR(INDEX($A$2:$A$113,MATCH(ROWS($DX$2:DX19),$DX$2:$DX$113,0)),"")</f>
        <v xml:space="preserve">ABUSO SEXUAL CON ACCESO CARNAL (VIOLACION)  AGRAVADO POR EL VINCULO </v>
      </c>
      <c r="HU19" s="206" t="str">
        <f>IFERROR(INDEX($A$2:$A$113,MATCH(ROWS($DY$2:DY19),$DY$2:$DY$113,0)),"")</f>
        <v xml:space="preserve">ABUSO SEXUAL CON ACCESO CARNAL (VIOLACION)  AGRAVADO POR EL VINCULO </v>
      </c>
      <c r="HV19" s="206" t="str">
        <f>IFERROR(INDEX($A$2:$A$113,MATCH(ROWS($DZ$2:DZ19),$DZ$2:$DZ$113,0)),"")</f>
        <v xml:space="preserve">ABUSO SEXUAL CON ACCESO CARNAL (VIOLACION)  AGRAVADO POR EL VINCULO </v>
      </c>
      <c r="HW19" s="206" t="str">
        <f>IFERROR(INDEX($A$2:$A$113,MATCH(ROWS($EA$2:EA19),$EA$2:$EA$113,0)),"")</f>
        <v xml:space="preserve">ABUSO SEXUAL CON ACCESO CARNAL (VIOLACION)  AGRAVADO POR EL VINCULO </v>
      </c>
      <c r="HX19" s="206" t="str">
        <f>IFERROR(INDEX($A$2:$A$113,MATCH(ROWS($EB$2:EB19),$EB$2:$EB$113,0)),"")</f>
        <v xml:space="preserve">ABUSO SEXUAL CON ACCESO CARNAL (VIOLACION)  AGRAVADO POR EL VINCULO </v>
      </c>
      <c r="HY19" s="206" t="str">
        <f>IFERROR(INDEX($A$2:$A$113,MATCH(ROWS($EC$2:EC19),$EC$2:$EC$113,0)),"")</f>
        <v xml:space="preserve">ABUSO SEXUAL CON ACCESO CARNAL (VIOLACION)  AGRAVADO POR EL VINCULO </v>
      </c>
      <c r="HZ19" s="206" t="str">
        <f>IFERROR(INDEX($A$2:$A$113,MATCH(ROWS($ED$2:ED19),$ED$2:$ED$113,0)),"")</f>
        <v xml:space="preserve">ABUSO SEXUAL CON ACCESO CARNAL (VIOLACION)  AGRAVADO POR EL VINCULO </v>
      </c>
      <c r="IA19" s="206" t="str">
        <f>IFERROR(INDEX($A$2:$A$113,MATCH(ROWS($EE$2:EE19),$EE$2:$EE$113,0)),"")</f>
        <v xml:space="preserve">ABUSO SEXUAL CON ACCESO CARNAL (VIOLACION)  AGRAVADO POR EL VINCULO </v>
      </c>
      <c r="IB19" s="206" t="str">
        <f>IFERROR(INDEX($A$2:$A$113,MATCH(ROWS($EF$2:EF19),$EF$2:$EF$113,0)),"")</f>
        <v xml:space="preserve">ABUSO SEXUAL CON ACCESO CARNAL (VIOLACION)  AGRAVADO POR EL VINCULO </v>
      </c>
      <c r="IC19" s="206" t="str">
        <f>IFERROR(INDEX($A$2:$A$113,MATCH(ROWS($EG$2:EG19),$EG$2:$EG$113,0)),"")</f>
        <v xml:space="preserve">ABUSO SEXUAL CON ACCESO CARNAL (VIOLACION)  AGRAVADO POR EL VINCULO </v>
      </c>
      <c r="ID19" s="206" t="str">
        <f>IFERROR(INDEX($A$2:$A$113,MATCH(ROWS($EH$2:EH19),$EH$2:$EH$113,0)),"")</f>
        <v xml:space="preserve">ABUSO SEXUAL CON ACCESO CARNAL (VIOLACION)  AGRAVADO POR EL VINCULO </v>
      </c>
      <c r="IE19" s="206" t="str">
        <f>IFERROR(INDEX($A$2:$A$113,MATCH(ROWS($EI$2:EI19),$EI$2:$EI$113,0)),"")</f>
        <v xml:space="preserve">ABUSO SEXUAL CON ACCESO CARNAL (VIOLACION)  AGRAVADO POR EL VINCULO </v>
      </c>
      <c r="IF19" s="206" t="str">
        <f>IFERROR(INDEX($A$2:$A$113,MATCH(ROWS($EJ$2:EJ19),$EJ$2:$EJ$113,0)),"")</f>
        <v xml:space="preserve">ABUSO SEXUAL CON ACCESO CARNAL (VIOLACION)  AGRAVADO POR EL VINCULO </v>
      </c>
      <c r="IG19" s="206" t="str">
        <f>IFERROR(INDEX($A$2:$A$113,MATCH(ROWS($EK$2:EK19),$EK$2:$EK$113,0)),"")</f>
        <v xml:space="preserve">ABUSO SEXUAL CON ACCESO CARNAL (VIOLACION)  AGRAVADO POR EL VINCULO </v>
      </c>
      <c r="IH19" s="206" t="str">
        <f>IFERROR(INDEX($A$2:$A$113,MATCH(ROWS($EL$2:EL19),$EL$2:$EL$113,0)),"")</f>
        <v xml:space="preserve">ABUSO SEXUAL CON ACCESO CARNAL (VIOLACION)  AGRAVADO POR EL VINCULO </v>
      </c>
      <c r="II19" s="206" t="str">
        <f>IFERROR(INDEX($A$2:$A$113,MATCH(ROWS($EM$2:EM19),$EM$2:$EM$113,0)),"")</f>
        <v xml:space="preserve">ABUSO SEXUAL CON ACCESO CARNAL (VIOLACION)  AGRAVADO POR EL VINCULO </v>
      </c>
      <c r="IJ19" s="206" t="str">
        <f>IFERROR(INDEX($A$2:$A$113,MATCH(ROWS($EN$2:EN19),$EN$2:$EN$113,0)),"")</f>
        <v xml:space="preserve">ABUSO SEXUAL CON ACCESO CARNAL (VIOLACION)  AGRAVADO POR EL VINCULO </v>
      </c>
      <c r="IK19" s="207" t="str">
        <f>IFERROR(INDEX($A$2:$A$113,MATCH(ROWS($EO$2:EO19),$EO$2:$EO$113,0)),"")</f>
        <v xml:space="preserve">ABUSO SEXUAL CON ACCESO CARNAL (VIOLACION)  AGRAVADO POR EL VINCULO </v>
      </c>
      <c r="IL19" s="207" t="str">
        <f>IFERROR(INDEX($A$2:$A$113,MATCH(ROWS($EP$2:EP19),$EP$2:$EP$113,0)),"")</f>
        <v xml:space="preserve">ABUSO SEXUAL CON ACCESO CARNAL (VIOLACION)  AGRAVADO POR EL VINCULO </v>
      </c>
      <c r="IM19" s="207" t="str">
        <f>IFERROR(INDEX($A$2:$A$113,MATCH(ROWS($EQ$2:EQ19),$EQ$2:$EQ$113,0)),"")</f>
        <v xml:space="preserve">ABUSO SEXUAL CON ACCESO CARNAL (VIOLACION)  AGRAVADO POR EL VINCULO </v>
      </c>
      <c r="IN19" s="207" t="str">
        <f>IFERROR(INDEX($A$2:$A$113,MATCH(ROWS($ER$2:ER19),$ER$2:$ER$113,0)),"")</f>
        <v xml:space="preserve">ABUSO SEXUAL CON ACCESO CARNAL (VIOLACION)  AGRAVADO POR EL VINCULO </v>
      </c>
      <c r="IO19" s="207" t="str">
        <f>IFERROR(INDEX($A$2:$A$113,MATCH(ROWS($ES$2:ES19),$ES$2:$ES$113,0)),"")</f>
        <v xml:space="preserve">ABUSO SEXUAL CON ACCESO CARNAL (VIOLACION)  AGRAVADO POR EL VINCULO </v>
      </c>
      <c r="IP19" s="207" t="str">
        <f>IFERROR(INDEX($A$2:$A$113,MATCH(ROWS($ET$2:ET19),$ET$2:$ET$113,0)),"")</f>
        <v xml:space="preserve">ABUSO SEXUAL CON ACCESO CARNAL (VIOLACION)  AGRAVADO POR EL VINCULO </v>
      </c>
      <c r="IQ19" s="207" t="str">
        <f>IFERROR(INDEX($A$2:$A$113,MATCH(ROWS($EU$2:EU19),$EU$2:$EU$113,0)),"")</f>
        <v xml:space="preserve">ABUSO SEXUAL CON ACCESO CARNAL (VIOLACION)  AGRAVADO POR EL VINCULO </v>
      </c>
      <c r="IR19" s="207" t="str">
        <f>IFERROR(INDEX($A$2:$A$113,MATCH(ROWS($EV$2:EV19),$EV$2:$EV$113,0)),"")</f>
        <v xml:space="preserve">ABUSO SEXUAL CON ACCESO CARNAL (VIOLACION)  AGRAVADO POR EL VINCULO </v>
      </c>
      <c r="IS19" s="207" t="str">
        <f>IFERROR(INDEX($A$2:$A$113,MATCH(ROWS($EW$2:EW19),$EW$2:$EW$113,0)),"")</f>
        <v xml:space="preserve">ABUSO SEXUAL CON ACCESO CARNAL (VIOLACION)  AGRAVADO POR EL VINCULO </v>
      </c>
      <c r="IT19" s="207" t="str">
        <f>IFERROR(INDEX($A$2:$A$113,MATCH(ROWS($EX$2:EX19),$EX$2:$EX$113,0)),"")</f>
        <v xml:space="preserve">ABUSO SEXUAL CON ACCESO CARNAL (VIOLACION)  AGRAVADO POR EL VINCULO </v>
      </c>
      <c r="IU19" s="207" t="str">
        <f>IFERROR(INDEX($A$2:$A$113,MATCH(ROWS($EY$2:EY19),$EY$2:$EY$113,0)),"")</f>
        <v xml:space="preserve">ABUSO SEXUAL CON ACCESO CARNAL (VIOLACION)  AGRAVADO POR EL VINCULO </v>
      </c>
      <c r="IV19" s="207" t="str">
        <f>IFERROR(INDEX($A$2:$A$113,MATCH(ROWS($EZ$2:EZ19),$EZ$2:$EZ$113,0)),"")</f>
        <v xml:space="preserve">ABUSO SEXUAL CON ACCESO CARNAL (VIOLACION)  AGRAVADO POR EL VINCULO </v>
      </c>
      <c r="IW19" s="207" t="str">
        <f>IFERROR(INDEX($A$2:$A$113,MATCH(ROWS($FA$2:FA19),$FA$2:$FA$113,0)),"")</f>
        <v xml:space="preserve">ABUSO SEXUAL CON ACCESO CARNAL (VIOLACION)  AGRAVADO POR EL VINCULO </v>
      </c>
      <c r="IX19" s="207" t="str">
        <f>IFERROR(INDEX($A$2:$A$113,MATCH(ROWS($FB$2:FB19),$FB$2:$FB$113,0)),"")</f>
        <v xml:space="preserve">ABUSO SEXUAL CON ACCESO CARNAL (VIOLACION)  AGRAVADO POR EL VINCULO </v>
      </c>
      <c r="IY19" s="207" t="str">
        <f>IFERROR(INDEX($A$2:$A$113,MATCH(ROWS($FC$2:FC19),$FC$2:$FC$113,0)),"")</f>
        <v xml:space="preserve">ABUSO SEXUAL CON ACCESO CARNAL (VIOLACION)  AGRAVADO POR EL VINCULO </v>
      </c>
      <c r="IZ19" s="207" t="str">
        <f>IFERROR(INDEX($A$2:$A$113,MATCH(ROWS($FD$2:FD19),$FD$2:$FD$113,0)),"")</f>
        <v xml:space="preserve">ABUSO SEXUAL CON ACCESO CARNAL (VIOLACION)  AGRAVADO POR EL VINCULO </v>
      </c>
      <c r="JA19" s="207" t="str">
        <f>IFERROR(INDEX($A$2:$A$113,MATCH(ROWS($FE$2:FE19),$FE$2:$FE$113,0)),"")</f>
        <v xml:space="preserve">ABUSO SEXUAL CON ACCESO CARNAL (VIOLACION)  AGRAVADO POR EL VINCULO </v>
      </c>
      <c r="JB19" s="207" t="str">
        <f>IFERROR(INDEX($A$2:$A$113,MATCH(ROWS($FF$2:FF19),$FF$2:$FF$113,0)),"")</f>
        <v xml:space="preserve">ABUSO SEXUAL CON ACCESO CARNAL (VIOLACION)  AGRAVADO POR EL VINCULO </v>
      </c>
      <c r="JC19" s="207" t="str">
        <f>IFERROR(INDEX($A$2:$A$113,MATCH(ROWS($FG$2:FG19),$FG$2:$FG$113,0)),"")</f>
        <v xml:space="preserve">ABUSO SEXUAL CON ACCESO CARNAL (VIOLACION)  AGRAVADO POR EL VINCULO </v>
      </c>
      <c r="JD19" s="207" t="str">
        <f>IFERROR(INDEX($A$2:$A$113,MATCH(ROWS($FH$2:FH19),$FH$2:$FH$113,0)),"")</f>
        <v xml:space="preserve">ABUSO SEXUAL CON ACCESO CARNAL (VIOLACION)  AGRAVADO POR EL VINCULO </v>
      </c>
      <c r="JE19" s="207" t="str">
        <f>IFERROR(INDEX($A$2:$A$113,MATCH(ROWS($FI$2:FI19),$FI$2:$FI$113,0)),"")</f>
        <v xml:space="preserve">ABUSO SEXUAL CON ACCESO CARNAL (VIOLACION)  AGRAVADO POR EL VINCULO </v>
      </c>
      <c r="JF19" s="207" t="str">
        <f>IFERROR(INDEX($A$2:$A$113,MATCH(ROWS($FJ$2:FJ19),$FJ$2:$FJ$113,0)),"")</f>
        <v xml:space="preserve">ABUSO SEXUAL CON ACCESO CARNAL (VIOLACION)  AGRAVADO POR EL VINCULO </v>
      </c>
      <c r="JG19" s="207" t="str">
        <f>IFERROR(INDEX($A$2:$A$113,MATCH(ROWS($FK$2:FK19),$FK$2:$FK$113,0)),"")</f>
        <v xml:space="preserve">ABUSO SEXUAL CON ACCESO CARNAL (VIOLACION)  AGRAVADO POR EL VINCULO </v>
      </c>
      <c r="JH19" s="207" t="str">
        <f>IFERROR(INDEX($A$2:$A$113,MATCH(ROWS($FL$2:FL19),$FL$2:$FL$113,0)),"")</f>
        <v xml:space="preserve">ABUSO SEXUAL CON ACCESO CARNAL (VIOLACION)  AGRAVADO POR EL VINCULO </v>
      </c>
      <c r="JI19" s="207" t="str">
        <f>IFERROR(INDEX($A$2:$A$113,MATCH(ROWS($FM$2:FM19),$FM$2:$FM$113,0)),"")</f>
        <v xml:space="preserve">ABUSO SEXUAL CON ACCESO CARNAL (VIOLACION)  AGRAVADO POR EL VINCULO </v>
      </c>
      <c r="JJ19" s="207" t="str">
        <f>IFERROR(INDEX($A$2:$A$113,MATCH(ROWS($FN$2:FN19),$FN$2:$FN$113,0)),"")</f>
        <v xml:space="preserve">ABUSO SEXUAL CON ACCESO CARNAL (VIOLACION)  AGRAVADO POR EL VINCULO </v>
      </c>
      <c r="JK19" s="207" t="str">
        <f>IFERROR(INDEX($A$2:$A$113,MATCH(ROWS($FO$2:FO19),$FO$2:$FO$113,0)),"")</f>
        <v xml:space="preserve">ABUSO SEXUAL CON ACCESO CARNAL (VIOLACION)  AGRAVADO POR EL VINCULO </v>
      </c>
      <c r="JL19" s="207" t="str">
        <f>IFERROR(INDEX($A$2:$A$113,MATCH(ROWS($FP$2:FP19),$FP$2:$FP$113,0)),"")</f>
        <v xml:space="preserve">ABUSO SEXUAL CON ACCESO CARNAL (VIOLACION)  AGRAVADO POR EL VINCULO </v>
      </c>
      <c r="JM19" s="207" t="str">
        <f>IFERROR(INDEX($A$2:$A$113,MATCH(ROWS($FQ$2:FQ19),$FQ$2:$FQ$113,0)),"")</f>
        <v xml:space="preserve">ABUSO SEXUAL CON ACCESO CARNAL (VIOLACION)  AGRAVADO POR EL VINCULO </v>
      </c>
      <c r="JN19" s="207" t="str">
        <f>IFERROR(INDEX($A$2:$A$113,MATCH(ROWS($FR$2:FR19),$FR$2:$FR$113,0)),"")</f>
        <v xml:space="preserve">ABUSO SEXUAL CON ACCESO CARNAL (VIOLACION)  AGRAVADO POR EL VINCULO </v>
      </c>
      <c r="JO19" s="207" t="str">
        <f>IFERROR(INDEX($A$2:$A$113,MATCH(ROWS($FS$2:FS19),$FS$2:$FS$113,0)),"")</f>
        <v xml:space="preserve">ABUSO SEXUAL CON ACCESO CARNAL (VIOLACION)  AGRAVADO POR EL VINCULO </v>
      </c>
      <c r="JP19" s="207" t="str">
        <f>IFERROR(INDEX($A$2:$A$113,MATCH(ROWS($FT$2:FT19),$FT$2:$FT$113,0)),"")</f>
        <v xml:space="preserve">ABUSO SEXUAL CON ACCESO CARNAL (VIOLACION)  AGRAVADO POR EL VINCULO </v>
      </c>
      <c r="JQ19" s="207" t="str">
        <f>IFERROR(INDEX($A$2:$A$113,MATCH(ROWS($FU$2:FU19),$FU$2:$FU$113,0)),"")</f>
        <v xml:space="preserve">ABUSO SEXUAL CON ACCESO CARNAL (VIOLACION)  AGRAVADO POR EL VINCULO </v>
      </c>
      <c r="JR19" s="207" t="str">
        <f>IFERROR(INDEX($A$2:$A$113,MATCH(ROWS($FV$2:FV19),$FV$2:$FV$113,0)),"")</f>
        <v xml:space="preserve">ABUSO SEXUAL CON ACCESO CARNAL (VIOLACION)  AGRAVADO POR EL VINCULO </v>
      </c>
      <c r="JS19" s="207" t="str">
        <f>IFERROR(INDEX($A$2:$A$113,MATCH(ROWS($FW$2:FW19),$FW$2:$FW$113,0)),"")</f>
        <v xml:space="preserve">ABUSO SEXUAL CON ACCESO CARNAL (VIOLACION)  AGRAVADO POR EL VINCULO </v>
      </c>
      <c r="JT19" s="207" t="str">
        <f>IFERROR(INDEX($A$2:$A$113,MATCH(ROWS($FX$2:FX19),$FX$2:$FX$113,0)),"")</f>
        <v xml:space="preserve">ABUSO SEXUAL CON ACCESO CARNAL (VIOLACION)  AGRAVADO POR EL VINCULO </v>
      </c>
      <c r="JU19" s="207" t="str">
        <f>IFERROR(INDEX($A$2:$A$113,MATCH(ROWS($FY$2:FY19),$FY$2:$FY$113,0)),"")</f>
        <v xml:space="preserve">ABUSO SEXUAL CON ACCESO CARNAL (VIOLACION)  AGRAVADO POR EL VINCULO </v>
      </c>
      <c r="JV19" s="207" t="str">
        <f>IFERROR(INDEX($A$2:$A$113,MATCH(ROWS($FZ$2:FZ19),$FZ$2:$FZ$113,0)),"")</f>
        <v xml:space="preserve">ABUSO SEXUAL CON ACCESO CARNAL (VIOLACION)  AGRAVADO POR EL VINCULO </v>
      </c>
      <c r="JW19" s="207" t="str">
        <f>IFERROR(INDEX($A$2:$A$113,MATCH(ROWS($GA$2:GA19),$GA$2:$GA$113,0)),"")</f>
        <v xml:space="preserve">ABUSO SEXUAL CON ACCESO CARNAL (VIOLACION)  AGRAVADO POR EL VINCULO </v>
      </c>
      <c r="JX19" s="207" t="str">
        <f>IFERROR(INDEX($A$2:$A$113,MATCH(ROWS($GB$2:GB19),$GB$2:$GB$113,0)),"")</f>
        <v xml:space="preserve">ABUSO SEXUAL CON ACCESO CARNAL (VIOLACION)  AGRAVADO POR EL VINCULO </v>
      </c>
      <c r="JY19" s="207" t="str">
        <f>IFERROR(INDEX($A$2:$A$113,MATCH(ROWS($GC$2:GC19),$GC$2:$GC$113,0)),"")</f>
        <v xml:space="preserve">ABUSO SEXUAL CON ACCESO CARNAL (VIOLACION)  AGRAVADO POR EL VINCULO </v>
      </c>
      <c r="JZ19" s="207" t="str">
        <f>IFERROR(INDEX($A$2:$A$113,MATCH(ROWS($GD$2:GD19),$GD$2:$GD$113,0)),"")</f>
        <v xml:space="preserve">ABUSO SEXUAL CON ACCESO CARNAL (VIOLACION)  AGRAVADO POR EL VINCULO </v>
      </c>
      <c r="KA19" s="207" t="str">
        <f>IFERROR(INDEX($A$2:$A$113,MATCH(ROWS($GE$2:GE19),$GE$2:$GE$113,0)),"")</f>
        <v xml:space="preserve">ABUSO SEXUAL CON ACCESO CARNAL (VIOLACION)  AGRAVADO POR EL VINCULO </v>
      </c>
      <c r="KB19" s="207" t="str">
        <f>IFERROR(INDEX($A$2:$A$113,MATCH(ROWS($GF$2:GF19),$GF$2:$GF$113,0)),"")</f>
        <v xml:space="preserve">ABUSO SEXUAL CON ACCESO CARNAL (VIOLACION)  AGRAVADO POR EL VINCULO </v>
      </c>
      <c r="KC19" s="207" t="str">
        <f>IFERROR(INDEX($A$2:$A$113,MATCH(ROWS($GG$2:GG19),$GG$2:$GG$113,0)),"")</f>
        <v xml:space="preserve">ABUSO SEXUAL CON ACCESO CARNAL (VIOLACION)  AGRAVADO POR EL VINCULO </v>
      </c>
      <c r="KD19" s="207" t="str">
        <f>IFERROR(INDEX($A$2:$A$113,MATCH(ROWS($GH$2:GH19),$GH$2:$GH$113,0)),"")</f>
        <v xml:space="preserve">ABUSO SEXUAL CON ACCESO CARNAL (VIOLACION)  AGRAVADO POR EL VINCULO </v>
      </c>
      <c r="KE19" s="207" t="str">
        <f>IFERROR(INDEX($A$2:$A$113,MATCH(ROWS($GI$2:GI19),$GI$2:$GI$113,0)),"")</f>
        <v xml:space="preserve">ABUSO SEXUAL CON ACCESO CARNAL (VIOLACION)  AGRAVADO POR EL VINCULO </v>
      </c>
      <c r="KF19" s="207" t="str">
        <f>IFERROR(INDEX($A$2:$A$113,MATCH(ROWS($GJ$2:GJ19),$GJ$2:$GJ$113,0)),"")</f>
        <v xml:space="preserve">ABUSO SEXUAL CON ACCESO CARNAL (VIOLACION)  AGRAVADO POR EL VINCULO </v>
      </c>
      <c r="KG19" s="207" t="str">
        <f>IFERROR(INDEX($A$2:$A$113,MATCH(ROWS($GK$2:GK19),$GK$2:$GK$113,0)),"")</f>
        <v xml:space="preserve">ABUSO SEXUAL CON ACCESO CARNAL (VIOLACION)  AGRAVADO POR EL VINCULO </v>
      </c>
      <c r="KH19" s="207" t="str">
        <f>IFERROR(INDEX($A$2:$A$113,MATCH(ROWS($GL$2:GL19),$GL$2:$GL$113,0)),"")</f>
        <v xml:space="preserve">ABUSO SEXUAL CON ACCESO CARNAL (VIOLACION)  AGRAVADO POR EL VINCULO </v>
      </c>
      <c r="KI19" s="207" t="str">
        <f>IFERROR(INDEX($A$2:$A$113,MATCH(ROWS($GM$2:GM19),$GM$2:$GM$113,0)),"")</f>
        <v xml:space="preserve">ABUSO SEXUAL CON ACCESO CARNAL (VIOLACION)  AGRAVADO POR EL VINCULO </v>
      </c>
      <c r="KJ19" s="207" t="str">
        <f>IFERROR(INDEX($A$2:$A$113,MATCH(ROWS($GN$2:GN19),$GN$2:$GN$113,0)),"")</f>
        <v xml:space="preserve">ABUSO SEXUAL CON ACCESO CARNAL (VIOLACION)  AGRAVADO POR EL VINCULO </v>
      </c>
      <c r="KK19" s="207" t="str">
        <f>IFERROR(INDEX($A$2:$A$113,MATCH(ROWS($GO$2:GO19),$GO$2:$GO$113,0)),"")</f>
        <v xml:space="preserve">ABUSO SEXUAL CON ACCESO CARNAL (VIOLACION)  AGRAVADO POR EL VINCULO </v>
      </c>
      <c r="KL19" s="207" t="str">
        <f>IFERROR(INDEX($A$2:$A$113,MATCH(ROWS($GP$2:GP19),$GP$2:$GP$113,0)),"")</f>
        <v xml:space="preserve">ABUSO SEXUAL CON ACCESO CARNAL (VIOLACION)  AGRAVADO POR EL VINCULO </v>
      </c>
      <c r="KM19" s="207" t="str">
        <f>IFERROR(INDEX($A$2:$A$113,MATCH(ROWS($GQ$2:GQ19),$GQ$2:$GQ$113,0)),"")</f>
        <v xml:space="preserve">ABUSO SEXUAL CON ACCESO CARNAL (VIOLACION)  AGRAVADO POR EL VINCULO </v>
      </c>
      <c r="KN19" s="207" t="str">
        <f>IFERROR(INDEX($A$2:$A$113,MATCH(ROWS($GR$2:GR19),$GR$2:$GR$113,0)),"")</f>
        <v xml:space="preserve">ABUSO SEXUAL CON ACCESO CARNAL (VIOLACION)  AGRAVADO POR EL VINCULO </v>
      </c>
      <c r="KO19" s="207" t="str">
        <f>IFERROR(INDEX($A$2:$A$113,MATCH(ROWS($GS$2:GS19),$GS$2:$GS$113,0)),"")</f>
        <v xml:space="preserve">ABUSO SEXUAL CON ACCESO CARNAL (VIOLACION)  AGRAVADO POR EL VINCULO </v>
      </c>
      <c r="KP19" s="207" t="str">
        <f>IFERROR(INDEX($A$2:$A$113,MATCH(ROWS($GT$2:GT19),$GT$2:$GT$113,0)),"")</f>
        <v xml:space="preserve">ABUSO SEXUAL CON ACCESO CARNAL (VIOLACION)  AGRAVADO POR EL VINCULO </v>
      </c>
      <c r="KQ19" s="207" t="str">
        <f>IFERROR(INDEX($A$2:$A$113,MATCH(ROWS($GU$2:GU19),$GU$2:$GU$113,0)),"")</f>
        <v xml:space="preserve">ABUSO SEXUAL CON ACCESO CARNAL (VIOLACION)  AGRAVADO POR EL VINCULO </v>
      </c>
      <c r="KR19" s="207" t="str">
        <f>IFERROR(INDEX($A$2:$A$113,MATCH(ROWS($GV$2:GV19),$GV$2:$GV$113,0)),"")</f>
        <v xml:space="preserve">ABUSO SEXUAL CON ACCESO CARNAL (VIOLACION)  AGRAVADO POR EL VINCULO </v>
      </c>
      <c r="KS19" s="207" t="str">
        <f>IFERROR(INDEX($A$2:$A$113,MATCH(ROWS($GW$2:GW19),$GW$2:$GW$113,0)),"")</f>
        <v xml:space="preserve">ABUSO SEXUAL CON ACCESO CARNAL (VIOLACION)  AGRAVADO POR EL VINCULO </v>
      </c>
    </row>
    <row r="20" spans="1:305" x14ac:dyDescent="0.25">
      <c r="A20" s="206" t="s">
        <v>1078</v>
      </c>
      <c r="B20" s="206" t="s">
        <v>1079</v>
      </c>
      <c r="D20" s="206" t="s">
        <v>789</v>
      </c>
      <c r="E20" s="206" t="s">
        <v>71</v>
      </c>
      <c r="F20" s="207">
        <f>--ISNUMBER(IFERROR(SEARCH('PLANILLA DJ'!$X$3,$A20,1),""))</f>
        <v>1</v>
      </c>
      <c r="G20" s="207">
        <f>--ISNUMBER(IFERROR(SEARCH('PLANILLA DJ'!$X$4,$A20,1),""))</f>
        <v>1</v>
      </c>
      <c r="H20" s="207">
        <f>--ISNUMBER(IFERROR(SEARCH('PLANILLA DJ'!$X$5,$A20,1),""))</f>
        <v>1</v>
      </c>
      <c r="I20" s="207">
        <f>--ISNUMBER(IFERROR(SEARCH('PLANILLA DJ'!$X$6,$A20,1),""))</f>
        <v>1</v>
      </c>
      <c r="J20" s="207">
        <f>--ISNUMBER(IFERROR(SEARCH('PLANILLA DJ'!$X$7,$A20,1),""))</f>
        <v>1</v>
      </c>
      <c r="K20" s="207">
        <f>--ISNUMBER(IFERROR(SEARCH('PLANILLA DJ'!$X$8,$A20,1),""))</f>
        <v>1</v>
      </c>
      <c r="L20" s="207">
        <f>--ISNUMBER(IFERROR(SEARCH('PLANILLA DJ'!$X$9,$A20,1),""))</f>
        <v>1</v>
      </c>
      <c r="M20" s="207">
        <f>--ISNUMBER(IFERROR(SEARCH('PLANILLA DJ'!$X$10,$A20,1),""))</f>
        <v>1</v>
      </c>
      <c r="N20" s="207">
        <f>--ISNUMBER(IFERROR(SEARCH('PLANILLA DJ'!$X$11,$A20,1),""))</f>
        <v>1</v>
      </c>
      <c r="O20" s="207">
        <f>--ISNUMBER(IFERROR(SEARCH('PLANILLA DJ'!$X$12,$A20,1),""))</f>
        <v>1</v>
      </c>
      <c r="P20" s="207">
        <f>--ISNUMBER(IFERROR(SEARCH('PLANILLA DJ'!$X$13,$A20,1),""))</f>
        <v>1</v>
      </c>
      <c r="Q20" s="207">
        <f>--ISNUMBER(IFERROR(SEARCH('PLANILLA DJ'!$X$14,$A20,1),""))</f>
        <v>1</v>
      </c>
      <c r="R20" s="207">
        <f>--ISNUMBER(IFERROR(SEARCH('PLANILLA DJ'!$X$15,$A20,1),""))</f>
        <v>1</v>
      </c>
      <c r="S20" s="207">
        <f>--ISNUMBER(IFERROR(SEARCH('PLANILLA DJ'!$X$16,$A20,1),""))</f>
        <v>1</v>
      </c>
      <c r="T20" s="207">
        <f>--ISNUMBER(IFERROR(SEARCH('PLANILLA DJ'!$X$17,$A20,1),""))</f>
        <v>1</v>
      </c>
      <c r="U20" s="207">
        <f>--ISNUMBER(IFERROR(SEARCH('PLANILLA DJ'!$X$18,$A20,1),""))</f>
        <v>1</v>
      </c>
      <c r="V20" s="207">
        <f>--ISNUMBER(IFERROR(SEARCH('PLANILLA DJ'!$X$19,$A20,1),""))</f>
        <v>1</v>
      </c>
      <c r="W20" s="207">
        <f>--ISNUMBER(IFERROR(SEARCH('PLANILLA DJ'!$X$20,$A20,1),""))</f>
        <v>1</v>
      </c>
      <c r="X20" s="207">
        <f>--ISNUMBER(IFERROR(SEARCH('PLANILLA DJ'!$X$21,$A20,1),""))</f>
        <v>1</v>
      </c>
      <c r="Y20" s="207">
        <f>--ISNUMBER(IFERROR(SEARCH('PLANILLA DJ'!$X$22,$A20,1),""))</f>
        <v>1</v>
      </c>
      <c r="Z20" s="207">
        <f>--ISNUMBER(IFERROR(SEARCH('PLANILLA DJ'!$X$23,$A20,1),""))</f>
        <v>1</v>
      </c>
      <c r="AA20" s="207">
        <f>--ISNUMBER(IFERROR(SEARCH('PLANILLA DJ'!$X$24,$A20,1),""))</f>
        <v>1</v>
      </c>
      <c r="AB20" s="207">
        <f>--ISNUMBER(IFERROR(SEARCH('PLANILLA DJ'!$X$25,$A20,1),""))</f>
        <v>1</v>
      </c>
      <c r="AC20" s="207">
        <f>--ISNUMBER(IFERROR(SEARCH('PLANILLA DJ'!$X$26,$A20,1),""))</f>
        <v>1</v>
      </c>
      <c r="AD20" s="207">
        <f>--ISNUMBER(IFERROR(SEARCH('PLANILLA DJ'!$X$27,$A20,1),""))</f>
        <v>1</v>
      </c>
      <c r="AE20" s="207">
        <f>--ISNUMBER(IFERROR(SEARCH('PLANILLA DJ'!$X$28,$A20,1),""))</f>
        <v>1</v>
      </c>
      <c r="AF20" s="207">
        <f>--ISNUMBER(IFERROR(SEARCH('PLANILLA DJ'!$X$29,$A20,1),""))</f>
        <v>1</v>
      </c>
      <c r="AG20" s="207">
        <f>--ISNUMBER(IFERROR(SEARCH('PLANILLA DJ'!$X$30,$A20,1),""))</f>
        <v>1</v>
      </c>
      <c r="AH20" s="207">
        <f>--ISNUMBER(IFERROR(SEARCH('PLANILLA DJ'!$X$31,$A20,1),""))</f>
        <v>1</v>
      </c>
      <c r="AI20" s="207">
        <f>--ISNUMBER(IFERROR(SEARCH('PLANILLA DJ'!$X$32,$A20,1),""))</f>
        <v>1</v>
      </c>
      <c r="AJ20" s="207">
        <f>--ISNUMBER(IFERROR(SEARCH('PLANILLA DJ'!$X$33,$A20,1),""))</f>
        <v>1</v>
      </c>
      <c r="AK20" s="207">
        <f>--ISNUMBER(IFERROR(SEARCH('PLANILLA DJ'!$X$34,$A20,1),""))</f>
        <v>1</v>
      </c>
      <c r="AL20" s="207">
        <f>--ISNUMBER(IFERROR(SEARCH('PLANILLA DJ'!$X$35,$A20,1),""))</f>
        <v>1</v>
      </c>
      <c r="AM20" s="207">
        <f>--ISNUMBER(IFERROR(SEARCH('PLANILLA DJ'!$X$36,$A20,1),""))</f>
        <v>1</v>
      </c>
      <c r="AN20" s="207">
        <f>--ISNUMBER(IFERROR(SEARCH('PLANILLA DJ'!$X$37,$A20,1),""))</f>
        <v>1</v>
      </c>
      <c r="AO20" s="207">
        <f>--ISNUMBER(IFERROR(SEARCH('PLANILLA DJ'!$X$38,$A20,1),""))</f>
        <v>1</v>
      </c>
      <c r="AP20" s="207">
        <f>--ISNUMBER(IFERROR(SEARCH('PLANILLA DJ'!$X$39,$A20,1),""))</f>
        <v>1</v>
      </c>
      <c r="AQ20" s="207">
        <f>--ISNUMBER(IFERROR(SEARCH('PLANILLA DJ'!$X$40,$A20,1),""))</f>
        <v>1</v>
      </c>
      <c r="AR20" s="207">
        <f>--ISNUMBER(IFERROR(SEARCH('PLANILLA DJ'!$X$41,$A20,1),""))</f>
        <v>1</v>
      </c>
      <c r="AS20" s="207">
        <f>--ISNUMBER(IFERROR(SEARCH('PLANILLA DJ'!$X$42,$A20,1),""))</f>
        <v>1</v>
      </c>
      <c r="AT20" s="207">
        <f>--ISNUMBER(IFERROR(SEARCH('PLANILLA DJ'!$X$43,$A20,1),""))</f>
        <v>1</v>
      </c>
      <c r="AU20" s="207">
        <f>--ISNUMBER(IFERROR(SEARCH('PLANILLA DJ'!$X$44,$A20,1),""))</f>
        <v>1</v>
      </c>
      <c r="AV20" s="207">
        <f>--ISNUMBER(IFERROR(SEARCH('PLANILLA DJ'!$X$45,$A20,1),""))</f>
        <v>1</v>
      </c>
      <c r="AW20" s="207">
        <f>--ISNUMBER(IFERROR(SEARCH('PLANILLA DJ'!$X$46,$A20,1),""))</f>
        <v>1</v>
      </c>
      <c r="AX20" s="207">
        <f>--ISNUMBER(IFERROR(SEARCH('PLANILLA DJ'!$X$47,$A20,1),""))</f>
        <v>1</v>
      </c>
      <c r="AY20" s="207">
        <f>--ISNUMBER(IFERROR(SEARCH('PLANILLA DJ'!$X$48,$A20,1),""))</f>
        <v>1</v>
      </c>
      <c r="AZ20" s="207">
        <f>--ISNUMBER(IFERROR(SEARCH('PLANILLA DJ'!$X$49,$A20,1),""))</f>
        <v>1</v>
      </c>
      <c r="BA20" s="207">
        <f>--ISNUMBER(IFERROR(SEARCH('PLANILLA DJ'!$X$50,$A20,1),""))</f>
        <v>1</v>
      </c>
      <c r="BB20" s="207">
        <f>--ISNUMBER(IFERROR(SEARCH('PLANILLA DJ'!$X$51,$A20,1),""))</f>
        <v>1</v>
      </c>
      <c r="BC20" s="207">
        <f>--ISNUMBER(IFERROR(SEARCH('PLANILLA DJ'!$X$52,$A20,1),""))</f>
        <v>1</v>
      </c>
      <c r="BD20" s="207">
        <f>--ISNUMBER(IFERROR(SEARCH('PLANILLA DJ'!$X$53,$A20,1),""))</f>
        <v>1</v>
      </c>
      <c r="BE20" s="207">
        <f>--ISNUMBER(IFERROR(SEARCH('PLANILLA DJ'!$X$54,$A20,1),""))</f>
        <v>1</v>
      </c>
      <c r="BF20" s="207">
        <f>--ISNUMBER(IFERROR(SEARCH('PLANILLA DJ'!$X$55,$A20,1),""))</f>
        <v>1</v>
      </c>
      <c r="BG20" s="207">
        <f>--ISNUMBER(IFERROR(SEARCH('PLANILLA DJ'!$X$56,$A20,1),""))</f>
        <v>1</v>
      </c>
      <c r="BH20" s="207">
        <f>--ISNUMBER(IFERROR(SEARCH('PLANILLA DJ'!$X$57,$A20,1),""))</f>
        <v>1</v>
      </c>
      <c r="BI20" s="207">
        <f>--ISNUMBER(IFERROR(SEARCH('PLANILLA DJ'!$X$58,$A20,1),""))</f>
        <v>1</v>
      </c>
      <c r="BJ20" s="207">
        <f>--ISNUMBER(IFERROR(SEARCH('PLANILLA DJ'!$X$59,$A20,1),""))</f>
        <v>1</v>
      </c>
      <c r="BK20" s="207">
        <f>--ISNUMBER(IFERROR(SEARCH('PLANILLA DJ'!$X$60,$A20,1),""))</f>
        <v>1</v>
      </c>
      <c r="BL20" s="207">
        <f>--ISNUMBER(IFERROR(SEARCH('PLANILLA DJ'!$X$61,$A20,1),""))</f>
        <v>1</v>
      </c>
      <c r="BM20" s="207">
        <f>--ISNUMBER(IFERROR(SEARCH('PLANILLA DJ'!$X$62,$A20,1),""))</f>
        <v>1</v>
      </c>
      <c r="BN20" s="207">
        <f>--ISNUMBER(IFERROR(SEARCH('PLANILLA DJ'!$X$63,$A20,1),""))</f>
        <v>1</v>
      </c>
      <c r="BO20" s="207">
        <f>--ISNUMBER(IFERROR(SEARCH('PLANILLA DJ'!$X$64,$A20,1),""))</f>
        <v>1</v>
      </c>
      <c r="BP20" s="207">
        <f>--ISNUMBER(IFERROR(SEARCH('PLANILLA DJ'!$X$65,$A20,1),""))</f>
        <v>1</v>
      </c>
      <c r="BQ20" s="207">
        <f>--ISNUMBER(IFERROR(SEARCH('PLANILLA DJ'!$X$66,$A20,1),""))</f>
        <v>1</v>
      </c>
      <c r="BR20" s="207">
        <f>--ISNUMBER(IFERROR(SEARCH('PLANILLA DJ'!$X$67,$A20,1),""))</f>
        <v>1</v>
      </c>
      <c r="BS20" s="207">
        <f>--ISNUMBER(IFERROR(SEARCH('PLANILLA DJ'!$X$68,$A20,1),""))</f>
        <v>1</v>
      </c>
      <c r="BT20" s="207">
        <f>--ISNUMBER(IFERROR(SEARCH('PLANILLA DJ'!$X$69,$A20,1),""))</f>
        <v>1</v>
      </c>
      <c r="BU20" s="207">
        <f>--ISNUMBER(IFERROR(SEARCH('PLANILLA DJ'!$X$70,$A20,1),""))</f>
        <v>1</v>
      </c>
      <c r="BV20" s="207">
        <f>--ISNUMBER(IFERROR(SEARCH('PLANILLA DJ'!$X$71,$A20,1),""))</f>
        <v>1</v>
      </c>
      <c r="BW20" s="207">
        <f>--ISNUMBER(IFERROR(SEARCH('PLANILLA DJ'!$X$72,$A20,1),""))</f>
        <v>1</v>
      </c>
      <c r="BX20" s="207">
        <f>--ISNUMBER(IFERROR(SEARCH('PLANILLA DJ'!$X$73,$A20,1),""))</f>
        <v>1</v>
      </c>
      <c r="BY20" s="207">
        <f>--ISNUMBER(IFERROR(SEARCH('PLANILLA DJ'!$X$74,$A20,1),""))</f>
        <v>1</v>
      </c>
      <c r="BZ20" s="207">
        <f>--ISNUMBER(IFERROR(SEARCH('PLANILLA DJ'!$X$75,$A20,1),""))</f>
        <v>1</v>
      </c>
      <c r="CA20" s="207">
        <f>--ISNUMBER(IFERROR(SEARCH('PLANILLA DJ'!$X$76,$A20,1),""))</f>
        <v>1</v>
      </c>
      <c r="CB20" s="207">
        <f>--ISNUMBER(IFERROR(SEARCH('PLANILLA DJ'!$X$77,$A20,1),""))</f>
        <v>1</v>
      </c>
      <c r="CC20" s="207">
        <f>--ISNUMBER(IFERROR(SEARCH('PLANILLA DJ'!$X$78,$A20,1),""))</f>
        <v>1</v>
      </c>
      <c r="CD20" s="207">
        <f>--ISNUMBER(IFERROR(SEARCH('PLANILLA DJ'!$X$79,$A20,1),""))</f>
        <v>1</v>
      </c>
      <c r="CE20" s="207">
        <f>--ISNUMBER(IFERROR(SEARCH('PLANILLA DJ'!$X$80,$A20,1),""))</f>
        <v>1</v>
      </c>
      <c r="CF20" s="207">
        <f>--ISNUMBER(IFERROR(SEARCH('PLANILLA DJ'!$X$81,$A20,1),""))</f>
        <v>1</v>
      </c>
      <c r="CG20" s="207">
        <f>--ISNUMBER(IFERROR(SEARCH('PLANILLA DJ'!$X$82,$A20,1),""))</f>
        <v>1</v>
      </c>
      <c r="CH20" s="207">
        <f>--ISNUMBER(IFERROR(SEARCH('PLANILLA DJ'!$X$83,$A20,1),""))</f>
        <v>1</v>
      </c>
      <c r="CI20" s="207">
        <f>--ISNUMBER(IFERROR(SEARCH('PLANILLA DJ'!$X$84,$A20,1),""))</f>
        <v>1</v>
      </c>
      <c r="CJ20" s="207">
        <f>--ISNUMBER(IFERROR(SEARCH('PLANILLA DJ'!$X$85,$A20,1),""))</f>
        <v>1</v>
      </c>
      <c r="CK20" s="207">
        <f>--ISNUMBER(IFERROR(SEARCH('PLANILLA DJ'!$X$86,$A20,1),""))</f>
        <v>1</v>
      </c>
      <c r="CL20" s="207">
        <f>--ISNUMBER(IFERROR(SEARCH('PLANILLA DJ'!$X$87,$A20,1),""))</f>
        <v>1</v>
      </c>
      <c r="CM20" s="207">
        <f>--ISNUMBER(IFERROR(SEARCH('PLANILLA DJ'!$X$88,$A20,1),""))</f>
        <v>1</v>
      </c>
      <c r="CN20" s="207">
        <f>--ISNUMBER(IFERROR(SEARCH('PLANILLA DJ'!$X$89,$A20,1),""))</f>
        <v>1</v>
      </c>
      <c r="CO20" s="207">
        <f>--ISNUMBER(IFERROR(SEARCH('PLANILLA DJ'!$X$90,$A20,1),""))</f>
        <v>1</v>
      </c>
      <c r="CP20" s="207">
        <f>--ISNUMBER(IFERROR(SEARCH('PLANILLA DJ'!$X$91,$A20,1),""))</f>
        <v>1</v>
      </c>
      <c r="CQ20" s="207">
        <f>--ISNUMBER(IFERROR(SEARCH('PLANILLA DJ'!$X$92,$A20,1),""))</f>
        <v>1</v>
      </c>
      <c r="CR20" s="207">
        <f>--ISNUMBER(IFERROR(SEARCH('PLANILLA DJ'!$X$93,$A20,1),""))</f>
        <v>1</v>
      </c>
      <c r="CS20" s="207">
        <f>--ISNUMBER(IFERROR(SEARCH('PLANILLA DJ'!$X$94,$A20,1),""))</f>
        <v>1</v>
      </c>
      <c r="CT20" s="207">
        <f>--ISNUMBER(IFERROR(SEARCH('PLANILLA DJ'!$X$95,$A20,1),""))</f>
        <v>1</v>
      </c>
      <c r="CU20" s="207">
        <f>--ISNUMBER(IFERROR(SEARCH('PLANILLA DJ'!$X$96,$A20,1),""))</f>
        <v>1</v>
      </c>
      <c r="CV20" s="207">
        <f>--ISNUMBER(IFERROR(SEARCH('PLANILLA DJ'!$X$97,$A20,1),""))</f>
        <v>1</v>
      </c>
      <c r="CW20" s="207">
        <f>--ISNUMBER(IFERROR(SEARCH('PLANILLA DJ'!$X$98,$A20,1),""))</f>
        <v>1</v>
      </c>
      <c r="CX20" s="207">
        <f>--ISNUMBER(IFERROR(SEARCH('PLANILLA DJ'!$X$99,$A20,1),""))</f>
        <v>1</v>
      </c>
      <c r="CY20" s="207">
        <f>--ISNUMBER(IFERROR(SEARCH('PLANILLA DJ'!$X$100,$A20,1),""))</f>
        <v>1</v>
      </c>
      <c r="CZ20" s="207">
        <f>--ISNUMBER(IFERROR(SEARCH('PLANILLA DJ'!$X$101,$A20,1),""))</f>
        <v>1</v>
      </c>
      <c r="DA20" s="207">
        <f>--ISNUMBER(IFERROR(SEARCH('PLANILLA DJ'!$X$102,$A20,1),""))</f>
        <v>1</v>
      </c>
      <c r="DB20" s="206">
        <f>IF(F20=1,COUNTIF($F$2:F20,1),"")</f>
        <v>19</v>
      </c>
      <c r="DC20" s="206">
        <f>IF(G20=1,COUNTIF($G$2:G20,1),"")</f>
        <v>19</v>
      </c>
      <c r="DD20" s="206">
        <f>IF(H20=1,COUNTIF($H$2:H20,1),"")</f>
        <v>19</v>
      </c>
      <c r="DE20" s="206">
        <f>IF(I20=1,COUNTIF($I$2:I20,1),"")</f>
        <v>19</v>
      </c>
      <c r="DF20" s="206">
        <f>IF(J20=1,COUNTIF($J$2:J20,1),"")</f>
        <v>19</v>
      </c>
      <c r="DG20" s="206">
        <f>IF(K20=1,COUNTIF($K$2:K20,1),"")</f>
        <v>19</v>
      </c>
      <c r="DH20" s="206">
        <f>IF(L20=1,COUNTIF($L$2:L20,1),"")</f>
        <v>19</v>
      </c>
      <c r="DI20" s="206">
        <f>IF(M20=1,COUNTIF($M$2:M20,1),"")</f>
        <v>19</v>
      </c>
      <c r="DJ20" s="206">
        <f>IF(N20=1,COUNTIF($N$2:N20,1),"")</f>
        <v>19</v>
      </c>
      <c r="DK20" s="206">
        <f>IF(O20=1,COUNTIF($O$2:O20,1),"")</f>
        <v>19</v>
      </c>
      <c r="DL20" s="206">
        <f>IF(P20=1,COUNTIF($P$2:P20,1),"")</f>
        <v>19</v>
      </c>
      <c r="DM20" s="206">
        <f>IF(Q20=1,COUNTIF($Q$2:Q20,1),"")</f>
        <v>19</v>
      </c>
      <c r="DN20" s="207">
        <f>IF(R20=1,COUNTIF($R$2:R20,1),"")</f>
        <v>19</v>
      </c>
      <c r="DO20" s="207">
        <f>IF(S20=1,COUNTIF($S$2:S20,1),"")</f>
        <v>19</v>
      </c>
      <c r="DP20" s="207">
        <f>IF(T20=1,COUNTIF($T$2:T20,1),"")</f>
        <v>19</v>
      </c>
      <c r="DQ20" s="207">
        <f>IF(U20=1,COUNTIF($U$2:U20,1),"")</f>
        <v>19</v>
      </c>
      <c r="DR20" s="207">
        <f>IF(V20=1,COUNTIF($V$2:V20,1),"")</f>
        <v>19</v>
      </c>
      <c r="DS20" s="207">
        <f>IF(W20=1,COUNTIF($W$2:W20,1),"")</f>
        <v>19</v>
      </c>
      <c r="DT20" s="207">
        <f>IF(X20=1,COUNTIF($X$2:X20,1),"")</f>
        <v>19</v>
      </c>
      <c r="DU20" s="207">
        <f>IF(Y20=1,COUNTIF($Y$2:Y20,1),"")</f>
        <v>19</v>
      </c>
      <c r="DV20" s="207">
        <f>IF(Z20=1,COUNTIF(Z$2:Z20,1),"")</f>
        <v>19</v>
      </c>
      <c r="DW20" s="207">
        <f>IF(AA20=1,COUNTIF($AA$2:AA20,1),"")</f>
        <v>19</v>
      </c>
      <c r="DX20" s="207">
        <f>IF(AB20=1,COUNTIF($AB$2:AB20,1),"")</f>
        <v>19</v>
      </c>
      <c r="DY20" s="207">
        <f>IF(AC20=1,COUNTIF($AC$2:AC20,1),"")</f>
        <v>19</v>
      </c>
      <c r="DZ20" s="207">
        <f>IF(AD20=1,COUNTIF($AD$2:AD20,1),"")</f>
        <v>19</v>
      </c>
      <c r="EA20" s="207">
        <f>IF(AE20=1,COUNTIF($AE$2:AE20,1),"")</f>
        <v>19</v>
      </c>
      <c r="EB20" s="207">
        <f>IF(AF20=1,COUNTIF($AF$2:AF20,1),"")</f>
        <v>19</v>
      </c>
      <c r="EC20" s="207">
        <f>IF(AG20=1,COUNTIF($AG$2:AG20,1),"")</f>
        <v>19</v>
      </c>
      <c r="ED20" s="207">
        <f>IF(AH20=1,COUNTIF($AH$2:AH20,1),"")</f>
        <v>19</v>
      </c>
      <c r="EE20" s="207">
        <f>IF(AI20=1,COUNTIF($AI$2:AI20,1),"")</f>
        <v>19</v>
      </c>
      <c r="EF20" s="207">
        <f>IF(AJ20=1,COUNTIF($AJ$2:AJ20,1),"")</f>
        <v>19</v>
      </c>
      <c r="EG20" s="207">
        <f>IF(AK20=1,COUNTIF($AK$2:AK20,1),"")</f>
        <v>19</v>
      </c>
      <c r="EH20" s="207">
        <f>IF(AL20=1,COUNTIF($AL$2:AL20,1),"")</f>
        <v>19</v>
      </c>
      <c r="EI20" s="207">
        <f>IF(AM20=1,COUNTIF($AM$2:AM20,1),"")</f>
        <v>19</v>
      </c>
      <c r="EJ20" s="207">
        <f>IF(AN20=1,COUNTIF($AN$2:AN20,1),"")</f>
        <v>19</v>
      </c>
      <c r="EK20" s="207">
        <f>IF(AO20=1,COUNTIF($AO$2:AO20,1),"")</f>
        <v>19</v>
      </c>
      <c r="EL20" s="207">
        <f>IF(AP20=1,COUNTIF($AP$2:AP20,1),"")</f>
        <v>19</v>
      </c>
      <c r="EM20" s="207">
        <f>IF(AQ20=1,COUNTIF($AQ$2:AQ20,1),"")</f>
        <v>19</v>
      </c>
      <c r="EN20" s="207">
        <f>IF(AR20=1,COUNTIF($AR$2:AR20,1),"")</f>
        <v>19</v>
      </c>
      <c r="EO20" s="207">
        <f>IF(AS20=1,COUNTIF($AS$2:AS20,1),"")</f>
        <v>19</v>
      </c>
      <c r="EP20" s="207">
        <f>IF(AT20=1,COUNTIF($AT$2:AT20,1),"")</f>
        <v>19</v>
      </c>
      <c r="EQ20" s="207">
        <f>IF(AU20=1,COUNTIF($AU$2:AU20,1),"")</f>
        <v>19</v>
      </c>
      <c r="ER20" s="207">
        <f>IF(AV20=1,COUNTIF($AV$2:AV20,1),"")</f>
        <v>19</v>
      </c>
      <c r="ES20" s="207">
        <f>IF(AW20=1,COUNTIF($AW$2:AW20,1),"")</f>
        <v>19</v>
      </c>
      <c r="ET20" s="207">
        <f>IF(AX20=1,COUNTIF($AX$2:AX20,1),"")</f>
        <v>19</v>
      </c>
      <c r="EU20" s="207">
        <f>IF(AY20=1,COUNTIF($AY$2:AY20,1),"")</f>
        <v>19</v>
      </c>
      <c r="EV20" s="207">
        <f>IF(AZ20=1,COUNTIF($AZ$2:AZ20,1),"")</f>
        <v>19</v>
      </c>
      <c r="EW20" s="207">
        <f>IF(BA20=1,COUNTIF($BA$2:BA20,1),"")</f>
        <v>19</v>
      </c>
      <c r="EX20" s="207">
        <f>IF(BB20=1,COUNTIF($BB$2:BB20,1),"")</f>
        <v>19</v>
      </c>
      <c r="EY20" s="207">
        <f>IF(BC20=1,COUNTIF($BC$2:BC20,1),"")</f>
        <v>19</v>
      </c>
      <c r="EZ20" s="207">
        <f>IF(BD20=1,COUNTIF($BD$2:BD20,1),"")</f>
        <v>19</v>
      </c>
      <c r="FA20" s="207">
        <f>IF(BE20=1,COUNTIF($BE$2:BE20,1),"")</f>
        <v>19</v>
      </c>
      <c r="FB20" s="207">
        <f>IF(BF20=1,COUNTIF($BF$2:BF20,1),"")</f>
        <v>19</v>
      </c>
      <c r="FC20" s="207">
        <f>IF(BG20=1,COUNTIF($BG$2:BG20,1),"")</f>
        <v>19</v>
      </c>
      <c r="FD20" s="207">
        <f>IF(BH20=1,COUNTIF($BH$2:BH20,1),"")</f>
        <v>19</v>
      </c>
      <c r="FE20" s="207">
        <f>IF(BI20=1,COUNTIF($BI$2:BI20,1),"")</f>
        <v>19</v>
      </c>
      <c r="FF20" s="207">
        <f>IF(BJ20=1,COUNTIF($BJ$2:BJ20,1),"")</f>
        <v>19</v>
      </c>
      <c r="FG20" s="207">
        <f>IF(BK20=1,COUNTIF($BK$2:BK20,1),"")</f>
        <v>19</v>
      </c>
      <c r="FH20" s="207">
        <f>IF(BL20=1,COUNTIF($BL$2:BL20,1),"")</f>
        <v>19</v>
      </c>
      <c r="FI20" s="207">
        <f>IF(BM20=1,COUNTIF($BM$2:BM20,1),"")</f>
        <v>19</v>
      </c>
      <c r="FJ20" s="207">
        <f>IF(BN20=1,COUNTIF($BN$2:BN20,1),"")</f>
        <v>19</v>
      </c>
      <c r="FK20" s="207">
        <f>IF(BO20=1,COUNTIF($BO$2:BO20,1),"")</f>
        <v>19</v>
      </c>
      <c r="FL20" s="207">
        <f>IF(BP20=1,COUNTIF($BP$2:BP20,1),"")</f>
        <v>19</v>
      </c>
      <c r="FM20" s="207">
        <f>IF(BQ20=1,COUNTIF($BQ$2:BQ20,1),"")</f>
        <v>19</v>
      </c>
      <c r="FN20" s="207">
        <f>IF(BR20=1,COUNTIF($BR$2:BR20,1),"")</f>
        <v>19</v>
      </c>
      <c r="FO20" s="207">
        <f>IF(BS20=1,COUNTIF($BS$2:BS20,1),"")</f>
        <v>19</v>
      </c>
      <c r="FP20" s="207">
        <f>IF(BT20=1,COUNTIF($BT$2:BT20,1),"")</f>
        <v>19</v>
      </c>
      <c r="FQ20" s="207">
        <f>IF(BU20=1,COUNTIF($BU$2:BU20,1),"")</f>
        <v>19</v>
      </c>
      <c r="FR20" s="207">
        <f>IF(BV20=1,COUNTIF($BV$2:BV20,1),"")</f>
        <v>19</v>
      </c>
      <c r="FS20" s="207">
        <f>IF(BW20=1,COUNTIF($BW$2:BW20,1),"")</f>
        <v>19</v>
      </c>
      <c r="FT20" s="207">
        <f>IF(BX20=1,COUNTIF($BX$2:BX20,1),"")</f>
        <v>19</v>
      </c>
      <c r="FU20" s="207">
        <f>IF(BY20=1,COUNTIF($BY$2:BY20,1),"")</f>
        <v>19</v>
      </c>
      <c r="FV20" s="207">
        <f>IF(BZ20=1,COUNTIF($BZ$2:BZ20,1),"")</f>
        <v>19</v>
      </c>
      <c r="FW20" s="207">
        <f>IF(CA20=1,COUNTIF($CA$2:CA20,1),"")</f>
        <v>19</v>
      </c>
      <c r="FX20" s="207">
        <f>IF(CB20=1,COUNTIF($CB$2:CB20,1),"")</f>
        <v>19</v>
      </c>
      <c r="FY20" s="207">
        <f>IF(CC20=1,COUNTIF($CC$2:CC20,1),"")</f>
        <v>19</v>
      </c>
      <c r="FZ20" s="207">
        <f>IF(CD20=1,COUNTIF($CD$2:CD20,1),"")</f>
        <v>19</v>
      </c>
      <c r="GA20" s="207">
        <f>IF(CE20=1,COUNTIF($CE$2:CE20,1),"")</f>
        <v>19</v>
      </c>
      <c r="GB20" s="207">
        <f>IF(CF20=1,COUNTIF($CF$2:CF20,1),"")</f>
        <v>19</v>
      </c>
      <c r="GC20" s="207">
        <f>IF(CG20=1,COUNTIF($CG$2:CG20,1),"")</f>
        <v>19</v>
      </c>
      <c r="GD20" s="207">
        <f>IF(CH20=1,COUNTIF($CH$2:CH20,1),"")</f>
        <v>19</v>
      </c>
      <c r="GE20" s="207">
        <f>IF(CI20=1,COUNTIF($CI$2:CI20,1),"")</f>
        <v>19</v>
      </c>
      <c r="GF20" s="207">
        <f>IF(CJ20=1,COUNTIF($CJ$2:CJ20,1),"")</f>
        <v>19</v>
      </c>
      <c r="GG20" s="207">
        <f>IF(CK20=1,COUNTIF($CK$2:CK20,1),"")</f>
        <v>19</v>
      </c>
      <c r="GH20" s="207">
        <f>IF(CL20=1,COUNTIF($CL$2:CL20,1),"")</f>
        <v>19</v>
      </c>
      <c r="GI20" s="207">
        <f>IF(CM20=1,COUNTIF($CM$2:CM20,1),"")</f>
        <v>19</v>
      </c>
      <c r="GJ20" s="207">
        <f>IF(CN20=1,COUNTIF($CN$2:CN20,1),"")</f>
        <v>19</v>
      </c>
      <c r="GK20" s="207">
        <f>IF(CO20=1,COUNTIF($CO$2:CO20,1),"")</f>
        <v>19</v>
      </c>
      <c r="GL20" s="207">
        <f>IF(CP20=1,COUNTIF($CP$2:CP20,1),"")</f>
        <v>19</v>
      </c>
      <c r="GM20" s="207">
        <f>IF(CQ20=1,COUNTIF($CQ$2:CQ20,1),"")</f>
        <v>19</v>
      </c>
      <c r="GN20" s="207">
        <f>IF(CR20=1,COUNTIF($CR$2:CR20,1),"")</f>
        <v>19</v>
      </c>
      <c r="GO20" s="207">
        <f>IF(CS20=1,COUNTIF($CS$2:CS20,1),"")</f>
        <v>19</v>
      </c>
      <c r="GP20" s="207">
        <f>IF(CT20=1,COUNTIF($CT$2:CT20,1),"")</f>
        <v>19</v>
      </c>
      <c r="GQ20" s="207">
        <f>IF(CU20=1,COUNTIF($CU$2:CU20,1),"")</f>
        <v>19</v>
      </c>
      <c r="GR20" s="207">
        <f>IF(CV20=1,COUNTIF($CV$2:CV20,1),"")</f>
        <v>19</v>
      </c>
      <c r="GS20" s="207">
        <f>IF(CW20=1,COUNTIF($CW$2:CW20,1),"")</f>
        <v>19</v>
      </c>
      <c r="GT20" s="207">
        <f>IF(CX20=1,COUNTIF($CX$2:CX20,1),"")</f>
        <v>19</v>
      </c>
      <c r="GU20" s="207">
        <f>IF(CY20=1,COUNTIF($CY$2:CY20,1),"")</f>
        <v>19</v>
      </c>
      <c r="GV20" s="207">
        <f>IF(CZ20=1,COUNTIF($CZ$2:CZ20,1),"")</f>
        <v>19</v>
      </c>
      <c r="GW20" s="207">
        <f>IF(DA20=1,COUNTIF($DA$2:DA20,1),"")</f>
        <v>19</v>
      </c>
      <c r="GX20" s="206" t="str">
        <f>IFERROR(INDEX($A$2:$A$113,MATCH(ROWS($DB$2:DB20),$DB$2:$DB$113,0)),"")</f>
        <v>TENTATIVA DE ABUSO SEXUAL CON ACCESO CARNAL</v>
      </c>
      <c r="GY20" s="206" t="str">
        <f>IFERROR(INDEX($A$2:$A$113,MATCH(ROWS($DC$2:DC20),$DC$2:$DC$113,0)),"")</f>
        <v>TENTATIVA DE ABUSO SEXUAL CON ACCESO CARNAL</v>
      </c>
      <c r="GZ20" s="206" t="str">
        <f>IFERROR(INDEX($A$2:$A$113,MATCH(ROWS($DD$2:DD20),$DD$2:$DD$113,0)),"")</f>
        <v>TENTATIVA DE ABUSO SEXUAL CON ACCESO CARNAL</v>
      </c>
      <c r="HA20" s="206" t="str">
        <f>IFERROR(INDEX($A$2:$A$113,MATCH(ROWS($DE$2:DE20),$DE$2:$DE$113,0)),"")</f>
        <v>TENTATIVA DE ABUSO SEXUAL CON ACCESO CARNAL</v>
      </c>
      <c r="HB20" s="206" t="str">
        <f>IFERROR(INDEX($A$2:$A$113,MATCH(ROWS($DF$2:DF20),$DF$2:$DF$113,0)),"")</f>
        <v>TENTATIVA DE ABUSO SEXUAL CON ACCESO CARNAL</v>
      </c>
      <c r="HC20" s="206" t="str">
        <f>IFERROR(INDEX($A$2:$A$113,MATCH(ROWS($DG$2:DG20),$DG$2:$DG$113,0)),"")</f>
        <v>TENTATIVA DE ABUSO SEXUAL CON ACCESO CARNAL</v>
      </c>
      <c r="HD20" s="206" t="str">
        <f>IFERROR(INDEX($A$2:$A$113,MATCH(ROWS($DH$2:DH20),$DH$2:$DH$113,0)),"")</f>
        <v>TENTATIVA DE ABUSO SEXUAL CON ACCESO CARNAL</v>
      </c>
      <c r="HE20" s="206" t="str">
        <f>IFERROR(INDEX($A$2:$A$113,MATCH(ROWS($DI$2:DI20),$DI$2:$DI$113,0)),"")</f>
        <v>TENTATIVA DE ABUSO SEXUAL CON ACCESO CARNAL</v>
      </c>
      <c r="HF20" s="206" t="str">
        <f>IFERROR(INDEX($A$2:$A$113,MATCH(ROWS($DJ$2:DJ20),$DJ$2:$DJ$113,0)),"")</f>
        <v>TENTATIVA DE ABUSO SEXUAL CON ACCESO CARNAL</v>
      </c>
      <c r="HG20" s="206" t="str">
        <f>IFERROR(INDEX($A$2:$A$113,MATCH(ROWS($DK$2:DK20),$DK$2:$DK$113,0)),"")</f>
        <v>TENTATIVA DE ABUSO SEXUAL CON ACCESO CARNAL</v>
      </c>
      <c r="HH20" s="206" t="str">
        <f>IFERROR(INDEX($A$2:$A$113,MATCH(ROWS($DL$2:DL20),$DL$2:$DL$113,0)),"")</f>
        <v>TENTATIVA DE ABUSO SEXUAL CON ACCESO CARNAL</v>
      </c>
      <c r="HI20" s="206" t="str">
        <f>IFERROR(INDEX($A$2:$A$113,MATCH(ROWS($DM$2:DM20),$DM$2:$DM$113,0)),"")</f>
        <v>TENTATIVA DE ABUSO SEXUAL CON ACCESO CARNAL</v>
      </c>
      <c r="HJ20" s="206" t="str">
        <f>IFERROR(INDEX($A$2:$A$113,MATCH(ROWS($DN$2:DN20),$DN$2:$DN$113,0)),"")</f>
        <v>TENTATIVA DE ABUSO SEXUAL CON ACCESO CARNAL</v>
      </c>
      <c r="HK20" s="206" t="str">
        <f>IFERROR(INDEX($A$2:$A$113,MATCH(ROWS($DO$2:DO20),$DO$2:$DO$113,0)),"")</f>
        <v>TENTATIVA DE ABUSO SEXUAL CON ACCESO CARNAL</v>
      </c>
      <c r="HL20" s="206" t="str">
        <f>IFERROR(INDEX($A$2:$A$113,MATCH(ROWS($DP$2:DP20),$DP$2:$DP$113,0)),"")</f>
        <v>TENTATIVA DE ABUSO SEXUAL CON ACCESO CARNAL</v>
      </c>
      <c r="HM20" s="206" t="str">
        <f>IFERROR(INDEX($A$2:$A$113,MATCH(ROWS($DQ$2:DQ20),$DQ$2:$DQ$113,0)),"")</f>
        <v>TENTATIVA DE ABUSO SEXUAL CON ACCESO CARNAL</v>
      </c>
      <c r="HN20" s="206" t="str">
        <f>IFERROR(INDEX($A$2:$A$113,MATCH(ROWS($DR$2:DR20),$DR$2:$DR$113,0)),"")</f>
        <v>TENTATIVA DE ABUSO SEXUAL CON ACCESO CARNAL</v>
      </c>
      <c r="HO20" s="206" t="str">
        <f>IFERROR(INDEX($A$2:$A$113,MATCH(ROWS($DS$2:DS20),$DS$2:$DS$113,0)),"")</f>
        <v>TENTATIVA DE ABUSO SEXUAL CON ACCESO CARNAL</v>
      </c>
      <c r="HP20" s="206" t="str">
        <f>IFERROR(INDEX($A$2:$A$113,MATCH(ROWS($DT$2:DT20),$DT$2:$DT$113,0)),"")</f>
        <v>TENTATIVA DE ABUSO SEXUAL CON ACCESO CARNAL</v>
      </c>
      <c r="HQ20" s="206" t="str">
        <f>IFERROR(INDEX($A$2:$A$113,MATCH(ROWS($DU$2:DU20),$DU$2:$DU$113,0)),"")</f>
        <v>TENTATIVA DE ABUSO SEXUAL CON ACCESO CARNAL</v>
      </c>
      <c r="HR20" s="206" t="str">
        <f>IFERROR(INDEX($A$2:$A$113,MATCH(ROWS($DV$2:DV20),$DV$2:$DV$113,0)),"")</f>
        <v>TENTATIVA DE ABUSO SEXUAL CON ACCESO CARNAL</v>
      </c>
      <c r="HS20" s="206" t="str">
        <f>IFERROR(INDEX($A$2:$A$113,MATCH(ROWS($DW$2:DW20),$DW$2:$DW$113,0)),"")</f>
        <v>TENTATIVA DE ABUSO SEXUAL CON ACCESO CARNAL</v>
      </c>
      <c r="HT20" s="206" t="str">
        <f>IFERROR(INDEX($A$2:$A$113,MATCH(ROWS($DX$2:DX20),$DX$2:$DX$113,0)),"")</f>
        <v>TENTATIVA DE ABUSO SEXUAL CON ACCESO CARNAL</v>
      </c>
      <c r="HU20" s="206" t="str">
        <f>IFERROR(INDEX($A$2:$A$113,MATCH(ROWS($DY$2:DY20),$DY$2:$DY$113,0)),"")</f>
        <v>TENTATIVA DE ABUSO SEXUAL CON ACCESO CARNAL</v>
      </c>
      <c r="HV20" s="206" t="str">
        <f>IFERROR(INDEX($A$2:$A$113,MATCH(ROWS($DZ$2:DZ20),$DZ$2:$DZ$113,0)),"")</f>
        <v>TENTATIVA DE ABUSO SEXUAL CON ACCESO CARNAL</v>
      </c>
      <c r="HW20" s="206" t="str">
        <f>IFERROR(INDEX($A$2:$A$113,MATCH(ROWS($EA$2:EA20),$EA$2:$EA$113,0)),"")</f>
        <v>TENTATIVA DE ABUSO SEXUAL CON ACCESO CARNAL</v>
      </c>
      <c r="HX20" s="206" t="str">
        <f>IFERROR(INDEX($A$2:$A$113,MATCH(ROWS($EB$2:EB20),$EB$2:$EB$113,0)),"")</f>
        <v>TENTATIVA DE ABUSO SEXUAL CON ACCESO CARNAL</v>
      </c>
      <c r="HY20" s="206" t="str">
        <f>IFERROR(INDEX($A$2:$A$113,MATCH(ROWS($EC$2:EC20),$EC$2:$EC$113,0)),"")</f>
        <v>TENTATIVA DE ABUSO SEXUAL CON ACCESO CARNAL</v>
      </c>
      <c r="HZ20" s="206" t="str">
        <f>IFERROR(INDEX($A$2:$A$113,MATCH(ROWS($ED$2:ED20),$ED$2:$ED$113,0)),"")</f>
        <v>TENTATIVA DE ABUSO SEXUAL CON ACCESO CARNAL</v>
      </c>
      <c r="IA20" s="206" t="str">
        <f>IFERROR(INDEX($A$2:$A$113,MATCH(ROWS($EE$2:EE20),$EE$2:$EE$113,0)),"")</f>
        <v>TENTATIVA DE ABUSO SEXUAL CON ACCESO CARNAL</v>
      </c>
      <c r="IB20" s="206" t="str">
        <f>IFERROR(INDEX($A$2:$A$113,MATCH(ROWS($EF$2:EF20),$EF$2:$EF$113,0)),"")</f>
        <v>TENTATIVA DE ABUSO SEXUAL CON ACCESO CARNAL</v>
      </c>
      <c r="IC20" s="206" t="str">
        <f>IFERROR(INDEX($A$2:$A$113,MATCH(ROWS($EG$2:EG20),$EG$2:$EG$113,0)),"")</f>
        <v>TENTATIVA DE ABUSO SEXUAL CON ACCESO CARNAL</v>
      </c>
      <c r="ID20" s="206" t="str">
        <f>IFERROR(INDEX($A$2:$A$113,MATCH(ROWS($EH$2:EH20),$EH$2:$EH$113,0)),"")</f>
        <v>TENTATIVA DE ABUSO SEXUAL CON ACCESO CARNAL</v>
      </c>
      <c r="IE20" s="206" t="str">
        <f>IFERROR(INDEX($A$2:$A$113,MATCH(ROWS($EI$2:EI20),$EI$2:$EI$113,0)),"")</f>
        <v>TENTATIVA DE ABUSO SEXUAL CON ACCESO CARNAL</v>
      </c>
      <c r="IF20" s="206" t="str">
        <f>IFERROR(INDEX($A$2:$A$113,MATCH(ROWS($EJ$2:EJ20),$EJ$2:$EJ$113,0)),"")</f>
        <v>TENTATIVA DE ABUSO SEXUAL CON ACCESO CARNAL</v>
      </c>
      <c r="IG20" s="206" t="str">
        <f>IFERROR(INDEX($A$2:$A$113,MATCH(ROWS($EK$2:EK20),$EK$2:$EK$113,0)),"")</f>
        <v>TENTATIVA DE ABUSO SEXUAL CON ACCESO CARNAL</v>
      </c>
      <c r="IH20" s="206" t="str">
        <f>IFERROR(INDEX($A$2:$A$113,MATCH(ROWS($EL$2:EL20),$EL$2:$EL$113,0)),"")</f>
        <v>TENTATIVA DE ABUSO SEXUAL CON ACCESO CARNAL</v>
      </c>
      <c r="II20" s="206" t="str">
        <f>IFERROR(INDEX($A$2:$A$113,MATCH(ROWS($EM$2:EM20),$EM$2:$EM$113,0)),"")</f>
        <v>TENTATIVA DE ABUSO SEXUAL CON ACCESO CARNAL</v>
      </c>
      <c r="IJ20" s="206" t="str">
        <f>IFERROR(INDEX($A$2:$A$113,MATCH(ROWS($EN$2:EN20),$EN$2:$EN$113,0)),"")</f>
        <v>TENTATIVA DE ABUSO SEXUAL CON ACCESO CARNAL</v>
      </c>
      <c r="IK20" s="207" t="str">
        <f>IFERROR(INDEX($A$2:$A$113,MATCH(ROWS($EO$2:EO20),$EO$2:$EO$113,0)),"")</f>
        <v>TENTATIVA DE ABUSO SEXUAL CON ACCESO CARNAL</v>
      </c>
      <c r="IL20" s="207" t="str">
        <f>IFERROR(INDEX($A$2:$A$113,MATCH(ROWS($EP$2:EP20),$EP$2:$EP$113,0)),"")</f>
        <v>TENTATIVA DE ABUSO SEXUAL CON ACCESO CARNAL</v>
      </c>
      <c r="IM20" s="207" t="str">
        <f>IFERROR(INDEX($A$2:$A$113,MATCH(ROWS($EQ$2:EQ20),$EQ$2:$EQ$113,0)),"")</f>
        <v>TENTATIVA DE ABUSO SEXUAL CON ACCESO CARNAL</v>
      </c>
      <c r="IN20" s="207" t="str">
        <f>IFERROR(INDEX($A$2:$A$113,MATCH(ROWS($ER$2:ER20),$ER$2:$ER$113,0)),"")</f>
        <v>TENTATIVA DE ABUSO SEXUAL CON ACCESO CARNAL</v>
      </c>
      <c r="IO20" s="207" t="str">
        <f>IFERROR(INDEX($A$2:$A$113,MATCH(ROWS($ES$2:ES20),$ES$2:$ES$113,0)),"")</f>
        <v>TENTATIVA DE ABUSO SEXUAL CON ACCESO CARNAL</v>
      </c>
      <c r="IP20" s="207" t="str">
        <f>IFERROR(INDEX($A$2:$A$113,MATCH(ROWS($ET$2:ET20),$ET$2:$ET$113,0)),"")</f>
        <v>TENTATIVA DE ABUSO SEXUAL CON ACCESO CARNAL</v>
      </c>
      <c r="IQ20" s="207" t="str">
        <f>IFERROR(INDEX($A$2:$A$113,MATCH(ROWS($EU$2:EU20),$EU$2:$EU$113,0)),"")</f>
        <v>TENTATIVA DE ABUSO SEXUAL CON ACCESO CARNAL</v>
      </c>
      <c r="IR20" s="207" t="str">
        <f>IFERROR(INDEX($A$2:$A$113,MATCH(ROWS($EV$2:EV20),$EV$2:$EV$113,0)),"")</f>
        <v>TENTATIVA DE ABUSO SEXUAL CON ACCESO CARNAL</v>
      </c>
      <c r="IS20" s="207" t="str">
        <f>IFERROR(INDEX($A$2:$A$113,MATCH(ROWS($EW$2:EW20),$EW$2:$EW$113,0)),"")</f>
        <v>TENTATIVA DE ABUSO SEXUAL CON ACCESO CARNAL</v>
      </c>
      <c r="IT20" s="207" t="str">
        <f>IFERROR(INDEX($A$2:$A$113,MATCH(ROWS($EX$2:EX20),$EX$2:$EX$113,0)),"")</f>
        <v>TENTATIVA DE ABUSO SEXUAL CON ACCESO CARNAL</v>
      </c>
      <c r="IU20" s="207" t="str">
        <f>IFERROR(INDEX($A$2:$A$113,MATCH(ROWS($EY$2:EY20),$EY$2:$EY$113,0)),"")</f>
        <v>TENTATIVA DE ABUSO SEXUAL CON ACCESO CARNAL</v>
      </c>
      <c r="IV20" s="207" t="str">
        <f>IFERROR(INDEX($A$2:$A$113,MATCH(ROWS($EZ$2:EZ20),$EZ$2:$EZ$113,0)),"")</f>
        <v>TENTATIVA DE ABUSO SEXUAL CON ACCESO CARNAL</v>
      </c>
      <c r="IW20" s="207" t="str">
        <f>IFERROR(INDEX($A$2:$A$113,MATCH(ROWS($FA$2:FA20),$FA$2:$FA$113,0)),"")</f>
        <v>TENTATIVA DE ABUSO SEXUAL CON ACCESO CARNAL</v>
      </c>
      <c r="IX20" s="207" t="str">
        <f>IFERROR(INDEX($A$2:$A$113,MATCH(ROWS($FB$2:FB20),$FB$2:$FB$113,0)),"")</f>
        <v>TENTATIVA DE ABUSO SEXUAL CON ACCESO CARNAL</v>
      </c>
      <c r="IY20" s="207" t="str">
        <f>IFERROR(INDEX($A$2:$A$113,MATCH(ROWS($FC$2:FC20),$FC$2:$FC$113,0)),"")</f>
        <v>TENTATIVA DE ABUSO SEXUAL CON ACCESO CARNAL</v>
      </c>
      <c r="IZ20" s="207" t="str">
        <f>IFERROR(INDEX($A$2:$A$113,MATCH(ROWS($FD$2:FD20),$FD$2:$FD$113,0)),"")</f>
        <v>TENTATIVA DE ABUSO SEXUAL CON ACCESO CARNAL</v>
      </c>
      <c r="JA20" s="207" t="str">
        <f>IFERROR(INDEX($A$2:$A$113,MATCH(ROWS($FE$2:FE20),$FE$2:$FE$113,0)),"")</f>
        <v>TENTATIVA DE ABUSO SEXUAL CON ACCESO CARNAL</v>
      </c>
      <c r="JB20" s="207" t="str">
        <f>IFERROR(INDEX($A$2:$A$113,MATCH(ROWS($FF$2:FF20),$FF$2:$FF$113,0)),"")</f>
        <v>TENTATIVA DE ABUSO SEXUAL CON ACCESO CARNAL</v>
      </c>
      <c r="JC20" s="207" t="str">
        <f>IFERROR(INDEX($A$2:$A$113,MATCH(ROWS($FG$2:FG20),$FG$2:$FG$113,0)),"")</f>
        <v>TENTATIVA DE ABUSO SEXUAL CON ACCESO CARNAL</v>
      </c>
      <c r="JD20" s="207" t="str">
        <f>IFERROR(INDEX($A$2:$A$113,MATCH(ROWS($FH$2:FH20),$FH$2:$FH$113,0)),"")</f>
        <v>TENTATIVA DE ABUSO SEXUAL CON ACCESO CARNAL</v>
      </c>
      <c r="JE20" s="207" t="str">
        <f>IFERROR(INDEX($A$2:$A$113,MATCH(ROWS($FI$2:FI20),$FI$2:$FI$113,0)),"")</f>
        <v>TENTATIVA DE ABUSO SEXUAL CON ACCESO CARNAL</v>
      </c>
      <c r="JF20" s="207" t="str">
        <f>IFERROR(INDEX($A$2:$A$113,MATCH(ROWS($FJ$2:FJ20),$FJ$2:$FJ$113,0)),"")</f>
        <v>TENTATIVA DE ABUSO SEXUAL CON ACCESO CARNAL</v>
      </c>
      <c r="JG20" s="207" t="str">
        <f>IFERROR(INDEX($A$2:$A$113,MATCH(ROWS($FK$2:FK20),$FK$2:$FK$113,0)),"")</f>
        <v>TENTATIVA DE ABUSO SEXUAL CON ACCESO CARNAL</v>
      </c>
      <c r="JH20" s="207" t="str">
        <f>IFERROR(INDEX($A$2:$A$113,MATCH(ROWS($FL$2:FL20),$FL$2:$FL$113,0)),"")</f>
        <v>TENTATIVA DE ABUSO SEXUAL CON ACCESO CARNAL</v>
      </c>
      <c r="JI20" s="207" t="str">
        <f>IFERROR(INDEX($A$2:$A$113,MATCH(ROWS($FM$2:FM20),$FM$2:$FM$113,0)),"")</f>
        <v>TENTATIVA DE ABUSO SEXUAL CON ACCESO CARNAL</v>
      </c>
      <c r="JJ20" s="207" t="str">
        <f>IFERROR(INDEX($A$2:$A$113,MATCH(ROWS($FN$2:FN20),$FN$2:$FN$113,0)),"")</f>
        <v>TENTATIVA DE ABUSO SEXUAL CON ACCESO CARNAL</v>
      </c>
      <c r="JK20" s="207" t="str">
        <f>IFERROR(INDEX($A$2:$A$113,MATCH(ROWS($FO$2:FO20),$FO$2:$FO$113,0)),"")</f>
        <v>TENTATIVA DE ABUSO SEXUAL CON ACCESO CARNAL</v>
      </c>
      <c r="JL20" s="207" t="str">
        <f>IFERROR(INDEX($A$2:$A$113,MATCH(ROWS($FP$2:FP20),$FP$2:$FP$113,0)),"")</f>
        <v>TENTATIVA DE ABUSO SEXUAL CON ACCESO CARNAL</v>
      </c>
      <c r="JM20" s="207" t="str">
        <f>IFERROR(INDEX($A$2:$A$113,MATCH(ROWS($FQ$2:FQ20),$FQ$2:$FQ$113,0)),"")</f>
        <v>TENTATIVA DE ABUSO SEXUAL CON ACCESO CARNAL</v>
      </c>
      <c r="JN20" s="207" t="str">
        <f>IFERROR(INDEX($A$2:$A$113,MATCH(ROWS($FR$2:FR20),$FR$2:$FR$113,0)),"")</f>
        <v>TENTATIVA DE ABUSO SEXUAL CON ACCESO CARNAL</v>
      </c>
      <c r="JO20" s="207" t="str">
        <f>IFERROR(INDEX($A$2:$A$113,MATCH(ROWS($FS$2:FS20),$FS$2:$FS$113,0)),"")</f>
        <v>TENTATIVA DE ABUSO SEXUAL CON ACCESO CARNAL</v>
      </c>
      <c r="JP20" s="207" t="str">
        <f>IFERROR(INDEX($A$2:$A$113,MATCH(ROWS($FT$2:FT20),$FT$2:$FT$113,0)),"")</f>
        <v>TENTATIVA DE ABUSO SEXUAL CON ACCESO CARNAL</v>
      </c>
      <c r="JQ20" s="207" t="str">
        <f>IFERROR(INDEX($A$2:$A$113,MATCH(ROWS($FU$2:FU20),$FU$2:$FU$113,0)),"")</f>
        <v>TENTATIVA DE ABUSO SEXUAL CON ACCESO CARNAL</v>
      </c>
      <c r="JR20" s="207" t="str">
        <f>IFERROR(INDEX($A$2:$A$113,MATCH(ROWS($FV$2:FV20),$FV$2:$FV$113,0)),"")</f>
        <v>TENTATIVA DE ABUSO SEXUAL CON ACCESO CARNAL</v>
      </c>
      <c r="JS20" s="207" t="str">
        <f>IFERROR(INDEX($A$2:$A$113,MATCH(ROWS($FW$2:FW20),$FW$2:$FW$113,0)),"")</f>
        <v>TENTATIVA DE ABUSO SEXUAL CON ACCESO CARNAL</v>
      </c>
      <c r="JT20" s="207" t="str">
        <f>IFERROR(INDEX($A$2:$A$113,MATCH(ROWS($FX$2:FX20),$FX$2:$FX$113,0)),"")</f>
        <v>TENTATIVA DE ABUSO SEXUAL CON ACCESO CARNAL</v>
      </c>
      <c r="JU20" s="207" t="str">
        <f>IFERROR(INDEX($A$2:$A$113,MATCH(ROWS($FY$2:FY20),$FY$2:$FY$113,0)),"")</f>
        <v>TENTATIVA DE ABUSO SEXUAL CON ACCESO CARNAL</v>
      </c>
      <c r="JV20" s="207" t="str">
        <f>IFERROR(INDEX($A$2:$A$113,MATCH(ROWS($FZ$2:FZ20),$FZ$2:$FZ$113,0)),"")</f>
        <v>TENTATIVA DE ABUSO SEXUAL CON ACCESO CARNAL</v>
      </c>
      <c r="JW20" s="207" t="str">
        <f>IFERROR(INDEX($A$2:$A$113,MATCH(ROWS($GA$2:GA20),$GA$2:$GA$113,0)),"")</f>
        <v>TENTATIVA DE ABUSO SEXUAL CON ACCESO CARNAL</v>
      </c>
      <c r="JX20" s="207" t="str">
        <f>IFERROR(INDEX($A$2:$A$113,MATCH(ROWS($GB$2:GB20),$GB$2:$GB$113,0)),"")</f>
        <v>TENTATIVA DE ABUSO SEXUAL CON ACCESO CARNAL</v>
      </c>
      <c r="JY20" s="207" t="str">
        <f>IFERROR(INDEX($A$2:$A$113,MATCH(ROWS($GC$2:GC20),$GC$2:$GC$113,0)),"")</f>
        <v>TENTATIVA DE ABUSO SEXUAL CON ACCESO CARNAL</v>
      </c>
      <c r="JZ20" s="207" t="str">
        <f>IFERROR(INDEX($A$2:$A$113,MATCH(ROWS($GD$2:GD20),$GD$2:$GD$113,0)),"")</f>
        <v>TENTATIVA DE ABUSO SEXUAL CON ACCESO CARNAL</v>
      </c>
      <c r="KA20" s="207" t="str">
        <f>IFERROR(INDEX($A$2:$A$113,MATCH(ROWS($GE$2:GE20),$GE$2:$GE$113,0)),"")</f>
        <v>TENTATIVA DE ABUSO SEXUAL CON ACCESO CARNAL</v>
      </c>
      <c r="KB20" s="207" t="str">
        <f>IFERROR(INDEX($A$2:$A$113,MATCH(ROWS($GF$2:GF20),$GF$2:$GF$113,0)),"")</f>
        <v>TENTATIVA DE ABUSO SEXUAL CON ACCESO CARNAL</v>
      </c>
      <c r="KC20" s="207" t="str">
        <f>IFERROR(INDEX($A$2:$A$113,MATCH(ROWS($GG$2:GG20),$GG$2:$GG$113,0)),"")</f>
        <v>TENTATIVA DE ABUSO SEXUAL CON ACCESO CARNAL</v>
      </c>
      <c r="KD20" s="207" t="str">
        <f>IFERROR(INDEX($A$2:$A$113,MATCH(ROWS($GH$2:GH20),$GH$2:$GH$113,0)),"")</f>
        <v>TENTATIVA DE ABUSO SEXUAL CON ACCESO CARNAL</v>
      </c>
      <c r="KE20" s="207" t="str">
        <f>IFERROR(INDEX($A$2:$A$113,MATCH(ROWS($GI$2:GI20),$GI$2:$GI$113,0)),"")</f>
        <v>TENTATIVA DE ABUSO SEXUAL CON ACCESO CARNAL</v>
      </c>
      <c r="KF20" s="207" t="str">
        <f>IFERROR(INDEX($A$2:$A$113,MATCH(ROWS($GJ$2:GJ20),$GJ$2:$GJ$113,0)),"")</f>
        <v>TENTATIVA DE ABUSO SEXUAL CON ACCESO CARNAL</v>
      </c>
      <c r="KG20" s="207" t="str">
        <f>IFERROR(INDEX($A$2:$A$113,MATCH(ROWS($GK$2:GK20),$GK$2:$GK$113,0)),"")</f>
        <v>TENTATIVA DE ABUSO SEXUAL CON ACCESO CARNAL</v>
      </c>
      <c r="KH20" s="207" t="str">
        <f>IFERROR(INDEX($A$2:$A$113,MATCH(ROWS($GL$2:GL20),$GL$2:$GL$113,0)),"")</f>
        <v>TENTATIVA DE ABUSO SEXUAL CON ACCESO CARNAL</v>
      </c>
      <c r="KI20" s="207" t="str">
        <f>IFERROR(INDEX($A$2:$A$113,MATCH(ROWS($GM$2:GM20),$GM$2:$GM$113,0)),"")</f>
        <v>TENTATIVA DE ABUSO SEXUAL CON ACCESO CARNAL</v>
      </c>
      <c r="KJ20" s="207" t="str">
        <f>IFERROR(INDEX($A$2:$A$113,MATCH(ROWS($GN$2:GN20),$GN$2:$GN$113,0)),"")</f>
        <v>TENTATIVA DE ABUSO SEXUAL CON ACCESO CARNAL</v>
      </c>
      <c r="KK20" s="207" t="str">
        <f>IFERROR(INDEX($A$2:$A$113,MATCH(ROWS($GO$2:GO20),$GO$2:$GO$113,0)),"")</f>
        <v>TENTATIVA DE ABUSO SEXUAL CON ACCESO CARNAL</v>
      </c>
      <c r="KL20" s="207" t="str">
        <f>IFERROR(INDEX($A$2:$A$113,MATCH(ROWS($GP$2:GP20),$GP$2:$GP$113,0)),"")</f>
        <v>TENTATIVA DE ABUSO SEXUAL CON ACCESO CARNAL</v>
      </c>
      <c r="KM20" s="207" t="str">
        <f>IFERROR(INDEX($A$2:$A$113,MATCH(ROWS($GQ$2:GQ20),$GQ$2:$GQ$113,0)),"")</f>
        <v>TENTATIVA DE ABUSO SEXUAL CON ACCESO CARNAL</v>
      </c>
      <c r="KN20" s="207" t="str">
        <f>IFERROR(INDEX($A$2:$A$113,MATCH(ROWS($GR$2:GR20),$GR$2:$GR$113,0)),"")</f>
        <v>TENTATIVA DE ABUSO SEXUAL CON ACCESO CARNAL</v>
      </c>
      <c r="KO20" s="207" t="str">
        <f>IFERROR(INDEX($A$2:$A$113,MATCH(ROWS($GS$2:GS20),$GS$2:$GS$113,0)),"")</f>
        <v>TENTATIVA DE ABUSO SEXUAL CON ACCESO CARNAL</v>
      </c>
      <c r="KP20" s="207" t="str">
        <f>IFERROR(INDEX($A$2:$A$113,MATCH(ROWS($GT$2:GT20),$GT$2:$GT$113,0)),"")</f>
        <v>TENTATIVA DE ABUSO SEXUAL CON ACCESO CARNAL</v>
      </c>
      <c r="KQ20" s="207" t="str">
        <f>IFERROR(INDEX($A$2:$A$113,MATCH(ROWS($GU$2:GU20),$GU$2:$GU$113,0)),"")</f>
        <v>TENTATIVA DE ABUSO SEXUAL CON ACCESO CARNAL</v>
      </c>
      <c r="KR20" s="207" t="str">
        <f>IFERROR(INDEX($A$2:$A$113,MATCH(ROWS($GV$2:GV20),$GV$2:$GV$113,0)),"")</f>
        <v>TENTATIVA DE ABUSO SEXUAL CON ACCESO CARNAL</v>
      </c>
      <c r="KS20" s="207" t="str">
        <f>IFERROR(INDEX($A$2:$A$113,MATCH(ROWS($GW$2:GW20),$GW$2:$GW$113,0)),"")</f>
        <v>TENTATIVA DE ABUSO SEXUAL CON ACCESO CARNAL</v>
      </c>
    </row>
    <row r="21" spans="1:305" x14ac:dyDescent="0.25">
      <c r="A21" s="206" t="s">
        <v>1080</v>
      </c>
      <c r="B21" s="206" t="s">
        <v>1083</v>
      </c>
      <c r="D21" s="206" t="s">
        <v>789</v>
      </c>
      <c r="E21" s="206" t="s">
        <v>71</v>
      </c>
      <c r="F21" s="207">
        <f>--ISNUMBER(IFERROR(SEARCH('PLANILLA DJ'!$X$3,$A21,1),""))</f>
        <v>1</v>
      </c>
      <c r="G21" s="207">
        <f>--ISNUMBER(IFERROR(SEARCH('PLANILLA DJ'!$X$4,$A21,1),""))</f>
        <v>1</v>
      </c>
      <c r="H21" s="207">
        <f>--ISNUMBER(IFERROR(SEARCH('PLANILLA DJ'!$X$5,$A21,1),""))</f>
        <v>1</v>
      </c>
      <c r="I21" s="207">
        <f>--ISNUMBER(IFERROR(SEARCH('PLANILLA DJ'!$X$6,$A21,1),""))</f>
        <v>1</v>
      </c>
      <c r="J21" s="207">
        <f>--ISNUMBER(IFERROR(SEARCH('PLANILLA DJ'!$X$7,$A21,1),""))</f>
        <v>1</v>
      </c>
      <c r="K21" s="207">
        <f>--ISNUMBER(IFERROR(SEARCH('PLANILLA DJ'!$X$8,$A21,1),""))</f>
        <v>1</v>
      </c>
      <c r="L21" s="207">
        <f>--ISNUMBER(IFERROR(SEARCH('PLANILLA DJ'!$X$9,$A21,1),""))</f>
        <v>1</v>
      </c>
      <c r="M21" s="207">
        <f>--ISNUMBER(IFERROR(SEARCH('PLANILLA DJ'!$X$10,$A21,1),""))</f>
        <v>1</v>
      </c>
      <c r="N21" s="207">
        <f>--ISNUMBER(IFERROR(SEARCH('PLANILLA DJ'!$X$11,$A21,1),""))</f>
        <v>1</v>
      </c>
      <c r="O21" s="207">
        <f>--ISNUMBER(IFERROR(SEARCH('PLANILLA DJ'!$X$12,$A21,1),""))</f>
        <v>1</v>
      </c>
      <c r="P21" s="207">
        <f>--ISNUMBER(IFERROR(SEARCH('PLANILLA DJ'!$X$13,$A21,1),""))</f>
        <v>1</v>
      </c>
      <c r="Q21" s="207">
        <f>--ISNUMBER(IFERROR(SEARCH('PLANILLA DJ'!$X$14,$A21,1),""))</f>
        <v>1</v>
      </c>
      <c r="R21" s="207">
        <f>--ISNUMBER(IFERROR(SEARCH('PLANILLA DJ'!$X$15,$A21,1),""))</f>
        <v>1</v>
      </c>
      <c r="S21" s="207">
        <f>--ISNUMBER(IFERROR(SEARCH('PLANILLA DJ'!$X$16,$A21,1),""))</f>
        <v>1</v>
      </c>
      <c r="T21" s="207">
        <f>--ISNUMBER(IFERROR(SEARCH('PLANILLA DJ'!$X$17,$A21,1),""))</f>
        <v>1</v>
      </c>
      <c r="U21" s="207">
        <f>--ISNUMBER(IFERROR(SEARCH('PLANILLA DJ'!$X$18,$A21,1),""))</f>
        <v>1</v>
      </c>
      <c r="V21" s="207">
        <f>--ISNUMBER(IFERROR(SEARCH('PLANILLA DJ'!$X$19,$A21,1),""))</f>
        <v>1</v>
      </c>
      <c r="W21" s="207">
        <f>--ISNUMBER(IFERROR(SEARCH('PLANILLA DJ'!$X$20,$A21,1),""))</f>
        <v>1</v>
      </c>
      <c r="X21" s="207">
        <f>--ISNUMBER(IFERROR(SEARCH('PLANILLA DJ'!$X$21,$A21,1),""))</f>
        <v>1</v>
      </c>
      <c r="Y21" s="207">
        <f>--ISNUMBER(IFERROR(SEARCH('PLANILLA DJ'!$X$22,$A21,1),""))</f>
        <v>1</v>
      </c>
      <c r="Z21" s="207">
        <f>--ISNUMBER(IFERROR(SEARCH('PLANILLA DJ'!$X$23,$A21,1),""))</f>
        <v>1</v>
      </c>
      <c r="AA21" s="207">
        <f>--ISNUMBER(IFERROR(SEARCH('PLANILLA DJ'!$X$24,$A21,1),""))</f>
        <v>1</v>
      </c>
      <c r="AB21" s="207">
        <f>--ISNUMBER(IFERROR(SEARCH('PLANILLA DJ'!$X$25,$A21,1),""))</f>
        <v>1</v>
      </c>
      <c r="AC21" s="207">
        <f>--ISNUMBER(IFERROR(SEARCH('PLANILLA DJ'!$X$26,$A21,1),""))</f>
        <v>1</v>
      </c>
      <c r="AD21" s="207">
        <f>--ISNUMBER(IFERROR(SEARCH('PLANILLA DJ'!$X$27,$A21,1),""))</f>
        <v>1</v>
      </c>
      <c r="AE21" s="207">
        <f>--ISNUMBER(IFERROR(SEARCH('PLANILLA DJ'!$X$28,$A21,1),""))</f>
        <v>1</v>
      </c>
      <c r="AF21" s="207">
        <f>--ISNUMBER(IFERROR(SEARCH('PLANILLA DJ'!$X$29,$A21,1),""))</f>
        <v>1</v>
      </c>
      <c r="AG21" s="207">
        <f>--ISNUMBER(IFERROR(SEARCH('PLANILLA DJ'!$X$30,$A21,1),""))</f>
        <v>1</v>
      </c>
      <c r="AH21" s="207">
        <f>--ISNUMBER(IFERROR(SEARCH('PLANILLA DJ'!$X$31,$A21,1),""))</f>
        <v>1</v>
      </c>
      <c r="AI21" s="207">
        <f>--ISNUMBER(IFERROR(SEARCH('PLANILLA DJ'!$X$32,$A21,1),""))</f>
        <v>1</v>
      </c>
      <c r="AJ21" s="207">
        <f>--ISNUMBER(IFERROR(SEARCH('PLANILLA DJ'!$X$33,$A21,1),""))</f>
        <v>1</v>
      </c>
      <c r="AK21" s="207">
        <f>--ISNUMBER(IFERROR(SEARCH('PLANILLA DJ'!$X$34,$A21,1),""))</f>
        <v>1</v>
      </c>
      <c r="AL21" s="207">
        <f>--ISNUMBER(IFERROR(SEARCH('PLANILLA DJ'!$X$35,$A21,1),""))</f>
        <v>1</v>
      </c>
      <c r="AM21" s="207">
        <f>--ISNUMBER(IFERROR(SEARCH('PLANILLA DJ'!$X$36,$A21,1),""))</f>
        <v>1</v>
      </c>
      <c r="AN21" s="207">
        <f>--ISNUMBER(IFERROR(SEARCH('PLANILLA DJ'!$X$37,$A21,1),""))</f>
        <v>1</v>
      </c>
      <c r="AO21" s="207">
        <f>--ISNUMBER(IFERROR(SEARCH('PLANILLA DJ'!$X$38,$A21,1),""))</f>
        <v>1</v>
      </c>
      <c r="AP21" s="207">
        <f>--ISNUMBER(IFERROR(SEARCH('PLANILLA DJ'!$X$39,$A21,1),""))</f>
        <v>1</v>
      </c>
      <c r="AQ21" s="207">
        <f>--ISNUMBER(IFERROR(SEARCH('PLANILLA DJ'!$X$40,$A21,1),""))</f>
        <v>1</v>
      </c>
      <c r="AR21" s="207">
        <f>--ISNUMBER(IFERROR(SEARCH('PLANILLA DJ'!$X$41,$A21,1),""))</f>
        <v>1</v>
      </c>
      <c r="AS21" s="207">
        <f>--ISNUMBER(IFERROR(SEARCH('PLANILLA DJ'!$X$42,$A21,1),""))</f>
        <v>1</v>
      </c>
      <c r="AT21" s="207">
        <f>--ISNUMBER(IFERROR(SEARCH('PLANILLA DJ'!$X$43,$A21,1),""))</f>
        <v>1</v>
      </c>
      <c r="AU21" s="207">
        <f>--ISNUMBER(IFERROR(SEARCH('PLANILLA DJ'!$X$44,$A21,1),""))</f>
        <v>1</v>
      </c>
      <c r="AV21" s="207">
        <f>--ISNUMBER(IFERROR(SEARCH('PLANILLA DJ'!$X$45,$A21,1),""))</f>
        <v>1</v>
      </c>
      <c r="AW21" s="207">
        <f>--ISNUMBER(IFERROR(SEARCH('PLANILLA DJ'!$X$46,$A21,1),""))</f>
        <v>1</v>
      </c>
      <c r="AX21" s="207">
        <f>--ISNUMBER(IFERROR(SEARCH('PLANILLA DJ'!$X$47,$A21,1),""))</f>
        <v>1</v>
      </c>
      <c r="AY21" s="207">
        <f>--ISNUMBER(IFERROR(SEARCH('PLANILLA DJ'!$X$48,$A21,1),""))</f>
        <v>1</v>
      </c>
      <c r="AZ21" s="207">
        <f>--ISNUMBER(IFERROR(SEARCH('PLANILLA DJ'!$X$49,$A21,1),""))</f>
        <v>1</v>
      </c>
      <c r="BA21" s="207">
        <f>--ISNUMBER(IFERROR(SEARCH('PLANILLA DJ'!$X$50,$A21,1),""))</f>
        <v>1</v>
      </c>
      <c r="BB21" s="207">
        <f>--ISNUMBER(IFERROR(SEARCH('PLANILLA DJ'!$X$51,$A21,1),""))</f>
        <v>1</v>
      </c>
      <c r="BC21" s="207">
        <f>--ISNUMBER(IFERROR(SEARCH('PLANILLA DJ'!$X$52,$A21,1),""))</f>
        <v>1</v>
      </c>
      <c r="BD21" s="207">
        <f>--ISNUMBER(IFERROR(SEARCH('PLANILLA DJ'!$X$53,$A21,1),""))</f>
        <v>1</v>
      </c>
      <c r="BE21" s="207">
        <f>--ISNUMBER(IFERROR(SEARCH('PLANILLA DJ'!$X$54,$A21,1),""))</f>
        <v>1</v>
      </c>
      <c r="BF21" s="207">
        <f>--ISNUMBER(IFERROR(SEARCH('PLANILLA DJ'!$X$55,$A21,1),""))</f>
        <v>1</v>
      </c>
      <c r="BG21" s="207">
        <f>--ISNUMBER(IFERROR(SEARCH('PLANILLA DJ'!$X$56,$A21,1),""))</f>
        <v>1</v>
      </c>
      <c r="BH21" s="207">
        <f>--ISNUMBER(IFERROR(SEARCH('PLANILLA DJ'!$X$57,$A21,1),""))</f>
        <v>1</v>
      </c>
      <c r="BI21" s="207">
        <f>--ISNUMBER(IFERROR(SEARCH('PLANILLA DJ'!$X$58,$A21,1),""))</f>
        <v>1</v>
      </c>
      <c r="BJ21" s="207">
        <f>--ISNUMBER(IFERROR(SEARCH('PLANILLA DJ'!$X$59,$A21,1),""))</f>
        <v>1</v>
      </c>
      <c r="BK21" s="207">
        <f>--ISNUMBER(IFERROR(SEARCH('PLANILLA DJ'!$X$60,$A21,1),""))</f>
        <v>1</v>
      </c>
      <c r="BL21" s="207">
        <f>--ISNUMBER(IFERROR(SEARCH('PLANILLA DJ'!$X$61,$A21,1),""))</f>
        <v>1</v>
      </c>
      <c r="BM21" s="207">
        <f>--ISNUMBER(IFERROR(SEARCH('PLANILLA DJ'!$X$62,$A21,1),""))</f>
        <v>1</v>
      </c>
      <c r="BN21" s="207">
        <f>--ISNUMBER(IFERROR(SEARCH('PLANILLA DJ'!$X$63,$A21,1),""))</f>
        <v>1</v>
      </c>
      <c r="BO21" s="207">
        <f>--ISNUMBER(IFERROR(SEARCH('PLANILLA DJ'!$X$64,$A21,1),""))</f>
        <v>1</v>
      </c>
      <c r="BP21" s="207">
        <f>--ISNUMBER(IFERROR(SEARCH('PLANILLA DJ'!$X$65,$A21,1),""))</f>
        <v>1</v>
      </c>
      <c r="BQ21" s="207">
        <f>--ISNUMBER(IFERROR(SEARCH('PLANILLA DJ'!$X$66,$A21,1),""))</f>
        <v>1</v>
      </c>
      <c r="BR21" s="207">
        <f>--ISNUMBER(IFERROR(SEARCH('PLANILLA DJ'!$X$67,$A21,1),""))</f>
        <v>1</v>
      </c>
      <c r="BS21" s="207">
        <f>--ISNUMBER(IFERROR(SEARCH('PLANILLA DJ'!$X$68,$A21,1),""))</f>
        <v>1</v>
      </c>
      <c r="BT21" s="207">
        <f>--ISNUMBER(IFERROR(SEARCH('PLANILLA DJ'!$X$69,$A21,1),""))</f>
        <v>1</v>
      </c>
      <c r="BU21" s="207">
        <f>--ISNUMBER(IFERROR(SEARCH('PLANILLA DJ'!$X$70,$A21,1),""))</f>
        <v>1</v>
      </c>
      <c r="BV21" s="207">
        <f>--ISNUMBER(IFERROR(SEARCH('PLANILLA DJ'!$X$71,$A21,1),""))</f>
        <v>1</v>
      </c>
      <c r="BW21" s="207">
        <f>--ISNUMBER(IFERROR(SEARCH('PLANILLA DJ'!$X$72,$A21,1),""))</f>
        <v>1</v>
      </c>
      <c r="BX21" s="207">
        <f>--ISNUMBER(IFERROR(SEARCH('PLANILLA DJ'!$X$73,$A21,1),""))</f>
        <v>1</v>
      </c>
      <c r="BY21" s="207">
        <f>--ISNUMBER(IFERROR(SEARCH('PLANILLA DJ'!$X$74,$A21,1),""))</f>
        <v>1</v>
      </c>
      <c r="BZ21" s="207">
        <f>--ISNUMBER(IFERROR(SEARCH('PLANILLA DJ'!$X$75,$A21,1),""))</f>
        <v>1</v>
      </c>
      <c r="CA21" s="207">
        <f>--ISNUMBER(IFERROR(SEARCH('PLANILLA DJ'!$X$76,$A21,1),""))</f>
        <v>1</v>
      </c>
      <c r="CB21" s="207">
        <f>--ISNUMBER(IFERROR(SEARCH('PLANILLA DJ'!$X$77,$A21,1),""))</f>
        <v>1</v>
      </c>
      <c r="CC21" s="207">
        <f>--ISNUMBER(IFERROR(SEARCH('PLANILLA DJ'!$X$78,$A21,1),""))</f>
        <v>1</v>
      </c>
      <c r="CD21" s="207">
        <f>--ISNUMBER(IFERROR(SEARCH('PLANILLA DJ'!$X$79,$A21,1),""))</f>
        <v>1</v>
      </c>
      <c r="CE21" s="207">
        <f>--ISNUMBER(IFERROR(SEARCH('PLANILLA DJ'!$X$80,$A21,1),""))</f>
        <v>1</v>
      </c>
      <c r="CF21" s="207">
        <f>--ISNUMBER(IFERROR(SEARCH('PLANILLA DJ'!$X$81,$A21,1),""))</f>
        <v>1</v>
      </c>
      <c r="CG21" s="207">
        <f>--ISNUMBER(IFERROR(SEARCH('PLANILLA DJ'!$X$82,$A21,1),""))</f>
        <v>1</v>
      </c>
      <c r="CH21" s="207">
        <f>--ISNUMBER(IFERROR(SEARCH('PLANILLA DJ'!$X$83,$A21,1),""))</f>
        <v>1</v>
      </c>
      <c r="CI21" s="207">
        <f>--ISNUMBER(IFERROR(SEARCH('PLANILLA DJ'!$X$84,$A21,1),""))</f>
        <v>1</v>
      </c>
      <c r="CJ21" s="207">
        <f>--ISNUMBER(IFERROR(SEARCH('PLANILLA DJ'!$X$85,$A21,1),""))</f>
        <v>1</v>
      </c>
      <c r="CK21" s="207">
        <f>--ISNUMBER(IFERROR(SEARCH('PLANILLA DJ'!$X$86,$A21,1),""))</f>
        <v>1</v>
      </c>
      <c r="CL21" s="207">
        <f>--ISNUMBER(IFERROR(SEARCH('PLANILLA DJ'!$X$87,$A21,1),""))</f>
        <v>1</v>
      </c>
      <c r="CM21" s="207">
        <f>--ISNUMBER(IFERROR(SEARCH('PLANILLA DJ'!$X$88,$A21,1),""))</f>
        <v>1</v>
      </c>
      <c r="CN21" s="207">
        <f>--ISNUMBER(IFERROR(SEARCH('PLANILLA DJ'!$X$89,$A21,1),""))</f>
        <v>1</v>
      </c>
      <c r="CO21" s="207">
        <f>--ISNUMBER(IFERROR(SEARCH('PLANILLA DJ'!$X$90,$A21,1),""))</f>
        <v>1</v>
      </c>
      <c r="CP21" s="207">
        <f>--ISNUMBER(IFERROR(SEARCH('PLANILLA DJ'!$X$91,$A21,1),""))</f>
        <v>1</v>
      </c>
      <c r="CQ21" s="207">
        <f>--ISNUMBER(IFERROR(SEARCH('PLANILLA DJ'!$X$92,$A21,1),""))</f>
        <v>1</v>
      </c>
      <c r="CR21" s="207">
        <f>--ISNUMBER(IFERROR(SEARCH('PLANILLA DJ'!$X$93,$A21,1),""))</f>
        <v>1</v>
      </c>
      <c r="CS21" s="207">
        <f>--ISNUMBER(IFERROR(SEARCH('PLANILLA DJ'!$X$94,$A21,1),""))</f>
        <v>1</v>
      </c>
      <c r="CT21" s="207">
        <f>--ISNUMBER(IFERROR(SEARCH('PLANILLA DJ'!$X$95,$A21,1),""))</f>
        <v>1</v>
      </c>
      <c r="CU21" s="207">
        <f>--ISNUMBER(IFERROR(SEARCH('PLANILLA DJ'!$X$96,$A21,1),""))</f>
        <v>1</v>
      </c>
      <c r="CV21" s="207">
        <f>--ISNUMBER(IFERROR(SEARCH('PLANILLA DJ'!$X$97,$A21,1),""))</f>
        <v>1</v>
      </c>
      <c r="CW21" s="207">
        <f>--ISNUMBER(IFERROR(SEARCH('PLANILLA DJ'!$X$98,$A21,1),""))</f>
        <v>1</v>
      </c>
      <c r="CX21" s="207">
        <f>--ISNUMBER(IFERROR(SEARCH('PLANILLA DJ'!$X$99,$A21,1),""))</f>
        <v>1</v>
      </c>
      <c r="CY21" s="207">
        <f>--ISNUMBER(IFERROR(SEARCH('PLANILLA DJ'!$X$100,$A21,1),""))</f>
        <v>1</v>
      </c>
      <c r="CZ21" s="207">
        <f>--ISNUMBER(IFERROR(SEARCH('PLANILLA DJ'!$X$101,$A21,1),""))</f>
        <v>1</v>
      </c>
      <c r="DA21" s="207">
        <f>--ISNUMBER(IFERROR(SEARCH('PLANILLA DJ'!$X$102,$A21,1),""))</f>
        <v>1</v>
      </c>
      <c r="DB21" s="206">
        <f>IF(F21=1,COUNTIF($F$2:F21,1),"")</f>
        <v>20</v>
      </c>
      <c r="DC21" s="206">
        <f>IF(G21=1,COUNTIF($G$2:G21,1),"")</f>
        <v>20</v>
      </c>
      <c r="DD21" s="206">
        <f>IF(H21=1,COUNTIF($H$2:H21,1),"")</f>
        <v>20</v>
      </c>
      <c r="DE21" s="206">
        <f>IF(I21=1,COUNTIF($I$2:I21,1),"")</f>
        <v>20</v>
      </c>
      <c r="DF21" s="206">
        <f>IF(J21=1,COUNTIF($J$2:J21,1),"")</f>
        <v>20</v>
      </c>
      <c r="DG21" s="206">
        <f>IF(K21=1,COUNTIF($K$2:K21,1),"")</f>
        <v>20</v>
      </c>
      <c r="DH21" s="206">
        <f>IF(L21=1,COUNTIF($L$2:L21,1),"")</f>
        <v>20</v>
      </c>
      <c r="DI21" s="206">
        <f>IF(M21=1,COUNTIF($M$2:M21,1),"")</f>
        <v>20</v>
      </c>
      <c r="DJ21" s="206">
        <f>IF(N21=1,COUNTIF($N$2:N21,1),"")</f>
        <v>20</v>
      </c>
      <c r="DK21" s="206">
        <f>IF(O21=1,COUNTIF($O$2:O21,1),"")</f>
        <v>20</v>
      </c>
      <c r="DL21" s="206">
        <f>IF(P21=1,COUNTIF($P$2:P21,1),"")</f>
        <v>20</v>
      </c>
      <c r="DM21" s="206">
        <f>IF(Q21=1,COUNTIF($Q$2:Q21,1),"")</f>
        <v>20</v>
      </c>
      <c r="DN21" s="207">
        <f>IF(R21=1,COUNTIF($R$2:R21,1),"")</f>
        <v>20</v>
      </c>
      <c r="DO21" s="207">
        <f>IF(S21=1,COUNTIF($S$2:S21,1),"")</f>
        <v>20</v>
      </c>
      <c r="DP21" s="207">
        <f>IF(T21=1,COUNTIF($T$2:T21,1),"")</f>
        <v>20</v>
      </c>
      <c r="DQ21" s="207">
        <f>IF(U21=1,COUNTIF($U$2:U21,1),"")</f>
        <v>20</v>
      </c>
      <c r="DR21" s="207">
        <f>IF(V21=1,COUNTIF($V$2:V21,1),"")</f>
        <v>20</v>
      </c>
      <c r="DS21" s="207">
        <f>IF(W21=1,COUNTIF($W$2:W21,1),"")</f>
        <v>20</v>
      </c>
      <c r="DT21" s="207">
        <f>IF(X21=1,COUNTIF($X$2:X21,1),"")</f>
        <v>20</v>
      </c>
      <c r="DU21" s="207">
        <f>IF(Y21=1,COUNTIF($Y$2:Y21,1),"")</f>
        <v>20</v>
      </c>
      <c r="DV21" s="207">
        <f>IF(Z21=1,COUNTIF(Z$2:Z21,1),"")</f>
        <v>20</v>
      </c>
      <c r="DW21" s="207">
        <f>IF(AA21=1,COUNTIF($AA$2:AA21,1),"")</f>
        <v>20</v>
      </c>
      <c r="DX21" s="207">
        <f>IF(AB21=1,COUNTIF($AB$2:AB21,1),"")</f>
        <v>20</v>
      </c>
      <c r="DY21" s="207">
        <f>IF(AC21=1,COUNTIF($AC$2:AC21,1),"")</f>
        <v>20</v>
      </c>
      <c r="DZ21" s="207">
        <f>IF(AD21=1,COUNTIF($AD$2:AD21,1),"")</f>
        <v>20</v>
      </c>
      <c r="EA21" s="207">
        <f>IF(AE21=1,COUNTIF($AE$2:AE21,1),"")</f>
        <v>20</v>
      </c>
      <c r="EB21" s="207">
        <f>IF(AF21=1,COUNTIF($AF$2:AF21,1),"")</f>
        <v>20</v>
      </c>
      <c r="EC21" s="207">
        <f>IF(AG21=1,COUNTIF($AG$2:AG21,1),"")</f>
        <v>20</v>
      </c>
      <c r="ED21" s="207">
        <f>IF(AH21=1,COUNTIF($AH$2:AH21,1),"")</f>
        <v>20</v>
      </c>
      <c r="EE21" s="207">
        <f>IF(AI21=1,COUNTIF($AI$2:AI21,1),"")</f>
        <v>20</v>
      </c>
      <c r="EF21" s="207">
        <f>IF(AJ21=1,COUNTIF($AJ$2:AJ21,1),"")</f>
        <v>20</v>
      </c>
      <c r="EG21" s="207">
        <f>IF(AK21=1,COUNTIF($AK$2:AK21,1),"")</f>
        <v>20</v>
      </c>
      <c r="EH21" s="207">
        <f>IF(AL21=1,COUNTIF($AL$2:AL21,1),"")</f>
        <v>20</v>
      </c>
      <c r="EI21" s="207">
        <f>IF(AM21=1,COUNTIF($AM$2:AM21,1),"")</f>
        <v>20</v>
      </c>
      <c r="EJ21" s="207">
        <f>IF(AN21=1,COUNTIF($AN$2:AN21,1),"")</f>
        <v>20</v>
      </c>
      <c r="EK21" s="207">
        <f>IF(AO21=1,COUNTIF($AO$2:AO21,1),"")</f>
        <v>20</v>
      </c>
      <c r="EL21" s="207">
        <f>IF(AP21=1,COUNTIF($AP$2:AP21,1),"")</f>
        <v>20</v>
      </c>
      <c r="EM21" s="207">
        <f>IF(AQ21=1,COUNTIF($AQ$2:AQ21,1),"")</f>
        <v>20</v>
      </c>
      <c r="EN21" s="207">
        <f>IF(AR21=1,COUNTIF($AR$2:AR21,1),"")</f>
        <v>20</v>
      </c>
      <c r="EO21" s="207">
        <f>IF(AS21=1,COUNTIF($AS$2:AS21,1),"")</f>
        <v>20</v>
      </c>
      <c r="EP21" s="207">
        <f>IF(AT21=1,COUNTIF($AT$2:AT21,1),"")</f>
        <v>20</v>
      </c>
      <c r="EQ21" s="207">
        <f>IF(AU21=1,COUNTIF($AU$2:AU21,1),"")</f>
        <v>20</v>
      </c>
      <c r="ER21" s="207">
        <f>IF(AV21=1,COUNTIF($AV$2:AV21,1),"")</f>
        <v>20</v>
      </c>
      <c r="ES21" s="207">
        <f>IF(AW21=1,COUNTIF($AW$2:AW21,1),"")</f>
        <v>20</v>
      </c>
      <c r="ET21" s="207">
        <f>IF(AX21=1,COUNTIF($AX$2:AX21,1),"")</f>
        <v>20</v>
      </c>
      <c r="EU21" s="207">
        <f>IF(AY21=1,COUNTIF($AY$2:AY21,1),"")</f>
        <v>20</v>
      </c>
      <c r="EV21" s="207">
        <f>IF(AZ21=1,COUNTIF($AZ$2:AZ21,1),"")</f>
        <v>20</v>
      </c>
      <c r="EW21" s="207">
        <f>IF(BA21=1,COUNTIF($BA$2:BA21,1),"")</f>
        <v>20</v>
      </c>
      <c r="EX21" s="207">
        <f>IF(BB21=1,COUNTIF($BB$2:BB21,1),"")</f>
        <v>20</v>
      </c>
      <c r="EY21" s="207">
        <f>IF(BC21=1,COUNTIF($BC$2:BC21,1),"")</f>
        <v>20</v>
      </c>
      <c r="EZ21" s="207">
        <f>IF(BD21=1,COUNTIF($BD$2:BD21,1),"")</f>
        <v>20</v>
      </c>
      <c r="FA21" s="207">
        <f>IF(BE21=1,COUNTIF($BE$2:BE21,1),"")</f>
        <v>20</v>
      </c>
      <c r="FB21" s="207">
        <f>IF(BF21=1,COUNTIF($BF$2:BF21,1),"")</f>
        <v>20</v>
      </c>
      <c r="FC21" s="207">
        <f>IF(BG21=1,COUNTIF($BG$2:BG21,1),"")</f>
        <v>20</v>
      </c>
      <c r="FD21" s="207">
        <f>IF(BH21=1,COUNTIF($BH$2:BH21,1),"")</f>
        <v>20</v>
      </c>
      <c r="FE21" s="207">
        <f>IF(BI21=1,COUNTIF($BI$2:BI21,1),"")</f>
        <v>20</v>
      </c>
      <c r="FF21" s="207">
        <f>IF(BJ21=1,COUNTIF($BJ$2:BJ21,1),"")</f>
        <v>20</v>
      </c>
      <c r="FG21" s="207">
        <f>IF(BK21=1,COUNTIF($BK$2:BK21,1),"")</f>
        <v>20</v>
      </c>
      <c r="FH21" s="207">
        <f>IF(BL21=1,COUNTIF($BL$2:BL21,1),"")</f>
        <v>20</v>
      </c>
      <c r="FI21" s="207">
        <f>IF(BM21=1,COUNTIF($BM$2:BM21,1),"")</f>
        <v>20</v>
      </c>
      <c r="FJ21" s="207">
        <f>IF(BN21=1,COUNTIF($BN$2:BN21,1),"")</f>
        <v>20</v>
      </c>
      <c r="FK21" s="207">
        <f>IF(BO21=1,COUNTIF($BO$2:BO21,1),"")</f>
        <v>20</v>
      </c>
      <c r="FL21" s="207">
        <f>IF(BP21=1,COUNTIF($BP$2:BP21,1),"")</f>
        <v>20</v>
      </c>
      <c r="FM21" s="207">
        <f>IF(BQ21=1,COUNTIF($BQ$2:BQ21,1),"")</f>
        <v>20</v>
      </c>
      <c r="FN21" s="207">
        <f>IF(BR21=1,COUNTIF($BR$2:BR21,1),"")</f>
        <v>20</v>
      </c>
      <c r="FO21" s="207">
        <f>IF(BS21=1,COUNTIF($BS$2:BS21,1),"")</f>
        <v>20</v>
      </c>
      <c r="FP21" s="207">
        <f>IF(BT21=1,COUNTIF($BT$2:BT21,1),"")</f>
        <v>20</v>
      </c>
      <c r="FQ21" s="207">
        <f>IF(BU21=1,COUNTIF($BU$2:BU21,1),"")</f>
        <v>20</v>
      </c>
      <c r="FR21" s="207">
        <f>IF(BV21=1,COUNTIF($BV$2:BV21,1),"")</f>
        <v>20</v>
      </c>
      <c r="FS21" s="207">
        <f>IF(BW21=1,COUNTIF($BW$2:BW21,1),"")</f>
        <v>20</v>
      </c>
      <c r="FT21" s="207">
        <f>IF(BX21=1,COUNTIF($BX$2:BX21,1),"")</f>
        <v>20</v>
      </c>
      <c r="FU21" s="207">
        <f>IF(BY21=1,COUNTIF($BY$2:BY21,1),"")</f>
        <v>20</v>
      </c>
      <c r="FV21" s="207">
        <f>IF(BZ21=1,COUNTIF($BZ$2:BZ21,1),"")</f>
        <v>20</v>
      </c>
      <c r="FW21" s="207">
        <f>IF(CA21=1,COUNTIF($CA$2:CA21,1),"")</f>
        <v>20</v>
      </c>
      <c r="FX21" s="207">
        <f>IF(CB21=1,COUNTIF($CB$2:CB21,1),"")</f>
        <v>20</v>
      </c>
      <c r="FY21" s="207">
        <f>IF(CC21=1,COUNTIF($CC$2:CC21,1),"")</f>
        <v>20</v>
      </c>
      <c r="FZ21" s="207">
        <f>IF(CD21=1,COUNTIF($CD$2:CD21,1),"")</f>
        <v>20</v>
      </c>
      <c r="GA21" s="207">
        <f>IF(CE21=1,COUNTIF($CE$2:CE21,1),"")</f>
        <v>20</v>
      </c>
      <c r="GB21" s="207">
        <f>IF(CF21=1,COUNTIF($CF$2:CF21,1),"")</f>
        <v>20</v>
      </c>
      <c r="GC21" s="207">
        <f>IF(CG21=1,COUNTIF($CG$2:CG21,1),"")</f>
        <v>20</v>
      </c>
      <c r="GD21" s="207">
        <f>IF(CH21=1,COUNTIF($CH$2:CH21,1),"")</f>
        <v>20</v>
      </c>
      <c r="GE21" s="207">
        <f>IF(CI21=1,COUNTIF($CI$2:CI21,1),"")</f>
        <v>20</v>
      </c>
      <c r="GF21" s="207">
        <f>IF(CJ21=1,COUNTIF($CJ$2:CJ21,1),"")</f>
        <v>20</v>
      </c>
      <c r="GG21" s="207">
        <f>IF(CK21=1,COUNTIF($CK$2:CK21,1),"")</f>
        <v>20</v>
      </c>
      <c r="GH21" s="207">
        <f>IF(CL21=1,COUNTIF($CL$2:CL21,1),"")</f>
        <v>20</v>
      </c>
      <c r="GI21" s="207">
        <f>IF(CM21=1,COUNTIF($CM$2:CM21,1),"")</f>
        <v>20</v>
      </c>
      <c r="GJ21" s="207">
        <f>IF(CN21=1,COUNTIF($CN$2:CN21,1),"")</f>
        <v>20</v>
      </c>
      <c r="GK21" s="207">
        <f>IF(CO21=1,COUNTIF($CO$2:CO21,1),"")</f>
        <v>20</v>
      </c>
      <c r="GL21" s="207">
        <f>IF(CP21=1,COUNTIF($CP$2:CP21,1),"")</f>
        <v>20</v>
      </c>
      <c r="GM21" s="207">
        <f>IF(CQ21=1,COUNTIF($CQ$2:CQ21,1),"")</f>
        <v>20</v>
      </c>
      <c r="GN21" s="207">
        <f>IF(CR21=1,COUNTIF($CR$2:CR21,1),"")</f>
        <v>20</v>
      </c>
      <c r="GO21" s="207">
        <f>IF(CS21=1,COUNTIF($CS$2:CS21,1),"")</f>
        <v>20</v>
      </c>
      <c r="GP21" s="207">
        <f>IF(CT21=1,COUNTIF($CT$2:CT21,1),"")</f>
        <v>20</v>
      </c>
      <c r="GQ21" s="207">
        <f>IF(CU21=1,COUNTIF($CU$2:CU21,1),"")</f>
        <v>20</v>
      </c>
      <c r="GR21" s="207">
        <f>IF(CV21=1,COUNTIF($CV$2:CV21,1),"")</f>
        <v>20</v>
      </c>
      <c r="GS21" s="207">
        <f>IF(CW21=1,COUNTIF($CW$2:CW21,1),"")</f>
        <v>20</v>
      </c>
      <c r="GT21" s="207">
        <f>IF(CX21=1,COUNTIF($CX$2:CX21,1),"")</f>
        <v>20</v>
      </c>
      <c r="GU21" s="207">
        <f>IF(CY21=1,COUNTIF($CY$2:CY21,1),"")</f>
        <v>20</v>
      </c>
      <c r="GV21" s="207">
        <f>IF(CZ21=1,COUNTIF($CZ$2:CZ21,1),"")</f>
        <v>20</v>
      </c>
      <c r="GW21" s="207">
        <f>IF(DA21=1,COUNTIF($DA$2:DA21,1),"")</f>
        <v>20</v>
      </c>
      <c r="GX21" s="206" t="str">
        <f>IFERROR(INDEX($A$2:$A$113,MATCH(ROWS($DB$2:DB21),$DB$2:$DB$113,0)),"")</f>
        <v>ABUSO SEXUAL SIMPLE</v>
      </c>
      <c r="GY21" s="206" t="str">
        <f>IFERROR(INDEX($A$2:$A$113,MATCH(ROWS($DC$2:DC21),$DC$2:$DC$113,0)),"")</f>
        <v>ABUSO SEXUAL SIMPLE</v>
      </c>
      <c r="GZ21" s="206" t="str">
        <f>IFERROR(INDEX($A$2:$A$113,MATCH(ROWS($DD$2:DD21),$DD$2:$DD$113,0)),"")</f>
        <v>ABUSO SEXUAL SIMPLE</v>
      </c>
      <c r="HA21" s="206" t="str">
        <f>IFERROR(INDEX($A$2:$A$113,MATCH(ROWS($DE$2:DE21),$DE$2:$DE$113,0)),"")</f>
        <v>ABUSO SEXUAL SIMPLE</v>
      </c>
      <c r="HB21" s="206" t="str">
        <f>IFERROR(INDEX($A$2:$A$113,MATCH(ROWS($DF$2:DF21),$DF$2:$DF$113,0)),"")</f>
        <v>ABUSO SEXUAL SIMPLE</v>
      </c>
      <c r="HC21" s="206" t="str">
        <f>IFERROR(INDEX($A$2:$A$113,MATCH(ROWS($DG$2:DG21),$DG$2:$DG$113,0)),"")</f>
        <v>ABUSO SEXUAL SIMPLE</v>
      </c>
      <c r="HD21" s="206" t="str">
        <f>IFERROR(INDEX($A$2:$A$113,MATCH(ROWS($DH$2:DH21),$DH$2:$DH$113,0)),"")</f>
        <v>ABUSO SEXUAL SIMPLE</v>
      </c>
      <c r="HE21" s="206" t="str">
        <f>IFERROR(INDEX($A$2:$A$113,MATCH(ROWS($DI$2:DI21),$DI$2:$DI$113,0)),"")</f>
        <v>ABUSO SEXUAL SIMPLE</v>
      </c>
      <c r="HF21" s="206" t="str">
        <f>IFERROR(INDEX($A$2:$A$113,MATCH(ROWS($DJ$2:DJ21),$DJ$2:$DJ$113,0)),"")</f>
        <v>ABUSO SEXUAL SIMPLE</v>
      </c>
      <c r="HG21" s="206" t="str">
        <f>IFERROR(INDEX($A$2:$A$113,MATCH(ROWS($DK$2:DK21),$DK$2:$DK$113,0)),"")</f>
        <v>ABUSO SEXUAL SIMPLE</v>
      </c>
      <c r="HH21" s="206" t="str">
        <f>IFERROR(INDEX($A$2:$A$113,MATCH(ROWS($DL$2:DL21),$DL$2:$DL$113,0)),"")</f>
        <v>ABUSO SEXUAL SIMPLE</v>
      </c>
      <c r="HI21" s="206" t="str">
        <f>IFERROR(INDEX($A$2:$A$113,MATCH(ROWS($DM$2:DM21),$DM$2:$DM$113,0)),"")</f>
        <v>ABUSO SEXUAL SIMPLE</v>
      </c>
      <c r="HJ21" s="206" t="str">
        <f>IFERROR(INDEX($A$2:$A$113,MATCH(ROWS($DN$2:DN21),$DN$2:$DN$113,0)),"")</f>
        <v>ABUSO SEXUAL SIMPLE</v>
      </c>
      <c r="HK21" s="206" t="str">
        <f>IFERROR(INDEX($A$2:$A$113,MATCH(ROWS($DO$2:DO21),$DO$2:$DO$113,0)),"")</f>
        <v>ABUSO SEXUAL SIMPLE</v>
      </c>
      <c r="HL21" s="206" t="str">
        <f>IFERROR(INDEX($A$2:$A$113,MATCH(ROWS($DP$2:DP21),$DP$2:$DP$113,0)),"")</f>
        <v>ABUSO SEXUAL SIMPLE</v>
      </c>
      <c r="HM21" s="206" t="str">
        <f>IFERROR(INDEX($A$2:$A$113,MATCH(ROWS($DQ$2:DQ21),$DQ$2:$DQ$113,0)),"")</f>
        <v>ABUSO SEXUAL SIMPLE</v>
      </c>
      <c r="HN21" s="206" t="str">
        <f>IFERROR(INDEX($A$2:$A$113,MATCH(ROWS($DR$2:DR21),$DR$2:$DR$113,0)),"")</f>
        <v>ABUSO SEXUAL SIMPLE</v>
      </c>
      <c r="HO21" s="206" t="str">
        <f>IFERROR(INDEX($A$2:$A$113,MATCH(ROWS($DS$2:DS21),$DS$2:$DS$113,0)),"")</f>
        <v>ABUSO SEXUAL SIMPLE</v>
      </c>
      <c r="HP21" s="206" t="str">
        <f>IFERROR(INDEX($A$2:$A$113,MATCH(ROWS($DT$2:DT21),$DT$2:$DT$113,0)),"")</f>
        <v>ABUSO SEXUAL SIMPLE</v>
      </c>
      <c r="HQ21" s="206" t="str">
        <f>IFERROR(INDEX($A$2:$A$113,MATCH(ROWS($DU$2:DU21),$DU$2:$DU$113,0)),"")</f>
        <v>ABUSO SEXUAL SIMPLE</v>
      </c>
      <c r="HR21" s="206" t="str">
        <f>IFERROR(INDEX($A$2:$A$113,MATCH(ROWS($DV$2:DV21),$DV$2:$DV$113,0)),"")</f>
        <v>ABUSO SEXUAL SIMPLE</v>
      </c>
      <c r="HS21" s="206" t="str">
        <f>IFERROR(INDEX($A$2:$A$113,MATCH(ROWS($DW$2:DW21),$DW$2:$DW$113,0)),"")</f>
        <v>ABUSO SEXUAL SIMPLE</v>
      </c>
      <c r="HT21" s="206" t="str">
        <f>IFERROR(INDEX($A$2:$A$113,MATCH(ROWS($DX$2:DX21),$DX$2:$DX$113,0)),"")</f>
        <v>ABUSO SEXUAL SIMPLE</v>
      </c>
      <c r="HU21" s="206" t="str">
        <f>IFERROR(INDEX($A$2:$A$113,MATCH(ROWS($DY$2:DY21),$DY$2:$DY$113,0)),"")</f>
        <v>ABUSO SEXUAL SIMPLE</v>
      </c>
      <c r="HV21" s="206" t="str">
        <f>IFERROR(INDEX($A$2:$A$113,MATCH(ROWS($DZ$2:DZ21),$DZ$2:$DZ$113,0)),"")</f>
        <v>ABUSO SEXUAL SIMPLE</v>
      </c>
      <c r="HW21" s="206" t="str">
        <f>IFERROR(INDEX($A$2:$A$113,MATCH(ROWS($EA$2:EA21),$EA$2:$EA$113,0)),"")</f>
        <v>ABUSO SEXUAL SIMPLE</v>
      </c>
      <c r="HX21" s="206" t="str">
        <f>IFERROR(INDEX($A$2:$A$113,MATCH(ROWS($EB$2:EB21),$EB$2:$EB$113,0)),"")</f>
        <v>ABUSO SEXUAL SIMPLE</v>
      </c>
      <c r="HY21" s="206" t="str">
        <f>IFERROR(INDEX($A$2:$A$113,MATCH(ROWS($EC$2:EC21),$EC$2:$EC$113,0)),"")</f>
        <v>ABUSO SEXUAL SIMPLE</v>
      </c>
      <c r="HZ21" s="206" t="str">
        <f>IFERROR(INDEX($A$2:$A$113,MATCH(ROWS($ED$2:ED21),$ED$2:$ED$113,0)),"")</f>
        <v>ABUSO SEXUAL SIMPLE</v>
      </c>
      <c r="IA21" s="206" t="str">
        <f>IFERROR(INDEX($A$2:$A$113,MATCH(ROWS($EE$2:EE21),$EE$2:$EE$113,0)),"")</f>
        <v>ABUSO SEXUAL SIMPLE</v>
      </c>
      <c r="IB21" s="206" t="str">
        <f>IFERROR(INDEX($A$2:$A$113,MATCH(ROWS($EF$2:EF21),$EF$2:$EF$113,0)),"")</f>
        <v>ABUSO SEXUAL SIMPLE</v>
      </c>
      <c r="IC21" s="206" t="str">
        <f>IFERROR(INDEX($A$2:$A$113,MATCH(ROWS($EG$2:EG21),$EG$2:$EG$113,0)),"")</f>
        <v>ABUSO SEXUAL SIMPLE</v>
      </c>
      <c r="ID21" s="206" t="str">
        <f>IFERROR(INDEX($A$2:$A$113,MATCH(ROWS($EH$2:EH21),$EH$2:$EH$113,0)),"")</f>
        <v>ABUSO SEXUAL SIMPLE</v>
      </c>
      <c r="IE21" s="206" t="str">
        <f>IFERROR(INDEX($A$2:$A$113,MATCH(ROWS($EI$2:EI21),$EI$2:$EI$113,0)),"")</f>
        <v>ABUSO SEXUAL SIMPLE</v>
      </c>
      <c r="IF21" s="206" t="str">
        <f>IFERROR(INDEX($A$2:$A$113,MATCH(ROWS($EJ$2:EJ21),$EJ$2:$EJ$113,0)),"")</f>
        <v>ABUSO SEXUAL SIMPLE</v>
      </c>
      <c r="IG21" s="206" t="str">
        <f>IFERROR(INDEX($A$2:$A$113,MATCH(ROWS($EK$2:EK21),$EK$2:$EK$113,0)),"")</f>
        <v>ABUSO SEXUAL SIMPLE</v>
      </c>
      <c r="IH21" s="206" t="str">
        <f>IFERROR(INDEX($A$2:$A$113,MATCH(ROWS($EL$2:EL21),$EL$2:$EL$113,0)),"")</f>
        <v>ABUSO SEXUAL SIMPLE</v>
      </c>
      <c r="II21" s="206" t="str">
        <f>IFERROR(INDEX($A$2:$A$113,MATCH(ROWS($EM$2:EM21),$EM$2:$EM$113,0)),"")</f>
        <v>ABUSO SEXUAL SIMPLE</v>
      </c>
      <c r="IJ21" s="206" t="str">
        <f>IFERROR(INDEX($A$2:$A$113,MATCH(ROWS($EN$2:EN21),$EN$2:$EN$113,0)),"")</f>
        <v>ABUSO SEXUAL SIMPLE</v>
      </c>
      <c r="IK21" s="207" t="str">
        <f>IFERROR(INDEX($A$2:$A$113,MATCH(ROWS($EO$2:EO21),$EO$2:$EO$113,0)),"")</f>
        <v>ABUSO SEXUAL SIMPLE</v>
      </c>
      <c r="IL21" s="207" t="str">
        <f>IFERROR(INDEX($A$2:$A$113,MATCH(ROWS($EP$2:EP21),$EP$2:$EP$113,0)),"")</f>
        <v>ABUSO SEXUAL SIMPLE</v>
      </c>
      <c r="IM21" s="207" t="str">
        <f>IFERROR(INDEX($A$2:$A$113,MATCH(ROWS($EQ$2:EQ21),$EQ$2:$EQ$113,0)),"")</f>
        <v>ABUSO SEXUAL SIMPLE</v>
      </c>
      <c r="IN21" s="207" t="str">
        <f>IFERROR(INDEX($A$2:$A$113,MATCH(ROWS($ER$2:ER21),$ER$2:$ER$113,0)),"")</f>
        <v>ABUSO SEXUAL SIMPLE</v>
      </c>
      <c r="IO21" s="207" t="str">
        <f>IFERROR(INDEX($A$2:$A$113,MATCH(ROWS($ES$2:ES21),$ES$2:$ES$113,0)),"")</f>
        <v>ABUSO SEXUAL SIMPLE</v>
      </c>
      <c r="IP21" s="207" t="str">
        <f>IFERROR(INDEX($A$2:$A$113,MATCH(ROWS($ET$2:ET21),$ET$2:$ET$113,0)),"")</f>
        <v>ABUSO SEXUAL SIMPLE</v>
      </c>
      <c r="IQ21" s="207" t="str">
        <f>IFERROR(INDEX($A$2:$A$113,MATCH(ROWS($EU$2:EU21),$EU$2:$EU$113,0)),"")</f>
        <v>ABUSO SEXUAL SIMPLE</v>
      </c>
      <c r="IR21" s="207" t="str">
        <f>IFERROR(INDEX($A$2:$A$113,MATCH(ROWS($EV$2:EV21),$EV$2:$EV$113,0)),"")</f>
        <v>ABUSO SEXUAL SIMPLE</v>
      </c>
      <c r="IS21" s="207" t="str">
        <f>IFERROR(INDEX($A$2:$A$113,MATCH(ROWS($EW$2:EW21),$EW$2:$EW$113,0)),"")</f>
        <v>ABUSO SEXUAL SIMPLE</v>
      </c>
      <c r="IT21" s="207" t="str">
        <f>IFERROR(INDEX($A$2:$A$113,MATCH(ROWS($EX$2:EX21),$EX$2:$EX$113,0)),"")</f>
        <v>ABUSO SEXUAL SIMPLE</v>
      </c>
      <c r="IU21" s="207" t="str">
        <f>IFERROR(INDEX($A$2:$A$113,MATCH(ROWS($EY$2:EY21),$EY$2:$EY$113,0)),"")</f>
        <v>ABUSO SEXUAL SIMPLE</v>
      </c>
      <c r="IV21" s="207" t="str">
        <f>IFERROR(INDEX($A$2:$A$113,MATCH(ROWS($EZ$2:EZ21),$EZ$2:$EZ$113,0)),"")</f>
        <v>ABUSO SEXUAL SIMPLE</v>
      </c>
      <c r="IW21" s="207" t="str">
        <f>IFERROR(INDEX($A$2:$A$113,MATCH(ROWS($FA$2:FA21),$FA$2:$FA$113,0)),"")</f>
        <v>ABUSO SEXUAL SIMPLE</v>
      </c>
      <c r="IX21" s="207" t="str">
        <f>IFERROR(INDEX($A$2:$A$113,MATCH(ROWS($FB$2:FB21),$FB$2:$FB$113,0)),"")</f>
        <v>ABUSO SEXUAL SIMPLE</v>
      </c>
      <c r="IY21" s="207" t="str">
        <f>IFERROR(INDEX($A$2:$A$113,MATCH(ROWS($FC$2:FC21),$FC$2:$FC$113,0)),"")</f>
        <v>ABUSO SEXUAL SIMPLE</v>
      </c>
      <c r="IZ21" s="207" t="str">
        <f>IFERROR(INDEX($A$2:$A$113,MATCH(ROWS($FD$2:FD21),$FD$2:$FD$113,0)),"")</f>
        <v>ABUSO SEXUAL SIMPLE</v>
      </c>
      <c r="JA21" s="207" t="str">
        <f>IFERROR(INDEX($A$2:$A$113,MATCH(ROWS($FE$2:FE21),$FE$2:$FE$113,0)),"")</f>
        <v>ABUSO SEXUAL SIMPLE</v>
      </c>
      <c r="JB21" s="207" t="str">
        <f>IFERROR(INDEX($A$2:$A$113,MATCH(ROWS($FF$2:FF21),$FF$2:$FF$113,0)),"")</f>
        <v>ABUSO SEXUAL SIMPLE</v>
      </c>
      <c r="JC21" s="207" t="str">
        <f>IFERROR(INDEX($A$2:$A$113,MATCH(ROWS($FG$2:FG21),$FG$2:$FG$113,0)),"")</f>
        <v>ABUSO SEXUAL SIMPLE</v>
      </c>
      <c r="JD21" s="207" t="str">
        <f>IFERROR(INDEX($A$2:$A$113,MATCH(ROWS($FH$2:FH21),$FH$2:$FH$113,0)),"")</f>
        <v>ABUSO SEXUAL SIMPLE</v>
      </c>
      <c r="JE21" s="207" t="str">
        <f>IFERROR(INDEX($A$2:$A$113,MATCH(ROWS($FI$2:FI21),$FI$2:$FI$113,0)),"")</f>
        <v>ABUSO SEXUAL SIMPLE</v>
      </c>
      <c r="JF21" s="207" t="str">
        <f>IFERROR(INDEX($A$2:$A$113,MATCH(ROWS($FJ$2:FJ21),$FJ$2:$FJ$113,0)),"")</f>
        <v>ABUSO SEXUAL SIMPLE</v>
      </c>
      <c r="JG21" s="207" t="str">
        <f>IFERROR(INDEX($A$2:$A$113,MATCH(ROWS($FK$2:FK21),$FK$2:$FK$113,0)),"")</f>
        <v>ABUSO SEXUAL SIMPLE</v>
      </c>
      <c r="JH21" s="207" t="str">
        <f>IFERROR(INDEX($A$2:$A$113,MATCH(ROWS($FL$2:FL21),$FL$2:$FL$113,0)),"")</f>
        <v>ABUSO SEXUAL SIMPLE</v>
      </c>
      <c r="JI21" s="207" t="str">
        <f>IFERROR(INDEX($A$2:$A$113,MATCH(ROWS($FM$2:FM21),$FM$2:$FM$113,0)),"")</f>
        <v>ABUSO SEXUAL SIMPLE</v>
      </c>
      <c r="JJ21" s="207" t="str">
        <f>IFERROR(INDEX($A$2:$A$113,MATCH(ROWS($FN$2:FN21),$FN$2:$FN$113,0)),"")</f>
        <v>ABUSO SEXUAL SIMPLE</v>
      </c>
      <c r="JK21" s="207" t="str">
        <f>IFERROR(INDEX($A$2:$A$113,MATCH(ROWS($FO$2:FO21),$FO$2:$FO$113,0)),"")</f>
        <v>ABUSO SEXUAL SIMPLE</v>
      </c>
      <c r="JL21" s="207" t="str">
        <f>IFERROR(INDEX($A$2:$A$113,MATCH(ROWS($FP$2:FP21),$FP$2:$FP$113,0)),"")</f>
        <v>ABUSO SEXUAL SIMPLE</v>
      </c>
      <c r="JM21" s="207" t="str">
        <f>IFERROR(INDEX($A$2:$A$113,MATCH(ROWS($FQ$2:FQ21),$FQ$2:$FQ$113,0)),"")</f>
        <v>ABUSO SEXUAL SIMPLE</v>
      </c>
      <c r="JN21" s="207" t="str">
        <f>IFERROR(INDEX($A$2:$A$113,MATCH(ROWS($FR$2:FR21),$FR$2:$FR$113,0)),"")</f>
        <v>ABUSO SEXUAL SIMPLE</v>
      </c>
      <c r="JO21" s="207" t="str">
        <f>IFERROR(INDEX($A$2:$A$113,MATCH(ROWS($FS$2:FS21),$FS$2:$FS$113,0)),"")</f>
        <v>ABUSO SEXUAL SIMPLE</v>
      </c>
      <c r="JP21" s="207" t="str">
        <f>IFERROR(INDEX($A$2:$A$113,MATCH(ROWS($FT$2:FT21),$FT$2:$FT$113,0)),"")</f>
        <v>ABUSO SEXUAL SIMPLE</v>
      </c>
      <c r="JQ21" s="207" t="str">
        <f>IFERROR(INDEX($A$2:$A$113,MATCH(ROWS($FU$2:FU21),$FU$2:$FU$113,0)),"")</f>
        <v>ABUSO SEXUAL SIMPLE</v>
      </c>
      <c r="JR21" s="207" t="str">
        <f>IFERROR(INDEX($A$2:$A$113,MATCH(ROWS($FV$2:FV21),$FV$2:$FV$113,0)),"")</f>
        <v>ABUSO SEXUAL SIMPLE</v>
      </c>
      <c r="JS21" s="207" t="str">
        <f>IFERROR(INDEX($A$2:$A$113,MATCH(ROWS($FW$2:FW21),$FW$2:$FW$113,0)),"")</f>
        <v>ABUSO SEXUAL SIMPLE</v>
      </c>
      <c r="JT21" s="207" t="str">
        <f>IFERROR(INDEX($A$2:$A$113,MATCH(ROWS($FX$2:FX21),$FX$2:$FX$113,0)),"")</f>
        <v>ABUSO SEXUAL SIMPLE</v>
      </c>
      <c r="JU21" s="207" t="str">
        <f>IFERROR(INDEX($A$2:$A$113,MATCH(ROWS($FY$2:FY21),$FY$2:$FY$113,0)),"")</f>
        <v>ABUSO SEXUAL SIMPLE</v>
      </c>
      <c r="JV21" s="207" t="str">
        <f>IFERROR(INDEX($A$2:$A$113,MATCH(ROWS($FZ$2:FZ21),$FZ$2:$FZ$113,0)),"")</f>
        <v>ABUSO SEXUAL SIMPLE</v>
      </c>
      <c r="JW21" s="207" t="str">
        <f>IFERROR(INDEX($A$2:$A$113,MATCH(ROWS($GA$2:GA21),$GA$2:$GA$113,0)),"")</f>
        <v>ABUSO SEXUAL SIMPLE</v>
      </c>
      <c r="JX21" s="207" t="str">
        <f>IFERROR(INDEX($A$2:$A$113,MATCH(ROWS($GB$2:GB21),$GB$2:$GB$113,0)),"")</f>
        <v>ABUSO SEXUAL SIMPLE</v>
      </c>
      <c r="JY21" s="207" t="str">
        <f>IFERROR(INDEX($A$2:$A$113,MATCH(ROWS($GC$2:GC21),$GC$2:$GC$113,0)),"")</f>
        <v>ABUSO SEXUAL SIMPLE</v>
      </c>
      <c r="JZ21" s="207" t="str">
        <f>IFERROR(INDEX($A$2:$A$113,MATCH(ROWS($GD$2:GD21),$GD$2:$GD$113,0)),"")</f>
        <v>ABUSO SEXUAL SIMPLE</v>
      </c>
      <c r="KA21" s="207" t="str">
        <f>IFERROR(INDEX($A$2:$A$113,MATCH(ROWS($GE$2:GE21),$GE$2:$GE$113,0)),"")</f>
        <v>ABUSO SEXUAL SIMPLE</v>
      </c>
      <c r="KB21" s="207" t="str">
        <f>IFERROR(INDEX($A$2:$A$113,MATCH(ROWS($GF$2:GF21),$GF$2:$GF$113,0)),"")</f>
        <v>ABUSO SEXUAL SIMPLE</v>
      </c>
      <c r="KC21" s="207" t="str">
        <f>IFERROR(INDEX($A$2:$A$113,MATCH(ROWS($GG$2:GG21),$GG$2:$GG$113,0)),"")</f>
        <v>ABUSO SEXUAL SIMPLE</v>
      </c>
      <c r="KD21" s="207" t="str">
        <f>IFERROR(INDEX($A$2:$A$113,MATCH(ROWS($GH$2:GH21),$GH$2:$GH$113,0)),"")</f>
        <v>ABUSO SEXUAL SIMPLE</v>
      </c>
      <c r="KE21" s="207" t="str">
        <f>IFERROR(INDEX($A$2:$A$113,MATCH(ROWS($GI$2:GI21),$GI$2:$GI$113,0)),"")</f>
        <v>ABUSO SEXUAL SIMPLE</v>
      </c>
      <c r="KF21" s="207" t="str">
        <f>IFERROR(INDEX($A$2:$A$113,MATCH(ROWS($GJ$2:GJ21),$GJ$2:$GJ$113,0)),"")</f>
        <v>ABUSO SEXUAL SIMPLE</v>
      </c>
      <c r="KG21" s="207" t="str">
        <f>IFERROR(INDEX($A$2:$A$113,MATCH(ROWS($GK$2:GK21),$GK$2:$GK$113,0)),"")</f>
        <v>ABUSO SEXUAL SIMPLE</v>
      </c>
      <c r="KH21" s="207" t="str">
        <f>IFERROR(INDEX($A$2:$A$113,MATCH(ROWS($GL$2:GL21),$GL$2:$GL$113,0)),"")</f>
        <v>ABUSO SEXUAL SIMPLE</v>
      </c>
      <c r="KI21" s="207" t="str">
        <f>IFERROR(INDEX($A$2:$A$113,MATCH(ROWS($GM$2:GM21),$GM$2:$GM$113,0)),"")</f>
        <v>ABUSO SEXUAL SIMPLE</v>
      </c>
      <c r="KJ21" s="207" t="str">
        <f>IFERROR(INDEX($A$2:$A$113,MATCH(ROWS($GN$2:GN21),$GN$2:$GN$113,0)),"")</f>
        <v>ABUSO SEXUAL SIMPLE</v>
      </c>
      <c r="KK21" s="207" t="str">
        <f>IFERROR(INDEX($A$2:$A$113,MATCH(ROWS($GO$2:GO21),$GO$2:$GO$113,0)),"")</f>
        <v>ABUSO SEXUAL SIMPLE</v>
      </c>
      <c r="KL21" s="207" t="str">
        <f>IFERROR(INDEX($A$2:$A$113,MATCH(ROWS($GP$2:GP21),$GP$2:$GP$113,0)),"")</f>
        <v>ABUSO SEXUAL SIMPLE</v>
      </c>
      <c r="KM21" s="207" t="str">
        <f>IFERROR(INDEX($A$2:$A$113,MATCH(ROWS($GQ$2:GQ21),$GQ$2:$GQ$113,0)),"")</f>
        <v>ABUSO SEXUAL SIMPLE</v>
      </c>
      <c r="KN21" s="207" t="str">
        <f>IFERROR(INDEX($A$2:$A$113,MATCH(ROWS($GR$2:GR21),$GR$2:$GR$113,0)),"")</f>
        <v>ABUSO SEXUAL SIMPLE</v>
      </c>
      <c r="KO21" s="207" t="str">
        <f>IFERROR(INDEX($A$2:$A$113,MATCH(ROWS($GS$2:GS21),$GS$2:$GS$113,0)),"")</f>
        <v>ABUSO SEXUAL SIMPLE</v>
      </c>
      <c r="KP21" s="207" t="str">
        <f>IFERROR(INDEX($A$2:$A$113,MATCH(ROWS($GT$2:GT21),$GT$2:$GT$113,0)),"")</f>
        <v>ABUSO SEXUAL SIMPLE</v>
      </c>
      <c r="KQ21" s="207" t="str">
        <f>IFERROR(INDEX($A$2:$A$113,MATCH(ROWS($GU$2:GU21),$GU$2:$GU$113,0)),"")</f>
        <v>ABUSO SEXUAL SIMPLE</v>
      </c>
      <c r="KR21" s="207" t="str">
        <f>IFERROR(INDEX($A$2:$A$113,MATCH(ROWS($GV$2:GV21),$GV$2:$GV$113,0)),"")</f>
        <v>ABUSO SEXUAL SIMPLE</v>
      </c>
      <c r="KS21" s="207" t="str">
        <f>IFERROR(INDEX($A$2:$A$113,MATCH(ROWS($GW$2:GW21),$GW$2:$GW$113,0)),"")</f>
        <v>ABUSO SEXUAL SIMPLE</v>
      </c>
    </row>
    <row r="22" spans="1:305" x14ac:dyDescent="0.25">
      <c r="A22" s="206" t="s">
        <v>1081</v>
      </c>
      <c r="B22" s="206" t="s">
        <v>1084</v>
      </c>
      <c r="D22" s="206" t="s">
        <v>789</v>
      </c>
      <c r="E22" s="206" t="s">
        <v>71</v>
      </c>
      <c r="F22" s="207">
        <f>--ISNUMBER(IFERROR(SEARCH('PLANILLA DJ'!$X$3,$A22,1),""))</f>
        <v>1</v>
      </c>
      <c r="G22" s="207">
        <f>--ISNUMBER(IFERROR(SEARCH('PLANILLA DJ'!$X$4,$A22,1),""))</f>
        <v>1</v>
      </c>
      <c r="H22" s="207">
        <f>--ISNUMBER(IFERROR(SEARCH('PLANILLA DJ'!$X$5,$A22,1),""))</f>
        <v>1</v>
      </c>
      <c r="I22" s="207">
        <f>--ISNUMBER(IFERROR(SEARCH('PLANILLA DJ'!$X$6,$A22,1),""))</f>
        <v>1</v>
      </c>
      <c r="J22" s="207">
        <f>--ISNUMBER(IFERROR(SEARCH('PLANILLA DJ'!$X$7,$A22,1),""))</f>
        <v>1</v>
      </c>
      <c r="K22" s="207">
        <f>--ISNUMBER(IFERROR(SEARCH('PLANILLA DJ'!$X$8,$A22,1),""))</f>
        <v>1</v>
      </c>
      <c r="L22" s="207">
        <f>--ISNUMBER(IFERROR(SEARCH('PLANILLA DJ'!$X$9,$A22,1),""))</f>
        <v>1</v>
      </c>
      <c r="M22" s="207">
        <f>--ISNUMBER(IFERROR(SEARCH('PLANILLA DJ'!$X$10,$A22,1),""))</f>
        <v>1</v>
      </c>
      <c r="N22" s="207">
        <f>--ISNUMBER(IFERROR(SEARCH('PLANILLA DJ'!$X$11,$A22,1),""))</f>
        <v>1</v>
      </c>
      <c r="O22" s="207">
        <f>--ISNUMBER(IFERROR(SEARCH('PLANILLA DJ'!$X$12,$A22,1),""))</f>
        <v>1</v>
      </c>
      <c r="P22" s="207">
        <f>--ISNUMBER(IFERROR(SEARCH('PLANILLA DJ'!$X$13,$A22,1),""))</f>
        <v>1</v>
      </c>
      <c r="Q22" s="207">
        <f>--ISNUMBER(IFERROR(SEARCH('PLANILLA DJ'!$X$14,$A22,1),""))</f>
        <v>1</v>
      </c>
      <c r="R22" s="207">
        <f>--ISNUMBER(IFERROR(SEARCH('PLANILLA DJ'!$X$15,$A22,1),""))</f>
        <v>1</v>
      </c>
      <c r="S22" s="207">
        <f>--ISNUMBER(IFERROR(SEARCH('PLANILLA DJ'!$X$16,$A22,1),""))</f>
        <v>1</v>
      </c>
      <c r="T22" s="207">
        <f>--ISNUMBER(IFERROR(SEARCH('PLANILLA DJ'!$X$17,$A22,1),""))</f>
        <v>1</v>
      </c>
      <c r="U22" s="207">
        <f>--ISNUMBER(IFERROR(SEARCH('PLANILLA DJ'!$X$18,$A22,1),""))</f>
        <v>1</v>
      </c>
      <c r="V22" s="207">
        <f>--ISNUMBER(IFERROR(SEARCH('PLANILLA DJ'!$X$19,$A22,1),""))</f>
        <v>1</v>
      </c>
      <c r="W22" s="207">
        <f>--ISNUMBER(IFERROR(SEARCH('PLANILLA DJ'!$X$20,$A22,1),""))</f>
        <v>1</v>
      </c>
      <c r="X22" s="207">
        <f>--ISNUMBER(IFERROR(SEARCH('PLANILLA DJ'!$X$21,$A22,1),""))</f>
        <v>1</v>
      </c>
      <c r="Y22" s="207">
        <f>--ISNUMBER(IFERROR(SEARCH('PLANILLA DJ'!$X$22,$A22,1),""))</f>
        <v>1</v>
      </c>
      <c r="Z22" s="207">
        <f>--ISNUMBER(IFERROR(SEARCH('PLANILLA DJ'!$X$23,$A22,1),""))</f>
        <v>1</v>
      </c>
      <c r="AA22" s="207">
        <f>--ISNUMBER(IFERROR(SEARCH('PLANILLA DJ'!$X$24,$A22,1),""))</f>
        <v>1</v>
      </c>
      <c r="AB22" s="207">
        <f>--ISNUMBER(IFERROR(SEARCH('PLANILLA DJ'!$X$25,$A22,1),""))</f>
        <v>1</v>
      </c>
      <c r="AC22" s="207">
        <f>--ISNUMBER(IFERROR(SEARCH('PLANILLA DJ'!$X$26,$A22,1),""))</f>
        <v>1</v>
      </c>
      <c r="AD22" s="207">
        <f>--ISNUMBER(IFERROR(SEARCH('PLANILLA DJ'!$X$27,$A22,1),""))</f>
        <v>1</v>
      </c>
      <c r="AE22" s="207">
        <f>--ISNUMBER(IFERROR(SEARCH('PLANILLA DJ'!$X$28,$A22,1),""))</f>
        <v>1</v>
      </c>
      <c r="AF22" s="207">
        <f>--ISNUMBER(IFERROR(SEARCH('PLANILLA DJ'!$X$29,$A22,1),""))</f>
        <v>1</v>
      </c>
      <c r="AG22" s="207">
        <f>--ISNUMBER(IFERROR(SEARCH('PLANILLA DJ'!$X$30,$A22,1),""))</f>
        <v>1</v>
      </c>
      <c r="AH22" s="207">
        <f>--ISNUMBER(IFERROR(SEARCH('PLANILLA DJ'!$X$31,$A22,1),""))</f>
        <v>1</v>
      </c>
      <c r="AI22" s="207">
        <f>--ISNUMBER(IFERROR(SEARCH('PLANILLA DJ'!$X$32,$A22,1),""))</f>
        <v>1</v>
      </c>
      <c r="AJ22" s="207">
        <f>--ISNUMBER(IFERROR(SEARCH('PLANILLA DJ'!$X$33,$A22,1),""))</f>
        <v>1</v>
      </c>
      <c r="AK22" s="207">
        <f>--ISNUMBER(IFERROR(SEARCH('PLANILLA DJ'!$X$34,$A22,1),""))</f>
        <v>1</v>
      </c>
      <c r="AL22" s="207">
        <f>--ISNUMBER(IFERROR(SEARCH('PLANILLA DJ'!$X$35,$A22,1),""))</f>
        <v>1</v>
      </c>
      <c r="AM22" s="207">
        <f>--ISNUMBER(IFERROR(SEARCH('PLANILLA DJ'!$X$36,$A22,1),""))</f>
        <v>1</v>
      </c>
      <c r="AN22" s="207">
        <f>--ISNUMBER(IFERROR(SEARCH('PLANILLA DJ'!$X$37,$A22,1),""))</f>
        <v>1</v>
      </c>
      <c r="AO22" s="207">
        <f>--ISNUMBER(IFERROR(SEARCH('PLANILLA DJ'!$X$38,$A22,1),""))</f>
        <v>1</v>
      </c>
      <c r="AP22" s="207">
        <f>--ISNUMBER(IFERROR(SEARCH('PLANILLA DJ'!$X$39,$A22,1),""))</f>
        <v>1</v>
      </c>
      <c r="AQ22" s="207">
        <f>--ISNUMBER(IFERROR(SEARCH('PLANILLA DJ'!$X$40,$A22,1),""))</f>
        <v>1</v>
      </c>
      <c r="AR22" s="207">
        <f>--ISNUMBER(IFERROR(SEARCH('PLANILLA DJ'!$X$41,$A22,1),""))</f>
        <v>1</v>
      </c>
      <c r="AS22" s="207">
        <f>--ISNUMBER(IFERROR(SEARCH('PLANILLA DJ'!$X$42,$A22,1),""))</f>
        <v>1</v>
      </c>
      <c r="AT22" s="207">
        <f>--ISNUMBER(IFERROR(SEARCH('PLANILLA DJ'!$X$43,$A22,1),""))</f>
        <v>1</v>
      </c>
      <c r="AU22" s="207">
        <f>--ISNUMBER(IFERROR(SEARCH('PLANILLA DJ'!$X$44,$A22,1),""))</f>
        <v>1</v>
      </c>
      <c r="AV22" s="207">
        <f>--ISNUMBER(IFERROR(SEARCH('PLANILLA DJ'!$X$45,$A22,1),""))</f>
        <v>1</v>
      </c>
      <c r="AW22" s="207">
        <f>--ISNUMBER(IFERROR(SEARCH('PLANILLA DJ'!$X$46,$A22,1),""))</f>
        <v>1</v>
      </c>
      <c r="AX22" s="207">
        <f>--ISNUMBER(IFERROR(SEARCH('PLANILLA DJ'!$X$47,$A22,1),""))</f>
        <v>1</v>
      </c>
      <c r="AY22" s="207">
        <f>--ISNUMBER(IFERROR(SEARCH('PLANILLA DJ'!$X$48,$A22,1),""))</f>
        <v>1</v>
      </c>
      <c r="AZ22" s="207">
        <f>--ISNUMBER(IFERROR(SEARCH('PLANILLA DJ'!$X$49,$A22,1),""))</f>
        <v>1</v>
      </c>
      <c r="BA22" s="207">
        <f>--ISNUMBER(IFERROR(SEARCH('PLANILLA DJ'!$X$50,$A22,1),""))</f>
        <v>1</v>
      </c>
      <c r="BB22" s="207">
        <f>--ISNUMBER(IFERROR(SEARCH('PLANILLA DJ'!$X$51,$A22,1),""))</f>
        <v>1</v>
      </c>
      <c r="BC22" s="207">
        <f>--ISNUMBER(IFERROR(SEARCH('PLANILLA DJ'!$X$52,$A22,1),""))</f>
        <v>1</v>
      </c>
      <c r="BD22" s="207">
        <f>--ISNUMBER(IFERROR(SEARCH('PLANILLA DJ'!$X$53,$A22,1),""))</f>
        <v>1</v>
      </c>
      <c r="BE22" s="207">
        <f>--ISNUMBER(IFERROR(SEARCH('PLANILLA DJ'!$X$54,$A22,1),""))</f>
        <v>1</v>
      </c>
      <c r="BF22" s="207">
        <f>--ISNUMBER(IFERROR(SEARCH('PLANILLA DJ'!$X$55,$A22,1),""))</f>
        <v>1</v>
      </c>
      <c r="BG22" s="207">
        <f>--ISNUMBER(IFERROR(SEARCH('PLANILLA DJ'!$X$56,$A22,1),""))</f>
        <v>1</v>
      </c>
      <c r="BH22" s="207">
        <f>--ISNUMBER(IFERROR(SEARCH('PLANILLA DJ'!$X$57,$A22,1),""))</f>
        <v>1</v>
      </c>
      <c r="BI22" s="207">
        <f>--ISNUMBER(IFERROR(SEARCH('PLANILLA DJ'!$X$58,$A22,1),""))</f>
        <v>1</v>
      </c>
      <c r="BJ22" s="207">
        <f>--ISNUMBER(IFERROR(SEARCH('PLANILLA DJ'!$X$59,$A22,1),""))</f>
        <v>1</v>
      </c>
      <c r="BK22" s="207">
        <f>--ISNUMBER(IFERROR(SEARCH('PLANILLA DJ'!$X$60,$A22,1),""))</f>
        <v>1</v>
      </c>
      <c r="BL22" s="207">
        <f>--ISNUMBER(IFERROR(SEARCH('PLANILLA DJ'!$X$61,$A22,1),""))</f>
        <v>1</v>
      </c>
      <c r="BM22" s="207">
        <f>--ISNUMBER(IFERROR(SEARCH('PLANILLA DJ'!$X$62,$A22,1),""))</f>
        <v>1</v>
      </c>
      <c r="BN22" s="207">
        <f>--ISNUMBER(IFERROR(SEARCH('PLANILLA DJ'!$X$63,$A22,1),""))</f>
        <v>1</v>
      </c>
      <c r="BO22" s="207">
        <f>--ISNUMBER(IFERROR(SEARCH('PLANILLA DJ'!$X$64,$A22,1),""))</f>
        <v>1</v>
      </c>
      <c r="BP22" s="207">
        <f>--ISNUMBER(IFERROR(SEARCH('PLANILLA DJ'!$X$65,$A22,1),""))</f>
        <v>1</v>
      </c>
      <c r="BQ22" s="207">
        <f>--ISNUMBER(IFERROR(SEARCH('PLANILLA DJ'!$X$66,$A22,1),""))</f>
        <v>1</v>
      </c>
      <c r="BR22" s="207">
        <f>--ISNUMBER(IFERROR(SEARCH('PLANILLA DJ'!$X$67,$A22,1),""))</f>
        <v>1</v>
      </c>
      <c r="BS22" s="207">
        <f>--ISNUMBER(IFERROR(SEARCH('PLANILLA DJ'!$X$68,$A22,1),""))</f>
        <v>1</v>
      </c>
      <c r="BT22" s="207">
        <f>--ISNUMBER(IFERROR(SEARCH('PLANILLA DJ'!$X$69,$A22,1),""))</f>
        <v>1</v>
      </c>
      <c r="BU22" s="207">
        <f>--ISNUMBER(IFERROR(SEARCH('PLANILLA DJ'!$X$70,$A22,1),""))</f>
        <v>1</v>
      </c>
      <c r="BV22" s="207">
        <f>--ISNUMBER(IFERROR(SEARCH('PLANILLA DJ'!$X$71,$A22,1),""))</f>
        <v>1</v>
      </c>
      <c r="BW22" s="207">
        <f>--ISNUMBER(IFERROR(SEARCH('PLANILLA DJ'!$X$72,$A22,1),""))</f>
        <v>1</v>
      </c>
      <c r="BX22" s="207">
        <f>--ISNUMBER(IFERROR(SEARCH('PLANILLA DJ'!$X$73,$A22,1),""))</f>
        <v>1</v>
      </c>
      <c r="BY22" s="207">
        <f>--ISNUMBER(IFERROR(SEARCH('PLANILLA DJ'!$X$74,$A22,1),""))</f>
        <v>1</v>
      </c>
      <c r="BZ22" s="207">
        <f>--ISNUMBER(IFERROR(SEARCH('PLANILLA DJ'!$X$75,$A22,1),""))</f>
        <v>1</v>
      </c>
      <c r="CA22" s="207">
        <f>--ISNUMBER(IFERROR(SEARCH('PLANILLA DJ'!$X$76,$A22,1),""))</f>
        <v>1</v>
      </c>
      <c r="CB22" s="207">
        <f>--ISNUMBER(IFERROR(SEARCH('PLANILLA DJ'!$X$77,$A22,1),""))</f>
        <v>1</v>
      </c>
      <c r="CC22" s="207">
        <f>--ISNUMBER(IFERROR(SEARCH('PLANILLA DJ'!$X$78,$A22,1),""))</f>
        <v>1</v>
      </c>
      <c r="CD22" s="207">
        <f>--ISNUMBER(IFERROR(SEARCH('PLANILLA DJ'!$X$79,$A22,1),""))</f>
        <v>1</v>
      </c>
      <c r="CE22" s="207">
        <f>--ISNUMBER(IFERROR(SEARCH('PLANILLA DJ'!$X$80,$A22,1),""))</f>
        <v>1</v>
      </c>
      <c r="CF22" s="207">
        <f>--ISNUMBER(IFERROR(SEARCH('PLANILLA DJ'!$X$81,$A22,1),""))</f>
        <v>1</v>
      </c>
      <c r="CG22" s="207">
        <f>--ISNUMBER(IFERROR(SEARCH('PLANILLA DJ'!$X$82,$A22,1),""))</f>
        <v>1</v>
      </c>
      <c r="CH22" s="207">
        <f>--ISNUMBER(IFERROR(SEARCH('PLANILLA DJ'!$X$83,$A22,1),""))</f>
        <v>1</v>
      </c>
      <c r="CI22" s="207">
        <f>--ISNUMBER(IFERROR(SEARCH('PLANILLA DJ'!$X$84,$A22,1),""))</f>
        <v>1</v>
      </c>
      <c r="CJ22" s="207">
        <f>--ISNUMBER(IFERROR(SEARCH('PLANILLA DJ'!$X$85,$A22,1),""))</f>
        <v>1</v>
      </c>
      <c r="CK22" s="207">
        <f>--ISNUMBER(IFERROR(SEARCH('PLANILLA DJ'!$X$86,$A22,1),""))</f>
        <v>1</v>
      </c>
      <c r="CL22" s="207">
        <f>--ISNUMBER(IFERROR(SEARCH('PLANILLA DJ'!$X$87,$A22,1),""))</f>
        <v>1</v>
      </c>
      <c r="CM22" s="207">
        <f>--ISNUMBER(IFERROR(SEARCH('PLANILLA DJ'!$X$88,$A22,1),""))</f>
        <v>1</v>
      </c>
      <c r="CN22" s="207">
        <f>--ISNUMBER(IFERROR(SEARCH('PLANILLA DJ'!$X$89,$A22,1),""))</f>
        <v>1</v>
      </c>
      <c r="CO22" s="207">
        <f>--ISNUMBER(IFERROR(SEARCH('PLANILLA DJ'!$X$90,$A22,1),""))</f>
        <v>1</v>
      </c>
      <c r="CP22" s="207">
        <f>--ISNUMBER(IFERROR(SEARCH('PLANILLA DJ'!$X$91,$A22,1),""))</f>
        <v>1</v>
      </c>
      <c r="CQ22" s="207">
        <f>--ISNUMBER(IFERROR(SEARCH('PLANILLA DJ'!$X$92,$A22,1),""))</f>
        <v>1</v>
      </c>
      <c r="CR22" s="207">
        <f>--ISNUMBER(IFERROR(SEARCH('PLANILLA DJ'!$X$93,$A22,1),""))</f>
        <v>1</v>
      </c>
      <c r="CS22" s="207">
        <f>--ISNUMBER(IFERROR(SEARCH('PLANILLA DJ'!$X$94,$A22,1),""))</f>
        <v>1</v>
      </c>
      <c r="CT22" s="207">
        <f>--ISNUMBER(IFERROR(SEARCH('PLANILLA DJ'!$X$95,$A22,1),""))</f>
        <v>1</v>
      </c>
      <c r="CU22" s="207">
        <f>--ISNUMBER(IFERROR(SEARCH('PLANILLA DJ'!$X$96,$A22,1),""))</f>
        <v>1</v>
      </c>
      <c r="CV22" s="207">
        <f>--ISNUMBER(IFERROR(SEARCH('PLANILLA DJ'!$X$97,$A22,1),""))</f>
        <v>1</v>
      </c>
      <c r="CW22" s="207">
        <f>--ISNUMBER(IFERROR(SEARCH('PLANILLA DJ'!$X$98,$A22,1),""))</f>
        <v>1</v>
      </c>
      <c r="CX22" s="207">
        <f>--ISNUMBER(IFERROR(SEARCH('PLANILLA DJ'!$X$99,$A22,1),""))</f>
        <v>1</v>
      </c>
      <c r="CY22" s="207">
        <f>--ISNUMBER(IFERROR(SEARCH('PLANILLA DJ'!$X$100,$A22,1),""))</f>
        <v>1</v>
      </c>
      <c r="CZ22" s="207">
        <f>--ISNUMBER(IFERROR(SEARCH('PLANILLA DJ'!$X$101,$A22,1),""))</f>
        <v>1</v>
      </c>
      <c r="DA22" s="207">
        <f>--ISNUMBER(IFERROR(SEARCH('PLANILLA DJ'!$X$102,$A22,1),""))</f>
        <v>1</v>
      </c>
      <c r="DB22" s="206">
        <f>IF(F22=1,COUNTIF($F$2:F22,1),"")</f>
        <v>21</v>
      </c>
      <c r="DC22" s="206">
        <f>IF(G22=1,COUNTIF($G$2:G22,1),"")</f>
        <v>21</v>
      </c>
      <c r="DD22" s="206">
        <f>IF(H22=1,COUNTIF($H$2:H22,1),"")</f>
        <v>21</v>
      </c>
      <c r="DE22" s="206">
        <f>IF(I22=1,COUNTIF($I$2:I22,1),"")</f>
        <v>21</v>
      </c>
      <c r="DF22" s="206">
        <f>IF(J22=1,COUNTIF($J$2:J22,1),"")</f>
        <v>21</v>
      </c>
      <c r="DG22" s="206">
        <f>IF(K22=1,COUNTIF($K$2:K22,1),"")</f>
        <v>21</v>
      </c>
      <c r="DH22" s="206">
        <f>IF(L22=1,COUNTIF($L$2:L22,1),"")</f>
        <v>21</v>
      </c>
      <c r="DI22" s="206">
        <f>IF(M22=1,COUNTIF($M$2:M22,1),"")</f>
        <v>21</v>
      </c>
      <c r="DJ22" s="206">
        <f>IF(N22=1,COUNTIF($N$2:N22,1),"")</f>
        <v>21</v>
      </c>
      <c r="DK22" s="206">
        <f>IF(O22=1,COUNTIF($O$2:O22,1),"")</f>
        <v>21</v>
      </c>
      <c r="DL22" s="206">
        <f>IF(P22=1,COUNTIF($P$2:P22,1),"")</f>
        <v>21</v>
      </c>
      <c r="DM22" s="206">
        <f>IF(Q22=1,COUNTIF($Q$2:Q22,1),"")</f>
        <v>21</v>
      </c>
      <c r="DN22" s="207">
        <f>IF(R22=1,COUNTIF($R$2:R22,1),"")</f>
        <v>21</v>
      </c>
      <c r="DO22" s="207">
        <f>IF(S22=1,COUNTIF($S$2:S22,1),"")</f>
        <v>21</v>
      </c>
      <c r="DP22" s="207">
        <f>IF(T22=1,COUNTIF($T$2:T22,1),"")</f>
        <v>21</v>
      </c>
      <c r="DQ22" s="207">
        <f>IF(U22=1,COUNTIF($U$2:U22,1),"")</f>
        <v>21</v>
      </c>
      <c r="DR22" s="207">
        <f>IF(V22=1,COUNTIF($V$2:V22,1),"")</f>
        <v>21</v>
      </c>
      <c r="DS22" s="207">
        <f>IF(W22=1,COUNTIF($W$2:W22,1),"")</f>
        <v>21</v>
      </c>
      <c r="DT22" s="207">
        <f>IF(X22=1,COUNTIF($X$2:X22,1),"")</f>
        <v>21</v>
      </c>
      <c r="DU22" s="207">
        <f>IF(Y22=1,COUNTIF($Y$2:Y22,1),"")</f>
        <v>21</v>
      </c>
      <c r="DV22" s="207">
        <f>IF(Z22=1,COUNTIF(Z$2:Z22,1),"")</f>
        <v>21</v>
      </c>
      <c r="DW22" s="207">
        <f>IF(AA22=1,COUNTIF($AA$2:AA22,1),"")</f>
        <v>21</v>
      </c>
      <c r="DX22" s="207">
        <f>IF(AB22=1,COUNTIF($AB$2:AB22,1),"")</f>
        <v>21</v>
      </c>
      <c r="DY22" s="207">
        <f>IF(AC22=1,COUNTIF($AC$2:AC22,1),"")</f>
        <v>21</v>
      </c>
      <c r="DZ22" s="207">
        <f>IF(AD22=1,COUNTIF($AD$2:AD22,1),"")</f>
        <v>21</v>
      </c>
      <c r="EA22" s="207">
        <f>IF(AE22=1,COUNTIF($AE$2:AE22,1),"")</f>
        <v>21</v>
      </c>
      <c r="EB22" s="207">
        <f>IF(AF22=1,COUNTIF($AF$2:AF22,1),"")</f>
        <v>21</v>
      </c>
      <c r="EC22" s="207">
        <f>IF(AG22=1,COUNTIF($AG$2:AG22,1),"")</f>
        <v>21</v>
      </c>
      <c r="ED22" s="207">
        <f>IF(AH22=1,COUNTIF($AH$2:AH22,1),"")</f>
        <v>21</v>
      </c>
      <c r="EE22" s="207">
        <f>IF(AI22=1,COUNTIF($AI$2:AI22,1),"")</f>
        <v>21</v>
      </c>
      <c r="EF22" s="207">
        <f>IF(AJ22=1,COUNTIF($AJ$2:AJ22,1),"")</f>
        <v>21</v>
      </c>
      <c r="EG22" s="207">
        <f>IF(AK22=1,COUNTIF($AK$2:AK22,1),"")</f>
        <v>21</v>
      </c>
      <c r="EH22" s="207">
        <f>IF(AL22=1,COUNTIF($AL$2:AL22,1),"")</f>
        <v>21</v>
      </c>
      <c r="EI22" s="207">
        <f>IF(AM22=1,COUNTIF($AM$2:AM22,1),"")</f>
        <v>21</v>
      </c>
      <c r="EJ22" s="207">
        <f>IF(AN22=1,COUNTIF($AN$2:AN22,1),"")</f>
        <v>21</v>
      </c>
      <c r="EK22" s="207">
        <f>IF(AO22=1,COUNTIF($AO$2:AO22,1),"")</f>
        <v>21</v>
      </c>
      <c r="EL22" s="207">
        <f>IF(AP22=1,COUNTIF($AP$2:AP22,1),"")</f>
        <v>21</v>
      </c>
      <c r="EM22" s="207">
        <f>IF(AQ22=1,COUNTIF($AQ$2:AQ22,1),"")</f>
        <v>21</v>
      </c>
      <c r="EN22" s="207">
        <f>IF(AR22=1,COUNTIF($AR$2:AR22,1),"")</f>
        <v>21</v>
      </c>
      <c r="EO22" s="207">
        <f>IF(AS22=1,COUNTIF($AS$2:AS22,1),"")</f>
        <v>21</v>
      </c>
      <c r="EP22" s="207">
        <f>IF(AT22=1,COUNTIF($AT$2:AT22,1),"")</f>
        <v>21</v>
      </c>
      <c r="EQ22" s="207">
        <f>IF(AU22=1,COUNTIF($AU$2:AU22,1),"")</f>
        <v>21</v>
      </c>
      <c r="ER22" s="207">
        <f>IF(AV22=1,COUNTIF($AV$2:AV22,1),"")</f>
        <v>21</v>
      </c>
      <c r="ES22" s="207">
        <f>IF(AW22=1,COUNTIF($AW$2:AW22,1),"")</f>
        <v>21</v>
      </c>
      <c r="ET22" s="207">
        <f>IF(AX22=1,COUNTIF($AX$2:AX22,1),"")</f>
        <v>21</v>
      </c>
      <c r="EU22" s="207">
        <f>IF(AY22=1,COUNTIF($AY$2:AY22,1),"")</f>
        <v>21</v>
      </c>
      <c r="EV22" s="207">
        <f>IF(AZ22=1,COUNTIF($AZ$2:AZ22,1),"")</f>
        <v>21</v>
      </c>
      <c r="EW22" s="207">
        <f>IF(BA22=1,COUNTIF($BA$2:BA22,1),"")</f>
        <v>21</v>
      </c>
      <c r="EX22" s="207">
        <f>IF(BB22=1,COUNTIF($BB$2:BB22,1),"")</f>
        <v>21</v>
      </c>
      <c r="EY22" s="207">
        <f>IF(BC22=1,COUNTIF($BC$2:BC22,1),"")</f>
        <v>21</v>
      </c>
      <c r="EZ22" s="207">
        <f>IF(BD22=1,COUNTIF($BD$2:BD22,1),"")</f>
        <v>21</v>
      </c>
      <c r="FA22" s="207">
        <f>IF(BE22=1,COUNTIF($BE$2:BE22,1),"")</f>
        <v>21</v>
      </c>
      <c r="FB22" s="207">
        <f>IF(BF22=1,COUNTIF($BF$2:BF22,1),"")</f>
        <v>21</v>
      </c>
      <c r="FC22" s="207">
        <f>IF(BG22=1,COUNTIF($BG$2:BG22,1),"")</f>
        <v>21</v>
      </c>
      <c r="FD22" s="207">
        <f>IF(BH22=1,COUNTIF($BH$2:BH22,1),"")</f>
        <v>21</v>
      </c>
      <c r="FE22" s="207">
        <f>IF(BI22=1,COUNTIF($BI$2:BI22,1),"")</f>
        <v>21</v>
      </c>
      <c r="FF22" s="207">
        <f>IF(BJ22=1,COUNTIF($BJ$2:BJ22,1),"")</f>
        <v>21</v>
      </c>
      <c r="FG22" s="207">
        <f>IF(BK22=1,COUNTIF($BK$2:BK22,1),"")</f>
        <v>21</v>
      </c>
      <c r="FH22" s="207">
        <f>IF(BL22=1,COUNTIF($BL$2:BL22,1),"")</f>
        <v>21</v>
      </c>
      <c r="FI22" s="207">
        <f>IF(BM22=1,COUNTIF($BM$2:BM22,1),"")</f>
        <v>21</v>
      </c>
      <c r="FJ22" s="207">
        <f>IF(BN22=1,COUNTIF($BN$2:BN22,1),"")</f>
        <v>21</v>
      </c>
      <c r="FK22" s="207">
        <f>IF(BO22=1,COUNTIF($BO$2:BO22,1),"")</f>
        <v>21</v>
      </c>
      <c r="FL22" s="207">
        <f>IF(BP22=1,COUNTIF($BP$2:BP22,1),"")</f>
        <v>21</v>
      </c>
      <c r="FM22" s="207">
        <f>IF(BQ22=1,COUNTIF($BQ$2:BQ22,1),"")</f>
        <v>21</v>
      </c>
      <c r="FN22" s="207">
        <f>IF(BR22=1,COUNTIF($BR$2:BR22,1),"")</f>
        <v>21</v>
      </c>
      <c r="FO22" s="207">
        <f>IF(BS22=1,COUNTIF($BS$2:BS22,1),"")</f>
        <v>21</v>
      </c>
      <c r="FP22" s="207">
        <f>IF(BT22=1,COUNTIF($BT$2:BT22,1),"")</f>
        <v>21</v>
      </c>
      <c r="FQ22" s="207">
        <f>IF(BU22=1,COUNTIF($BU$2:BU22,1),"")</f>
        <v>21</v>
      </c>
      <c r="FR22" s="207">
        <f>IF(BV22=1,COUNTIF($BV$2:BV22,1),"")</f>
        <v>21</v>
      </c>
      <c r="FS22" s="207">
        <f>IF(BW22=1,COUNTIF($BW$2:BW22,1),"")</f>
        <v>21</v>
      </c>
      <c r="FT22" s="207">
        <f>IF(BX22=1,COUNTIF($BX$2:BX22,1),"")</f>
        <v>21</v>
      </c>
      <c r="FU22" s="207">
        <f>IF(BY22=1,COUNTIF($BY$2:BY22,1),"")</f>
        <v>21</v>
      </c>
      <c r="FV22" s="207">
        <f>IF(BZ22=1,COUNTIF($BZ$2:BZ22,1),"")</f>
        <v>21</v>
      </c>
      <c r="FW22" s="207">
        <f>IF(CA22=1,COUNTIF($CA$2:CA22,1),"")</f>
        <v>21</v>
      </c>
      <c r="FX22" s="207">
        <f>IF(CB22=1,COUNTIF($CB$2:CB22,1),"")</f>
        <v>21</v>
      </c>
      <c r="FY22" s="207">
        <f>IF(CC22=1,COUNTIF($CC$2:CC22,1),"")</f>
        <v>21</v>
      </c>
      <c r="FZ22" s="207">
        <f>IF(CD22=1,COUNTIF($CD$2:CD22,1),"")</f>
        <v>21</v>
      </c>
      <c r="GA22" s="207">
        <f>IF(CE22=1,COUNTIF($CE$2:CE22,1),"")</f>
        <v>21</v>
      </c>
      <c r="GB22" s="207">
        <f>IF(CF22=1,COUNTIF($CF$2:CF22,1),"")</f>
        <v>21</v>
      </c>
      <c r="GC22" s="207">
        <f>IF(CG22=1,COUNTIF($CG$2:CG22,1),"")</f>
        <v>21</v>
      </c>
      <c r="GD22" s="207">
        <f>IF(CH22=1,COUNTIF($CH$2:CH22,1),"")</f>
        <v>21</v>
      </c>
      <c r="GE22" s="207">
        <f>IF(CI22=1,COUNTIF($CI$2:CI22,1),"")</f>
        <v>21</v>
      </c>
      <c r="GF22" s="207">
        <f>IF(CJ22=1,COUNTIF($CJ$2:CJ22,1),"")</f>
        <v>21</v>
      </c>
      <c r="GG22" s="207">
        <f>IF(CK22=1,COUNTIF($CK$2:CK22,1),"")</f>
        <v>21</v>
      </c>
      <c r="GH22" s="207">
        <f>IF(CL22=1,COUNTIF($CL$2:CL22,1),"")</f>
        <v>21</v>
      </c>
      <c r="GI22" s="207">
        <f>IF(CM22=1,COUNTIF($CM$2:CM22,1),"")</f>
        <v>21</v>
      </c>
      <c r="GJ22" s="207">
        <f>IF(CN22=1,COUNTIF($CN$2:CN22,1),"")</f>
        <v>21</v>
      </c>
      <c r="GK22" s="207">
        <f>IF(CO22=1,COUNTIF($CO$2:CO22,1),"")</f>
        <v>21</v>
      </c>
      <c r="GL22" s="207">
        <f>IF(CP22=1,COUNTIF($CP$2:CP22,1),"")</f>
        <v>21</v>
      </c>
      <c r="GM22" s="207">
        <f>IF(CQ22=1,COUNTIF($CQ$2:CQ22,1),"")</f>
        <v>21</v>
      </c>
      <c r="GN22" s="207">
        <f>IF(CR22=1,COUNTIF($CR$2:CR22,1),"")</f>
        <v>21</v>
      </c>
      <c r="GO22" s="207">
        <f>IF(CS22=1,COUNTIF($CS$2:CS22,1),"")</f>
        <v>21</v>
      </c>
      <c r="GP22" s="207">
        <f>IF(CT22=1,COUNTIF($CT$2:CT22,1),"")</f>
        <v>21</v>
      </c>
      <c r="GQ22" s="207">
        <f>IF(CU22=1,COUNTIF($CU$2:CU22,1),"")</f>
        <v>21</v>
      </c>
      <c r="GR22" s="207">
        <f>IF(CV22=1,COUNTIF($CV$2:CV22,1),"")</f>
        <v>21</v>
      </c>
      <c r="GS22" s="207">
        <f>IF(CW22=1,COUNTIF($CW$2:CW22,1),"")</f>
        <v>21</v>
      </c>
      <c r="GT22" s="207">
        <f>IF(CX22=1,COUNTIF($CX$2:CX22,1),"")</f>
        <v>21</v>
      </c>
      <c r="GU22" s="207">
        <f>IF(CY22=1,COUNTIF($CY$2:CY22,1),"")</f>
        <v>21</v>
      </c>
      <c r="GV22" s="207">
        <f>IF(CZ22=1,COUNTIF($CZ$2:CZ22,1),"")</f>
        <v>21</v>
      </c>
      <c r="GW22" s="207">
        <f>IF(DA22=1,COUNTIF($DA$2:DA22,1),"")</f>
        <v>21</v>
      </c>
      <c r="GX22" s="206" t="str">
        <f>IFERROR(INDEX($A$2:$A$113,MATCH(ROWS($DB$2:DB22),$DB$2:$DB$113,0)),"")</f>
        <v>ABUSO SEXUAL AGRAVADO</v>
      </c>
      <c r="GY22" s="206" t="str">
        <f>IFERROR(INDEX($A$2:$A$113,MATCH(ROWS($DC$2:DC22),$DC$2:$DC$113,0)),"")</f>
        <v>ABUSO SEXUAL AGRAVADO</v>
      </c>
      <c r="GZ22" s="206" t="str">
        <f>IFERROR(INDEX($A$2:$A$113,MATCH(ROWS($DD$2:DD22),$DD$2:$DD$113,0)),"")</f>
        <v>ABUSO SEXUAL AGRAVADO</v>
      </c>
      <c r="HA22" s="206" t="str">
        <f>IFERROR(INDEX($A$2:$A$113,MATCH(ROWS($DE$2:DE22),$DE$2:$DE$113,0)),"")</f>
        <v>ABUSO SEXUAL AGRAVADO</v>
      </c>
      <c r="HB22" s="206" t="str">
        <f>IFERROR(INDEX($A$2:$A$113,MATCH(ROWS($DF$2:DF22),$DF$2:$DF$113,0)),"")</f>
        <v>ABUSO SEXUAL AGRAVADO</v>
      </c>
      <c r="HC22" s="206" t="str">
        <f>IFERROR(INDEX($A$2:$A$113,MATCH(ROWS($DG$2:DG22),$DG$2:$DG$113,0)),"")</f>
        <v>ABUSO SEXUAL AGRAVADO</v>
      </c>
      <c r="HD22" s="206" t="str">
        <f>IFERROR(INDEX($A$2:$A$113,MATCH(ROWS($DH$2:DH22),$DH$2:$DH$113,0)),"")</f>
        <v>ABUSO SEXUAL AGRAVADO</v>
      </c>
      <c r="HE22" s="206" t="str">
        <f>IFERROR(INDEX($A$2:$A$113,MATCH(ROWS($DI$2:DI22),$DI$2:$DI$113,0)),"")</f>
        <v>ABUSO SEXUAL AGRAVADO</v>
      </c>
      <c r="HF22" s="206" t="str">
        <f>IFERROR(INDEX($A$2:$A$113,MATCH(ROWS($DJ$2:DJ22),$DJ$2:$DJ$113,0)),"")</f>
        <v>ABUSO SEXUAL AGRAVADO</v>
      </c>
      <c r="HG22" s="206" t="str">
        <f>IFERROR(INDEX($A$2:$A$113,MATCH(ROWS($DK$2:DK22),$DK$2:$DK$113,0)),"")</f>
        <v>ABUSO SEXUAL AGRAVADO</v>
      </c>
      <c r="HH22" s="206" t="str">
        <f>IFERROR(INDEX($A$2:$A$113,MATCH(ROWS($DL$2:DL22),$DL$2:$DL$113,0)),"")</f>
        <v>ABUSO SEXUAL AGRAVADO</v>
      </c>
      <c r="HI22" s="206" t="str">
        <f>IFERROR(INDEX($A$2:$A$113,MATCH(ROWS($DM$2:DM22),$DM$2:$DM$113,0)),"")</f>
        <v>ABUSO SEXUAL AGRAVADO</v>
      </c>
      <c r="HJ22" s="206" t="str">
        <f>IFERROR(INDEX($A$2:$A$113,MATCH(ROWS($DN$2:DN22),$DN$2:$DN$113,0)),"")</f>
        <v>ABUSO SEXUAL AGRAVADO</v>
      </c>
      <c r="HK22" s="206" t="str">
        <f>IFERROR(INDEX($A$2:$A$113,MATCH(ROWS($DO$2:DO22),$DO$2:$DO$113,0)),"")</f>
        <v>ABUSO SEXUAL AGRAVADO</v>
      </c>
      <c r="HL22" s="206" t="str">
        <f>IFERROR(INDEX($A$2:$A$113,MATCH(ROWS($DP$2:DP22),$DP$2:$DP$113,0)),"")</f>
        <v>ABUSO SEXUAL AGRAVADO</v>
      </c>
      <c r="HM22" s="206" t="str">
        <f>IFERROR(INDEX($A$2:$A$113,MATCH(ROWS($DQ$2:DQ22),$DQ$2:$DQ$113,0)),"")</f>
        <v>ABUSO SEXUAL AGRAVADO</v>
      </c>
      <c r="HN22" s="206" t="str">
        <f>IFERROR(INDEX($A$2:$A$113,MATCH(ROWS($DR$2:DR22),$DR$2:$DR$113,0)),"")</f>
        <v>ABUSO SEXUAL AGRAVADO</v>
      </c>
      <c r="HO22" s="206" t="str">
        <f>IFERROR(INDEX($A$2:$A$113,MATCH(ROWS($DS$2:DS22),$DS$2:$DS$113,0)),"")</f>
        <v>ABUSO SEXUAL AGRAVADO</v>
      </c>
      <c r="HP22" s="206" t="str">
        <f>IFERROR(INDEX($A$2:$A$113,MATCH(ROWS($DT$2:DT22),$DT$2:$DT$113,0)),"")</f>
        <v>ABUSO SEXUAL AGRAVADO</v>
      </c>
      <c r="HQ22" s="206" t="str">
        <f>IFERROR(INDEX($A$2:$A$113,MATCH(ROWS($DU$2:DU22),$DU$2:$DU$113,0)),"")</f>
        <v>ABUSO SEXUAL AGRAVADO</v>
      </c>
      <c r="HR22" s="206" t="str">
        <f>IFERROR(INDEX($A$2:$A$113,MATCH(ROWS($DV$2:DV22),$DV$2:$DV$113,0)),"")</f>
        <v>ABUSO SEXUAL AGRAVADO</v>
      </c>
      <c r="HS22" s="206" t="str">
        <f>IFERROR(INDEX($A$2:$A$113,MATCH(ROWS($DW$2:DW22),$DW$2:$DW$113,0)),"")</f>
        <v>ABUSO SEXUAL AGRAVADO</v>
      </c>
      <c r="HT22" s="206" t="str">
        <f>IFERROR(INDEX($A$2:$A$113,MATCH(ROWS($DX$2:DX22),$DX$2:$DX$113,0)),"")</f>
        <v>ABUSO SEXUAL AGRAVADO</v>
      </c>
      <c r="HU22" s="206" t="str">
        <f>IFERROR(INDEX($A$2:$A$113,MATCH(ROWS($DY$2:DY22),$DY$2:$DY$113,0)),"")</f>
        <v>ABUSO SEXUAL AGRAVADO</v>
      </c>
      <c r="HV22" s="206" t="str">
        <f>IFERROR(INDEX($A$2:$A$113,MATCH(ROWS($DZ$2:DZ22),$DZ$2:$DZ$113,0)),"")</f>
        <v>ABUSO SEXUAL AGRAVADO</v>
      </c>
      <c r="HW22" s="206" t="str">
        <f>IFERROR(INDEX($A$2:$A$113,MATCH(ROWS($EA$2:EA22),$EA$2:$EA$113,0)),"")</f>
        <v>ABUSO SEXUAL AGRAVADO</v>
      </c>
      <c r="HX22" s="206" t="str">
        <f>IFERROR(INDEX($A$2:$A$113,MATCH(ROWS($EB$2:EB22),$EB$2:$EB$113,0)),"")</f>
        <v>ABUSO SEXUAL AGRAVADO</v>
      </c>
      <c r="HY22" s="206" t="str">
        <f>IFERROR(INDEX($A$2:$A$113,MATCH(ROWS($EC$2:EC22),$EC$2:$EC$113,0)),"")</f>
        <v>ABUSO SEXUAL AGRAVADO</v>
      </c>
      <c r="HZ22" s="206" t="str">
        <f>IFERROR(INDEX($A$2:$A$113,MATCH(ROWS($ED$2:ED22),$ED$2:$ED$113,0)),"")</f>
        <v>ABUSO SEXUAL AGRAVADO</v>
      </c>
      <c r="IA22" s="206" t="str">
        <f>IFERROR(INDEX($A$2:$A$113,MATCH(ROWS($EE$2:EE22),$EE$2:$EE$113,0)),"")</f>
        <v>ABUSO SEXUAL AGRAVADO</v>
      </c>
      <c r="IB22" s="206" t="str">
        <f>IFERROR(INDEX($A$2:$A$113,MATCH(ROWS($EF$2:EF22),$EF$2:$EF$113,0)),"")</f>
        <v>ABUSO SEXUAL AGRAVADO</v>
      </c>
      <c r="IC22" s="206" t="str">
        <f>IFERROR(INDEX($A$2:$A$113,MATCH(ROWS($EG$2:EG22),$EG$2:$EG$113,0)),"")</f>
        <v>ABUSO SEXUAL AGRAVADO</v>
      </c>
      <c r="ID22" s="206" t="str">
        <f>IFERROR(INDEX($A$2:$A$113,MATCH(ROWS($EH$2:EH22),$EH$2:$EH$113,0)),"")</f>
        <v>ABUSO SEXUAL AGRAVADO</v>
      </c>
      <c r="IE22" s="206" t="str">
        <f>IFERROR(INDEX($A$2:$A$113,MATCH(ROWS($EI$2:EI22),$EI$2:$EI$113,0)),"")</f>
        <v>ABUSO SEXUAL AGRAVADO</v>
      </c>
      <c r="IF22" s="206" t="str">
        <f>IFERROR(INDEX($A$2:$A$113,MATCH(ROWS($EJ$2:EJ22),$EJ$2:$EJ$113,0)),"")</f>
        <v>ABUSO SEXUAL AGRAVADO</v>
      </c>
      <c r="IG22" s="206" t="str">
        <f>IFERROR(INDEX($A$2:$A$113,MATCH(ROWS($EK$2:EK22),$EK$2:$EK$113,0)),"")</f>
        <v>ABUSO SEXUAL AGRAVADO</v>
      </c>
      <c r="IH22" s="206" t="str">
        <f>IFERROR(INDEX($A$2:$A$113,MATCH(ROWS($EL$2:EL22),$EL$2:$EL$113,0)),"")</f>
        <v>ABUSO SEXUAL AGRAVADO</v>
      </c>
      <c r="II22" s="206" t="str">
        <f>IFERROR(INDEX($A$2:$A$113,MATCH(ROWS($EM$2:EM22),$EM$2:$EM$113,0)),"")</f>
        <v>ABUSO SEXUAL AGRAVADO</v>
      </c>
      <c r="IJ22" s="206" t="str">
        <f>IFERROR(INDEX($A$2:$A$113,MATCH(ROWS($EN$2:EN22),$EN$2:$EN$113,0)),"")</f>
        <v>ABUSO SEXUAL AGRAVADO</v>
      </c>
      <c r="IK22" s="207" t="str">
        <f>IFERROR(INDEX($A$2:$A$113,MATCH(ROWS($EO$2:EO22),$EO$2:$EO$113,0)),"")</f>
        <v>ABUSO SEXUAL AGRAVADO</v>
      </c>
      <c r="IL22" s="207" t="str">
        <f>IFERROR(INDEX($A$2:$A$113,MATCH(ROWS($EP$2:EP22),$EP$2:$EP$113,0)),"")</f>
        <v>ABUSO SEXUAL AGRAVADO</v>
      </c>
      <c r="IM22" s="207" t="str">
        <f>IFERROR(INDEX($A$2:$A$113,MATCH(ROWS($EQ$2:EQ22),$EQ$2:$EQ$113,0)),"")</f>
        <v>ABUSO SEXUAL AGRAVADO</v>
      </c>
      <c r="IN22" s="207" t="str">
        <f>IFERROR(INDEX($A$2:$A$113,MATCH(ROWS($ER$2:ER22),$ER$2:$ER$113,0)),"")</f>
        <v>ABUSO SEXUAL AGRAVADO</v>
      </c>
      <c r="IO22" s="207" t="str">
        <f>IFERROR(INDEX($A$2:$A$113,MATCH(ROWS($ES$2:ES22),$ES$2:$ES$113,0)),"")</f>
        <v>ABUSO SEXUAL AGRAVADO</v>
      </c>
      <c r="IP22" s="207" t="str">
        <f>IFERROR(INDEX($A$2:$A$113,MATCH(ROWS($ET$2:ET22),$ET$2:$ET$113,0)),"")</f>
        <v>ABUSO SEXUAL AGRAVADO</v>
      </c>
      <c r="IQ22" s="207" t="str">
        <f>IFERROR(INDEX($A$2:$A$113,MATCH(ROWS($EU$2:EU22),$EU$2:$EU$113,0)),"")</f>
        <v>ABUSO SEXUAL AGRAVADO</v>
      </c>
      <c r="IR22" s="207" t="str">
        <f>IFERROR(INDEX($A$2:$A$113,MATCH(ROWS($EV$2:EV22),$EV$2:$EV$113,0)),"")</f>
        <v>ABUSO SEXUAL AGRAVADO</v>
      </c>
      <c r="IS22" s="207" t="str">
        <f>IFERROR(INDEX($A$2:$A$113,MATCH(ROWS($EW$2:EW22),$EW$2:$EW$113,0)),"")</f>
        <v>ABUSO SEXUAL AGRAVADO</v>
      </c>
      <c r="IT22" s="207" t="str">
        <f>IFERROR(INDEX($A$2:$A$113,MATCH(ROWS($EX$2:EX22),$EX$2:$EX$113,0)),"")</f>
        <v>ABUSO SEXUAL AGRAVADO</v>
      </c>
      <c r="IU22" s="207" t="str">
        <f>IFERROR(INDEX($A$2:$A$113,MATCH(ROWS($EY$2:EY22),$EY$2:$EY$113,0)),"")</f>
        <v>ABUSO SEXUAL AGRAVADO</v>
      </c>
      <c r="IV22" s="207" t="str">
        <f>IFERROR(INDEX($A$2:$A$113,MATCH(ROWS($EZ$2:EZ22),$EZ$2:$EZ$113,0)),"")</f>
        <v>ABUSO SEXUAL AGRAVADO</v>
      </c>
      <c r="IW22" s="207" t="str">
        <f>IFERROR(INDEX($A$2:$A$113,MATCH(ROWS($FA$2:FA22),$FA$2:$FA$113,0)),"")</f>
        <v>ABUSO SEXUAL AGRAVADO</v>
      </c>
      <c r="IX22" s="207" t="str">
        <f>IFERROR(INDEX($A$2:$A$113,MATCH(ROWS($FB$2:FB22),$FB$2:$FB$113,0)),"")</f>
        <v>ABUSO SEXUAL AGRAVADO</v>
      </c>
      <c r="IY22" s="207" t="str">
        <f>IFERROR(INDEX($A$2:$A$113,MATCH(ROWS($FC$2:FC22),$FC$2:$FC$113,0)),"")</f>
        <v>ABUSO SEXUAL AGRAVADO</v>
      </c>
      <c r="IZ22" s="207" t="str">
        <f>IFERROR(INDEX($A$2:$A$113,MATCH(ROWS($FD$2:FD22),$FD$2:$FD$113,0)),"")</f>
        <v>ABUSO SEXUAL AGRAVADO</v>
      </c>
      <c r="JA22" s="207" t="str">
        <f>IFERROR(INDEX($A$2:$A$113,MATCH(ROWS($FE$2:FE22),$FE$2:$FE$113,0)),"")</f>
        <v>ABUSO SEXUAL AGRAVADO</v>
      </c>
      <c r="JB22" s="207" t="str">
        <f>IFERROR(INDEX($A$2:$A$113,MATCH(ROWS($FF$2:FF22),$FF$2:$FF$113,0)),"")</f>
        <v>ABUSO SEXUAL AGRAVADO</v>
      </c>
      <c r="JC22" s="207" t="str">
        <f>IFERROR(INDEX($A$2:$A$113,MATCH(ROWS($FG$2:FG22),$FG$2:$FG$113,0)),"")</f>
        <v>ABUSO SEXUAL AGRAVADO</v>
      </c>
      <c r="JD22" s="207" t="str">
        <f>IFERROR(INDEX($A$2:$A$113,MATCH(ROWS($FH$2:FH22),$FH$2:$FH$113,0)),"")</f>
        <v>ABUSO SEXUAL AGRAVADO</v>
      </c>
      <c r="JE22" s="207" t="str">
        <f>IFERROR(INDEX($A$2:$A$113,MATCH(ROWS($FI$2:FI22),$FI$2:$FI$113,0)),"")</f>
        <v>ABUSO SEXUAL AGRAVADO</v>
      </c>
      <c r="JF22" s="207" t="str">
        <f>IFERROR(INDEX($A$2:$A$113,MATCH(ROWS($FJ$2:FJ22),$FJ$2:$FJ$113,0)),"")</f>
        <v>ABUSO SEXUAL AGRAVADO</v>
      </c>
      <c r="JG22" s="207" t="str">
        <f>IFERROR(INDEX($A$2:$A$113,MATCH(ROWS($FK$2:FK22),$FK$2:$FK$113,0)),"")</f>
        <v>ABUSO SEXUAL AGRAVADO</v>
      </c>
      <c r="JH22" s="207" t="str">
        <f>IFERROR(INDEX($A$2:$A$113,MATCH(ROWS($FL$2:FL22),$FL$2:$FL$113,0)),"")</f>
        <v>ABUSO SEXUAL AGRAVADO</v>
      </c>
      <c r="JI22" s="207" t="str">
        <f>IFERROR(INDEX($A$2:$A$113,MATCH(ROWS($FM$2:FM22),$FM$2:$FM$113,0)),"")</f>
        <v>ABUSO SEXUAL AGRAVADO</v>
      </c>
      <c r="JJ22" s="207" t="str">
        <f>IFERROR(INDEX($A$2:$A$113,MATCH(ROWS($FN$2:FN22),$FN$2:$FN$113,0)),"")</f>
        <v>ABUSO SEXUAL AGRAVADO</v>
      </c>
      <c r="JK22" s="207" t="str">
        <f>IFERROR(INDEX($A$2:$A$113,MATCH(ROWS($FO$2:FO22),$FO$2:$FO$113,0)),"")</f>
        <v>ABUSO SEXUAL AGRAVADO</v>
      </c>
      <c r="JL22" s="207" t="str">
        <f>IFERROR(INDEX($A$2:$A$113,MATCH(ROWS($FP$2:FP22),$FP$2:$FP$113,0)),"")</f>
        <v>ABUSO SEXUAL AGRAVADO</v>
      </c>
      <c r="JM22" s="207" t="str">
        <f>IFERROR(INDEX($A$2:$A$113,MATCH(ROWS($FQ$2:FQ22),$FQ$2:$FQ$113,0)),"")</f>
        <v>ABUSO SEXUAL AGRAVADO</v>
      </c>
      <c r="JN22" s="207" t="str">
        <f>IFERROR(INDEX($A$2:$A$113,MATCH(ROWS($FR$2:FR22),$FR$2:$FR$113,0)),"")</f>
        <v>ABUSO SEXUAL AGRAVADO</v>
      </c>
      <c r="JO22" s="207" t="str">
        <f>IFERROR(INDEX($A$2:$A$113,MATCH(ROWS($FS$2:FS22),$FS$2:$FS$113,0)),"")</f>
        <v>ABUSO SEXUAL AGRAVADO</v>
      </c>
      <c r="JP22" s="207" t="str">
        <f>IFERROR(INDEX($A$2:$A$113,MATCH(ROWS($FT$2:FT22),$FT$2:$FT$113,0)),"")</f>
        <v>ABUSO SEXUAL AGRAVADO</v>
      </c>
      <c r="JQ22" s="207" t="str">
        <f>IFERROR(INDEX($A$2:$A$113,MATCH(ROWS($FU$2:FU22),$FU$2:$FU$113,0)),"")</f>
        <v>ABUSO SEXUAL AGRAVADO</v>
      </c>
      <c r="JR22" s="207" t="str">
        <f>IFERROR(INDEX($A$2:$A$113,MATCH(ROWS($FV$2:FV22),$FV$2:$FV$113,0)),"")</f>
        <v>ABUSO SEXUAL AGRAVADO</v>
      </c>
      <c r="JS22" s="207" t="str">
        <f>IFERROR(INDEX($A$2:$A$113,MATCH(ROWS($FW$2:FW22),$FW$2:$FW$113,0)),"")</f>
        <v>ABUSO SEXUAL AGRAVADO</v>
      </c>
      <c r="JT22" s="207" t="str">
        <f>IFERROR(INDEX($A$2:$A$113,MATCH(ROWS($FX$2:FX22),$FX$2:$FX$113,0)),"")</f>
        <v>ABUSO SEXUAL AGRAVADO</v>
      </c>
      <c r="JU22" s="207" t="str">
        <f>IFERROR(INDEX($A$2:$A$113,MATCH(ROWS($FY$2:FY22),$FY$2:$FY$113,0)),"")</f>
        <v>ABUSO SEXUAL AGRAVADO</v>
      </c>
      <c r="JV22" s="207" t="str">
        <f>IFERROR(INDEX($A$2:$A$113,MATCH(ROWS($FZ$2:FZ22),$FZ$2:$FZ$113,0)),"")</f>
        <v>ABUSO SEXUAL AGRAVADO</v>
      </c>
      <c r="JW22" s="207" t="str">
        <f>IFERROR(INDEX($A$2:$A$113,MATCH(ROWS($GA$2:GA22),$GA$2:$GA$113,0)),"")</f>
        <v>ABUSO SEXUAL AGRAVADO</v>
      </c>
      <c r="JX22" s="207" t="str">
        <f>IFERROR(INDEX($A$2:$A$113,MATCH(ROWS($GB$2:GB22),$GB$2:$GB$113,0)),"")</f>
        <v>ABUSO SEXUAL AGRAVADO</v>
      </c>
      <c r="JY22" s="207" t="str">
        <f>IFERROR(INDEX($A$2:$A$113,MATCH(ROWS($GC$2:GC22),$GC$2:$GC$113,0)),"")</f>
        <v>ABUSO SEXUAL AGRAVADO</v>
      </c>
      <c r="JZ22" s="207" t="str">
        <f>IFERROR(INDEX($A$2:$A$113,MATCH(ROWS($GD$2:GD22),$GD$2:$GD$113,0)),"")</f>
        <v>ABUSO SEXUAL AGRAVADO</v>
      </c>
      <c r="KA22" s="207" t="str">
        <f>IFERROR(INDEX($A$2:$A$113,MATCH(ROWS($GE$2:GE22),$GE$2:$GE$113,0)),"")</f>
        <v>ABUSO SEXUAL AGRAVADO</v>
      </c>
      <c r="KB22" s="207" t="str">
        <f>IFERROR(INDEX($A$2:$A$113,MATCH(ROWS($GF$2:GF22),$GF$2:$GF$113,0)),"")</f>
        <v>ABUSO SEXUAL AGRAVADO</v>
      </c>
      <c r="KC22" s="207" t="str">
        <f>IFERROR(INDEX($A$2:$A$113,MATCH(ROWS($GG$2:GG22),$GG$2:$GG$113,0)),"")</f>
        <v>ABUSO SEXUAL AGRAVADO</v>
      </c>
      <c r="KD22" s="207" t="str">
        <f>IFERROR(INDEX($A$2:$A$113,MATCH(ROWS($GH$2:GH22),$GH$2:$GH$113,0)),"")</f>
        <v>ABUSO SEXUAL AGRAVADO</v>
      </c>
      <c r="KE22" s="207" t="str">
        <f>IFERROR(INDEX($A$2:$A$113,MATCH(ROWS($GI$2:GI22),$GI$2:$GI$113,0)),"")</f>
        <v>ABUSO SEXUAL AGRAVADO</v>
      </c>
      <c r="KF22" s="207" t="str">
        <f>IFERROR(INDEX($A$2:$A$113,MATCH(ROWS($GJ$2:GJ22),$GJ$2:$GJ$113,0)),"")</f>
        <v>ABUSO SEXUAL AGRAVADO</v>
      </c>
      <c r="KG22" s="207" t="str">
        <f>IFERROR(INDEX($A$2:$A$113,MATCH(ROWS($GK$2:GK22),$GK$2:$GK$113,0)),"")</f>
        <v>ABUSO SEXUAL AGRAVADO</v>
      </c>
      <c r="KH22" s="207" t="str">
        <f>IFERROR(INDEX($A$2:$A$113,MATCH(ROWS($GL$2:GL22),$GL$2:$GL$113,0)),"")</f>
        <v>ABUSO SEXUAL AGRAVADO</v>
      </c>
      <c r="KI22" s="207" t="str">
        <f>IFERROR(INDEX($A$2:$A$113,MATCH(ROWS($GM$2:GM22),$GM$2:$GM$113,0)),"")</f>
        <v>ABUSO SEXUAL AGRAVADO</v>
      </c>
      <c r="KJ22" s="207" t="str">
        <f>IFERROR(INDEX($A$2:$A$113,MATCH(ROWS($GN$2:GN22),$GN$2:$GN$113,0)),"")</f>
        <v>ABUSO SEXUAL AGRAVADO</v>
      </c>
      <c r="KK22" s="207" t="str">
        <f>IFERROR(INDEX($A$2:$A$113,MATCH(ROWS($GO$2:GO22),$GO$2:$GO$113,0)),"")</f>
        <v>ABUSO SEXUAL AGRAVADO</v>
      </c>
      <c r="KL22" s="207" t="str">
        <f>IFERROR(INDEX($A$2:$A$113,MATCH(ROWS($GP$2:GP22),$GP$2:$GP$113,0)),"")</f>
        <v>ABUSO SEXUAL AGRAVADO</v>
      </c>
      <c r="KM22" s="207" t="str">
        <f>IFERROR(INDEX($A$2:$A$113,MATCH(ROWS($GQ$2:GQ22),$GQ$2:$GQ$113,0)),"")</f>
        <v>ABUSO SEXUAL AGRAVADO</v>
      </c>
      <c r="KN22" s="207" t="str">
        <f>IFERROR(INDEX($A$2:$A$113,MATCH(ROWS($GR$2:GR22),$GR$2:$GR$113,0)),"")</f>
        <v>ABUSO SEXUAL AGRAVADO</v>
      </c>
      <c r="KO22" s="207" t="str">
        <f>IFERROR(INDEX($A$2:$A$113,MATCH(ROWS($GS$2:GS22),$GS$2:$GS$113,0)),"")</f>
        <v>ABUSO SEXUAL AGRAVADO</v>
      </c>
      <c r="KP22" s="207" t="str">
        <f>IFERROR(INDEX($A$2:$A$113,MATCH(ROWS($GT$2:GT22),$GT$2:$GT$113,0)),"")</f>
        <v>ABUSO SEXUAL AGRAVADO</v>
      </c>
      <c r="KQ22" s="207" t="str">
        <f>IFERROR(INDEX($A$2:$A$113,MATCH(ROWS($GU$2:GU22),$GU$2:$GU$113,0)),"")</f>
        <v>ABUSO SEXUAL AGRAVADO</v>
      </c>
      <c r="KR22" s="207" t="str">
        <f>IFERROR(INDEX($A$2:$A$113,MATCH(ROWS($GV$2:GV22),$GV$2:$GV$113,0)),"")</f>
        <v>ABUSO SEXUAL AGRAVADO</v>
      </c>
      <c r="KS22" s="207" t="str">
        <f>IFERROR(INDEX($A$2:$A$113,MATCH(ROWS($GW$2:GW22),$GW$2:$GW$113,0)),"")</f>
        <v>ABUSO SEXUAL AGRAVADO</v>
      </c>
    </row>
    <row r="23" spans="1:305" x14ac:dyDescent="0.25">
      <c r="A23" s="206" t="s">
        <v>1082</v>
      </c>
      <c r="B23" s="206" t="s">
        <v>1085</v>
      </c>
      <c r="D23" s="206" t="s">
        <v>789</v>
      </c>
      <c r="E23" s="206" t="s">
        <v>71</v>
      </c>
      <c r="F23" s="207">
        <f>--ISNUMBER(IFERROR(SEARCH('PLANILLA DJ'!$X$3,$A23,1),""))</f>
        <v>1</v>
      </c>
      <c r="G23" s="207">
        <f>--ISNUMBER(IFERROR(SEARCH('PLANILLA DJ'!$X$4,$A23,1),""))</f>
        <v>1</v>
      </c>
      <c r="H23" s="207">
        <f>--ISNUMBER(IFERROR(SEARCH('PLANILLA DJ'!$X$5,$A23,1),""))</f>
        <v>1</v>
      </c>
      <c r="I23" s="207">
        <f>--ISNUMBER(IFERROR(SEARCH('PLANILLA DJ'!$X$6,$A23,1),""))</f>
        <v>1</v>
      </c>
      <c r="J23" s="207">
        <f>--ISNUMBER(IFERROR(SEARCH('PLANILLA DJ'!$X$7,$A23,1),""))</f>
        <v>1</v>
      </c>
      <c r="K23" s="207">
        <f>--ISNUMBER(IFERROR(SEARCH('PLANILLA DJ'!$X$8,$A23,1),""))</f>
        <v>1</v>
      </c>
      <c r="L23" s="207">
        <f>--ISNUMBER(IFERROR(SEARCH('PLANILLA DJ'!$X$9,$A23,1),""))</f>
        <v>1</v>
      </c>
      <c r="M23" s="207">
        <f>--ISNUMBER(IFERROR(SEARCH('PLANILLA DJ'!$X$10,$A23,1),""))</f>
        <v>1</v>
      </c>
      <c r="N23" s="207">
        <f>--ISNUMBER(IFERROR(SEARCH('PLANILLA DJ'!$X$11,$A23,1),""))</f>
        <v>1</v>
      </c>
      <c r="O23" s="207">
        <f>--ISNUMBER(IFERROR(SEARCH('PLANILLA DJ'!$X$12,$A23,1),""))</f>
        <v>1</v>
      </c>
      <c r="P23" s="207">
        <f>--ISNUMBER(IFERROR(SEARCH('PLANILLA DJ'!$X$13,$A23,1),""))</f>
        <v>1</v>
      </c>
      <c r="Q23" s="207">
        <f>--ISNUMBER(IFERROR(SEARCH('PLANILLA DJ'!$X$14,$A23,1),""))</f>
        <v>1</v>
      </c>
      <c r="R23" s="207">
        <f>--ISNUMBER(IFERROR(SEARCH('PLANILLA DJ'!$X$15,$A23,1),""))</f>
        <v>1</v>
      </c>
      <c r="S23" s="207">
        <f>--ISNUMBER(IFERROR(SEARCH('PLANILLA DJ'!$X$16,$A23,1),""))</f>
        <v>1</v>
      </c>
      <c r="T23" s="207">
        <f>--ISNUMBER(IFERROR(SEARCH('PLANILLA DJ'!$X$17,$A23,1),""))</f>
        <v>1</v>
      </c>
      <c r="U23" s="207">
        <f>--ISNUMBER(IFERROR(SEARCH('PLANILLA DJ'!$X$18,$A23,1),""))</f>
        <v>1</v>
      </c>
      <c r="V23" s="207">
        <f>--ISNUMBER(IFERROR(SEARCH('PLANILLA DJ'!$X$19,$A23,1),""))</f>
        <v>1</v>
      </c>
      <c r="W23" s="207">
        <f>--ISNUMBER(IFERROR(SEARCH('PLANILLA DJ'!$X$20,$A23,1),""))</f>
        <v>1</v>
      </c>
      <c r="X23" s="207">
        <f>--ISNUMBER(IFERROR(SEARCH('PLANILLA DJ'!$X$21,$A23,1),""))</f>
        <v>1</v>
      </c>
      <c r="Y23" s="207">
        <f>--ISNUMBER(IFERROR(SEARCH('PLANILLA DJ'!$X$22,$A23,1),""))</f>
        <v>1</v>
      </c>
      <c r="Z23" s="207">
        <f>--ISNUMBER(IFERROR(SEARCH('PLANILLA DJ'!$X$23,$A23,1),""))</f>
        <v>1</v>
      </c>
      <c r="AA23" s="207">
        <f>--ISNUMBER(IFERROR(SEARCH('PLANILLA DJ'!$X$24,$A23,1),""))</f>
        <v>1</v>
      </c>
      <c r="AB23" s="207">
        <f>--ISNUMBER(IFERROR(SEARCH('PLANILLA DJ'!$X$25,$A23,1),""))</f>
        <v>1</v>
      </c>
      <c r="AC23" s="207">
        <f>--ISNUMBER(IFERROR(SEARCH('PLANILLA DJ'!$X$26,$A23,1),""))</f>
        <v>1</v>
      </c>
      <c r="AD23" s="207">
        <f>--ISNUMBER(IFERROR(SEARCH('PLANILLA DJ'!$X$27,$A23,1),""))</f>
        <v>1</v>
      </c>
      <c r="AE23" s="207">
        <f>--ISNUMBER(IFERROR(SEARCH('PLANILLA DJ'!$X$28,$A23,1),""))</f>
        <v>1</v>
      </c>
      <c r="AF23" s="207">
        <f>--ISNUMBER(IFERROR(SEARCH('PLANILLA DJ'!$X$29,$A23,1),""))</f>
        <v>1</v>
      </c>
      <c r="AG23" s="207">
        <f>--ISNUMBER(IFERROR(SEARCH('PLANILLA DJ'!$X$30,$A23,1),""))</f>
        <v>1</v>
      </c>
      <c r="AH23" s="207">
        <f>--ISNUMBER(IFERROR(SEARCH('PLANILLA DJ'!$X$31,$A23,1),""))</f>
        <v>1</v>
      </c>
      <c r="AI23" s="207">
        <f>--ISNUMBER(IFERROR(SEARCH('PLANILLA DJ'!$X$32,$A23,1),""))</f>
        <v>1</v>
      </c>
      <c r="AJ23" s="207">
        <f>--ISNUMBER(IFERROR(SEARCH('PLANILLA DJ'!$X$33,$A23,1),""))</f>
        <v>1</v>
      </c>
      <c r="AK23" s="207">
        <f>--ISNUMBER(IFERROR(SEARCH('PLANILLA DJ'!$X$34,$A23,1),""))</f>
        <v>1</v>
      </c>
      <c r="AL23" s="207">
        <f>--ISNUMBER(IFERROR(SEARCH('PLANILLA DJ'!$X$35,$A23,1),""))</f>
        <v>1</v>
      </c>
      <c r="AM23" s="207">
        <f>--ISNUMBER(IFERROR(SEARCH('PLANILLA DJ'!$X$36,$A23,1),""))</f>
        <v>1</v>
      </c>
      <c r="AN23" s="207">
        <f>--ISNUMBER(IFERROR(SEARCH('PLANILLA DJ'!$X$37,$A23,1),""))</f>
        <v>1</v>
      </c>
      <c r="AO23" s="207">
        <f>--ISNUMBER(IFERROR(SEARCH('PLANILLA DJ'!$X$38,$A23,1),""))</f>
        <v>1</v>
      </c>
      <c r="AP23" s="207">
        <f>--ISNUMBER(IFERROR(SEARCH('PLANILLA DJ'!$X$39,$A23,1),""))</f>
        <v>1</v>
      </c>
      <c r="AQ23" s="207">
        <f>--ISNUMBER(IFERROR(SEARCH('PLANILLA DJ'!$X$40,$A23,1),""))</f>
        <v>1</v>
      </c>
      <c r="AR23" s="207">
        <f>--ISNUMBER(IFERROR(SEARCH('PLANILLA DJ'!$X$41,$A23,1),""))</f>
        <v>1</v>
      </c>
      <c r="AS23" s="207">
        <f>--ISNUMBER(IFERROR(SEARCH('PLANILLA DJ'!$X$42,$A23,1),""))</f>
        <v>1</v>
      </c>
      <c r="AT23" s="207">
        <f>--ISNUMBER(IFERROR(SEARCH('PLANILLA DJ'!$X$43,$A23,1),""))</f>
        <v>1</v>
      </c>
      <c r="AU23" s="207">
        <f>--ISNUMBER(IFERROR(SEARCH('PLANILLA DJ'!$X$44,$A23,1),""))</f>
        <v>1</v>
      </c>
      <c r="AV23" s="207">
        <f>--ISNUMBER(IFERROR(SEARCH('PLANILLA DJ'!$X$45,$A23,1),""))</f>
        <v>1</v>
      </c>
      <c r="AW23" s="207">
        <f>--ISNUMBER(IFERROR(SEARCH('PLANILLA DJ'!$X$46,$A23,1),""))</f>
        <v>1</v>
      </c>
      <c r="AX23" s="207">
        <f>--ISNUMBER(IFERROR(SEARCH('PLANILLA DJ'!$X$47,$A23,1),""))</f>
        <v>1</v>
      </c>
      <c r="AY23" s="207">
        <f>--ISNUMBER(IFERROR(SEARCH('PLANILLA DJ'!$X$48,$A23,1),""))</f>
        <v>1</v>
      </c>
      <c r="AZ23" s="207">
        <f>--ISNUMBER(IFERROR(SEARCH('PLANILLA DJ'!$X$49,$A23,1),""))</f>
        <v>1</v>
      </c>
      <c r="BA23" s="207">
        <f>--ISNUMBER(IFERROR(SEARCH('PLANILLA DJ'!$X$50,$A23,1),""))</f>
        <v>1</v>
      </c>
      <c r="BB23" s="207">
        <f>--ISNUMBER(IFERROR(SEARCH('PLANILLA DJ'!$X$51,$A23,1),""))</f>
        <v>1</v>
      </c>
      <c r="BC23" s="207">
        <f>--ISNUMBER(IFERROR(SEARCH('PLANILLA DJ'!$X$52,$A23,1),""))</f>
        <v>1</v>
      </c>
      <c r="BD23" s="207">
        <f>--ISNUMBER(IFERROR(SEARCH('PLANILLA DJ'!$X$53,$A23,1),""))</f>
        <v>1</v>
      </c>
      <c r="BE23" s="207">
        <f>--ISNUMBER(IFERROR(SEARCH('PLANILLA DJ'!$X$54,$A23,1),""))</f>
        <v>1</v>
      </c>
      <c r="BF23" s="207">
        <f>--ISNUMBER(IFERROR(SEARCH('PLANILLA DJ'!$X$55,$A23,1),""))</f>
        <v>1</v>
      </c>
      <c r="BG23" s="207">
        <f>--ISNUMBER(IFERROR(SEARCH('PLANILLA DJ'!$X$56,$A23,1),""))</f>
        <v>1</v>
      </c>
      <c r="BH23" s="207">
        <f>--ISNUMBER(IFERROR(SEARCH('PLANILLA DJ'!$X$57,$A23,1),""))</f>
        <v>1</v>
      </c>
      <c r="BI23" s="207">
        <f>--ISNUMBER(IFERROR(SEARCH('PLANILLA DJ'!$X$58,$A23,1),""))</f>
        <v>1</v>
      </c>
      <c r="BJ23" s="207">
        <f>--ISNUMBER(IFERROR(SEARCH('PLANILLA DJ'!$X$59,$A23,1),""))</f>
        <v>1</v>
      </c>
      <c r="BK23" s="207">
        <f>--ISNUMBER(IFERROR(SEARCH('PLANILLA DJ'!$X$60,$A23,1),""))</f>
        <v>1</v>
      </c>
      <c r="BL23" s="207">
        <f>--ISNUMBER(IFERROR(SEARCH('PLANILLA DJ'!$X$61,$A23,1),""))</f>
        <v>1</v>
      </c>
      <c r="BM23" s="207">
        <f>--ISNUMBER(IFERROR(SEARCH('PLANILLA DJ'!$X$62,$A23,1),""))</f>
        <v>1</v>
      </c>
      <c r="BN23" s="207">
        <f>--ISNUMBER(IFERROR(SEARCH('PLANILLA DJ'!$X$63,$A23,1),""))</f>
        <v>1</v>
      </c>
      <c r="BO23" s="207">
        <f>--ISNUMBER(IFERROR(SEARCH('PLANILLA DJ'!$X$64,$A23,1),""))</f>
        <v>1</v>
      </c>
      <c r="BP23" s="207">
        <f>--ISNUMBER(IFERROR(SEARCH('PLANILLA DJ'!$X$65,$A23,1),""))</f>
        <v>1</v>
      </c>
      <c r="BQ23" s="207">
        <f>--ISNUMBER(IFERROR(SEARCH('PLANILLA DJ'!$X$66,$A23,1),""))</f>
        <v>1</v>
      </c>
      <c r="BR23" s="207">
        <f>--ISNUMBER(IFERROR(SEARCH('PLANILLA DJ'!$X$67,$A23,1),""))</f>
        <v>1</v>
      </c>
      <c r="BS23" s="207">
        <f>--ISNUMBER(IFERROR(SEARCH('PLANILLA DJ'!$X$68,$A23,1),""))</f>
        <v>1</v>
      </c>
      <c r="BT23" s="207">
        <f>--ISNUMBER(IFERROR(SEARCH('PLANILLA DJ'!$X$69,$A23,1),""))</f>
        <v>1</v>
      </c>
      <c r="BU23" s="207">
        <f>--ISNUMBER(IFERROR(SEARCH('PLANILLA DJ'!$X$70,$A23,1),""))</f>
        <v>1</v>
      </c>
      <c r="BV23" s="207">
        <f>--ISNUMBER(IFERROR(SEARCH('PLANILLA DJ'!$X$71,$A23,1),""))</f>
        <v>1</v>
      </c>
      <c r="BW23" s="207">
        <f>--ISNUMBER(IFERROR(SEARCH('PLANILLA DJ'!$X$72,$A23,1),""))</f>
        <v>1</v>
      </c>
      <c r="BX23" s="207">
        <f>--ISNUMBER(IFERROR(SEARCH('PLANILLA DJ'!$X$73,$A23,1),""))</f>
        <v>1</v>
      </c>
      <c r="BY23" s="207">
        <f>--ISNUMBER(IFERROR(SEARCH('PLANILLA DJ'!$X$74,$A23,1),""))</f>
        <v>1</v>
      </c>
      <c r="BZ23" s="207">
        <f>--ISNUMBER(IFERROR(SEARCH('PLANILLA DJ'!$X$75,$A23,1),""))</f>
        <v>1</v>
      </c>
      <c r="CA23" s="207">
        <f>--ISNUMBER(IFERROR(SEARCH('PLANILLA DJ'!$X$76,$A23,1),""))</f>
        <v>1</v>
      </c>
      <c r="CB23" s="207">
        <f>--ISNUMBER(IFERROR(SEARCH('PLANILLA DJ'!$X$77,$A23,1),""))</f>
        <v>1</v>
      </c>
      <c r="CC23" s="207">
        <f>--ISNUMBER(IFERROR(SEARCH('PLANILLA DJ'!$X$78,$A23,1),""))</f>
        <v>1</v>
      </c>
      <c r="CD23" s="207">
        <f>--ISNUMBER(IFERROR(SEARCH('PLANILLA DJ'!$X$79,$A23,1),""))</f>
        <v>1</v>
      </c>
      <c r="CE23" s="207">
        <f>--ISNUMBER(IFERROR(SEARCH('PLANILLA DJ'!$X$80,$A23,1),""))</f>
        <v>1</v>
      </c>
      <c r="CF23" s="207">
        <f>--ISNUMBER(IFERROR(SEARCH('PLANILLA DJ'!$X$81,$A23,1),""))</f>
        <v>1</v>
      </c>
      <c r="CG23" s="207">
        <f>--ISNUMBER(IFERROR(SEARCH('PLANILLA DJ'!$X$82,$A23,1),""))</f>
        <v>1</v>
      </c>
      <c r="CH23" s="207">
        <f>--ISNUMBER(IFERROR(SEARCH('PLANILLA DJ'!$X$83,$A23,1),""))</f>
        <v>1</v>
      </c>
      <c r="CI23" s="207">
        <f>--ISNUMBER(IFERROR(SEARCH('PLANILLA DJ'!$X$84,$A23,1),""))</f>
        <v>1</v>
      </c>
      <c r="CJ23" s="207">
        <f>--ISNUMBER(IFERROR(SEARCH('PLANILLA DJ'!$X$85,$A23,1),""))</f>
        <v>1</v>
      </c>
      <c r="CK23" s="207">
        <f>--ISNUMBER(IFERROR(SEARCH('PLANILLA DJ'!$X$86,$A23,1),""))</f>
        <v>1</v>
      </c>
      <c r="CL23" s="207">
        <f>--ISNUMBER(IFERROR(SEARCH('PLANILLA DJ'!$X$87,$A23,1),""))</f>
        <v>1</v>
      </c>
      <c r="CM23" s="207">
        <f>--ISNUMBER(IFERROR(SEARCH('PLANILLA DJ'!$X$88,$A23,1),""))</f>
        <v>1</v>
      </c>
      <c r="CN23" s="207">
        <f>--ISNUMBER(IFERROR(SEARCH('PLANILLA DJ'!$X$89,$A23,1),""))</f>
        <v>1</v>
      </c>
      <c r="CO23" s="207">
        <f>--ISNUMBER(IFERROR(SEARCH('PLANILLA DJ'!$X$90,$A23,1),""))</f>
        <v>1</v>
      </c>
      <c r="CP23" s="207">
        <f>--ISNUMBER(IFERROR(SEARCH('PLANILLA DJ'!$X$91,$A23,1),""))</f>
        <v>1</v>
      </c>
      <c r="CQ23" s="207">
        <f>--ISNUMBER(IFERROR(SEARCH('PLANILLA DJ'!$X$92,$A23,1),""))</f>
        <v>1</v>
      </c>
      <c r="CR23" s="207">
        <f>--ISNUMBER(IFERROR(SEARCH('PLANILLA DJ'!$X$93,$A23,1),""))</f>
        <v>1</v>
      </c>
      <c r="CS23" s="207">
        <f>--ISNUMBER(IFERROR(SEARCH('PLANILLA DJ'!$X$94,$A23,1),""))</f>
        <v>1</v>
      </c>
      <c r="CT23" s="207">
        <f>--ISNUMBER(IFERROR(SEARCH('PLANILLA DJ'!$X$95,$A23,1),""))</f>
        <v>1</v>
      </c>
      <c r="CU23" s="207">
        <f>--ISNUMBER(IFERROR(SEARCH('PLANILLA DJ'!$X$96,$A23,1),""))</f>
        <v>1</v>
      </c>
      <c r="CV23" s="207">
        <f>--ISNUMBER(IFERROR(SEARCH('PLANILLA DJ'!$X$97,$A23,1),""))</f>
        <v>1</v>
      </c>
      <c r="CW23" s="207">
        <f>--ISNUMBER(IFERROR(SEARCH('PLANILLA DJ'!$X$98,$A23,1),""))</f>
        <v>1</v>
      </c>
      <c r="CX23" s="207">
        <f>--ISNUMBER(IFERROR(SEARCH('PLANILLA DJ'!$X$99,$A23,1),""))</f>
        <v>1</v>
      </c>
      <c r="CY23" s="207">
        <f>--ISNUMBER(IFERROR(SEARCH('PLANILLA DJ'!$X$100,$A23,1),""))</f>
        <v>1</v>
      </c>
      <c r="CZ23" s="207">
        <f>--ISNUMBER(IFERROR(SEARCH('PLANILLA DJ'!$X$101,$A23,1),""))</f>
        <v>1</v>
      </c>
      <c r="DA23" s="207">
        <f>--ISNUMBER(IFERROR(SEARCH('PLANILLA DJ'!$X$102,$A23,1),""))</f>
        <v>1</v>
      </c>
      <c r="DB23" s="206">
        <f>IF(F23=1,COUNTIF($F$2:F23,1),"")</f>
        <v>22</v>
      </c>
      <c r="DC23" s="206">
        <f>IF(G23=1,COUNTIF($G$2:G23,1),"")</f>
        <v>22</v>
      </c>
      <c r="DD23" s="206">
        <f>IF(H23=1,COUNTIF($H$2:H23,1),"")</f>
        <v>22</v>
      </c>
      <c r="DE23" s="206">
        <f>IF(I23=1,COUNTIF($I$2:I23,1),"")</f>
        <v>22</v>
      </c>
      <c r="DF23" s="206">
        <f>IF(J23=1,COUNTIF($J$2:J23,1),"")</f>
        <v>22</v>
      </c>
      <c r="DG23" s="206">
        <f>IF(K23=1,COUNTIF($K$2:K23,1),"")</f>
        <v>22</v>
      </c>
      <c r="DH23" s="206">
        <f>IF(L23=1,COUNTIF($L$2:L23,1),"")</f>
        <v>22</v>
      </c>
      <c r="DI23" s="206">
        <f>IF(M23=1,COUNTIF($M$2:M23,1),"")</f>
        <v>22</v>
      </c>
      <c r="DJ23" s="206">
        <f>IF(N23=1,COUNTIF($N$2:N23,1),"")</f>
        <v>22</v>
      </c>
      <c r="DK23" s="206">
        <f>IF(O23=1,COUNTIF($O$2:O23,1),"")</f>
        <v>22</v>
      </c>
      <c r="DL23" s="206">
        <f>IF(P23=1,COUNTIF($P$2:P23,1),"")</f>
        <v>22</v>
      </c>
      <c r="DM23" s="206">
        <f>IF(Q23=1,COUNTIF($Q$2:Q23,1),"")</f>
        <v>22</v>
      </c>
      <c r="DN23" s="207">
        <f>IF(R23=1,COUNTIF($R$2:R23,1),"")</f>
        <v>22</v>
      </c>
      <c r="DO23" s="207">
        <f>IF(S23=1,COUNTIF($S$2:S23,1),"")</f>
        <v>22</v>
      </c>
      <c r="DP23" s="207">
        <f>IF(T23=1,COUNTIF($T$2:T23,1),"")</f>
        <v>22</v>
      </c>
      <c r="DQ23" s="207">
        <f>IF(U23=1,COUNTIF($U$2:U23,1),"")</f>
        <v>22</v>
      </c>
      <c r="DR23" s="207">
        <f>IF(V23=1,COUNTIF($V$2:V23,1),"")</f>
        <v>22</v>
      </c>
      <c r="DS23" s="207">
        <f>IF(W23=1,COUNTIF($W$2:W23,1),"")</f>
        <v>22</v>
      </c>
      <c r="DT23" s="207">
        <f>IF(X23=1,COUNTIF($X$2:X23,1),"")</f>
        <v>22</v>
      </c>
      <c r="DU23" s="207">
        <f>IF(Y23=1,COUNTIF($Y$2:Y23,1),"")</f>
        <v>22</v>
      </c>
      <c r="DV23" s="207">
        <f>IF(Z23=1,COUNTIF(Z$2:Z23,1),"")</f>
        <v>22</v>
      </c>
      <c r="DW23" s="207">
        <f>IF(AA23=1,COUNTIF($AA$2:AA23,1),"")</f>
        <v>22</v>
      </c>
      <c r="DX23" s="207">
        <f>IF(AB23=1,COUNTIF($AB$2:AB23,1),"")</f>
        <v>22</v>
      </c>
      <c r="DY23" s="207">
        <f>IF(AC23=1,COUNTIF($AC$2:AC23,1),"")</f>
        <v>22</v>
      </c>
      <c r="DZ23" s="207">
        <f>IF(AD23=1,COUNTIF($AD$2:AD23,1),"")</f>
        <v>22</v>
      </c>
      <c r="EA23" s="207">
        <f>IF(AE23=1,COUNTIF($AE$2:AE23,1),"")</f>
        <v>22</v>
      </c>
      <c r="EB23" s="207">
        <f>IF(AF23=1,COUNTIF($AF$2:AF23,1),"")</f>
        <v>22</v>
      </c>
      <c r="EC23" s="207">
        <f>IF(AG23=1,COUNTIF($AG$2:AG23,1),"")</f>
        <v>22</v>
      </c>
      <c r="ED23" s="207">
        <f>IF(AH23=1,COUNTIF($AH$2:AH23,1),"")</f>
        <v>22</v>
      </c>
      <c r="EE23" s="207">
        <f>IF(AI23=1,COUNTIF($AI$2:AI23,1),"")</f>
        <v>22</v>
      </c>
      <c r="EF23" s="207">
        <f>IF(AJ23=1,COUNTIF($AJ$2:AJ23,1),"")</f>
        <v>22</v>
      </c>
      <c r="EG23" s="207">
        <f>IF(AK23=1,COUNTIF($AK$2:AK23,1),"")</f>
        <v>22</v>
      </c>
      <c r="EH23" s="207">
        <f>IF(AL23=1,COUNTIF($AL$2:AL23,1),"")</f>
        <v>22</v>
      </c>
      <c r="EI23" s="207">
        <f>IF(AM23=1,COUNTIF($AM$2:AM23,1),"")</f>
        <v>22</v>
      </c>
      <c r="EJ23" s="207">
        <f>IF(AN23=1,COUNTIF($AN$2:AN23,1),"")</f>
        <v>22</v>
      </c>
      <c r="EK23" s="207">
        <f>IF(AO23=1,COUNTIF($AO$2:AO23,1),"")</f>
        <v>22</v>
      </c>
      <c r="EL23" s="207">
        <f>IF(AP23=1,COUNTIF($AP$2:AP23,1),"")</f>
        <v>22</v>
      </c>
      <c r="EM23" s="207">
        <f>IF(AQ23=1,COUNTIF($AQ$2:AQ23,1),"")</f>
        <v>22</v>
      </c>
      <c r="EN23" s="207">
        <f>IF(AR23=1,COUNTIF($AR$2:AR23,1),"")</f>
        <v>22</v>
      </c>
      <c r="EO23" s="207">
        <f>IF(AS23=1,COUNTIF($AS$2:AS23,1),"")</f>
        <v>22</v>
      </c>
      <c r="EP23" s="207">
        <f>IF(AT23=1,COUNTIF($AT$2:AT23,1),"")</f>
        <v>22</v>
      </c>
      <c r="EQ23" s="207">
        <f>IF(AU23=1,COUNTIF($AU$2:AU23,1),"")</f>
        <v>22</v>
      </c>
      <c r="ER23" s="207">
        <f>IF(AV23=1,COUNTIF($AV$2:AV23,1),"")</f>
        <v>22</v>
      </c>
      <c r="ES23" s="207">
        <f>IF(AW23=1,COUNTIF($AW$2:AW23,1),"")</f>
        <v>22</v>
      </c>
      <c r="ET23" s="207">
        <f>IF(AX23=1,COUNTIF($AX$2:AX23,1),"")</f>
        <v>22</v>
      </c>
      <c r="EU23" s="207">
        <f>IF(AY23=1,COUNTIF($AY$2:AY23,1),"")</f>
        <v>22</v>
      </c>
      <c r="EV23" s="207">
        <f>IF(AZ23=1,COUNTIF($AZ$2:AZ23,1),"")</f>
        <v>22</v>
      </c>
      <c r="EW23" s="207">
        <f>IF(BA23=1,COUNTIF($BA$2:BA23,1),"")</f>
        <v>22</v>
      </c>
      <c r="EX23" s="207">
        <f>IF(BB23=1,COUNTIF($BB$2:BB23,1),"")</f>
        <v>22</v>
      </c>
      <c r="EY23" s="207">
        <f>IF(BC23=1,COUNTIF($BC$2:BC23,1),"")</f>
        <v>22</v>
      </c>
      <c r="EZ23" s="207">
        <f>IF(BD23=1,COUNTIF($BD$2:BD23,1),"")</f>
        <v>22</v>
      </c>
      <c r="FA23" s="207">
        <f>IF(BE23=1,COUNTIF($BE$2:BE23,1),"")</f>
        <v>22</v>
      </c>
      <c r="FB23" s="207">
        <f>IF(BF23=1,COUNTIF($BF$2:BF23,1),"")</f>
        <v>22</v>
      </c>
      <c r="FC23" s="207">
        <f>IF(BG23=1,COUNTIF($BG$2:BG23,1),"")</f>
        <v>22</v>
      </c>
      <c r="FD23" s="207">
        <f>IF(BH23=1,COUNTIF($BH$2:BH23,1),"")</f>
        <v>22</v>
      </c>
      <c r="FE23" s="207">
        <f>IF(BI23=1,COUNTIF($BI$2:BI23,1),"")</f>
        <v>22</v>
      </c>
      <c r="FF23" s="207">
        <f>IF(BJ23=1,COUNTIF($BJ$2:BJ23,1),"")</f>
        <v>22</v>
      </c>
      <c r="FG23" s="207">
        <f>IF(BK23=1,COUNTIF($BK$2:BK23,1),"")</f>
        <v>22</v>
      </c>
      <c r="FH23" s="207">
        <f>IF(BL23=1,COUNTIF($BL$2:BL23,1),"")</f>
        <v>22</v>
      </c>
      <c r="FI23" s="207">
        <f>IF(BM23=1,COUNTIF($BM$2:BM23,1),"")</f>
        <v>22</v>
      </c>
      <c r="FJ23" s="207">
        <f>IF(BN23=1,COUNTIF($BN$2:BN23,1),"")</f>
        <v>22</v>
      </c>
      <c r="FK23" s="207">
        <f>IF(BO23=1,COUNTIF($BO$2:BO23,1),"")</f>
        <v>22</v>
      </c>
      <c r="FL23" s="207">
        <f>IF(BP23=1,COUNTIF($BP$2:BP23,1),"")</f>
        <v>22</v>
      </c>
      <c r="FM23" s="207">
        <f>IF(BQ23=1,COUNTIF($BQ$2:BQ23,1),"")</f>
        <v>22</v>
      </c>
      <c r="FN23" s="207">
        <f>IF(BR23=1,COUNTIF($BR$2:BR23,1),"")</f>
        <v>22</v>
      </c>
      <c r="FO23" s="207">
        <f>IF(BS23=1,COUNTIF($BS$2:BS23,1),"")</f>
        <v>22</v>
      </c>
      <c r="FP23" s="207">
        <f>IF(BT23=1,COUNTIF($BT$2:BT23,1),"")</f>
        <v>22</v>
      </c>
      <c r="FQ23" s="207">
        <f>IF(BU23=1,COUNTIF($BU$2:BU23,1),"")</f>
        <v>22</v>
      </c>
      <c r="FR23" s="207">
        <f>IF(BV23=1,COUNTIF($BV$2:BV23,1),"")</f>
        <v>22</v>
      </c>
      <c r="FS23" s="207">
        <f>IF(BW23=1,COUNTIF($BW$2:BW23,1),"")</f>
        <v>22</v>
      </c>
      <c r="FT23" s="207">
        <f>IF(BX23=1,COUNTIF($BX$2:BX23,1),"")</f>
        <v>22</v>
      </c>
      <c r="FU23" s="207">
        <f>IF(BY23=1,COUNTIF($BY$2:BY23,1),"")</f>
        <v>22</v>
      </c>
      <c r="FV23" s="207">
        <f>IF(BZ23=1,COUNTIF($BZ$2:BZ23,1),"")</f>
        <v>22</v>
      </c>
      <c r="FW23" s="207">
        <f>IF(CA23=1,COUNTIF($CA$2:CA23,1),"")</f>
        <v>22</v>
      </c>
      <c r="FX23" s="207">
        <f>IF(CB23=1,COUNTIF($CB$2:CB23,1),"")</f>
        <v>22</v>
      </c>
      <c r="FY23" s="207">
        <f>IF(CC23=1,COUNTIF($CC$2:CC23,1),"")</f>
        <v>22</v>
      </c>
      <c r="FZ23" s="207">
        <f>IF(CD23=1,COUNTIF($CD$2:CD23,1),"")</f>
        <v>22</v>
      </c>
      <c r="GA23" s="207">
        <f>IF(CE23=1,COUNTIF($CE$2:CE23,1),"")</f>
        <v>22</v>
      </c>
      <c r="GB23" s="207">
        <f>IF(CF23=1,COUNTIF($CF$2:CF23,1),"")</f>
        <v>22</v>
      </c>
      <c r="GC23" s="207">
        <f>IF(CG23=1,COUNTIF($CG$2:CG23,1),"")</f>
        <v>22</v>
      </c>
      <c r="GD23" s="207">
        <f>IF(CH23=1,COUNTIF($CH$2:CH23,1),"")</f>
        <v>22</v>
      </c>
      <c r="GE23" s="207">
        <f>IF(CI23=1,COUNTIF($CI$2:CI23,1),"")</f>
        <v>22</v>
      </c>
      <c r="GF23" s="207">
        <f>IF(CJ23=1,COUNTIF($CJ$2:CJ23,1),"")</f>
        <v>22</v>
      </c>
      <c r="GG23" s="207">
        <f>IF(CK23=1,COUNTIF($CK$2:CK23,1),"")</f>
        <v>22</v>
      </c>
      <c r="GH23" s="207">
        <f>IF(CL23=1,COUNTIF($CL$2:CL23,1),"")</f>
        <v>22</v>
      </c>
      <c r="GI23" s="207">
        <f>IF(CM23=1,COUNTIF($CM$2:CM23,1),"")</f>
        <v>22</v>
      </c>
      <c r="GJ23" s="207">
        <f>IF(CN23=1,COUNTIF($CN$2:CN23,1),"")</f>
        <v>22</v>
      </c>
      <c r="GK23" s="207">
        <f>IF(CO23=1,COUNTIF($CO$2:CO23,1),"")</f>
        <v>22</v>
      </c>
      <c r="GL23" s="207">
        <f>IF(CP23=1,COUNTIF($CP$2:CP23,1),"")</f>
        <v>22</v>
      </c>
      <c r="GM23" s="207">
        <f>IF(CQ23=1,COUNTIF($CQ$2:CQ23,1),"")</f>
        <v>22</v>
      </c>
      <c r="GN23" s="207">
        <f>IF(CR23=1,COUNTIF($CR$2:CR23,1),"")</f>
        <v>22</v>
      </c>
      <c r="GO23" s="207">
        <f>IF(CS23=1,COUNTIF($CS$2:CS23,1),"")</f>
        <v>22</v>
      </c>
      <c r="GP23" s="207">
        <f>IF(CT23=1,COUNTIF($CT$2:CT23,1),"")</f>
        <v>22</v>
      </c>
      <c r="GQ23" s="207">
        <f>IF(CU23=1,COUNTIF($CU$2:CU23,1),"")</f>
        <v>22</v>
      </c>
      <c r="GR23" s="207">
        <f>IF(CV23=1,COUNTIF($CV$2:CV23,1),"")</f>
        <v>22</v>
      </c>
      <c r="GS23" s="207">
        <f>IF(CW23=1,COUNTIF($CW$2:CW23,1),"")</f>
        <v>22</v>
      </c>
      <c r="GT23" s="207">
        <f>IF(CX23=1,COUNTIF($CX$2:CX23,1),"")</f>
        <v>22</v>
      </c>
      <c r="GU23" s="207">
        <f>IF(CY23=1,COUNTIF($CY$2:CY23,1),"")</f>
        <v>22</v>
      </c>
      <c r="GV23" s="207">
        <f>IF(CZ23=1,COUNTIF($CZ$2:CZ23,1),"")</f>
        <v>22</v>
      </c>
      <c r="GW23" s="207">
        <f>IF(DA23=1,COUNTIF($DA$2:DA23,1),"")</f>
        <v>22</v>
      </c>
      <c r="GX23" s="206" t="str">
        <f>IFERROR(INDEX($A$2:$A$113,MATCH(ROWS($DB$2:DB23),$DB$2:$DB$113,0)),"")</f>
        <v>CIBERDELITOS SEXUALES VINCULADOS A MENORES (GROOMING)</v>
      </c>
      <c r="GY23" s="206" t="str">
        <f>IFERROR(INDEX($A$2:$A$113,MATCH(ROWS($DC$2:DC23),$DC$2:$DC$113,0)),"")</f>
        <v>CIBERDELITOS SEXUALES VINCULADOS A MENORES (GROOMING)</v>
      </c>
      <c r="GZ23" s="206" t="str">
        <f>IFERROR(INDEX($A$2:$A$113,MATCH(ROWS($DD$2:DD23),$DD$2:$DD$113,0)),"")</f>
        <v>CIBERDELITOS SEXUALES VINCULADOS A MENORES (GROOMING)</v>
      </c>
      <c r="HA23" s="206" t="str">
        <f>IFERROR(INDEX($A$2:$A$113,MATCH(ROWS($DE$2:DE23),$DE$2:$DE$113,0)),"")</f>
        <v>CIBERDELITOS SEXUALES VINCULADOS A MENORES (GROOMING)</v>
      </c>
      <c r="HB23" s="206" t="str">
        <f>IFERROR(INDEX($A$2:$A$113,MATCH(ROWS($DF$2:DF23),$DF$2:$DF$113,0)),"")</f>
        <v>CIBERDELITOS SEXUALES VINCULADOS A MENORES (GROOMING)</v>
      </c>
      <c r="HC23" s="206" t="str">
        <f>IFERROR(INDEX($A$2:$A$113,MATCH(ROWS($DG$2:DG23),$DG$2:$DG$113,0)),"")</f>
        <v>CIBERDELITOS SEXUALES VINCULADOS A MENORES (GROOMING)</v>
      </c>
      <c r="HD23" s="206" t="str">
        <f>IFERROR(INDEX($A$2:$A$113,MATCH(ROWS($DH$2:DH23),$DH$2:$DH$113,0)),"")</f>
        <v>CIBERDELITOS SEXUALES VINCULADOS A MENORES (GROOMING)</v>
      </c>
      <c r="HE23" s="206" t="str">
        <f>IFERROR(INDEX($A$2:$A$113,MATCH(ROWS($DI$2:DI23),$DI$2:$DI$113,0)),"")</f>
        <v>CIBERDELITOS SEXUALES VINCULADOS A MENORES (GROOMING)</v>
      </c>
      <c r="HF23" s="206" t="str">
        <f>IFERROR(INDEX($A$2:$A$113,MATCH(ROWS($DJ$2:DJ23),$DJ$2:$DJ$113,0)),"")</f>
        <v>CIBERDELITOS SEXUALES VINCULADOS A MENORES (GROOMING)</v>
      </c>
      <c r="HG23" s="206" t="str">
        <f>IFERROR(INDEX($A$2:$A$113,MATCH(ROWS($DK$2:DK23),$DK$2:$DK$113,0)),"")</f>
        <v>CIBERDELITOS SEXUALES VINCULADOS A MENORES (GROOMING)</v>
      </c>
      <c r="HH23" s="206" t="str">
        <f>IFERROR(INDEX($A$2:$A$113,MATCH(ROWS($DL$2:DL23),$DL$2:$DL$113,0)),"")</f>
        <v>CIBERDELITOS SEXUALES VINCULADOS A MENORES (GROOMING)</v>
      </c>
      <c r="HI23" s="206" t="str">
        <f>IFERROR(INDEX($A$2:$A$113,MATCH(ROWS($DM$2:DM23),$DM$2:$DM$113,0)),"")</f>
        <v>CIBERDELITOS SEXUALES VINCULADOS A MENORES (GROOMING)</v>
      </c>
      <c r="HJ23" s="206" t="str">
        <f>IFERROR(INDEX($A$2:$A$113,MATCH(ROWS($DN$2:DN23),$DN$2:$DN$113,0)),"")</f>
        <v>CIBERDELITOS SEXUALES VINCULADOS A MENORES (GROOMING)</v>
      </c>
      <c r="HK23" s="206" t="str">
        <f>IFERROR(INDEX($A$2:$A$113,MATCH(ROWS($DO$2:DO23),$DO$2:$DO$113,0)),"")</f>
        <v>CIBERDELITOS SEXUALES VINCULADOS A MENORES (GROOMING)</v>
      </c>
      <c r="HL23" s="206" t="str">
        <f>IFERROR(INDEX($A$2:$A$113,MATCH(ROWS($DP$2:DP23),$DP$2:$DP$113,0)),"")</f>
        <v>CIBERDELITOS SEXUALES VINCULADOS A MENORES (GROOMING)</v>
      </c>
      <c r="HM23" s="206" t="str">
        <f>IFERROR(INDEX($A$2:$A$113,MATCH(ROWS($DQ$2:DQ23),$DQ$2:$DQ$113,0)),"")</f>
        <v>CIBERDELITOS SEXUALES VINCULADOS A MENORES (GROOMING)</v>
      </c>
      <c r="HN23" s="206" t="str">
        <f>IFERROR(INDEX($A$2:$A$113,MATCH(ROWS($DR$2:DR23),$DR$2:$DR$113,0)),"")</f>
        <v>CIBERDELITOS SEXUALES VINCULADOS A MENORES (GROOMING)</v>
      </c>
      <c r="HO23" s="206" t="str">
        <f>IFERROR(INDEX($A$2:$A$113,MATCH(ROWS($DS$2:DS23),$DS$2:$DS$113,0)),"")</f>
        <v>CIBERDELITOS SEXUALES VINCULADOS A MENORES (GROOMING)</v>
      </c>
      <c r="HP23" s="206" t="str">
        <f>IFERROR(INDEX($A$2:$A$113,MATCH(ROWS($DT$2:DT23),$DT$2:$DT$113,0)),"")</f>
        <v>CIBERDELITOS SEXUALES VINCULADOS A MENORES (GROOMING)</v>
      </c>
      <c r="HQ23" s="206" t="str">
        <f>IFERROR(INDEX($A$2:$A$113,MATCH(ROWS($DU$2:DU23),$DU$2:$DU$113,0)),"")</f>
        <v>CIBERDELITOS SEXUALES VINCULADOS A MENORES (GROOMING)</v>
      </c>
      <c r="HR23" s="206" t="str">
        <f>IFERROR(INDEX($A$2:$A$113,MATCH(ROWS($DV$2:DV23),$DV$2:$DV$113,0)),"")</f>
        <v>CIBERDELITOS SEXUALES VINCULADOS A MENORES (GROOMING)</v>
      </c>
      <c r="HS23" s="206" t="str">
        <f>IFERROR(INDEX($A$2:$A$113,MATCH(ROWS($DW$2:DW23),$DW$2:$DW$113,0)),"")</f>
        <v>CIBERDELITOS SEXUALES VINCULADOS A MENORES (GROOMING)</v>
      </c>
      <c r="HT23" s="206" t="str">
        <f>IFERROR(INDEX($A$2:$A$113,MATCH(ROWS($DX$2:DX23),$DX$2:$DX$113,0)),"")</f>
        <v>CIBERDELITOS SEXUALES VINCULADOS A MENORES (GROOMING)</v>
      </c>
      <c r="HU23" s="206" t="str">
        <f>IFERROR(INDEX($A$2:$A$113,MATCH(ROWS($DY$2:DY23),$DY$2:$DY$113,0)),"")</f>
        <v>CIBERDELITOS SEXUALES VINCULADOS A MENORES (GROOMING)</v>
      </c>
      <c r="HV23" s="206" t="str">
        <f>IFERROR(INDEX($A$2:$A$113,MATCH(ROWS($DZ$2:DZ23),$DZ$2:$DZ$113,0)),"")</f>
        <v>CIBERDELITOS SEXUALES VINCULADOS A MENORES (GROOMING)</v>
      </c>
      <c r="HW23" s="206" t="str">
        <f>IFERROR(INDEX($A$2:$A$113,MATCH(ROWS($EA$2:EA23),$EA$2:$EA$113,0)),"")</f>
        <v>CIBERDELITOS SEXUALES VINCULADOS A MENORES (GROOMING)</v>
      </c>
      <c r="HX23" s="206" t="str">
        <f>IFERROR(INDEX($A$2:$A$113,MATCH(ROWS($EB$2:EB23),$EB$2:$EB$113,0)),"")</f>
        <v>CIBERDELITOS SEXUALES VINCULADOS A MENORES (GROOMING)</v>
      </c>
      <c r="HY23" s="206" t="str">
        <f>IFERROR(INDEX($A$2:$A$113,MATCH(ROWS($EC$2:EC23),$EC$2:$EC$113,0)),"")</f>
        <v>CIBERDELITOS SEXUALES VINCULADOS A MENORES (GROOMING)</v>
      </c>
      <c r="HZ23" s="206" t="str">
        <f>IFERROR(INDEX($A$2:$A$113,MATCH(ROWS($ED$2:ED23),$ED$2:$ED$113,0)),"")</f>
        <v>CIBERDELITOS SEXUALES VINCULADOS A MENORES (GROOMING)</v>
      </c>
      <c r="IA23" s="206" t="str">
        <f>IFERROR(INDEX($A$2:$A$113,MATCH(ROWS($EE$2:EE23),$EE$2:$EE$113,0)),"")</f>
        <v>CIBERDELITOS SEXUALES VINCULADOS A MENORES (GROOMING)</v>
      </c>
      <c r="IB23" s="206" t="str">
        <f>IFERROR(INDEX($A$2:$A$113,MATCH(ROWS($EF$2:EF23),$EF$2:$EF$113,0)),"")</f>
        <v>CIBERDELITOS SEXUALES VINCULADOS A MENORES (GROOMING)</v>
      </c>
      <c r="IC23" s="206" t="str">
        <f>IFERROR(INDEX($A$2:$A$113,MATCH(ROWS($EG$2:EG23),$EG$2:$EG$113,0)),"")</f>
        <v>CIBERDELITOS SEXUALES VINCULADOS A MENORES (GROOMING)</v>
      </c>
      <c r="ID23" s="206" t="str">
        <f>IFERROR(INDEX($A$2:$A$113,MATCH(ROWS($EH$2:EH23),$EH$2:$EH$113,0)),"")</f>
        <v>CIBERDELITOS SEXUALES VINCULADOS A MENORES (GROOMING)</v>
      </c>
      <c r="IE23" s="206" t="str">
        <f>IFERROR(INDEX($A$2:$A$113,MATCH(ROWS($EI$2:EI23),$EI$2:$EI$113,0)),"")</f>
        <v>CIBERDELITOS SEXUALES VINCULADOS A MENORES (GROOMING)</v>
      </c>
      <c r="IF23" s="206" t="str">
        <f>IFERROR(INDEX($A$2:$A$113,MATCH(ROWS($EJ$2:EJ23),$EJ$2:$EJ$113,0)),"")</f>
        <v>CIBERDELITOS SEXUALES VINCULADOS A MENORES (GROOMING)</v>
      </c>
      <c r="IG23" s="206" t="str">
        <f>IFERROR(INDEX($A$2:$A$113,MATCH(ROWS($EK$2:EK23),$EK$2:$EK$113,0)),"")</f>
        <v>CIBERDELITOS SEXUALES VINCULADOS A MENORES (GROOMING)</v>
      </c>
      <c r="IH23" s="206" t="str">
        <f>IFERROR(INDEX($A$2:$A$113,MATCH(ROWS($EL$2:EL23),$EL$2:$EL$113,0)),"")</f>
        <v>CIBERDELITOS SEXUALES VINCULADOS A MENORES (GROOMING)</v>
      </c>
      <c r="II23" s="206" t="str">
        <f>IFERROR(INDEX($A$2:$A$113,MATCH(ROWS($EM$2:EM23),$EM$2:$EM$113,0)),"")</f>
        <v>CIBERDELITOS SEXUALES VINCULADOS A MENORES (GROOMING)</v>
      </c>
      <c r="IJ23" s="206" t="str">
        <f>IFERROR(INDEX($A$2:$A$113,MATCH(ROWS($EN$2:EN23),$EN$2:$EN$113,0)),"")</f>
        <v>CIBERDELITOS SEXUALES VINCULADOS A MENORES (GROOMING)</v>
      </c>
      <c r="IK23" s="207" t="str">
        <f>IFERROR(INDEX($A$2:$A$113,MATCH(ROWS($EO$2:EO23),$EO$2:$EO$113,0)),"")</f>
        <v>CIBERDELITOS SEXUALES VINCULADOS A MENORES (GROOMING)</v>
      </c>
      <c r="IL23" s="207" t="str">
        <f>IFERROR(INDEX($A$2:$A$113,MATCH(ROWS($EP$2:EP23),$EP$2:$EP$113,0)),"")</f>
        <v>CIBERDELITOS SEXUALES VINCULADOS A MENORES (GROOMING)</v>
      </c>
      <c r="IM23" s="207" t="str">
        <f>IFERROR(INDEX($A$2:$A$113,MATCH(ROWS($EQ$2:EQ23),$EQ$2:$EQ$113,0)),"")</f>
        <v>CIBERDELITOS SEXUALES VINCULADOS A MENORES (GROOMING)</v>
      </c>
      <c r="IN23" s="207" t="str">
        <f>IFERROR(INDEX($A$2:$A$113,MATCH(ROWS($ER$2:ER23),$ER$2:$ER$113,0)),"")</f>
        <v>CIBERDELITOS SEXUALES VINCULADOS A MENORES (GROOMING)</v>
      </c>
      <c r="IO23" s="207" t="str">
        <f>IFERROR(INDEX($A$2:$A$113,MATCH(ROWS($ES$2:ES23),$ES$2:$ES$113,0)),"")</f>
        <v>CIBERDELITOS SEXUALES VINCULADOS A MENORES (GROOMING)</v>
      </c>
      <c r="IP23" s="207" t="str">
        <f>IFERROR(INDEX($A$2:$A$113,MATCH(ROWS($ET$2:ET23),$ET$2:$ET$113,0)),"")</f>
        <v>CIBERDELITOS SEXUALES VINCULADOS A MENORES (GROOMING)</v>
      </c>
      <c r="IQ23" s="207" t="str">
        <f>IFERROR(INDEX($A$2:$A$113,MATCH(ROWS($EU$2:EU23),$EU$2:$EU$113,0)),"")</f>
        <v>CIBERDELITOS SEXUALES VINCULADOS A MENORES (GROOMING)</v>
      </c>
      <c r="IR23" s="207" t="str">
        <f>IFERROR(INDEX($A$2:$A$113,MATCH(ROWS($EV$2:EV23),$EV$2:$EV$113,0)),"")</f>
        <v>CIBERDELITOS SEXUALES VINCULADOS A MENORES (GROOMING)</v>
      </c>
      <c r="IS23" s="207" t="str">
        <f>IFERROR(INDEX($A$2:$A$113,MATCH(ROWS($EW$2:EW23),$EW$2:$EW$113,0)),"")</f>
        <v>CIBERDELITOS SEXUALES VINCULADOS A MENORES (GROOMING)</v>
      </c>
      <c r="IT23" s="207" t="str">
        <f>IFERROR(INDEX($A$2:$A$113,MATCH(ROWS($EX$2:EX23),$EX$2:$EX$113,0)),"")</f>
        <v>CIBERDELITOS SEXUALES VINCULADOS A MENORES (GROOMING)</v>
      </c>
      <c r="IU23" s="207" t="str">
        <f>IFERROR(INDEX($A$2:$A$113,MATCH(ROWS($EY$2:EY23),$EY$2:$EY$113,0)),"")</f>
        <v>CIBERDELITOS SEXUALES VINCULADOS A MENORES (GROOMING)</v>
      </c>
      <c r="IV23" s="207" t="str">
        <f>IFERROR(INDEX($A$2:$A$113,MATCH(ROWS($EZ$2:EZ23),$EZ$2:$EZ$113,0)),"")</f>
        <v>CIBERDELITOS SEXUALES VINCULADOS A MENORES (GROOMING)</v>
      </c>
      <c r="IW23" s="207" t="str">
        <f>IFERROR(INDEX($A$2:$A$113,MATCH(ROWS($FA$2:FA23),$FA$2:$FA$113,0)),"")</f>
        <v>CIBERDELITOS SEXUALES VINCULADOS A MENORES (GROOMING)</v>
      </c>
      <c r="IX23" s="207" t="str">
        <f>IFERROR(INDEX($A$2:$A$113,MATCH(ROWS($FB$2:FB23),$FB$2:$FB$113,0)),"")</f>
        <v>CIBERDELITOS SEXUALES VINCULADOS A MENORES (GROOMING)</v>
      </c>
      <c r="IY23" s="207" t="str">
        <f>IFERROR(INDEX($A$2:$A$113,MATCH(ROWS($FC$2:FC23),$FC$2:$FC$113,0)),"")</f>
        <v>CIBERDELITOS SEXUALES VINCULADOS A MENORES (GROOMING)</v>
      </c>
      <c r="IZ23" s="207" t="str">
        <f>IFERROR(INDEX($A$2:$A$113,MATCH(ROWS($FD$2:FD23),$FD$2:$FD$113,0)),"")</f>
        <v>CIBERDELITOS SEXUALES VINCULADOS A MENORES (GROOMING)</v>
      </c>
      <c r="JA23" s="207" t="str">
        <f>IFERROR(INDEX($A$2:$A$113,MATCH(ROWS($FE$2:FE23),$FE$2:$FE$113,0)),"")</f>
        <v>CIBERDELITOS SEXUALES VINCULADOS A MENORES (GROOMING)</v>
      </c>
      <c r="JB23" s="207" t="str">
        <f>IFERROR(INDEX($A$2:$A$113,MATCH(ROWS($FF$2:FF23),$FF$2:$FF$113,0)),"")</f>
        <v>CIBERDELITOS SEXUALES VINCULADOS A MENORES (GROOMING)</v>
      </c>
      <c r="JC23" s="207" t="str">
        <f>IFERROR(INDEX($A$2:$A$113,MATCH(ROWS($FG$2:FG23),$FG$2:$FG$113,0)),"")</f>
        <v>CIBERDELITOS SEXUALES VINCULADOS A MENORES (GROOMING)</v>
      </c>
      <c r="JD23" s="207" t="str">
        <f>IFERROR(INDEX($A$2:$A$113,MATCH(ROWS($FH$2:FH23),$FH$2:$FH$113,0)),"")</f>
        <v>CIBERDELITOS SEXUALES VINCULADOS A MENORES (GROOMING)</v>
      </c>
      <c r="JE23" s="207" t="str">
        <f>IFERROR(INDEX($A$2:$A$113,MATCH(ROWS($FI$2:FI23),$FI$2:$FI$113,0)),"")</f>
        <v>CIBERDELITOS SEXUALES VINCULADOS A MENORES (GROOMING)</v>
      </c>
      <c r="JF23" s="207" t="str">
        <f>IFERROR(INDEX($A$2:$A$113,MATCH(ROWS($FJ$2:FJ23),$FJ$2:$FJ$113,0)),"")</f>
        <v>CIBERDELITOS SEXUALES VINCULADOS A MENORES (GROOMING)</v>
      </c>
      <c r="JG23" s="207" t="str">
        <f>IFERROR(INDEX($A$2:$A$113,MATCH(ROWS($FK$2:FK23),$FK$2:$FK$113,0)),"")</f>
        <v>CIBERDELITOS SEXUALES VINCULADOS A MENORES (GROOMING)</v>
      </c>
      <c r="JH23" s="207" t="str">
        <f>IFERROR(INDEX($A$2:$A$113,MATCH(ROWS($FL$2:FL23),$FL$2:$FL$113,0)),"")</f>
        <v>CIBERDELITOS SEXUALES VINCULADOS A MENORES (GROOMING)</v>
      </c>
      <c r="JI23" s="207" t="str">
        <f>IFERROR(INDEX($A$2:$A$113,MATCH(ROWS($FM$2:FM23),$FM$2:$FM$113,0)),"")</f>
        <v>CIBERDELITOS SEXUALES VINCULADOS A MENORES (GROOMING)</v>
      </c>
      <c r="JJ23" s="207" t="str">
        <f>IFERROR(INDEX($A$2:$A$113,MATCH(ROWS($FN$2:FN23),$FN$2:$FN$113,0)),"")</f>
        <v>CIBERDELITOS SEXUALES VINCULADOS A MENORES (GROOMING)</v>
      </c>
      <c r="JK23" s="207" t="str">
        <f>IFERROR(INDEX($A$2:$A$113,MATCH(ROWS($FO$2:FO23),$FO$2:$FO$113,0)),"")</f>
        <v>CIBERDELITOS SEXUALES VINCULADOS A MENORES (GROOMING)</v>
      </c>
      <c r="JL23" s="207" t="str">
        <f>IFERROR(INDEX($A$2:$A$113,MATCH(ROWS($FP$2:FP23),$FP$2:$FP$113,0)),"")</f>
        <v>CIBERDELITOS SEXUALES VINCULADOS A MENORES (GROOMING)</v>
      </c>
      <c r="JM23" s="207" t="str">
        <f>IFERROR(INDEX($A$2:$A$113,MATCH(ROWS($FQ$2:FQ23),$FQ$2:$FQ$113,0)),"")</f>
        <v>CIBERDELITOS SEXUALES VINCULADOS A MENORES (GROOMING)</v>
      </c>
      <c r="JN23" s="207" t="str">
        <f>IFERROR(INDEX($A$2:$A$113,MATCH(ROWS($FR$2:FR23),$FR$2:$FR$113,0)),"")</f>
        <v>CIBERDELITOS SEXUALES VINCULADOS A MENORES (GROOMING)</v>
      </c>
      <c r="JO23" s="207" t="str">
        <f>IFERROR(INDEX($A$2:$A$113,MATCH(ROWS($FS$2:FS23),$FS$2:$FS$113,0)),"")</f>
        <v>CIBERDELITOS SEXUALES VINCULADOS A MENORES (GROOMING)</v>
      </c>
      <c r="JP23" s="207" t="str">
        <f>IFERROR(INDEX($A$2:$A$113,MATCH(ROWS($FT$2:FT23),$FT$2:$FT$113,0)),"")</f>
        <v>CIBERDELITOS SEXUALES VINCULADOS A MENORES (GROOMING)</v>
      </c>
      <c r="JQ23" s="207" t="str">
        <f>IFERROR(INDEX($A$2:$A$113,MATCH(ROWS($FU$2:FU23),$FU$2:$FU$113,0)),"")</f>
        <v>CIBERDELITOS SEXUALES VINCULADOS A MENORES (GROOMING)</v>
      </c>
      <c r="JR23" s="207" t="str">
        <f>IFERROR(INDEX($A$2:$A$113,MATCH(ROWS($FV$2:FV23),$FV$2:$FV$113,0)),"")</f>
        <v>CIBERDELITOS SEXUALES VINCULADOS A MENORES (GROOMING)</v>
      </c>
      <c r="JS23" s="207" t="str">
        <f>IFERROR(INDEX($A$2:$A$113,MATCH(ROWS($FW$2:FW23),$FW$2:$FW$113,0)),"")</f>
        <v>CIBERDELITOS SEXUALES VINCULADOS A MENORES (GROOMING)</v>
      </c>
      <c r="JT23" s="207" t="str">
        <f>IFERROR(INDEX($A$2:$A$113,MATCH(ROWS($FX$2:FX23),$FX$2:$FX$113,0)),"")</f>
        <v>CIBERDELITOS SEXUALES VINCULADOS A MENORES (GROOMING)</v>
      </c>
      <c r="JU23" s="207" t="str">
        <f>IFERROR(INDEX($A$2:$A$113,MATCH(ROWS($FY$2:FY23),$FY$2:$FY$113,0)),"")</f>
        <v>CIBERDELITOS SEXUALES VINCULADOS A MENORES (GROOMING)</v>
      </c>
      <c r="JV23" s="207" t="str">
        <f>IFERROR(INDEX($A$2:$A$113,MATCH(ROWS($FZ$2:FZ23),$FZ$2:$FZ$113,0)),"")</f>
        <v>CIBERDELITOS SEXUALES VINCULADOS A MENORES (GROOMING)</v>
      </c>
      <c r="JW23" s="207" t="str">
        <f>IFERROR(INDEX($A$2:$A$113,MATCH(ROWS($GA$2:GA23),$GA$2:$GA$113,0)),"")</f>
        <v>CIBERDELITOS SEXUALES VINCULADOS A MENORES (GROOMING)</v>
      </c>
      <c r="JX23" s="207" t="str">
        <f>IFERROR(INDEX($A$2:$A$113,MATCH(ROWS($GB$2:GB23),$GB$2:$GB$113,0)),"")</f>
        <v>CIBERDELITOS SEXUALES VINCULADOS A MENORES (GROOMING)</v>
      </c>
      <c r="JY23" s="207" t="str">
        <f>IFERROR(INDEX($A$2:$A$113,MATCH(ROWS($GC$2:GC23),$GC$2:$GC$113,0)),"")</f>
        <v>CIBERDELITOS SEXUALES VINCULADOS A MENORES (GROOMING)</v>
      </c>
      <c r="JZ23" s="207" t="str">
        <f>IFERROR(INDEX($A$2:$A$113,MATCH(ROWS($GD$2:GD23),$GD$2:$GD$113,0)),"")</f>
        <v>CIBERDELITOS SEXUALES VINCULADOS A MENORES (GROOMING)</v>
      </c>
      <c r="KA23" s="207" t="str">
        <f>IFERROR(INDEX($A$2:$A$113,MATCH(ROWS($GE$2:GE23),$GE$2:$GE$113,0)),"")</f>
        <v>CIBERDELITOS SEXUALES VINCULADOS A MENORES (GROOMING)</v>
      </c>
      <c r="KB23" s="207" t="str">
        <f>IFERROR(INDEX($A$2:$A$113,MATCH(ROWS($GF$2:GF23),$GF$2:$GF$113,0)),"")</f>
        <v>CIBERDELITOS SEXUALES VINCULADOS A MENORES (GROOMING)</v>
      </c>
      <c r="KC23" s="207" t="str">
        <f>IFERROR(INDEX($A$2:$A$113,MATCH(ROWS($GG$2:GG23),$GG$2:$GG$113,0)),"")</f>
        <v>CIBERDELITOS SEXUALES VINCULADOS A MENORES (GROOMING)</v>
      </c>
      <c r="KD23" s="207" t="str">
        <f>IFERROR(INDEX($A$2:$A$113,MATCH(ROWS($GH$2:GH23),$GH$2:$GH$113,0)),"")</f>
        <v>CIBERDELITOS SEXUALES VINCULADOS A MENORES (GROOMING)</v>
      </c>
      <c r="KE23" s="207" t="str">
        <f>IFERROR(INDEX($A$2:$A$113,MATCH(ROWS($GI$2:GI23),$GI$2:$GI$113,0)),"")</f>
        <v>CIBERDELITOS SEXUALES VINCULADOS A MENORES (GROOMING)</v>
      </c>
      <c r="KF23" s="207" t="str">
        <f>IFERROR(INDEX($A$2:$A$113,MATCH(ROWS($GJ$2:GJ23),$GJ$2:$GJ$113,0)),"")</f>
        <v>CIBERDELITOS SEXUALES VINCULADOS A MENORES (GROOMING)</v>
      </c>
      <c r="KG23" s="207" t="str">
        <f>IFERROR(INDEX($A$2:$A$113,MATCH(ROWS($GK$2:GK23),$GK$2:$GK$113,0)),"")</f>
        <v>CIBERDELITOS SEXUALES VINCULADOS A MENORES (GROOMING)</v>
      </c>
      <c r="KH23" s="207" t="str">
        <f>IFERROR(INDEX($A$2:$A$113,MATCH(ROWS($GL$2:GL23),$GL$2:$GL$113,0)),"")</f>
        <v>CIBERDELITOS SEXUALES VINCULADOS A MENORES (GROOMING)</v>
      </c>
      <c r="KI23" s="207" t="str">
        <f>IFERROR(INDEX($A$2:$A$113,MATCH(ROWS($GM$2:GM23),$GM$2:$GM$113,0)),"")</f>
        <v>CIBERDELITOS SEXUALES VINCULADOS A MENORES (GROOMING)</v>
      </c>
      <c r="KJ23" s="207" t="str">
        <f>IFERROR(INDEX($A$2:$A$113,MATCH(ROWS($GN$2:GN23),$GN$2:$GN$113,0)),"")</f>
        <v>CIBERDELITOS SEXUALES VINCULADOS A MENORES (GROOMING)</v>
      </c>
      <c r="KK23" s="207" t="str">
        <f>IFERROR(INDEX($A$2:$A$113,MATCH(ROWS($GO$2:GO23),$GO$2:$GO$113,0)),"")</f>
        <v>CIBERDELITOS SEXUALES VINCULADOS A MENORES (GROOMING)</v>
      </c>
      <c r="KL23" s="207" t="str">
        <f>IFERROR(INDEX($A$2:$A$113,MATCH(ROWS($GP$2:GP23),$GP$2:$GP$113,0)),"")</f>
        <v>CIBERDELITOS SEXUALES VINCULADOS A MENORES (GROOMING)</v>
      </c>
      <c r="KM23" s="207" t="str">
        <f>IFERROR(INDEX($A$2:$A$113,MATCH(ROWS($GQ$2:GQ23),$GQ$2:$GQ$113,0)),"")</f>
        <v>CIBERDELITOS SEXUALES VINCULADOS A MENORES (GROOMING)</v>
      </c>
      <c r="KN23" s="207" t="str">
        <f>IFERROR(INDEX($A$2:$A$113,MATCH(ROWS($GR$2:GR23),$GR$2:$GR$113,0)),"")</f>
        <v>CIBERDELITOS SEXUALES VINCULADOS A MENORES (GROOMING)</v>
      </c>
      <c r="KO23" s="207" t="str">
        <f>IFERROR(INDEX($A$2:$A$113,MATCH(ROWS($GS$2:GS23),$GS$2:$GS$113,0)),"")</f>
        <v>CIBERDELITOS SEXUALES VINCULADOS A MENORES (GROOMING)</v>
      </c>
      <c r="KP23" s="207" t="str">
        <f>IFERROR(INDEX($A$2:$A$113,MATCH(ROWS($GT$2:GT23),$GT$2:$GT$113,0)),"")</f>
        <v>CIBERDELITOS SEXUALES VINCULADOS A MENORES (GROOMING)</v>
      </c>
      <c r="KQ23" s="207" t="str">
        <f>IFERROR(INDEX($A$2:$A$113,MATCH(ROWS($GU$2:GU23),$GU$2:$GU$113,0)),"")</f>
        <v>CIBERDELITOS SEXUALES VINCULADOS A MENORES (GROOMING)</v>
      </c>
      <c r="KR23" s="207" t="str">
        <f>IFERROR(INDEX($A$2:$A$113,MATCH(ROWS($GV$2:GV23),$GV$2:$GV$113,0)),"")</f>
        <v>CIBERDELITOS SEXUALES VINCULADOS A MENORES (GROOMING)</v>
      </c>
      <c r="KS23" s="207" t="str">
        <f>IFERROR(INDEX($A$2:$A$113,MATCH(ROWS($GW$2:GW23),$GW$2:$GW$113,0)),"")</f>
        <v>CIBERDELITOS SEXUALES VINCULADOS A MENORES (GROOMING)</v>
      </c>
    </row>
    <row r="24" spans="1:305" x14ac:dyDescent="0.25">
      <c r="A24" s="206" t="s">
        <v>72</v>
      </c>
      <c r="B24" s="206" t="s">
        <v>1086</v>
      </c>
      <c r="D24" s="206" t="s">
        <v>789</v>
      </c>
      <c r="E24" s="206" t="s">
        <v>71</v>
      </c>
      <c r="F24" s="207">
        <f>--ISNUMBER(IFERROR(SEARCH('PLANILLA DJ'!$X$3,$A24,1),""))</f>
        <v>1</v>
      </c>
      <c r="G24" s="207">
        <f>--ISNUMBER(IFERROR(SEARCH('PLANILLA DJ'!$X$4,$A24,1),""))</f>
        <v>1</v>
      </c>
      <c r="H24" s="207">
        <f>--ISNUMBER(IFERROR(SEARCH('PLANILLA DJ'!$X$5,$A24,1),""))</f>
        <v>1</v>
      </c>
      <c r="I24" s="207">
        <f>--ISNUMBER(IFERROR(SEARCH('PLANILLA DJ'!$X$6,$A24,1),""))</f>
        <v>1</v>
      </c>
      <c r="J24" s="207">
        <f>--ISNUMBER(IFERROR(SEARCH('PLANILLA DJ'!$X$7,$A24,1),""))</f>
        <v>1</v>
      </c>
      <c r="K24" s="207">
        <f>--ISNUMBER(IFERROR(SEARCH('PLANILLA DJ'!$X$8,$A24,1),""))</f>
        <v>1</v>
      </c>
      <c r="L24" s="207">
        <f>--ISNUMBER(IFERROR(SEARCH('PLANILLA DJ'!$X$9,$A24,1),""))</f>
        <v>1</v>
      </c>
      <c r="M24" s="207">
        <f>--ISNUMBER(IFERROR(SEARCH('PLANILLA DJ'!$X$10,$A24,1),""))</f>
        <v>1</v>
      </c>
      <c r="N24" s="207">
        <f>--ISNUMBER(IFERROR(SEARCH('PLANILLA DJ'!$X$11,$A24,1),""))</f>
        <v>1</v>
      </c>
      <c r="O24" s="207">
        <f>--ISNUMBER(IFERROR(SEARCH('PLANILLA DJ'!$X$12,$A24,1),""))</f>
        <v>1</v>
      </c>
      <c r="P24" s="207">
        <f>--ISNUMBER(IFERROR(SEARCH('PLANILLA DJ'!$X$13,$A24,1),""))</f>
        <v>1</v>
      </c>
      <c r="Q24" s="207">
        <f>--ISNUMBER(IFERROR(SEARCH('PLANILLA DJ'!$X$14,$A24,1),""))</f>
        <v>1</v>
      </c>
      <c r="R24" s="207">
        <f>--ISNUMBER(IFERROR(SEARCH('PLANILLA DJ'!$X$15,$A24,1),""))</f>
        <v>1</v>
      </c>
      <c r="S24" s="207">
        <f>--ISNUMBER(IFERROR(SEARCH('PLANILLA DJ'!$X$16,$A24,1),""))</f>
        <v>1</v>
      </c>
      <c r="T24" s="207">
        <f>--ISNUMBER(IFERROR(SEARCH('PLANILLA DJ'!$X$17,$A24,1),""))</f>
        <v>1</v>
      </c>
      <c r="U24" s="207">
        <f>--ISNUMBER(IFERROR(SEARCH('PLANILLA DJ'!$X$18,$A24,1),""))</f>
        <v>1</v>
      </c>
      <c r="V24" s="207">
        <f>--ISNUMBER(IFERROR(SEARCH('PLANILLA DJ'!$X$19,$A24,1),""))</f>
        <v>1</v>
      </c>
      <c r="W24" s="207">
        <f>--ISNUMBER(IFERROR(SEARCH('PLANILLA DJ'!$X$20,$A24,1),""))</f>
        <v>1</v>
      </c>
      <c r="X24" s="207">
        <f>--ISNUMBER(IFERROR(SEARCH('PLANILLA DJ'!$X$21,$A24,1),""))</f>
        <v>1</v>
      </c>
      <c r="Y24" s="207">
        <f>--ISNUMBER(IFERROR(SEARCH('PLANILLA DJ'!$X$22,$A24,1),""))</f>
        <v>1</v>
      </c>
      <c r="Z24" s="207">
        <f>--ISNUMBER(IFERROR(SEARCH('PLANILLA DJ'!$X$23,$A24,1),""))</f>
        <v>1</v>
      </c>
      <c r="AA24" s="207">
        <f>--ISNUMBER(IFERROR(SEARCH('PLANILLA DJ'!$X$24,$A24,1),""))</f>
        <v>1</v>
      </c>
      <c r="AB24" s="207">
        <f>--ISNUMBER(IFERROR(SEARCH('PLANILLA DJ'!$X$25,$A24,1),""))</f>
        <v>1</v>
      </c>
      <c r="AC24" s="207">
        <f>--ISNUMBER(IFERROR(SEARCH('PLANILLA DJ'!$X$26,$A24,1),""))</f>
        <v>1</v>
      </c>
      <c r="AD24" s="207">
        <f>--ISNUMBER(IFERROR(SEARCH('PLANILLA DJ'!$X$27,$A24,1),""))</f>
        <v>1</v>
      </c>
      <c r="AE24" s="207">
        <f>--ISNUMBER(IFERROR(SEARCH('PLANILLA DJ'!$X$28,$A24,1),""))</f>
        <v>1</v>
      </c>
      <c r="AF24" s="207">
        <f>--ISNUMBER(IFERROR(SEARCH('PLANILLA DJ'!$X$29,$A24,1),""))</f>
        <v>1</v>
      </c>
      <c r="AG24" s="207">
        <f>--ISNUMBER(IFERROR(SEARCH('PLANILLA DJ'!$X$30,$A24,1),""))</f>
        <v>1</v>
      </c>
      <c r="AH24" s="207">
        <f>--ISNUMBER(IFERROR(SEARCH('PLANILLA DJ'!$X$31,$A24,1),""))</f>
        <v>1</v>
      </c>
      <c r="AI24" s="207">
        <f>--ISNUMBER(IFERROR(SEARCH('PLANILLA DJ'!$X$32,$A24,1),""))</f>
        <v>1</v>
      </c>
      <c r="AJ24" s="207">
        <f>--ISNUMBER(IFERROR(SEARCH('PLANILLA DJ'!$X$33,$A24,1),""))</f>
        <v>1</v>
      </c>
      <c r="AK24" s="207">
        <f>--ISNUMBER(IFERROR(SEARCH('PLANILLA DJ'!$X$34,$A24,1),""))</f>
        <v>1</v>
      </c>
      <c r="AL24" s="207">
        <f>--ISNUMBER(IFERROR(SEARCH('PLANILLA DJ'!$X$35,$A24,1),""))</f>
        <v>1</v>
      </c>
      <c r="AM24" s="207">
        <f>--ISNUMBER(IFERROR(SEARCH('PLANILLA DJ'!$X$36,$A24,1),""))</f>
        <v>1</v>
      </c>
      <c r="AN24" s="207">
        <f>--ISNUMBER(IFERROR(SEARCH('PLANILLA DJ'!$X$37,$A24,1),""))</f>
        <v>1</v>
      </c>
      <c r="AO24" s="207">
        <f>--ISNUMBER(IFERROR(SEARCH('PLANILLA DJ'!$X$38,$A24,1),""))</f>
        <v>1</v>
      </c>
      <c r="AP24" s="207">
        <f>--ISNUMBER(IFERROR(SEARCH('PLANILLA DJ'!$X$39,$A24,1),""))</f>
        <v>1</v>
      </c>
      <c r="AQ24" s="207">
        <f>--ISNUMBER(IFERROR(SEARCH('PLANILLA DJ'!$X$40,$A24,1),""))</f>
        <v>1</v>
      </c>
      <c r="AR24" s="207">
        <f>--ISNUMBER(IFERROR(SEARCH('PLANILLA DJ'!$X$41,$A24,1),""))</f>
        <v>1</v>
      </c>
      <c r="AS24" s="207">
        <f>--ISNUMBER(IFERROR(SEARCH('PLANILLA DJ'!$X$42,$A24,1),""))</f>
        <v>1</v>
      </c>
      <c r="AT24" s="207">
        <f>--ISNUMBER(IFERROR(SEARCH('PLANILLA DJ'!$X$43,$A24,1),""))</f>
        <v>1</v>
      </c>
      <c r="AU24" s="207">
        <f>--ISNUMBER(IFERROR(SEARCH('PLANILLA DJ'!$X$44,$A24,1),""))</f>
        <v>1</v>
      </c>
      <c r="AV24" s="207">
        <f>--ISNUMBER(IFERROR(SEARCH('PLANILLA DJ'!$X$45,$A24,1),""))</f>
        <v>1</v>
      </c>
      <c r="AW24" s="207">
        <f>--ISNUMBER(IFERROR(SEARCH('PLANILLA DJ'!$X$46,$A24,1),""))</f>
        <v>1</v>
      </c>
      <c r="AX24" s="207">
        <f>--ISNUMBER(IFERROR(SEARCH('PLANILLA DJ'!$X$47,$A24,1),""))</f>
        <v>1</v>
      </c>
      <c r="AY24" s="207">
        <f>--ISNUMBER(IFERROR(SEARCH('PLANILLA DJ'!$X$48,$A24,1),""))</f>
        <v>1</v>
      </c>
      <c r="AZ24" s="207">
        <f>--ISNUMBER(IFERROR(SEARCH('PLANILLA DJ'!$X$49,$A24,1),""))</f>
        <v>1</v>
      </c>
      <c r="BA24" s="207">
        <f>--ISNUMBER(IFERROR(SEARCH('PLANILLA DJ'!$X$50,$A24,1),""))</f>
        <v>1</v>
      </c>
      <c r="BB24" s="207">
        <f>--ISNUMBER(IFERROR(SEARCH('PLANILLA DJ'!$X$51,$A24,1),""))</f>
        <v>1</v>
      </c>
      <c r="BC24" s="207">
        <f>--ISNUMBER(IFERROR(SEARCH('PLANILLA DJ'!$X$52,$A24,1),""))</f>
        <v>1</v>
      </c>
      <c r="BD24" s="207">
        <f>--ISNUMBER(IFERROR(SEARCH('PLANILLA DJ'!$X$53,$A24,1),""))</f>
        <v>1</v>
      </c>
      <c r="BE24" s="207">
        <f>--ISNUMBER(IFERROR(SEARCH('PLANILLA DJ'!$X$54,$A24,1),""))</f>
        <v>1</v>
      </c>
      <c r="BF24" s="207">
        <f>--ISNUMBER(IFERROR(SEARCH('PLANILLA DJ'!$X$55,$A24,1),""))</f>
        <v>1</v>
      </c>
      <c r="BG24" s="207">
        <f>--ISNUMBER(IFERROR(SEARCH('PLANILLA DJ'!$X$56,$A24,1),""))</f>
        <v>1</v>
      </c>
      <c r="BH24" s="207">
        <f>--ISNUMBER(IFERROR(SEARCH('PLANILLA DJ'!$X$57,$A24,1),""))</f>
        <v>1</v>
      </c>
      <c r="BI24" s="207">
        <f>--ISNUMBER(IFERROR(SEARCH('PLANILLA DJ'!$X$58,$A24,1),""))</f>
        <v>1</v>
      </c>
      <c r="BJ24" s="207">
        <f>--ISNUMBER(IFERROR(SEARCH('PLANILLA DJ'!$X$59,$A24,1),""))</f>
        <v>1</v>
      </c>
      <c r="BK24" s="207">
        <f>--ISNUMBER(IFERROR(SEARCH('PLANILLA DJ'!$X$60,$A24,1),""))</f>
        <v>1</v>
      </c>
      <c r="BL24" s="207">
        <f>--ISNUMBER(IFERROR(SEARCH('PLANILLA DJ'!$X$61,$A24,1),""))</f>
        <v>1</v>
      </c>
      <c r="BM24" s="207">
        <f>--ISNUMBER(IFERROR(SEARCH('PLANILLA DJ'!$X$62,$A24,1),""))</f>
        <v>1</v>
      </c>
      <c r="BN24" s="207">
        <f>--ISNUMBER(IFERROR(SEARCH('PLANILLA DJ'!$X$63,$A24,1),""))</f>
        <v>1</v>
      </c>
      <c r="BO24" s="207">
        <f>--ISNUMBER(IFERROR(SEARCH('PLANILLA DJ'!$X$64,$A24,1),""))</f>
        <v>1</v>
      </c>
      <c r="BP24" s="207">
        <f>--ISNUMBER(IFERROR(SEARCH('PLANILLA DJ'!$X$65,$A24,1),""))</f>
        <v>1</v>
      </c>
      <c r="BQ24" s="207">
        <f>--ISNUMBER(IFERROR(SEARCH('PLANILLA DJ'!$X$66,$A24,1),""))</f>
        <v>1</v>
      </c>
      <c r="BR24" s="207">
        <f>--ISNUMBER(IFERROR(SEARCH('PLANILLA DJ'!$X$67,$A24,1),""))</f>
        <v>1</v>
      </c>
      <c r="BS24" s="207">
        <f>--ISNUMBER(IFERROR(SEARCH('PLANILLA DJ'!$X$68,$A24,1),""))</f>
        <v>1</v>
      </c>
      <c r="BT24" s="207">
        <f>--ISNUMBER(IFERROR(SEARCH('PLANILLA DJ'!$X$69,$A24,1),""))</f>
        <v>1</v>
      </c>
      <c r="BU24" s="207">
        <f>--ISNUMBER(IFERROR(SEARCH('PLANILLA DJ'!$X$70,$A24,1),""))</f>
        <v>1</v>
      </c>
      <c r="BV24" s="207">
        <f>--ISNUMBER(IFERROR(SEARCH('PLANILLA DJ'!$X$71,$A24,1),""))</f>
        <v>1</v>
      </c>
      <c r="BW24" s="207">
        <f>--ISNUMBER(IFERROR(SEARCH('PLANILLA DJ'!$X$72,$A24,1),""))</f>
        <v>1</v>
      </c>
      <c r="BX24" s="207">
        <f>--ISNUMBER(IFERROR(SEARCH('PLANILLA DJ'!$X$73,$A24,1),""))</f>
        <v>1</v>
      </c>
      <c r="BY24" s="207">
        <f>--ISNUMBER(IFERROR(SEARCH('PLANILLA DJ'!$X$74,$A24,1),""))</f>
        <v>1</v>
      </c>
      <c r="BZ24" s="207">
        <f>--ISNUMBER(IFERROR(SEARCH('PLANILLA DJ'!$X$75,$A24,1),""))</f>
        <v>1</v>
      </c>
      <c r="CA24" s="207">
        <f>--ISNUMBER(IFERROR(SEARCH('PLANILLA DJ'!$X$76,$A24,1),""))</f>
        <v>1</v>
      </c>
      <c r="CB24" s="207">
        <f>--ISNUMBER(IFERROR(SEARCH('PLANILLA DJ'!$X$77,$A24,1),""))</f>
        <v>1</v>
      </c>
      <c r="CC24" s="207">
        <f>--ISNUMBER(IFERROR(SEARCH('PLANILLA DJ'!$X$78,$A24,1),""))</f>
        <v>1</v>
      </c>
      <c r="CD24" s="207">
        <f>--ISNUMBER(IFERROR(SEARCH('PLANILLA DJ'!$X$79,$A24,1),""))</f>
        <v>1</v>
      </c>
      <c r="CE24" s="207">
        <f>--ISNUMBER(IFERROR(SEARCH('PLANILLA DJ'!$X$80,$A24,1),""))</f>
        <v>1</v>
      </c>
      <c r="CF24" s="207">
        <f>--ISNUMBER(IFERROR(SEARCH('PLANILLA DJ'!$X$81,$A24,1),""))</f>
        <v>1</v>
      </c>
      <c r="CG24" s="207">
        <f>--ISNUMBER(IFERROR(SEARCH('PLANILLA DJ'!$X$82,$A24,1),""))</f>
        <v>1</v>
      </c>
      <c r="CH24" s="207">
        <f>--ISNUMBER(IFERROR(SEARCH('PLANILLA DJ'!$X$83,$A24,1),""))</f>
        <v>1</v>
      </c>
      <c r="CI24" s="207">
        <f>--ISNUMBER(IFERROR(SEARCH('PLANILLA DJ'!$X$84,$A24,1),""))</f>
        <v>1</v>
      </c>
      <c r="CJ24" s="207">
        <f>--ISNUMBER(IFERROR(SEARCH('PLANILLA DJ'!$X$85,$A24,1),""))</f>
        <v>1</v>
      </c>
      <c r="CK24" s="207">
        <f>--ISNUMBER(IFERROR(SEARCH('PLANILLA DJ'!$X$86,$A24,1),""))</f>
        <v>1</v>
      </c>
      <c r="CL24" s="207">
        <f>--ISNUMBER(IFERROR(SEARCH('PLANILLA DJ'!$X$87,$A24,1),""))</f>
        <v>1</v>
      </c>
      <c r="CM24" s="207">
        <f>--ISNUMBER(IFERROR(SEARCH('PLANILLA DJ'!$X$88,$A24,1),""))</f>
        <v>1</v>
      </c>
      <c r="CN24" s="207">
        <f>--ISNUMBER(IFERROR(SEARCH('PLANILLA DJ'!$X$89,$A24,1),""))</f>
        <v>1</v>
      </c>
      <c r="CO24" s="207">
        <f>--ISNUMBER(IFERROR(SEARCH('PLANILLA DJ'!$X$90,$A24,1),""))</f>
        <v>1</v>
      </c>
      <c r="CP24" s="207">
        <f>--ISNUMBER(IFERROR(SEARCH('PLANILLA DJ'!$X$91,$A24,1),""))</f>
        <v>1</v>
      </c>
      <c r="CQ24" s="207">
        <f>--ISNUMBER(IFERROR(SEARCH('PLANILLA DJ'!$X$92,$A24,1),""))</f>
        <v>1</v>
      </c>
      <c r="CR24" s="207">
        <f>--ISNUMBER(IFERROR(SEARCH('PLANILLA DJ'!$X$93,$A24,1),""))</f>
        <v>1</v>
      </c>
      <c r="CS24" s="207">
        <f>--ISNUMBER(IFERROR(SEARCH('PLANILLA DJ'!$X$94,$A24,1),""))</f>
        <v>1</v>
      </c>
      <c r="CT24" s="207">
        <f>--ISNUMBER(IFERROR(SEARCH('PLANILLA DJ'!$X$95,$A24,1),""))</f>
        <v>1</v>
      </c>
      <c r="CU24" s="207">
        <f>--ISNUMBER(IFERROR(SEARCH('PLANILLA DJ'!$X$96,$A24,1),""))</f>
        <v>1</v>
      </c>
      <c r="CV24" s="207">
        <f>--ISNUMBER(IFERROR(SEARCH('PLANILLA DJ'!$X$97,$A24,1),""))</f>
        <v>1</v>
      </c>
      <c r="CW24" s="207">
        <f>--ISNUMBER(IFERROR(SEARCH('PLANILLA DJ'!$X$98,$A24,1),""))</f>
        <v>1</v>
      </c>
      <c r="CX24" s="207">
        <f>--ISNUMBER(IFERROR(SEARCH('PLANILLA DJ'!$X$99,$A24,1),""))</f>
        <v>1</v>
      </c>
      <c r="CY24" s="207">
        <f>--ISNUMBER(IFERROR(SEARCH('PLANILLA DJ'!$X$100,$A24,1),""))</f>
        <v>1</v>
      </c>
      <c r="CZ24" s="207">
        <f>--ISNUMBER(IFERROR(SEARCH('PLANILLA DJ'!$X$101,$A24,1),""))</f>
        <v>1</v>
      </c>
      <c r="DA24" s="207">
        <f>--ISNUMBER(IFERROR(SEARCH('PLANILLA DJ'!$X$102,$A24,1),""))</f>
        <v>1</v>
      </c>
      <c r="DB24" s="206">
        <f>IF(F24=1,COUNTIF($F$2:F24,1),"")</f>
        <v>23</v>
      </c>
      <c r="DC24" s="206">
        <f>IF(G24=1,COUNTIF($G$2:G24,1),"")</f>
        <v>23</v>
      </c>
      <c r="DD24" s="206">
        <f>IF(H24=1,COUNTIF($H$2:H24,1),"")</f>
        <v>23</v>
      </c>
      <c r="DE24" s="206">
        <f>IF(I24=1,COUNTIF($I$2:I24,1),"")</f>
        <v>23</v>
      </c>
      <c r="DF24" s="206">
        <f>IF(J24=1,COUNTIF($J$2:J24,1),"")</f>
        <v>23</v>
      </c>
      <c r="DG24" s="206">
        <f>IF(K24=1,COUNTIF($K$2:K24,1),"")</f>
        <v>23</v>
      </c>
      <c r="DH24" s="206">
        <f>IF(L24=1,COUNTIF($L$2:L24,1),"")</f>
        <v>23</v>
      </c>
      <c r="DI24" s="206">
        <f>IF(M24=1,COUNTIF($M$2:M24,1),"")</f>
        <v>23</v>
      </c>
      <c r="DJ24" s="206">
        <f>IF(N24=1,COUNTIF($N$2:N24,1),"")</f>
        <v>23</v>
      </c>
      <c r="DK24" s="206">
        <f>IF(O24=1,COUNTIF($O$2:O24,1),"")</f>
        <v>23</v>
      </c>
      <c r="DL24" s="206">
        <f>IF(P24=1,COUNTIF($P$2:P24,1),"")</f>
        <v>23</v>
      </c>
      <c r="DM24" s="206">
        <f>IF(Q24=1,COUNTIF($Q$2:Q24,1),"")</f>
        <v>23</v>
      </c>
      <c r="DN24" s="207">
        <f>IF(R24=1,COUNTIF($R$2:R24,1),"")</f>
        <v>23</v>
      </c>
      <c r="DO24" s="207">
        <f>IF(S24=1,COUNTIF($S$2:S24,1),"")</f>
        <v>23</v>
      </c>
      <c r="DP24" s="207">
        <f>IF(T24=1,COUNTIF($T$2:T24,1),"")</f>
        <v>23</v>
      </c>
      <c r="DQ24" s="207">
        <f>IF(U24=1,COUNTIF($U$2:U24,1),"")</f>
        <v>23</v>
      </c>
      <c r="DR24" s="207">
        <f>IF(V24=1,COUNTIF($V$2:V24,1),"")</f>
        <v>23</v>
      </c>
      <c r="DS24" s="207">
        <f>IF(W24=1,COUNTIF($W$2:W24,1),"")</f>
        <v>23</v>
      </c>
      <c r="DT24" s="207">
        <f>IF(X24=1,COUNTIF($X$2:X24,1),"")</f>
        <v>23</v>
      </c>
      <c r="DU24" s="207">
        <f>IF(Y24=1,COUNTIF($Y$2:Y24,1),"")</f>
        <v>23</v>
      </c>
      <c r="DV24" s="207">
        <f>IF(Z24=1,COUNTIF(Z$2:Z24,1),"")</f>
        <v>23</v>
      </c>
      <c r="DW24" s="207">
        <f>IF(AA24=1,COUNTIF($AA$2:AA24,1),"")</f>
        <v>23</v>
      </c>
      <c r="DX24" s="207">
        <f>IF(AB24=1,COUNTIF($AB$2:AB24,1),"")</f>
        <v>23</v>
      </c>
      <c r="DY24" s="207">
        <f>IF(AC24=1,COUNTIF($AC$2:AC24,1),"")</f>
        <v>23</v>
      </c>
      <c r="DZ24" s="207">
        <f>IF(AD24=1,COUNTIF($AD$2:AD24,1),"")</f>
        <v>23</v>
      </c>
      <c r="EA24" s="207">
        <f>IF(AE24=1,COUNTIF($AE$2:AE24,1),"")</f>
        <v>23</v>
      </c>
      <c r="EB24" s="207">
        <f>IF(AF24=1,COUNTIF($AF$2:AF24,1),"")</f>
        <v>23</v>
      </c>
      <c r="EC24" s="207">
        <f>IF(AG24=1,COUNTIF($AG$2:AG24,1),"")</f>
        <v>23</v>
      </c>
      <c r="ED24" s="207">
        <f>IF(AH24=1,COUNTIF($AH$2:AH24,1),"")</f>
        <v>23</v>
      </c>
      <c r="EE24" s="207">
        <f>IF(AI24=1,COUNTIF($AI$2:AI24,1),"")</f>
        <v>23</v>
      </c>
      <c r="EF24" s="207">
        <f>IF(AJ24=1,COUNTIF($AJ$2:AJ24,1),"")</f>
        <v>23</v>
      </c>
      <c r="EG24" s="207">
        <f>IF(AK24=1,COUNTIF($AK$2:AK24,1),"")</f>
        <v>23</v>
      </c>
      <c r="EH24" s="207">
        <f>IF(AL24=1,COUNTIF($AL$2:AL24,1),"")</f>
        <v>23</v>
      </c>
      <c r="EI24" s="207">
        <f>IF(AM24=1,COUNTIF($AM$2:AM24,1),"")</f>
        <v>23</v>
      </c>
      <c r="EJ24" s="207">
        <f>IF(AN24=1,COUNTIF($AN$2:AN24,1),"")</f>
        <v>23</v>
      </c>
      <c r="EK24" s="207">
        <f>IF(AO24=1,COUNTIF($AO$2:AO24,1),"")</f>
        <v>23</v>
      </c>
      <c r="EL24" s="207">
        <f>IF(AP24=1,COUNTIF($AP$2:AP24,1),"")</f>
        <v>23</v>
      </c>
      <c r="EM24" s="207">
        <f>IF(AQ24=1,COUNTIF($AQ$2:AQ24,1),"")</f>
        <v>23</v>
      </c>
      <c r="EN24" s="207">
        <f>IF(AR24=1,COUNTIF($AR$2:AR24,1),"")</f>
        <v>23</v>
      </c>
      <c r="EO24" s="207">
        <f>IF(AS24=1,COUNTIF($AS$2:AS24,1),"")</f>
        <v>23</v>
      </c>
      <c r="EP24" s="207">
        <f>IF(AT24=1,COUNTIF($AT$2:AT24,1),"")</f>
        <v>23</v>
      </c>
      <c r="EQ24" s="207">
        <f>IF(AU24=1,COUNTIF($AU$2:AU24,1),"")</f>
        <v>23</v>
      </c>
      <c r="ER24" s="207">
        <f>IF(AV24=1,COUNTIF($AV$2:AV24,1),"")</f>
        <v>23</v>
      </c>
      <c r="ES24" s="207">
        <f>IF(AW24=1,COUNTIF($AW$2:AW24,1),"")</f>
        <v>23</v>
      </c>
      <c r="ET24" s="207">
        <f>IF(AX24=1,COUNTIF($AX$2:AX24,1),"")</f>
        <v>23</v>
      </c>
      <c r="EU24" s="207">
        <f>IF(AY24=1,COUNTIF($AY$2:AY24,1),"")</f>
        <v>23</v>
      </c>
      <c r="EV24" s="207">
        <f>IF(AZ24=1,COUNTIF($AZ$2:AZ24,1),"")</f>
        <v>23</v>
      </c>
      <c r="EW24" s="207">
        <f>IF(BA24=1,COUNTIF($BA$2:BA24,1),"")</f>
        <v>23</v>
      </c>
      <c r="EX24" s="207">
        <f>IF(BB24=1,COUNTIF($BB$2:BB24,1),"")</f>
        <v>23</v>
      </c>
      <c r="EY24" s="207">
        <f>IF(BC24=1,COUNTIF($BC$2:BC24,1),"")</f>
        <v>23</v>
      </c>
      <c r="EZ24" s="207">
        <f>IF(BD24=1,COUNTIF($BD$2:BD24,1),"")</f>
        <v>23</v>
      </c>
      <c r="FA24" s="207">
        <f>IF(BE24=1,COUNTIF($BE$2:BE24,1),"")</f>
        <v>23</v>
      </c>
      <c r="FB24" s="207">
        <f>IF(BF24=1,COUNTIF($BF$2:BF24,1),"")</f>
        <v>23</v>
      </c>
      <c r="FC24" s="207">
        <f>IF(BG24=1,COUNTIF($BG$2:BG24,1),"")</f>
        <v>23</v>
      </c>
      <c r="FD24" s="207">
        <f>IF(BH24=1,COUNTIF($BH$2:BH24,1),"")</f>
        <v>23</v>
      </c>
      <c r="FE24" s="207">
        <f>IF(BI24=1,COUNTIF($BI$2:BI24,1),"")</f>
        <v>23</v>
      </c>
      <c r="FF24" s="207">
        <f>IF(BJ24=1,COUNTIF($BJ$2:BJ24,1),"")</f>
        <v>23</v>
      </c>
      <c r="FG24" s="207">
        <f>IF(BK24=1,COUNTIF($BK$2:BK24,1),"")</f>
        <v>23</v>
      </c>
      <c r="FH24" s="207">
        <f>IF(BL24=1,COUNTIF($BL$2:BL24,1),"")</f>
        <v>23</v>
      </c>
      <c r="FI24" s="207">
        <f>IF(BM24=1,COUNTIF($BM$2:BM24,1),"")</f>
        <v>23</v>
      </c>
      <c r="FJ24" s="207">
        <f>IF(BN24=1,COUNTIF($BN$2:BN24,1),"")</f>
        <v>23</v>
      </c>
      <c r="FK24" s="207">
        <f>IF(BO24=1,COUNTIF($BO$2:BO24,1),"")</f>
        <v>23</v>
      </c>
      <c r="FL24" s="207">
        <f>IF(BP24=1,COUNTIF($BP$2:BP24,1),"")</f>
        <v>23</v>
      </c>
      <c r="FM24" s="207">
        <f>IF(BQ24=1,COUNTIF($BQ$2:BQ24,1),"")</f>
        <v>23</v>
      </c>
      <c r="FN24" s="207">
        <f>IF(BR24=1,COUNTIF($BR$2:BR24,1),"")</f>
        <v>23</v>
      </c>
      <c r="FO24" s="207">
        <f>IF(BS24=1,COUNTIF($BS$2:BS24,1),"")</f>
        <v>23</v>
      </c>
      <c r="FP24" s="207">
        <f>IF(BT24=1,COUNTIF($BT$2:BT24,1),"")</f>
        <v>23</v>
      </c>
      <c r="FQ24" s="207">
        <f>IF(BU24=1,COUNTIF($BU$2:BU24,1),"")</f>
        <v>23</v>
      </c>
      <c r="FR24" s="207">
        <f>IF(BV24=1,COUNTIF($BV$2:BV24,1),"")</f>
        <v>23</v>
      </c>
      <c r="FS24" s="207">
        <f>IF(BW24=1,COUNTIF($BW$2:BW24,1),"")</f>
        <v>23</v>
      </c>
      <c r="FT24" s="207">
        <f>IF(BX24=1,COUNTIF($BX$2:BX24,1),"")</f>
        <v>23</v>
      </c>
      <c r="FU24" s="207">
        <f>IF(BY24=1,COUNTIF($BY$2:BY24,1),"")</f>
        <v>23</v>
      </c>
      <c r="FV24" s="207">
        <f>IF(BZ24=1,COUNTIF($BZ$2:BZ24,1),"")</f>
        <v>23</v>
      </c>
      <c r="FW24" s="207">
        <f>IF(CA24=1,COUNTIF($CA$2:CA24,1),"")</f>
        <v>23</v>
      </c>
      <c r="FX24" s="207">
        <f>IF(CB24=1,COUNTIF($CB$2:CB24,1),"")</f>
        <v>23</v>
      </c>
      <c r="FY24" s="207">
        <f>IF(CC24=1,COUNTIF($CC$2:CC24,1),"")</f>
        <v>23</v>
      </c>
      <c r="FZ24" s="207">
        <f>IF(CD24=1,COUNTIF($CD$2:CD24,1),"")</f>
        <v>23</v>
      </c>
      <c r="GA24" s="207">
        <f>IF(CE24=1,COUNTIF($CE$2:CE24,1),"")</f>
        <v>23</v>
      </c>
      <c r="GB24" s="207">
        <f>IF(CF24=1,COUNTIF($CF$2:CF24,1),"")</f>
        <v>23</v>
      </c>
      <c r="GC24" s="207">
        <f>IF(CG24=1,COUNTIF($CG$2:CG24,1),"")</f>
        <v>23</v>
      </c>
      <c r="GD24" s="207">
        <f>IF(CH24=1,COUNTIF($CH$2:CH24,1),"")</f>
        <v>23</v>
      </c>
      <c r="GE24" s="207">
        <f>IF(CI24=1,COUNTIF($CI$2:CI24,1),"")</f>
        <v>23</v>
      </c>
      <c r="GF24" s="207">
        <f>IF(CJ24=1,COUNTIF($CJ$2:CJ24,1),"")</f>
        <v>23</v>
      </c>
      <c r="GG24" s="207">
        <f>IF(CK24=1,COUNTIF($CK$2:CK24,1),"")</f>
        <v>23</v>
      </c>
      <c r="GH24" s="207">
        <f>IF(CL24=1,COUNTIF($CL$2:CL24,1),"")</f>
        <v>23</v>
      </c>
      <c r="GI24" s="207">
        <f>IF(CM24=1,COUNTIF($CM$2:CM24,1),"")</f>
        <v>23</v>
      </c>
      <c r="GJ24" s="207">
        <f>IF(CN24=1,COUNTIF($CN$2:CN24,1),"")</f>
        <v>23</v>
      </c>
      <c r="GK24" s="207">
        <f>IF(CO24=1,COUNTIF($CO$2:CO24,1),"")</f>
        <v>23</v>
      </c>
      <c r="GL24" s="207">
        <f>IF(CP24=1,COUNTIF($CP$2:CP24,1),"")</f>
        <v>23</v>
      </c>
      <c r="GM24" s="207">
        <f>IF(CQ24=1,COUNTIF($CQ$2:CQ24,1),"")</f>
        <v>23</v>
      </c>
      <c r="GN24" s="207">
        <f>IF(CR24=1,COUNTIF($CR$2:CR24,1),"")</f>
        <v>23</v>
      </c>
      <c r="GO24" s="207">
        <f>IF(CS24=1,COUNTIF($CS$2:CS24,1),"")</f>
        <v>23</v>
      </c>
      <c r="GP24" s="207">
        <f>IF(CT24=1,COUNTIF($CT$2:CT24,1),"")</f>
        <v>23</v>
      </c>
      <c r="GQ24" s="207">
        <f>IF(CU24=1,COUNTIF($CU$2:CU24,1),"")</f>
        <v>23</v>
      </c>
      <c r="GR24" s="207">
        <f>IF(CV24=1,COUNTIF($CV$2:CV24,1),"")</f>
        <v>23</v>
      </c>
      <c r="GS24" s="207">
        <f>IF(CW24=1,COUNTIF($CW$2:CW24,1),"")</f>
        <v>23</v>
      </c>
      <c r="GT24" s="207">
        <f>IF(CX24=1,COUNTIF($CX$2:CX24,1),"")</f>
        <v>23</v>
      </c>
      <c r="GU24" s="207">
        <f>IF(CY24=1,COUNTIF($CY$2:CY24,1),"")</f>
        <v>23</v>
      </c>
      <c r="GV24" s="207">
        <f>IF(CZ24=1,COUNTIF($CZ$2:CZ24,1),"")</f>
        <v>23</v>
      </c>
      <c r="GW24" s="207">
        <f>IF(DA24=1,COUNTIF($DA$2:DA24,1),"")</f>
        <v>23</v>
      </c>
      <c r="GX24" s="206" t="str">
        <f>IFERROR(INDEX($A$2:$A$113,MATCH(ROWS($DB$2:DB24),$DB$2:$DB$113,0)),"")</f>
        <v>ABUSO SEXUAL EXHIBICIONES OBSCENAS</v>
      </c>
      <c r="GY24" s="206" t="str">
        <f>IFERROR(INDEX($A$2:$A$113,MATCH(ROWS($DC$2:DC24),$DC$2:$DC$113,0)),"")</f>
        <v>ABUSO SEXUAL EXHIBICIONES OBSCENAS</v>
      </c>
      <c r="GZ24" s="206" t="str">
        <f>IFERROR(INDEX($A$2:$A$113,MATCH(ROWS($DD$2:DD24),$DD$2:$DD$113,0)),"")</f>
        <v>ABUSO SEXUAL EXHIBICIONES OBSCENAS</v>
      </c>
      <c r="HA24" s="206" t="str">
        <f>IFERROR(INDEX($A$2:$A$113,MATCH(ROWS($DE$2:DE24),$DE$2:$DE$113,0)),"")</f>
        <v>ABUSO SEXUAL EXHIBICIONES OBSCENAS</v>
      </c>
      <c r="HB24" s="206" t="str">
        <f>IFERROR(INDEX($A$2:$A$113,MATCH(ROWS($DF$2:DF24),$DF$2:$DF$113,0)),"")</f>
        <v>ABUSO SEXUAL EXHIBICIONES OBSCENAS</v>
      </c>
      <c r="HC24" s="206" t="str">
        <f>IFERROR(INDEX($A$2:$A$113,MATCH(ROWS($DG$2:DG24),$DG$2:$DG$113,0)),"")</f>
        <v>ABUSO SEXUAL EXHIBICIONES OBSCENAS</v>
      </c>
      <c r="HD24" s="206" t="str">
        <f>IFERROR(INDEX($A$2:$A$113,MATCH(ROWS($DH$2:DH24),$DH$2:$DH$113,0)),"")</f>
        <v>ABUSO SEXUAL EXHIBICIONES OBSCENAS</v>
      </c>
      <c r="HE24" s="206" t="str">
        <f>IFERROR(INDEX($A$2:$A$113,MATCH(ROWS($DI$2:DI24),$DI$2:$DI$113,0)),"")</f>
        <v>ABUSO SEXUAL EXHIBICIONES OBSCENAS</v>
      </c>
      <c r="HF24" s="206" t="str">
        <f>IFERROR(INDEX($A$2:$A$113,MATCH(ROWS($DJ$2:DJ24),$DJ$2:$DJ$113,0)),"")</f>
        <v>ABUSO SEXUAL EXHIBICIONES OBSCENAS</v>
      </c>
      <c r="HG24" s="206" t="str">
        <f>IFERROR(INDEX($A$2:$A$113,MATCH(ROWS($DK$2:DK24),$DK$2:$DK$113,0)),"")</f>
        <v>ABUSO SEXUAL EXHIBICIONES OBSCENAS</v>
      </c>
      <c r="HH24" s="206" t="str">
        <f>IFERROR(INDEX($A$2:$A$113,MATCH(ROWS($DL$2:DL24),$DL$2:$DL$113,0)),"")</f>
        <v>ABUSO SEXUAL EXHIBICIONES OBSCENAS</v>
      </c>
      <c r="HI24" s="206" t="str">
        <f>IFERROR(INDEX($A$2:$A$113,MATCH(ROWS($DM$2:DM24),$DM$2:$DM$113,0)),"")</f>
        <v>ABUSO SEXUAL EXHIBICIONES OBSCENAS</v>
      </c>
      <c r="HJ24" s="206" t="str">
        <f>IFERROR(INDEX($A$2:$A$113,MATCH(ROWS($DN$2:DN24),$DN$2:$DN$113,0)),"")</f>
        <v>ABUSO SEXUAL EXHIBICIONES OBSCENAS</v>
      </c>
      <c r="HK24" s="206" t="str">
        <f>IFERROR(INDEX($A$2:$A$113,MATCH(ROWS($DO$2:DO24),$DO$2:$DO$113,0)),"")</f>
        <v>ABUSO SEXUAL EXHIBICIONES OBSCENAS</v>
      </c>
      <c r="HL24" s="206" t="str">
        <f>IFERROR(INDEX($A$2:$A$113,MATCH(ROWS($DP$2:DP24),$DP$2:$DP$113,0)),"")</f>
        <v>ABUSO SEXUAL EXHIBICIONES OBSCENAS</v>
      </c>
      <c r="HM24" s="206" t="str">
        <f>IFERROR(INDEX($A$2:$A$113,MATCH(ROWS($DQ$2:DQ24),$DQ$2:$DQ$113,0)),"")</f>
        <v>ABUSO SEXUAL EXHIBICIONES OBSCENAS</v>
      </c>
      <c r="HN24" s="206" t="str">
        <f>IFERROR(INDEX($A$2:$A$113,MATCH(ROWS($DR$2:DR24),$DR$2:$DR$113,0)),"")</f>
        <v>ABUSO SEXUAL EXHIBICIONES OBSCENAS</v>
      </c>
      <c r="HO24" s="206" t="str">
        <f>IFERROR(INDEX($A$2:$A$113,MATCH(ROWS($DS$2:DS24),$DS$2:$DS$113,0)),"")</f>
        <v>ABUSO SEXUAL EXHIBICIONES OBSCENAS</v>
      </c>
      <c r="HP24" s="206" t="str">
        <f>IFERROR(INDEX($A$2:$A$113,MATCH(ROWS($DT$2:DT24),$DT$2:$DT$113,0)),"")</f>
        <v>ABUSO SEXUAL EXHIBICIONES OBSCENAS</v>
      </c>
      <c r="HQ24" s="206" t="str">
        <f>IFERROR(INDEX($A$2:$A$113,MATCH(ROWS($DU$2:DU24),$DU$2:$DU$113,0)),"")</f>
        <v>ABUSO SEXUAL EXHIBICIONES OBSCENAS</v>
      </c>
      <c r="HR24" s="206" t="str">
        <f>IFERROR(INDEX($A$2:$A$113,MATCH(ROWS($DV$2:DV24),$DV$2:$DV$113,0)),"")</f>
        <v>ABUSO SEXUAL EXHIBICIONES OBSCENAS</v>
      </c>
      <c r="HS24" s="206" t="str">
        <f>IFERROR(INDEX($A$2:$A$113,MATCH(ROWS($DW$2:DW24),$DW$2:$DW$113,0)),"")</f>
        <v>ABUSO SEXUAL EXHIBICIONES OBSCENAS</v>
      </c>
      <c r="HT24" s="206" t="str">
        <f>IFERROR(INDEX($A$2:$A$113,MATCH(ROWS($DX$2:DX24),$DX$2:$DX$113,0)),"")</f>
        <v>ABUSO SEXUAL EXHIBICIONES OBSCENAS</v>
      </c>
      <c r="HU24" s="206" t="str">
        <f>IFERROR(INDEX($A$2:$A$113,MATCH(ROWS($DY$2:DY24),$DY$2:$DY$113,0)),"")</f>
        <v>ABUSO SEXUAL EXHIBICIONES OBSCENAS</v>
      </c>
      <c r="HV24" s="206" t="str">
        <f>IFERROR(INDEX($A$2:$A$113,MATCH(ROWS($DZ$2:DZ24),$DZ$2:$DZ$113,0)),"")</f>
        <v>ABUSO SEXUAL EXHIBICIONES OBSCENAS</v>
      </c>
      <c r="HW24" s="206" t="str">
        <f>IFERROR(INDEX($A$2:$A$113,MATCH(ROWS($EA$2:EA24),$EA$2:$EA$113,0)),"")</f>
        <v>ABUSO SEXUAL EXHIBICIONES OBSCENAS</v>
      </c>
      <c r="HX24" s="206" t="str">
        <f>IFERROR(INDEX($A$2:$A$113,MATCH(ROWS($EB$2:EB24),$EB$2:$EB$113,0)),"")</f>
        <v>ABUSO SEXUAL EXHIBICIONES OBSCENAS</v>
      </c>
      <c r="HY24" s="206" t="str">
        <f>IFERROR(INDEX($A$2:$A$113,MATCH(ROWS($EC$2:EC24),$EC$2:$EC$113,0)),"")</f>
        <v>ABUSO SEXUAL EXHIBICIONES OBSCENAS</v>
      </c>
      <c r="HZ24" s="206" t="str">
        <f>IFERROR(INDEX($A$2:$A$113,MATCH(ROWS($ED$2:ED24),$ED$2:$ED$113,0)),"")</f>
        <v>ABUSO SEXUAL EXHIBICIONES OBSCENAS</v>
      </c>
      <c r="IA24" s="206" t="str">
        <f>IFERROR(INDEX($A$2:$A$113,MATCH(ROWS($EE$2:EE24),$EE$2:$EE$113,0)),"")</f>
        <v>ABUSO SEXUAL EXHIBICIONES OBSCENAS</v>
      </c>
      <c r="IB24" s="206" t="str">
        <f>IFERROR(INDEX($A$2:$A$113,MATCH(ROWS($EF$2:EF24),$EF$2:$EF$113,0)),"")</f>
        <v>ABUSO SEXUAL EXHIBICIONES OBSCENAS</v>
      </c>
      <c r="IC24" s="206" t="str">
        <f>IFERROR(INDEX($A$2:$A$113,MATCH(ROWS($EG$2:EG24),$EG$2:$EG$113,0)),"")</f>
        <v>ABUSO SEXUAL EXHIBICIONES OBSCENAS</v>
      </c>
      <c r="ID24" s="206" t="str">
        <f>IFERROR(INDEX($A$2:$A$113,MATCH(ROWS($EH$2:EH24),$EH$2:$EH$113,0)),"")</f>
        <v>ABUSO SEXUAL EXHIBICIONES OBSCENAS</v>
      </c>
      <c r="IE24" s="206" t="str">
        <f>IFERROR(INDEX($A$2:$A$113,MATCH(ROWS($EI$2:EI24),$EI$2:$EI$113,0)),"")</f>
        <v>ABUSO SEXUAL EXHIBICIONES OBSCENAS</v>
      </c>
      <c r="IF24" s="206" t="str">
        <f>IFERROR(INDEX($A$2:$A$113,MATCH(ROWS($EJ$2:EJ24),$EJ$2:$EJ$113,0)),"")</f>
        <v>ABUSO SEXUAL EXHIBICIONES OBSCENAS</v>
      </c>
      <c r="IG24" s="206" t="str">
        <f>IFERROR(INDEX($A$2:$A$113,MATCH(ROWS($EK$2:EK24),$EK$2:$EK$113,0)),"")</f>
        <v>ABUSO SEXUAL EXHIBICIONES OBSCENAS</v>
      </c>
      <c r="IH24" s="206" t="str">
        <f>IFERROR(INDEX($A$2:$A$113,MATCH(ROWS($EL$2:EL24),$EL$2:$EL$113,0)),"")</f>
        <v>ABUSO SEXUAL EXHIBICIONES OBSCENAS</v>
      </c>
      <c r="II24" s="206" t="str">
        <f>IFERROR(INDEX($A$2:$A$113,MATCH(ROWS($EM$2:EM24),$EM$2:$EM$113,0)),"")</f>
        <v>ABUSO SEXUAL EXHIBICIONES OBSCENAS</v>
      </c>
      <c r="IJ24" s="206" t="str">
        <f>IFERROR(INDEX($A$2:$A$113,MATCH(ROWS($EN$2:EN24),$EN$2:$EN$113,0)),"")</f>
        <v>ABUSO SEXUAL EXHIBICIONES OBSCENAS</v>
      </c>
      <c r="IK24" s="207" t="str">
        <f>IFERROR(INDEX($A$2:$A$113,MATCH(ROWS($EO$2:EO24),$EO$2:$EO$113,0)),"")</f>
        <v>ABUSO SEXUAL EXHIBICIONES OBSCENAS</v>
      </c>
      <c r="IL24" s="207" t="str">
        <f>IFERROR(INDEX($A$2:$A$113,MATCH(ROWS($EP$2:EP24),$EP$2:$EP$113,0)),"")</f>
        <v>ABUSO SEXUAL EXHIBICIONES OBSCENAS</v>
      </c>
      <c r="IM24" s="207" t="str">
        <f>IFERROR(INDEX($A$2:$A$113,MATCH(ROWS($EQ$2:EQ24),$EQ$2:$EQ$113,0)),"")</f>
        <v>ABUSO SEXUAL EXHIBICIONES OBSCENAS</v>
      </c>
      <c r="IN24" s="207" t="str">
        <f>IFERROR(INDEX($A$2:$A$113,MATCH(ROWS($ER$2:ER24),$ER$2:$ER$113,0)),"")</f>
        <v>ABUSO SEXUAL EXHIBICIONES OBSCENAS</v>
      </c>
      <c r="IO24" s="207" t="str">
        <f>IFERROR(INDEX($A$2:$A$113,MATCH(ROWS($ES$2:ES24),$ES$2:$ES$113,0)),"")</f>
        <v>ABUSO SEXUAL EXHIBICIONES OBSCENAS</v>
      </c>
      <c r="IP24" s="207" t="str">
        <f>IFERROR(INDEX($A$2:$A$113,MATCH(ROWS($ET$2:ET24),$ET$2:$ET$113,0)),"")</f>
        <v>ABUSO SEXUAL EXHIBICIONES OBSCENAS</v>
      </c>
      <c r="IQ24" s="207" t="str">
        <f>IFERROR(INDEX($A$2:$A$113,MATCH(ROWS($EU$2:EU24),$EU$2:$EU$113,0)),"")</f>
        <v>ABUSO SEXUAL EXHIBICIONES OBSCENAS</v>
      </c>
      <c r="IR24" s="207" t="str">
        <f>IFERROR(INDEX($A$2:$A$113,MATCH(ROWS($EV$2:EV24),$EV$2:$EV$113,0)),"")</f>
        <v>ABUSO SEXUAL EXHIBICIONES OBSCENAS</v>
      </c>
      <c r="IS24" s="207" t="str">
        <f>IFERROR(INDEX($A$2:$A$113,MATCH(ROWS($EW$2:EW24),$EW$2:$EW$113,0)),"")</f>
        <v>ABUSO SEXUAL EXHIBICIONES OBSCENAS</v>
      </c>
      <c r="IT24" s="207" t="str">
        <f>IFERROR(INDEX($A$2:$A$113,MATCH(ROWS($EX$2:EX24),$EX$2:$EX$113,0)),"")</f>
        <v>ABUSO SEXUAL EXHIBICIONES OBSCENAS</v>
      </c>
      <c r="IU24" s="207" t="str">
        <f>IFERROR(INDEX($A$2:$A$113,MATCH(ROWS($EY$2:EY24),$EY$2:$EY$113,0)),"")</f>
        <v>ABUSO SEXUAL EXHIBICIONES OBSCENAS</v>
      </c>
      <c r="IV24" s="207" t="str">
        <f>IFERROR(INDEX($A$2:$A$113,MATCH(ROWS($EZ$2:EZ24),$EZ$2:$EZ$113,0)),"")</f>
        <v>ABUSO SEXUAL EXHIBICIONES OBSCENAS</v>
      </c>
      <c r="IW24" s="207" t="str">
        <f>IFERROR(INDEX($A$2:$A$113,MATCH(ROWS($FA$2:FA24),$FA$2:$FA$113,0)),"")</f>
        <v>ABUSO SEXUAL EXHIBICIONES OBSCENAS</v>
      </c>
      <c r="IX24" s="207" t="str">
        <f>IFERROR(INDEX($A$2:$A$113,MATCH(ROWS($FB$2:FB24),$FB$2:$FB$113,0)),"")</f>
        <v>ABUSO SEXUAL EXHIBICIONES OBSCENAS</v>
      </c>
      <c r="IY24" s="207" t="str">
        <f>IFERROR(INDEX($A$2:$A$113,MATCH(ROWS($FC$2:FC24),$FC$2:$FC$113,0)),"")</f>
        <v>ABUSO SEXUAL EXHIBICIONES OBSCENAS</v>
      </c>
      <c r="IZ24" s="207" t="str">
        <f>IFERROR(INDEX($A$2:$A$113,MATCH(ROWS($FD$2:FD24),$FD$2:$FD$113,0)),"")</f>
        <v>ABUSO SEXUAL EXHIBICIONES OBSCENAS</v>
      </c>
      <c r="JA24" s="207" t="str">
        <f>IFERROR(INDEX($A$2:$A$113,MATCH(ROWS($FE$2:FE24),$FE$2:$FE$113,0)),"")</f>
        <v>ABUSO SEXUAL EXHIBICIONES OBSCENAS</v>
      </c>
      <c r="JB24" s="207" t="str">
        <f>IFERROR(INDEX($A$2:$A$113,MATCH(ROWS($FF$2:FF24),$FF$2:$FF$113,0)),"")</f>
        <v>ABUSO SEXUAL EXHIBICIONES OBSCENAS</v>
      </c>
      <c r="JC24" s="207" t="str">
        <f>IFERROR(INDEX($A$2:$A$113,MATCH(ROWS($FG$2:FG24),$FG$2:$FG$113,0)),"")</f>
        <v>ABUSO SEXUAL EXHIBICIONES OBSCENAS</v>
      </c>
      <c r="JD24" s="207" t="str">
        <f>IFERROR(INDEX($A$2:$A$113,MATCH(ROWS($FH$2:FH24),$FH$2:$FH$113,0)),"")</f>
        <v>ABUSO SEXUAL EXHIBICIONES OBSCENAS</v>
      </c>
      <c r="JE24" s="207" t="str">
        <f>IFERROR(INDEX($A$2:$A$113,MATCH(ROWS($FI$2:FI24),$FI$2:$FI$113,0)),"")</f>
        <v>ABUSO SEXUAL EXHIBICIONES OBSCENAS</v>
      </c>
      <c r="JF24" s="207" t="str">
        <f>IFERROR(INDEX($A$2:$A$113,MATCH(ROWS($FJ$2:FJ24),$FJ$2:$FJ$113,0)),"")</f>
        <v>ABUSO SEXUAL EXHIBICIONES OBSCENAS</v>
      </c>
      <c r="JG24" s="207" t="str">
        <f>IFERROR(INDEX($A$2:$A$113,MATCH(ROWS($FK$2:FK24),$FK$2:$FK$113,0)),"")</f>
        <v>ABUSO SEXUAL EXHIBICIONES OBSCENAS</v>
      </c>
      <c r="JH24" s="207" t="str">
        <f>IFERROR(INDEX($A$2:$A$113,MATCH(ROWS($FL$2:FL24),$FL$2:$FL$113,0)),"")</f>
        <v>ABUSO SEXUAL EXHIBICIONES OBSCENAS</v>
      </c>
      <c r="JI24" s="207" t="str">
        <f>IFERROR(INDEX($A$2:$A$113,MATCH(ROWS($FM$2:FM24),$FM$2:$FM$113,0)),"")</f>
        <v>ABUSO SEXUAL EXHIBICIONES OBSCENAS</v>
      </c>
      <c r="JJ24" s="207" t="str">
        <f>IFERROR(INDEX($A$2:$A$113,MATCH(ROWS($FN$2:FN24),$FN$2:$FN$113,0)),"")</f>
        <v>ABUSO SEXUAL EXHIBICIONES OBSCENAS</v>
      </c>
      <c r="JK24" s="207" t="str">
        <f>IFERROR(INDEX($A$2:$A$113,MATCH(ROWS($FO$2:FO24),$FO$2:$FO$113,0)),"")</f>
        <v>ABUSO SEXUAL EXHIBICIONES OBSCENAS</v>
      </c>
      <c r="JL24" s="207" t="str">
        <f>IFERROR(INDEX($A$2:$A$113,MATCH(ROWS($FP$2:FP24),$FP$2:$FP$113,0)),"")</f>
        <v>ABUSO SEXUAL EXHIBICIONES OBSCENAS</v>
      </c>
      <c r="JM24" s="207" t="str">
        <f>IFERROR(INDEX($A$2:$A$113,MATCH(ROWS($FQ$2:FQ24),$FQ$2:$FQ$113,0)),"")</f>
        <v>ABUSO SEXUAL EXHIBICIONES OBSCENAS</v>
      </c>
      <c r="JN24" s="207" t="str">
        <f>IFERROR(INDEX($A$2:$A$113,MATCH(ROWS($FR$2:FR24),$FR$2:$FR$113,0)),"")</f>
        <v>ABUSO SEXUAL EXHIBICIONES OBSCENAS</v>
      </c>
      <c r="JO24" s="207" t="str">
        <f>IFERROR(INDEX($A$2:$A$113,MATCH(ROWS($FS$2:FS24),$FS$2:$FS$113,0)),"")</f>
        <v>ABUSO SEXUAL EXHIBICIONES OBSCENAS</v>
      </c>
      <c r="JP24" s="207" t="str">
        <f>IFERROR(INDEX($A$2:$A$113,MATCH(ROWS($FT$2:FT24),$FT$2:$FT$113,0)),"")</f>
        <v>ABUSO SEXUAL EXHIBICIONES OBSCENAS</v>
      </c>
      <c r="JQ24" s="207" t="str">
        <f>IFERROR(INDEX($A$2:$A$113,MATCH(ROWS($FU$2:FU24),$FU$2:$FU$113,0)),"")</f>
        <v>ABUSO SEXUAL EXHIBICIONES OBSCENAS</v>
      </c>
      <c r="JR24" s="207" t="str">
        <f>IFERROR(INDEX($A$2:$A$113,MATCH(ROWS($FV$2:FV24),$FV$2:$FV$113,0)),"")</f>
        <v>ABUSO SEXUAL EXHIBICIONES OBSCENAS</v>
      </c>
      <c r="JS24" s="207" t="str">
        <f>IFERROR(INDEX($A$2:$A$113,MATCH(ROWS($FW$2:FW24),$FW$2:$FW$113,0)),"")</f>
        <v>ABUSO SEXUAL EXHIBICIONES OBSCENAS</v>
      </c>
      <c r="JT24" s="207" t="str">
        <f>IFERROR(INDEX($A$2:$A$113,MATCH(ROWS($FX$2:FX24),$FX$2:$FX$113,0)),"")</f>
        <v>ABUSO SEXUAL EXHIBICIONES OBSCENAS</v>
      </c>
      <c r="JU24" s="207" t="str">
        <f>IFERROR(INDEX($A$2:$A$113,MATCH(ROWS($FY$2:FY24),$FY$2:$FY$113,0)),"")</f>
        <v>ABUSO SEXUAL EXHIBICIONES OBSCENAS</v>
      </c>
      <c r="JV24" s="207" t="str">
        <f>IFERROR(INDEX($A$2:$A$113,MATCH(ROWS($FZ$2:FZ24),$FZ$2:$FZ$113,0)),"")</f>
        <v>ABUSO SEXUAL EXHIBICIONES OBSCENAS</v>
      </c>
      <c r="JW24" s="207" t="str">
        <f>IFERROR(INDEX($A$2:$A$113,MATCH(ROWS($GA$2:GA24),$GA$2:$GA$113,0)),"")</f>
        <v>ABUSO SEXUAL EXHIBICIONES OBSCENAS</v>
      </c>
      <c r="JX24" s="207" t="str">
        <f>IFERROR(INDEX($A$2:$A$113,MATCH(ROWS($GB$2:GB24),$GB$2:$GB$113,0)),"")</f>
        <v>ABUSO SEXUAL EXHIBICIONES OBSCENAS</v>
      </c>
      <c r="JY24" s="207" t="str">
        <f>IFERROR(INDEX($A$2:$A$113,MATCH(ROWS($GC$2:GC24),$GC$2:$GC$113,0)),"")</f>
        <v>ABUSO SEXUAL EXHIBICIONES OBSCENAS</v>
      </c>
      <c r="JZ24" s="207" t="str">
        <f>IFERROR(INDEX($A$2:$A$113,MATCH(ROWS($GD$2:GD24),$GD$2:$GD$113,0)),"")</f>
        <v>ABUSO SEXUAL EXHIBICIONES OBSCENAS</v>
      </c>
      <c r="KA24" s="207" t="str">
        <f>IFERROR(INDEX($A$2:$A$113,MATCH(ROWS($GE$2:GE24),$GE$2:$GE$113,0)),"")</f>
        <v>ABUSO SEXUAL EXHIBICIONES OBSCENAS</v>
      </c>
      <c r="KB24" s="207" t="str">
        <f>IFERROR(INDEX($A$2:$A$113,MATCH(ROWS($GF$2:GF24),$GF$2:$GF$113,0)),"")</f>
        <v>ABUSO SEXUAL EXHIBICIONES OBSCENAS</v>
      </c>
      <c r="KC24" s="207" t="str">
        <f>IFERROR(INDEX($A$2:$A$113,MATCH(ROWS($GG$2:GG24),$GG$2:$GG$113,0)),"")</f>
        <v>ABUSO SEXUAL EXHIBICIONES OBSCENAS</v>
      </c>
      <c r="KD24" s="207" t="str">
        <f>IFERROR(INDEX($A$2:$A$113,MATCH(ROWS($GH$2:GH24),$GH$2:$GH$113,0)),"")</f>
        <v>ABUSO SEXUAL EXHIBICIONES OBSCENAS</v>
      </c>
      <c r="KE24" s="207" t="str">
        <f>IFERROR(INDEX($A$2:$A$113,MATCH(ROWS($GI$2:GI24),$GI$2:$GI$113,0)),"")</f>
        <v>ABUSO SEXUAL EXHIBICIONES OBSCENAS</v>
      </c>
      <c r="KF24" s="207" t="str">
        <f>IFERROR(INDEX($A$2:$A$113,MATCH(ROWS($GJ$2:GJ24),$GJ$2:$GJ$113,0)),"")</f>
        <v>ABUSO SEXUAL EXHIBICIONES OBSCENAS</v>
      </c>
      <c r="KG24" s="207" t="str">
        <f>IFERROR(INDEX($A$2:$A$113,MATCH(ROWS($GK$2:GK24),$GK$2:$GK$113,0)),"")</f>
        <v>ABUSO SEXUAL EXHIBICIONES OBSCENAS</v>
      </c>
      <c r="KH24" s="207" t="str">
        <f>IFERROR(INDEX($A$2:$A$113,MATCH(ROWS($GL$2:GL24),$GL$2:$GL$113,0)),"")</f>
        <v>ABUSO SEXUAL EXHIBICIONES OBSCENAS</v>
      </c>
      <c r="KI24" s="207" t="str">
        <f>IFERROR(INDEX($A$2:$A$113,MATCH(ROWS($GM$2:GM24),$GM$2:$GM$113,0)),"")</f>
        <v>ABUSO SEXUAL EXHIBICIONES OBSCENAS</v>
      </c>
      <c r="KJ24" s="207" t="str">
        <f>IFERROR(INDEX($A$2:$A$113,MATCH(ROWS($GN$2:GN24),$GN$2:$GN$113,0)),"")</f>
        <v>ABUSO SEXUAL EXHIBICIONES OBSCENAS</v>
      </c>
      <c r="KK24" s="207" t="str">
        <f>IFERROR(INDEX($A$2:$A$113,MATCH(ROWS($GO$2:GO24),$GO$2:$GO$113,0)),"")</f>
        <v>ABUSO SEXUAL EXHIBICIONES OBSCENAS</v>
      </c>
      <c r="KL24" s="207" t="str">
        <f>IFERROR(INDEX($A$2:$A$113,MATCH(ROWS($GP$2:GP24),$GP$2:$GP$113,0)),"")</f>
        <v>ABUSO SEXUAL EXHIBICIONES OBSCENAS</v>
      </c>
      <c r="KM24" s="207" t="str">
        <f>IFERROR(INDEX($A$2:$A$113,MATCH(ROWS($GQ$2:GQ24),$GQ$2:$GQ$113,0)),"")</f>
        <v>ABUSO SEXUAL EXHIBICIONES OBSCENAS</v>
      </c>
      <c r="KN24" s="207" t="str">
        <f>IFERROR(INDEX($A$2:$A$113,MATCH(ROWS($GR$2:GR24),$GR$2:$GR$113,0)),"")</f>
        <v>ABUSO SEXUAL EXHIBICIONES OBSCENAS</v>
      </c>
      <c r="KO24" s="207" t="str">
        <f>IFERROR(INDEX($A$2:$A$113,MATCH(ROWS($GS$2:GS24),$GS$2:$GS$113,0)),"")</f>
        <v>ABUSO SEXUAL EXHIBICIONES OBSCENAS</v>
      </c>
      <c r="KP24" s="207" t="str">
        <f>IFERROR(INDEX($A$2:$A$113,MATCH(ROWS($GT$2:GT24),$GT$2:$GT$113,0)),"")</f>
        <v>ABUSO SEXUAL EXHIBICIONES OBSCENAS</v>
      </c>
      <c r="KQ24" s="207" t="str">
        <f>IFERROR(INDEX($A$2:$A$113,MATCH(ROWS($GU$2:GU24),$GU$2:$GU$113,0)),"")</f>
        <v>ABUSO SEXUAL EXHIBICIONES OBSCENAS</v>
      </c>
      <c r="KR24" s="207" t="str">
        <f>IFERROR(INDEX($A$2:$A$113,MATCH(ROWS($GV$2:GV24),$GV$2:$GV$113,0)),"")</f>
        <v>ABUSO SEXUAL EXHIBICIONES OBSCENAS</v>
      </c>
      <c r="KS24" s="207" t="str">
        <f>IFERROR(INDEX($A$2:$A$113,MATCH(ROWS($GW$2:GW24),$GW$2:$GW$113,0)),"")</f>
        <v>ABUSO SEXUAL EXHIBICIONES OBSCENAS</v>
      </c>
    </row>
    <row r="25" spans="1:305" x14ac:dyDescent="0.25">
      <c r="A25" s="206" t="s">
        <v>73</v>
      </c>
      <c r="B25" s="206" t="s">
        <v>1086</v>
      </c>
      <c r="D25" s="206" t="s">
        <v>789</v>
      </c>
      <c r="E25" s="206" t="s">
        <v>71</v>
      </c>
      <c r="F25" s="207">
        <f>--ISNUMBER(IFERROR(SEARCH('PLANILLA DJ'!$X$3,$A25,1),""))</f>
        <v>1</v>
      </c>
      <c r="G25" s="207">
        <f>--ISNUMBER(IFERROR(SEARCH('PLANILLA DJ'!$X$4,$A25,1),""))</f>
        <v>1</v>
      </c>
      <c r="H25" s="207">
        <f>--ISNUMBER(IFERROR(SEARCH('PLANILLA DJ'!$X$5,$A25,1),""))</f>
        <v>1</v>
      </c>
      <c r="I25" s="207">
        <f>--ISNUMBER(IFERROR(SEARCH('PLANILLA DJ'!$X$6,$A25,1),""))</f>
        <v>1</v>
      </c>
      <c r="J25" s="207">
        <f>--ISNUMBER(IFERROR(SEARCH('PLANILLA DJ'!$X$7,$A25,1),""))</f>
        <v>1</v>
      </c>
      <c r="K25" s="207">
        <f>--ISNUMBER(IFERROR(SEARCH('PLANILLA DJ'!$X$8,$A25,1),""))</f>
        <v>1</v>
      </c>
      <c r="L25" s="207">
        <f>--ISNUMBER(IFERROR(SEARCH('PLANILLA DJ'!$X$9,$A25,1),""))</f>
        <v>1</v>
      </c>
      <c r="M25" s="207">
        <f>--ISNUMBER(IFERROR(SEARCH('PLANILLA DJ'!$X$10,$A25,1),""))</f>
        <v>1</v>
      </c>
      <c r="N25" s="207">
        <f>--ISNUMBER(IFERROR(SEARCH('PLANILLA DJ'!$X$11,$A25,1),""))</f>
        <v>1</v>
      </c>
      <c r="O25" s="207">
        <f>--ISNUMBER(IFERROR(SEARCH('PLANILLA DJ'!$X$12,$A25,1),""))</f>
        <v>1</v>
      </c>
      <c r="P25" s="207">
        <f>--ISNUMBER(IFERROR(SEARCH('PLANILLA DJ'!$X$13,$A25,1),""))</f>
        <v>1</v>
      </c>
      <c r="Q25" s="207">
        <f>--ISNUMBER(IFERROR(SEARCH('PLANILLA DJ'!$X$14,$A25,1),""))</f>
        <v>1</v>
      </c>
      <c r="R25" s="207">
        <f>--ISNUMBER(IFERROR(SEARCH('PLANILLA DJ'!$X$15,$A25,1),""))</f>
        <v>1</v>
      </c>
      <c r="S25" s="207">
        <f>--ISNUMBER(IFERROR(SEARCH('PLANILLA DJ'!$X$16,$A25,1),""))</f>
        <v>1</v>
      </c>
      <c r="T25" s="207">
        <f>--ISNUMBER(IFERROR(SEARCH('PLANILLA DJ'!$X$17,$A25,1),""))</f>
        <v>1</v>
      </c>
      <c r="U25" s="207">
        <f>--ISNUMBER(IFERROR(SEARCH('PLANILLA DJ'!$X$18,$A25,1),""))</f>
        <v>1</v>
      </c>
      <c r="V25" s="207">
        <f>--ISNUMBER(IFERROR(SEARCH('PLANILLA DJ'!$X$19,$A25,1),""))</f>
        <v>1</v>
      </c>
      <c r="W25" s="207">
        <f>--ISNUMBER(IFERROR(SEARCH('PLANILLA DJ'!$X$20,$A25,1),""))</f>
        <v>1</v>
      </c>
      <c r="X25" s="207">
        <f>--ISNUMBER(IFERROR(SEARCH('PLANILLA DJ'!$X$21,$A25,1),""))</f>
        <v>1</v>
      </c>
      <c r="Y25" s="207">
        <f>--ISNUMBER(IFERROR(SEARCH('PLANILLA DJ'!$X$22,$A25,1),""))</f>
        <v>1</v>
      </c>
      <c r="Z25" s="207">
        <f>--ISNUMBER(IFERROR(SEARCH('PLANILLA DJ'!$X$23,$A25,1),""))</f>
        <v>1</v>
      </c>
      <c r="AA25" s="207">
        <f>--ISNUMBER(IFERROR(SEARCH('PLANILLA DJ'!$X$24,$A25,1),""))</f>
        <v>1</v>
      </c>
      <c r="AB25" s="207">
        <f>--ISNUMBER(IFERROR(SEARCH('PLANILLA DJ'!$X$25,$A25,1),""))</f>
        <v>1</v>
      </c>
      <c r="AC25" s="207">
        <f>--ISNUMBER(IFERROR(SEARCH('PLANILLA DJ'!$X$26,$A25,1),""))</f>
        <v>1</v>
      </c>
      <c r="AD25" s="207">
        <f>--ISNUMBER(IFERROR(SEARCH('PLANILLA DJ'!$X$27,$A25,1),""))</f>
        <v>1</v>
      </c>
      <c r="AE25" s="207">
        <f>--ISNUMBER(IFERROR(SEARCH('PLANILLA DJ'!$X$28,$A25,1),""))</f>
        <v>1</v>
      </c>
      <c r="AF25" s="207">
        <f>--ISNUMBER(IFERROR(SEARCH('PLANILLA DJ'!$X$29,$A25,1),""))</f>
        <v>1</v>
      </c>
      <c r="AG25" s="207">
        <f>--ISNUMBER(IFERROR(SEARCH('PLANILLA DJ'!$X$30,$A25,1),""))</f>
        <v>1</v>
      </c>
      <c r="AH25" s="207">
        <f>--ISNUMBER(IFERROR(SEARCH('PLANILLA DJ'!$X$31,$A25,1),""))</f>
        <v>1</v>
      </c>
      <c r="AI25" s="207">
        <f>--ISNUMBER(IFERROR(SEARCH('PLANILLA DJ'!$X$32,$A25,1),""))</f>
        <v>1</v>
      </c>
      <c r="AJ25" s="207">
        <f>--ISNUMBER(IFERROR(SEARCH('PLANILLA DJ'!$X$33,$A25,1),""))</f>
        <v>1</v>
      </c>
      <c r="AK25" s="207">
        <f>--ISNUMBER(IFERROR(SEARCH('PLANILLA DJ'!$X$34,$A25,1),""))</f>
        <v>1</v>
      </c>
      <c r="AL25" s="207">
        <f>--ISNUMBER(IFERROR(SEARCH('PLANILLA DJ'!$X$35,$A25,1),""))</f>
        <v>1</v>
      </c>
      <c r="AM25" s="207">
        <f>--ISNUMBER(IFERROR(SEARCH('PLANILLA DJ'!$X$36,$A25,1),""))</f>
        <v>1</v>
      </c>
      <c r="AN25" s="207">
        <f>--ISNUMBER(IFERROR(SEARCH('PLANILLA DJ'!$X$37,$A25,1),""))</f>
        <v>1</v>
      </c>
      <c r="AO25" s="207">
        <f>--ISNUMBER(IFERROR(SEARCH('PLANILLA DJ'!$X$38,$A25,1),""))</f>
        <v>1</v>
      </c>
      <c r="AP25" s="207">
        <f>--ISNUMBER(IFERROR(SEARCH('PLANILLA DJ'!$X$39,$A25,1),""))</f>
        <v>1</v>
      </c>
      <c r="AQ25" s="207">
        <f>--ISNUMBER(IFERROR(SEARCH('PLANILLA DJ'!$X$40,$A25,1),""))</f>
        <v>1</v>
      </c>
      <c r="AR25" s="207">
        <f>--ISNUMBER(IFERROR(SEARCH('PLANILLA DJ'!$X$41,$A25,1),""))</f>
        <v>1</v>
      </c>
      <c r="AS25" s="207">
        <f>--ISNUMBER(IFERROR(SEARCH('PLANILLA DJ'!$X$42,$A25,1),""))</f>
        <v>1</v>
      </c>
      <c r="AT25" s="207">
        <f>--ISNUMBER(IFERROR(SEARCH('PLANILLA DJ'!$X$43,$A25,1),""))</f>
        <v>1</v>
      </c>
      <c r="AU25" s="207">
        <f>--ISNUMBER(IFERROR(SEARCH('PLANILLA DJ'!$X$44,$A25,1),""))</f>
        <v>1</v>
      </c>
      <c r="AV25" s="207">
        <f>--ISNUMBER(IFERROR(SEARCH('PLANILLA DJ'!$X$45,$A25,1),""))</f>
        <v>1</v>
      </c>
      <c r="AW25" s="207">
        <f>--ISNUMBER(IFERROR(SEARCH('PLANILLA DJ'!$X$46,$A25,1),""))</f>
        <v>1</v>
      </c>
      <c r="AX25" s="207">
        <f>--ISNUMBER(IFERROR(SEARCH('PLANILLA DJ'!$X$47,$A25,1),""))</f>
        <v>1</v>
      </c>
      <c r="AY25" s="207">
        <f>--ISNUMBER(IFERROR(SEARCH('PLANILLA DJ'!$X$48,$A25,1),""))</f>
        <v>1</v>
      </c>
      <c r="AZ25" s="207">
        <f>--ISNUMBER(IFERROR(SEARCH('PLANILLA DJ'!$X$49,$A25,1),""))</f>
        <v>1</v>
      </c>
      <c r="BA25" s="207">
        <f>--ISNUMBER(IFERROR(SEARCH('PLANILLA DJ'!$X$50,$A25,1),""))</f>
        <v>1</v>
      </c>
      <c r="BB25" s="207">
        <f>--ISNUMBER(IFERROR(SEARCH('PLANILLA DJ'!$X$51,$A25,1),""))</f>
        <v>1</v>
      </c>
      <c r="BC25" s="207">
        <f>--ISNUMBER(IFERROR(SEARCH('PLANILLA DJ'!$X$52,$A25,1),""))</f>
        <v>1</v>
      </c>
      <c r="BD25" s="207">
        <f>--ISNUMBER(IFERROR(SEARCH('PLANILLA DJ'!$X$53,$A25,1),""))</f>
        <v>1</v>
      </c>
      <c r="BE25" s="207">
        <f>--ISNUMBER(IFERROR(SEARCH('PLANILLA DJ'!$X$54,$A25,1),""))</f>
        <v>1</v>
      </c>
      <c r="BF25" s="207">
        <f>--ISNUMBER(IFERROR(SEARCH('PLANILLA DJ'!$X$55,$A25,1),""))</f>
        <v>1</v>
      </c>
      <c r="BG25" s="207">
        <f>--ISNUMBER(IFERROR(SEARCH('PLANILLA DJ'!$X$56,$A25,1),""))</f>
        <v>1</v>
      </c>
      <c r="BH25" s="207">
        <f>--ISNUMBER(IFERROR(SEARCH('PLANILLA DJ'!$X$57,$A25,1),""))</f>
        <v>1</v>
      </c>
      <c r="BI25" s="207">
        <f>--ISNUMBER(IFERROR(SEARCH('PLANILLA DJ'!$X$58,$A25,1),""))</f>
        <v>1</v>
      </c>
      <c r="BJ25" s="207">
        <f>--ISNUMBER(IFERROR(SEARCH('PLANILLA DJ'!$X$59,$A25,1),""))</f>
        <v>1</v>
      </c>
      <c r="BK25" s="207">
        <f>--ISNUMBER(IFERROR(SEARCH('PLANILLA DJ'!$X$60,$A25,1),""))</f>
        <v>1</v>
      </c>
      <c r="BL25" s="207">
        <f>--ISNUMBER(IFERROR(SEARCH('PLANILLA DJ'!$X$61,$A25,1),""))</f>
        <v>1</v>
      </c>
      <c r="BM25" s="207">
        <f>--ISNUMBER(IFERROR(SEARCH('PLANILLA DJ'!$X$62,$A25,1),""))</f>
        <v>1</v>
      </c>
      <c r="BN25" s="207">
        <f>--ISNUMBER(IFERROR(SEARCH('PLANILLA DJ'!$X$63,$A25,1),""))</f>
        <v>1</v>
      </c>
      <c r="BO25" s="207">
        <f>--ISNUMBER(IFERROR(SEARCH('PLANILLA DJ'!$X$64,$A25,1),""))</f>
        <v>1</v>
      </c>
      <c r="BP25" s="207">
        <f>--ISNUMBER(IFERROR(SEARCH('PLANILLA DJ'!$X$65,$A25,1),""))</f>
        <v>1</v>
      </c>
      <c r="BQ25" s="207">
        <f>--ISNUMBER(IFERROR(SEARCH('PLANILLA DJ'!$X$66,$A25,1),""))</f>
        <v>1</v>
      </c>
      <c r="BR25" s="207">
        <f>--ISNUMBER(IFERROR(SEARCH('PLANILLA DJ'!$X$67,$A25,1),""))</f>
        <v>1</v>
      </c>
      <c r="BS25" s="207">
        <f>--ISNUMBER(IFERROR(SEARCH('PLANILLA DJ'!$X$68,$A25,1),""))</f>
        <v>1</v>
      </c>
      <c r="BT25" s="207">
        <f>--ISNUMBER(IFERROR(SEARCH('PLANILLA DJ'!$X$69,$A25,1),""))</f>
        <v>1</v>
      </c>
      <c r="BU25" s="207">
        <f>--ISNUMBER(IFERROR(SEARCH('PLANILLA DJ'!$X$70,$A25,1),""))</f>
        <v>1</v>
      </c>
      <c r="BV25" s="207">
        <f>--ISNUMBER(IFERROR(SEARCH('PLANILLA DJ'!$X$71,$A25,1),""))</f>
        <v>1</v>
      </c>
      <c r="BW25" s="207">
        <f>--ISNUMBER(IFERROR(SEARCH('PLANILLA DJ'!$X$72,$A25,1),""))</f>
        <v>1</v>
      </c>
      <c r="BX25" s="207">
        <f>--ISNUMBER(IFERROR(SEARCH('PLANILLA DJ'!$X$73,$A25,1),""))</f>
        <v>1</v>
      </c>
      <c r="BY25" s="207">
        <f>--ISNUMBER(IFERROR(SEARCH('PLANILLA DJ'!$X$74,$A25,1),""))</f>
        <v>1</v>
      </c>
      <c r="BZ25" s="207">
        <f>--ISNUMBER(IFERROR(SEARCH('PLANILLA DJ'!$X$75,$A25,1),""))</f>
        <v>1</v>
      </c>
      <c r="CA25" s="207">
        <f>--ISNUMBER(IFERROR(SEARCH('PLANILLA DJ'!$X$76,$A25,1),""))</f>
        <v>1</v>
      </c>
      <c r="CB25" s="207">
        <f>--ISNUMBER(IFERROR(SEARCH('PLANILLA DJ'!$X$77,$A25,1),""))</f>
        <v>1</v>
      </c>
      <c r="CC25" s="207">
        <f>--ISNUMBER(IFERROR(SEARCH('PLANILLA DJ'!$X$78,$A25,1),""))</f>
        <v>1</v>
      </c>
      <c r="CD25" s="207">
        <f>--ISNUMBER(IFERROR(SEARCH('PLANILLA DJ'!$X$79,$A25,1),""))</f>
        <v>1</v>
      </c>
      <c r="CE25" s="207">
        <f>--ISNUMBER(IFERROR(SEARCH('PLANILLA DJ'!$X$80,$A25,1),""))</f>
        <v>1</v>
      </c>
      <c r="CF25" s="207">
        <f>--ISNUMBER(IFERROR(SEARCH('PLANILLA DJ'!$X$81,$A25,1),""))</f>
        <v>1</v>
      </c>
      <c r="CG25" s="207">
        <f>--ISNUMBER(IFERROR(SEARCH('PLANILLA DJ'!$X$82,$A25,1),""))</f>
        <v>1</v>
      </c>
      <c r="CH25" s="207">
        <f>--ISNUMBER(IFERROR(SEARCH('PLANILLA DJ'!$X$83,$A25,1),""))</f>
        <v>1</v>
      </c>
      <c r="CI25" s="207">
        <f>--ISNUMBER(IFERROR(SEARCH('PLANILLA DJ'!$X$84,$A25,1),""))</f>
        <v>1</v>
      </c>
      <c r="CJ25" s="207">
        <f>--ISNUMBER(IFERROR(SEARCH('PLANILLA DJ'!$X$85,$A25,1),""))</f>
        <v>1</v>
      </c>
      <c r="CK25" s="207">
        <f>--ISNUMBER(IFERROR(SEARCH('PLANILLA DJ'!$X$86,$A25,1),""))</f>
        <v>1</v>
      </c>
      <c r="CL25" s="207">
        <f>--ISNUMBER(IFERROR(SEARCH('PLANILLA DJ'!$X$87,$A25,1),""))</f>
        <v>1</v>
      </c>
      <c r="CM25" s="207">
        <f>--ISNUMBER(IFERROR(SEARCH('PLANILLA DJ'!$X$88,$A25,1),""))</f>
        <v>1</v>
      </c>
      <c r="CN25" s="207">
        <f>--ISNUMBER(IFERROR(SEARCH('PLANILLA DJ'!$X$89,$A25,1),""))</f>
        <v>1</v>
      </c>
      <c r="CO25" s="207">
        <f>--ISNUMBER(IFERROR(SEARCH('PLANILLA DJ'!$X$90,$A25,1),""))</f>
        <v>1</v>
      </c>
      <c r="CP25" s="207">
        <f>--ISNUMBER(IFERROR(SEARCH('PLANILLA DJ'!$X$91,$A25,1),""))</f>
        <v>1</v>
      </c>
      <c r="CQ25" s="207">
        <f>--ISNUMBER(IFERROR(SEARCH('PLANILLA DJ'!$X$92,$A25,1),""))</f>
        <v>1</v>
      </c>
      <c r="CR25" s="207">
        <f>--ISNUMBER(IFERROR(SEARCH('PLANILLA DJ'!$X$93,$A25,1),""))</f>
        <v>1</v>
      </c>
      <c r="CS25" s="207">
        <f>--ISNUMBER(IFERROR(SEARCH('PLANILLA DJ'!$X$94,$A25,1),""))</f>
        <v>1</v>
      </c>
      <c r="CT25" s="207">
        <f>--ISNUMBER(IFERROR(SEARCH('PLANILLA DJ'!$X$95,$A25,1),""))</f>
        <v>1</v>
      </c>
      <c r="CU25" s="207">
        <f>--ISNUMBER(IFERROR(SEARCH('PLANILLA DJ'!$X$96,$A25,1),""))</f>
        <v>1</v>
      </c>
      <c r="CV25" s="207">
        <f>--ISNUMBER(IFERROR(SEARCH('PLANILLA DJ'!$X$97,$A25,1),""))</f>
        <v>1</v>
      </c>
      <c r="CW25" s="207">
        <f>--ISNUMBER(IFERROR(SEARCH('PLANILLA DJ'!$X$98,$A25,1),""))</f>
        <v>1</v>
      </c>
      <c r="CX25" s="207">
        <f>--ISNUMBER(IFERROR(SEARCH('PLANILLA DJ'!$X$99,$A25,1),""))</f>
        <v>1</v>
      </c>
      <c r="CY25" s="207">
        <f>--ISNUMBER(IFERROR(SEARCH('PLANILLA DJ'!$X$100,$A25,1),""))</f>
        <v>1</v>
      </c>
      <c r="CZ25" s="207">
        <f>--ISNUMBER(IFERROR(SEARCH('PLANILLA DJ'!$X$101,$A25,1),""))</f>
        <v>1</v>
      </c>
      <c r="DA25" s="207">
        <f>--ISNUMBER(IFERROR(SEARCH('PLANILLA DJ'!$X$102,$A25,1),""))</f>
        <v>1</v>
      </c>
      <c r="DB25" s="206">
        <f>IF(F25=1,COUNTIF($F$2:F25,1),"")</f>
        <v>24</v>
      </c>
      <c r="DC25" s="206">
        <f>IF(G25=1,COUNTIF($G$2:G25,1),"")</f>
        <v>24</v>
      </c>
      <c r="DD25" s="206">
        <f>IF(H25=1,COUNTIF($H$2:H25,1),"")</f>
        <v>24</v>
      </c>
      <c r="DE25" s="206">
        <f>IF(I25=1,COUNTIF($I$2:I25,1),"")</f>
        <v>24</v>
      </c>
      <c r="DF25" s="206">
        <f>IF(J25=1,COUNTIF($J$2:J25,1),"")</f>
        <v>24</v>
      </c>
      <c r="DG25" s="206">
        <f>IF(K25=1,COUNTIF($K$2:K25,1),"")</f>
        <v>24</v>
      </c>
      <c r="DH25" s="206">
        <f>IF(L25=1,COUNTIF($L$2:L25,1),"")</f>
        <v>24</v>
      </c>
      <c r="DI25" s="206">
        <f>IF(M25=1,COUNTIF($M$2:M25,1),"")</f>
        <v>24</v>
      </c>
      <c r="DJ25" s="206">
        <f>IF(N25=1,COUNTIF($N$2:N25,1),"")</f>
        <v>24</v>
      </c>
      <c r="DK25" s="206">
        <f>IF(O25=1,COUNTIF($O$2:O25,1),"")</f>
        <v>24</v>
      </c>
      <c r="DL25" s="206">
        <f>IF(P25=1,COUNTIF($P$2:P25,1),"")</f>
        <v>24</v>
      </c>
      <c r="DM25" s="206">
        <f>IF(Q25=1,COUNTIF($Q$2:Q25,1),"")</f>
        <v>24</v>
      </c>
      <c r="DN25" s="207">
        <f>IF(R25=1,COUNTIF($R$2:R25,1),"")</f>
        <v>24</v>
      </c>
      <c r="DO25" s="207">
        <f>IF(S25=1,COUNTIF($S$2:S25,1),"")</f>
        <v>24</v>
      </c>
      <c r="DP25" s="207">
        <f>IF(T25=1,COUNTIF($T$2:T25,1),"")</f>
        <v>24</v>
      </c>
      <c r="DQ25" s="207">
        <f>IF(U25=1,COUNTIF($U$2:U25,1),"")</f>
        <v>24</v>
      </c>
      <c r="DR25" s="207">
        <f>IF(V25=1,COUNTIF($V$2:V25,1),"")</f>
        <v>24</v>
      </c>
      <c r="DS25" s="207">
        <f>IF(W25=1,COUNTIF($W$2:W25,1),"")</f>
        <v>24</v>
      </c>
      <c r="DT25" s="207">
        <f>IF(X25=1,COUNTIF($X$2:X25,1),"")</f>
        <v>24</v>
      </c>
      <c r="DU25" s="207">
        <f>IF(Y25=1,COUNTIF($Y$2:Y25,1),"")</f>
        <v>24</v>
      </c>
      <c r="DV25" s="207">
        <f>IF(Z25=1,COUNTIF(Z$2:Z25,1),"")</f>
        <v>24</v>
      </c>
      <c r="DW25" s="207">
        <f>IF(AA25=1,COUNTIF($AA$2:AA25,1),"")</f>
        <v>24</v>
      </c>
      <c r="DX25" s="207">
        <f>IF(AB25=1,COUNTIF($AB$2:AB25,1),"")</f>
        <v>24</v>
      </c>
      <c r="DY25" s="207">
        <f>IF(AC25=1,COUNTIF($AC$2:AC25,1),"")</f>
        <v>24</v>
      </c>
      <c r="DZ25" s="207">
        <f>IF(AD25=1,COUNTIF($AD$2:AD25,1),"")</f>
        <v>24</v>
      </c>
      <c r="EA25" s="207">
        <f>IF(AE25=1,COUNTIF($AE$2:AE25,1),"")</f>
        <v>24</v>
      </c>
      <c r="EB25" s="207">
        <f>IF(AF25=1,COUNTIF($AF$2:AF25,1),"")</f>
        <v>24</v>
      </c>
      <c r="EC25" s="207">
        <f>IF(AG25=1,COUNTIF($AG$2:AG25,1),"")</f>
        <v>24</v>
      </c>
      <c r="ED25" s="207">
        <f>IF(AH25=1,COUNTIF($AH$2:AH25,1),"")</f>
        <v>24</v>
      </c>
      <c r="EE25" s="207">
        <f>IF(AI25=1,COUNTIF($AI$2:AI25,1),"")</f>
        <v>24</v>
      </c>
      <c r="EF25" s="207">
        <f>IF(AJ25=1,COUNTIF($AJ$2:AJ25,1),"")</f>
        <v>24</v>
      </c>
      <c r="EG25" s="207">
        <f>IF(AK25=1,COUNTIF($AK$2:AK25,1),"")</f>
        <v>24</v>
      </c>
      <c r="EH25" s="207">
        <f>IF(AL25=1,COUNTIF($AL$2:AL25,1),"")</f>
        <v>24</v>
      </c>
      <c r="EI25" s="207">
        <f>IF(AM25=1,COUNTIF($AM$2:AM25,1),"")</f>
        <v>24</v>
      </c>
      <c r="EJ25" s="207">
        <f>IF(AN25=1,COUNTIF($AN$2:AN25,1),"")</f>
        <v>24</v>
      </c>
      <c r="EK25" s="207">
        <f>IF(AO25=1,COUNTIF($AO$2:AO25,1),"")</f>
        <v>24</v>
      </c>
      <c r="EL25" s="207">
        <f>IF(AP25=1,COUNTIF($AP$2:AP25,1),"")</f>
        <v>24</v>
      </c>
      <c r="EM25" s="207">
        <f>IF(AQ25=1,COUNTIF($AQ$2:AQ25,1),"")</f>
        <v>24</v>
      </c>
      <c r="EN25" s="207">
        <f>IF(AR25=1,COUNTIF($AR$2:AR25,1),"")</f>
        <v>24</v>
      </c>
      <c r="EO25" s="207">
        <f>IF(AS25=1,COUNTIF($AS$2:AS25,1),"")</f>
        <v>24</v>
      </c>
      <c r="EP25" s="207">
        <f>IF(AT25=1,COUNTIF($AT$2:AT25,1),"")</f>
        <v>24</v>
      </c>
      <c r="EQ25" s="207">
        <f>IF(AU25=1,COUNTIF($AU$2:AU25,1),"")</f>
        <v>24</v>
      </c>
      <c r="ER25" s="207">
        <f>IF(AV25=1,COUNTIF($AV$2:AV25,1),"")</f>
        <v>24</v>
      </c>
      <c r="ES25" s="207">
        <f>IF(AW25=1,COUNTIF($AW$2:AW25,1),"")</f>
        <v>24</v>
      </c>
      <c r="ET25" s="207">
        <f>IF(AX25=1,COUNTIF($AX$2:AX25,1),"")</f>
        <v>24</v>
      </c>
      <c r="EU25" s="207">
        <f>IF(AY25=1,COUNTIF($AY$2:AY25,1),"")</f>
        <v>24</v>
      </c>
      <c r="EV25" s="207">
        <f>IF(AZ25=1,COUNTIF($AZ$2:AZ25,1),"")</f>
        <v>24</v>
      </c>
      <c r="EW25" s="207">
        <f>IF(BA25=1,COUNTIF($BA$2:BA25,1),"")</f>
        <v>24</v>
      </c>
      <c r="EX25" s="207">
        <f>IF(BB25=1,COUNTIF($BB$2:BB25,1),"")</f>
        <v>24</v>
      </c>
      <c r="EY25" s="207">
        <f>IF(BC25=1,COUNTIF($BC$2:BC25,1),"")</f>
        <v>24</v>
      </c>
      <c r="EZ25" s="207">
        <f>IF(BD25=1,COUNTIF($BD$2:BD25,1),"")</f>
        <v>24</v>
      </c>
      <c r="FA25" s="207">
        <f>IF(BE25=1,COUNTIF($BE$2:BE25,1),"")</f>
        <v>24</v>
      </c>
      <c r="FB25" s="207">
        <f>IF(BF25=1,COUNTIF($BF$2:BF25,1),"")</f>
        <v>24</v>
      </c>
      <c r="FC25" s="207">
        <f>IF(BG25=1,COUNTIF($BG$2:BG25,1),"")</f>
        <v>24</v>
      </c>
      <c r="FD25" s="207">
        <f>IF(BH25=1,COUNTIF($BH$2:BH25,1),"")</f>
        <v>24</v>
      </c>
      <c r="FE25" s="207">
        <f>IF(BI25=1,COUNTIF($BI$2:BI25,1),"")</f>
        <v>24</v>
      </c>
      <c r="FF25" s="207">
        <f>IF(BJ25=1,COUNTIF($BJ$2:BJ25,1),"")</f>
        <v>24</v>
      </c>
      <c r="FG25" s="207">
        <f>IF(BK25=1,COUNTIF($BK$2:BK25,1),"")</f>
        <v>24</v>
      </c>
      <c r="FH25" s="207">
        <f>IF(BL25=1,COUNTIF($BL$2:BL25,1),"")</f>
        <v>24</v>
      </c>
      <c r="FI25" s="207">
        <f>IF(BM25=1,COUNTIF($BM$2:BM25,1),"")</f>
        <v>24</v>
      </c>
      <c r="FJ25" s="207">
        <f>IF(BN25=1,COUNTIF($BN$2:BN25,1),"")</f>
        <v>24</v>
      </c>
      <c r="FK25" s="207">
        <f>IF(BO25=1,COUNTIF($BO$2:BO25,1),"")</f>
        <v>24</v>
      </c>
      <c r="FL25" s="207">
        <f>IF(BP25=1,COUNTIF($BP$2:BP25,1),"")</f>
        <v>24</v>
      </c>
      <c r="FM25" s="207">
        <f>IF(BQ25=1,COUNTIF($BQ$2:BQ25,1),"")</f>
        <v>24</v>
      </c>
      <c r="FN25" s="207">
        <f>IF(BR25=1,COUNTIF($BR$2:BR25,1),"")</f>
        <v>24</v>
      </c>
      <c r="FO25" s="207">
        <f>IF(BS25=1,COUNTIF($BS$2:BS25,1),"")</f>
        <v>24</v>
      </c>
      <c r="FP25" s="207">
        <f>IF(BT25=1,COUNTIF($BT$2:BT25,1),"")</f>
        <v>24</v>
      </c>
      <c r="FQ25" s="207">
        <f>IF(BU25=1,COUNTIF($BU$2:BU25,1),"")</f>
        <v>24</v>
      </c>
      <c r="FR25" s="207">
        <f>IF(BV25=1,COUNTIF($BV$2:BV25,1),"")</f>
        <v>24</v>
      </c>
      <c r="FS25" s="207">
        <f>IF(BW25=1,COUNTIF($BW$2:BW25,1),"")</f>
        <v>24</v>
      </c>
      <c r="FT25" s="207">
        <f>IF(BX25=1,COUNTIF($BX$2:BX25,1),"")</f>
        <v>24</v>
      </c>
      <c r="FU25" s="207">
        <f>IF(BY25=1,COUNTIF($BY$2:BY25,1),"")</f>
        <v>24</v>
      </c>
      <c r="FV25" s="207">
        <f>IF(BZ25=1,COUNTIF($BZ$2:BZ25,1),"")</f>
        <v>24</v>
      </c>
      <c r="FW25" s="207">
        <f>IF(CA25=1,COUNTIF($CA$2:CA25,1),"")</f>
        <v>24</v>
      </c>
      <c r="FX25" s="207">
        <f>IF(CB25=1,COUNTIF($CB$2:CB25,1),"")</f>
        <v>24</v>
      </c>
      <c r="FY25" s="207">
        <f>IF(CC25=1,COUNTIF($CC$2:CC25,1),"")</f>
        <v>24</v>
      </c>
      <c r="FZ25" s="207">
        <f>IF(CD25=1,COUNTIF($CD$2:CD25,1),"")</f>
        <v>24</v>
      </c>
      <c r="GA25" s="207">
        <f>IF(CE25=1,COUNTIF($CE$2:CE25,1),"")</f>
        <v>24</v>
      </c>
      <c r="GB25" s="207">
        <f>IF(CF25=1,COUNTIF($CF$2:CF25,1),"")</f>
        <v>24</v>
      </c>
      <c r="GC25" s="207">
        <f>IF(CG25=1,COUNTIF($CG$2:CG25,1),"")</f>
        <v>24</v>
      </c>
      <c r="GD25" s="207">
        <f>IF(CH25=1,COUNTIF($CH$2:CH25,1),"")</f>
        <v>24</v>
      </c>
      <c r="GE25" s="207">
        <f>IF(CI25=1,COUNTIF($CI$2:CI25,1),"")</f>
        <v>24</v>
      </c>
      <c r="GF25" s="207">
        <f>IF(CJ25=1,COUNTIF($CJ$2:CJ25,1),"")</f>
        <v>24</v>
      </c>
      <c r="GG25" s="207">
        <f>IF(CK25=1,COUNTIF($CK$2:CK25,1),"")</f>
        <v>24</v>
      </c>
      <c r="GH25" s="207">
        <f>IF(CL25=1,COUNTIF($CL$2:CL25,1),"")</f>
        <v>24</v>
      </c>
      <c r="GI25" s="207">
        <f>IF(CM25=1,COUNTIF($CM$2:CM25,1),"")</f>
        <v>24</v>
      </c>
      <c r="GJ25" s="207">
        <f>IF(CN25=1,COUNTIF($CN$2:CN25,1),"")</f>
        <v>24</v>
      </c>
      <c r="GK25" s="207">
        <f>IF(CO25=1,COUNTIF($CO$2:CO25,1),"")</f>
        <v>24</v>
      </c>
      <c r="GL25" s="207">
        <f>IF(CP25=1,COUNTIF($CP$2:CP25,1),"")</f>
        <v>24</v>
      </c>
      <c r="GM25" s="207">
        <f>IF(CQ25=1,COUNTIF($CQ$2:CQ25,1),"")</f>
        <v>24</v>
      </c>
      <c r="GN25" s="207">
        <f>IF(CR25=1,COUNTIF($CR$2:CR25,1),"")</f>
        <v>24</v>
      </c>
      <c r="GO25" s="207">
        <f>IF(CS25=1,COUNTIF($CS$2:CS25,1),"")</f>
        <v>24</v>
      </c>
      <c r="GP25" s="207">
        <f>IF(CT25=1,COUNTIF($CT$2:CT25,1),"")</f>
        <v>24</v>
      </c>
      <c r="GQ25" s="207">
        <f>IF(CU25=1,COUNTIF($CU$2:CU25,1),"")</f>
        <v>24</v>
      </c>
      <c r="GR25" s="207">
        <f>IF(CV25=1,COUNTIF($CV$2:CV25,1),"")</f>
        <v>24</v>
      </c>
      <c r="GS25" s="207">
        <f>IF(CW25=1,COUNTIF($CW$2:CW25,1),"")</f>
        <v>24</v>
      </c>
      <c r="GT25" s="207">
        <f>IF(CX25=1,COUNTIF($CX$2:CX25,1),"")</f>
        <v>24</v>
      </c>
      <c r="GU25" s="207">
        <f>IF(CY25=1,COUNTIF($CY$2:CY25,1),"")</f>
        <v>24</v>
      </c>
      <c r="GV25" s="207">
        <f>IF(CZ25=1,COUNTIF($CZ$2:CZ25,1),"")</f>
        <v>24</v>
      </c>
      <c r="GW25" s="207">
        <f>IF(DA25=1,COUNTIF($DA$2:DA25,1),"")</f>
        <v>24</v>
      </c>
      <c r="GX25" s="206" t="str">
        <f>IFERROR(INDEX($A$2:$A$113,MATCH(ROWS($DB$2:DB25),$DB$2:$DB$113,0)),"")</f>
        <v xml:space="preserve">ABUSO SEXUAL EXHIBICIONES OBSCENAS A MENORES </v>
      </c>
      <c r="GY25" s="206" t="str">
        <f>IFERROR(INDEX($A$2:$A$113,MATCH(ROWS($DC$2:DC25),$DC$2:$DC$113,0)),"")</f>
        <v xml:space="preserve">ABUSO SEXUAL EXHIBICIONES OBSCENAS A MENORES </v>
      </c>
      <c r="GZ25" s="206" t="str">
        <f>IFERROR(INDEX($A$2:$A$113,MATCH(ROWS($DD$2:DD25),$DD$2:$DD$113,0)),"")</f>
        <v xml:space="preserve">ABUSO SEXUAL EXHIBICIONES OBSCENAS A MENORES </v>
      </c>
      <c r="HA25" s="206" t="str">
        <f>IFERROR(INDEX($A$2:$A$113,MATCH(ROWS($DE$2:DE25),$DE$2:$DE$113,0)),"")</f>
        <v xml:space="preserve">ABUSO SEXUAL EXHIBICIONES OBSCENAS A MENORES </v>
      </c>
      <c r="HB25" s="206" t="str">
        <f>IFERROR(INDEX($A$2:$A$113,MATCH(ROWS($DF$2:DF25),$DF$2:$DF$113,0)),"")</f>
        <v xml:space="preserve">ABUSO SEXUAL EXHIBICIONES OBSCENAS A MENORES </v>
      </c>
      <c r="HC25" s="206" t="str">
        <f>IFERROR(INDEX($A$2:$A$113,MATCH(ROWS($DG$2:DG25),$DG$2:$DG$113,0)),"")</f>
        <v xml:space="preserve">ABUSO SEXUAL EXHIBICIONES OBSCENAS A MENORES </v>
      </c>
      <c r="HD25" s="206" t="str">
        <f>IFERROR(INDEX($A$2:$A$113,MATCH(ROWS($DH$2:DH25),$DH$2:$DH$113,0)),"")</f>
        <v xml:space="preserve">ABUSO SEXUAL EXHIBICIONES OBSCENAS A MENORES </v>
      </c>
      <c r="HE25" s="206" t="str">
        <f>IFERROR(INDEX($A$2:$A$113,MATCH(ROWS($DI$2:DI25),$DI$2:$DI$113,0)),"")</f>
        <v xml:space="preserve">ABUSO SEXUAL EXHIBICIONES OBSCENAS A MENORES </v>
      </c>
      <c r="HF25" s="206" t="str">
        <f>IFERROR(INDEX($A$2:$A$113,MATCH(ROWS($DJ$2:DJ25),$DJ$2:$DJ$113,0)),"")</f>
        <v xml:space="preserve">ABUSO SEXUAL EXHIBICIONES OBSCENAS A MENORES </v>
      </c>
      <c r="HG25" s="206" t="str">
        <f>IFERROR(INDEX($A$2:$A$113,MATCH(ROWS($DK$2:DK25),$DK$2:$DK$113,0)),"")</f>
        <v xml:space="preserve">ABUSO SEXUAL EXHIBICIONES OBSCENAS A MENORES </v>
      </c>
      <c r="HH25" s="206" t="str">
        <f>IFERROR(INDEX($A$2:$A$113,MATCH(ROWS($DL$2:DL25),$DL$2:$DL$113,0)),"")</f>
        <v xml:space="preserve">ABUSO SEXUAL EXHIBICIONES OBSCENAS A MENORES </v>
      </c>
      <c r="HI25" s="206" t="str">
        <f>IFERROR(INDEX($A$2:$A$113,MATCH(ROWS($DM$2:DM25),$DM$2:$DM$113,0)),"")</f>
        <v xml:space="preserve">ABUSO SEXUAL EXHIBICIONES OBSCENAS A MENORES </v>
      </c>
      <c r="HJ25" s="206" t="str">
        <f>IFERROR(INDEX($A$2:$A$113,MATCH(ROWS($DN$2:DN25),$DN$2:$DN$113,0)),"")</f>
        <v xml:space="preserve">ABUSO SEXUAL EXHIBICIONES OBSCENAS A MENORES </v>
      </c>
      <c r="HK25" s="206" t="str">
        <f>IFERROR(INDEX($A$2:$A$113,MATCH(ROWS($DO$2:DO25),$DO$2:$DO$113,0)),"")</f>
        <v xml:space="preserve">ABUSO SEXUAL EXHIBICIONES OBSCENAS A MENORES </v>
      </c>
      <c r="HL25" s="206" t="str">
        <f>IFERROR(INDEX($A$2:$A$113,MATCH(ROWS($DP$2:DP25),$DP$2:$DP$113,0)),"")</f>
        <v xml:space="preserve">ABUSO SEXUAL EXHIBICIONES OBSCENAS A MENORES </v>
      </c>
      <c r="HM25" s="206" t="str">
        <f>IFERROR(INDEX($A$2:$A$113,MATCH(ROWS($DQ$2:DQ25),$DQ$2:$DQ$113,0)),"")</f>
        <v xml:space="preserve">ABUSO SEXUAL EXHIBICIONES OBSCENAS A MENORES </v>
      </c>
      <c r="HN25" s="206" t="str">
        <f>IFERROR(INDEX($A$2:$A$113,MATCH(ROWS($DR$2:DR25),$DR$2:$DR$113,0)),"")</f>
        <v xml:space="preserve">ABUSO SEXUAL EXHIBICIONES OBSCENAS A MENORES </v>
      </c>
      <c r="HO25" s="206" t="str">
        <f>IFERROR(INDEX($A$2:$A$113,MATCH(ROWS($DS$2:DS25),$DS$2:$DS$113,0)),"")</f>
        <v xml:space="preserve">ABUSO SEXUAL EXHIBICIONES OBSCENAS A MENORES </v>
      </c>
      <c r="HP25" s="206" t="str">
        <f>IFERROR(INDEX($A$2:$A$113,MATCH(ROWS($DT$2:DT25),$DT$2:$DT$113,0)),"")</f>
        <v xml:space="preserve">ABUSO SEXUAL EXHIBICIONES OBSCENAS A MENORES </v>
      </c>
      <c r="HQ25" s="206" t="str">
        <f>IFERROR(INDEX($A$2:$A$113,MATCH(ROWS($DU$2:DU25),$DU$2:$DU$113,0)),"")</f>
        <v xml:space="preserve">ABUSO SEXUAL EXHIBICIONES OBSCENAS A MENORES </v>
      </c>
      <c r="HR25" s="206" t="str">
        <f>IFERROR(INDEX($A$2:$A$113,MATCH(ROWS($DV$2:DV25),$DV$2:$DV$113,0)),"")</f>
        <v xml:space="preserve">ABUSO SEXUAL EXHIBICIONES OBSCENAS A MENORES </v>
      </c>
      <c r="HS25" s="206" t="str">
        <f>IFERROR(INDEX($A$2:$A$113,MATCH(ROWS($DW$2:DW25),$DW$2:$DW$113,0)),"")</f>
        <v xml:space="preserve">ABUSO SEXUAL EXHIBICIONES OBSCENAS A MENORES </v>
      </c>
      <c r="HT25" s="206" t="str">
        <f>IFERROR(INDEX($A$2:$A$113,MATCH(ROWS($DX$2:DX25),$DX$2:$DX$113,0)),"")</f>
        <v xml:space="preserve">ABUSO SEXUAL EXHIBICIONES OBSCENAS A MENORES </v>
      </c>
      <c r="HU25" s="206" t="str">
        <f>IFERROR(INDEX($A$2:$A$113,MATCH(ROWS($DY$2:DY25),$DY$2:$DY$113,0)),"")</f>
        <v xml:space="preserve">ABUSO SEXUAL EXHIBICIONES OBSCENAS A MENORES </v>
      </c>
      <c r="HV25" s="206" t="str">
        <f>IFERROR(INDEX($A$2:$A$113,MATCH(ROWS($DZ$2:DZ25),$DZ$2:$DZ$113,0)),"")</f>
        <v xml:space="preserve">ABUSO SEXUAL EXHIBICIONES OBSCENAS A MENORES </v>
      </c>
      <c r="HW25" s="206" t="str">
        <f>IFERROR(INDEX($A$2:$A$113,MATCH(ROWS($EA$2:EA25),$EA$2:$EA$113,0)),"")</f>
        <v xml:space="preserve">ABUSO SEXUAL EXHIBICIONES OBSCENAS A MENORES </v>
      </c>
      <c r="HX25" s="206" t="str">
        <f>IFERROR(INDEX($A$2:$A$113,MATCH(ROWS($EB$2:EB25),$EB$2:$EB$113,0)),"")</f>
        <v xml:space="preserve">ABUSO SEXUAL EXHIBICIONES OBSCENAS A MENORES </v>
      </c>
      <c r="HY25" s="206" t="str">
        <f>IFERROR(INDEX($A$2:$A$113,MATCH(ROWS($EC$2:EC25),$EC$2:$EC$113,0)),"")</f>
        <v xml:space="preserve">ABUSO SEXUAL EXHIBICIONES OBSCENAS A MENORES </v>
      </c>
      <c r="HZ25" s="206" t="str">
        <f>IFERROR(INDEX($A$2:$A$113,MATCH(ROWS($ED$2:ED25),$ED$2:$ED$113,0)),"")</f>
        <v xml:space="preserve">ABUSO SEXUAL EXHIBICIONES OBSCENAS A MENORES </v>
      </c>
      <c r="IA25" s="206" t="str">
        <f>IFERROR(INDEX($A$2:$A$113,MATCH(ROWS($EE$2:EE25),$EE$2:$EE$113,0)),"")</f>
        <v xml:space="preserve">ABUSO SEXUAL EXHIBICIONES OBSCENAS A MENORES </v>
      </c>
      <c r="IB25" s="206" t="str">
        <f>IFERROR(INDEX($A$2:$A$113,MATCH(ROWS($EF$2:EF25),$EF$2:$EF$113,0)),"")</f>
        <v xml:space="preserve">ABUSO SEXUAL EXHIBICIONES OBSCENAS A MENORES </v>
      </c>
      <c r="IC25" s="206" t="str">
        <f>IFERROR(INDEX($A$2:$A$113,MATCH(ROWS($EG$2:EG25),$EG$2:$EG$113,0)),"")</f>
        <v xml:space="preserve">ABUSO SEXUAL EXHIBICIONES OBSCENAS A MENORES </v>
      </c>
      <c r="ID25" s="206" t="str">
        <f>IFERROR(INDEX($A$2:$A$113,MATCH(ROWS($EH$2:EH25),$EH$2:$EH$113,0)),"")</f>
        <v xml:space="preserve">ABUSO SEXUAL EXHIBICIONES OBSCENAS A MENORES </v>
      </c>
      <c r="IE25" s="206" t="str">
        <f>IFERROR(INDEX($A$2:$A$113,MATCH(ROWS($EI$2:EI25),$EI$2:$EI$113,0)),"")</f>
        <v xml:space="preserve">ABUSO SEXUAL EXHIBICIONES OBSCENAS A MENORES </v>
      </c>
      <c r="IF25" s="206" t="str">
        <f>IFERROR(INDEX($A$2:$A$113,MATCH(ROWS($EJ$2:EJ25),$EJ$2:$EJ$113,0)),"")</f>
        <v xml:space="preserve">ABUSO SEXUAL EXHIBICIONES OBSCENAS A MENORES </v>
      </c>
      <c r="IG25" s="206" t="str">
        <f>IFERROR(INDEX($A$2:$A$113,MATCH(ROWS($EK$2:EK25),$EK$2:$EK$113,0)),"")</f>
        <v xml:space="preserve">ABUSO SEXUAL EXHIBICIONES OBSCENAS A MENORES </v>
      </c>
      <c r="IH25" s="206" t="str">
        <f>IFERROR(INDEX($A$2:$A$113,MATCH(ROWS($EL$2:EL25),$EL$2:$EL$113,0)),"")</f>
        <v xml:space="preserve">ABUSO SEXUAL EXHIBICIONES OBSCENAS A MENORES </v>
      </c>
      <c r="II25" s="206" t="str">
        <f>IFERROR(INDEX($A$2:$A$113,MATCH(ROWS($EM$2:EM25),$EM$2:$EM$113,0)),"")</f>
        <v xml:space="preserve">ABUSO SEXUAL EXHIBICIONES OBSCENAS A MENORES </v>
      </c>
      <c r="IJ25" s="206" t="str">
        <f>IFERROR(INDEX($A$2:$A$113,MATCH(ROWS($EN$2:EN25),$EN$2:$EN$113,0)),"")</f>
        <v xml:space="preserve">ABUSO SEXUAL EXHIBICIONES OBSCENAS A MENORES </v>
      </c>
      <c r="IK25" s="207" t="str">
        <f>IFERROR(INDEX($A$2:$A$113,MATCH(ROWS($EO$2:EO25),$EO$2:$EO$113,0)),"")</f>
        <v xml:space="preserve">ABUSO SEXUAL EXHIBICIONES OBSCENAS A MENORES </v>
      </c>
      <c r="IL25" s="207" t="str">
        <f>IFERROR(INDEX($A$2:$A$113,MATCH(ROWS($EP$2:EP25),$EP$2:$EP$113,0)),"")</f>
        <v xml:space="preserve">ABUSO SEXUAL EXHIBICIONES OBSCENAS A MENORES </v>
      </c>
      <c r="IM25" s="207" t="str">
        <f>IFERROR(INDEX($A$2:$A$113,MATCH(ROWS($EQ$2:EQ25),$EQ$2:$EQ$113,0)),"")</f>
        <v xml:space="preserve">ABUSO SEXUAL EXHIBICIONES OBSCENAS A MENORES </v>
      </c>
      <c r="IN25" s="207" t="str">
        <f>IFERROR(INDEX($A$2:$A$113,MATCH(ROWS($ER$2:ER25),$ER$2:$ER$113,0)),"")</f>
        <v xml:space="preserve">ABUSO SEXUAL EXHIBICIONES OBSCENAS A MENORES </v>
      </c>
      <c r="IO25" s="207" t="str">
        <f>IFERROR(INDEX($A$2:$A$113,MATCH(ROWS($ES$2:ES25),$ES$2:$ES$113,0)),"")</f>
        <v xml:space="preserve">ABUSO SEXUAL EXHIBICIONES OBSCENAS A MENORES </v>
      </c>
      <c r="IP25" s="207" t="str">
        <f>IFERROR(INDEX($A$2:$A$113,MATCH(ROWS($ET$2:ET25),$ET$2:$ET$113,0)),"")</f>
        <v xml:space="preserve">ABUSO SEXUAL EXHIBICIONES OBSCENAS A MENORES </v>
      </c>
      <c r="IQ25" s="207" t="str">
        <f>IFERROR(INDEX($A$2:$A$113,MATCH(ROWS($EU$2:EU25),$EU$2:$EU$113,0)),"")</f>
        <v xml:space="preserve">ABUSO SEXUAL EXHIBICIONES OBSCENAS A MENORES </v>
      </c>
      <c r="IR25" s="207" t="str">
        <f>IFERROR(INDEX($A$2:$A$113,MATCH(ROWS($EV$2:EV25),$EV$2:$EV$113,0)),"")</f>
        <v xml:space="preserve">ABUSO SEXUAL EXHIBICIONES OBSCENAS A MENORES </v>
      </c>
      <c r="IS25" s="207" t="str">
        <f>IFERROR(INDEX($A$2:$A$113,MATCH(ROWS($EW$2:EW25),$EW$2:$EW$113,0)),"")</f>
        <v xml:space="preserve">ABUSO SEXUAL EXHIBICIONES OBSCENAS A MENORES </v>
      </c>
      <c r="IT25" s="207" t="str">
        <f>IFERROR(INDEX($A$2:$A$113,MATCH(ROWS($EX$2:EX25),$EX$2:$EX$113,0)),"")</f>
        <v xml:space="preserve">ABUSO SEXUAL EXHIBICIONES OBSCENAS A MENORES </v>
      </c>
      <c r="IU25" s="207" t="str">
        <f>IFERROR(INDEX($A$2:$A$113,MATCH(ROWS($EY$2:EY25),$EY$2:$EY$113,0)),"")</f>
        <v xml:space="preserve">ABUSO SEXUAL EXHIBICIONES OBSCENAS A MENORES </v>
      </c>
      <c r="IV25" s="207" t="str">
        <f>IFERROR(INDEX($A$2:$A$113,MATCH(ROWS($EZ$2:EZ25),$EZ$2:$EZ$113,0)),"")</f>
        <v xml:space="preserve">ABUSO SEXUAL EXHIBICIONES OBSCENAS A MENORES </v>
      </c>
      <c r="IW25" s="207" t="str">
        <f>IFERROR(INDEX($A$2:$A$113,MATCH(ROWS($FA$2:FA25),$FA$2:$FA$113,0)),"")</f>
        <v xml:space="preserve">ABUSO SEXUAL EXHIBICIONES OBSCENAS A MENORES </v>
      </c>
      <c r="IX25" s="207" t="str">
        <f>IFERROR(INDEX($A$2:$A$113,MATCH(ROWS($FB$2:FB25),$FB$2:$FB$113,0)),"")</f>
        <v xml:space="preserve">ABUSO SEXUAL EXHIBICIONES OBSCENAS A MENORES </v>
      </c>
      <c r="IY25" s="207" t="str">
        <f>IFERROR(INDEX($A$2:$A$113,MATCH(ROWS($FC$2:FC25),$FC$2:$FC$113,0)),"")</f>
        <v xml:space="preserve">ABUSO SEXUAL EXHIBICIONES OBSCENAS A MENORES </v>
      </c>
      <c r="IZ25" s="207" t="str">
        <f>IFERROR(INDEX($A$2:$A$113,MATCH(ROWS($FD$2:FD25),$FD$2:$FD$113,0)),"")</f>
        <v xml:space="preserve">ABUSO SEXUAL EXHIBICIONES OBSCENAS A MENORES </v>
      </c>
      <c r="JA25" s="207" t="str">
        <f>IFERROR(INDEX($A$2:$A$113,MATCH(ROWS($FE$2:FE25),$FE$2:$FE$113,0)),"")</f>
        <v xml:space="preserve">ABUSO SEXUAL EXHIBICIONES OBSCENAS A MENORES </v>
      </c>
      <c r="JB25" s="207" t="str">
        <f>IFERROR(INDEX($A$2:$A$113,MATCH(ROWS($FF$2:FF25),$FF$2:$FF$113,0)),"")</f>
        <v xml:space="preserve">ABUSO SEXUAL EXHIBICIONES OBSCENAS A MENORES </v>
      </c>
      <c r="JC25" s="207" t="str">
        <f>IFERROR(INDEX($A$2:$A$113,MATCH(ROWS($FG$2:FG25),$FG$2:$FG$113,0)),"")</f>
        <v xml:space="preserve">ABUSO SEXUAL EXHIBICIONES OBSCENAS A MENORES </v>
      </c>
      <c r="JD25" s="207" t="str">
        <f>IFERROR(INDEX($A$2:$A$113,MATCH(ROWS($FH$2:FH25),$FH$2:$FH$113,0)),"")</f>
        <v xml:space="preserve">ABUSO SEXUAL EXHIBICIONES OBSCENAS A MENORES </v>
      </c>
      <c r="JE25" s="207" t="str">
        <f>IFERROR(INDEX($A$2:$A$113,MATCH(ROWS($FI$2:FI25),$FI$2:$FI$113,0)),"")</f>
        <v xml:space="preserve">ABUSO SEXUAL EXHIBICIONES OBSCENAS A MENORES </v>
      </c>
      <c r="JF25" s="207" t="str">
        <f>IFERROR(INDEX($A$2:$A$113,MATCH(ROWS($FJ$2:FJ25),$FJ$2:$FJ$113,0)),"")</f>
        <v xml:space="preserve">ABUSO SEXUAL EXHIBICIONES OBSCENAS A MENORES </v>
      </c>
      <c r="JG25" s="207" t="str">
        <f>IFERROR(INDEX($A$2:$A$113,MATCH(ROWS($FK$2:FK25),$FK$2:$FK$113,0)),"")</f>
        <v xml:space="preserve">ABUSO SEXUAL EXHIBICIONES OBSCENAS A MENORES </v>
      </c>
      <c r="JH25" s="207" t="str">
        <f>IFERROR(INDEX($A$2:$A$113,MATCH(ROWS($FL$2:FL25),$FL$2:$FL$113,0)),"")</f>
        <v xml:space="preserve">ABUSO SEXUAL EXHIBICIONES OBSCENAS A MENORES </v>
      </c>
      <c r="JI25" s="207" t="str">
        <f>IFERROR(INDEX($A$2:$A$113,MATCH(ROWS($FM$2:FM25),$FM$2:$FM$113,0)),"")</f>
        <v xml:space="preserve">ABUSO SEXUAL EXHIBICIONES OBSCENAS A MENORES </v>
      </c>
      <c r="JJ25" s="207" t="str">
        <f>IFERROR(INDEX($A$2:$A$113,MATCH(ROWS($FN$2:FN25),$FN$2:$FN$113,0)),"")</f>
        <v xml:space="preserve">ABUSO SEXUAL EXHIBICIONES OBSCENAS A MENORES </v>
      </c>
      <c r="JK25" s="207" t="str">
        <f>IFERROR(INDEX($A$2:$A$113,MATCH(ROWS($FO$2:FO25),$FO$2:$FO$113,0)),"")</f>
        <v xml:space="preserve">ABUSO SEXUAL EXHIBICIONES OBSCENAS A MENORES </v>
      </c>
      <c r="JL25" s="207" t="str">
        <f>IFERROR(INDEX($A$2:$A$113,MATCH(ROWS($FP$2:FP25),$FP$2:$FP$113,0)),"")</f>
        <v xml:space="preserve">ABUSO SEXUAL EXHIBICIONES OBSCENAS A MENORES </v>
      </c>
      <c r="JM25" s="207" t="str">
        <f>IFERROR(INDEX($A$2:$A$113,MATCH(ROWS($FQ$2:FQ25),$FQ$2:$FQ$113,0)),"")</f>
        <v xml:space="preserve">ABUSO SEXUAL EXHIBICIONES OBSCENAS A MENORES </v>
      </c>
      <c r="JN25" s="207" t="str">
        <f>IFERROR(INDEX($A$2:$A$113,MATCH(ROWS($FR$2:FR25),$FR$2:$FR$113,0)),"")</f>
        <v xml:space="preserve">ABUSO SEXUAL EXHIBICIONES OBSCENAS A MENORES </v>
      </c>
      <c r="JO25" s="207" t="str">
        <f>IFERROR(INDEX($A$2:$A$113,MATCH(ROWS($FS$2:FS25),$FS$2:$FS$113,0)),"")</f>
        <v xml:space="preserve">ABUSO SEXUAL EXHIBICIONES OBSCENAS A MENORES </v>
      </c>
      <c r="JP25" s="207" t="str">
        <f>IFERROR(INDEX($A$2:$A$113,MATCH(ROWS($FT$2:FT25),$FT$2:$FT$113,0)),"")</f>
        <v xml:space="preserve">ABUSO SEXUAL EXHIBICIONES OBSCENAS A MENORES </v>
      </c>
      <c r="JQ25" s="207" t="str">
        <f>IFERROR(INDEX($A$2:$A$113,MATCH(ROWS($FU$2:FU25),$FU$2:$FU$113,0)),"")</f>
        <v xml:space="preserve">ABUSO SEXUAL EXHIBICIONES OBSCENAS A MENORES </v>
      </c>
      <c r="JR25" s="207" t="str">
        <f>IFERROR(INDEX($A$2:$A$113,MATCH(ROWS($FV$2:FV25),$FV$2:$FV$113,0)),"")</f>
        <v xml:space="preserve">ABUSO SEXUAL EXHIBICIONES OBSCENAS A MENORES </v>
      </c>
      <c r="JS25" s="207" t="str">
        <f>IFERROR(INDEX($A$2:$A$113,MATCH(ROWS($FW$2:FW25),$FW$2:$FW$113,0)),"")</f>
        <v xml:space="preserve">ABUSO SEXUAL EXHIBICIONES OBSCENAS A MENORES </v>
      </c>
      <c r="JT25" s="207" t="str">
        <f>IFERROR(INDEX($A$2:$A$113,MATCH(ROWS($FX$2:FX25),$FX$2:$FX$113,0)),"")</f>
        <v xml:space="preserve">ABUSO SEXUAL EXHIBICIONES OBSCENAS A MENORES </v>
      </c>
      <c r="JU25" s="207" t="str">
        <f>IFERROR(INDEX($A$2:$A$113,MATCH(ROWS($FY$2:FY25),$FY$2:$FY$113,0)),"")</f>
        <v xml:space="preserve">ABUSO SEXUAL EXHIBICIONES OBSCENAS A MENORES </v>
      </c>
      <c r="JV25" s="207" t="str">
        <f>IFERROR(INDEX($A$2:$A$113,MATCH(ROWS($FZ$2:FZ25),$FZ$2:$FZ$113,0)),"")</f>
        <v xml:space="preserve">ABUSO SEXUAL EXHIBICIONES OBSCENAS A MENORES </v>
      </c>
      <c r="JW25" s="207" t="str">
        <f>IFERROR(INDEX($A$2:$A$113,MATCH(ROWS($GA$2:GA25),$GA$2:$GA$113,0)),"")</f>
        <v xml:space="preserve">ABUSO SEXUAL EXHIBICIONES OBSCENAS A MENORES </v>
      </c>
      <c r="JX25" s="207" t="str">
        <f>IFERROR(INDEX($A$2:$A$113,MATCH(ROWS($GB$2:GB25),$GB$2:$GB$113,0)),"")</f>
        <v xml:space="preserve">ABUSO SEXUAL EXHIBICIONES OBSCENAS A MENORES </v>
      </c>
      <c r="JY25" s="207" t="str">
        <f>IFERROR(INDEX($A$2:$A$113,MATCH(ROWS($GC$2:GC25),$GC$2:$GC$113,0)),"")</f>
        <v xml:space="preserve">ABUSO SEXUAL EXHIBICIONES OBSCENAS A MENORES </v>
      </c>
      <c r="JZ25" s="207" t="str">
        <f>IFERROR(INDEX($A$2:$A$113,MATCH(ROWS($GD$2:GD25),$GD$2:$GD$113,0)),"")</f>
        <v xml:space="preserve">ABUSO SEXUAL EXHIBICIONES OBSCENAS A MENORES </v>
      </c>
      <c r="KA25" s="207" t="str">
        <f>IFERROR(INDEX($A$2:$A$113,MATCH(ROWS($GE$2:GE25),$GE$2:$GE$113,0)),"")</f>
        <v xml:space="preserve">ABUSO SEXUAL EXHIBICIONES OBSCENAS A MENORES </v>
      </c>
      <c r="KB25" s="207" t="str">
        <f>IFERROR(INDEX($A$2:$A$113,MATCH(ROWS($GF$2:GF25),$GF$2:$GF$113,0)),"")</f>
        <v xml:space="preserve">ABUSO SEXUAL EXHIBICIONES OBSCENAS A MENORES </v>
      </c>
      <c r="KC25" s="207" t="str">
        <f>IFERROR(INDEX($A$2:$A$113,MATCH(ROWS($GG$2:GG25),$GG$2:$GG$113,0)),"")</f>
        <v xml:space="preserve">ABUSO SEXUAL EXHIBICIONES OBSCENAS A MENORES </v>
      </c>
      <c r="KD25" s="207" t="str">
        <f>IFERROR(INDEX($A$2:$A$113,MATCH(ROWS($GH$2:GH25),$GH$2:$GH$113,0)),"")</f>
        <v xml:space="preserve">ABUSO SEXUAL EXHIBICIONES OBSCENAS A MENORES </v>
      </c>
      <c r="KE25" s="207" t="str">
        <f>IFERROR(INDEX($A$2:$A$113,MATCH(ROWS($GI$2:GI25),$GI$2:$GI$113,0)),"")</f>
        <v xml:space="preserve">ABUSO SEXUAL EXHIBICIONES OBSCENAS A MENORES </v>
      </c>
      <c r="KF25" s="207" t="str">
        <f>IFERROR(INDEX($A$2:$A$113,MATCH(ROWS($GJ$2:GJ25),$GJ$2:$GJ$113,0)),"")</f>
        <v xml:space="preserve">ABUSO SEXUAL EXHIBICIONES OBSCENAS A MENORES </v>
      </c>
      <c r="KG25" s="207" t="str">
        <f>IFERROR(INDEX($A$2:$A$113,MATCH(ROWS($GK$2:GK25),$GK$2:$GK$113,0)),"")</f>
        <v xml:space="preserve">ABUSO SEXUAL EXHIBICIONES OBSCENAS A MENORES </v>
      </c>
      <c r="KH25" s="207" t="str">
        <f>IFERROR(INDEX($A$2:$A$113,MATCH(ROWS($GL$2:GL25),$GL$2:$GL$113,0)),"")</f>
        <v xml:space="preserve">ABUSO SEXUAL EXHIBICIONES OBSCENAS A MENORES </v>
      </c>
      <c r="KI25" s="207" t="str">
        <f>IFERROR(INDEX($A$2:$A$113,MATCH(ROWS($GM$2:GM25),$GM$2:$GM$113,0)),"")</f>
        <v xml:space="preserve">ABUSO SEXUAL EXHIBICIONES OBSCENAS A MENORES </v>
      </c>
      <c r="KJ25" s="207" t="str">
        <f>IFERROR(INDEX($A$2:$A$113,MATCH(ROWS($GN$2:GN25),$GN$2:$GN$113,0)),"")</f>
        <v xml:space="preserve">ABUSO SEXUAL EXHIBICIONES OBSCENAS A MENORES </v>
      </c>
      <c r="KK25" s="207" t="str">
        <f>IFERROR(INDEX($A$2:$A$113,MATCH(ROWS($GO$2:GO25),$GO$2:$GO$113,0)),"")</f>
        <v xml:space="preserve">ABUSO SEXUAL EXHIBICIONES OBSCENAS A MENORES </v>
      </c>
      <c r="KL25" s="207" t="str">
        <f>IFERROR(INDEX($A$2:$A$113,MATCH(ROWS($GP$2:GP25),$GP$2:$GP$113,0)),"")</f>
        <v xml:space="preserve">ABUSO SEXUAL EXHIBICIONES OBSCENAS A MENORES </v>
      </c>
      <c r="KM25" s="207" t="str">
        <f>IFERROR(INDEX($A$2:$A$113,MATCH(ROWS($GQ$2:GQ25),$GQ$2:$GQ$113,0)),"")</f>
        <v xml:space="preserve">ABUSO SEXUAL EXHIBICIONES OBSCENAS A MENORES </v>
      </c>
      <c r="KN25" s="207" t="str">
        <f>IFERROR(INDEX($A$2:$A$113,MATCH(ROWS($GR$2:GR25),$GR$2:$GR$113,0)),"")</f>
        <v xml:space="preserve">ABUSO SEXUAL EXHIBICIONES OBSCENAS A MENORES </v>
      </c>
      <c r="KO25" s="207" t="str">
        <f>IFERROR(INDEX($A$2:$A$113,MATCH(ROWS($GS$2:GS25),$GS$2:$GS$113,0)),"")</f>
        <v xml:space="preserve">ABUSO SEXUAL EXHIBICIONES OBSCENAS A MENORES </v>
      </c>
      <c r="KP25" s="207" t="str">
        <f>IFERROR(INDEX($A$2:$A$113,MATCH(ROWS($GT$2:GT25),$GT$2:$GT$113,0)),"")</f>
        <v xml:space="preserve">ABUSO SEXUAL EXHIBICIONES OBSCENAS A MENORES </v>
      </c>
      <c r="KQ25" s="207" t="str">
        <f>IFERROR(INDEX($A$2:$A$113,MATCH(ROWS($GU$2:GU25),$GU$2:$GU$113,0)),"")</f>
        <v xml:space="preserve">ABUSO SEXUAL EXHIBICIONES OBSCENAS A MENORES </v>
      </c>
      <c r="KR25" s="207" t="str">
        <f>IFERROR(INDEX($A$2:$A$113,MATCH(ROWS($GV$2:GV25),$GV$2:$GV$113,0)),"")</f>
        <v xml:space="preserve">ABUSO SEXUAL EXHIBICIONES OBSCENAS A MENORES </v>
      </c>
      <c r="KS25" s="207" t="str">
        <f>IFERROR(INDEX($A$2:$A$113,MATCH(ROWS($GW$2:GW25),$GW$2:$GW$113,0)),"")</f>
        <v xml:space="preserve">ABUSO SEXUAL EXHIBICIONES OBSCENAS A MENORES </v>
      </c>
    </row>
    <row r="26" spans="1:305" x14ac:dyDescent="0.25">
      <c r="A26" s="206" t="s">
        <v>10</v>
      </c>
      <c r="B26" s="206" t="s">
        <v>1086</v>
      </c>
      <c r="D26" s="206" t="s">
        <v>790</v>
      </c>
      <c r="E26" s="206" t="s">
        <v>71</v>
      </c>
      <c r="F26" s="207">
        <f>--ISNUMBER(IFERROR(SEARCH('PLANILLA DJ'!$X$3,$A26,1),""))</f>
        <v>1</v>
      </c>
      <c r="G26" s="207">
        <f>--ISNUMBER(IFERROR(SEARCH('PLANILLA DJ'!$X$4,$A26,1),""))</f>
        <v>1</v>
      </c>
      <c r="H26" s="207">
        <f>--ISNUMBER(IFERROR(SEARCH('PLANILLA DJ'!$X$5,$A26,1),""))</f>
        <v>1</v>
      </c>
      <c r="I26" s="207">
        <f>--ISNUMBER(IFERROR(SEARCH('PLANILLA DJ'!$X$6,$A26,1),""))</f>
        <v>1</v>
      </c>
      <c r="J26" s="207">
        <f>--ISNUMBER(IFERROR(SEARCH('PLANILLA DJ'!$X$7,$A26,1),""))</f>
        <v>1</v>
      </c>
      <c r="K26" s="207">
        <f>--ISNUMBER(IFERROR(SEARCH('PLANILLA DJ'!$X$8,$A26,1),""))</f>
        <v>1</v>
      </c>
      <c r="L26" s="207">
        <f>--ISNUMBER(IFERROR(SEARCH('PLANILLA DJ'!$X$9,$A26,1),""))</f>
        <v>1</v>
      </c>
      <c r="M26" s="207">
        <f>--ISNUMBER(IFERROR(SEARCH('PLANILLA DJ'!$X$10,$A26,1),""))</f>
        <v>1</v>
      </c>
      <c r="N26" s="207">
        <f>--ISNUMBER(IFERROR(SEARCH('PLANILLA DJ'!$X$11,$A26,1),""))</f>
        <v>1</v>
      </c>
      <c r="O26" s="207">
        <f>--ISNUMBER(IFERROR(SEARCH('PLANILLA DJ'!$X$12,$A26,1),""))</f>
        <v>1</v>
      </c>
      <c r="P26" s="207">
        <f>--ISNUMBER(IFERROR(SEARCH('PLANILLA DJ'!$X$13,$A26,1),""))</f>
        <v>1</v>
      </c>
      <c r="Q26" s="207">
        <f>--ISNUMBER(IFERROR(SEARCH('PLANILLA DJ'!$X$14,$A26,1),""))</f>
        <v>1</v>
      </c>
      <c r="R26" s="207">
        <f>--ISNUMBER(IFERROR(SEARCH('PLANILLA DJ'!$X$15,$A26,1),""))</f>
        <v>1</v>
      </c>
      <c r="S26" s="207">
        <f>--ISNUMBER(IFERROR(SEARCH('PLANILLA DJ'!$X$16,$A26,1),""))</f>
        <v>1</v>
      </c>
      <c r="T26" s="207">
        <f>--ISNUMBER(IFERROR(SEARCH('PLANILLA DJ'!$X$17,$A26,1),""))</f>
        <v>1</v>
      </c>
      <c r="U26" s="207">
        <f>--ISNUMBER(IFERROR(SEARCH('PLANILLA DJ'!$X$18,$A26,1),""))</f>
        <v>1</v>
      </c>
      <c r="V26" s="207">
        <f>--ISNUMBER(IFERROR(SEARCH('PLANILLA DJ'!$X$19,$A26,1),""))</f>
        <v>1</v>
      </c>
      <c r="W26" s="207">
        <f>--ISNUMBER(IFERROR(SEARCH('PLANILLA DJ'!$X$20,$A26,1),""))</f>
        <v>1</v>
      </c>
      <c r="X26" s="207">
        <f>--ISNUMBER(IFERROR(SEARCH('PLANILLA DJ'!$X$21,$A26,1),""))</f>
        <v>1</v>
      </c>
      <c r="Y26" s="207">
        <f>--ISNUMBER(IFERROR(SEARCH('PLANILLA DJ'!$X$22,$A26,1),""))</f>
        <v>1</v>
      </c>
      <c r="Z26" s="207">
        <f>--ISNUMBER(IFERROR(SEARCH('PLANILLA DJ'!$X$23,$A26,1),""))</f>
        <v>1</v>
      </c>
      <c r="AA26" s="207">
        <f>--ISNUMBER(IFERROR(SEARCH('PLANILLA DJ'!$X$24,$A26,1),""))</f>
        <v>1</v>
      </c>
      <c r="AB26" s="207">
        <f>--ISNUMBER(IFERROR(SEARCH('PLANILLA DJ'!$X$25,$A26,1),""))</f>
        <v>1</v>
      </c>
      <c r="AC26" s="207">
        <f>--ISNUMBER(IFERROR(SEARCH('PLANILLA DJ'!$X$26,$A26,1),""))</f>
        <v>1</v>
      </c>
      <c r="AD26" s="207">
        <f>--ISNUMBER(IFERROR(SEARCH('PLANILLA DJ'!$X$27,$A26,1),""))</f>
        <v>1</v>
      </c>
      <c r="AE26" s="207">
        <f>--ISNUMBER(IFERROR(SEARCH('PLANILLA DJ'!$X$28,$A26,1),""))</f>
        <v>1</v>
      </c>
      <c r="AF26" s="207">
        <f>--ISNUMBER(IFERROR(SEARCH('PLANILLA DJ'!$X$29,$A26,1),""))</f>
        <v>1</v>
      </c>
      <c r="AG26" s="207">
        <f>--ISNUMBER(IFERROR(SEARCH('PLANILLA DJ'!$X$30,$A26,1),""))</f>
        <v>1</v>
      </c>
      <c r="AH26" s="207">
        <f>--ISNUMBER(IFERROR(SEARCH('PLANILLA DJ'!$X$31,$A26,1),""))</f>
        <v>1</v>
      </c>
      <c r="AI26" s="207">
        <f>--ISNUMBER(IFERROR(SEARCH('PLANILLA DJ'!$X$32,$A26,1),""))</f>
        <v>1</v>
      </c>
      <c r="AJ26" s="207">
        <f>--ISNUMBER(IFERROR(SEARCH('PLANILLA DJ'!$X$33,$A26,1),""))</f>
        <v>1</v>
      </c>
      <c r="AK26" s="207">
        <f>--ISNUMBER(IFERROR(SEARCH('PLANILLA DJ'!$X$34,$A26,1),""))</f>
        <v>1</v>
      </c>
      <c r="AL26" s="207">
        <f>--ISNUMBER(IFERROR(SEARCH('PLANILLA DJ'!$X$35,$A26,1),""))</f>
        <v>1</v>
      </c>
      <c r="AM26" s="207">
        <f>--ISNUMBER(IFERROR(SEARCH('PLANILLA DJ'!$X$36,$A26,1),""))</f>
        <v>1</v>
      </c>
      <c r="AN26" s="207">
        <f>--ISNUMBER(IFERROR(SEARCH('PLANILLA DJ'!$X$37,$A26,1),""))</f>
        <v>1</v>
      </c>
      <c r="AO26" s="207">
        <f>--ISNUMBER(IFERROR(SEARCH('PLANILLA DJ'!$X$38,$A26,1),""))</f>
        <v>1</v>
      </c>
      <c r="AP26" s="207">
        <f>--ISNUMBER(IFERROR(SEARCH('PLANILLA DJ'!$X$39,$A26,1),""))</f>
        <v>1</v>
      </c>
      <c r="AQ26" s="207">
        <f>--ISNUMBER(IFERROR(SEARCH('PLANILLA DJ'!$X$40,$A26,1),""))</f>
        <v>1</v>
      </c>
      <c r="AR26" s="207">
        <f>--ISNUMBER(IFERROR(SEARCH('PLANILLA DJ'!$X$41,$A26,1),""))</f>
        <v>1</v>
      </c>
      <c r="AS26" s="207">
        <f>--ISNUMBER(IFERROR(SEARCH('PLANILLA DJ'!$X$42,$A26,1),""))</f>
        <v>1</v>
      </c>
      <c r="AT26" s="207">
        <f>--ISNUMBER(IFERROR(SEARCH('PLANILLA DJ'!$X$43,$A26,1),""))</f>
        <v>1</v>
      </c>
      <c r="AU26" s="207">
        <f>--ISNUMBER(IFERROR(SEARCH('PLANILLA DJ'!$X$44,$A26,1),""))</f>
        <v>1</v>
      </c>
      <c r="AV26" s="207">
        <f>--ISNUMBER(IFERROR(SEARCH('PLANILLA DJ'!$X$45,$A26,1),""))</f>
        <v>1</v>
      </c>
      <c r="AW26" s="207">
        <f>--ISNUMBER(IFERROR(SEARCH('PLANILLA DJ'!$X$46,$A26,1),""))</f>
        <v>1</v>
      </c>
      <c r="AX26" s="207">
        <f>--ISNUMBER(IFERROR(SEARCH('PLANILLA DJ'!$X$47,$A26,1),""))</f>
        <v>1</v>
      </c>
      <c r="AY26" s="207">
        <f>--ISNUMBER(IFERROR(SEARCH('PLANILLA DJ'!$X$48,$A26,1),""))</f>
        <v>1</v>
      </c>
      <c r="AZ26" s="207">
        <f>--ISNUMBER(IFERROR(SEARCH('PLANILLA DJ'!$X$49,$A26,1),""))</f>
        <v>1</v>
      </c>
      <c r="BA26" s="207">
        <f>--ISNUMBER(IFERROR(SEARCH('PLANILLA DJ'!$X$50,$A26,1),""))</f>
        <v>1</v>
      </c>
      <c r="BB26" s="207">
        <f>--ISNUMBER(IFERROR(SEARCH('PLANILLA DJ'!$X$51,$A26,1),""))</f>
        <v>1</v>
      </c>
      <c r="BC26" s="207">
        <f>--ISNUMBER(IFERROR(SEARCH('PLANILLA DJ'!$X$52,$A26,1),""))</f>
        <v>1</v>
      </c>
      <c r="BD26" s="207">
        <f>--ISNUMBER(IFERROR(SEARCH('PLANILLA DJ'!$X$53,$A26,1),""))</f>
        <v>1</v>
      </c>
      <c r="BE26" s="207">
        <f>--ISNUMBER(IFERROR(SEARCH('PLANILLA DJ'!$X$54,$A26,1),""))</f>
        <v>1</v>
      </c>
      <c r="BF26" s="207">
        <f>--ISNUMBER(IFERROR(SEARCH('PLANILLA DJ'!$X$55,$A26,1),""))</f>
        <v>1</v>
      </c>
      <c r="BG26" s="207">
        <f>--ISNUMBER(IFERROR(SEARCH('PLANILLA DJ'!$X$56,$A26,1),""))</f>
        <v>1</v>
      </c>
      <c r="BH26" s="207">
        <f>--ISNUMBER(IFERROR(SEARCH('PLANILLA DJ'!$X$57,$A26,1),""))</f>
        <v>1</v>
      </c>
      <c r="BI26" s="207">
        <f>--ISNUMBER(IFERROR(SEARCH('PLANILLA DJ'!$X$58,$A26,1),""))</f>
        <v>1</v>
      </c>
      <c r="BJ26" s="207">
        <f>--ISNUMBER(IFERROR(SEARCH('PLANILLA DJ'!$X$59,$A26,1),""))</f>
        <v>1</v>
      </c>
      <c r="BK26" s="207">
        <f>--ISNUMBER(IFERROR(SEARCH('PLANILLA DJ'!$X$60,$A26,1),""))</f>
        <v>1</v>
      </c>
      <c r="BL26" s="207">
        <f>--ISNUMBER(IFERROR(SEARCH('PLANILLA DJ'!$X$61,$A26,1),""))</f>
        <v>1</v>
      </c>
      <c r="BM26" s="207">
        <f>--ISNUMBER(IFERROR(SEARCH('PLANILLA DJ'!$X$62,$A26,1),""))</f>
        <v>1</v>
      </c>
      <c r="BN26" s="207">
        <f>--ISNUMBER(IFERROR(SEARCH('PLANILLA DJ'!$X$63,$A26,1),""))</f>
        <v>1</v>
      </c>
      <c r="BO26" s="207">
        <f>--ISNUMBER(IFERROR(SEARCH('PLANILLA DJ'!$X$64,$A26,1),""))</f>
        <v>1</v>
      </c>
      <c r="BP26" s="207">
        <f>--ISNUMBER(IFERROR(SEARCH('PLANILLA DJ'!$X$65,$A26,1),""))</f>
        <v>1</v>
      </c>
      <c r="BQ26" s="207">
        <f>--ISNUMBER(IFERROR(SEARCH('PLANILLA DJ'!$X$66,$A26,1),""))</f>
        <v>1</v>
      </c>
      <c r="BR26" s="207">
        <f>--ISNUMBER(IFERROR(SEARCH('PLANILLA DJ'!$X$67,$A26,1),""))</f>
        <v>1</v>
      </c>
      <c r="BS26" s="207">
        <f>--ISNUMBER(IFERROR(SEARCH('PLANILLA DJ'!$X$68,$A26,1),""))</f>
        <v>1</v>
      </c>
      <c r="BT26" s="207">
        <f>--ISNUMBER(IFERROR(SEARCH('PLANILLA DJ'!$X$69,$A26,1),""))</f>
        <v>1</v>
      </c>
      <c r="BU26" s="207">
        <f>--ISNUMBER(IFERROR(SEARCH('PLANILLA DJ'!$X$70,$A26,1),""))</f>
        <v>1</v>
      </c>
      <c r="BV26" s="207">
        <f>--ISNUMBER(IFERROR(SEARCH('PLANILLA DJ'!$X$71,$A26,1),""))</f>
        <v>1</v>
      </c>
      <c r="BW26" s="207">
        <f>--ISNUMBER(IFERROR(SEARCH('PLANILLA DJ'!$X$72,$A26,1),""))</f>
        <v>1</v>
      </c>
      <c r="BX26" s="207">
        <f>--ISNUMBER(IFERROR(SEARCH('PLANILLA DJ'!$X$73,$A26,1),""))</f>
        <v>1</v>
      </c>
      <c r="BY26" s="207">
        <f>--ISNUMBER(IFERROR(SEARCH('PLANILLA DJ'!$X$74,$A26,1),""))</f>
        <v>1</v>
      </c>
      <c r="BZ26" s="207">
        <f>--ISNUMBER(IFERROR(SEARCH('PLANILLA DJ'!$X$75,$A26,1),""))</f>
        <v>1</v>
      </c>
      <c r="CA26" s="207">
        <f>--ISNUMBER(IFERROR(SEARCH('PLANILLA DJ'!$X$76,$A26,1),""))</f>
        <v>1</v>
      </c>
      <c r="CB26" s="207">
        <f>--ISNUMBER(IFERROR(SEARCH('PLANILLA DJ'!$X$77,$A26,1),""))</f>
        <v>1</v>
      </c>
      <c r="CC26" s="207">
        <f>--ISNUMBER(IFERROR(SEARCH('PLANILLA DJ'!$X$78,$A26,1),""))</f>
        <v>1</v>
      </c>
      <c r="CD26" s="207">
        <f>--ISNUMBER(IFERROR(SEARCH('PLANILLA DJ'!$X$79,$A26,1),""))</f>
        <v>1</v>
      </c>
      <c r="CE26" s="207">
        <f>--ISNUMBER(IFERROR(SEARCH('PLANILLA DJ'!$X$80,$A26,1),""))</f>
        <v>1</v>
      </c>
      <c r="CF26" s="207">
        <f>--ISNUMBER(IFERROR(SEARCH('PLANILLA DJ'!$X$81,$A26,1),""))</f>
        <v>1</v>
      </c>
      <c r="CG26" s="207">
        <f>--ISNUMBER(IFERROR(SEARCH('PLANILLA DJ'!$X$82,$A26,1),""))</f>
        <v>1</v>
      </c>
      <c r="CH26" s="207">
        <f>--ISNUMBER(IFERROR(SEARCH('PLANILLA DJ'!$X$83,$A26,1),""))</f>
        <v>1</v>
      </c>
      <c r="CI26" s="207">
        <f>--ISNUMBER(IFERROR(SEARCH('PLANILLA DJ'!$X$84,$A26,1),""))</f>
        <v>1</v>
      </c>
      <c r="CJ26" s="207">
        <f>--ISNUMBER(IFERROR(SEARCH('PLANILLA DJ'!$X$85,$A26,1),""))</f>
        <v>1</v>
      </c>
      <c r="CK26" s="207">
        <f>--ISNUMBER(IFERROR(SEARCH('PLANILLA DJ'!$X$86,$A26,1),""))</f>
        <v>1</v>
      </c>
      <c r="CL26" s="207">
        <f>--ISNUMBER(IFERROR(SEARCH('PLANILLA DJ'!$X$87,$A26,1),""))</f>
        <v>1</v>
      </c>
      <c r="CM26" s="207">
        <f>--ISNUMBER(IFERROR(SEARCH('PLANILLA DJ'!$X$88,$A26,1),""))</f>
        <v>1</v>
      </c>
      <c r="CN26" s="207">
        <f>--ISNUMBER(IFERROR(SEARCH('PLANILLA DJ'!$X$89,$A26,1),""))</f>
        <v>1</v>
      </c>
      <c r="CO26" s="207">
        <f>--ISNUMBER(IFERROR(SEARCH('PLANILLA DJ'!$X$90,$A26,1),""))</f>
        <v>1</v>
      </c>
      <c r="CP26" s="207">
        <f>--ISNUMBER(IFERROR(SEARCH('PLANILLA DJ'!$X$91,$A26,1),""))</f>
        <v>1</v>
      </c>
      <c r="CQ26" s="207">
        <f>--ISNUMBER(IFERROR(SEARCH('PLANILLA DJ'!$X$92,$A26,1),""))</f>
        <v>1</v>
      </c>
      <c r="CR26" s="207">
        <f>--ISNUMBER(IFERROR(SEARCH('PLANILLA DJ'!$X$93,$A26,1),""))</f>
        <v>1</v>
      </c>
      <c r="CS26" s="207">
        <f>--ISNUMBER(IFERROR(SEARCH('PLANILLA DJ'!$X$94,$A26,1),""))</f>
        <v>1</v>
      </c>
      <c r="CT26" s="207">
        <f>--ISNUMBER(IFERROR(SEARCH('PLANILLA DJ'!$X$95,$A26,1),""))</f>
        <v>1</v>
      </c>
      <c r="CU26" s="207">
        <f>--ISNUMBER(IFERROR(SEARCH('PLANILLA DJ'!$X$96,$A26,1),""))</f>
        <v>1</v>
      </c>
      <c r="CV26" s="207">
        <f>--ISNUMBER(IFERROR(SEARCH('PLANILLA DJ'!$X$97,$A26,1),""))</f>
        <v>1</v>
      </c>
      <c r="CW26" s="207">
        <f>--ISNUMBER(IFERROR(SEARCH('PLANILLA DJ'!$X$98,$A26,1),""))</f>
        <v>1</v>
      </c>
      <c r="CX26" s="207">
        <f>--ISNUMBER(IFERROR(SEARCH('PLANILLA DJ'!$X$99,$A26,1),""))</f>
        <v>1</v>
      </c>
      <c r="CY26" s="207">
        <f>--ISNUMBER(IFERROR(SEARCH('PLANILLA DJ'!$X$100,$A26,1),""))</f>
        <v>1</v>
      </c>
      <c r="CZ26" s="207">
        <f>--ISNUMBER(IFERROR(SEARCH('PLANILLA DJ'!$X$101,$A26,1),""))</f>
        <v>1</v>
      </c>
      <c r="DA26" s="207">
        <f>--ISNUMBER(IFERROR(SEARCH('PLANILLA DJ'!$X$102,$A26,1),""))</f>
        <v>1</v>
      </c>
      <c r="DB26" s="206">
        <f>IF(F26=1,COUNTIF($F$2:F26,1),"")</f>
        <v>25</v>
      </c>
      <c r="DC26" s="206">
        <f>IF(G26=1,COUNTIF($G$2:G26,1),"")</f>
        <v>25</v>
      </c>
      <c r="DD26" s="206">
        <f>IF(H26=1,COUNTIF($H$2:H26,1),"")</f>
        <v>25</v>
      </c>
      <c r="DE26" s="206">
        <f>IF(I26=1,COUNTIF($I$2:I26,1),"")</f>
        <v>25</v>
      </c>
      <c r="DF26" s="206">
        <f>IF(J26=1,COUNTIF($J$2:J26,1),"")</f>
        <v>25</v>
      </c>
      <c r="DG26" s="206">
        <f>IF(K26=1,COUNTIF($K$2:K26,1),"")</f>
        <v>25</v>
      </c>
      <c r="DH26" s="206">
        <f>IF(L26=1,COUNTIF($L$2:L26,1),"")</f>
        <v>25</v>
      </c>
      <c r="DI26" s="206">
        <f>IF(M26=1,COUNTIF($M$2:M26,1),"")</f>
        <v>25</v>
      </c>
      <c r="DJ26" s="206">
        <f>IF(N26=1,COUNTIF($N$2:N26,1),"")</f>
        <v>25</v>
      </c>
      <c r="DK26" s="206">
        <f>IF(O26=1,COUNTIF($O$2:O26,1),"")</f>
        <v>25</v>
      </c>
      <c r="DL26" s="206">
        <f>IF(P26=1,COUNTIF($P$2:P26,1),"")</f>
        <v>25</v>
      </c>
      <c r="DM26" s="206">
        <f>IF(Q26=1,COUNTIF($Q$2:Q26,1),"")</f>
        <v>25</v>
      </c>
      <c r="DN26" s="207">
        <f>IF(R26=1,COUNTIF($R$2:R26,1),"")</f>
        <v>25</v>
      </c>
      <c r="DO26" s="207">
        <f>IF(S26=1,COUNTIF($S$2:S26,1),"")</f>
        <v>25</v>
      </c>
      <c r="DP26" s="207">
        <f>IF(T26=1,COUNTIF($T$2:T26,1),"")</f>
        <v>25</v>
      </c>
      <c r="DQ26" s="207">
        <f>IF(U26=1,COUNTIF($U$2:U26,1),"")</f>
        <v>25</v>
      </c>
      <c r="DR26" s="207">
        <f>IF(V26=1,COUNTIF($V$2:V26,1),"")</f>
        <v>25</v>
      </c>
      <c r="DS26" s="207">
        <f>IF(W26=1,COUNTIF($W$2:W26,1),"")</f>
        <v>25</v>
      </c>
      <c r="DT26" s="207">
        <f>IF(X26=1,COUNTIF($X$2:X26,1),"")</f>
        <v>25</v>
      </c>
      <c r="DU26" s="207">
        <f>IF(Y26=1,COUNTIF($Y$2:Y26,1),"")</f>
        <v>25</v>
      </c>
      <c r="DV26" s="207">
        <f>IF(Z26=1,COUNTIF(Z$2:Z26,1),"")</f>
        <v>25</v>
      </c>
      <c r="DW26" s="207">
        <f>IF(AA26=1,COUNTIF($AA$2:AA26,1),"")</f>
        <v>25</v>
      </c>
      <c r="DX26" s="207">
        <f>IF(AB26=1,COUNTIF($AB$2:AB26,1),"")</f>
        <v>25</v>
      </c>
      <c r="DY26" s="207">
        <f>IF(AC26=1,COUNTIF($AC$2:AC26,1),"")</f>
        <v>25</v>
      </c>
      <c r="DZ26" s="207">
        <f>IF(AD26=1,COUNTIF($AD$2:AD26,1),"")</f>
        <v>25</v>
      </c>
      <c r="EA26" s="207">
        <f>IF(AE26=1,COUNTIF($AE$2:AE26,1),"")</f>
        <v>25</v>
      </c>
      <c r="EB26" s="207">
        <f>IF(AF26=1,COUNTIF($AF$2:AF26,1),"")</f>
        <v>25</v>
      </c>
      <c r="EC26" s="207">
        <f>IF(AG26=1,COUNTIF($AG$2:AG26,1),"")</f>
        <v>25</v>
      </c>
      <c r="ED26" s="207">
        <f>IF(AH26=1,COUNTIF($AH$2:AH26,1),"")</f>
        <v>25</v>
      </c>
      <c r="EE26" s="207">
        <f>IF(AI26=1,COUNTIF($AI$2:AI26,1),"")</f>
        <v>25</v>
      </c>
      <c r="EF26" s="207">
        <f>IF(AJ26=1,COUNTIF($AJ$2:AJ26,1),"")</f>
        <v>25</v>
      </c>
      <c r="EG26" s="207">
        <f>IF(AK26=1,COUNTIF($AK$2:AK26,1),"")</f>
        <v>25</v>
      </c>
      <c r="EH26" s="207">
        <f>IF(AL26=1,COUNTIF($AL$2:AL26,1),"")</f>
        <v>25</v>
      </c>
      <c r="EI26" s="207">
        <f>IF(AM26=1,COUNTIF($AM$2:AM26,1),"")</f>
        <v>25</v>
      </c>
      <c r="EJ26" s="207">
        <f>IF(AN26=1,COUNTIF($AN$2:AN26,1),"")</f>
        <v>25</v>
      </c>
      <c r="EK26" s="207">
        <f>IF(AO26=1,COUNTIF($AO$2:AO26,1),"")</f>
        <v>25</v>
      </c>
      <c r="EL26" s="207">
        <f>IF(AP26=1,COUNTIF($AP$2:AP26,1),"")</f>
        <v>25</v>
      </c>
      <c r="EM26" s="207">
        <f>IF(AQ26=1,COUNTIF($AQ$2:AQ26,1),"")</f>
        <v>25</v>
      </c>
      <c r="EN26" s="207">
        <f>IF(AR26=1,COUNTIF($AR$2:AR26,1),"")</f>
        <v>25</v>
      </c>
      <c r="EO26" s="207">
        <f>IF(AS26=1,COUNTIF($AS$2:AS26,1),"")</f>
        <v>25</v>
      </c>
      <c r="EP26" s="207">
        <f>IF(AT26=1,COUNTIF($AT$2:AT26,1),"")</f>
        <v>25</v>
      </c>
      <c r="EQ26" s="207">
        <f>IF(AU26=1,COUNTIF($AU$2:AU26,1),"")</f>
        <v>25</v>
      </c>
      <c r="ER26" s="207">
        <f>IF(AV26=1,COUNTIF($AV$2:AV26,1),"")</f>
        <v>25</v>
      </c>
      <c r="ES26" s="207">
        <f>IF(AW26=1,COUNTIF($AW$2:AW26,1),"")</f>
        <v>25</v>
      </c>
      <c r="ET26" s="207">
        <f>IF(AX26=1,COUNTIF($AX$2:AX26,1),"")</f>
        <v>25</v>
      </c>
      <c r="EU26" s="207">
        <f>IF(AY26=1,COUNTIF($AY$2:AY26,1),"")</f>
        <v>25</v>
      </c>
      <c r="EV26" s="207">
        <f>IF(AZ26=1,COUNTIF($AZ$2:AZ26,1),"")</f>
        <v>25</v>
      </c>
      <c r="EW26" s="207">
        <f>IF(BA26=1,COUNTIF($BA$2:BA26,1),"")</f>
        <v>25</v>
      </c>
      <c r="EX26" s="207">
        <f>IF(BB26=1,COUNTIF($BB$2:BB26,1),"")</f>
        <v>25</v>
      </c>
      <c r="EY26" s="207">
        <f>IF(BC26=1,COUNTIF($BC$2:BC26,1),"")</f>
        <v>25</v>
      </c>
      <c r="EZ26" s="207">
        <f>IF(BD26=1,COUNTIF($BD$2:BD26,1),"")</f>
        <v>25</v>
      </c>
      <c r="FA26" s="207">
        <f>IF(BE26=1,COUNTIF($BE$2:BE26,1),"")</f>
        <v>25</v>
      </c>
      <c r="FB26" s="207">
        <f>IF(BF26=1,COUNTIF($BF$2:BF26,1),"")</f>
        <v>25</v>
      </c>
      <c r="FC26" s="207">
        <f>IF(BG26=1,COUNTIF($BG$2:BG26,1),"")</f>
        <v>25</v>
      </c>
      <c r="FD26" s="207">
        <f>IF(BH26=1,COUNTIF($BH$2:BH26,1),"")</f>
        <v>25</v>
      </c>
      <c r="FE26" s="207">
        <f>IF(BI26=1,COUNTIF($BI$2:BI26,1),"")</f>
        <v>25</v>
      </c>
      <c r="FF26" s="207">
        <f>IF(BJ26=1,COUNTIF($BJ$2:BJ26,1),"")</f>
        <v>25</v>
      </c>
      <c r="FG26" s="207">
        <f>IF(BK26=1,COUNTIF($BK$2:BK26,1),"")</f>
        <v>25</v>
      </c>
      <c r="FH26" s="207">
        <f>IF(BL26=1,COUNTIF($BL$2:BL26,1),"")</f>
        <v>25</v>
      </c>
      <c r="FI26" s="207">
        <f>IF(BM26=1,COUNTIF($BM$2:BM26,1),"")</f>
        <v>25</v>
      </c>
      <c r="FJ26" s="207">
        <f>IF(BN26=1,COUNTIF($BN$2:BN26,1),"")</f>
        <v>25</v>
      </c>
      <c r="FK26" s="207">
        <f>IF(BO26=1,COUNTIF($BO$2:BO26,1),"")</f>
        <v>25</v>
      </c>
      <c r="FL26" s="207">
        <f>IF(BP26=1,COUNTIF($BP$2:BP26,1),"")</f>
        <v>25</v>
      </c>
      <c r="FM26" s="207">
        <f>IF(BQ26=1,COUNTIF($BQ$2:BQ26,1),"")</f>
        <v>25</v>
      </c>
      <c r="FN26" s="207">
        <f>IF(BR26=1,COUNTIF($BR$2:BR26,1),"")</f>
        <v>25</v>
      </c>
      <c r="FO26" s="207">
        <f>IF(BS26=1,COUNTIF($BS$2:BS26,1),"")</f>
        <v>25</v>
      </c>
      <c r="FP26" s="207">
        <f>IF(BT26=1,COUNTIF($BT$2:BT26,1),"")</f>
        <v>25</v>
      </c>
      <c r="FQ26" s="207">
        <f>IF(BU26=1,COUNTIF($BU$2:BU26,1),"")</f>
        <v>25</v>
      </c>
      <c r="FR26" s="207">
        <f>IF(BV26=1,COUNTIF($BV$2:BV26,1),"")</f>
        <v>25</v>
      </c>
      <c r="FS26" s="207">
        <f>IF(BW26=1,COUNTIF($BW$2:BW26,1),"")</f>
        <v>25</v>
      </c>
      <c r="FT26" s="207">
        <f>IF(BX26=1,COUNTIF($BX$2:BX26,1),"")</f>
        <v>25</v>
      </c>
      <c r="FU26" s="207">
        <f>IF(BY26=1,COUNTIF($BY$2:BY26,1),"")</f>
        <v>25</v>
      </c>
      <c r="FV26" s="207">
        <f>IF(BZ26=1,COUNTIF($BZ$2:BZ26,1),"")</f>
        <v>25</v>
      </c>
      <c r="FW26" s="207">
        <f>IF(CA26=1,COUNTIF($CA$2:CA26,1),"")</f>
        <v>25</v>
      </c>
      <c r="FX26" s="207">
        <f>IF(CB26=1,COUNTIF($CB$2:CB26,1),"")</f>
        <v>25</v>
      </c>
      <c r="FY26" s="207">
        <f>IF(CC26=1,COUNTIF($CC$2:CC26,1),"")</f>
        <v>25</v>
      </c>
      <c r="FZ26" s="207">
        <f>IF(CD26=1,COUNTIF($CD$2:CD26,1),"")</f>
        <v>25</v>
      </c>
      <c r="GA26" s="207">
        <f>IF(CE26=1,COUNTIF($CE$2:CE26,1),"")</f>
        <v>25</v>
      </c>
      <c r="GB26" s="207">
        <f>IF(CF26=1,COUNTIF($CF$2:CF26,1),"")</f>
        <v>25</v>
      </c>
      <c r="GC26" s="207">
        <f>IF(CG26=1,COUNTIF($CG$2:CG26,1),"")</f>
        <v>25</v>
      </c>
      <c r="GD26" s="207">
        <f>IF(CH26=1,COUNTIF($CH$2:CH26,1),"")</f>
        <v>25</v>
      </c>
      <c r="GE26" s="207">
        <f>IF(CI26=1,COUNTIF($CI$2:CI26,1),"")</f>
        <v>25</v>
      </c>
      <c r="GF26" s="207">
        <f>IF(CJ26=1,COUNTIF($CJ$2:CJ26,1),"")</f>
        <v>25</v>
      </c>
      <c r="GG26" s="207">
        <f>IF(CK26=1,COUNTIF($CK$2:CK26,1),"")</f>
        <v>25</v>
      </c>
      <c r="GH26" s="207">
        <f>IF(CL26=1,COUNTIF($CL$2:CL26,1),"")</f>
        <v>25</v>
      </c>
      <c r="GI26" s="207">
        <f>IF(CM26=1,COUNTIF($CM$2:CM26,1),"")</f>
        <v>25</v>
      </c>
      <c r="GJ26" s="207">
        <f>IF(CN26=1,COUNTIF($CN$2:CN26,1),"")</f>
        <v>25</v>
      </c>
      <c r="GK26" s="207">
        <f>IF(CO26=1,COUNTIF($CO$2:CO26,1),"")</f>
        <v>25</v>
      </c>
      <c r="GL26" s="207">
        <f>IF(CP26=1,COUNTIF($CP$2:CP26,1),"")</f>
        <v>25</v>
      </c>
      <c r="GM26" s="207">
        <f>IF(CQ26=1,COUNTIF($CQ$2:CQ26,1),"")</f>
        <v>25</v>
      </c>
      <c r="GN26" s="207">
        <f>IF(CR26=1,COUNTIF($CR$2:CR26,1),"")</f>
        <v>25</v>
      </c>
      <c r="GO26" s="207">
        <f>IF(CS26=1,COUNTIF($CS$2:CS26,1),"")</f>
        <v>25</v>
      </c>
      <c r="GP26" s="207">
        <f>IF(CT26=1,COUNTIF($CT$2:CT26,1),"")</f>
        <v>25</v>
      </c>
      <c r="GQ26" s="207">
        <f>IF(CU26=1,COUNTIF($CU$2:CU26,1),"")</f>
        <v>25</v>
      </c>
      <c r="GR26" s="207">
        <f>IF(CV26=1,COUNTIF($CV$2:CV26,1),"")</f>
        <v>25</v>
      </c>
      <c r="GS26" s="207">
        <f>IF(CW26=1,COUNTIF($CW$2:CW26,1),"")</f>
        <v>25</v>
      </c>
      <c r="GT26" s="207">
        <f>IF(CX26=1,COUNTIF($CX$2:CX26,1),"")</f>
        <v>25</v>
      </c>
      <c r="GU26" s="207">
        <f>IF(CY26=1,COUNTIF($CY$2:CY26,1),"")</f>
        <v>25</v>
      </c>
      <c r="GV26" s="207">
        <f>IF(CZ26=1,COUNTIF($CZ$2:CZ26,1),"")</f>
        <v>25</v>
      </c>
      <c r="GW26" s="207">
        <f>IF(DA26=1,COUNTIF($DA$2:DA26,1),"")</f>
        <v>25</v>
      </c>
      <c r="GX26" s="206" t="str">
        <f>IFERROR(INDEX($A$2:$A$113,MATCH(ROWS($DB$2:DB26),$DB$2:$DB$113,0)),"")</f>
        <v xml:space="preserve">OTRO DELITO CONTRA LA INTEGRIDAD SEXUAL </v>
      </c>
      <c r="GY26" s="206" t="str">
        <f>IFERROR(INDEX($A$2:$A$113,MATCH(ROWS($DC$2:DC26),$DC$2:$DC$113,0)),"")</f>
        <v xml:space="preserve">OTRO DELITO CONTRA LA INTEGRIDAD SEXUAL </v>
      </c>
      <c r="GZ26" s="206" t="str">
        <f>IFERROR(INDEX($A$2:$A$113,MATCH(ROWS($DD$2:DD26),$DD$2:$DD$113,0)),"")</f>
        <v xml:space="preserve">OTRO DELITO CONTRA LA INTEGRIDAD SEXUAL </v>
      </c>
      <c r="HA26" s="206" t="str">
        <f>IFERROR(INDEX($A$2:$A$113,MATCH(ROWS($DE$2:DE26),$DE$2:$DE$113,0)),"")</f>
        <v xml:space="preserve">OTRO DELITO CONTRA LA INTEGRIDAD SEXUAL </v>
      </c>
      <c r="HB26" s="206" t="str">
        <f>IFERROR(INDEX($A$2:$A$113,MATCH(ROWS($DF$2:DF26),$DF$2:$DF$113,0)),"")</f>
        <v xml:space="preserve">OTRO DELITO CONTRA LA INTEGRIDAD SEXUAL </v>
      </c>
      <c r="HC26" s="206" t="str">
        <f>IFERROR(INDEX($A$2:$A$113,MATCH(ROWS($DG$2:DG26),$DG$2:$DG$113,0)),"")</f>
        <v xml:space="preserve">OTRO DELITO CONTRA LA INTEGRIDAD SEXUAL </v>
      </c>
      <c r="HD26" s="206" t="str">
        <f>IFERROR(INDEX($A$2:$A$113,MATCH(ROWS($DH$2:DH26),$DH$2:$DH$113,0)),"")</f>
        <v xml:space="preserve">OTRO DELITO CONTRA LA INTEGRIDAD SEXUAL </v>
      </c>
      <c r="HE26" s="206" t="str">
        <f>IFERROR(INDEX($A$2:$A$113,MATCH(ROWS($DI$2:DI26),$DI$2:$DI$113,0)),"")</f>
        <v xml:space="preserve">OTRO DELITO CONTRA LA INTEGRIDAD SEXUAL </v>
      </c>
      <c r="HF26" s="206" t="str">
        <f>IFERROR(INDEX($A$2:$A$113,MATCH(ROWS($DJ$2:DJ26),$DJ$2:$DJ$113,0)),"")</f>
        <v xml:space="preserve">OTRO DELITO CONTRA LA INTEGRIDAD SEXUAL </v>
      </c>
      <c r="HG26" s="206" t="str">
        <f>IFERROR(INDEX($A$2:$A$113,MATCH(ROWS($DK$2:DK26),$DK$2:$DK$113,0)),"")</f>
        <v xml:space="preserve">OTRO DELITO CONTRA LA INTEGRIDAD SEXUAL </v>
      </c>
      <c r="HH26" s="206" t="str">
        <f>IFERROR(INDEX($A$2:$A$113,MATCH(ROWS($DL$2:DL26),$DL$2:$DL$113,0)),"")</f>
        <v xml:space="preserve">OTRO DELITO CONTRA LA INTEGRIDAD SEXUAL </v>
      </c>
      <c r="HI26" s="206" t="str">
        <f>IFERROR(INDEX($A$2:$A$113,MATCH(ROWS($DM$2:DM26),$DM$2:$DM$113,0)),"")</f>
        <v xml:space="preserve">OTRO DELITO CONTRA LA INTEGRIDAD SEXUAL </v>
      </c>
      <c r="HJ26" s="206" t="str">
        <f>IFERROR(INDEX($A$2:$A$113,MATCH(ROWS($DN$2:DN26),$DN$2:$DN$113,0)),"")</f>
        <v xml:space="preserve">OTRO DELITO CONTRA LA INTEGRIDAD SEXUAL </v>
      </c>
      <c r="HK26" s="206" t="str">
        <f>IFERROR(INDEX($A$2:$A$113,MATCH(ROWS($DO$2:DO26),$DO$2:$DO$113,0)),"")</f>
        <v xml:space="preserve">OTRO DELITO CONTRA LA INTEGRIDAD SEXUAL </v>
      </c>
      <c r="HL26" s="206" t="str">
        <f>IFERROR(INDEX($A$2:$A$113,MATCH(ROWS($DP$2:DP26),$DP$2:$DP$113,0)),"")</f>
        <v xml:space="preserve">OTRO DELITO CONTRA LA INTEGRIDAD SEXUAL </v>
      </c>
      <c r="HM26" s="206" t="str">
        <f>IFERROR(INDEX($A$2:$A$113,MATCH(ROWS($DQ$2:DQ26),$DQ$2:$DQ$113,0)),"")</f>
        <v xml:space="preserve">OTRO DELITO CONTRA LA INTEGRIDAD SEXUAL </v>
      </c>
      <c r="HN26" s="206" t="str">
        <f>IFERROR(INDEX($A$2:$A$113,MATCH(ROWS($DR$2:DR26),$DR$2:$DR$113,0)),"")</f>
        <v xml:space="preserve">OTRO DELITO CONTRA LA INTEGRIDAD SEXUAL </v>
      </c>
      <c r="HO26" s="206" t="str">
        <f>IFERROR(INDEX($A$2:$A$113,MATCH(ROWS($DS$2:DS26),$DS$2:$DS$113,0)),"")</f>
        <v xml:space="preserve">OTRO DELITO CONTRA LA INTEGRIDAD SEXUAL </v>
      </c>
      <c r="HP26" s="206" t="str">
        <f>IFERROR(INDEX($A$2:$A$113,MATCH(ROWS($DT$2:DT26),$DT$2:$DT$113,0)),"")</f>
        <v xml:space="preserve">OTRO DELITO CONTRA LA INTEGRIDAD SEXUAL </v>
      </c>
      <c r="HQ26" s="206" t="str">
        <f>IFERROR(INDEX($A$2:$A$113,MATCH(ROWS($DU$2:DU26),$DU$2:$DU$113,0)),"")</f>
        <v xml:space="preserve">OTRO DELITO CONTRA LA INTEGRIDAD SEXUAL </v>
      </c>
      <c r="HR26" s="206" t="str">
        <f>IFERROR(INDEX($A$2:$A$113,MATCH(ROWS($DV$2:DV26),$DV$2:$DV$113,0)),"")</f>
        <v xml:space="preserve">OTRO DELITO CONTRA LA INTEGRIDAD SEXUAL </v>
      </c>
      <c r="HS26" s="206" t="str">
        <f>IFERROR(INDEX($A$2:$A$113,MATCH(ROWS($DW$2:DW26),$DW$2:$DW$113,0)),"")</f>
        <v xml:space="preserve">OTRO DELITO CONTRA LA INTEGRIDAD SEXUAL </v>
      </c>
      <c r="HT26" s="206" t="str">
        <f>IFERROR(INDEX($A$2:$A$113,MATCH(ROWS($DX$2:DX26),$DX$2:$DX$113,0)),"")</f>
        <v xml:space="preserve">OTRO DELITO CONTRA LA INTEGRIDAD SEXUAL </v>
      </c>
      <c r="HU26" s="206" t="str">
        <f>IFERROR(INDEX($A$2:$A$113,MATCH(ROWS($DY$2:DY26),$DY$2:$DY$113,0)),"")</f>
        <v xml:space="preserve">OTRO DELITO CONTRA LA INTEGRIDAD SEXUAL </v>
      </c>
      <c r="HV26" s="206" t="str">
        <f>IFERROR(INDEX($A$2:$A$113,MATCH(ROWS($DZ$2:DZ26),$DZ$2:$DZ$113,0)),"")</f>
        <v xml:space="preserve">OTRO DELITO CONTRA LA INTEGRIDAD SEXUAL </v>
      </c>
      <c r="HW26" s="206" t="str">
        <f>IFERROR(INDEX($A$2:$A$113,MATCH(ROWS($EA$2:EA26),$EA$2:$EA$113,0)),"")</f>
        <v xml:space="preserve">OTRO DELITO CONTRA LA INTEGRIDAD SEXUAL </v>
      </c>
      <c r="HX26" s="206" t="str">
        <f>IFERROR(INDEX($A$2:$A$113,MATCH(ROWS($EB$2:EB26),$EB$2:$EB$113,0)),"")</f>
        <v xml:space="preserve">OTRO DELITO CONTRA LA INTEGRIDAD SEXUAL </v>
      </c>
      <c r="HY26" s="206" t="str">
        <f>IFERROR(INDEX($A$2:$A$113,MATCH(ROWS($EC$2:EC26),$EC$2:$EC$113,0)),"")</f>
        <v xml:space="preserve">OTRO DELITO CONTRA LA INTEGRIDAD SEXUAL </v>
      </c>
      <c r="HZ26" s="206" t="str">
        <f>IFERROR(INDEX($A$2:$A$113,MATCH(ROWS($ED$2:ED26),$ED$2:$ED$113,0)),"")</f>
        <v xml:space="preserve">OTRO DELITO CONTRA LA INTEGRIDAD SEXUAL </v>
      </c>
      <c r="IA26" s="206" t="str">
        <f>IFERROR(INDEX($A$2:$A$113,MATCH(ROWS($EE$2:EE26),$EE$2:$EE$113,0)),"")</f>
        <v xml:space="preserve">OTRO DELITO CONTRA LA INTEGRIDAD SEXUAL </v>
      </c>
      <c r="IB26" s="206" t="str">
        <f>IFERROR(INDEX($A$2:$A$113,MATCH(ROWS($EF$2:EF26),$EF$2:$EF$113,0)),"")</f>
        <v xml:space="preserve">OTRO DELITO CONTRA LA INTEGRIDAD SEXUAL </v>
      </c>
      <c r="IC26" s="206" t="str">
        <f>IFERROR(INDEX($A$2:$A$113,MATCH(ROWS($EG$2:EG26),$EG$2:$EG$113,0)),"")</f>
        <v xml:space="preserve">OTRO DELITO CONTRA LA INTEGRIDAD SEXUAL </v>
      </c>
      <c r="ID26" s="206" t="str">
        <f>IFERROR(INDEX($A$2:$A$113,MATCH(ROWS($EH$2:EH26),$EH$2:$EH$113,0)),"")</f>
        <v xml:space="preserve">OTRO DELITO CONTRA LA INTEGRIDAD SEXUAL </v>
      </c>
      <c r="IE26" s="206" t="str">
        <f>IFERROR(INDEX($A$2:$A$113,MATCH(ROWS($EI$2:EI26),$EI$2:$EI$113,0)),"")</f>
        <v xml:space="preserve">OTRO DELITO CONTRA LA INTEGRIDAD SEXUAL </v>
      </c>
      <c r="IF26" s="206" t="str">
        <f>IFERROR(INDEX($A$2:$A$113,MATCH(ROWS($EJ$2:EJ26),$EJ$2:$EJ$113,0)),"")</f>
        <v xml:space="preserve">OTRO DELITO CONTRA LA INTEGRIDAD SEXUAL </v>
      </c>
      <c r="IG26" s="206" t="str">
        <f>IFERROR(INDEX($A$2:$A$113,MATCH(ROWS($EK$2:EK26),$EK$2:$EK$113,0)),"")</f>
        <v xml:space="preserve">OTRO DELITO CONTRA LA INTEGRIDAD SEXUAL </v>
      </c>
      <c r="IH26" s="206" t="str">
        <f>IFERROR(INDEX($A$2:$A$113,MATCH(ROWS($EL$2:EL26),$EL$2:$EL$113,0)),"")</f>
        <v xml:space="preserve">OTRO DELITO CONTRA LA INTEGRIDAD SEXUAL </v>
      </c>
      <c r="II26" s="206" t="str">
        <f>IFERROR(INDEX($A$2:$A$113,MATCH(ROWS($EM$2:EM26),$EM$2:$EM$113,0)),"")</f>
        <v xml:space="preserve">OTRO DELITO CONTRA LA INTEGRIDAD SEXUAL </v>
      </c>
      <c r="IJ26" s="206" t="str">
        <f>IFERROR(INDEX($A$2:$A$113,MATCH(ROWS($EN$2:EN26),$EN$2:$EN$113,0)),"")</f>
        <v xml:space="preserve">OTRO DELITO CONTRA LA INTEGRIDAD SEXUAL </v>
      </c>
      <c r="IK26" s="207" t="str">
        <f>IFERROR(INDEX($A$2:$A$113,MATCH(ROWS($EO$2:EO26),$EO$2:$EO$113,0)),"")</f>
        <v xml:space="preserve">OTRO DELITO CONTRA LA INTEGRIDAD SEXUAL </v>
      </c>
      <c r="IL26" s="207" t="str">
        <f>IFERROR(INDEX($A$2:$A$113,MATCH(ROWS($EP$2:EP26),$EP$2:$EP$113,0)),"")</f>
        <v xml:space="preserve">OTRO DELITO CONTRA LA INTEGRIDAD SEXUAL </v>
      </c>
      <c r="IM26" s="207" t="str">
        <f>IFERROR(INDEX($A$2:$A$113,MATCH(ROWS($EQ$2:EQ26),$EQ$2:$EQ$113,0)),"")</f>
        <v xml:space="preserve">OTRO DELITO CONTRA LA INTEGRIDAD SEXUAL </v>
      </c>
      <c r="IN26" s="207" t="str">
        <f>IFERROR(INDEX($A$2:$A$113,MATCH(ROWS($ER$2:ER26),$ER$2:$ER$113,0)),"")</f>
        <v xml:space="preserve">OTRO DELITO CONTRA LA INTEGRIDAD SEXUAL </v>
      </c>
      <c r="IO26" s="207" t="str">
        <f>IFERROR(INDEX($A$2:$A$113,MATCH(ROWS($ES$2:ES26),$ES$2:$ES$113,0)),"")</f>
        <v xml:space="preserve">OTRO DELITO CONTRA LA INTEGRIDAD SEXUAL </v>
      </c>
      <c r="IP26" s="207" t="str">
        <f>IFERROR(INDEX($A$2:$A$113,MATCH(ROWS($ET$2:ET26),$ET$2:$ET$113,0)),"")</f>
        <v xml:space="preserve">OTRO DELITO CONTRA LA INTEGRIDAD SEXUAL </v>
      </c>
      <c r="IQ26" s="207" t="str">
        <f>IFERROR(INDEX($A$2:$A$113,MATCH(ROWS($EU$2:EU26),$EU$2:$EU$113,0)),"")</f>
        <v xml:space="preserve">OTRO DELITO CONTRA LA INTEGRIDAD SEXUAL </v>
      </c>
      <c r="IR26" s="207" t="str">
        <f>IFERROR(INDEX($A$2:$A$113,MATCH(ROWS($EV$2:EV26),$EV$2:$EV$113,0)),"")</f>
        <v xml:space="preserve">OTRO DELITO CONTRA LA INTEGRIDAD SEXUAL </v>
      </c>
      <c r="IS26" s="207" t="str">
        <f>IFERROR(INDEX($A$2:$A$113,MATCH(ROWS($EW$2:EW26),$EW$2:$EW$113,0)),"")</f>
        <v xml:space="preserve">OTRO DELITO CONTRA LA INTEGRIDAD SEXUAL </v>
      </c>
      <c r="IT26" s="207" t="str">
        <f>IFERROR(INDEX($A$2:$A$113,MATCH(ROWS($EX$2:EX26),$EX$2:$EX$113,0)),"")</f>
        <v xml:space="preserve">OTRO DELITO CONTRA LA INTEGRIDAD SEXUAL </v>
      </c>
      <c r="IU26" s="207" t="str">
        <f>IFERROR(INDEX($A$2:$A$113,MATCH(ROWS($EY$2:EY26),$EY$2:$EY$113,0)),"")</f>
        <v xml:space="preserve">OTRO DELITO CONTRA LA INTEGRIDAD SEXUAL </v>
      </c>
      <c r="IV26" s="207" t="str">
        <f>IFERROR(INDEX($A$2:$A$113,MATCH(ROWS($EZ$2:EZ26),$EZ$2:$EZ$113,0)),"")</f>
        <v xml:space="preserve">OTRO DELITO CONTRA LA INTEGRIDAD SEXUAL </v>
      </c>
      <c r="IW26" s="207" t="str">
        <f>IFERROR(INDEX($A$2:$A$113,MATCH(ROWS($FA$2:FA26),$FA$2:$FA$113,0)),"")</f>
        <v xml:space="preserve">OTRO DELITO CONTRA LA INTEGRIDAD SEXUAL </v>
      </c>
      <c r="IX26" s="207" t="str">
        <f>IFERROR(INDEX($A$2:$A$113,MATCH(ROWS($FB$2:FB26),$FB$2:$FB$113,0)),"")</f>
        <v xml:space="preserve">OTRO DELITO CONTRA LA INTEGRIDAD SEXUAL </v>
      </c>
      <c r="IY26" s="207" t="str">
        <f>IFERROR(INDEX($A$2:$A$113,MATCH(ROWS($FC$2:FC26),$FC$2:$FC$113,0)),"")</f>
        <v xml:space="preserve">OTRO DELITO CONTRA LA INTEGRIDAD SEXUAL </v>
      </c>
      <c r="IZ26" s="207" t="str">
        <f>IFERROR(INDEX($A$2:$A$113,MATCH(ROWS($FD$2:FD26),$FD$2:$FD$113,0)),"")</f>
        <v xml:space="preserve">OTRO DELITO CONTRA LA INTEGRIDAD SEXUAL </v>
      </c>
      <c r="JA26" s="207" t="str">
        <f>IFERROR(INDEX($A$2:$A$113,MATCH(ROWS($FE$2:FE26),$FE$2:$FE$113,0)),"")</f>
        <v xml:space="preserve">OTRO DELITO CONTRA LA INTEGRIDAD SEXUAL </v>
      </c>
      <c r="JB26" s="207" t="str">
        <f>IFERROR(INDEX($A$2:$A$113,MATCH(ROWS($FF$2:FF26),$FF$2:$FF$113,0)),"")</f>
        <v xml:space="preserve">OTRO DELITO CONTRA LA INTEGRIDAD SEXUAL </v>
      </c>
      <c r="JC26" s="207" t="str">
        <f>IFERROR(INDEX($A$2:$A$113,MATCH(ROWS($FG$2:FG26),$FG$2:$FG$113,0)),"")</f>
        <v xml:space="preserve">OTRO DELITO CONTRA LA INTEGRIDAD SEXUAL </v>
      </c>
      <c r="JD26" s="207" t="str">
        <f>IFERROR(INDEX($A$2:$A$113,MATCH(ROWS($FH$2:FH26),$FH$2:$FH$113,0)),"")</f>
        <v xml:space="preserve">OTRO DELITO CONTRA LA INTEGRIDAD SEXUAL </v>
      </c>
      <c r="JE26" s="207" t="str">
        <f>IFERROR(INDEX($A$2:$A$113,MATCH(ROWS($FI$2:FI26),$FI$2:$FI$113,0)),"")</f>
        <v xml:space="preserve">OTRO DELITO CONTRA LA INTEGRIDAD SEXUAL </v>
      </c>
      <c r="JF26" s="207" t="str">
        <f>IFERROR(INDEX($A$2:$A$113,MATCH(ROWS($FJ$2:FJ26),$FJ$2:$FJ$113,0)),"")</f>
        <v xml:space="preserve">OTRO DELITO CONTRA LA INTEGRIDAD SEXUAL </v>
      </c>
      <c r="JG26" s="207" t="str">
        <f>IFERROR(INDEX($A$2:$A$113,MATCH(ROWS($FK$2:FK26),$FK$2:$FK$113,0)),"")</f>
        <v xml:space="preserve">OTRO DELITO CONTRA LA INTEGRIDAD SEXUAL </v>
      </c>
      <c r="JH26" s="207" t="str">
        <f>IFERROR(INDEX($A$2:$A$113,MATCH(ROWS($FL$2:FL26),$FL$2:$FL$113,0)),"")</f>
        <v xml:space="preserve">OTRO DELITO CONTRA LA INTEGRIDAD SEXUAL </v>
      </c>
      <c r="JI26" s="207" t="str">
        <f>IFERROR(INDEX($A$2:$A$113,MATCH(ROWS($FM$2:FM26),$FM$2:$FM$113,0)),"")</f>
        <v xml:space="preserve">OTRO DELITO CONTRA LA INTEGRIDAD SEXUAL </v>
      </c>
      <c r="JJ26" s="207" t="str">
        <f>IFERROR(INDEX($A$2:$A$113,MATCH(ROWS($FN$2:FN26),$FN$2:$FN$113,0)),"")</f>
        <v xml:space="preserve">OTRO DELITO CONTRA LA INTEGRIDAD SEXUAL </v>
      </c>
      <c r="JK26" s="207" t="str">
        <f>IFERROR(INDEX($A$2:$A$113,MATCH(ROWS($FO$2:FO26),$FO$2:$FO$113,0)),"")</f>
        <v xml:space="preserve">OTRO DELITO CONTRA LA INTEGRIDAD SEXUAL </v>
      </c>
      <c r="JL26" s="207" t="str">
        <f>IFERROR(INDEX($A$2:$A$113,MATCH(ROWS($FP$2:FP26),$FP$2:$FP$113,0)),"")</f>
        <v xml:space="preserve">OTRO DELITO CONTRA LA INTEGRIDAD SEXUAL </v>
      </c>
      <c r="JM26" s="207" t="str">
        <f>IFERROR(INDEX($A$2:$A$113,MATCH(ROWS($FQ$2:FQ26),$FQ$2:$FQ$113,0)),"")</f>
        <v xml:space="preserve">OTRO DELITO CONTRA LA INTEGRIDAD SEXUAL </v>
      </c>
      <c r="JN26" s="207" t="str">
        <f>IFERROR(INDEX($A$2:$A$113,MATCH(ROWS($FR$2:FR26),$FR$2:$FR$113,0)),"")</f>
        <v xml:space="preserve">OTRO DELITO CONTRA LA INTEGRIDAD SEXUAL </v>
      </c>
      <c r="JO26" s="207" t="str">
        <f>IFERROR(INDEX($A$2:$A$113,MATCH(ROWS($FS$2:FS26),$FS$2:$FS$113,0)),"")</f>
        <v xml:space="preserve">OTRO DELITO CONTRA LA INTEGRIDAD SEXUAL </v>
      </c>
      <c r="JP26" s="207" t="str">
        <f>IFERROR(INDEX($A$2:$A$113,MATCH(ROWS($FT$2:FT26),$FT$2:$FT$113,0)),"")</f>
        <v xml:space="preserve">OTRO DELITO CONTRA LA INTEGRIDAD SEXUAL </v>
      </c>
      <c r="JQ26" s="207" t="str">
        <f>IFERROR(INDEX($A$2:$A$113,MATCH(ROWS($FU$2:FU26),$FU$2:$FU$113,0)),"")</f>
        <v xml:space="preserve">OTRO DELITO CONTRA LA INTEGRIDAD SEXUAL </v>
      </c>
      <c r="JR26" s="207" t="str">
        <f>IFERROR(INDEX($A$2:$A$113,MATCH(ROWS($FV$2:FV26),$FV$2:$FV$113,0)),"")</f>
        <v xml:space="preserve">OTRO DELITO CONTRA LA INTEGRIDAD SEXUAL </v>
      </c>
      <c r="JS26" s="207" t="str">
        <f>IFERROR(INDEX($A$2:$A$113,MATCH(ROWS($FW$2:FW26),$FW$2:$FW$113,0)),"")</f>
        <v xml:space="preserve">OTRO DELITO CONTRA LA INTEGRIDAD SEXUAL </v>
      </c>
      <c r="JT26" s="207" t="str">
        <f>IFERROR(INDEX($A$2:$A$113,MATCH(ROWS($FX$2:FX26),$FX$2:$FX$113,0)),"")</f>
        <v xml:space="preserve">OTRO DELITO CONTRA LA INTEGRIDAD SEXUAL </v>
      </c>
      <c r="JU26" s="207" t="str">
        <f>IFERROR(INDEX($A$2:$A$113,MATCH(ROWS($FY$2:FY26),$FY$2:$FY$113,0)),"")</f>
        <v xml:space="preserve">OTRO DELITO CONTRA LA INTEGRIDAD SEXUAL </v>
      </c>
      <c r="JV26" s="207" t="str">
        <f>IFERROR(INDEX($A$2:$A$113,MATCH(ROWS($FZ$2:FZ26),$FZ$2:$FZ$113,0)),"")</f>
        <v xml:space="preserve">OTRO DELITO CONTRA LA INTEGRIDAD SEXUAL </v>
      </c>
      <c r="JW26" s="207" t="str">
        <f>IFERROR(INDEX($A$2:$A$113,MATCH(ROWS($GA$2:GA26),$GA$2:$GA$113,0)),"")</f>
        <v xml:space="preserve">OTRO DELITO CONTRA LA INTEGRIDAD SEXUAL </v>
      </c>
      <c r="JX26" s="207" t="str">
        <f>IFERROR(INDEX($A$2:$A$113,MATCH(ROWS($GB$2:GB26),$GB$2:$GB$113,0)),"")</f>
        <v xml:space="preserve">OTRO DELITO CONTRA LA INTEGRIDAD SEXUAL </v>
      </c>
      <c r="JY26" s="207" t="str">
        <f>IFERROR(INDEX($A$2:$A$113,MATCH(ROWS($GC$2:GC26),$GC$2:$GC$113,0)),"")</f>
        <v xml:space="preserve">OTRO DELITO CONTRA LA INTEGRIDAD SEXUAL </v>
      </c>
      <c r="JZ26" s="207" t="str">
        <f>IFERROR(INDEX($A$2:$A$113,MATCH(ROWS($GD$2:GD26),$GD$2:$GD$113,0)),"")</f>
        <v xml:space="preserve">OTRO DELITO CONTRA LA INTEGRIDAD SEXUAL </v>
      </c>
      <c r="KA26" s="207" t="str">
        <f>IFERROR(INDEX($A$2:$A$113,MATCH(ROWS($GE$2:GE26),$GE$2:$GE$113,0)),"")</f>
        <v xml:space="preserve">OTRO DELITO CONTRA LA INTEGRIDAD SEXUAL </v>
      </c>
      <c r="KB26" s="207" t="str">
        <f>IFERROR(INDEX($A$2:$A$113,MATCH(ROWS($GF$2:GF26),$GF$2:$GF$113,0)),"")</f>
        <v xml:space="preserve">OTRO DELITO CONTRA LA INTEGRIDAD SEXUAL </v>
      </c>
      <c r="KC26" s="207" t="str">
        <f>IFERROR(INDEX($A$2:$A$113,MATCH(ROWS($GG$2:GG26),$GG$2:$GG$113,0)),"")</f>
        <v xml:space="preserve">OTRO DELITO CONTRA LA INTEGRIDAD SEXUAL </v>
      </c>
      <c r="KD26" s="207" t="str">
        <f>IFERROR(INDEX($A$2:$A$113,MATCH(ROWS($GH$2:GH26),$GH$2:$GH$113,0)),"")</f>
        <v xml:space="preserve">OTRO DELITO CONTRA LA INTEGRIDAD SEXUAL </v>
      </c>
      <c r="KE26" s="207" t="str">
        <f>IFERROR(INDEX($A$2:$A$113,MATCH(ROWS($GI$2:GI26),$GI$2:$GI$113,0)),"")</f>
        <v xml:space="preserve">OTRO DELITO CONTRA LA INTEGRIDAD SEXUAL </v>
      </c>
      <c r="KF26" s="207" t="str">
        <f>IFERROR(INDEX($A$2:$A$113,MATCH(ROWS($GJ$2:GJ26),$GJ$2:$GJ$113,0)),"")</f>
        <v xml:space="preserve">OTRO DELITO CONTRA LA INTEGRIDAD SEXUAL </v>
      </c>
      <c r="KG26" s="207" t="str">
        <f>IFERROR(INDEX($A$2:$A$113,MATCH(ROWS($GK$2:GK26),$GK$2:$GK$113,0)),"")</f>
        <v xml:space="preserve">OTRO DELITO CONTRA LA INTEGRIDAD SEXUAL </v>
      </c>
      <c r="KH26" s="207" t="str">
        <f>IFERROR(INDEX($A$2:$A$113,MATCH(ROWS($GL$2:GL26),$GL$2:$GL$113,0)),"")</f>
        <v xml:space="preserve">OTRO DELITO CONTRA LA INTEGRIDAD SEXUAL </v>
      </c>
      <c r="KI26" s="207" t="str">
        <f>IFERROR(INDEX($A$2:$A$113,MATCH(ROWS($GM$2:GM26),$GM$2:$GM$113,0)),"")</f>
        <v xml:space="preserve">OTRO DELITO CONTRA LA INTEGRIDAD SEXUAL </v>
      </c>
      <c r="KJ26" s="207" t="str">
        <f>IFERROR(INDEX($A$2:$A$113,MATCH(ROWS($GN$2:GN26),$GN$2:$GN$113,0)),"")</f>
        <v xml:space="preserve">OTRO DELITO CONTRA LA INTEGRIDAD SEXUAL </v>
      </c>
      <c r="KK26" s="207" t="str">
        <f>IFERROR(INDEX($A$2:$A$113,MATCH(ROWS($GO$2:GO26),$GO$2:$GO$113,0)),"")</f>
        <v xml:space="preserve">OTRO DELITO CONTRA LA INTEGRIDAD SEXUAL </v>
      </c>
      <c r="KL26" s="207" t="str">
        <f>IFERROR(INDEX($A$2:$A$113,MATCH(ROWS($GP$2:GP26),$GP$2:$GP$113,0)),"")</f>
        <v xml:space="preserve">OTRO DELITO CONTRA LA INTEGRIDAD SEXUAL </v>
      </c>
      <c r="KM26" s="207" t="str">
        <f>IFERROR(INDEX($A$2:$A$113,MATCH(ROWS($GQ$2:GQ26),$GQ$2:$GQ$113,0)),"")</f>
        <v xml:space="preserve">OTRO DELITO CONTRA LA INTEGRIDAD SEXUAL </v>
      </c>
      <c r="KN26" s="207" t="str">
        <f>IFERROR(INDEX($A$2:$A$113,MATCH(ROWS($GR$2:GR26),$GR$2:$GR$113,0)),"")</f>
        <v xml:space="preserve">OTRO DELITO CONTRA LA INTEGRIDAD SEXUAL </v>
      </c>
      <c r="KO26" s="207" t="str">
        <f>IFERROR(INDEX($A$2:$A$113,MATCH(ROWS($GS$2:GS26),$GS$2:$GS$113,0)),"")</f>
        <v xml:space="preserve">OTRO DELITO CONTRA LA INTEGRIDAD SEXUAL </v>
      </c>
      <c r="KP26" s="207" t="str">
        <f>IFERROR(INDEX($A$2:$A$113,MATCH(ROWS($GT$2:GT26),$GT$2:$GT$113,0)),"")</f>
        <v xml:space="preserve">OTRO DELITO CONTRA LA INTEGRIDAD SEXUAL </v>
      </c>
      <c r="KQ26" s="207" t="str">
        <f>IFERROR(INDEX($A$2:$A$113,MATCH(ROWS($GU$2:GU26),$GU$2:$GU$113,0)),"")</f>
        <v xml:space="preserve">OTRO DELITO CONTRA LA INTEGRIDAD SEXUAL </v>
      </c>
      <c r="KR26" s="207" t="str">
        <f>IFERROR(INDEX($A$2:$A$113,MATCH(ROWS($GV$2:GV26),$GV$2:$GV$113,0)),"")</f>
        <v xml:space="preserve">OTRO DELITO CONTRA LA INTEGRIDAD SEXUAL </v>
      </c>
      <c r="KS26" s="207" t="str">
        <f>IFERROR(INDEX($A$2:$A$113,MATCH(ROWS($GW$2:GW26),$GW$2:$GW$113,0)),"")</f>
        <v xml:space="preserve">OTRO DELITO CONTRA LA INTEGRIDAD SEXUAL </v>
      </c>
    </row>
    <row r="27" spans="1:305" x14ac:dyDescent="0.25">
      <c r="A27" s="206" t="s">
        <v>419</v>
      </c>
      <c r="B27" s="206">
        <v>8</v>
      </c>
      <c r="D27" s="206" t="s">
        <v>787</v>
      </c>
      <c r="E27" s="206" t="s">
        <v>506</v>
      </c>
      <c r="F27" s="207">
        <f>--ISNUMBER(IFERROR(SEARCH('PLANILLA DJ'!$X$3,$A27,1),""))</f>
        <v>1</v>
      </c>
      <c r="G27" s="207">
        <f>--ISNUMBER(IFERROR(SEARCH('PLANILLA DJ'!$X$4,$A27,1),""))</f>
        <v>1</v>
      </c>
      <c r="H27" s="207">
        <f>--ISNUMBER(IFERROR(SEARCH('PLANILLA DJ'!$X$5,$A27,1),""))</f>
        <v>1</v>
      </c>
      <c r="I27" s="207">
        <f>--ISNUMBER(IFERROR(SEARCH('PLANILLA DJ'!$X$6,$A27,1),""))</f>
        <v>1</v>
      </c>
      <c r="J27" s="207">
        <f>--ISNUMBER(IFERROR(SEARCH('PLANILLA DJ'!$X$7,$A27,1),""))</f>
        <v>1</v>
      </c>
      <c r="K27" s="207">
        <f>--ISNUMBER(IFERROR(SEARCH('PLANILLA DJ'!$X$8,$A27,1),""))</f>
        <v>1</v>
      </c>
      <c r="L27" s="207">
        <f>--ISNUMBER(IFERROR(SEARCH('PLANILLA DJ'!$X$9,$A27,1),""))</f>
        <v>1</v>
      </c>
      <c r="M27" s="207">
        <f>--ISNUMBER(IFERROR(SEARCH('PLANILLA DJ'!$X$10,$A27,1),""))</f>
        <v>1</v>
      </c>
      <c r="N27" s="207">
        <f>--ISNUMBER(IFERROR(SEARCH('PLANILLA DJ'!$X$11,$A27,1),""))</f>
        <v>1</v>
      </c>
      <c r="O27" s="207">
        <f>--ISNUMBER(IFERROR(SEARCH('PLANILLA DJ'!$X$12,$A27,1),""))</f>
        <v>1</v>
      </c>
      <c r="P27" s="207">
        <f>--ISNUMBER(IFERROR(SEARCH('PLANILLA DJ'!$X$13,$A27,1),""))</f>
        <v>1</v>
      </c>
      <c r="Q27" s="207">
        <f>--ISNUMBER(IFERROR(SEARCH('PLANILLA DJ'!$X$14,$A27,1),""))</f>
        <v>1</v>
      </c>
      <c r="R27" s="207">
        <f>--ISNUMBER(IFERROR(SEARCH('PLANILLA DJ'!$X$15,$A27,1),""))</f>
        <v>1</v>
      </c>
      <c r="S27" s="207">
        <f>--ISNUMBER(IFERROR(SEARCH('PLANILLA DJ'!$X$16,$A27,1),""))</f>
        <v>1</v>
      </c>
      <c r="T27" s="207">
        <f>--ISNUMBER(IFERROR(SEARCH('PLANILLA DJ'!$X$17,$A27,1),""))</f>
        <v>1</v>
      </c>
      <c r="U27" s="207">
        <f>--ISNUMBER(IFERROR(SEARCH('PLANILLA DJ'!$X$18,$A27,1),""))</f>
        <v>1</v>
      </c>
      <c r="V27" s="207">
        <f>--ISNUMBER(IFERROR(SEARCH('PLANILLA DJ'!$X$19,$A27,1),""))</f>
        <v>1</v>
      </c>
      <c r="W27" s="207">
        <f>--ISNUMBER(IFERROR(SEARCH('PLANILLA DJ'!$X$20,$A27,1),""))</f>
        <v>1</v>
      </c>
      <c r="X27" s="207">
        <f>--ISNUMBER(IFERROR(SEARCH('PLANILLA DJ'!$X$21,$A27,1),""))</f>
        <v>1</v>
      </c>
      <c r="Y27" s="207">
        <f>--ISNUMBER(IFERROR(SEARCH('PLANILLA DJ'!$X$22,$A27,1),""))</f>
        <v>1</v>
      </c>
      <c r="Z27" s="207">
        <f>--ISNUMBER(IFERROR(SEARCH('PLANILLA DJ'!$X$23,$A27,1),""))</f>
        <v>1</v>
      </c>
      <c r="AA27" s="207">
        <f>--ISNUMBER(IFERROR(SEARCH('PLANILLA DJ'!$X$24,$A27,1),""))</f>
        <v>1</v>
      </c>
      <c r="AB27" s="207">
        <f>--ISNUMBER(IFERROR(SEARCH('PLANILLA DJ'!$X$25,$A27,1),""))</f>
        <v>1</v>
      </c>
      <c r="AC27" s="207">
        <f>--ISNUMBER(IFERROR(SEARCH('PLANILLA DJ'!$X$26,$A27,1),""))</f>
        <v>1</v>
      </c>
      <c r="AD27" s="207">
        <f>--ISNUMBER(IFERROR(SEARCH('PLANILLA DJ'!$X$27,$A27,1),""))</f>
        <v>1</v>
      </c>
      <c r="AE27" s="207">
        <f>--ISNUMBER(IFERROR(SEARCH('PLANILLA DJ'!$X$28,$A27,1),""))</f>
        <v>1</v>
      </c>
      <c r="AF27" s="207">
        <f>--ISNUMBER(IFERROR(SEARCH('PLANILLA DJ'!$X$29,$A27,1),""))</f>
        <v>1</v>
      </c>
      <c r="AG27" s="207">
        <f>--ISNUMBER(IFERROR(SEARCH('PLANILLA DJ'!$X$30,$A27,1),""))</f>
        <v>1</v>
      </c>
      <c r="AH27" s="207">
        <f>--ISNUMBER(IFERROR(SEARCH('PLANILLA DJ'!$X$31,$A27,1),""))</f>
        <v>1</v>
      </c>
      <c r="AI27" s="207">
        <f>--ISNUMBER(IFERROR(SEARCH('PLANILLA DJ'!$X$32,$A27,1),""))</f>
        <v>1</v>
      </c>
      <c r="AJ27" s="207">
        <f>--ISNUMBER(IFERROR(SEARCH('PLANILLA DJ'!$X$33,$A27,1),""))</f>
        <v>1</v>
      </c>
      <c r="AK27" s="207">
        <f>--ISNUMBER(IFERROR(SEARCH('PLANILLA DJ'!$X$34,$A27,1),""))</f>
        <v>1</v>
      </c>
      <c r="AL27" s="207">
        <f>--ISNUMBER(IFERROR(SEARCH('PLANILLA DJ'!$X$35,$A27,1),""))</f>
        <v>1</v>
      </c>
      <c r="AM27" s="207">
        <f>--ISNUMBER(IFERROR(SEARCH('PLANILLA DJ'!$X$36,$A27,1),""))</f>
        <v>1</v>
      </c>
      <c r="AN27" s="207">
        <f>--ISNUMBER(IFERROR(SEARCH('PLANILLA DJ'!$X$37,$A27,1),""))</f>
        <v>1</v>
      </c>
      <c r="AO27" s="207">
        <f>--ISNUMBER(IFERROR(SEARCH('PLANILLA DJ'!$X$38,$A27,1),""))</f>
        <v>1</v>
      </c>
      <c r="AP27" s="207">
        <f>--ISNUMBER(IFERROR(SEARCH('PLANILLA DJ'!$X$39,$A27,1),""))</f>
        <v>1</v>
      </c>
      <c r="AQ27" s="207">
        <f>--ISNUMBER(IFERROR(SEARCH('PLANILLA DJ'!$X$40,$A27,1),""))</f>
        <v>1</v>
      </c>
      <c r="AR27" s="207">
        <f>--ISNUMBER(IFERROR(SEARCH('PLANILLA DJ'!$X$41,$A27,1),""))</f>
        <v>1</v>
      </c>
      <c r="AS27" s="207">
        <f>--ISNUMBER(IFERROR(SEARCH('PLANILLA DJ'!$X$42,$A27,1),""))</f>
        <v>1</v>
      </c>
      <c r="AT27" s="207">
        <f>--ISNUMBER(IFERROR(SEARCH('PLANILLA DJ'!$X$43,$A27,1),""))</f>
        <v>1</v>
      </c>
      <c r="AU27" s="207">
        <f>--ISNUMBER(IFERROR(SEARCH('PLANILLA DJ'!$X$44,$A27,1),""))</f>
        <v>1</v>
      </c>
      <c r="AV27" s="207">
        <f>--ISNUMBER(IFERROR(SEARCH('PLANILLA DJ'!$X$45,$A27,1),""))</f>
        <v>1</v>
      </c>
      <c r="AW27" s="207">
        <f>--ISNUMBER(IFERROR(SEARCH('PLANILLA DJ'!$X$46,$A27,1),""))</f>
        <v>1</v>
      </c>
      <c r="AX27" s="207">
        <f>--ISNUMBER(IFERROR(SEARCH('PLANILLA DJ'!$X$47,$A27,1),""))</f>
        <v>1</v>
      </c>
      <c r="AY27" s="207">
        <f>--ISNUMBER(IFERROR(SEARCH('PLANILLA DJ'!$X$48,$A27,1),""))</f>
        <v>1</v>
      </c>
      <c r="AZ27" s="207">
        <f>--ISNUMBER(IFERROR(SEARCH('PLANILLA DJ'!$X$49,$A27,1),""))</f>
        <v>1</v>
      </c>
      <c r="BA27" s="207">
        <f>--ISNUMBER(IFERROR(SEARCH('PLANILLA DJ'!$X$50,$A27,1),""))</f>
        <v>1</v>
      </c>
      <c r="BB27" s="207">
        <f>--ISNUMBER(IFERROR(SEARCH('PLANILLA DJ'!$X$51,$A27,1),""))</f>
        <v>1</v>
      </c>
      <c r="BC27" s="207">
        <f>--ISNUMBER(IFERROR(SEARCH('PLANILLA DJ'!$X$52,$A27,1),""))</f>
        <v>1</v>
      </c>
      <c r="BD27" s="207">
        <f>--ISNUMBER(IFERROR(SEARCH('PLANILLA DJ'!$X$53,$A27,1),""))</f>
        <v>1</v>
      </c>
      <c r="BE27" s="207">
        <f>--ISNUMBER(IFERROR(SEARCH('PLANILLA DJ'!$X$54,$A27,1),""))</f>
        <v>1</v>
      </c>
      <c r="BF27" s="207">
        <f>--ISNUMBER(IFERROR(SEARCH('PLANILLA DJ'!$X$55,$A27,1),""))</f>
        <v>1</v>
      </c>
      <c r="BG27" s="207">
        <f>--ISNUMBER(IFERROR(SEARCH('PLANILLA DJ'!$X$56,$A27,1),""))</f>
        <v>1</v>
      </c>
      <c r="BH27" s="207">
        <f>--ISNUMBER(IFERROR(SEARCH('PLANILLA DJ'!$X$57,$A27,1),""))</f>
        <v>1</v>
      </c>
      <c r="BI27" s="207">
        <f>--ISNUMBER(IFERROR(SEARCH('PLANILLA DJ'!$X$58,$A27,1),""))</f>
        <v>1</v>
      </c>
      <c r="BJ27" s="207">
        <f>--ISNUMBER(IFERROR(SEARCH('PLANILLA DJ'!$X$59,$A27,1),""))</f>
        <v>1</v>
      </c>
      <c r="BK27" s="207">
        <f>--ISNUMBER(IFERROR(SEARCH('PLANILLA DJ'!$X$60,$A27,1),""))</f>
        <v>1</v>
      </c>
      <c r="BL27" s="207">
        <f>--ISNUMBER(IFERROR(SEARCH('PLANILLA DJ'!$X$61,$A27,1),""))</f>
        <v>1</v>
      </c>
      <c r="BM27" s="207">
        <f>--ISNUMBER(IFERROR(SEARCH('PLANILLA DJ'!$X$62,$A27,1),""))</f>
        <v>1</v>
      </c>
      <c r="BN27" s="207">
        <f>--ISNUMBER(IFERROR(SEARCH('PLANILLA DJ'!$X$63,$A27,1),""))</f>
        <v>1</v>
      </c>
      <c r="BO27" s="207">
        <f>--ISNUMBER(IFERROR(SEARCH('PLANILLA DJ'!$X$64,$A27,1),""))</f>
        <v>1</v>
      </c>
      <c r="BP27" s="207">
        <f>--ISNUMBER(IFERROR(SEARCH('PLANILLA DJ'!$X$65,$A27,1),""))</f>
        <v>1</v>
      </c>
      <c r="BQ27" s="207">
        <f>--ISNUMBER(IFERROR(SEARCH('PLANILLA DJ'!$X$66,$A27,1),""))</f>
        <v>1</v>
      </c>
      <c r="BR27" s="207">
        <f>--ISNUMBER(IFERROR(SEARCH('PLANILLA DJ'!$X$67,$A27,1),""))</f>
        <v>1</v>
      </c>
      <c r="BS27" s="207">
        <f>--ISNUMBER(IFERROR(SEARCH('PLANILLA DJ'!$X$68,$A27,1),""))</f>
        <v>1</v>
      </c>
      <c r="BT27" s="207">
        <f>--ISNUMBER(IFERROR(SEARCH('PLANILLA DJ'!$X$69,$A27,1),""))</f>
        <v>1</v>
      </c>
      <c r="BU27" s="207">
        <f>--ISNUMBER(IFERROR(SEARCH('PLANILLA DJ'!$X$70,$A27,1),""))</f>
        <v>1</v>
      </c>
      <c r="BV27" s="207">
        <f>--ISNUMBER(IFERROR(SEARCH('PLANILLA DJ'!$X$71,$A27,1),""))</f>
        <v>1</v>
      </c>
      <c r="BW27" s="207">
        <f>--ISNUMBER(IFERROR(SEARCH('PLANILLA DJ'!$X$72,$A27,1),""))</f>
        <v>1</v>
      </c>
      <c r="BX27" s="207">
        <f>--ISNUMBER(IFERROR(SEARCH('PLANILLA DJ'!$X$73,$A27,1),""))</f>
        <v>1</v>
      </c>
      <c r="BY27" s="207">
        <f>--ISNUMBER(IFERROR(SEARCH('PLANILLA DJ'!$X$74,$A27,1),""))</f>
        <v>1</v>
      </c>
      <c r="BZ27" s="207">
        <f>--ISNUMBER(IFERROR(SEARCH('PLANILLA DJ'!$X$75,$A27,1),""))</f>
        <v>1</v>
      </c>
      <c r="CA27" s="207">
        <f>--ISNUMBER(IFERROR(SEARCH('PLANILLA DJ'!$X$76,$A27,1),""))</f>
        <v>1</v>
      </c>
      <c r="CB27" s="207">
        <f>--ISNUMBER(IFERROR(SEARCH('PLANILLA DJ'!$X$77,$A27,1),""))</f>
        <v>1</v>
      </c>
      <c r="CC27" s="207">
        <f>--ISNUMBER(IFERROR(SEARCH('PLANILLA DJ'!$X$78,$A27,1),""))</f>
        <v>1</v>
      </c>
      <c r="CD27" s="207">
        <f>--ISNUMBER(IFERROR(SEARCH('PLANILLA DJ'!$X$79,$A27,1),""))</f>
        <v>1</v>
      </c>
      <c r="CE27" s="207">
        <f>--ISNUMBER(IFERROR(SEARCH('PLANILLA DJ'!$X$80,$A27,1),""))</f>
        <v>1</v>
      </c>
      <c r="CF27" s="207">
        <f>--ISNUMBER(IFERROR(SEARCH('PLANILLA DJ'!$X$81,$A27,1),""))</f>
        <v>1</v>
      </c>
      <c r="CG27" s="207">
        <f>--ISNUMBER(IFERROR(SEARCH('PLANILLA DJ'!$X$82,$A27,1),""))</f>
        <v>1</v>
      </c>
      <c r="CH27" s="207">
        <f>--ISNUMBER(IFERROR(SEARCH('PLANILLA DJ'!$X$83,$A27,1),""))</f>
        <v>1</v>
      </c>
      <c r="CI27" s="207">
        <f>--ISNUMBER(IFERROR(SEARCH('PLANILLA DJ'!$X$84,$A27,1),""))</f>
        <v>1</v>
      </c>
      <c r="CJ27" s="207">
        <f>--ISNUMBER(IFERROR(SEARCH('PLANILLA DJ'!$X$85,$A27,1),""))</f>
        <v>1</v>
      </c>
      <c r="CK27" s="207">
        <f>--ISNUMBER(IFERROR(SEARCH('PLANILLA DJ'!$X$86,$A27,1),""))</f>
        <v>1</v>
      </c>
      <c r="CL27" s="207">
        <f>--ISNUMBER(IFERROR(SEARCH('PLANILLA DJ'!$X$87,$A27,1),""))</f>
        <v>1</v>
      </c>
      <c r="CM27" s="207">
        <f>--ISNUMBER(IFERROR(SEARCH('PLANILLA DJ'!$X$88,$A27,1),""))</f>
        <v>1</v>
      </c>
      <c r="CN27" s="207">
        <f>--ISNUMBER(IFERROR(SEARCH('PLANILLA DJ'!$X$89,$A27,1),""))</f>
        <v>1</v>
      </c>
      <c r="CO27" s="207">
        <f>--ISNUMBER(IFERROR(SEARCH('PLANILLA DJ'!$X$90,$A27,1),""))</f>
        <v>1</v>
      </c>
      <c r="CP27" s="207">
        <f>--ISNUMBER(IFERROR(SEARCH('PLANILLA DJ'!$X$91,$A27,1),""))</f>
        <v>1</v>
      </c>
      <c r="CQ27" s="207">
        <f>--ISNUMBER(IFERROR(SEARCH('PLANILLA DJ'!$X$92,$A27,1),""))</f>
        <v>1</v>
      </c>
      <c r="CR27" s="207">
        <f>--ISNUMBER(IFERROR(SEARCH('PLANILLA DJ'!$X$93,$A27,1),""))</f>
        <v>1</v>
      </c>
      <c r="CS27" s="207">
        <f>--ISNUMBER(IFERROR(SEARCH('PLANILLA DJ'!$X$94,$A27,1),""))</f>
        <v>1</v>
      </c>
      <c r="CT27" s="207">
        <f>--ISNUMBER(IFERROR(SEARCH('PLANILLA DJ'!$X$95,$A27,1),""))</f>
        <v>1</v>
      </c>
      <c r="CU27" s="207">
        <f>--ISNUMBER(IFERROR(SEARCH('PLANILLA DJ'!$X$96,$A27,1),""))</f>
        <v>1</v>
      </c>
      <c r="CV27" s="207">
        <f>--ISNUMBER(IFERROR(SEARCH('PLANILLA DJ'!$X$97,$A27,1),""))</f>
        <v>1</v>
      </c>
      <c r="CW27" s="207">
        <f>--ISNUMBER(IFERROR(SEARCH('PLANILLA DJ'!$X$98,$A27,1),""))</f>
        <v>1</v>
      </c>
      <c r="CX27" s="207">
        <f>--ISNUMBER(IFERROR(SEARCH('PLANILLA DJ'!$X$99,$A27,1),""))</f>
        <v>1</v>
      </c>
      <c r="CY27" s="207">
        <f>--ISNUMBER(IFERROR(SEARCH('PLANILLA DJ'!$X$100,$A27,1),""))</f>
        <v>1</v>
      </c>
      <c r="CZ27" s="207">
        <f>--ISNUMBER(IFERROR(SEARCH('PLANILLA DJ'!$X$101,$A27,1),""))</f>
        <v>1</v>
      </c>
      <c r="DA27" s="207">
        <f>--ISNUMBER(IFERROR(SEARCH('PLANILLA DJ'!$X$102,$A27,1),""))</f>
        <v>1</v>
      </c>
      <c r="DB27" s="206">
        <f>IF(F27=1,COUNTIF($F$2:F27,1),"")</f>
        <v>26</v>
      </c>
      <c r="DC27" s="206">
        <f>IF(G27=1,COUNTIF($G$2:G27,1),"")</f>
        <v>26</v>
      </c>
      <c r="DD27" s="206">
        <f>IF(H27=1,COUNTIF($H$2:H27,1),"")</f>
        <v>26</v>
      </c>
      <c r="DE27" s="206">
        <f>IF(I27=1,COUNTIF($I$2:I27,1),"")</f>
        <v>26</v>
      </c>
      <c r="DF27" s="206">
        <f>IF(J27=1,COUNTIF($J$2:J27,1),"")</f>
        <v>26</v>
      </c>
      <c r="DG27" s="206">
        <f>IF(K27=1,COUNTIF($K$2:K27,1),"")</f>
        <v>26</v>
      </c>
      <c r="DH27" s="206">
        <f>IF(L27=1,COUNTIF($L$2:L27,1),"")</f>
        <v>26</v>
      </c>
      <c r="DI27" s="206">
        <f>IF(M27=1,COUNTIF($M$2:M27,1),"")</f>
        <v>26</v>
      </c>
      <c r="DJ27" s="206">
        <f>IF(N27=1,COUNTIF($N$2:N27,1),"")</f>
        <v>26</v>
      </c>
      <c r="DK27" s="206">
        <f>IF(O27=1,COUNTIF($O$2:O27,1),"")</f>
        <v>26</v>
      </c>
      <c r="DL27" s="206">
        <f>IF(P27=1,COUNTIF($P$2:P27,1),"")</f>
        <v>26</v>
      </c>
      <c r="DM27" s="206">
        <f>IF(Q27=1,COUNTIF($Q$2:Q27,1),"")</f>
        <v>26</v>
      </c>
      <c r="DN27" s="207">
        <f>IF(R27=1,COUNTIF($R$2:R27,1),"")</f>
        <v>26</v>
      </c>
      <c r="DO27" s="207">
        <f>IF(S27=1,COUNTIF($S$2:S27,1),"")</f>
        <v>26</v>
      </c>
      <c r="DP27" s="207">
        <f>IF(T27=1,COUNTIF($T$2:T27,1),"")</f>
        <v>26</v>
      </c>
      <c r="DQ27" s="207">
        <f>IF(U27=1,COUNTIF($U$2:U27,1),"")</f>
        <v>26</v>
      </c>
      <c r="DR27" s="207">
        <f>IF(V27=1,COUNTIF($V$2:V27,1),"")</f>
        <v>26</v>
      </c>
      <c r="DS27" s="207">
        <f>IF(W27=1,COUNTIF($W$2:W27,1),"")</f>
        <v>26</v>
      </c>
      <c r="DT27" s="207">
        <f>IF(X27=1,COUNTIF($X$2:X27,1),"")</f>
        <v>26</v>
      </c>
      <c r="DU27" s="207">
        <f>IF(Y27=1,COUNTIF($Y$2:Y27,1),"")</f>
        <v>26</v>
      </c>
      <c r="DV27" s="207">
        <f>IF(Z27=1,COUNTIF(Z$2:Z27,1),"")</f>
        <v>26</v>
      </c>
      <c r="DW27" s="207">
        <f>IF(AA27=1,COUNTIF($AA$2:AA27,1),"")</f>
        <v>26</v>
      </c>
      <c r="DX27" s="207">
        <f>IF(AB27=1,COUNTIF($AB$2:AB27,1),"")</f>
        <v>26</v>
      </c>
      <c r="DY27" s="207">
        <f>IF(AC27=1,COUNTIF($AC$2:AC27,1),"")</f>
        <v>26</v>
      </c>
      <c r="DZ27" s="207">
        <f>IF(AD27=1,COUNTIF($AD$2:AD27,1),"")</f>
        <v>26</v>
      </c>
      <c r="EA27" s="207">
        <f>IF(AE27=1,COUNTIF($AE$2:AE27,1),"")</f>
        <v>26</v>
      </c>
      <c r="EB27" s="207">
        <f>IF(AF27=1,COUNTIF($AF$2:AF27,1),"")</f>
        <v>26</v>
      </c>
      <c r="EC27" s="207">
        <f>IF(AG27=1,COUNTIF($AG$2:AG27,1),"")</f>
        <v>26</v>
      </c>
      <c r="ED27" s="207">
        <f>IF(AH27=1,COUNTIF($AH$2:AH27,1),"")</f>
        <v>26</v>
      </c>
      <c r="EE27" s="207">
        <f>IF(AI27=1,COUNTIF($AI$2:AI27,1),"")</f>
        <v>26</v>
      </c>
      <c r="EF27" s="207">
        <f>IF(AJ27=1,COUNTIF($AJ$2:AJ27,1),"")</f>
        <v>26</v>
      </c>
      <c r="EG27" s="207">
        <f>IF(AK27=1,COUNTIF($AK$2:AK27,1),"")</f>
        <v>26</v>
      </c>
      <c r="EH27" s="207">
        <f>IF(AL27=1,COUNTIF($AL$2:AL27,1),"")</f>
        <v>26</v>
      </c>
      <c r="EI27" s="207">
        <f>IF(AM27=1,COUNTIF($AM$2:AM27,1),"")</f>
        <v>26</v>
      </c>
      <c r="EJ27" s="207">
        <f>IF(AN27=1,COUNTIF($AN$2:AN27,1),"")</f>
        <v>26</v>
      </c>
      <c r="EK27" s="207">
        <f>IF(AO27=1,COUNTIF($AO$2:AO27,1),"")</f>
        <v>26</v>
      </c>
      <c r="EL27" s="207">
        <f>IF(AP27=1,COUNTIF($AP$2:AP27,1),"")</f>
        <v>26</v>
      </c>
      <c r="EM27" s="207">
        <f>IF(AQ27=1,COUNTIF($AQ$2:AQ27,1),"")</f>
        <v>26</v>
      </c>
      <c r="EN27" s="207">
        <f>IF(AR27=1,COUNTIF($AR$2:AR27,1),"")</f>
        <v>26</v>
      </c>
      <c r="EO27" s="207">
        <f>IF(AS27=1,COUNTIF($AS$2:AS27,1),"")</f>
        <v>26</v>
      </c>
      <c r="EP27" s="207">
        <f>IF(AT27=1,COUNTIF($AT$2:AT27,1),"")</f>
        <v>26</v>
      </c>
      <c r="EQ27" s="207">
        <f>IF(AU27=1,COUNTIF($AU$2:AU27,1),"")</f>
        <v>26</v>
      </c>
      <c r="ER27" s="207">
        <f>IF(AV27=1,COUNTIF($AV$2:AV27,1),"")</f>
        <v>26</v>
      </c>
      <c r="ES27" s="207">
        <f>IF(AW27=1,COUNTIF($AW$2:AW27,1),"")</f>
        <v>26</v>
      </c>
      <c r="ET27" s="207">
        <f>IF(AX27=1,COUNTIF($AX$2:AX27,1),"")</f>
        <v>26</v>
      </c>
      <c r="EU27" s="207">
        <f>IF(AY27=1,COUNTIF($AY$2:AY27,1),"")</f>
        <v>26</v>
      </c>
      <c r="EV27" s="207">
        <f>IF(AZ27=1,COUNTIF($AZ$2:AZ27,1),"")</f>
        <v>26</v>
      </c>
      <c r="EW27" s="207">
        <f>IF(BA27=1,COUNTIF($BA$2:BA27,1),"")</f>
        <v>26</v>
      </c>
      <c r="EX27" s="207">
        <f>IF(BB27=1,COUNTIF($BB$2:BB27,1),"")</f>
        <v>26</v>
      </c>
      <c r="EY27" s="207">
        <f>IF(BC27=1,COUNTIF($BC$2:BC27,1),"")</f>
        <v>26</v>
      </c>
      <c r="EZ27" s="207">
        <f>IF(BD27=1,COUNTIF($BD$2:BD27,1),"")</f>
        <v>26</v>
      </c>
      <c r="FA27" s="207">
        <f>IF(BE27=1,COUNTIF($BE$2:BE27,1),"")</f>
        <v>26</v>
      </c>
      <c r="FB27" s="207">
        <f>IF(BF27=1,COUNTIF($BF$2:BF27,1),"")</f>
        <v>26</v>
      </c>
      <c r="FC27" s="207">
        <f>IF(BG27=1,COUNTIF($BG$2:BG27,1),"")</f>
        <v>26</v>
      </c>
      <c r="FD27" s="207">
        <f>IF(BH27=1,COUNTIF($BH$2:BH27,1),"")</f>
        <v>26</v>
      </c>
      <c r="FE27" s="207">
        <f>IF(BI27=1,COUNTIF($BI$2:BI27,1),"")</f>
        <v>26</v>
      </c>
      <c r="FF27" s="207">
        <f>IF(BJ27=1,COUNTIF($BJ$2:BJ27,1),"")</f>
        <v>26</v>
      </c>
      <c r="FG27" s="207">
        <f>IF(BK27=1,COUNTIF($BK$2:BK27,1),"")</f>
        <v>26</v>
      </c>
      <c r="FH27" s="207">
        <f>IF(BL27=1,COUNTIF($BL$2:BL27,1),"")</f>
        <v>26</v>
      </c>
      <c r="FI27" s="207">
        <f>IF(BM27=1,COUNTIF($BM$2:BM27,1),"")</f>
        <v>26</v>
      </c>
      <c r="FJ27" s="207">
        <f>IF(BN27=1,COUNTIF($BN$2:BN27,1),"")</f>
        <v>26</v>
      </c>
      <c r="FK27" s="207">
        <f>IF(BO27=1,COUNTIF($BO$2:BO27,1),"")</f>
        <v>26</v>
      </c>
      <c r="FL27" s="207">
        <f>IF(BP27=1,COUNTIF($BP$2:BP27,1),"")</f>
        <v>26</v>
      </c>
      <c r="FM27" s="207">
        <f>IF(BQ27=1,COUNTIF($BQ$2:BQ27,1),"")</f>
        <v>26</v>
      </c>
      <c r="FN27" s="207">
        <f>IF(BR27=1,COUNTIF($BR$2:BR27,1),"")</f>
        <v>26</v>
      </c>
      <c r="FO27" s="207">
        <f>IF(BS27=1,COUNTIF($BS$2:BS27,1),"")</f>
        <v>26</v>
      </c>
      <c r="FP27" s="207">
        <f>IF(BT27=1,COUNTIF($BT$2:BT27,1),"")</f>
        <v>26</v>
      </c>
      <c r="FQ27" s="207">
        <f>IF(BU27=1,COUNTIF($BU$2:BU27,1),"")</f>
        <v>26</v>
      </c>
      <c r="FR27" s="207">
        <f>IF(BV27=1,COUNTIF($BV$2:BV27,1),"")</f>
        <v>26</v>
      </c>
      <c r="FS27" s="207">
        <f>IF(BW27=1,COUNTIF($BW$2:BW27,1),"")</f>
        <v>26</v>
      </c>
      <c r="FT27" s="207">
        <f>IF(BX27=1,COUNTIF($BX$2:BX27,1),"")</f>
        <v>26</v>
      </c>
      <c r="FU27" s="207">
        <f>IF(BY27=1,COUNTIF($BY$2:BY27,1),"")</f>
        <v>26</v>
      </c>
      <c r="FV27" s="207">
        <f>IF(BZ27=1,COUNTIF($BZ$2:BZ27,1),"")</f>
        <v>26</v>
      </c>
      <c r="FW27" s="207">
        <f>IF(CA27=1,COUNTIF($CA$2:CA27,1),"")</f>
        <v>26</v>
      </c>
      <c r="FX27" s="207">
        <f>IF(CB27=1,COUNTIF($CB$2:CB27,1),"")</f>
        <v>26</v>
      </c>
      <c r="FY27" s="207">
        <f>IF(CC27=1,COUNTIF($CC$2:CC27,1),"")</f>
        <v>26</v>
      </c>
      <c r="FZ27" s="207">
        <f>IF(CD27=1,COUNTIF($CD$2:CD27,1),"")</f>
        <v>26</v>
      </c>
      <c r="GA27" s="207">
        <f>IF(CE27=1,COUNTIF($CE$2:CE27,1),"")</f>
        <v>26</v>
      </c>
      <c r="GB27" s="207">
        <f>IF(CF27=1,COUNTIF($CF$2:CF27,1),"")</f>
        <v>26</v>
      </c>
      <c r="GC27" s="207">
        <f>IF(CG27=1,COUNTIF($CG$2:CG27,1),"")</f>
        <v>26</v>
      </c>
      <c r="GD27" s="207">
        <f>IF(CH27=1,COUNTIF($CH$2:CH27,1),"")</f>
        <v>26</v>
      </c>
      <c r="GE27" s="207">
        <f>IF(CI27=1,COUNTIF($CI$2:CI27,1),"")</f>
        <v>26</v>
      </c>
      <c r="GF27" s="207">
        <f>IF(CJ27=1,COUNTIF($CJ$2:CJ27,1),"")</f>
        <v>26</v>
      </c>
      <c r="GG27" s="207">
        <f>IF(CK27=1,COUNTIF($CK$2:CK27,1),"")</f>
        <v>26</v>
      </c>
      <c r="GH27" s="207">
        <f>IF(CL27=1,COUNTIF($CL$2:CL27,1),"")</f>
        <v>26</v>
      </c>
      <c r="GI27" s="207">
        <f>IF(CM27=1,COUNTIF($CM$2:CM27,1),"")</f>
        <v>26</v>
      </c>
      <c r="GJ27" s="207">
        <f>IF(CN27=1,COUNTIF($CN$2:CN27,1),"")</f>
        <v>26</v>
      </c>
      <c r="GK27" s="207">
        <f>IF(CO27=1,COUNTIF($CO$2:CO27,1),"")</f>
        <v>26</v>
      </c>
      <c r="GL27" s="207">
        <f>IF(CP27=1,COUNTIF($CP$2:CP27,1),"")</f>
        <v>26</v>
      </c>
      <c r="GM27" s="207">
        <f>IF(CQ27=1,COUNTIF($CQ$2:CQ27,1),"")</f>
        <v>26</v>
      </c>
      <c r="GN27" s="207">
        <f>IF(CR27=1,COUNTIF($CR$2:CR27,1),"")</f>
        <v>26</v>
      </c>
      <c r="GO27" s="207">
        <f>IF(CS27=1,COUNTIF($CS$2:CS27,1),"")</f>
        <v>26</v>
      </c>
      <c r="GP27" s="207">
        <f>IF(CT27=1,COUNTIF($CT$2:CT27,1),"")</f>
        <v>26</v>
      </c>
      <c r="GQ27" s="207">
        <f>IF(CU27=1,COUNTIF($CU$2:CU27,1),"")</f>
        <v>26</v>
      </c>
      <c r="GR27" s="207">
        <f>IF(CV27=1,COUNTIF($CV$2:CV27,1),"")</f>
        <v>26</v>
      </c>
      <c r="GS27" s="207">
        <f>IF(CW27=1,COUNTIF($CW$2:CW27,1),"")</f>
        <v>26</v>
      </c>
      <c r="GT27" s="207">
        <f>IF(CX27=1,COUNTIF($CX$2:CX27,1),"")</f>
        <v>26</v>
      </c>
      <c r="GU27" s="207">
        <f>IF(CY27=1,COUNTIF($CY$2:CY27,1),"")</f>
        <v>26</v>
      </c>
      <c r="GV27" s="207">
        <f>IF(CZ27=1,COUNTIF($CZ$2:CZ27,1),"")</f>
        <v>26</v>
      </c>
      <c r="GW27" s="207">
        <f>IF(DA27=1,COUNTIF($DA$2:DA27,1),"")</f>
        <v>26</v>
      </c>
      <c r="GX27" s="206" t="str">
        <f>IFERROR(INDEX($A$2:$A$113,MATCH(ROWS($DB$2:DB27),$DB$2:$DB$113,0)),"")</f>
        <v>DESAPARICION DE PERSONA</v>
      </c>
      <c r="GY27" s="206" t="str">
        <f>IFERROR(INDEX($A$2:$A$113,MATCH(ROWS($DC$2:DC27),$DC$2:$DC$113,0)),"")</f>
        <v>DESAPARICION DE PERSONA</v>
      </c>
      <c r="GZ27" s="206" t="str">
        <f>IFERROR(INDEX($A$2:$A$113,MATCH(ROWS($DD$2:DD27),$DD$2:$DD$113,0)),"")</f>
        <v>DESAPARICION DE PERSONA</v>
      </c>
      <c r="HA27" s="206" t="str">
        <f>IFERROR(INDEX($A$2:$A$113,MATCH(ROWS($DE$2:DE27),$DE$2:$DE$113,0)),"")</f>
        <v>DESAPARICION DE PERSONA</v>
      </c>
      <c r="HB27" s="206" t="str">
        <f>IFERROR(INDEX($A$2:$A$113,MATCH(ROWS($DF$2:DF27),$DF$2:$DF$113,0)),"")</f>
        <v>DESAPARICION DE PERSONA</v>
      </c>
      <c r="HC27" s="206" t="str">
        <f>IFERROR(INDEX($A$2:$A$113,MATCH(ROWS($DG$2:DG27),$DG$2:$DG$113,0)),"")</f>
        <v>DESAPARICION DE PERSONA</v>
      </c>
      <c r="HD27" s="206" t="str">
        <f>IFERROR(INDEX($A$2:$A$113,MATCH(ROWS($DH$2:DH27),$DH$2:$DH$113,0)),"")</f>
        <v>DESAPARICION DE PERSONA</v>
      </c>
      <c r="HE27" s="206" t="str">
        <f>IFERROR(INDEX($A$2:$A$113,MATCH(ROWS($DI$2:DI27),$DI$2:$DI$113,0)),"")</f>
        <v>DESAPARICION DE PERSONA</v>
      </c>
      <c r="HF27" s="206" t="str">
        <f>IFERROR(INDEX($A$2:$A$113,MATCH(ROWS($DJ$2:DJ27),$DJ$2:$DJ$113,0)),"")</f>
        <v>DESAPARICION DE PERSONA</v>
      </c>
      <c r="HG27" s="206" t="str">
        <f>IFERROR(INDEX($A$2:$A$113,MATCH(ROWS($DK$2:DK27),$DK$2:$DK$113,0)),"")</f>
        <v>DESAPARICION DE PERSONA</v>
      </c>
      <c r="HH27" s="206" t="str">
        <f>IFERROR(INDEX($A$2:$A$113,MATCH(ROWS($DL$2:DL27),$DL$2:$DL$113,0)),"")</f>
        <v>DESAPARICION DE PERSONA</v>
      </c>
      <c r="HI27" s="206" t="str">
        <f>IFERROR(INDEX($A$2:$A$113,MATCH(ROWS($DM$2:DM27),$DM$2:$DM$113,0)),"")</f>
        <v>DESAPARICION DE PERSONA</v>
      </c>
      <c r="HJ27" s="206" t="str">
        <f>IFERROR(INDEX($A$2:$A$113,MATCH(ROWS($DN$2:DN27),$DN$2:$DN$113,0)),"")</f>
        <v>DESAPARICION DE PERSONA</v>
      </c>
      <c r="HK27" s="206" t="str">
        <f>IFERROR(INDEX($A$2:$A$113,MATCH(ROWS($DO$2:DO27),$DO$2:$DO$113,0)),"")</f>
        <v>DESAPARICION DE PERSONA</v>
      </c>
      <c r="HL27" s="206" t="str">
        <f>IFERROR(INDEX($A$2:$A$113,MATCH(ROWS($DP$2:DP27),$DP$2:$DP$113,0)),"")</f>
        <v>DESAPARICION DE PERSONA</v>
      </c>
      <c r="HM27" s="206" t="str">
        <f>IFERROR(INDEX($A$2:$A$113,MATCH(ROWS($DQ$2:DQ27),$DQ$2:$DQ$113,0)),"")</f>
        <v>DESAPARICION DE PERSONA</v>
      </c>
      <c r="HN27" s="206" t="str">
        <f>IFERROR(INDEX($A$2:$A$113,MATCH(ROWS($DR$2:DR27),$DR$2:$DR$113,0)),"")</f>
        <v>DESAPARICION DE PERSONA</v>
      </c>
      <c r="HO27" s="206" t="str">
        <f>IFERROR(INDEX($A$2:$A$113,MATCH(ROWS($DS$2:DS27),$DS$2:$DS$113,0)),"")</f>
        <v>DESAPARICION DE PERSONA</v>
      </c>
      <c r="HP27" s="206" t="str">
        <f>IFERROR(INDEX($A$2:$A$113,MATCH(ROWS($DT$2:DT27),$DT$2:$DT$113,0)),"")</f>
        <v>DESAPARICION DE PERSONA</v>
      </c>
      <c r="HQ27" s="206" t="str">
        <f>IFERROR(INDEX($A$2:$A$113,MATCH(ROWS($DU$2:DU27),$DU$2:$DU$113,0)),"")</f>
        <v>DESAPARICION DE PERSONA</v>
      </c>
      <c r="HR27" s="206" t="str">
        <f>IFERROR(INDEX($A$2:$A$113,MATCH(ROWS($DV$2:DV27),$DV$2:$DV$113,0)),"")</f>
        <v>DESAPARICION DE PERSONA</v>
      </c>
      <c r="HS27" s="206" t="str">
        <f>IFERROR(INDEX($A$2:$A$113,MATCH(ROWS($DW$2:DW27),$DW$2:$DW$113,0)),"")</f>
        <v>DESAPARICION DE PERSONA</v>
      </c>
      <c r="HT27" s="206" t="str">
        <f>IFERROR(INDEX($A$2:$A$113,MATCH(ROWS($DX$2:DX27),$DX$2:$DX$113,0)),"")</f>
        <v>DESAPARICION DE PERSONA</v>
      </c>
      <c r="HU27" s="206" t="str">
        <f>IFERROR(INDEX($A$2:$A$113,MATCH(ROWS($DY$2:DY27),$DY$2:$DY$113,0)),"")</f>
        <v>DESAPARICION DE PERSONA</v>
      </c>
      <c r="HV27" s="206" t="str">
        <f>IFERROR(INDEX($A$2:$A$113,MATCH(ROWS($DZ$2:DZ27),$DZ$2:$DZ$113,0)),"")</f>
        <v>DESAPARICION DE PERSONA</v>
      </c>
      <c r="HW27" s="206" t="str">
        <f>IFERROR(INDEX($A$2:$A$113,MATCH(ROWS($EA$2:EA27),$EA$2:$EA$113,0)),"")</f>
        <v>DESAPARICION DE PERSONA</v>
      </c>
      <c r="HX27" s="206" t="str">
        <f>IFERROR(INDEX($A$2:$A$113,MATCH(ROWS($EB$2:EB27),$EB$2:$EB$113,0)),"")</f>
        <v>DESAPARICION DE PERSONA</v>
      </c>
      <c r="HY27" s="206" t="str">
        <f>IFERROR(INDEX($A$2:$A$113,MATCH(ROWS($EC$2:EC27),$EC$2:$EC$113,0)),"")</f>
        <v>DESAPARICION DE PERSONA</v>
      </c>
      <c r="HZ27" s="206" t="str">
        <f>IFERROR(INDEX($A$2:$A$113,MATCH(ROWS($ED$2:ED27),$ED$2:$ED$113,0)),"")</f>
        <v>DESAPARICION DE PERSONA</v>
      </c>
      <c r="IA27" s="206" t="str">
        <f>IFERROR(INDEX($A$2:$A$113,MATCH(ROWS($EE$2:EE27),$EE$2:$EE$113,0)),"")</f>
        <v>DESAPARICION DE PERSONA</v>
      </c>
      <c r="IB27" s="206" t="str">
        <f>IFERROR(INDEX($A$2:$A$113,MATCH(ROWS($EF$2:EF27),$EF$2:$EF$113,0)),"")</f>
        <v>DESAPARICION DE PERSONA</v>
      </c>
      <c r="IC27" s="206" t="str">
        <f>IFERROR(INDEX($A$2:$A$113,MATCH(ROWS($EG$2:EG27),$EG$2:$EG$113,0)),"")</f>
        <v>DESAPARICION DE PERSONA</v>
      </c>
      <c r="ID27" s="206" t="str">
        <f>IFERROR(INDEX($A$2:$A$113,MATCH(ROWS($EH$2:EH27),$EH$2:$EH$113,0)),"")</f>
        <v>DESAPARICION DE PERSONA</v>
      </c>
      <c r="IE27" s="206" t="str">
        <f>IFERROR(INDEX($A$2:$A$113,MATCH(ROWS($EI$2:EI27),$EI$2:$EI$113,0)),"")</f>
        <v>DESAPARICION DE PERSONA</v>
      </c>
      <c r="IF27" s="206" t="str">
        <f>IFERROR(INDEX($A$2:$A$113,MATCH(ROWS($EJ$2:EJ27),$EJ$2:$EJ$113,0)),"")</f>
        <v>DESAPARICION DE PERSONA</v>
      </c>
      <c r="IG27" s="206" t="str">
        <f>IFERROR(INDEX($A$2:$A$113,MATCH(ROWS($EK$2:EK27),$EK$2:$EK$113,0)),"")</f>
        <v>DESAPARICION DE PERSONA</v>
      </c>
      <c r="IH27" s="206" t="str">
        <f>IFERROR(INDEX($A$2:$A$113,MATCH(ROWS($EL$2:EL27),$EL$2:$EL$113,0)),"")</f>
        <v>DESAPARICION DE PERSONA</v>
      </c>
      <c r="II27" s="206" t="str">
        <f>IFERROR(INDEX($A$2:$A$113,MATCH(ROWS($EM$2:EM27),$EM$2:$EM$113,0)),"")</f>
        <v>DESAPARICION DE PERSONA</v>
      </c>
      <c r="IJ27" s="206" t="str">
        <f>IFERROR(INDEX($A$2:$A$113,MATCH(ROWS($EN$2:EN27),$EN$2:$EN$113,0)),"")</f>
        <v>DESAPARICION DE PERSONA</v>
      </c>
      <c r="IK27" s="207" t="str">
        <f>IFERROR(INDEX($A$2:$A$113,MATCH(ROWS($EO$2:EO27),$EO$2:$EO$113,0)),"")</f>
        <v>DESAPARICION DE PERSONA</v>
      </c>
      <c r="IL27" s="207" t="str">
        <f>IFERROR(INDEX($A$2:$A$113,MATCH(ROWS($EP$2:EP27),$EP$2:$EP$113,0)),"")</f>
        <v>DESAPARICION DE PERSONA</v>
      </c>
      <c r="IM27" s="207" t="str">
        <f>IFERROR(INDEX($A$2:$A$113,MATCH(ROWS($EQ$2:EQ27),$EQ$2:$EQ$113,0)),"")</f>
        <v>DESAPARICION DE PERSONA</v>
      </c>
      <c r="IN27" s="207" t="str">
        <f>IFERROR(INDEX($A$2:$A$113,MATCH(ROWS($ER$2:ER27),$ER$2:$ER$113,0)),"")</f>
        <v>DESAPARICION DE PERSONA</v>
      </c>
      <c r="IO27" s="207" t="str">
        <f>IFERROR(INDEX($A$2:$A$113,MATCH(ROWS($ES$2:ES27),$ES$2:$ES$113,0)),"")</f>
        <v>DESAPARICION DE PERSONA</v>
      </c>
      <c r="IP27" s="207" t="str">
        <f>IFERROR(INDEX($A$2:$A$113,MATCH(ROWS($ET$2:ET27),$ET$2:$ET$113,0)),"")</f>
        <v>DESAPARICION DE PERSONA</v>
      </c>
      <c r="IQ27" s="207" t="str">
        <f>IFERROR(INDEX($A$2:$A$113,MATCH(ROWS($EU$2:EU27),$EU$2:$EU$113,0)),"")</f>
        <v>DESAPARICION DE PERSONA</v>
      </c>
      <c r="IR27" s="207" t="str">
        <f>IFERROR(INDEX($A$2:$A$113,MATCH(ROWS($EV$2:EV27),$EV$2:$EV$113,0)),"")</f>
        <v>DESAPARICION DE PERSONA</v>
      </c>
      <c r="IS27" s="207" t="str">
        <f>IFERROR(INDEX($A$2:$A$113,MATCH(ROWS($EW$2:EW27),$EW$2:$EW$113,0)),"")</f>
        <v>DESAPARICION DE PERSONA</v>
      </c>
      <c r="IT27" s="207" t="str">
        <f>IFERROR(INDEX($A$2:$A$113,MATCH(ROWS($EX$2:EX27),$EX$2:$EX$113,0)),"")</f>
        <v>DESAPARICION DE PERSONA</v>
      </c>
      <c r="IU27" s="207" t="str">
        <f>IFERROR(INDEX($A$2:$A$113,MATCH(ROWS($EY$2:EY27),$EY$2:$EY$113,0)),"")</f>
        <v>DESAPARICION DE PERSONA</v>
      </c>
      <c r="IV27" s="207" t="str">
        <f>IFERROR(INDEX($A$2:$A$113,MATCH(ROWS($EZ$2:EZ27),$EZ$2:$EZ$113,0)),"")</f>
        <v>DESAPARICION DE PERSONA</v>
      </c>
      <c r="IW27" s="207" t="str">
        <f>IFERROR(INDEX($A$2:$A$113,MATCH(ROWS($FA$2:FA27),$FA$2:$FA$113,0)),"")</f>
        <v>DESAPARICION DE PERSONA</v>
      </c>
      <c r="IX27" s="207" t="str">
        <f>IFERROR(INDEX($A$2:$A$113,MATCH(ROWS($FB$2:FB27),$FB$2:$FB$113,0)),"")</f>
        <v>DESAPARICION DE PERSONA</v>
      </c>
      <c r="IY27" s="207" t="str">
        <f>IFERROR(INDEX($A$2:$A$113,MATCH(ROWS($FC$2:FC27),$FC$2:$FC$113,0)),"")</f>
        <v>DESAPARICION DE PERSONA</v>
      </c>
      <c r="IZ27" s="207" t="str">
        <f>IFERROR(INDEX($A$2:$A$113,MATCH(ROWS($FD$2:FD27),$FD$2:$FD$113,0)),"")</f>
        <v>DESAPARICION DE PERSONA</v>
      </c>
      <c r="JA27" s="207" t="str">
        <f>IFERROR(INDEX($A$2:$A$113,MATCH(ROWS($FE$2:FE27),$FE$2:$FE$113,0)),"")</f>
        <v>DESAPARICION DE PERSONA</v>
      </c>
      <c r="JB27" s="207" t="str">
        <f>IFERROR(INDEX($A$2:$A$113,MATCH(ROWS($FF$2:FF27),$FF$2:$FF$113,0)),"")</f>
        <v>DESAPARICION DE PERSONA</v>
      </c>
      <c r="JC27" s="207" t="str">
        <f>IFERROR(INDEX($A$2:$A$113,MATCH(ROWS($FG$2:FG27),$FG$2:$FG$113,0)),"")</f>
        <v>DESAPARICION DE PERSONA</v>
      </c>
      <c r="JD27" s="207" t="str">
        <f>IFERROR(INDEX($A$2:$A$113,MATCH(ROWS($FH$2:FH27),$FH$2:$FH$113,0)),"")</f>
        <v>DESAPARICION DE PERSONA</v>
      </c>
      <c r="JE27" s="207" t="str">
        <f>IFERROR(INDEX($A$2:$A$113,MATCH(ROWS($FI$2:FI27),$FI$2:$FI$113,0)),"")</f>
        <v>DESAPARICION DE PERSONA</v>
      </c>
      <c r="JF27" s="207" t="str">
        <f>IFERROR(INDEX($A$2:$A$113,MATCH(ROWS($FJ$2:FJ27),$FJ$2:$FJ$113,0)),"")</f>
        <v>DESAPARICION DE PERSONA</v>
      </c>
      <c r="JG27" s="207" t="str">
        <f>IFERROR(INDEX($A$2:$A$113,MATCH(ROWS($FK$2:FK27),$FK$2:$FK$113,0)),"")</f>
        <v>DESAPARICION DE PERSONA</v>
      </c>
      <c r="JH27" s="207" t="str">
        <f>IFERROR(INDEX($A$2:$A$113,MATCH(ROWS($FL$2:FL27),$FL$2:$FL$113,0)),"")</f>
        <v>DESAPARICION DE PERSONA</v>
      </c>
      <c r="JI27" s="207" t="str">
        <f>IFERROR(INDEX($A$2:$A$113,MATCH(ROWS($FM$2:FM27),$FM$2:$FM$113,0)),"")</f>
        <v>DESAPARICION DE PERSONA</v>
      </c>
      <c r="JJ27" s="207" t="str">
        <f>IFERROR(INDEX($A$2:$A$113,MATCH(ROWS($FN$2:FN27),$FN$2:$FN$113,0)),"")</f>
        <v>DESAPARICION DE PERSONA</v>
      </c>
      <c r="JK27" s="207" t="str">
        <f>IFERROR(INDEX($A$2:$A$113,MATCH(ROWS($FO$2:FO27),$FO$2:$FO$113,0)),"")</f>
        <v>DESAPARICION DE PERSONA</v>
      </c>
      <c r="JL27" s="207" t="str">
        <f>IFERROR(INDEX($A$2:$A$113,MATCH(ROWS($FP$2:FP27),$FP$2:$FP$113,0)),"")</f>
        <v>DESAPARICION DE PERSONA</v>
      </c>
      <c r="JM27" s="207" t="str">
        <f>IFERROR(INDEX($A$2:$A$113,MATCH(ROWS($FQ$2:FQ27),$FQ$2:$FQ$113,0)),"")</f>
        <v>DESAPARICION DE PERSONA</v>
      </c>
      <c r="JN27" s="207" t="str">
        <f>IFERROR(INDEX($A$2:$A$113,MATCH(ROWS($FR$2:FR27),$FR$2:$FR$113,0)),"")</f>
        <v>DESAPARICION DE PERSONA</v>
      </c>
      <c r="JO27" s="207" t="str">
        <f>IFERROR(INDEX($A$2:$A$113,MATCH(ROWS($FS$2:FS27),$FS$2:$FS$113,0)),"")</f>
        <v>DESAPARICION DE PERSONA</v>
      </c>
      <c r="JP27" s="207" t="str">
        <f>IFERROR(INDEX($A$2:$A$113,MATCH(ROWS($FT$2:FT27),$FT$2:$FT$113,0)),"")</f>
        <v>DESAPARICION DE PERSONA</v>
      </c>
      <c r="JQ27" s="207" t="str">
        <f>IFERROR(INDEX($A$2:$A$113,MATCH(ROWS($FU$2:FU27),$FU$2:$FU$113,0)),"")</f>
        <v>DESAPARICION DE PERSONA</v>
      </c>
      <c r="JR27" s="207" t="str">
        <f>IFERROR(INDEX($A$2:$A$113,MATCH(ROWS($FV$2:FV27),$FV$2:$FV$113,0)),"")</f>
        <v>DESAPARICION DE PERSONA</v>
      </c>
      <c r="JS27" s="207" t="str">
        <f>IFERROR(INDEX($A$2:$A$113,MATCH(ROWS($FW$2:FW27),$FW$2:$FW$113,0)),"")</f>
        <v>DESAPARICION DE PERSONA</v>
      </c>
      <c r="JT27" s="207" t="str">
        <f>IFERROR(INDEX($A$2:$A$113,MATCH(ROWS($FX$2:FX27),$FX$2:$FX$113,0)),"")</f>
        <v>DESAPARICION DE PERSONA</v>
      </c>
      <c r="JU27" s="207" t="str">
        <f>IFERROR(INDEX($A$2:$A$113,MATCH(ROWS($FY$2:FY27),$FY$2:$FY$113,0)),"")</f>
        <v>DESAPARICION DE PERSONA</v>
      </c>
      <c r="JV27" s="207" t="str">
        <f>IFERROR(INDEX($A$2:$A$113,MATCH(ROWS($FZ$2:FZ27),$FZ$2:$FZ$113,0)),"")</f>
        <v>DESAPARICION DE PERSONA</v>
      </c>
      <c r="JW27" s="207" t="str">
        <f>IFERROR(INDEX($A$2:$A$113,MATCH(ROWS($GA$2:GA27),$GA$2:$GA$113,0)),"")</f>
        <v>DESAPARICION DE PERSONA</v>
      </c>
      <c r="JX27" s="207" t="str">
        <f>IFERROR(INDEX($A$2:$A$113,MATCH(ROWS($GB$2:GB27),$GB$2:$GB$113,0)),"")</f>
        <v>DESAPARICION DE PERSONA</v>
      </c>
      <c r="JY27" s="207" t="str">
        <f>IFERROR(INDEX($A$2:$A$113,MATCH(ROWS($GC$2:GC27),$GC$2:$GC$113,0)),"")</f>
        <v>DESAPARICION DE PERSONA</v>
      </c>
      <c r="JZ27" s="207" t="str">
        <f>IFERROR(INDEX($A$2:$A$113,MATCH(ROWS($GD$2:GD27),$GD$2:$GD$113,0)),"")</f>
        <v>DESAPARICION DE PERSONA</v>
      </c>
      <c r="KA27" s="207" t="str">
        <f>IFERROR(INDEX($A$2:$A$113,MATCH(ROWS($GE$2:GE27),$GE$2:$GE$113,0)),"")</f>
        <v>DESAPARICION DE PERSONA</v>
      </c>
      <c r="KB27" s="207" t="str">
        <f>IFERROR(INDEX($A$2:$A$113,MATCH(ROWS($GF$2:GF27),$GF$2:$GF$113,0)),"")</f>
        <v>DESAPARICION DE PERSONA</v>
      </c>
      <c r="KC27" s="207" t="str">
        <f>IFERROR(INDEX($A$2:$A$113,MATCH(ROWS($GG$2:GG27),$GG$2:$GG$113,0)),"")</f>
        <v>DESAPARICION DE PERSONA</v>
      </c>
      <c r="KD27" s="207" t="str">
        <f>IFERROR(INDEX($A$2:$A$113,MATCH(ROWS($GH$2:GH27),$GH$2:$GH$113,0)),"")</f>
        <v>DESAPARICION DE PERSONA</v>
      </c>
      <c r="KE27" s="207" t="str">
        <f>IFERROR(INDEX($A$2:$A$113,MATCH(ROWS($GI$2:GI27),$GI$2:$GI$113,0)),"")</f>
        <v>DESAPARICION DE PERSONA</v>
      </c>
      <c r="KF27" s="207" t="str">
        <f>IFERROR(INDEX($A$2:$A$113,MATCH(ROWS($GJ$2:GJ27),$GJ$2:$GJ$113,0)),"")</f>
        <v>DESAPARICION DE PERSONA</v>
      </c>
      <c r="KG27" s="207" t="str">
        <f>IFERROR(INDEX($A$2:$A$113,MATCH(ROWS($GK$2:GK27),$GK$2:$GK$113,0)),"")</f>
        <v>DESAPARICION DE PERSONA</v>
      </c>
      <c r="KH27" s="207" t="str">
        <f>IFERROR(INDEX($A$2:$A$113,MATCH(ROWS($GL$2:GL27),$GL$2:$GL$113,0)),"")</f>
        <v>DESAPARICION DE PERSONA</v>
      </c>
      <c r="KI27" s="207" t="str">
        <f>IFERROR(INDEX($A$2:$A$113,MATCH(ROWS($GM$2:GM27),$GM$2:$GM$113,0)),"")</f>
        <v>DESAPARICION DE PERSONA</v>
      </c>
      <c r="KJ27" s="207" t="str">
        <f>IFERROR(INDEX($A$2:$A$113,MATCH(ROWS($GN$2:GN27),$GN$2:$GN$113,0)),"")</f>
        <v>DESAPARICION DE PERSONA</v>
      </c>
      <c r="KK27" s="207" t="str">
        <f>IFERROR(INDEX($A$2:$A$113,MATCH(ROWS($GO$2:GO27),$GO$2:$GO$113,0)),"")</f>
        <v>DESAPARICION DE PERSONA</v>
      </c>
      <c r="KL27" s="207" t="str">
        <f>IFERROR(INDEX($A$2:$A$113,MATCH(ROWS($GP$2:GP27),$GP$2:$GP$113,0)),"")</f>
        <v>DESAPARICION DE PERSONA</v>
      </c>
      <c r="KM27" s="207" t="str">
        <f>IFERROR(INDEX($A$2:$A$113,MATCH(ROWS($GQ$2:GQ27),$GQ$2:$GQ$113,0)),"")</f>
        <v>DESAPARICION DE PERSONA</v>
      </c>
      <c r="KN27" s="207" t="str">
        <f>IFERROR(INDEX($A$2:$A$113,MATCH(ROWS($GR$2:GR27),$GR$2:$GR$113,0)),"")</f>
        <v>DESAPARICION DE PERSONA</v>
      </c>
      <c r="KO27" s="207" t="str">
        <f>IFERROR(INDEX($A$2:$A$113,MATCH(ROWS($GS$2:GS27),$GS$2:$GS$113,0)),"")</f>
        <v>DESAPARICION DE PERSONA</v>
      </c>
      <c r="KP27" s="207" t="str">
        <f>IFERROR(INDEX($A$2:$A$113,MATCH(ROWS($GT$2:GT27),$GT$2:$GT$113,0)),"")</f>
        <v>DESAPARICION DE PERSONA</v>
      </c>
      <c r="KQ27" s="207" t="str">
        <f>IFERROR(INDEX($A$2:$A$113,MATCH(ROWS($GU$2:GU27),$GU$2:$GU$113,0)),"")</f>
        <v>DESAPARICION DE PERSONA</v>
      </c>
      <c r="KR27" s="207" t="str">
        <f>IFERROR(INDEX($A$2:$A$113,MATCH(ROWS($GV$2:GV27),$GV$2:$GV$113,0)),"")</f>
        <v>DESAPARICION DE PERSONA</v>
      </c>
      <c r="KS27" s="207" t="str">
        <f>IFERROR(INDEX($A$2:$A$113,MATCH(ROWS($GW$2:GW27),$GW$2:$GW$113,0)),"")</f>
        <v>DESAPARICION DE PERSONA</v>
      </c>
    </row>
    <row r="28" spans="1:305" x14ac:dyDescent="0.25">
      <c r="A28" s="206" t="s">
        <v>11</v>
      </c>
      <c r="B28" s="206">
        <v>12</v>
      </c>
      <c r="D28" s="206" t="s">
        <v>11</v>
      </c>
      <c r="E28" s="206" t="s">
        <v>74</v>
      </c>
      <c r="F28" s="207">
        <f>--ISNUMBER(IFERROR(SEARCH('PLANILLA DJ'!$X$3,$A28,1),""))</f>
        <v>1</v>
      </c>
      <c r="G28" s="207">
        <f>--ISNUMBER(IFERROR(SEARCH('PLANILLA DJ'!$X$4,$A28,1),""))</f>
        <v>1</v>
      </c>
      <c r="H28" s="207">
        <f>--ISNUMBER(IFERROR(SEARCH('PLANILLA DJ'!$X$5,$A28,1),""))</f>
        <v>1</v>
      </c>
      <c r="I28" s="207">
        <f>--ISNUMBER(IFERROR(SEARCH('PLANILLA DJ'!$X$6,$A28,1),""))</f>
        <v>1</v>
      </c>
      <c r="J28" s="207">
        <f>--ISNUMBER(IFERROR(SEARCH('PLANILLA DJ'!$X$7,$A28,1),""))</f>
        <v>1</v>
      </c>
      <c r="K28" s="207">
        <f>--ISNUMBER(IFERROR(SEARCH('PLANILLA DJ'!$X$8,$A28,1),""))</f>
        <v>1</v>
      </c>
      <c r="L28" s="207">
        <f>--ISNUMBER(IFERROR(SEARCH('PLANILLA DJ'!$X$9,$A28,1),""))</f>
        <v>1</v>
      </c>
      <c r="M28" s="207">
        <f>--ISNUMBER(IFERROR(SEARCH('PLANILLA DJ'!$X$10,$A28,1),""))</f>
        <v>1</v>
      </c>
      <c r="N28" s="207">
        <f>--ISNUMBER(IFERROR(SEARCH('PLANILLA DJ'!$X$11,$A28,1),""))</f>
        <v>1</v>
      </c>
      <c r="O28" s="207">
        <f>--ISNUMBER(IFERROR(SEARCH('PLANILLA DJ'!$X$12,$A28,1),""))</f>
        <v>1</v>
      </c>
      <c r="P28" s="207">
        <f>--ISNUMBER(IFERROR(SEARCH('PLANILLA DJ'!$X$13,$A28,1),""))</f>
        <v>1</v>
      </c>
      <c r="Q28" s="207">
        <f>--ISNUMBER(IFERROR(SEARCH('PLANILLA DJ'!$X$14,$A28,1),""))</f>
        <v>1</v>
      </c>
      <c r="R28" s="207">
        <f>--ISNUMBER(IFERROR(SEARCH('PLANILLA DJ'!$X$15,$A28,1),""))</f>
        <v>1</v>
      </c>
      <c r="S28" s="207">
        <f>--ISNUMBER(IFERROR(SEARCH('PLANILLA DJ'!$X$16,$A28,1),""))</f>
        <v>1</v>
      </c>
      <c r="T28" s="207">
        <f>--ISNUMBER(IFERROR(SEARCH('PLANILLA DJ'!$X$17,$A28,1),""))</f>
        <v>1</v>
      </c>
      <c r="U28" s="207">
        <f>--ISNUMBER(IFERROR(SEARCH('PLANILLA DJ'!$X$18,$A28,1),""))</f>
        <v>1</v>
      </c>
      <c r="V28" s="207">
        <f>--ISNUMBER(IFERROR(SEARCH('PLANILLA DJ'!$X$19,$A28,1),""))</f>
        <v>1</v>
      </c>
      <c r="W28" s="207">
        <f>--ISNUMBER(IFERROR(SEARCH('PLANILLA DJ'!$X$20,$A28,1),""))</f>
        <v>1</v>
      </c>
      <c r="X28" s="207">
        <f>--ISNUMBER(IFERROR(SEARCH('PLANILLA DJ'!$X$21,$A28,1),""))</f>
        <v>1</v>
      </c>
      <c r="Y28" s="207">
        <f>--ISNUMBER(IFERROR(SEARCH('PLANILLA DJ'!$X$22,$A28,1),""))</f>
        <v>1</v>
      </c>
      <c r="Z28" s="207">
        <f>--ISNUMBER(IFERROR(SEARCH('PLANILLA DJ'!$X$23,$A28,1),""))</f>
        <v>1</v>
      </c>
      <c r="AA28" s="207">
        <f>--ISNUMBER(IFERROR(SEARCH('PLANILLA DJ'!$X$24,$A28,1),""))</f>
        <v>1</v>
      </c>
      <c r="AB28" s="207">
        <f>--ISNUMBER(IFERROR(SEARCH('PLANILLA DJ'!$X$25,$A28,1),""))</f>
        <v>1</v>
      </c>
      <c r="AC28" s="207">
        <f>--ISNUMBER(IFERROR(SEARCH('PLANILLA DJ'!$X$26,$A28,1),""))</f>
        <v>1</v>
      </c>
      <c r="AD28" s="207">
        <f>--ISNUMBER(IFERROR(SEARCH('PLANILLA DJ'!$X$27,$A28,1),""))</f>
        <v>1</v>
      </c>
      <c r="AE28" s="207">
        <f>--ISNUMBER(IFERROR(SEARCH('PLANILLA DJ'!$X$28,$A28,1),""))</f>
        <v>1</v>
      </c>
      <c r="AF28" s="207">
        <f>--ISNUMBER(IFERROR(SEARCH('PLANILLA DJ'!$X$29,$A28,1),""))</f>
        <v>1</v>
      </c>
      <c r="AG28" s="207">
        <f>--ISNUMBER(IFERROR(SEARCH('PLANILLA DJ'!$X$30,$A28,1),""))</f>
        <v>1</v>
      </c>
      <c r="AH28" s="207">
        <f>--ISNUMBER(IFERROR(SEARCH('PLANILLA DJ'!$X$31,$A28,1),""))</f>
        <v>1</v>
      </c>
      <c r="AI28" s="207">
        <f>--ISNUMBER(IFERROR(SEARCH('PLANILLA DJ'!$X$32,$A28,1),""))</f>
        <v>1</v>
      </c>
      <c r="AJ28" s="207">
        <f>--ISNUMBER(IFERROR(SEARCH('PLANILLA DJ'!$X$33,$A28,1),""))</f>
        <v>1</v>
      </c>
      <c r="AK28" s="207">
        <f>--ISNUMBER(IFERROR(SEARCH('PLANILLA DJ'!$X$34,$A28,1),""))</f>
        <v>1</v>
      </c>
      <c r="AL28" s="207">
        <f>--ISNUMBER(IFERROR(SEARCH('PLANILLA DJ'!$X$35,$A28,1),""))</f>
        <v>1</v>
      </c>
      <c r="AM28" s="207">
        <f>--ISNUMBER(IFERROR(SEARCH('PLANILLA DJ'!$X$36,$A28,1),""))</f>
        <v>1</v>
      </c>
      <c r="AN28" s="207">
        <f>--ISNUMBER(IFERROR(SEARCH('PLANILLA DJ'!$X$37,$A28,1),""))</f>
        <v>1</v>
      </c>
      <c r="AO28" s="207">
        <f>--ISNUMBER(IFERROR(SEARCH('PLANILLA DJ'!$X$38,$A28,1),""))</f>
        <v>1</v>
      </c>
      <c r="AP28" s="207">
        <f>--ISNUMBER(IFERROR(SEARCH('PLANILLA DJ'!$X$39,$A28,1),""))</f>
        <v>1</v>
      </c>
      <c r="AQ28" s="207">
        <f>--ISNUMBER(IFERROR(SEARCH('PLANILLA DJ'!$X$40,$A28,1),""))</f>
        <v>1</v>
      </c>
      <c r="AR28" s="207">
        <f>--ISNUMBER(IFERROR(SEARCH('PLANILLA DJ'!$X$41,$A28,1),""))</f>
        <v>1</v>
      </c>
      <c r="AS28" s="207">
        <f>--ISNUMBER(IFERROR(SEARCH('PLANILLA DJ'!$X$42,$A28,1),""))</f>
        <v>1</v>
      </c>
      <c r="AT28" s="207">
        <f>--ISNUMBER(IFERROR(SEARCH('PLANILLA DJ'!$X$43,$A28,1),""))</f>
        <v>1</v>
      </c>
      <c r="AU28" s="207">
        <f>--ISNUMBER(IFERROR(SEARCH('PLANILLA DJ'!$X$44,$A28,1),""))</f>
        <v>1</v>
      </c>
      <c r="AV28" s="207">
        <f>--ISNUMBER(IFERROR(SEARCH('PLANILLA DJ'!$X$45,$A28,1),""))</f>
        <v>1</v>
      </c>
      <c r="AW28" s="207">
        <f>--ISNUMBER(IFERROR(SEARCH('PLANILLA DJ'!$X$46,$A28,1),""))</f>
        <v>1</v>
      </c>
      <c r="AX28" s="207">
        <f>--ISNUMBER(IFERROR(SEARCH('PLANILLA DJ'!$X$47,$A28,1),""))</f>
        <v>1</v>
      </c>
      <c r="AY28" s="207">
        <f>--ISNUMBER(IFERROR(SEARCH('PLANILLA DJ'!$X$48,$A28,1),""))</f>
        <v>1</v>
      </c>
      <c r="AZ28" s="207">
        <f>--ISNUMBER(IFERROR(SEARCH('PLANILLA DJ'!$X$49,$A28,1),""))</f>
        <v>1</v>
      </c>
      <c r="BA28" s="207">
        <f>--ISNUMBER(IFERROR(SEARCH('PLANILLA DJ'!$X$50,$A28,1),""))</f>
        <v>1</v>
      </c>
      <c r="BB28" s="207">
        <f>--ISNUMBER(IFERROR(SEARCH('PLANILLA DJ'!$X$51,$A28,1),""))</f>
        <v>1</v>
      </c>
      <c r="BC28" s="207">
        <f>--ISNUMBER(IFERROR(SEARCH('PLANILLA DJ'!$X$52,$A28,1),""))</f>
        <v>1</v>
      </c>
      <c r="BD28" s="207">
        <f>--ISNUMBER(IFERROR(SEARCH('PLANILLA DJ'!$X$53,$A28,1),""))</f>
        <v>1</v>
      </c>
      <c r="BE28" s="207">
        <f>--ISNUMBER(IFERROR(SEARCH('PLANILLA DJ'!$X$54,$A28,1),""))</f>
        <v>1</v>
      </c>
      <c r="BF28" s="207">
        <f>--ISNUMBER(IFERROR(SEARCH('PLANILLA DJ'!$X$55,$A28,1),""))</f>
        <v>1</v>
      </c>
      <c r="BG28" s="207">
        <f>--ISNUMBER(IFERROR(SEARCH('PLANILLA DJ'!$X$56,$A28,1),""))</f>
        <v>1</v>
      </c>
      <c r="BH28" s="207">
        <f>--ISNUMBER(IFERROR(SEARCH('PLANILLA DJ'!$X$57,$A28,1),""))</f>
        <v>1</v>
      </c>
      <c r="BI28" s="207">
        <f>--ISNUMBER(IFERROR(SEARCH('PLANILLA DJ'!$X$58,$A28,1),""))</f>
        <v>1</v>
      </c>
      <c r="BJ28" s="207">
        <f>--ISNUMBER(IFERROR(SEARCH('PLANILLA DJ'!$X$59,$A28,1),""))</f>
        <v>1</v>
      </c>
      <c r="BK28" s="207">
        <f>--ISNUMBER(IFERROR(SEARCH('PLANILLA DJ'!$X$60,$A28,1),""))</f>
        <v>1</v>
      </c>
      <c r="BL28" s="207">
        <f>--ISNUMBER(IFERROR(SEARCH('PLANILLA DJ'!$X$61,$A28,1),""))</f>
        <v>1</v>
      </c>
      <c r="BM28" s="207">
        <f>--ISNUMBER(IFERROR(SEARCH('PLANILLA DJ'!$X$62,$A28,1),""))</f>
        <v>1</v>
      </c>
      <c r="BN28" s="207">
        <f>--ISNUMBER(IFERROR(SEARCH('PLANILLA DJ'!$X$63,$A28,1),""))</f>
        <v>1</v>
      </c>
      <c r="BO28" s="207">
        <f>--ISNUMBER(IFERROR(SEARCH('PLANILLA DJ'!$X$64,$A28,1),""))</f>
        <v>1</v>
      </c>
      <c r="BP28" s="207">
        <f>--ISNUMBER(IFERROR(SEARCH('PLANILLA DJ'!$X$65,$A28,1),""))</f>
        <v>1</v>
      </c>
      <c r="BQ28" s="207">
        <f>--ISNUMBER(IFERROR(SEARCH('PLANILLA DJ'!$X$66,$A28,1),""))</f>
        <v>1</v>
      </c>
      <c r="BR28" s="207">
        <f>--ISNUMBER(IFERROR(SEARCH('PLANILLA DJ'!$X$67,$A28,1),""))</f>
        <v>1</v>
      </c>
      <c r="BS28" s="207">
        <f>--ISNUMBER(IFERROR(SEARCH('PLANILLA DJ'!$X$68,$A28,1),""))</f>
        <v>1</v>
      </c>
      <c r="BT28" s="207">
        <f>--ISNUMBER(IFERROR(SEARCH('PLANILLA DJ'!$X$69,$A28,1),""))</f>
        <v>1</v>
      </c>
      <c r="BU28" s="207">
        <f>--ISNUMBER(IFERROR(SEARCH('PLANILLA DJ'!$X$70,$A28,1),""))</f>
        <v>1</v>
      </c>
      <c r="BV28" s="207">
        <f>--ISNUMBER(IFERROR(SEARCH('PLANILLA DJ'!$X$71,$A28,1),""))</f>
        <v>1</v>
      </c>
      <c r="BW28" s="207">
        <f>--ISNUMBER(IFERROR(SEARCH('PLANILLA DJ'!$X$72,$A28,1),""))</f>
        <v>1</v>
      </c>
      <c r="BX28" s="207">
        <f>--ISNUMBER(IFERROR(SEARCH('PLANILLA DJ'!$X$73,$A28,1),""))</f>
        <v>1</v>
      </c>
      <c r="BY28" s="207">
        <f>--ISNUMBER(IFERROR(SEARCH('PLANILLA DJ'!$X$74,$A28,1),""))</f>
        <v>1</v>
      </c>
      <c r="BZ28" s="207">
        <f>--ISNUMBER(IFERROR(SEARCH('PLANILLA DJ'!$X$75,$A28,1),""))</f>
        <v>1</v>
      </c>
      <c r="CA28" s="207">
        <f>--ISNUMBER(IFERROR(SEARCH('PLANILLA DJ'!$X$76,$A28,1),""))</f>
        <v>1</v>
      </c>
      <c r="CB28" s="207">
        <f>--ISNUMBER(IFERROR(SEARCH('PLANILLA DJ'!$X$77,$A28,1),""))</f>
        <v>1</v>
      </c>
      <c r="CC28" s="207">
        <f>--ISNUMBER(IFERROR(SEARCH('PLANILLA DJ'!$X$78,$A28,1),""))</f>
        <v>1</v>
      </c>
      <c r="CD28" s="207">
        <f>--ISNUMBER(IFERROR(SEARCH('PLANILLA DJ'!$X$79,$A28,1),""))</f>
        <v>1</v>
      </c>
      <c r="CE28" s="207">
        <f>--ISNUMBER(IFERROR(SEARCH('PLANILLA DJ'!$X$80,$A28,1),""))</f>
        <v>1</v>
      </c>
      <c r="CF28" s="207">
        <f>--ISNUMBER(IFERROR(SEARCH('PLANILLA DJ'!$X$81,$A28,1),""))</f>
        <v>1</v>
      </c>
      <c r="CG28" s="207">
        <f>--ISNUMBER(IFERROR(SEARCH('PLANILLA DJ'!$X$82,$A28,1),""))</f>
        <v>1</v>
      </c>
      <c r="CH28" s="207">
        <f>--ISNUMBER(IFERROR(SEARCH('PLANILLA DJ'!$X$83,$A28,1),""))</f>
        <v>1</v>
      </c>
      <c r="CI28" s="207">
        <f>--ISNUMBER(IFERROR(SEARCH('PLANILLA DJ'!$X$84,$A28,1),""))</f>
        <v>1</v>
      </c>
      <c r="CJ28" s="207">
        <f>--ISNUMBER(IFERROR(SEARCH('PLANILLA DJ'!$X$85,$A28,1),""))</f>
        <v>1</v>
      </c>
      <c r="CK28" s="207">
        <f>--ISNUMBER(IFERROR(SEARCH('PLANILLA DJ'!$X$86,$A28,1),""))</f>
        <v>1</v>
      </c>
      <c r="CL28" s="207">
        <f>--ISNUMBER(IFERROR(SEARCH('PLANILLA DJ'!$X$87,$A28,1),""))</f>
        <v>1</v>
      </c>
      <c r="CM28" s="207">
        <f>--ISNUMBER(IFERROR(SEARCH('PLANILLA DJ'!$X$88,$A28,1),""))</f>
        <v>1</v>
      </c>
      <c r="CN28" s="207">
        <f>--ISNUMBER(IFERROR(SEARCH('PLANILLA DJ'!$X$89,$A28,1),""))</f>
        <v>1</v>
      </c>
      <c r="CO28" s="207">
        <f>--ISNUMBER(IFERROR(SEARCH('PLANILLA DJ'!$X$90,$A28,1),""))</f>
        <v>1</v>
      </c>
      <c r="CP28" s="207">
        <f>--ISNUMBER(IFERROR(SEARCH('PLANILLA DJ'!$X$91,$A28,1),""))</f>
        <v>1</v>
      </c>
      <c r="CQ28" s="207">
        <f>--ISNUMBER(IFERROR(SEARCH('PLANILLA DJ'!$X$92,$A28,1),""))</f>
        <v>1</v>
      </c>
      <c r="CR28" s="207">
        <f>--ISNUMBER(IFERROR(SEARCH('PLANILLA DJ'!$X$93,$A28,1),""))</f>
        <v>1</v>
      </c>
      <c r="CS28" s="207">
        <f>--ISNUMBER(IFERROR(SEARCH('PLANILLA DJ'!$X$94,$A28,1),""))</f>
        <v>1</v>
      </c>
      <c r="CT28" s="207">
        <f>--ISNUMBER(IFERROR(SEARCH('PLANILLA DJ'!$X$95,$A28,1),""))</f>
        <v>1</v>
      </c>
      <c r="CU28" s="207">
        <f>--ISNUMBER(IFERROR(SEARCH('PLANILLA DJ'!$X$96,$A28,1),""))</f>
        <v>1</v>
      </c>
      <c r="CV28" s="207">
        <f>--ISNUMBER(IFERROR(SEARCH('PLANILLA DJ'!$X$97,$A28,1),""))</f>
        <v>1</v>
      </c>
      <c r="CW28" s="207">
        <f>--ISNUMBER(IFERROR(SEARCH('PLANILLA DJ'!$X$98,$A28,1),""))</f>
        <v>1</v>
      </c>
      <c r="CX28" s="207">
        <f>--ISNUMBER(IFERROR(SEARCH('PLANILLA DJ'!$X$99,$A28,1),""))</f>
        <v>1</v>
      </c>
      <c r="CY28" s="207">
        <f>--ISNUMBER(IFERROR(SEARCH('PLANILLA DJ'!$X$100,$A28,1),""))</f>
        <v>1</v>
      </c>
      <c r="CZ28" s="207">
        <f>--ISNUMBER(IFERROR(SEARCH('PLANILLA DJ'!$X$101,$A28,1),""))</f>
        <v>1</v>
      </c>
      <c r="DA28" s="207">
        <f>--ISNUMBER(IFERROR(SEARCH('PLANILLA DJ'!$X$102,$A28,1),""))</f>
        <v>1</v>
      </c>
      <c r="DB28" s="206">
        <f>IF(F28=1,COUNTIF($F$2:F28,1),"")</f>
        <v>27</v>
      </c>
      <c r="DC28" s="206">
        <f>IF(G28=1,COUNTIF($G$2:G28,1),"")</f>
        <v>27</v>
      </c>
      <c r="DD28" s="206">
        <f>IF(H28=1,COUNTIF($H$2:H28,1),"")</f>
        <v>27</v>
      </c>
      <c r="DE28" s="206">
        <f>IF(I28=1,COUNTIF($I$2:I28,1),"")</f>
        <v>27</v>
      </c>
      <c r="DF28" s="206">
        <f>IF(J28=1,COUNTIF($J$2:J28,1),"")</f>
        <v>27</v>
      </c>
      <c r="DG28" s="206">
        <f>IF(K28=1,COUNTIF($K$2:K28,1),"")</f>
        <v>27</v>
      </c>
      <c r="DH28" s="206">
        <f>IF(L28=1,COUNTIF($L$2:L28,1),"")</f>
        <v>27</v>
      </c>
      <c r="DI28" s="206">
        <f>IF(M28=1,COUNTIF($M$2:M28,1),"")</f>
        <v>27</v>
      </c>
      <c r="DJ28" s="206">
        <f>IF(N28=1,COUNTIF($N$2:N28,1),"")</f>
        <v>27</v>
      </c>
      <c r="DK28" s="206">
        <f>IF(O28=1,COUNTIF($O$2:O28,1),"")</f>
        <v>27</v>
      </c>
      <c r="DL28" s="206">
        <f>IF(P28=1,COUNTIF($P$2:P28,1),"")</f>
        <v>27</v>
      </c>
      <c r="DM28" s="206">
        <f>IF(Q28=1,COUNTIF($Q$2:Q28,1),"")</f>
        <v>27</v>
      </c>
      <c r="DN28" s="207">
        <f>IF(R28=1,COUNTIF($R$2:R28,1),"")</f>
        <v>27</v>
      </c>
      <c r="DO28" s="207">
        <f>IF(S28=1,COUNTIF($S$2:S28,1),"")</f>
        <v>27</v>
      </c>
      <c r="DP28" s="207">
        <f>IF(T28=1,COUNTIF($T$2:T28,1),"")</f>
        <v>27</v>
      </c>
      <c r="DQ28" s="207">
        <f>IF(U28=1,COUNTIF($U$2:U28,1),"")</f>
        <v>27</v>
      </c>
      <c r="DR28" s="207">
        <f>IF(V28=1,COUNTIF($V$2:V28,1),"")</f>
        <v>27</v>
      </c>
      <c r="DS28" s="207">
        <f>IF(W28=1,COUNTIF($W$2:W28,1),"")</f>
        <v>27</v>
      </c>
      <c r="DT28" s="207">
        <f>IF(X28=1,COUNTIF($X$2:X28,1),"")</f>
        <v>27</v>
      </c>
      <c r="DU28" s="207">
        <f>IF(Y28=1,COUNTIF($Y$2:Y28,1),"")</f>
        <v>27</v>
      </c>
      <c r="DV28" s="207">
        <f>IF(Z28=1,COUNTIF(Z$2:Z28,1),"")</f>
        <v>27</v>
      </c>
      <c r="DW28" s="207">
        <f>IF(AA28=1,COUNTIF($AA$2:AA28,1),"")</f>
        <v>27</v>
      </c>
      <c r="DX28" s="207">
        <f>IF(AB28=1,COUNTIF($AB$2:AB28,1),"")</f>
        <v>27</v>
      </c>
      <c r="DY28" s="207">
        <f>IF(AC28=1,COUNTIF($AC$2:AC28,1),"")</f>
        <v>27</v>
      </c>
      <c r="DZ28" s="207">
        <f>IF(AD28=1,COUNTIF($AD$2:AD28,1),"")</f>
        <v>27</v>
      </c>
      <c r="EA28" s="207">
        <f>IF(AE28=1,COUNTIF($AE$2:AE28,1),"")</f>
        <v>27</v>
      </c>
      <c r="EB28" s="207">
        <f>IF(AF28=1,COUNTIF($AF$2:AF28,1),"")</f>
        <v>27</v>
      </c>
      <c r="EC28" s="207">
        <f>IF(AG28=1,COUNTIF($AG$2:AG28,1),"")</f>
        <v>27</v>
      </c>
      <c r="ED28" s="207">
        <f>IF(AH28=1,COUNTIF($AH$2:AH28,1),"")</f>
        <v>27</v>
      </c>
      <c r="EE28" s="207">
        <f>IF(AI28=1,COUNTIF($AI$2:AI28,1),"")</f>
        <v>27</v>
      </c>
      <c r="EF28" s="207">
        <f>IF(AJ28=1,COUNTIF($AJ$2:AJ28,1),"")</f>
        <v>27</v>
      </c>
      <c r="EG28" s="207">
        <f>IF(AK28=1,COUNTIF($AK$2:AK28,1),"")</f>
        <v>27</v>
      </c>
      <c r="EH28" s="207">
        <f>IF(AL28=1,COUNTIF($AL$2:AL28,1),"")</f>
        <v>27</v>
      </c>
      <c r="EI28" s="207">
        <f>IF(AM28=1,COUNTIF($AM$2:AM28,1),"")</f>
        <v>27</v>
      </c>
      <c r="EJ28" s="207">
        <f>IF(AN28=1,COUNTIF($AN$2:AN28,1),"")</f>
        <v>27</v>
      </c>
      <c r="EK28" s="207">
        <f>IF(AO28=1,COUNTIF($AO$2:AO28,1),"")</f>
        <v>27</v>
      </c>
      <c r="EL28" s="207">
        <f>IF(AP28=1,COUNTIF($AP$2:AP28,1),"")</f>
        <v>27</v>
      </c>
      <c r="EM28" s="207">
        <f>IF(AQ28=1,COUNTIF($AQ$2:AQ28,1),"")</f>
        <v>27</v>
      </c>
      <c r="EN28" s="207">
        <f>IF(AR28=1,COUNTIF($AR$2:AR28,1),"")</f>
        <v>27</v>
      </c>
      <c r="EO28" s="207">
        <f>IF(AS28=1,COUNTIF($AS$2:AS28,1),"")</f>
        <v>27</v>
      </c>
      <c r="EP28" s="207">
        <f>IF(AT28=1,COUNTIF($AT$2:AT28,1),"")</f>
        <v>27</v>
      </c>
      <c r="EQ28" s="207">
        <f>IF(AU28=1,COUNTIF($AU$2:AU28,1),"")</f>
        <v>27</v>
      </c>
      <c r="ER28" s="207">
        <f>IF(AV28=1,COUNTIF($AV$2:AV28,1),"")</f>
        <v>27</v>
      </c>
      <c r="ES28" s="207">
        <f>IF(AW28=1,COUNTIF($AW$2:AW28,1),"")</f>
        <v>27</v>
      </c>
      <c r="ET28" s="207">
        <f>IF(AX28=1,COUNTIF($AX$2:AX28,1),"")</f>
        <v>27</v>
      </c>
      <c r="EU28" s="207">
        <f>IF(AY28=1,COUNTIF($AY$2:AY28,1),"")</f>
        <v>27</v>
      </c>
      <c r="EV28" s="207">
        <f>IF(AZ28=1,COUNTIF($AZ$2:AZ28,1),"")</f>
        <v>27</v>
      </c>
      <c r="EW28" s="207">
        <f>IF(BA28=1,COUNTIF($BA$2:BA28,1),"")</f>
        <v>27</v>
      </c>
      <c r="EX28" s="207">
        <f>IF(BB28=1,COUNTIF($BB$2:BB28,1),"")</f>
        <v>27</v>
      </c>
      <c r="EY28" s="207">
        <f>IF(BC28=1,COUNTIF($BC$2:BC28,1),"")</f>
        <v>27</v>
      </c>
      <c r="EZ28" s="207">
        <f>IF(BD28=1,COUNTIF($BD$2:BD28,1),"")</f>
        <v>27</v>
      </c>
      <c r="FA28" s="207">
        <f>IF(BE28=1,COUNTIF($BE$2:BE28,1),"")</f>
        <v>27</v>
      </c>
      <c r="FB28" s="207">
        <f>IF(BF28=1,COUNTIF($BF$2:BF28,1),"")</f>
        <v>27</v>
      </c>
      <c r="FC28" s="207">
        <f>IF(BG28=1,COUNTIF($BG$2:BG28,1),"")</f>
        <v>27</v>
      </c>
      <c r="FD28" s="207">
        <f>IF(BH28=1,COUNTIF($BH$2:BH28,1),"")</f>
        <v>27</v>
      </c>
      <c r="FE28" s="207">
        <f>IF(BI28=1,COUNTIF($BI$2:BI28,1),"")</f>
        <v>27</v>
      </c>
      <c r="FF28" s="207">
        <f>IF(BJ28=1,COUNTIF($BJ$2:BJ28,1),"")</f>
        <v>27</v>
      </c>
      <c r="FG28" s="207">
        <f>IF(BK28=1,COUNTIF($BK$2:BK28,1),"")</f>
        <v>27</v>
      </c>
      <c r="FH28" s="207">
        <f>IF(BL28=1,COUNTIF($BL$2:BL28,1),"")</f>
        <v>27</v>
      </c>
      <c r="FI28" s="207">
        <f>IF(BM28=1,COUNTIF($BM$2:BM28,1),"")</f>
        <v>27</v>
      </c>
      <c r="FJ28" s="207">
        <f>IF(BN28=1,COUNTIF($BN$2:BN28,1),"")</f>
        <v>27</v>
      </c>
      <c r="FK28" s="207">
        <f>IF(BO28=1,COUNTIF($BO$2:BO28,1),"")</f>
        <v>27</v>
      </c>
      <c r="FL28" s="207">
        <f>IF(BP28=1,COUNTIF($BP$2:BP28,1),"")</f>
        <v>27</v>
      </c>
      <c r="FM28" s="207">
        <f>IF(BQ28=1,COUNTIF($BQ$2:BQ28,1),"")</f>
        <v>27</v>
      </c>
      <c r="FN28" s="207">
        <f>IF(BR28=1,COUNTIF($BR$2:BR28,1),"")</f>
        <v>27</v>
      </c>
      <c r="FO28" s="207">
        <f>IF(BS28=1,COUNTIF($BS$2:BS28,1),"")</f>
        <v>27</v>
      </c>
      <c r="FP28" s="207">
        <f>IF(BT28=1,COUNTIF($BT$2:BT28,1),"")</f>
        <v>27</v>
      </c>
      <c r="FQ28" s="207">
        <f>IF(BU28=1,COUNTIF($BU$2:BU28,1),"")</f>
        <v>27</v>
      </c>
      <c r="FR28" s="207">
        <f>IF(BV28=1,COUNTIF($BV$2:BV28,1),"")</f>
        <v>27</v>
      </c>
      <c r="FS28" s="207">
        <f>IF(BW28=1,COUNTIF($BW$2:BW28,1),"")</f>
        <v>27</v>
      </c>
      <c r="FT28" s="207">
        <f>IF(BX28=1,COUNTIF($BX$2:BX28,1),"")</f>
        <v>27</v>
      </c>
      <c r="FU28" s="207">
        <f>IF(BY28=1,COUNTIF($BY$2:BY28,1),"")</f>
        <v>27</v>
      </c>
      <c r="FV28" s="207">
        <f>IF(BZ28=1,COUNTIF($BZ$2:BZ28,1),"")</f>
        <v>27</v>
      </c>
      <c r="FW28" s="207">
        <f>IF(CA28=1,COUNTIF($CA$2:CA28,1),"")</f>
        <v>27</v>
      </c>
      <c r="FX28" s="207">
        <f>IF(CB28=1,COUNTIF($CB$2:CB28,1),"")</f>
        <v>27</v>
      </c>
      <c r="FY28" s="207">
        <f>IF(CC28=1,COUNTIF($CC$2:CC28,1),"")</f>
        <v>27</v>
      </c>
      <c r="FZ28" s="207">
        <f>IF(CD28=1,COUNTIF($CD$2:CD28,1),"")</f>
        <v>27</v>
      </c>
      <c r="GA28" s="207">
        <f>IF(CE28=1,COUNTIF($CE$2:CE28,1),"")</f>
        <v>27</v>
      </c>
      <c r="GB28" s="207">
        <f>IF(CF28=1,COUNTIF($CF$2:CF28,1),"")</f>
        <v>27</v>
      </c>
      <c r="GC28" s="207">
        <f>IF(CG28=1,COUNTIF($CG$2:CG28,1),"")</f>
        <v>27</v>
      </c>
      <c r="GD28" s="207">
        <f>IF(CH28=1,COUNTIF($CH$2:CH28,1),"")</f>
        <v>27</v>
      </c>
      <c r="GE28" s="207">
        <f>IF(CI28=1,COUNTIF($CI$2:CI28,1),"")</f>
        <v>27</v>
      </c>
      <c r="GF28" s="207">
        <f>IF(CJ28=1,COUNTIF($CJ$2:CJ28,1),"")</f>
        <v>27</v>
      </c>
      <c r="GG28" s="207">
        <f>IF(CK28=1,COUNTIF($CK$2:CK28,1),"")</f>
        <v>27</v>
      </c>
      <c r="GH28" s="207">
        <f>IF(CL28=1,COUNTIF($CL$2:CL28,1),"")</f>
        <v>27</v>
      </c>
      <c r="GI28" s="207">
        <f>IF(CM28=1,COUNTIF($CM$2:CM28,1),"")</f>
        <v>27</v>
      </c>
      <c r="GJ28" s="207">
        <f>IF(CN28=1,COUNTIF($CN$2:CN28,1),"")</f>
        <v>27</v>
      </c>
      <c r="GK28" s="207">
        <f>IF(CO28=1,COUNTIF($CO$2:CO28,1),"")</f>
        <v>27</v>
      </c>
      <c r="GL28" s="207">
        <f>IF(CP28=1,COUNTIF($CP$2:CP28,1),"")</f>
        <v>27</v>
      </c>
      <c r="GM28" s="207">
        <f>IF(CQ28=1,COUNTIF($CQ$2:CQ28,1),"")</f>
        <v>27</v>
      </c>
      <c r="GN28" s="207">
        <f>IF(CR28=1,COUNTIF($CR$2:CR28,1),"")</f>
        <v>27</v>
      </c>
      <c r="GO28" s="207">
        <f>IF(CS28=1,COUNTIF($CS$2:CS28,1),"")</f>
        <v>27</v>
      </c>
      <c r="GP28" s="207">
        <f>IF(CT28=1,COUNTIF($CT$2:CT28,1),"")</f>
        <v>27</v>
      </c>
      <c r="GQ28" s="207">
        <f>IF(CU28=1,COUNTIF($CU$2:CU28,1),"")</f>
        <v>27</v>
      </c>
      <c r="GR28" s="207">
        <f>IF(CV28=1,COUNTIF($CV$2:CV28,1),"")</f>
        <v>27</v>
      </c>
      <c r="GS28" s="207">
        <f>IF(CW28=1,COUNTIF($CW$2:CW28,1),"")</f>
        <v>27</v>
      </c>
      <c r="GT28" s="207">
        <f>IF(CX28=1,COUNTIF($CX$2:CX28,1),"")</f>
        <v>27</v>
      </c>
      <c r="GU28" s="207">
        <f>IF(CY28=1,COUNTIF($CY$2:CY28,1),"")</f>
        <v>27</v>
      </c>
      <c r="GV28" s="207">
        <f>IF(CZ28=1,COUNTIF($CZ$2:CZ28,1),"")</f>
        <v>27</v>
      </c>
      <c r="GW28" s="207">
        <f>IF(DA28=1,COUNTIF($DA$2:DA28,1),"")</f>
        <v>27</v>
      </c>
      <c r="GX28" s="206" t="str">
        <f>IFERROR(INDEX($A$2:$A$113,MATCH(ROWS($DB$2:DB28),$DB$2:$DB$113,0)),"")</f>
        <v>OTRO DELITO CONTRA EL ESTADO CIVIL</v>
      </c>
      <c r="GY28" s="206" t="str">
        <f>IFERROR(INDEX($A$2:$A$113,MATCH(ROWS($DC$2:DC28),$DC$2:$DC$113,0)),"")</f>
        <v>OTRO DELITO CONTRA EL ESTADO CIVIL</v>
      </c>
      <c r="GZ28" s="206" t="str">
        <f>IFERROR(INDEX($A$2:$A$113,MATCH(ROWS($DD$2:DD28),$DD$2:$DD$113,0)),"")</f>
        <v>OTRO DELITO CONTRA EL ESTADO CIVIL</v>
      </c>
      <c r="HA28" s="206" t="str">
        <f>IFERROR(INDEX($A$2:$A$113,MATCH(ROWS($DE$2:DE28),$DE$2:$DE$113,0)),"")</f>
        <v>OTRO DELITO CONTRA EL ESTADO CIVIL</v>
      </c>
      <c r="HB28" s="206" t="str">
        <f>IFERROR(INDEX($A$2:$A$113,MATCH(ROWS($DF$2:DF28),$DF$2:$DF$113,0)),"")</f>
        <v>OTRO DELITO CONTRA EL ESTADO CIVIL</v>
      </c>
      <c r="HC28" s="206" t="str">
        <f>IFERROR(INDEX($A$2:$A$113,MATCH(ROWS($DG$2:DG28),$DG$2:$DG$113,0)),"")</f>
        <v>OTRO DELITO CONTRA EL ESTADO CIVIL</v>
      </c>
      <c r="HD28" s="206" t="str">
        <f>IFERROR(INDEX($A$2:$A$113,MATCH(ROWS($DH$2:DH28),$DH$2:$DH$113,0)),"")</f>
        <v>OTRO DELITO CONTRA EL ESTADO CIVIL</v>
      </c>
      <c r="HE28" s="206" t="str">
        <f>IFERROR(INDEX($A$2:$A$113,MATCH(ROWS($DI$2:DI28),$DI$2:$DI$113,0)),"")</f>
        <v>OTRO DELITO CONTRA EL ESTADO CIVIL</v>
      </c>
      <c r="HF28" s="206" t="str">
        <f>IFERROR(INDEX($A$2:$A$113,MATCH(ROWS($DJ$2:DJ28),$DJ$2:$DJ$113,0)),"")</f>
        <v>OTRO DELITO CONTRA EL ESTADO CIVIL</v>
      </c>
      <c r="HG28" s="206" t="str">
        <f>IFERROR(INDEX($A$2:$A$113,MATCH(ROWS($DK$2:DK28),$DK$2:$DK$113,0)),"")</f>
        <v>OTRO DELITO CONTRA EL ESTADO CIVIL</v>
      </c>
      <c r="HH28" s="206" t="str">
        <f>IFERROR(INDEX($A$2:$A$113,MATCH(ROWS($DL$2:DL28),$DL$2:$DL$113,0)),"")</f>
        <v>OTRO DELITO CONTRA EL ESTADO CIVIL</v>
      </c>
      <c r="HI28" s="206" t="str">
        <f>IFERROR(INDEX($A$2:$A$113,MATCH(ROWS($DM$2:DM28),$DM$2:$DM$113,0)),"")</f>
        <v>OTRO DELITO CONTRA EL ESTADO CIVIL</v>
      </c>
      <c r="HJ28" s="206" t="str">
        <f>IFERROR(INDEX($A$2:$A$113,MATCH(ROWS($DN$2:DN28),$DN$2:$DN$113,0)),"")</f>
        <v>OTRO DELITO CONTRA EL ESTADO CIVIL</v>
      </c>
      <c r="HK28" s="206" t="str">
        <f>IFERROR(INDEX($A$2:$A$113,MATCH(ROWS($DO$2:DO28),$DO$2:$DO$113,0)),"")</f>
        <v>OTRO DELITO CONTRA EL ESTADO CIVIL</v>
      </c>
      <c r="HL28" s="206" t="str">
        <f>IFERROR(INDEX($A$2:$A$113,MATCH(ROWS($DP$2:DP28),$DP$2:$DP$113,0)),"")</f>
        <v>OTRO DELITO CONTRA EL ESTADO CIVIL</v>
      </c>
      <c r="HM28" s="206" t="str">
        <f>IFERROR(INDEX($A$2:$A$113,MATCH(ROWS($DQ$2:DQ28),$DQ$2:$DQ$113,0)),"")</f>
        <v>OTRO DELITO CONTRA EL ESTADO CIVIL</v>
      </c>
      <c r="HN28" s="206" t="str">
        <f>IFERROR(INDEX($A$2:$A$113,MATCH(ROWS($DR$2:DR28),$DR$2:$DR$113,0)),"")</f>
        <v>OTRO DELITO CONTRA EL ESTADO CIVIL</v>
      </c>
      <c r="HO28" s="206" t="str">
        <f>IFERROR(INDEX($A$2:$A$113,MATCH(ROWS($DS$2:DS28),$DS$2:$DS$113,0)),"")</f>
        <v>OTRO DELITO CONTRA EL ESTADO CIVIL</v>
      </c>
      <c r="HP28" s="206" t="str">
        <f>IFERROR(INDEX($A$2:$A$113,MATCH(ROWS($DT$2:DT28),$DT$2:$DT$113,0)),"")</f>
        <v>OTRO DELITO CONTRA EL ESTADO CIVIL</v>
      </c>
      <c r="HQ28" s="206" t="str">
        <f>IFERROR(INDEX($A$2:$A$113,MATCH(ROWS($DU$2:DU28),$DU$2:$DU$113,0)),"")</f>
        <v>OTRO DELITO CONTRA EL ESTADO CIVIL</v>
      </c>
      <c r="HR28" s="206" t="str">
        <f>IFERROR(INDEX($A$2:$A$113,MATCH(ROWS($DV$2:DV28),$DV$2:$DV$113,0)),"")</f>
        <v>OTRO DELITO CONTRA EL ESTADO CIVIL</v>
      </c>
      <c r="HS28" s="206" t="str">
        <f>IFERROR(INDEX($A$2:$A$113,MATCH(ROWS($DW$2:DW28),$DW$2:$DW$113,0)),"")</f>
        <v>OTRO DELITO CONTRA EL ESTADO CIVIL</v>
      </c>
      <c r="HT28" s="206" t="str">
        <f>IFERROR(INDEX($A$2:$A$113,MATCH(ROWS($DX$2:DX28),$DX$2:$DX$113,0)),"")</f>
        <v>OTRO DELITO CONTRA EL ESTADO CIVIL</v>
      </c>
      <c r="HU28" s="206" t="str">
        <f>IFERROR(INDEX($A$2:$A$113,MATCH(ROWS($DY$2:DY28),$DY$2:$DY$113,0)),"")</f>
        <v>OTRO DELITO CONTRA EL ESTADO CIVIL</v>
      </c>
      <c r="HV28" s="206" t="str">
        <f>IFERROR(INDEX($A$2:$A$113,MATCH(ROWS($DZ$2:DZ28),$DZ$2:$DZ$113,0)),"")</f>
        <v>OTRO DELITO CONTRA EL ESTADO CIVIL</v>
      </c>
      <c r="HW28" s="206" t="str">
        <f>IFERROR(INDEX($A$2:$A$113,MATCH(ROWS($EA$2:EA28),$EA$2:$EA$113,0)),"")</f>
        <v>OTRO DELITO CONTRA EL ESTADO CIVIL</v>
      </c>
      <c r="HX28" s="206" t="str">
        <f>IFERROR(INDEX($A$2:$A$113,MATCH(ROWS($EB$2:EB28),$EB$2:$EB$113,0)),"")</f>
        <v>OTRO DELITO CONTRA EL ESTADO CIVIL</v>
      </c>
      <c r="HY28" s="206" t="str">
        <f>IFERROR(INDEX($A$2:$A$113,MATCH(ROWS($EC$2:EC28),$EC$2:$EC$113,0)),"")</f>
        <v>OTRO DELITO CONTRA EL ESTADO CIVIL</v>
      </c>
      <c r="HZ28" s="206" t="str">
        <f>IFERROR(INDEX($A$2:$A$113,MATCH(ROWS($ED$2:ED28),$ED$2:$ED$113,0)),"")</f>
        <v>OTRO DELITO CONTRA EL ESTADO CIVIL</v>
      </c>
      <c r="IA28" s="206" t="str">
        <f>IFERROR(INDEX($A$2:$A$113,MATCH(ROWS($EE$2:EE28),$EE$2:$EE$113,0)),"")</f>
        <v>OTRO DELITO CONTRA EL ESTADO CIVIL</v>
      </c>
      <c r="IB28" s="206" t="str">
        <f>IFERROR(INDEX($A$2:$A$113,MATCH(ROWS($EF$2:EF28),$EF$2:$EF$113,0)),"")</f>
        <v>OTRO DELITO CONTRA EL ESTADO CIVIL</v>
      </c>
      <c r="IC28" s="206" t="str">
        <f>IFERROR(INDEX($A$2:$A$113,MATCH(ROWS($EG$2:EG28),$EG$2:$EG$113,0)),"")</f>
        <v>OTRO DELITO CONTRA EL ESTADO CIVIL</v>
      </c>
      <c r="ID28" s="206" t="str">
        <f>IFERROR(INDEX($A$2:$A$113,MATCH(ROWS($EH$2:EH28),$EH$2:$EH$113,0)),"")</f>
        <v>OTRO DELITO CONTRA EL ESTADO CIVIL</v>
      </c>
      <c r="IE28" s="206" t="str">
        <f>IFERROR(INDEX($A$2:$A$113,MATCH(ROWS($EI$2:EI28),$EI$2:$EI$113,0)),"")</f>
        <v>OTRO DELITO CONTRA EL ESTADO CIVIL</v>
      </c>
      <c r="IF28" s="206" t="str">
        <f>IFERROR(INDEX($A$2:$A$113,MATCH(ROWS($EJ$2:EJ28),$EJ$2:$EJ$113,0)),"")</f>
        <v>OTRO DELITO CONTRA EL ESTADO CIVIL</v>
      </c>
      <c r="IG28" s="206" t="str">
        <f>IFERROR(INDEX($A$2:$A$113,MATCH(ROWS($EK$2:EK28),$EK$2:$EK$113,0)),"")</f>
        <v>OTRO DELITO CONTRA EL ESTADO CIVIL</v>
      </c>
      <c r="IH28" s="206" t="str">
        <f>IFERROR(INDEX($A$2:$A$113,MATCH(ROWS($EL$2:EL28),$EL$2:$EL$113,0)),"")</f>
        <v>OTRO DELITO CONTRA EL ESTADO CIVIL</v>
      </c>
      <c r="II28" s="206" t="str">
        <f>IFERROR(INDEX($A$2:$A$113,MATCH(ROWS($EM$2:EM28),$EM$2:$EM$113,0)),"")</f>
        <v>OTRO DELITO CONTRA EL ESTADO CIVIL</v>
      </c>
      <c r="IJ28" s="206" t="str">
        <f>IFERROR(INDEX($A$2:$A$113,MATCH(ROWS($EN$2:EN28),$EN$2:$EN$113,0)),"")</f>
        <v>OTRO DELITO CONTRA EL ESTADO CIVIL</v>
      </c>
      <c r="IK28" s="207" t="str">
        <f>IFERROR(INDEX($A$2:$A$113,MATCH(ROWS($EO$2:EO28),$EO$2:$EO$113,0)),"")</f>
        <v>OTRO DELITO CONTRA EL ESTADO CIVIL</v>
      </c>
      <c r="IL28" s="207" t="str">
        <f>IFERROR(INDEX($A$2:$A$113,MATCH(ROWS($EP$2:EP28),$EP$2:$EP$113,0)),"")</f>
        <v>OTRO DELITO CONTRA EL ESTADO CIVIL</v>
      </c>
      <c r="IM28" s="207" t="str">
        <f>IFERROR(INDEX($A$2:$A$113,MATCH(ROWS($EQ$2:EQ28),$EQ$2:$EQ$113,0)),"")</f>
        <v>OTRO DELITO CONTRA EL ESTADO CIVIL</v>
      </c>
      <c r="IN28" s="207" t="str">
        <f>IFERROR(INDEX($A$2:$A$113,MATCH(ROWS($ER$2:ER28),$ER$2:$ER$113,0)),"")</f>
        <v>OTRO DELITO CONTRA EL ESTADO CIVIL</v>
      </c>
      <c r="IO28" s="207" t="str">
        <f>IFERROR(INDEX($A$2:$A$113,MATCH(ROWS($ES$2:ES28),$ES$2:$ES$113,0)),"")</f>
        <v>OTRO DELITO CONTRA EL ESTADO CIVIL</v>
      </c>
      <c r="IP28" s="207" t="str">
        <f>IFERROR(INDEX($A$2:$A$113,MATCH(ROWS($ET$2:ET28),$ET$2:$ET$113,0)),"")</f>
        <v>OTRO DELITO CONTRA EL ESTADO CIVIL</v>
      </c>
      <c r="IQ28" s="207" t="str">
        <f>IFERROR(INDEX($A$2:$A$113,MATCH(ROWS($EU$2:EU28),$EU$2:$EU$113,0)),"")</f>
        <v>OTRO DELITO CONTRA EL ESTADO CIVIL</v>
      </c>
      <c r="IR28" s="207" t="str">
        <f>IFERROR(INDEX($A$2:$A$113,MATCH(ROWS($EV$2:EV28),$EV$2:$EV$113,0)),"")</f>
        <v>OTRO DELITO CONTRA EL ESTADO CIVIL</v>
      </c>
      <c r="IS28" s="207" t="str">
        <f>IFERROR(INDEX($A$2:$A$113,MATCH(ROWS($EW$2:EW28),$EW$2:$EW$113,0)),"")</f>
        <v>OTRO DELITO CONTRA EL ESTADO CIVIL</v>
      </c>
      <c r="IT28" s="207" t="str">
        <f>IFERROR(INDEX($A$2:$A$113,MATCH(ROWS($EX$2:EX28),$EX$2:$EX$113,0)),"")</f>
        <v>OTRO DELITO CONTRA EL ESTADO CIVIL</v>
      </c>
      <c r="IU28" s="207" t="str">
        <f>IFERROR(INDEX($A$2:$A$113,MATCH(ROWS($EY$2:EY28),$EY$2:$EY$113,0)),"")</f>
        <v>OTRO DELITO CONTRA EL ESTADO CIVIL</v>
      </c>
      <c r="IV28" s="207" t="str">
        <f>IFERROR(INDEX($A$2:$A$113,MATCH(ROWS($EZ$2:EZ28),$EZ$2:$EZ$113,0)),"")</f>
        <v>OTRO DELITO CONTRA EL ESTADO CIVIL</v>
      </c>
      <c r="IW28" s="207" t="str">
        <f>IFERROR(INDEX($A$2:$A$113,MATCH(ROWS($FA$2:FA28),$FA$2:$FA$113,0)),"")</f>
        <v>OTRO DELITO CONTRA EL ESTADO CIVIL</v>
      </c>
      <c r="IX28" s="207" t="str">
        <f>IFERROR(INDEX($A$2:$A$113,MATCH(ROWS($FB$2:FB28),$FB$2:$FB$113,0)),"")</f>
        <v>OTRO DELITO CONTRA EL ESTADO CIVIL</v>
      </c>
      <c r="IY28" s="207" t="str">
        <f>IFERROR(INDEX($A$2:$A$113,MATCH(ROWS($FC$2:FC28),$FC$2:$FC$113,0)),"")</f>
        <v>OTRO DELITO CONTRA EL ESTADO CIVIL</v>
      </c>
      <c r="IZ28" s="207" t="str">
        <f>IFERROR(INDEX($A$2:$A$113,MATCH(ROWS($FD$2:FD28),$FD$2:$FD$113,0)),"")</f>
        <v>OTRO DELITO CONTRA EL ESTADO CIVIL</v>
      </c>
      <c r="JA28" s="207" t="str">
        <f>IFERROR(INDEX($A$2:$A$113,MATCH(ROWS($FE$2:FE28),$FE$2:$FE$113,0)),"")</f>
        <v>OTRO DELITO CONTRA EL ESTADO CIVIL</v>
      </c>
      <c r="JB28" s="207" t="str">
        <f>IFERROR(INDEX($A$2:$A$113,MATCH(ROWS($FF$2:FF28),$FF$2:$FF$113,0)),"")</f>
        <v>OTRO DELITO CONTRA EL ESTADO CIVIL</v>
      </c>
      <c r="JC28" s="207" t="str">
        <f>IFERROR(INDEX($A$2:$A$113,MATCH(ROWS($FG$2:FG28),$FG$2:$FG$113,0)),"")</f>
        <v>OTRO DELITO CONTRA EL ESTADO CIVIL</v>
      </c>
      <c r="JD28" s="207" t="str">
        <f>IFERROR(INDEX($A$2:$A$113,MATCH(ROWS($FH$2:FH28),$FH$2:$FH$113,0)),"")</f>
        <v>OTRO DELITO CONTRA EL ESTADO CIVIL</v>
      </c>
      <c r="JE28" s="207" t="str">
        <f>IFERROR(INDEX($A$2:$A$113,MATCH(ROWS($FI$2:FI28),$FI$2:$FI$113,0)),"")</f>
        <v>OTRO DELITO CONTRA EL ESTADO CIVIL</v>
      </c>
      <c r="JF28" s="207" t="str">
        <f>IFERROR(INDEX($A$2:$A$113,MATCH(ROWS($FJ$2:FJ28),$FJ$2:$FJ$113,0)),"")</f>
        <v>OTRO DELITO CONTRA EL ESTADO CIVIL</v>
      </c>
      <c r="JG28" s="207" t="str">
        <f>IFERROR(INDEX($A$2:$A$113,MATCH(ROWS($FK$2:FK28),$FK$2:$FK$113,0)),"")</f>
        <v>OTRO DELITO CONTRA EL ESTADO CIVIL</v>
      </c>
      <c r="JH28" s="207" t="str">
        <f>IFERROR(INDEX($A$2:$A$113,MATCH(ROWS($FL$2:FL28),$FL$2:$FL$113,0)),"")</f>
        <v>OTRO DELITO CONTRA EL ESTADO CIVIL</v>
      </c>
      <c r="JI28" s="207" t="str">
        <f>IFERROR(INDEX($A$2:$A$113,MATCH(ROWS($FM$2:FM28),$FM$2:$FM$113,0)),"")</f>
        <v>OTRO DELITO CONTRA EL ESTADO CIVIL</v>
      </c>
      <c r="JJ28" s="207" t="str">
        <f>IFERROR(INDEX($A$2:$A$113,MATCH(ROWS($FN$2:FN28),$FN$2:$FN$113,0)),"")</f>
        <v>OTRO DELITO CONTRA EL ESTADO CIVIL</v>
      </c>
      <c r="JK28" s="207" t="str">
        <f>IFERROR(INDEX($A$2:$A$113,MATCH(ROWS($FO$2:FO28),$FO$2:$FO$113,0)),"")</f>
        <v>OTRO DELITO CONTRA EL ESTADO CIVIL</v>
      </c>
      <c r="JL28" s="207" t="str">
        <f>IFERROR(INDEX($A$2:$A$113,MATCH(ROWS($FP$2:FP28),$FP$2:$FP$113,0)),"")</f>
        <v>OTRO DELITO CONTRA EL ESTADO CIVIL</v>
      </c>
      <c r="JM28" s="207" t="str">
        <f>IFERROR(INDEX($A$2:$A$113,MATCH(ROWS($FQ$2:FQ28),$FQ$2:$FQ$113,0)),"")</f>
        <v>OTRO DELITO CONTRA EL ESTADO CIVIL</v>
      </c>
      <c r="JN28" s="207" t="str">
        <f>IFERROR(INDEX($A$2:$A$113,MATCH(ROWS($FR$2:FR28),$FR$2:$FR$113,0)),"")</f>
        <v>OTRO DELITO CONTRA EL ESTADO CIVIL</v>
      </c>
      <c r="JO28" s="207" t="str">
        <f>IFERROR(INDEX($A$2:$A$113,MATCH(ROWS($FS$2:FS28),$FS$2:$FS$113,0)),"")</f>
        <v>OTRO DELITO CONTRA EL ESTADO CIVIL</v>
      </c>
      <c r="JP28" s="207" t="str">
        <f>IFERROR(INDEX($A$2:$A$113,MATCH(ROWS($FT$2:FT28),$FT$2:$FT$113,0)),"")</f>
        <v>OTRO DELITO CONTRA EL ESTADO CIVIL</v>
      </c>
      <c r="JQ28" s="207" t="str">
        <f>IFERROR(INDEX($A$2:$A$113,MATCH(ROWS($FU$2:FU28),$FU$2:$FU$113,0)),"")</f>
        <v>OTRO DELITO CONTRA EL ESTADO CIVIL</v>
      </c>
      <c r="JR28" s="207" t="str">
        <f>IFERROR(INDEX($A$2:$A$113,MATCH(ROWS($FV$2:FV28),$FV$2:$FV$113,0)),"")</f>
        <v>OTRO DELITO CONTRA EL ESTADO CIVIL</v>
      </c>
      <c r="JS28" s="207" t="str">
        <f>IFERROR(INDEX($A$2:$A$113,MATCH(ROWS($FW$2:FW28),$FW$2:$FW$113,0)),"")</f>
        <v>OTRO DELITO CONTRA EL ESTADO CIVIL</v>
      </c>
      <c r="JT28" s="207" t="str">
        <f>IFERROR(INDEX($A$2:$A$113,MATCH(ROWS($FX$2:FX28),$FX$2:$FX$113,0)),"")</f>
        <v>OTRO DELITO CONTRA EL ESTADO CIVIL</v>
      </c>
      <c r="JU28" s="207" t="str">
        <f>IFERROR(INDEX($A$2:$A$113,MATCH(ROWS($FY$2:FY28),$FY$2:$FY$113,0)),"")</f>
        <v>OTRO DELITO CONTRA EL ESTADO CIVIL</v>
      </c>
      <c r="JV28" s="207" t="str">
        <f>IFERROR(INDEX($A$2:$A$113,MATCH(ROWS($FZ$2:FZ28),$FZ$2:$FZ$113,0)),"")</f>
        <v>OTRO DELITO CONTRA EL ESTADO CIVIL</v>
      </c>
      <c r="JW28" s="207" t="str">
        <f>IFERROR(INDEX($A$2:$A$113,MATCH(ROWS($GA$2:GA28),$GA$2:$GA$113,0)),"")</f>
        <v>OTRO DELITO CONTRA EL ESTADO CIVIL</v>
      </c>
      <c r="JX28" s="207" t="str">
        <f>IFERROR(INDEX($A$2:$A$113,MATCH(ROWS($GB$2:GB28),$GB$2:$GB$113,0)),"")</f>
        <v>OTRO DELITO CONTRA EL ESTADO CIVIL</v>
      </c>
      <c r="JY28" s="207" t="str">
        <f>IFERROR(INDEX($A$2:$A$113,MATCH(ROWS($GC$2:GC28),$GC$2:$GC$113,0)),"")</f>
        <v>OTRO DELITO CONTRA EL ESTADO CIVIL</v>
      </c>
      <c r="JZ28" s="207" t="str">
        <f>IFERROR(INDEX($A$2:$A$113,MATCH(ROWS($GD$2:GD28),$GD$2:$GD$113,0)),"")</f>
        <v>OTRO DELITO CONTRA EL ESTADO CIVIL</v>
      </c>
      <c r="KA28" s="207" t="str">
        <f>IFERROR(INDEX($A$2:$A$113,MATCH(ROWS($GE$2:GE28),$GE$2:$GE$113,0)),"")</f>
        <v>OTRO DELITO CONTRA EL ESTADO CIVIL</v>
      </c>
      <c r="KB28" s="207" t="str">
        <f>IFERROR(INDEX($A$2:$A$113,MATCH(ROWS($GF$2:GF28),$GF$2:$GF$113,0)),"")</f>
        <v>OTRO DELITO CONTRA EL ESTADO CIVIL</v>
      </c>
      <c r="KC28" s="207" t="str">
        <f>IFERROR(INDEX($A$2:$A$113,MATCH(ROWS($GG$2:GG28),$GG$2:$GG$113,0)),"")</f>
        <v>OTRO DELITO CONTRA EL ESTADO CIVIL</v>
      </c>
      <c r="KD28" s="207" t="str">
        <f>IFERROR(INDEX($A$2:$A$113,MATCH(ROWS($GH$2:GH28),$GH$2:$GH$113,0)),"")</f>
        <v>OTRO DELITO CONTRA EL ESTADO CIVIL</v>
      </c>
      <c r="KE28" s="207" t="str">
        <f>IFERROR(INDEX($A$2:$A$113,MATCH(ROWS($GI$2:GI28),$GI$2:$GI$113,0)),"")</f>
        <v>OTRO DELITO CONTRA EL ESTADO CIVIL</v>
      </c>
      <c r="KF28" s="207" t="str">
        <f>IFERROR(INDEX($A$2:$A$113,MATCH(ROWS($GJ$2:GJ28),$GJ$2:$GJ$113,0)),"")</f>
        <v>OTRO DELITO CONTRA EL ESTADO CIVIL</v>
      </c>
      <c r="KG28" s="207" t="str">
        <f>IFERROR(INDEX($A$2:$A$113,MATCH(ROWS($GK$2:GK28),$GK$2:$GK$113,0)),"")</f>
        <v>OTRO DELITO CONTRA EL ESTADO CIVIL</v>
      </c>
      <c r="KH28" s="207" t="str">
        <f>IFERROR(INDEX($A$2:$A$113,MATCH(ROWS($GL$2:GL28),$GL$2:$GL$113,0)),"")</f>
        <v>OTRO DELITO CONTRA EL ESTADO CIVIL</v>
      </c>
      <c r="KI28" s="207" t="str">
        <f>IFERROR(INDEX($A$2:$A$113,MATCH(ROWS($GM$2:GM28),$GM$2:$GM$113,0)),"")</f>
        <v>OTRO DELITO CONTRA EL ESTADO CIVIL</v>
      </c>
      <c r="KJ28" s="207" t="str">
        <f>IFERROR(INDEX($A$2:$A$113,MATCH(ROWS($GN$2:GN28),$GN$2:$GN$113,0)),"")</f>
        <v>OTRO DELITO CONTRA EL ESTADO CIVIL</v>
      </c>
      <c r="KK28" s="207" t="str">
        <f>IFERROR(INDEX($A$2:$A$113,MATCH(ROWS($GO$2:GO28),$GO$2:$GO$113,0)),"")</f>
        <v>OTRO DELITO CONTRA EL ESTADO CIVIL</v>
      </c>
      <c r="KL28" s="207" t="str">
        <f>IFERROR(INDEX($A$2:$A$113,MATCH(ROWS($GP$2:GP28),$GP$2:$GP$113,0)),"")</f>
        <v>OTRO DELITO CONTRA EL ESTADO CIVIL</v>
      </c>
      <c r="KM28" s="207" t="str">
        <f>IFERROR(INDEX($A$2:$A$113,MATCH(ROWS($GQ$2:GQ28),$GQ$2:$GQ$113,0)),"")</f>
        <v>OTRO DELITO CONTRA EL ESTADO CIVIL</v>
      </c>
      <c r="KN28" s="207" t="str">
        <f>IFERROR(INDEX($A$2:$A$113,MATCH(ROWS($GR$2:GR28),$GR$2:$GR$113,0)),"")</f>
        <v>OTRO DELITO CONTRA EL ESTADO CIVIL</v>
      </c>
      <c r="KO28" s="207" t="str">
        <f>IFERROR(INDEX($A$2:$A$113,MATCH(ROWS($GS$2:GS28),$GS$2:$GS$113,0)),"")</f>
        <v>OTRO DELITO CONTRA EL ESTADO CIVIL</v>
      </c>
      <c r="KP28" s="207" t="str">
        <f>IFERROR(INDEX($A$2:$A$113,MATCH(ROWS($GT$2:GT28),$GT$2:$GT$113,0)),"")</f>
        <v>OTRO DELITO CONTRA EL ESTADO CIVIL</v>
      </c>
      <c r="KQ28" s="207" t="str">
        <f>IFERROR(INDEX($A$2:$A$113,MATCH(ROWS($GU$2:GU28),$GU$2:$GU$113,0)),"")</f>
        <v>OTRO DELITO CONTRA EL ESTADO CIVIL</v>
      </c>
      <c r="KR28" s="207" t="str">
        <f>IFERROR(INDEX($A$2:$A$113,MATCH(ROWS($GV$2:GV28),$GV$2:$GV$113,0)),"")</f>
        <v>OTRO DELITO CONTRA EL ESTADO CIVIL</v>
      </c>
      <c r="KS28" s="207" t="str">
        <f>IFERROR(INDEX($A$2:$A$113,MATCH(ROWS($GW$2:GW28),$GW$2:$GW$113,0)),"")</f>
        <v>OTRO DELITO CONTRA EL ESTADO CIVIL</v>
      </c>
    </row>
    <row r="29" spans="1:305" x14ac:dyDescent="0.25">
      <c r="A29" s="206" t="s">
        <v>895</v>
      </c>
      <c r="B29" s="206" t="s">
        <v>75</v>
      </c>
      <c r="D29" s="206" t="s">
        <v>791</v>
      </c>
      <c r="E29" s="206" t="s">
        <v>76</v>
      </c>
      <c r="F29" s="207">
        <f>--ISNUMBER(IFERROR(SEARCH('PLANILLA DJ'!$X$3,$A29,1),""))</f>
        <v>1</v>
      </c>
      <c r="G29" s="207">
        <f>--ISNUMBER(IFERROR(SEARCH('PLANILLA DJ'!$X$4,$A29,1),""))</f>
        <v>1</v>
      </c>
      <c r="H29" s="207">
        <f>--ISNUMBER(IFERROR(SEARCH('PLANILLA DJ'!$X$5,$A29,1),""))</f>
        <v>1</v>
      </c>
      <c r="I29" s="207">
        <f>--ISNUMBER(IFERROR(SEARCH('PLANILLA DJ'!$X$6,$A29,1),""))</f>
        <v>1</v>
      </c>
      <c r="J29" s="207">
        <f>--ISNUMBER(IFERROR(SEARCH('PLANILLA DJ'!$X$7,$A29,1),""))</f>
        <v>1</v>
      </c>
      <c r="K29" s="207">
        <f>--ISNUMBER(IFERROR(SEARCH('PLANILLA DJ'!$X$8,$A29,1),""))</f>
        <v>1</v>
      </c>
      <c r="L29" s="207">
        <f>--ISNUMBER(IFERROR(SEARCH('PLANILLA DJ'!$X$9,$A29,1),""))</f>
        <v>1</v>
      </c>
      <c r="M29" s="207">
        <f>--ISNUMBER(IFERROR(SEARCH('PLANILLA DJ'!$X$10,$A29,1),""))</f>
        <v>1</v>
      </c>
      <c r="N29" s="207">
        <f>--ISNUMBER(IFERROR(SEARCH('PLANILLA DJ'!$X$11,$A29,1),""))</f>
        <v>1</v>
      </c>
      <c r="O29" s="207">
        <f>--ISNUMBER(IFERROR(SEARCH('PLANILLA DJ'!$X$12,$A29,1),""))</f>
        <v>1</v>
      </c>
      <c r="P29" s="207">
        <f>--ISNUMBER(IFERROR(SEARCH('PLANILLA DJ'!$X$13,$A29,1),""))</f>
        <v>1</v>
      </c>
      <c r="Q29" s="207">
        <f>--ISNUMBER(IFERROR(SEARCH('PLANILLA DJ'!$X$14,$A29,1),""))</f>
        <v>1</v>
      </c>
      <c r="R29" s="207">
        <f>--ISNUMBER(IFERROR(SEARCH('PLANILLA DJ'!$X$15,$A29,1),""))</f>
        <v>1</v>
      </c>
      <c r="S29" s="207">
        <f>--ISNUMBER(IFERROR(SEARCH('PLANILLA DJ'!$X$16,$A29,1),""))</f>
        <v>1</v>
      </c>
      <c r="T29" s="207">
        <f>--ISNUMBER(IFERROR(SEARCH('PLANILLA DJ'!$X$17,$A29,1),""))</f>
        <v>1</v>
      </c>
      <c r="U29" s="207">
        <f>--ISNUMBER(IFERROR(SEARCH('PLANILLA DJ'!$X$18,$A29,1),""))</f>
        <v>1</v>
      </c>
      <c r="V29" s="207">
        <f>--ISNUMBER(IFERROR(SEARCH('PLANILLA DJ'!$X$19,$A29,1),""))</f>
        <v>1</v>
      </c>
      <c r="W29" s="207">
        <f>--ISNUMBER(IFERROR(SEARCH('PLANILLA DJ'!$X$20,$A29,1),""))</f>
        <v>1</v>
      </c>
      <c r="X29" s="207">
        <f>--ISNUMBER(IFERROR(SEARCH('PLANILLA DJ'!$X$21,$A29,1),""))</f>
        <v>1</v>
      </c>
      <c r="Y29" s="207">
        <f>--ISNUMBER(IFERROR(SEARCH('PLANILLA DJ'!$X$22,$A29,1),""))</f>
        <v>1</v>
      </c>
      <c r="Z29" s="207">
        <f>--ISNUMBER(IFERROR(SEARCH('PLANILLA DJ'!$X$23,$A29,1),""))</f>
        <v>1</v>
      </c>
      <c r="AA29" s="207">
        <f>--ISNUMBER(IFERROR(SEARCH('PLANILLA DJ'!$X$24,$A29,1),""))</f>
        <v>1</v>
      </c>
      <c r="AB29" s="207">
        <f>--ISNUMBER(IFERROR(SEARCH('PLANILLA DJ'!$X$25,$A29,1),""))</f>
        <v>1</v>
      </c>
      <c r="AC29" s="207">
        <f>--ISNUMBER(IFERROR(SEARCH('PLANILLA DJ'!$X$26,$A29,1),""))</f>
        <v>1</v>
      </c>
      <c r="AD29" s="207">
        <f>--ISNUMBER(IFERROR(SEARCH('PLANILLA DJ'!$X$27,$A29,1),""))</f>
        <v>1</v>
      </c>
      <c r="AE29" s="207">
        <f>--ISNUMBER(IFERROR(SEARCH('PLANILLA DJ'!$X$28,$A29,1),""))</f>
        <v>1</v>
      </c>
      <c r="AF29" s="207">
        <f>--ISNUMBER(IFERROR(SEARCH('PLANILLA DJ'!$X$29,$A29,1),""))</f>
        <v>1</v>
      </c>
      <c r="AG29" s="207">
        <f>--ISNUMBER(IFERROR(SEARCH('PLANILLA DJ'!$X$30,$A29,1),""))</f>
        <v>1</v>
      </c>
      <c r="AH29" s="207">
        <f>--ISNUMBER(IFERROR(SEARCH('PLANILLA DJ'!$X$31,$A29,1),""))</f>
        <v>1</v>
      </c>
      <c r="AI29" s="207">
        <f>--ISNUMBER(IFERROR(SEARCH('PLANILLA DJ'!$X$32,$A29,1),""))</f>
        <v>1</v>
      </c>
      <c r="AJ29" s="207">
        <f>--ISNUMBER(IFERROR(SEARCH('PLANILLA DJ'!$X$33,$A29,1),""))</f>
        <v>1</v>
      </c>
      <c r="AK29" s="207">
        <f>--ISNUMBER(IFERROR(SEARCH('PLANILLA DJ'!$X$34,$A29,1),""))</f>
        <v>1</v>
      </c>
      <c r="AL29" s="207">
        <f>--ISNUMBER(IFERROR(SEARCH('PLANILLA DJ'!$X$35,$A29,1),""))</f>
        <v>1</v>
      </c>
      <c r="AM29" s="207">
        <f>--ISNUMBER(IFERROR(SEARCH('PLANILLA DJ'!$X$36,$A29,1),""))</f>
        <v>1</v>
      </c>
      <c r="AN29" s="207">
        <f>--ISNUMBER(IFERROR(SEARCH('PLANILLA DJ'!$X$37,$A29,1),""))</f>
        <v>1</v>
      </c>
      <c r="AO29" s="207">
        <f>--ISNUMBER(IFERROR(SEARCH('PLANILLA DJ'!$X$38,$A29,1),""))</f>
        <v>1</v>
      </c>
      <c r="AP29" s="207">
        <f>--ISNUMBER(IFERROR(SEARCH('PLANILLA DJ'!$X$39,$A29,1),""))</f>
        <v>1</v>
      </c>
      <c r="AQ29" s="207">
        <f>--ISNUMBER(IFERROR(SEARCH('PLANILLA DJ'!$X$40,$A29,1),""))</f>
        <v>1</v>
      </c>
      <c r="AR29" s="207">
        <f>--ISNUMBER(IFERROR(SEARCH('PLANILLA DJ'!$X$41,$A29,1),""))</f>
        <v>1</v>
      </c>
      <c r="AS29" s="207">
        <f>--ISNUMBER(IFERROR(SEARCH('PLANILLA DJ'!$X$42,$A29,1),""))</f>
        <v>1</v>
      </c>
      <c r="AT29" s="207">
        <f>--ISNUMBER(IFERROR(SEARCH('PLANILLA DJ'!$X$43,$A29,1),""))</f>
        <v>1</v>
      </c>
      <c r="AU29" s="207">
        <f>--ISNUMBER(IFERROR(SEARCH('PLANILLA DJ'!$X$44,$A29,1),""))</f>
        <v>1</v>
      </c>
      <c r="AV29" s="207">
        <f>--ISNUMBER(IFERROR(SEARCH('PLANILLA DJ'!$X$45,$A29,1),""))</f>
        <v>1</v>
      </c>
      <c r="AW29" s="207">
        <f>--ISNUMBER(IFERROR(SEARCH('PLANILLA DJ'!$X$46,$A29,1),""))</f>
        <v>1</v>
      </c>
      <c r="AX29" s="207">
        <f>--ISNUMBER(IFERROR(SEARCH('PLANILLA DJ'!$X$47,$A29,1),""))</f>
        <v>1</v>
      </c>
      <c r="AY29" s="207">
        <f>--ISNUMBER(IFERROR(SEARCH('PLANILLA DJ'!$X$48,$A29,1),""))</f>
        <v>1</v>
      </c>
      <c r="AZ29" s="207">
        <f>--ISNUMBER(IFERROR(SEARCH('PLANILLA DJ'!$X$49,$A29,1),""))</f>
        <v>1</v>
      </c>
      <c r="BA29" s="207">
        <f>--ISNUMBER(IFERROR(SEARCH('PLANILLA DJ'!$X$50,$A29,1),""))</f>
        <v>1</v>
      </c>
      <c r="BB29" s="207">
        <f>--ISNUMBER(IFERROR(SEARCH('PLANILLA DJ'!$X$51,$A29,1),""))</f>
        <v>1</v>
      </c>
      <c r="BC29" s="207">
        <f>--ISNUMBER(IFERROR(SEARCH('PLANILLA DJ'!$X$52,$A29,1),""))</f>
        <v>1</v>
      </c>
      <c r="BD29" s="207">
        <f>--ISNUMBER(IFERROR(SEARCH('PLANILLA DJ'!$X$53,$A29,1),""))</f>
        <v>1</v>
      </c>
      <c r="BE29" s="207">
        <f>--ISNUMBER(IFERROR(SEARCH('PLANILLA DJ'!$X$54,$A29,1),""))</f>
        <v>1</v>
      </c>
      <c r="BF29" s="207">
        <f>--ISNUMBER(IFERROR(SEARCH('PLANILLA DJ'!$X$55,$A29,1),""))</f>
        <v>1</v>
      </c>
      <c r="BG29" s="207">
        <f>--ISNUMBER(IFERROR(SEARCH('PLANILLA DJ'!$X$56,$A29,1),""))</f>
        <v>1</v>
      </c>
      <c r="BH29" s="207">
        <f>--ISNUMBER(IFERROR(SEARCH('PLANILLA DJ'!$X$57,$A29,1),""))</f>
        <v>1</v>
      </c>
      <c r="BI29" s="207">
        <f>--ISNUMBER(IFERROR(SEARCH('PLANILLA DJ'!$X$58,$A29,1),""))</f>
        <v>1</v>
      </c>
      <c r="BJ29" s="207">
        <f>--ISNUMBER(IFERROR(SEARCH('PLANILLA DJ'!$X$59,$A29,1),""))</f>
        <v>1</v>
      </c>
      <c r="BK29" s="207">
        <f>--ISNUMBER(IFERROR(SEARCH('PLANILLA DJ'!$X$60,$A29,1),""))</f>
        <v>1</v>
      </c>
      <c r="BL29" s="207">
        <f>--ISNUMBER(IFERROR(SEARCH('PLANILLA DJ'!$X$61,$A29,1),""))</f>
        <v>1</v>
      </c>
      <c r="BM29" s="207">
        <f>--ISNUMBER(IFERROR(SEARCH('PLANILLA DJ'!$X$62,$A29,1),""))</f>
        <v>1</v>
      </c>
      <c r="BN29" s="207">
        <f>--ISNUMBER(IFERROR(SEARCH('PLANILLA DJ'!$X$63,$A29,1),""))</f>
        <v>1</v>
      </c>
      <c r="BO29" s="207">
        <f>--ISNUMBER(IFERROR(SEARCH('PLANILLA DJ'!$X$64,$A29,1),""))</f>
        <v>1</v>
      </c>
      <c r="BP29" s="207">
        <f>--ISNUMBER(IFERROR(SEARCH('PLANILLA DJ'!$X$65,$A29,1),""))</f>
        <v>1</v>
      </c>
      <c r="BQ29" s="207">
        <f>--ISNUMBER(IFERROR(SEARCH('PLANILLA DJ'!$X$66,$A29,1),""))</f>
        <v>1</v>
      </c>
      <c r="BR29" s="207">
        <f>--ISNUMBER(IFERROR(SEARCH('PLANILLA DJ'!$X$67,$A29,1),""))</f>
        <v>1</v>
      </c>
      <c r="BS29" s="207">
        <f>--ISNUMBER(IFERROR(SEARCH('PLANILLA DJ'!$X$68,$A29,1),""))</f>
        <v>1</v>
      </c>
      <c r="BT29" s="207">
        <f>--ISNUMBER(IFERROR(SEARCH('PLANILLA DJ'!$X$69,$A29,1),""))</f>
        <v>1</v>
      </c>
      <c r="BU29" s="207">
        <f>--ISNUMBER(IFERROR(SEARCH('PLANILLA DJ'!$X$70,$A29,1),""))</f>
        <v>1</v>
      </c>
      <c r="BV29" s="207">
        <f>--ISNUMBER(IFERROR(SEARCH('PLANILLA DJ'!$X$71,$A29,1),""))</f>
        <v>1</v>
      </c>
      <c r="BW29" s="207">
        <f>--ISNUMBER(IFERROR(SEARCH('PLANILLA DJ'!$X$72,$A29,1),""))</f>
        <v>1</v>
      </c>
      <c r="BX29" s="207">
        <f>--ISNUMBER(IFERROR(SEARCH('PLANILLA DJ'!$X$73,$A29,1),""))</f>
        <v>1</v>
      </c>
      <c r="BY29" s="207">
        <f>--ISNUMBER(IFERROR(SEARCH('PLANILLA DJ'!$X$74,$A29,1),""))</f>
        <v>1</v>
      </c>
      <c r="BZ29" s="207">
        <f>--ISNUMBER(IFERROR(SEARCH('PLANILLA DJ'!$X$75,$A29,1),""))</f>
        <v>1</v>
      </c>
      <c r="CA29" s="207">
        <f>--ISNUMBER(IFERROR(SEARCH('PLANILLA DJ'!$X$76,$A29,1),""))</f>
        <v>1</v>
      </c>
      <c r="CB29" s="207">
        <f>--ISNUMBER(IFERROR(SEARCH('PLANILLA DJ'!$X$77,$A29,1),""))</f>
        <v>1</v>
      </c>
      <c r="CC29" s="207">
        <f>--ISNUMBER(IFERROR(SEARCH('PLANILLA DJ'!$X$78,$A29,1),""))</f>
        <v>1</v>
      </c>
      <c r="CD29" s="207">
        <f>--ISNUMBER(IFERROR(SEARCH('PLANILLA DJ'!$X$79,$A29,1),""))</f>
        <v>1</v>
      </c>
      <c r="CE29" s="207">
        <f>--ISNUMBER(IFERROR(SEARCH('PLANILLA DJ'!$X$80,$A29,1),""))</f>
        <v>1</v>
      </c>
      <c r="CF29" s="207">
        <f>--ISNUMBER(IFERROR(SEARCH('PLANILLA DJ'!$X$81,$A29,1),""))</f>
        <v>1</v>
      </c>
      <c r="CG29" s="207">
        <f>--ISNUMBER(IFERROR(SEARCH('PLANILLA DJ'!$X$82,$A29,1),""))</f>
        <v>1</v>
      </c>
      <c r="CH29" s="207">
        <f>--ISNUMBER(IFERROR(SEARCH('PLANILLA DJ'!$X$83,$A29,1),""))</f>
        <v>1</v>
      </c>
      <c r="CI29" s="207">
        <f>--ISNUMBER(IFERROR(SEARCH('PLANILLA DJ'!$X$84,$A29,1),""))</f>
        <v>1</v>
      </c>
      <c r="CJ29" s="207">
        <f>--ISNUMBER(IFERROR(SEARCH('PLANILLA DJ'!$X$85,$A29,1),""))</f>
        <v>1</v>
      </c>
      <c r="CK29" s="207">
        <f>--ISNUMBER(IFERROR(SEARCH('PLANILLA DJ'!$X$86,$A29,1),""))</f>
        <v>1</v>
      </c>
      <c r="CL29" s="207">
        <f>--ISNUMBER(IFERROR(SEARCH('PLANILLA DJ'!$X$87,$A29,1),""))</f>
        <v>1</v>
      </c>
      <c r="CM29" s="207">
        <f>--ISNUMBER(IFERROR(SEARCH('PLANILLA DJ'!$X$88,$A29,1),""))</f>
        <v>1</v>
      </c>
      <c r="CN29" s="207">
        <f>--ISNUMBER(IFERROR(SEARCH('PLANILLA DJ'!$X$89,$A29,1),""))</f>
        <v>1</v>
      </c>
      <c r="CO29" s="207">
        <f>--ISNUMBER(IFERROR(SEARCH('PLANILLA DJ'!$X$90,$A29,1),""))</f>
        <v>1</v>
      </c>
      <c r="CP29" s="207">
        <f>--ISNUMBER(IFERROR(SEARCH('PLANILLA DJ'!$X$91,$A29,1),""))</f>
        <v>1</v>
      </c>
      <c r="CQ29" s="207">
        <f>--ISNUMBER(IFERROR(SEARCH('PLANILLA DJ'!$X$92,$A29,1),""))</f>
        <v>1</v>
      </c>
      <c r="CR29" s="207">
        <f>--ISNUMBER(IFERROR(SEARCH('PLANILLA DJ'!$X$93,$A29,1),""))</f>
        <v>1</v>
      </c>
      <c r="CS29" s="207">
        <f>--ISNUMBER(IFERROR(SEARCH('PLANILLA DJ'!$X$94,$A29,1),""))</f>
        <v>1</v>
      </c>
      <c r="CT29" s="207">
        <f>--ISNUMBER(IFERROR(SEARCH('PLANILLA DJ'!$X$95,$A29,1),""))</f>
        <v>1</v>
      </c>
      <c r="CU29" s="207">
        <f>--ISNUMBER(IFERROR(SEARCH('PLANILLA DJ'!$X$96,$A29,1),""))</f>
        <v>1</v>
      </c>
      <c r="CV29" s="207">
        <f>--ISNUMBER(IFERROR(SEARCH('PLANILLA DJ'!$X$97,$A29,1),""))</f>
        <v>1</v>
      </c>
      <c r="CW29" s="207">
        <f>--ISNUMBER(IFERROR(SEARCH('PLANILLA DJ'!$X$98,$A29,1),""))</f>
        <v>1</v>
      </c>
      <c r="CX29" s="207">
        <f>--ISNUMBER(IFERROR(SEARCH('PLANILLA DJ'!$X$99,$A29,1),""))</f>
        <v>1</v>
      </c>
      <c r="CY29" s="207">
        <f>--ISNUMBER(IFERROR(SEARCH('PLANILLA DJ'!$X$100,$A29,1),""))</f>
        <v>1</v>
      </c>
      <c r="CZ29" s="207">
        <f>--ISNUMBER(IFERROR(SEARCH('PLANILLA DJ'!$X$101,$A29,1),""))</f>
        <v>1</v>
      </c>
      <c r="DA29" s="207">
        <f>--ISNUMBER(IFERROR(SEARCH('PLANILLA DJ'!$X$102,$A29,1),""))</f>
        <v>1</v>
      </c>
      <c r="DB29" s="206">
        <f>IF(F29=1,COUNTIF($F$2:F29,1),"")</f>
        <v>28</v>
      </c>
      <c r="DC29" s="206">
        <f>IF(G29=1,COUNTIF($G$2:G29,1),"")</f>
        <v>28</v>
      </c>
      <c r="DD29" s="206">
        <f>IF(H29=1,COUNTIF($H$2:H29,1),"")</f>
        <v>28</v>
      </c>
      <c r="DE29" s="206">
        <f>IF(I29=1,COUNTIF($I$2:I29,1),"")</f>
        <v>28</v>
      </c>
      <c r="DF29" s="206">
        <f>IF(J29=1,COUNTIF($J$2:J29,1),"")</f>
        <v>28</v>
      </c>
      <c r="DG29" s="206">
        <f>IF(K29=1,COUNTIF($K$2:K29,1),"")</f>
        <v>28</v>
      </c>
      <c r="DH29" s="206">
        <f>IF(L29=1,COUNTIF($L$2:L29,1),"")</f>
        <v>28</v>
      </c>
      <c r="DI29" s="206">
        <f>IF(M29=1,COUNTIF($M$2:M29,1),"")</f>
        <v>28</v>
      </c>
      <c r="DJ29" s="206">
        <f>IF(N29=1,COUNTIF($N$2:N29,1),"")</f>
        <v>28</v>
      </c>
      <c r="DK29" s="206">
        <f>IF(O29=1,COUNTIF($O$2:O29,1),"")</f>
        <v>28</v>
      </c>
      <c r="DL29" s="206">
        <f>IF(P29=1,COUNTIF($P$2:P29,1),"")</f>
        <v>28</v>
      </c>
      <c r="DM29" s="206">
        <f>IF(Q29=1,COUNTIF($Q$2:Q29,1),"")</f>
        <v>28</v>
      </c>
      <c r="DN29" s="207">
        <f>IF(R29=1,COUNTIF($R$2:R29,1),"")</f>
        <v>28</v>
      </c>
      <c r="DO29" s="207">
        <f>IF(S29=1,COUNTIF($S$2:S29,1),"")</f>
        <v>28</v>
      </c>
      <c r="DP29" s="207">
        <f>IF(T29=1,COUNTIF($T$2:T29,1),"")</f>
        <v>28</v>
      </c>
      <c r="DQ29" s="207">
        <f>IF(U29=1,COUNTIF($U$2:U29,1),"")</f>
        <v>28</v>
      </c>
      <c r="DR29" s="207">
        <f>IF(V29=1,COUNTIF($V$2:V29,1),"")</f>
        <v>28</v>
      </c>
      <c r="DS29" s="207">
        <f>IF(W29=1,COUNTIF($W$2:W29,1),"")</f>
        <v>28</v>
      </c>
      <c r="DT29" s="207">
        <f>IF(X29=1,COUNTIF($X$2:X29,1),"")</f>
        <v>28</v>
      </c>
      <c r="DU29" s="207">
        <f>IF(Y29=1,COUNTIF($Y$2:Y29,1),"")</f>
        <v>28</v>
      </c>
      <c r="DV29" s="207">
        <f>IF(Z29=1,COUNTIF(Z$2:Z29,1),"")</f>
        <v>28</v>
      </c>
      <c r="DW29" s="207">
        <f>IF(AA29=1,COUNTIF($AA$2:AA29,1),"")</f>
        <v>28</v>
      </c>
      <c r="DX29" s="207">
        <f>IF(AB29=1,COUNTIF($AB$2:AB29,1),"")</f>
        <v>28</v>
      </c>
      <c r="DY29" s="207">
        <f>IF(AC29=1,COUNTIF($AC$2:AC29,1),"")</f>
        <v>28</v>
      </c>
      <c r="DZ29" s="207">
        <f>IF(AD29=1,COUNTIF($AD$2:AD29,1),"")</f>
        <v>28</v>
      </c>
      <c r="EA29" s="207">
        <f>IF(AE29=1,COUNTIF($AE$2:AE29,1),"")</f>
        <v>28</v>
      </c>
      <c r="EB29" s="207">
        <f>IF(AF29=1,COUNTIF($AF$2:AF29,1),"")</f>
        <v>28</v>
      </c>
      <c r="EC29" s="207">
        <f>IF(AG29=1,COUNTIF($AG$2:AG29,1),"")</f>
        <v>28</v>
      </c>
      <c r="ED29" s="207">
        <f>IF(AH29=1,COUNTIF($AH$2:AH29,1),"")</f>
        <v>28</v>
      </c>
      <c r="EE29" s="207">
        <f>IF(AI29=1,COUNTIF($AI$2:AI29,1),"")</f>
        <v>28</v>
      </c>
      <c r="EF29" s="207">
        <f>IF(AJ29=1,COUNTIF($AJ$2:AJ29,1),"")</f>
        <v>28</v>
      </c>
      <c r="EG29" s="207">
        <f>IF(AK29=1,COUNTIF($AK$2:AK29,1),"")</f>
        <v>28</v>
      </c>
      <c r="EH29" s="207">
        <f>IF(AL29=1,COUNTIF($AL$2:AL29,1),"")</f>
        <v>28</v>
      </c>
      <c r="EI29" s="207">
        <f>IF(AM29=1,COUNTIF($AM$2:AM29,1),"")</f>
        <v>28</v>
      </c>
      <c r="EJ29" s="207">
        <f>IF(AN29=1,COUNTIF($AN$2:AN29,1),"")</f>
        <v>28</v>
      </c>
      <c r="EK29" s="207">
        <f>IF(AO29=1,COUNTIF($AO$2:AO29,1),"")</f>
        <v>28</v>
      </c>
      <c r="EL29" s="207">
        <f>IF(AP29=1,COUNTIF($AP$2:AP29,1),"")</f>
        <v>28</v>
      </c>
      <c r="EM29" s="207">
        <f>IF(AQ29=1,COUNTIF($AQ$2:AQ29,1),"")</f>
        <v>28</v>
      </c>
      <c r="EN29" s="207">
        <f>IF(AR29=1,COUNTIF($AR$2:AR29,1),"")</f>
        <v>28</v>
      </c>
      <c r="EO29" s="207">
        <f>IF(AS29=1,COUNTIF($AS$2:AS29,1),"")</f>
        <v>28</v>
      </c>
      <c r="EP29" s="207">
        <f>IF(AT29=1,COUNTIF($AT$2:AT29,1),"")</f>
        <v>28</v>
      </c>
      <c r="EQ29" s="207">
        <f>IF(AU29=1,COUNTIF($AU$2:AU29,1),"")</f>
        <v>28</v>
      </c>
      <c r="ER29" s="207">
        <f>IF(AV29=1,COUNTIF($AV$2:AV29,1),"")</f>
        <v>28</v>
      </c>
      <c r="ES29" s="207">
        <f>IF(AW29=1,COUNTIF($AW$2:AW29,1),"")</f>
        <v>28</v>
      </c>
      <c r="ET29" s="207">
        <f>IF(AX29=1,COUNTIF($AX$2:AX29,1),"")</f>
        <v>28</v>
      </c>
      <c r="EU29" s="207">
        <f>IF(AY29=1,COUNTIF($AY$2:AY29,1),"")</f>
        <v>28</v>
      </c>
      <c r="EV29" s="207">
        <f>IF(AZ29=1,COUNTIF($AZ$2:AZ29,1),"")</f>
        <v>28</v>
      </c>
      <c r="EW29" s="207">
        <f>IF(BA29=1,COUNTIF($BA$2:BA29,1),"")</f>
        <v>28</v>
      </c>
      <c r="EX29" s="207">
        <f>IF(BB29=1,COUNTIF($BB$2:BB29,1),"")</f>
        <v>28</v>
      </c>
      <c r="EY29" s="207">
        <f>IF(BC29=1,COUNTIF($BC$2:BC29,1),"")</f>
        <v>28</v>
      </c>
      <c r="EZ29" s="207">
        <f>IF(BD29=1,COUNTIF($BD$2:BD29,1),"")</f>
        <v>28</v>
      </c>
      <c r="FA29" s="207">
        <f>IF(BE29=1,COUNTIF($BE$2:BE29,1),"")</f>
        <v>28</v>
      </c>
      <c r="FB29" s="207">
        <f>IF(BF29=1,COUNTIF($BF$2:BF29,1),"")</f>
        <v>28</v>
      </c>
      <c r="FC29" s="207">
        <f>IF(BG29=1,COUNTIF($BG$2:BG29,1),"")</f>
        <v>28</v>
      </c>
      <c r="FD29" s="207">
        <f>IF(BH29=1,COUNTIF($BH$2:BH29,1),"")</f>
        <v>28</v>
      </c>
      <c r="FE29" s="207">
        <f>IF(BI29=1,COUNTIF($BI$2:BI29,1),"")</f>
        <v>28</v>
      </c>
      <c r="FF29" s="207">
        <f>IF(BJ29=1,COUNTIF($BJ$2:BJ29,1),"")</f>
        <v>28</v>
      </c>
      <c r="FG29" s="207">
        <f>IF(BK29=1,COUNTIF($BK$2:BK29,1),"")</f>
        <v>28</v>
      </c>
      <c r="FH29" s="207">
        <f>IF(BL29=1,COUNTIF($BL$2:BL29,1),"")</f>
        <v>28</v>
      </c>
      <c r="FI29" s="207">
        <f>IF(BM29=1,COUNTIF($BM$2:BM29,1),"")</f>
        <v>28</v>
      </c>
      <c r="FJ29" s="207">
        <f>IF(BN29=1,COUNTIF($BN$2:BN29,1),"")</f>
        <v>28</v>
      </c>
      <c r="FK29" s="207">
        <f>IF(BO29=1,COUNTIF($BO$2:BO29,1),"")</f>
        <v>28</v>
      </c>
      <c r="FL29" s="207">
        <f>IF(BP29=1,COUNTIF($BP$2:BP29,1),"")</f>
        <v>28</v>
      </c>
      <c r="FM29" s="207">
        <f>IF(BQ29=1,COUNTIF($BQ$2:BQ29,1),"")</f>
        <v>28</v>
      </c>
      <c r="FN29" s="207">
        <f>IF(BR29=1,COUNTIF($BR$2:BR29,1),"")</f>
        <v>28</v>
      </c>
      <c r="FO29" s="207">
        <f>IF(BS29=1,COUNTIF($BS$2:BS29,1),"")</f>
        <v>28</v>
      </c>
      <c r="FP29" s="207">
        <f>IF(BT29=1,COUNTIF($BT$2:BT29,1),"")</f>
        <v>28</v>
      </c>
      <c r="FQ29" s="207">
        <f>IF(BU29=1,COUNTIF($BU$2:BU29,1),"")</f>
        <v>28</v>
      </c>
      <c r="FR29" s="207">
        <f>IF(BV29=1,COUNTIF($BV$2:BV29,1),"")</f>
        <v>28</v>
      </c>
      <c r="FS29" s="207">
        <f>IF(BW29=1,COUNTIF($BW$2:BW29,1),"")</f>
        <v>28</v>
      </c>
      <c r="FT29" s="207">
        <f>IF(BX29=1,COUNTIF($BX$2:BX29,1),"")</f>
        <v>28</v>
      </c>
      <c r="FU29" s="207">
        <f>IF(BY29=1,COUNTIF($BY$2:BY29,1),"")</f>
        <v>28</v>
      </c>
      <c r="FV29" s="207">
        <f>IF(BZ29=1,COUNTIF($BZ$2:BZ29,1),"")</f>
        <v>28</v>
      </c>
      <c r="FW29" s="207">
        <f>IF(CA29=1,COUNTIF($CA$2:CA29,1),"")</f>
        <v>28</v>
      </c>
      <c r="FX29" s="207">
        <f>IF(CB29=1,COUNTIF($CB$2:CB29,1),"")</f>
        <v>28</v>
      </c>
      <c r="FY29" s="207">
        <f>IF(CC29=1,COUNTIF($CC$2:CC29,1),"")</f>
        <v>28</v>
      </c>
      <c r="FZ29" s="207">
        <f>IF(CD29=1,COUNTIF($CD$2:CD29,1),"")</f>
        <v>28</v>
      </c>
      <c r="GA29" s="207">
        <f>IF(CE29=1,COUNTIF($CE$2:CE29,1),"")</f>
        <v>28</v>
      </c>
      <c r="GB29" s="207">
        <f>IF(CF29=1,COUNTIF($CF$2:CF29,1),"")</f>
        <v>28</v>
      </c>
      <c r="GC29" s="207">
        <f>IF(CG29=1,COUNTIF($CG$2:CG29,1),"")</f>
        <v>28</v>
      </c>
      <c r="GD29" s="207">
        <f>IF(CH29=1,COUNTIF($CH$2:CH29,1),"")</f>
        <v>28</v>
      </c>
      <c r="GE29" s="207">
        <f>IF(CI29=1,COUNTIF($CI$2:CI29,1),"")</f>
        <v>28</v>
      </c>
      <c r="GF29" s="207">
        <f>IF(CJ29=1,COUNTIF($CJ$2:CJ29,1),"")</f>
        <v>28</v>
      </c>
      <c r="GG29" s="207">
        <f>IF(CK29=1,COUNTIF($CK$2:CK29,1),"")</f>
        <v>28</v>
      </c>
      <c r="GH29" s="207">
        <f>IF(CL29=1,COUNTIF($CL$2:CL29,1),"")</f>
        <v>28</v>
      </c>
      <c r="GI29" s="207">
        <f>IF(CM29=1,COUNTIF($CM$2:CM29,1),"")</f>
        <v>28</v>
      </c>
      <c r="GJ29" s="207">
        <f>IF(CN29=1,COUNTIF($CN$2:CN29,1),"")</f>
        <v>28</v>
      </c>
      <c r="GK29" s="207">
        <f>IF(CO29=1,COUNTIF($CO$2:CO29,1),"")</f>
        <v>28</v>
      </c>
      <c r="GL29" s="207">
        <f>IF(CP29=1,COUNTIF($CP$2:CP29,1),"")</f>
        <v>28</v>
      </c>
      <c r="GM29" s="207">
        <f>IF(CQ29=1,COUNTIF($CQ$2:CQ29,1),"")</f>
        <v>28</v>
      </c>
      <c r="GN29" s="207">
        <f>IF(CR29=1,COUNTIF($CR$2:CR29,1),"")</f>
        <v>28</v>
      </c>
      <c r="GO29" s="207">
        <f>IF(CS29=1,COUNTIF($CS$2:CS29,1),"")</f>
        <v>28</v>
      </c>
      <c r="GP29" s="207">
        <f>IF(CT29=1,COUNTIF($CT$2:CT29,1),"")</f>
        <v>28</v>
      </c>
      <c r="GQ29" s="207">
        <f>IF(CU29=1,COUNTIF($CU$2:CU29,1),"")</f>
        <v>28</v>
      </c>
      <c r="GR29" s="207">
        <f>IF(CV29=1,COUNTIF($CV$2:CV29,1),"")</f>
        <v>28</v>
      </c>
      <c r="GS29" s="207">
        <f>IF(CW29=1,COUNTIF($CW$2:CW29,1),"")</f>
        <v>28</v>
      </c>
      <c r="GT29" s="207">
        <f>IF(CX29=1,COUNTIF($CX$2:CX29,1),"")</f>
        <v>28</v>
      </c>
      <c r="GU29" s="207">
        <f>IF(CY29=1,COUNTIF($CY$2:CY29,1),"")</f>
        <v>28</v>
      </c>
      <c r="GV29" s="207">
        <f>IF(CZ29=1,COUNTIF($CZ$2:CZ29,1),"")</f>
        <v>28</v>
      </c>
      <c r="GW29" s="207">
        <f>IF(DA29=1,COUNTIF($DA$2:DA29,1),"")</f>
        <v>28</v>
      </c>
      <c r="GX29" s="206" t="str">
        <f>IFERROR(INDEX($A$2:$A$113,MATCH(ROWS($DB$2:DB29),$DB$2:$DB$113,0)),"")</f>
        <v xml:space="preserve">PRIVACION ILEGITIMA DE LIBERTAD SIMPLE </v>
      </c>
      <c r="GY29" s="206" t="str">
        <f>IFERROR(INDEX($A$2:$A$113,MATCH(ROWS($DC$2:DC29),$DC$2:$DC$113,0)),"")</f>
        <v xml:space="preserve">PRIVACION ILEGITIMA DE LIBERTAD SIMPLE </v>
      </c>
      <c r="GZ29" s="206" t="str">
        <f>IFERROR(INDEX($A$2:$A$113,MATCH(ROWS($DD$2:DD29),$DD$2:$DD$113,0)),"")</f>
        <v xml:space="preserve">PRIVACION ILEGITIMA DE LIBERTAD SIMPLE </v>
      </c>
      <c r="HA29" s="206" t="str">
        <f>IFERROR(INDEX($A$2:$A$113,MATCH(ROWS($DE$2:DE29),$DE$2:$DE$113,0)),"")</f>
        <v xml:space="preserve">PRIVACION ILEGITIMA DE LIBERTAD SIMPLE </v>
      </c>
      <c r="HB29" s="206" t="str">
        <f>IFERROR(INDEX($A$2:$A$113,MATCH(ROWS($DF$2:DF29),$DF$2:$DF$113,0)),"")</f>
        <v xml:space="preserve">PRIVACION ILEGITIMA DE LIBERTAD SIMPLE </v>
      </c>
      <c r="HC29" s="206" t="str">
        <f>IFERROR(INDEX($A$2:$A$113,MATCH(ROWS($DG$2:DG29),$DG$2:$DG$113,0)),"")</f>
        <v xml:space="preserve">PRIVACION ILEGITIMA DE LIBERTAD SIMPLE </v>
      </c>
      <c r="HD29" s="206" t="str">
        <f>IFERROR(INDEX($A$2:$A$113,MATCH(ROWS($DH$2:DH29),$DH$2:$DH$113,0)),"")</f>
        <v xml:space="preserve">PRIVACION ILEGITIMA DE LIBERTAD SIMPLE </v>
      </c>
      <c r="HE29" s="206" t="str">
        <f>IFERROR(INDEX($A$2:$A$113,MATCH(ROWS($DI$2:DI29),$DI$2:$DI$113,0)),"")</f>
        <v xml:space="preserve">PRIVACION ILEGITIMA DE LIBERTAD SIMPLE </v>
      </c>
      <c r="HF29" s="206" t="str">
        <f>IFERROR(INDEX($A$2:$A$113,MATCH(ROWS($DJ$2:DJ29),$DJ$2:$DJ$113,0)),"")</f>
        <v xml:space="preserve">PRIVACION ILEGITIMA DE LIBERTAD SIMPLE </v>
      </c>
      <c r="HG29" s="206" t="str">
        <f>IFERROR(INDEX($A$2:$A$113,MATCH(ROWS($DK$2:DK29),$DK$2:$DK$113,0)),"")</f>
        <v xml:space="preserve">PRIVACION ILEGITIMA DE LIBERTAD SIMPLE </v>
      </c>
      <c r="HH29" s="206" t="str">
        <f>IFERROR(INDEX($A$2:$A$113,MATCH(ROWS($DL$2:DL29),$DL$2:$DL$113,0)),"")</f>
        <v xml:space="preserve">PRIVACION ILEGITIMA DE LIBERTAD SIMPLE </v>
      </c>
      <c r="HI29" s="206" t="str">
        <f>IFERROR(INDEX($A$2:$A$113,MATCH(ROWS($DM$2:DM29),$DM$2:$DM$113,0)),"")</f>
        <v xml:space="preserve">PRIVACION ILEGITIMA DE LIBERTAD SIMPLE </v>
      </c>
      <c r="HJ29" s="206" t="str">
        <f>IFERROR(INDEX($A$2:$A$113,MATCH(ROWS($DN$2:DN29),$DN$2:$DN$113,0)),"")</f>
        <v xml:space="preserve">PRIVACION ILEGITIMA DE LIBERTAD SIMPLE </v>
      </c>
      <c r="HK29" s="206" t="str">
        <f>IFERROR(INDEX($A$2:$A$113,MATCH(ROWS($DO$2:DO29),$DO$2:$DO$113,0)),"")</f>
        <v xml:space="preserve">PRIVACION ILEGITIMA DE LIBERTAD SIMPLE </v>
      </c>
      <c r="HL29" s="206" t="str">
        <f>IFERROR(INDEX($A$2:$A$113,MATCH(ROWS($DP$2:DP29),$DP$2:$DP$113,0)),"")</f>
        <v xml:space="preserve">PRIVACION ILEGITIMA DE LIBERTAD SIMPLE </v>
      </c>
      <c r="HM29" s="206" t="str">
        <f>IFERROR(INDEX($A$2:$A$113,MATCH(ROWS($DQ$2:DQ29),$DQ$2:$DQ$113,0)),"")</f>
        <v xml:space="preserve">PRIVACION ILEGITIMA DE LIBERTAD SIMPLE </v>
      </c>
      <c r="HN29" s="206" t="str">
        <f>IFERROR(INDEX($A$2:$A$113,MATCH(ROWS($DR$2:DR29),$DR$2:$DR$113,0)),"")</f>
        <v xml:space="preserve">PRIVACION ILEGITIMA DE LIBERTAD SIMPLE </v>
      </c>
      <c r="HO29" s="206" t="str">
        <f>IFERROR(INDEX($A$2:$A$113,MATCH(ROWS($DS$2:DS29),$DS$2:$DS$113,0)),"")</f>
        <v xml:space="preserve">PRIVACION ILEGITIMA DE LIBERTAD SIMPLE </v>
      </c>
      <c r="HP29" s="206" t="str">
        <f>IFERROR(INDEX($A$2:$A$113,MATCH(ROWS($DT$2:DT29),$DT$2:$DT$113,0)),"")</f>
        <v xml:space="preserve">PRIVACION ILEGITIMA DE LIBERTAD SIMPLE </v>
      </c>
      <c r="HQ29" s="206" t="str">
        <f>IFERROR(INDEX($A$2:$A$113,MATCH(ROWS($DU$2:DU29),$DU$2:$DU$113,0)),"")</f>
        <v xml:space="preserve">PRIVACION ILEGITIMA DE LIBERTAD SIMPLE </v>
      </c>
      <c r="HR29" s="206" t="str">
        <f>IFERROR(INDEX($A$2:$A$113,MATCH(ROWS($DV$2:DV29),$DV$2:$DV$113,0)),"")</f>
        <v xml:space="preserve">PRIVACION ILEGITIMA DE LIBERTAD SIMPLE </v>
      </c>
      <c r="HS29" s="206" t="str">
        <f>IFERROR(INDEX($A$2:$A$113,MATCH(ROWS($DW$2:DW29),$DW$2:$DW$113,0)),"")</f>
        <v xml:space="preserve">PRIVACION ILEGITIMA DE LIBERTAD SIMPLE </v>
      </c>
      <c r="HT29" s="206" t="str">
        <f>IFERROR(INDEX($A$2:$A$113,MATCH(ROWS($DX$2:DX29),$DX$2:$DX$113,0)),"")</f>
        <v xml:space="preserve">PRIVACION ILEGITIMA DE LIBERTAD SIMPLE </v>
      </c>
      <c r="HU29" s="206" t="str">
        <f>IFERROR(INDEX($A$2:$A$113,MATCH(ROWS($DY$2:DY29),$DY$2:$DY$113,0)),"")</f>
        <v xml:space="preserve">PRIVACION ILEGITIMA DE LIBERTAD SIMPLE </v>
      </c>
      <c r="HV29" s="206" t="str">
        <f>IFERROR(INDEX($A$2:$A$113,MATCH(ROWS($DZ$2:DZ29),$DZ$2:$DZ$113,0)),"")</f>
        <v xml:space="preserve">PRIVACION ILEGITIMA DE LIBERTAD SIMPLE </v>
      </c>
      <c r="HW29" s="206" t="str">
        <f>IFERROR(INDEX($A$2:$A$113,MATCH(ROWS($EA$2:EA29),$EA$2:$EA$113,0)),"")</f>
        <v xml:space="preserve">PRIVACION ILEGITIMA DE LIBERTAD SIMPLE </v>
      </c>
      <c r="HX29" s="206" t="str">
        <f>IFERROR(INDEX($A$2:$A$113,MATCH(ROWS($EB$2:EB29),$EB$2:$EB$113,0)),"")</f>
        <v xml:space="preserve">PRIVACION ILEGITIMA DE LIBERTAD SIMPLE </v>
      </c>
      <c r="HY29" s="206" t="str">
        <f>IFERROR(INDEX($A$2:$A$113,MATCH(ROWS($EC$2:EC29),$EC$2:$EC$113,0)),"")</f>
        <v xml:space="preserve">PRIVACION ILEGITIMA DE LIBERTAD SIMPLE </v>
      </c>
      <c r="HZ29" s="206" t="str">
        <f>IFERROR(INDEX($A$2:$A$113,MATCH(ROWS($ED$2:ED29),$ED$2:$ED$113,0)),"")</f>
        <v xml:space="preserve">PRIVACION ILEGITIMA DE LIBERTAD SIMPLE </v>
      </c>
      <c r="IA29" s="206" t="str">
        <f>IFERROR(INDEX($A$2:$A$113,MATCH(ROWS($EE$2:EE29),$EE$2:$EE$113,0)),"")</f>
        <v xml:space="preserve">PRIVACION ILEGITIMA DE LIBERTAD SIMPLE </v>
      </c>
      <c r="IB29" s="206" t="str">
        <f>IFERROR(INDEX($A$2:$A$113,MATCH(ROWS($EF$2:EF29),$EF$2:$EF$113,0)),"")</f>
        <v xml:space="preserve">PRIVACION ILEGITIMA DE LIBERTAD SIMPLE </v>
      </c>
      <c r="IC29" s="206" t="str">
        <f>IFERROR(INDEX($A$2:$A$113,MATCH(ROWS($EG$2:EG29),$EG$2:$EG$113,0)),"")</f>
        <v xml:space="preserve">PRIVACION ILEGITIMA DE LIBERTAD SIMPLE </v>
      </c>
      <c r="ID29" s="206" t="str">
        <f>IFERROR(INDEX($A$2:$A$113,MATCH(ROWS($EH$2:EH29),$EH$2:$EH$113,0)),"")</f>
        <v xml:space="preserve">PRIVACION ILEGITIMA DE LIBERTAD SIMPLE </v>
      </c>
      <c r="IE29" s="206" t="str">
        <f>IFERROR(INDEX($A$2:$A$113,MATCH(ROWS($EI$2:EI29),$EI$2:$EI$113,0)),"")</f>
        <v xml:space="preserve">PRIVACION ILEGITIMA DE LIBERTAD SIMPLE </v>
      </c>
      <c r="IF29" s="206" t="str">
        <f>IFERROR(INDEX($A$2:$A$113,MATCH(ROWS($EJ$2:EJ29),$EJ$2:$EJ$113,0)),"")</f>
        <v xml:space="preserve">PRIVACION ILEGITIMA DE LIBERTAD SIMPLE </v>
      </c>
      <c r="IG29" s="206" t="str">
        <f>IFERROR(INDEX($A$2:$A$113,MATCH(ROWS($EK$2:EK29),$EK$2:$EK$113,0)),"")</f>
        <v xml:space="preserve">PRIVACION ILEGITIMA DE LIBERTAD SIMPLE </v>
      </c>
      <c r="IH29" s="206" t="str">
        <f>IFERROR(INDEX($A$2:$A$113,MATCH(ROWS($EL$2:EL29),$EL$2:$EL$113,0)),"")</f>
        <v xml:space="preserve">PRIVACION ILEGITIMA DE LIBERTAD SIMPLE </v>
      </c>
      <c r="II29" s="206" t="str">
        <f>IFERROR(INDEX($A$2:$A$113,MATCH(ROWS($EM$2:EM29),$EM$2:$EM$113,0)),"")</f>
        <v xml:space="preserve">PRIVACION ILEGITIMA DE LIBERTAD SIMPLE </v>
      </c>
      <c r="IJ29" s="206" t="str">
        <f>IFERROR(INDEX($A$2:$A$113,MATCH(ROWS($EN$2:EN29),$EN$2:$EN$113,0)),"")</f>
        <v xml:space="preserve">PRIVACION ILEGITIMA DE LIBERTAD SIMPLE </v>
      </c>
      <c r="IK29" s="207" t="str">
        <f>IFERROR(INDEX($A$2:$A$113,MATCH(ROWS($EO$2:EO29),$EO$2:$EO$113,0)),"")</f>
        <v xml:space="preserve">PRIVACION ILEGITIMA DE LIBERTAD SIMPLE </v>
      </c>
      <c r="IL29" s="207" t="str">
        <f>IFERROR(INDEX($A$2:$A$113,MATCH(ROWS($EP$2:EP29),$EP$2:$EP$113,0)),"")</f>
        <v xml:space="preserve">PRIVACION ILEGITIMA DE LIBERTAD SIMPLE </v>
      </c>
      <c r="IM29" s="207" t="str">
        <f>IFERROR(INDEX($A$2:$A$113,MATCH(ROWS($EQ$2:EQ29),$EQ$2:$EQ$113,0)),"")</f>
        <v xml:space="preserve">PRIVACION ILEGITIMA DE LIBERTAD SIMPLE </v>
      </c>
      <c r="IN29" s="207" t="str">
        <f>IFERROR(INDEX($A$2:$A$113,MATCH(ROWS($ER$2:ER29),$ER$2:$ER$113,0)),"")</f>
        <v xml:space="preserve">PRIVACION ILEGITIMA DE LIBERTAD SIMPLE </v>
      </c>
      <c r="IO29" s="207" t="str">
        <f>IFERROR(INDEX($A$2:$A$113,MATCH(ROWS($ES$2:ES29),$ES$2:$ES$113,0)),"")</f>
        <v xml:space="preserve">PRIVACION ILEGITIMA DE LIBERTAD SIMPLE </v>
      </c>
      <c r="IP29" s="207" t="str">
        <f>IFERROR(INDEX($A$2:$A$113,MATCH(ROWS($ET$2:ET29),$ET$2:$ET$113,0)),"")</f>
        <v xml:space="preserve">PRIVACION ILEGITIMA DE LIBERTAD SIMPLE </v>
      </c>
      <c r="IQ29" s="207" t="str">
        <f>IFERROR(INDEX($A$2:$A$113,MATCH(ROWS($EU$2:EU29),$EU$2:$EU$113,0)),"")</f>
        <v xml:space="preserve">PRIVACION ILEGITIMA DE LIBERTAD SIMPLE </v>
      </c>
      <c r="IR29" s="207" t="str">
        <f>IFERROR(INDEX($A$2:$A$113,MATCH(ROWS($EV$2:EV29),$EV$2:$EV$113,0)),"")</f>
        <v xml:space="preserve">PRIVACION ILEGITIMA DE LIBERTAD SIMPLE </v>
      </c>
      <c r="IS29" s="207" t="str">
        <f>IFERROR(INDEX($A$2:$A$113,MATCH(ROWS($EW$2:EW29),$EW$2:$EW$113,0)),"")</f>
        <v xml:space="preserve">PRIVACION ILEGITIMA DE LIBERTAD SIMPLE </v>
      </c>
      <c r="IT29" s="207" t="str">
        <f>IFERROR(INDEX($A$2:$A$113,MATCH(ROWS($EX$2:EX29),$EX$2:$EX$113,0)),"")</f>
        <v xml:space="preserve">PRIVACION ILEGITIMA DE LIBERTAD SIMPLE </v>
      </c>
      <c r="IU29" s="207" t="str">
        <f>IFERROR(INDEX($A$2:$A$113,MATCH(ROWS($EY$2:EY29),$EY$2:$EY$113,0)),"")</f>
        <v xml:space="preserve">PRIVACION ILEGITIMA DE LIBERTAD SIMPLE </v>
      </c>
      <c r="IV29" s="207" t="str">
        <f>IFERROR(INDEX($A$2:$A$113,MATCH(ROWS($EZ$2:EZ29),$EZ$2:$EZ$113,0)),"")</f>
        <v xml:space="preserve">PRIVACION ILEGITIMA DE LIBERTAD SIMPLE </v>
      </c>
      <c r="IW29" s="207" t="str">
        <f>IFERROR(INDEX($A$2:$A$113,MATCH(ROWS($FA$2:FA29),$FA$2:$FA$113,0)),"")</f>
        <v xml:space="preserve">PRIVACION ILEGITIMA DE LIBERTAD SIMPLE </v>
      </c>
      <c r="IX29" s="207" t="str">
        <f>IFERROR(INDEX($A$2:$A$113,MATCH(ROWS($FB$2:FB29),$FB$2:$FB$113,0)),"")</f>
        <v xml:space="preserve">PRIVACION ILEGITIMA DE LIBERTAD SIMPLE </v>
      </c>
      <c r="IY29" s="207" t="str">
        <f>IFERROR(INDEX($A$2:$A$113,MATCH(ROWS($FC$2:FC29),$FC$2:$FC$113,0)),"")</f>
        <v xml:space="preserve">PRIVACION ILEGITIMA DE LIBERTAD SIMPLE </v>
      </c>
      <c r="IZ29" s="207" t="str">
        <f>IFERROR(INDEX($A$2:$A$113,MATCH(ROWS($FD$2:FD29),$FD$2:$FD$113,0)),"")</f>
        <v xml:space="preserve">PRIVACION ILEGITIMA DE LIBERTAD SIMPLE </v>
      </c>
      <c r="JA29" s="207" t="str">
        <f>IFERROR(INDEX($A$2:$A$113,MATCH(ROWS($FE$2:FE29),$FE$2:$FE$113,0)),"")</f>
        <v xml:space="preserve">PRIVACION ILEGITIMA DE LIBERTAD SIMPLE </v>
      </c>
      <c r="JB29" s="207" t="str">
        <f>IFERROR(INDEX($A$2:$A$113,MATCH(ROWS($FF$2:FF29),$FF$2:$FF$113,0)),"")</f>
        <v xml:space="preserve">PRIVACION ILEGITIMA DE LIBERTAD SIMPLE </v>
      </c>
      <c r="JC29" s="207" t="str">
        <f>IFERROR(INDEX($A$2:$A$113,MATCH(ROWS($FG$2:FG29),$FG$2:$FG$113,0)),"")</f>
        <v xml:space="preserve">PRIVACION ILEGITIMA DE LIBERTAD SIMPLE </v>
      </c>
      <c r="JD29" s="207" t="str">
        <f>IFERROR(INDEX($A$2:$A$113,MATCH(ROWS($FH$2:FH29),$FH$2:$FH$113,0)),"")</f>
        <v xml:space="preserve">PRIVACION ILEGITIMA DE LIBERTAD SIMPLE </v>
      </c>
      <c r="JE29" s="207" t="str">
        <f>IFERROR(INDEX($A$2:$A$113,MATCH(ROWS($FI$2:FI29),$FI$2:$FI$113,0)),"")</f>
        <v xml:space="preserve">PRIVACION ILEGITIMA DE LIBERTAD SIMPLE </v>
      </c>
      <c r="JF29" s="207" t="str">
        <f>IFERROR(INDEX($A$2:$A$113,MATCH(ROWS($FJ$2:FJ29),$FJ$2:$FJ$113,0)),"")</f>
        <v xml:space="preserve">PRIVACION ILEGITIMA DE LIBERTAD SIMPLE </v>
      </c>
      <c r="JG29" s="207" t="str">
        <f>IFERROR(INDEX($A$2:$A$113,MATCH(ROWS($FK$2:FK29),$FK$2:$FK$113,0)),"")</f>
        <v xml:space="preserve">PRIVACION ILEGITIMA DE LIBERTAD SIMPLE </v>
      </c>
      <c r="JH29" s="207" t="str">
        <f>IFERROR(INDEX($A$2:$A$113,MATCH(ROWS($FL$2:FL29),$FL$2:$FL$113,0)),"")</f>
        <v xml:space="preserve">PRIVACION ILEGITIMA DE LIBERTAD SIMPLE </v>
      </c>
      <c r="JI29" s="207" t="str">
        <f>IFERROR(INDEX($A$2:$A$113,MATCH(ROWS($FM$2:FM29),$FM$2:$FM$113,0)),"")</f>
        <v xml:space="preserve">PRIVACION ILEGITIMA DE LIBERTAD SIMPLE </v>
      </c>
      <c r="JJ29" s="207" t="str">
        <f>IFERROR(INDEX($A$2:$A$113,MATCH(ROWS($FN$2:FN29),$FN$2:$FN$113,0)),"")</f>
        <v xml:space="preserve">PRIVACION ILEGITIMA DE LIBERTAD SIMPLE </v>
      </c>
      <c r="JK29" s="207" t="str">
        <f>IFERROR(INDEX($A$2:$A$113,MATCH(ROWS($FO$2:FO29),$FO$2:$FO$113,0)),"")</f>
        <v xml:space="preserve">PRIVACION ILEGITIMA DE LIBERTAD SIMPLE </v>
      </c>
      <c r="JL29" s="207" t="str">
        <f>IFERROR(INDEX($A$2:$A$113,MATCH(ROWS($FP$2:FP29),$FP$2:$FP$113,0)),"")</f>
        <v xml:space="preserve">PRIVACION ILEGITIMA DE LIBERTAD SIMPLE </v>
      </c>
      <c r="JM29" s="207" t="str">
        <f>IFERROR(INDEX($A$2:$A$113,MATCH(ROWS($FQ$2:FQ29),$FQ$2:$FQ$113,0)),"")</f>
        <v xml:space="preserve">PRIVACION ILEGITIMA DE LIBERTAD SIMPLE </v>
      </c>
      <c r="JN29" s="207" t="str">
        <f>IFERROR(INDEX($A$2:$A$113,MATCH(ROWS($FR$2:FR29),$FR$2:$FR$113,0)),"")</f>
        <v xml:space="preserve">PRIVACION ILEGITIMA DE LIBERTAD SIMPLE </v>
      </c>
      <c r="JO29" s="207" t="str">
        <f>IFERROR(INDEX($A$2:$A$113,MATCH(ROWS($FS$2:FS29),$FS$2:$FS$113,0)),"")</f>
        <v xml:space="preserve">PRIVACION ILEGITIMA DE LIBERTAD SIMPLE </v>
      </c>
      <c r="JP29" s="207" t="str">
        <f>IFERROR(INDEX($A$2:$A$113,MATCH(ROWS($FT$2:FT29),$FT$2:$FT$113,0)),"")</f>
        <v xml:space="preserve">PRIVACION ILEGITIMA DE LIBERTAD SIMPLE </v>
      </c>
      <c r="JQ29" s="207" t="str">
        <f>IFERROR(INDEX($A$2:$A$113,MATCH(ROWS($FU$2:FU29),$FU$2:$FU$113,0)),"")</f>
        <v xml:space="preserve">PRIVACION ILEGITIMA DE LIBERTAD SIMPLE </v>
      </c>
      <c r="JR29" s="207" t="str">
        <f>IFERROR(INDEX($A$2:$A$113,MATCH(ROWS($FV$2:FV29),$FV$2:$FV$113,0)),"")</f>
        <v xml:space="preserve">PRIVACION ILEGITIMA DE LIBERTAD SIMPLE </v>
      </c>
      <c r="JS29" s="207" t="str">
        <f>IFERROR(INDEX($A$2:$A$113,MATCH(ROWS($FW$2:FW29),$FW$2:$FW$113,0)),"")</f>
        <v xml:space="preserve">PRIVACION ILEGITIMA DE LIBERTAD SIMPLE </v>
      </c>
      <c r="JT29" s="207" t="str">
        <f>IFERROR(INDEX($A$2:$A$113,MATCH(ROWS($FX$2:FX29),$FX$2:$FX$113,0)),"")</f>
        <v xml:space="preserve">PRIVACION ILEGITIMA DE LIBERTAD SIMPLE </v>
      </c>
      <c r="JU29" s="207" t="str">
        <f>IFERROR(INDEX($A$2:$A$113,MATCH(ROWS($FY$2:FY29),$FY$2:$FY$113,0)),"")</f>
        <v xml:space="preserve">PRIVACION ILEGITIMA DE LIBERTAD SIMPLE </v>
      </c>
      <c r="JV29" s="207" t="str">
        <f>IFERROR(INDEX($A$2:$A$113,MATCH(ROWS($FZ$2:FZ29),$FZ$2:$FZ$113,0)),"")</f>
        <v xml:space="preserve">PRIVACION ILEGITIMA DE LIBERTAD SIMPLE </v>
      </c>
      <c r="JW29" s="207" t="str">
        <f>IFERROR(INDEX($A$2:$A$113,MATCH(ROWS($GA$2:GA29),$GA$2:$GA$113,0)),"")</f>
        <v xml:space="preserve">PRIVACION ILEGITIMA DE LIBERTAD SIMPLE </v>
      </c>
      <c r="JX29" s="207" t="str">
        <f>IFERROR(INDEX($A$2:$A$113,MATCH(ROWS($GB$2:GB29),$GB$2:$GB$113,0)),"")</f>
        <v xml:space="preserve">PRIVACION ILEGITIMA DE LIBERTAD SIMPLE </v>
      </c>
      <c r="JY29" s="207" t="str">
        <f>IFERROR(INDEX($A$2:$A$113,MATCH(ROWS($GC$2:GC29),$GC$2:$GC$113,0)),"")</f>
        <v xml:space="preserve">PRIVACION ILEGITIMA DE LIBERTAD SIMPLE </v>
      </c>
      <c r="JZ29" s="207" t="str">
        <f>IFERROR(INDEX($A$2:$A$113,MATCH(ROWS($GD$2:GD29),$GD$2:$GD$113,0)),"")</f>
        <v xml:space="preserve">PRIVACION ILEGITIMA DE LIBERTAD SIMPLE </v>
      </c>
      <c r="KA29" s="207" t="str">
        <f>IFERROR(INDEX($A$2:$A$113,MATCH(ROWS($GE$2:GE29),$GE$2:$GE$113,0)),"")</f>
        <v xml:space="preserve">PRIVACION ILEGITIMA DE LIBERTAD SIMPLE </v>
      </c>
      <c r="KB29" s="207" t="str">
        <f>IFERROR(INDEX($A$2:$A$113,MATCH(ROWS($GF$2:GF29),$GF$2:$GF$113,0)),"")</f>
        <v xml:space="preserve">PRIVACION ILEGITIMA DE LIBERTAD SIMPLE </v>
      </c>
      <c r="KC29" s="207" t="str">
        <f>IFERROR(INDEX($A$2:$A$113,MATCH(ROWS($GG$2:GG29),$GG$2:$GG$113,0)),"")</f>
        <v xml:space="preserve">PRIVACION ILEGITIMA DE LIBERTAD SIMPLE </v>
      </c>
      <c r="KD29" s="207" t="str">
        <f>IFERROR(INDEX($A$2:$A$113,MATCH(ROWS($GH$2:GH29),$GH$2:$GH$113,0)),"")</f>
        <v xml:space="preserve">PRIVACION ILEGITIMA DE LIBERTAD SIMPLE </v>
      </c>
      <c r="KE29" s="207" t="str">
        <f>IFERROR(INDEX($A$2:$A$113,MATCH(ROWS($GI$2:GI29),$GI$2:$GI$113,0)),"")</f>
        <v xml:space="preserve">PRIVACION ILEGITIMA DE LIBERTAD SIMPLE </v>
      </c>
      <c r="KF29" s="207" t="str">
        <f>IFERROR(INDEX($A$2:$A$113,MATCH(ROWS($GJ$2:GJ29),$GJ$2:$GJ$113,0)),"")</f>
        <v xml:space="preserve">PRIVACION ILEGITIMA DE LIBERTAD SIMPLE </v>
      </c>
      <c r="KG29" s="207" t="str">
        <f>IFERROR(INDEX($A$2:$A$113,MATCH(ROWS($GK$2:GK29),$GK$2:$GK$113,0)),"")</f>
        <v xml:space="preserve">PRIVACION ILEGITIMA DE LIBERTAD SIMPLE </v>
      </c>
      <c r="KH29" s="207" t="str">
        <f>IFERROR(INDEX($A$2:$A$113,MATCH(ROWS($GL$2:GL29),$GL$2:$GL$113,0)),"")</f>
        <v xml:space="preserve">PRIVACION ILEGITIMA DE LIBERTAD SIMPLE </v>
      </c>
      <c r="KI29" s="207" t="str">
        <f>IFERROR(INDEX($A$2:$A$113,MATCH(ROWS($GM$2:GM29),$GM$2:$GM$113,0)),"")</f>
        <v xml:space="preserve">PRIVACION ILEGITIMA DE LIBERTAD SIMPLE </v>
      </c>
      <c r="KJ29" s="207" t="str">
        <f>IFERROR(INDEX($A$2:$A$113,MATCH(ROWS($GN$2:GN29),$GN$2:$GN$113,0)),"")</f>
        <v xml:space="preserve">PRIVACION ILEGITIMA DE LIBERTAD SIMPLE </v>
      </c>
      <c r="KK29" s="207" t="str">
        <f>IFERROR(INDEX($A$2:$A$113,MATCH(ROWS($GO$2:GO29),$GO$2:$GO$113,0)),"")</f>
        <v xml:space="preserve">PRIVACION ILEGITIMA DE LIBERTAD SIMPLE </v>
      </c>
      <c r="KL29" s="207" t="str">
        <f>IFERROR(INDEX($A$2:$A$113,MATCH(ROWS($GP$2:GP29),$GP$2:$GP$113,0)),"")</f>
        <v xml:space="preserve">PRIVACION ILEGITIMA DE LIBERTAD SIMPLE </v>
      </c>
      <c r="KM29" s="207" t="str">
        <f>IFERROR(INDEX($A$2:$A$113,MATCH(ROWS($GQ$2:GQ29),$GQ$2:$GQ$113,0)),"")</f>
        <v xml:space="preserve">PRIVACION ILEGITIMA DE LIBERTAD SIMPLE </v>
      </c>
      <c r="KN29" s="207" t="str">
        <f>IFERROR(INDEX($A$2:$A$113,MATCH(ROWS($GR$2:GR29),$GR$2:$GR$113,0)),"")</f>
        <v xml:space="preserve">PRIVACION ILEGITIMA DE LIBERTAD SIMPLE </v>
      </c>
      <c r="KO29" s="207" t="str">
        <f>IFERROR(INDEX($A$2:$A$113,MATCH(ROWS($GS$2:GS29),$GS$2:$GS$113,0)),"")</f>
        <v xml:space="preserve">PRIVACION ILEGITIMA DE LIBERTAD SIMPLE </v>
      </c>
      <c r="KP29" s="207" t="str">
        <f>IFERROR(INDEX($A$2:$A$113,MATCH(ROWS($GT$2:GT29),$GT$2:$GT$113,0)),"")</f>
        <v xml:space="preserve">PRIVACION ILEGITIMA DE LIBERTAD SIMPLE </v>
      </c>
      <c r="KQ29" s="207" t="str">
        <f>IFERROR(INDEX($A$2:$A$113,MATCH(ROWS($GU$2:GU29),$GU$2:$GU$113,0)),"")</f>
        <v xml:space="preserve">PRIVACION ILEGITIMA DE LIBERTAD SIMPLE </v>
      </c>
      <c r="KR29" s="207" t="str">
        <f>IFERROR(INDEX($A$2:$A$113,MATCH(ROWS($GV$2:GV29),$GV$2:$GV$113,0)),"")</f>
        <v xml:space="preserve">PRIVACION ILEGITIMA DE LIBERTAD SIMPLE </v>
      </c>
      <c r="KS29" s="207" t="str">
        <f>IFERROR(INDEX($A$2:$A$113,MATCH(ROWS($GW$2:GW29),$GW$2:$GW$113,0)),"")</f>
        <v xml:space="preserve">PRIVACION ILEGITIMA DE LIBERTAD SIMPLE </v>
      </c>
    </row>
    <row r="30" spans="1:305" x14ac:dyDescent="0.25">
      <c r="A30" s="206" t="s">
        <v>896</v>
      </c>
      <c r="B30" s="206" t="s">
        <v>75</v>
      </c>
      <c r="D30" s="206" t="s">
        <v>791</v>
      </c>
      <c r="E30" s="206" t="s">
        <v>76</v>
      </c>
      <c r="F30" s="207">
        <f>--ISNUMBER(IFERROR(SEARCH('PLANILLA DJ'!$X$3,$A30,1),""))</f>
        <v>1</v>
      </c>
      <c r="G30" s="207">
        <f>--ISNUMBER(IFERROR(SEARCH('PLANILLA DJ'!$X$4,$A30,1),""))</f>
        <v>1</v>
      </c>
      <c r="H30" s="207">
        <f>--ISNUMBER(IFERROR(SEARCH('PLANILLA DJ'!$X$5,$A30,1),""))</f>
        <v>1</v>
      </c>
      <c r="I30" s="207">
        <f>--ISNUMBER(IFERROR(SEARCH('PLANILLA DJ'!$X$6,$A30,1),""))</f>
        <v>1</v>
      </c>
      <c r="J30" s="207">
        <f>--ISNUMBER(IFERROR(SEARCH('PLANILLA DJ'!$X$7,$A30,1),""))</f>
        <v>1</v>
      </c>
      <c r="K30" s="207">
        <f>--ISNUMBER(IFERROR(SEARCH('PLANILLA DJ'!$X$8,$A30,1),""))</f>
        <v>1</v>
      </c>
      <c r="L30" s="207">
        <f>--ISNUMBER(IFERROR(SEARCH('PLANILLA DJ'!$X$9,$A30,1),""))</f>
        <v>1</v>
      </c>
      <c r="M30" s="207">
        <f>--ISNUMBER(IFERROR(SEARCH('PLANILLA DJ'!$X$10,$A30,1),""))</f>
        <v>1</v>
      </c>
      <c r="N30" s="207">
        <f>--ISNUMBER(IFERROR(SEARCH('PLANILLA DJ'!$X$11,$A30,1),""))</f>
        <v>1</v>
      </c>
      <c r="O30" s="207">
        <f>--ISNUMBER(IFERROR(SEARCH('PLANILLA DJ'!$X$12,$A30,1),""))</f>
        <v>1</v>
      </c>
      <c r="P30" s="207">
        <f>--ISNUMBER(IFERROR(SEARCH('PLANILLA DJ'!$X$13,$A30,1),""))</f>
        <v>1</v>
      </c>
      <c r="Q30" s="207">
        <f>--ISNUMBER(IFERROR(SEARCH('PLANILLA DJ'!$X$14,$A30,1),""))</f>
        <v>1</v>
      </c>
      <c r="R30" s="207">
        <f>--ISNUMBER(IFERROR(SEARCH('PLANILLA DJ'!$X$15,$A30,1),""))</f>
        <v>1</v>
      </c>
      <c r="S30" s="207">
        <f>--ISNUMBER(IFERROR(SEARCH('PLANILLA DJ'!$X$16,$A30,1),""))</f>
        <v>1</v>
      </c>
      <c r="T30" s="207">
        <f>--ISNUMBER(IFERROR(SEARCH('PLANILLA DJ'!$X$17,$A30,1),""))</f>
        <v>1</v>
      </c>
      <c r="U30" s="207">
        <f>--ISNUMBER(IFERROR(SEARCH('PLANILLA DJ'!$X$18,$A30,1),""))</f>
        <v>1</v>
      </c>
      <c r="V30" s="207">
        <f>--ISNUMBER(IFERROR(SEARCH('PLANILLA DJ'!$X$19,$A30,1),""))</f>
        <v>1</v>
      </c>
      <c r="W30" s="207">
        <f>--ISNUMBER(IFERROR(SEARCH('PLANILLA DJ'!$X$20,$A30,1),""))</f>
        <v>1</v>
      </c>
      <c r="X30" s="207">
        <f>--ISNUMBER(IFERROR(SEARCH('PLANILLA DJ'!$X$21,$A30,1),""))</f>
        <v>1</v>
      </c>
      <c r="Y30" s="207">
        <f>--ISNUMBER(IFERROR(SEARCH('PLANILLA DJ'!$X$22,$A30,1),""))</f>
        <v>1</v>
      </c>
      <c r="Z30" s="207">
        <f>--ISNUMBER(IFERROR(SEARCH('PLANILLA DJ'!$X$23,$A30,1),""))</f>
        <v>1</v>
      </c>
      <c r="AA30" s="207">
        <f>--ISNUMBER(IFERROR(SEARCH('PLANILLA DJ'!$X$24,$A30,1),""))</f>
        <v>1</v>
      </c>
      <c r="AB30" s="207">
        <f>--ISNUMBER(IFERROR(SEARCH('PLANILLA DJ'!$X$25,$A30,1),""))</f>
        <v>1</v>
      </c>
      <c r="AC30" s="207">
        <f>--ISNUMBER(IFERROR(SEARCH('PLANILLA DJ'!$X$26,$A30,1),""))</f>
        <v>1</v>
      </c>
      <c r="AD30" s="207">
        <f>--ISNUMBER(IFERROR(SEARCH('PLANILLA DJ'!$X$27,$A30,1),""))</f>
        <v>1</v>
      </c>
      <c r="AE30" s="207">
        <f>--ISNUMBER(IFERROR(SEARCH('PLANILLA DJ'!$X$28,$A30,1),""))</f>
        <v>1</v>
      </c>
      <c r="AF30" s="207">
        <f>--ISNUMBER(IFERROR(SEARCH('PLANILLA DJ'!$X$29,$A30,1),""))</f>
        <v>1</v>
      </c>
      <c r="AG30" s="207">
        <f>--ISNUMBER(IFERROR(SEARCH('PLANILLA DJ'!$X$30,$A30,1),""))</f>
        <v>1</v>
      </c>
      <c r="AH30" s="207">
        <f>--ISNUMBER(IFERROR(SEARCH('PLANILLA DJ'!$X$31,$A30,1),""))</f>
        <v>1</v>
      </c>
      <c r="AI30" s="207">
        <f>--ISNUMBER(IFERROR(SEARCH('PLANILLA DJ'!$X$32,$A30,1),""))</f>
        <v>1</v>
      </c>
      <c r="AJ30" s="207">
        <f>--ISNUMBER(IFERROR(SEARCH('PLANILLA DJ'!$X$33,$A30,1),""))</f>
        <v>1</v>
      </c>
      <c r="AK30" s="207">
        <f>--ISNUMBER(IFERROR(SEARCH('PLANILLA DJ'!$X$34,$A30,1),""))</f>
        <v>1</v>
      </c>
      <c r="AL30" s="207">
        <f>--ISNUMBER(IFERROR(SEARCH('PLANILLA DJ'!$X$35,$A30,1),""))</f>
        <v>1</v>
      </c>
      <c r="AM30" s="207">
        <f>--ISNUMBER(IFERROR(SEARCH('PLANILLA DJ'!$X$36,$A30,1),""))</f>
        <v>1</v>
      </c>
      <c r="AN30" s="207">
        <f>--ISNUMBER(IFERROR(SEARCH('PLANILLA DJ'!$X$37,$A30,1),""))</f>
        <v>1</v>
      </c>
      <c r="AO30" s="207">
        <f>--ISNUMBER(IFERROR(SEARCH('PLANILLA DJ'!$X$38,$A30,1),""))</f>
        <v>1</v>
      </c>
      <c r="AP30" s="207">
        <f>--ISNUMBER(IFERROR(SEARCH('PLANILLA DJ'!$X$39,$A30,1),""))</f>
        <v>1</v>
      </c>
      <c r="AQ30" s="207">
        <f>--ISNUMBER(IFERROR(SEARCH('PLANILLA DJ'!$X$40,$A30,1),""))</f>
        <v>1</v>
      </c>
      <c r="AR30" s="207">
        <f>--ISNUMBER(IFERROR(SEARCH('PLANILLA DJ'!$X$41,$A30,1),""))</f>
        <v>1</v>
      </c>
      <c r="AS30" s="207">
        <f>--ISNUMBER(IFERROR(SEARCH('PLANILLA DJ'!$X$42,$A30,1),""))</f>
        <v>1</v>
      </c>
      <c r="AT30" s="207">
        <f>--ISNUMBER(IFERROR(SEARCH('PLANILLA DJ'!$X$43,$A30,1),""))</f>
        <v>1</v>
      </c>
      <c r="AU30" s="207">
        <f>--ISNUMBER(IFERROR(SEARCH('PLANILLA DJ'!$X$44,$A30,1),""))</f>
        <v>1</v>
      </c>
      <c r="AV30" s="207">
        <f>--ISNUMBER(IFERROR(SEARCH('PLANILLA DJ'!$X$45,$A30,1),""))</f>
        <v>1</v>
      </c>
      <c r="AW30" s="207">
        <f>--ISNUMBER(IFERROR(SEARCH('PLANILLA DJ'!$X$46,$A30,1),""))</f>
        <v>1</v>
      </c>
      <c r="AX30" s="207">
        <f>--ISNUMBER(IFERROR(SEARCH('PLANILLA DJ'!$X$47,$A30,1),""))</f>
        <v>1</v>
      </c>
      <c r="AY30" s="207">
        <f>--ISNUMBER(IFERROR(SEARCH('PLANILLA DJ'!$X$48,$A30,1),""))</f>
        <v>1</v>
      </c>
      <c r="AZ30" s="207">
        <f>--ISNUMBER(IFERROR(SEARCH('PLANILLA DJ'!$X$49,$A30,1),""))</f>
        <v>1</v>
      </c>
      <c r="BA30" s="207">
        <f>--ISNUMBER(IFERROR(SEARCH('PLANILLA DJ'!$X$50,$A30,1),""))</f>
        <v>1</v>
      </c>
      <c r="BB30" s="207">
        <f>--ISNUMBER(IFERROR(SEARCH('PLANILLA DJ'!$X$51,$A30,1),""))</f>
        <v>1</v>
      </c>
      <c r="BC30" s="207">
        <f>--ISNUMBER(IFERROR(SEARCH('PLANILLA DJ'!$X$52,$A30,1),""))</f>
        <v>1</v>
      </c>
      <c r="BD30" s="207">
        <f>--ISNUMBER(IFERROR(SEARCH('PLANILLA DJ'!$X$53,$A30,1),""))</f>
        <v>1</v>
      </c>
      <c r="BE30" s="207">
        <f>--ISNUMBER(IFERROR(SEARCH('PLANILLA DJ'!$X$54,$A30,1),""))</f>
        <v>1</v>
      </c>
      <c r="BF30" s="207">
        <f>--ISNUMBER(IFERROR(SEARCH('PLANILLA DJ'!$X$55,$A30,1),""))</f>
        <v>1</v>
      </c>
      <c r="BG30" s="207">
        <f>--ISNUMBER(IFERROR(SEARCH('PLANILLA DJ'!$X$56,$A30,1),""))</f>
        <v>1</v>
      </c>
      <c r="BH30" s="207">
        <f>--ISNUMBER(IFERROR(SEARCH('PLANILLA DJ'!$X$57,$A30,1),""))</f>
        <v>1</v>
      </c>
      <c r="BI30" s="207">
        <f>--ISNUMBER(IFERROR(SEARCH('PLANILLA DJ'!$X$58,$A30,1),""))</f>
        <v>1</v>
      </c>
      <c r="BJ30" s="207">
        <f>--ISNUMBER(IFERROR(SEARCH('PLANILLA DJ'!$X$59,$A30,1),""))</f>
        <v>1</v>
      </c>
      <c r="BK30" s="207">
        <f>--ISNUMBER(IFERROR(SEARCH('PLANILLA DJ'!$X$60,$A30,1),""))</f>
        <v>1</v>
      </c>
      <c r="BL30" s="207">
        <f>--ISNUMBER(IFERROR(SEARCH('PLANILLA DJ'!$X$61,$A30,1),""))</f>
        <v>1</v>
      </c>
      <c r="BM30" s="207">
        <f>--ISNUMBER(IFERROR(SEARCH('PLANILLA DJ'!$X$62,$A30,1),""))</f>
        <v>1</v>
      </c>
      <c r="BN30" s="207">
        <f>--ISNUMBER(IFERROR(SEARCH('PLANILLA DJ'!$X$63,$A30,1),""))</f>
        <v>1</v>
      </c>
      <c r="BO30" s="207">
        <f>--ISNUMBER(IFERROR(SEARCH('PLANILLA DJ'!$X$64,$A30,1),""))</f>
        <v>1</v>
      </c>
      <c r="BP30" s="207">
        <f>--ISNUMBER(IFERROR(SEARCH('PLANILLA DJ'!$X$65,$A30,1),""))</f>
        <v>1</v>
      </c>
      <c r="BQ30" s="207">
        <f>--ISNUMBER(IFERROR(SEARCH('PLANILLA DJ'!$X$66,$A30,1),""))</f>
        <v>1</v>
      </c>
      <c r="BR30" s="207">
        <f>--ISNUMBER(IFERROR(SEARCH('PLANILLA DJ'!$X$67,$A30,1),""))</f>
        <v>1</v>
      </c>
      <c r="BS30" s="207">
        <f>--ISNUMBER(IFERROR(SEARCH('PLANILLA DJ'!$X$68,$A30,1),""))</f>
        <v>1</v>
      </c>
      <c r="BT30" s="207">
        <f>--ISNUMBER(IFERROR(SEARCH('PLANILLA DJ'!$X$69,$A30,1),""))</f>
        <v>1</v>
      </c>
      <c r="BU30" s="207">
        <f>--ISNUMBER(IFERROR(SEARCH('PLANILLA DJ'!$X$70,$A30,1),""))</f>
        <v>1</v>
      </c>
      <c r="BV30" s="207">
        <f>--ISNUMBER(IFERROR(SEARCH('PLANILLA DJ'!$X$71,$A30,1),""))</f>
        <v>1</v>
      </c>
      <c r="BW30" s="207">
        <f>--ISNUMBER(IFERROR(SEARCH('PLANILLA DJ'!$X$72,$A30,1),""))</f>
        <v>1</v>
      </c>
      <c r="BX30" s="207">
        <f>--ISNUMBER(IFERROR(SEARCH('PLANILLA DJ'!$X$73,$A30,1),""))</f>
        <v>1</v>
      </c>
      <c r="BY30" s="207">
        <f>--ISNUMBER(IFERROR(SEARCH('PLANILLA DJ'!$X$74,$A30,1),""))</f>
        <v>1</v>
      </c>
      <c r="BZ30" s="207">
        <f>--ISNUMBER(IFERROR(SEARCH('PLANILLA DJ'!$X$75,$A30,1),""))</f>
        <v>1</v>
      </c>
      <c r="CA30" s="207">
        <f>--ISNUMBER(IFERROR(SEARCH('PLANILLA DJ'!$X$76,$A30,1),""))</f>
        <v>1</v>
      </c>
      <c r="CB30" s="207">
        <f>--ISNUMBER(IFERROR(SEARCH('PLANILLA DJ'!$X$77,$A30,1),""))</f>
        <v>1</v>
      </c>
      <c r="CC30" s="207">
        <f>--ISNUMBER(IFERROR(SEARCH('PLANILLA DJ'!$X$78,$A30,1),""))</f>
        <v>1</v>
      </c>
      <c r="CD30" s="207">
        <f>--ISNUMBER(IFERROR(SEARCH('PLANILLA DJ'!$X$79,$A30,1),""))</f>
        <v>1</v>
      </c>
      <c r="CE30" s="207">
        <f>--ISNUMBER(IFERROR(SEARCH('PLANILLA DJ'!$X$80,$A30,1),""))</f>
        <v>1</v>
      </c>
      <c r="CF30" s="207">
        <f>--ISNUMBER(IFERROR(SEARCH('PLANILLA DJ'!$X$81,$A30,1),""))</f>
        <v>1</v>
      </c>
      <c r="CG30" s="207">
        <f>--ISNUMBER(IFERROR(SEARCH('PLANILLA DJ'!$X$82,$A30,1),""))</f>
        <v>1</v>
      </c>
      <c r="CH30" s="207">
        <f>--ISNUMBER(IFERROR(SEARCH('PLANILLA DJ'!$X$83,$A30,1),""))</f>
        <v>1</v>
      </c>
      <c r="CI30" s="207">
        <f>--ISNUMBER(IFERROR(SEARCH('PLANILLA DJ'!$X$84,$A30,1),""))</f>
        <v>1</v>
      </c>
      <c r="CJ30" s="207">
        <f>--ISNUMBER(IFERROR(SEARCH('PLANILLA DJ'!$X$85,$A30,1),""))</f>
        <v>1</v>
      </c>
      <c r="CK30" s="207">
        <f>--ISNUMBER(IFERROR(SEARCH('PLANILLA DJ'!$X$86,$A30,1),""))</f>
        <v>1</v>
      </c>
      <c r="CL30" s="207">
        <f>--ISNUMBER(IFERROR(SEARCH('PLANILLA DJ'!$X$87,$A30,1),""))</f>
        <v>1</v>
      </c>
      <c r="CM30" s="207">
        <f>--ISNUMBER(IFERROR(SEARCH('PLANILLA DJ'!$X$88,$A30,1),""))</f>
        <v>1</v>
      </c>
      <c r="CN30" s="207">
        <f>--ISNUMBER(IFERROR(SEARCH('PLANILLA DJ'!$X$89,$A30,1),""))</f>
        <v>1</v>
      </c>
      <c r="CO30" s="207">
        <f>--ISNUMBER(IFERROR(SEARCH('PLANILLA DJ'!$X$90,$A30,1),""))</f>
        <v>1</v>
      </c>
      <c r="CP30" s="207">
        <f>--ISNUMBER(IFERROR(SEARCH('PLANILLA DJ'!$X$91,$A30,1),""))</f>
        <v>1</v>
      </c>
      <c r="CQ30" s="207">
        <f>--ISNUMBER(IFERROR(SEARCH('PLANILLA DJ'!$X$92,$A30,1),""))</f>
        <v>1</v>
      </c>
      <c r="CR30" s="207">
        <f>--ISNUMBER(IFERROR(SEARCH('PLANILLA DJ'!$X$93,$A30,1),""))</f>
        <v>1</v>
      </c>
      <c r="CS30" s="207">
        <f>--ISNUMBER(IFERROR(SEARCH('PLANILLA DJ'!$X$94,$A30,1),""))</f>
        <v>1</v>
      </c>
      <c r="CT30" s="207">
        <f>--ISNUMBER(IFERROR(SEARCH('PLANILLA DJ'!$X$95,$A30,1),""))</f>
        <v>1</v>
      </c>
      <c r="CU30" s="207">
        <f>--ISNUMBER(IFERROR(SEARCH('PLANILLA DJ'!$X$96,$A30,1),""))</f>
        <v>1</v>
      </c>
      <c r="CV30" s="207">
        <f>--ISNUMBER(IFERROR(SEARCH('PLANILLA DJ'!$X$97,$A30,1),""))</f>
        <v>1</v>
      </c>
      <c r="CW30" s="207">
        <f>--ISNUMBER(IFERROR(SEARCH('PLANILLA DJ'!$X$98,$A30,1),""))</f>
        <v>1</v>
      </c>
      <c r="CX30" s="207">
        <f>--ISNUMBER(IFERROR(SEARCH('PLANILLA DJ'!$X$99,$A30,1),""))</f>
        <v>1</v>
      </c>
      <c r="CY30" s="207">
        <f>--ISNUMBER(IFERROR(SEARCH('PLANILLA DJ'!$X$100,$A30,1),""))</f>
        <v>1</v>
      </c>
      <c r="CZ30" s="207">
        <f>--ISNUMBER(IFERROR(SEARCH('PLANILLA DJ'!$X$101,$A30,1),""))</f>
        <v>1</v>
      </c>
      <c r="DA30" s="207">
        <f>--ISNUMBER(IFERROR(SEARCH('PLANILLA DJ'!$X$102,$A30,1),""))</f>
        <v>1</v>
      </c>
      <c r="DB30" s="206">
        <f>IF(F30=1,COUNTIF($F$2:F30,1),"")</f>
        <v>29</v>
      </c>
      <c r="DC30" s="206">
        <f>IF(G30=1,COUNTIF($G$2:G30,1),"")</f>
        <v>29</v>
      </c>
      <c r="DD30" s="206">
        <f>IF(H30=1,COUNTIF($H$2:H30,1),"")</f>
        <v>29</v>
      </c>
      <c r="DE30" s="206">
        <f>IF(I30=1,COUNTIF($I$2:I30,1),"")</f>
        <v>29</v>
      </c>
      <c r="DF30" s="206">
        <f>IF(J30=1,COUNTIF($J$2:J30,1),"")</f>
        <v>29</v>
      </c>
      <c r="DG30" s="206">
        <f>IF(K30=1,COUNTIF($K$2:K30,1),"")</f>
        <v>29</v>
      </c>
      <c r="DH30" s="206">
        <f>IF(L30=1,COUNTIF($L$2:L30,1),"")</f>
        <v>29</v>
      </c>
      <c r="DI30" s="206">
        <f>IF(M30=1,COUNTIF($M$2:M30,1),"")</f>
        <v>29</v>
      </c>
      <c r="DJ30" s="206">
        <f>IF(N30=1,COUNTIF($N$2:N30,1),"")</f>
        <v>29</v>
      </c>
      <c r="DK30" s="206">
        <f>IF(O30=1,COUNTIF($O$2:O30,1),"")</f>
        <v>29</v>
      </c>
      <c r="DL30" s="206">
        <f>IF(P30=1,COUNTIF($P$2:P30,1),"")</f>
        <v>29</v>
      </c>
      <c r="DM30" s="206">
        <f>IF(Q30=1,COUNTIF($Q$2:Q30,1),"")</f>
        <v>29</v>
      </c>
      <c r="DN30" s="207">
        <f>IF(R30=1,COUNTIF($R$2:R30,1),"")</f>
        <v>29</v>
      </c>
      <c r="DO30" s="207">
        <f>IF(S30=1,COUNTIF($S$2:S30,1),"")</f>
        <v>29</v>
      </c>
      <c r="DP30" s="207">
        <f>IF(T30=1,COUNTIF($T$2:T30,1),"")</f>
        <v>29</v>
      </c>
      <c r="DQ30" s="207">
        <f>IF(U30=1,COUNTIF($U$2:U30,1),"")</f>
        <v>29</v>
      </c>
      <c r="DR30" s="207">
        <f>IF(V30=1,COUNTIF($V$2:V30,1),"")</f>
        <v>29</v>
      </c>
      <c r="DS30" s="207">
        <f>IF(W30=1,COUNTIF($W$2:W30,1),"")</f>
        <v>29</v>
      </c>
      <c r="DT30" s="207">
        <f>IF(X30=1,COUNTIF($X$2:X30,1),"")</f>
        <v>29</v>
      </c>
      <c r="DU30" s="207">
        <f>IF(Y30=1,COUNTIF($Y$2:Y30,1),"")</f>
        <v>29</v>
      </c>
      <c r="DV30" s="207">
        <f>IF(Z30=1,COUNTIF(Z$2:Z30,1),"")</f>
        <v>29</v>
      </c>
      <c r="DW30" s="207">
        <f>IF(AA30=1,COUNTIF($AA$2:AA30,1),"")</f>
        <v>29</v>
      </c>
      <c r="DX30" s="207">
        <f>IF(AB30=1,COUNTIF($AB$2:AB30,1),"")</f>
        <v>29</v>
      </c>
      <c r="DY30" s="207">
        <f>IF(AC30=1,COUNTIF($AC$2:AC30,1),"")</f>
        <v>29</v>
      </c>
      <c r="DZ30" s="207">
        <f>IF(AD30=1,COUNTIF($AD$2:AD30,1),"")</f>
        <v>29</v>
      </c>
      <c r="EA30" s="207">
        <f>IF(AE30=1,COUNTIF($AE$2:AE30,1),"")</f>
        <v>29</v>
      </c>
      <c r="EB30" s="207">
        <f>IF(AF30=1,COUNTIF($AF$2:AF30,1),"")</f>
        <v>29</v>
      </c>
      <c r="EC30" s="207">
        <f>IF(AG30=1,COUNTIF($AG$2:AG30,1),"")</f>
        <v>29</v>
      </c>
      <c r="ED30" s="207">
        <f>IF(AH30=1,COUNTIF($AH$2:AH30,1),"")</f>
        <v>29</v>
      </c>
      <c r="EE30" s="207">
        <f>IF(AI30=1,COUNTIF($AI$2:AI30,1),"")</f>
        <v>29</v>
      </c>
      <c r="EF30" s="207">
        <f>IF(AJ30=1,COUNTIF($AJ$2:AJ30,1),"")</f>
        <v>29</v>
      </c>
      <c r="EG30" s="207">
        <f>IF(AK30=1,COUNTIF($AK$2:AK30,1),"")</f>
        <v>29</v>
      </c>
      <c r="EH30" s="207">
        <f>IF(AL30=1,COUNTIF($AL$2:AL30,1),"")</f>
        <v>29</v>
      </c>
      <c r="EI30" s="207">
        <f>IF(AM30=1,COUNTIF($AM$2:AM30,1),"")</f>
        <v>29</v>
      </c>
      <c r="EJ30" s="207">
        <f>IF(AN30=1,COUNTIF($AN$2:AN30,1),"")</f>
        <v>29</v>
      </c>
      <c r="EK30" s="207">
        <f>IF(AO30=1,COUNTIF($AO$2:AO30,1),"")</f>
        <v>29</v>
      </c>
      <c r="EL30" s="207">
        <f>IF(AP30=1,COUNTIF($AP$2:AP30,1),"")</f>
        <v>29</v>
      </c>
      <c r="EM30" s="207">
        <f>IF(AQ30=1,COUNTIF($AQ$2:AQ30,1),"")</f>
        <v>29</v>
      </c>
      <c r="EN30" s="207">
        <f>IF(AR30=1,COUNTIF($AR$2:AR30,1),"")</f>
        <v>29</v>
      </c>
      <c r="EO30" s="207">
        <f>IF(AS30=1,COUNTIF($AS$2:AS30,1),"")</f>
        <v>29</v>
      </c>
      <c r="EP30" s="207">
        <f>IF(AT30=1,COUNTIF($AT$2:AT30,1),"")</f>
        <v>29</v>
      </c>
      <c r="EQ30" s="207">
        <f>IF(AU30=1,COUNTIF($AU$2:AU30,1),"")</f>
        <v>29</v>
      </c>
      <c r="ER30" s="207">
        <f>IF(AV30=1,COUNTIF($AV$2:AV30,1),"")</f>
        <v>29</v>
      </c>
      <c r="ES30" s="207">
        <f>IF(AW30=1,COUNTIF($AW$2:AW30,1),"")</f>
        <v>29</v>
      </c>
      <c r="ET30" s="207">
        <f>IF(AX30=1,COUNTIF($AX$2:AX30,1),"")</f>
        <v>29</v>
      </c>
      <c r="EU30" s="207">
        <f>IF(AY30=1,COUNTIF($AY$2:AY30,1),"")</f>
        <v>29</v>
      </c>
      <c r="EV30" s="207">
        <f>IF(AZ30=1,COUNTIF($AZ$2:AZ30,1),"")</f>
        <v>29</v>
      </c>
      <c r="EW30" s="207">
        <f>IF(BA30=1,COUNTIF($BA$2:BA30,1),"")</f>
        <v>29</v>
      </c>
      <c r="EX30" s="207">
        <f>IF(BB30=1,COUNTIF($BB$2:BB30,1),"")</f>
        <v>29</v>
      </c>
      <c r="EY30" s="207">
        <f>IF(BC30=1,COUNTIF($BC$2:BC30,1),"")</f>
        <v>29</v>
      </c>
      <c r="EZ30" s="207">
        <f>IF(BD30=1,COUNTIF($BD$2:BD30,1),"")</f>
        <v>29</v>
      </c>
      <c r="FA30" s="207">
        <f>IF(BE30=1,COUNTIF($BE$2:BE30,1),"")</f>
        <v>29</v>
      </c>
      <c r="FB30" s="207">
        <f>IF(BF30=1,COUNTIF($BF$2:BF30,1),"")</f>
        <v>29</v>
      </c>
      <c r="FC30" s="207">
        <f>IF(BG30=1,COUNTIF($BG$2:BG30,1),"")</f>
        <v>29</v>
      </c>
      <c r="FD30" s="207">
        <f>IF(BH30=1,COUNTIF($BH$2:BH30,1),"")</f>
        <v>29</v>
      </c>
      <c r="FE30" s="207">
        <f>IF(BI30=1,COUNTIF($BI$2:BI30,1),"")</f>
        <v>29</v>
      </c>
      <c r="FF30" s="207">
        <f>IF(BJ30=1,COUNTIF($BJ$2:BJ30,1),"")</f>
        <v>29</v>
      </c>
      <c r="FG30" s="207">
        <f>IF(BK30=1,COUNTIF($BK$2:BK30,1),"")</f>
        <v>29</v>
      </c>
      <c r="FH30" s="207">
        <f>IF(BL30=1,COUNTIF($BL$2:BL30,1),"")</f>
        <v>29</v>
      </c>
      <c r="FI30" s="207">
        <f>IF(BM30=1,COUNTIF($BM$2:BM30,1),"")</f>
        <v>29</v>
      </c>
      <c r="FJ30" s="207">
        <f>IF(BN30=1,COUNTIF($BN$2:BN30,1),"")</f>
        <v>29</v>
      </c>
      <c r="FK30" s="207">
        <f>IF(BO30=1,COUNTIF($BO$2:BO30,1),"")</f>
        <v>29</v>
      </c>
      <c r="FL30" s="207">
        <f>IF(BP30=1,COUNTIF($BP$2:BP30,1),"")</f>
        <v>29</v>
      </c>
      <c r="FM30" s="207">
        <f>IF(BQ30=1,COUNTIF($BQ$2:BQ30,1),"")</f>
        <v>29</v>
      </c>
      <c r="FN30" s="207">
        <f>IF(BR30=1,COUNTIF($BR$2:BR30,1),"")</f>
        <v>29</v>
      </c>
      <c r="FO30" s="207">
        <f>IF(BS30=1,COUNTIF($BS$2:BS30,1),"")</f>
        <v>29</v>
      </c>
      <c r="FP30" s="207">
        <f>IF(BT30=1,COUNTIF($BT$2:BT30,1),"")</f>
        <v>29</v>
      </c>
      <c r="FQ30" s="207">
        <f>IF(BU30=1,COUNTIF($BU$2:BU30,1),"")</f>
        <v>29</v>
      </c>
      <c r="FR30" s="207">
        <f>IF(BV30=1,COUNTIF($BV$2:BV30,1),"")</f>
        <v>29</v>
      </c>
      <c r="FS30" s="207">
        <f>IF(BW30=1,COUNTIF($BW$2:BW30,1),"")</f>
        <v>29</v>
      </c>
      <c r="FT30" s="207">
        <f>IF(BX30=1,COUNTIF($BX$2:BX30,1),"")</f>
        <v>29</v>
      </c>
      <c r="FU30" s="207">
        <f>IF(BY30=1,COUNTIF($BY$2:BY30,1),"")</f>
        <v>29</v>
      </c>
      <c r="FV30" s="207">
        <f>IF(BZ30=1,COUNTIF($BZ$2:BZ30,1),"")</f>
        <v>29</v>
      </c>
      <c r="FW30" s="207">
        <f>IF(CA30=1,COUNTIF($CA$2:CA30,1),"")</f>
        <v>29</v>
      </c>
      <c r="FX30" s="207">
        <f>IF(CB30=1,COUNTIF($CB$2:CB30,1),"")</f>
        <v>29</v>
      </c>
      <c r="FY30" s="207">
        <f>IF(CC30=1,COUNTIF($CC$2:CC30,1),"")</f>
        <v>29</v>
      </c>
      <c r="FZ30" s="207">
        <f>IF(CD30=1,COUNTIF($CD$2:CD30,1),"")</f>
        <v>29</v>
      </c>
      <c r="GA30" s="207">
        <f>IF(CE30=1,COUNTIF($CE$2:CE30,1),"")</f>
        <v>29</v>
      </c>
      <c r="GB30" s="207">
        <f>IF(CF30=1,COUNTIF($CF$2:CF30,1),"")</f>
        <v>29</v>
      </c>
      <c r="GC30" s="207">
        <f>IF(CG30=1,COUNTIF($CG$2:CG30,1),"")</f>
        <v>29</v>
      </c>
      <c r="GD30" s="207">
        <f>IF(CH30=1,COUNTIF($CH$2:CH30,1),"")</f>
        <v>29</v>
      </c>
      <c r="GE30" s="207">
        <f>IF(CI30=1,COUNTIF($CI$2:CI30,1),"")</f>
        <v>29</v>
      </c>
      <c r="GF30" s="207">
        <f>IF(CJ30=1,COUNTIF($CJ$2:CJ30,1),"")</f>
        <v>29</v>
      </c>
      <c r="GG30" s="207">
        <f>IF(CK30=1,COUNTIF($CK$2:CK30,1),"")</f>
        <v>29</v>
      </c>
      <c r="GH30" s="207">
        <f>IF(CL30=1,COUNTIF($CL$2:CL30,1),"")</f>
        <v>29</v>
      </c>
      <c r="GI30" s="207">
        <f>IF(CM30=1,COUNTIF($CM$2:CM30,1),"")</f>
        <v>29</v>
      </c>
      <c r="GJ30" s="207">
        <f>IF(CN30=1,COUNTIF($CN$2:CN30,1),"")</f>
        <v>29</v>
      </c>
      <c r="GK30" s="207">
        <f>IF(CO30=1,COUNTIF($CO$2:CO30,1),"")</f>
        <v>29</v>
      </c>
      <c r="GL30" s="207">
        <f>IF(CP30=1,COUNTIF($CP$2:CP30,1),"")</f>
        <v>29</v>
      </c>
      <c r="GM30" s="207">
        <f>IF(CQ30=1,COUNTIF($CQ$2:CQ30,1),"")</f>
        <v>29</v>
      </c>
      <c r="GN30" s="207">
        <f>IF(CR30=1,COUNTIF($CR$2:CR30,1),"")</f>
        <v>29</v>
      </c>
      <c r="GO30" s="207">
        <f>IF(CS30=1,COUNTIF($CS$2:CS30,1),"")</f>
        <v>29</v>
      </c>
      <c r="GP30" s="207">
        <f>IF(CT30=1,COUNTIF($CT$2:CT30,1),"")</f>
        <v>29</v>
      </c>
      <c r="GQ30" s="207">
        <f>IF(CU30=1,COUNTIF($CU$2:CU30,1),"")</f>
        <v>29</v>
      </c>
      <c r="GR30" s="207">
        <f>IF(CV30=1,COUNTIF($CV$2:CV30,1),"")</f>
        <v>29</v>
      </c>
      <c r="GS30" s="207">
        <f>IF(CW30=1,COUNTIF($CW$2:CW30,1),"")</f>
        <v>29</v>
      </c>
      <c r="GT30" s="207">
        <f>IF(CX30=1,COUNTIF($CX$2:CX30,1),"")</f>
        <v>29</v>
      </c>
      <c r="GU30" s="207">
        <f>IF(CY30=1,COUNTIF($CY$2:CY30,1),"")</f>
        <v>29</v>
      </c>
      <c r="GV30" s="207">
        <f>IF(CZ30=1,COUNTIF($CZ$2:CZ30,1),"")</f>
        <v>29</v>
      </c>
      <c r="GW30" s="207">
        <f>IF(DA30=1,COUNTIF($DA$2:DA30,1),"")</f>
        <v>29</v>
      </c>
      <c r="GX30" s="206" t="str">
        <f>IFERROR(INDEX($A$2:$A$113,MATCH(ROWS($DB$2:DB30),$DB$2:$DB$113,0)),"")</f>
        <v>PRIVACION ILEGITIMA DE LIBERTAD AGRAVADO</v>
      </c>
      <c r="GY30" s="206" t="str">
        <f>IFERROR(INDEX($A$2:$A$113,MATCH(ROWS($DC$2:DC30),$DC$2:$DC$113,0)),"")</f>
        <v>PRIVACION ILEGITIMA DE LIBERTAD AGRAVADO</v>
      </c>
      <c r="GZ30" s="206" t="str">
        <f>IFERROR(INDEX($A$2:$A$113,MATCH(ROWS($DD$2:DD30),$DD$2:$DD$113,0)),"")</f>
        <v>PRIVACION ILEGITIMA DE LIBERTAD AGRAVADO</v>
      </c>
      <c r="HA30" s="206" t="str">
        <f>IFERROR(INDEX($A$2:$A$113,MATCH(ROWS($DE$2:DE30),$DE$2:$DE$113,0)),"")</f>
        <v>PRIVACION ILEGITIMA DE LIBERTAD AGRAVADO</v>
      </c>
      <c r="HB30" s="206" t="str">
        <f>IFERROR(INDEX($A$2:$A$113,MATCH(ROWS($DF$2:DF30),$DF$2:$DF$113,0)),"")</f>
        <v>PRIVACION ILEGITIMA DE LIBERTAD AGRAVADO</v>
      </c>
      <c r="HC30" s="206" t="str">
        <f>IFERROR(INDEX($A$2:$A$113,MATCH(ROWS($DG$2:DG30),$DG$2:$DG$113,0)),"")</f>
        <v>PRIVACION ILEGITIMA DE LIBERTAD AGRAVADO</v>
      </c>
      <c r="HD30" s="206" t="str">
        <f>IFERROR(INDEX($A$2:$A$113,MATCH(ROWS($DH$2:DH30),$DH$2:$DH$113,0)),"")</f>
        <v>PRIVACION ILEGITIMA DE LIBERTAD AGRAVADO</v>
      </c>
      <c r="HE30" s="206" t="str">
        <f>IFERROR(INDEX($A$2:$A$113,MATCH(ROWS($DI$2:DI30),$DI$2:$DI$113,0)),"")</f>
        <v>PRIVACION ILEGITIMA DE LIBERTAD AGRAVADO</v>
      </c>
      <c r="HF30" s="206" t="str">
        <f>IFERROR(INDEX($A$2:$A$113,MATCH(ROWS($DJ$2:DJ30),$DJ$2:$DJ$113,0)),"")</f>
        <v>PRIVACION ILEGITIMA DE LIBERTAD AGRAVADO</v>
      </c>
      <c r="HG30" s="206" t="str">
        <f>IFERROR(INDEX($A$2:$A$113,MATCH(ROWS($DK$2:DK30),$DK$2:$DK$113,0)),"")</f>
        <v>PRIVACION ILEGITIMA DE LIBERTAD AGRAVADO</v>
      </c>
      <c r="HH30" s="206" t="str">
        <f>IFERROR(INDEX($A$2:$A$113,MATCH(ROWS($DL$2:DL30),$DL$2:$DL$113,0)),"")</f>
        <v>PRIVACION ILEGITIMA DE LIBERTAD AGRAVADO</v>
      </c>
      <c r="HI30" s="206" t="str">
        <f>IFERROR(INDEX($A$2:$A$113,MATCH(ROWS($DM$2:DM30),$DM$2:$DM$113,0)),"")</f>
        <v>PRIVACION ILEGITIMA DE LIBERTAD AGRAVADO</v>
      </c>
      <c r="HJ30" s="206" t="str">
        <f>IFERROR(INDEX($A$2:$A$113,MATCH(ROWS($DN$2:DN30),$DN$2:$DN$113,0)),"")</f>
        <v>PRIVACION ILEGITIMA DE LIBERTAD AGRAVADO</v>
      </c>
      <c r="HK30" s="206" t="str">
        <f>IFERROR(INDEX($A$2:$A$113,MATCH(ROWS($DO$2:DO30),$DO$2:$DO$113,0)),"")</f>
        <v>PRIVACION ILEGITIMA DE LIBERTAD AGRAVADO</v>
      </c>
      <c r="HL30" s="206" t="str">
        <f>IFERROR(INDEX($A$2:$A$113,MATCH(ROWS($DP$2:DP30),$DP$2:$DP$113,0)),"")</f>
        <v>PRIVACION ILEGITIMA DE LIBERTAD AGRAVADO</v>
      </c>
      <c r="HM30" s="206" t="str">
        <f>IFERROR(INDEX($A$2:$A$113,MATCH(ROWS($DQ$2:DQ30),$DQ$2:$DQ$113,0)),"")</f>
        <v>PRIVACION ILEGITIMA DE LIBERTAD AGRAVADO</v>
      </c>
      <c r="HN30" s="206" t="str">
        <f>IFERROR(INDEX($A$2:$A$113,MATCH(ROWS($DR$2:DR30),$DR$2:$DR$113,0)),"")</f>
        <v>PRIVACION ILEGITIMA DE LIBERTAD AGRAVADO</v>
      </c>
      <c r="HO30" s="206" t="str">
        <f>IFERROR(INDEX($A$2:$A$113,MATCH(ROWS($DS$2:DS30),$DS$2:$DS$113,0)),"")</f>
        <v>PRIVACION ILEGITIMA DE LIBERTAD AGRAVADO</v>
      </c>
      <c r="HP30" s="206" t="str">
        <f>IFERROR(INDEX($A$2:$A$113,MATCH(ROWS($DT$2:DT30),$DT$2:$DT$113,0)),"")</f>
        <v>PRIVACION ILEGITIMA DE LIBERTAD AGRAVADO</v>
      </c>
      <c r="HQ30" s="206" t="str">
        <f>IFERROR(INDEX($A$2:$A$113,MATCH(ROWS($DU$2:DU30),$DU$2:$DU$113,0)),"")</f>
        <v>PRIVACION ILEGITIMA DE LIBERTAD AGRAVADO</v>
      </c>
      <c r="HR30" s="206" t="str">
        <f>IFERROR(INDEX($A$2:$A$113,MATCH(ROWS($DV$2:DV30),$DV$2:$DV$113,0)),"")</f>
        <v>PRIVACION ILEGITIMA DE LIBERTAD AGRAVADO</v>
      </c>
      <c r="HS30" s="206" t="str">
        <f>IFERROR(INDEX($A$2:$A$113,MATCH(ROWS($DW$2:DW30),$DW$2:$DW$113,0)),"")</f>
        <v>PRIVACION ILEGITIMA DE LIBERTAD AGRAVADO</v>
      </c>
      <c r="HT30" s="206" t="str">
        <f>IFERROR(INDEX($A$2:$A$113,MATCH(ROWS($DX$2:DX30),$DX$2:$DX$113,0)),"")</f>
        <v>PRIVACION ILEGITIMA DE LIBERTAD AGRAVADO</v>
      </c>
      <c r="HU30" s="206" t="str">
        <f>IFERROR(INDEX($A$2:$A$113,MATCH(ROWS($DY$2:DY30),$DY$2:$DY$113,0)),"")</f>
        <v>PRIVACION ILEGITIMA DE LIBERTAD AGRAVADO</v>
      </c>
      <c r="HV30" s="206" t="str">
        <f>IFERROR(INDEX($A$2:$A$113,MATCH(ROWS($DZ$2:DZ30),$DZ$2:$DZ$113,0)),"")</f>
        <v>PRIVACION ILEGITIMA DE LIBERTAD AGRAVADO</v>
      </c>
      <c r="HW30" s="206" t="str">
        <f>IFERROR(INDEX($A$2:$A$113,MATCH(ROWS($EA$2:EA30),$EA$2:$EA$113,0)),"")</f>
        <v>PRIVACION ILEGITIMA DE LIBERTAD AGRAVADO</v>
      </c>
      <c r="HX30" s="206" t="str">
        <f>IFERROR(INDEX($A$2:$A$113,MATCH(ROWS($EB$2:EB30),$EB$2:$EB$113,0)),"")</f>
        <v>PRIVACION ILEGITIMA DE LIBERTAD AGRAVADO</v>
      </c>
      <c r="HY30" s="206" t="str">
        <f>IFERROR(INDEX($A$2:$A$113,MATCH(ROWS($EC$2:EC30),$EC$2:$EC$113,0)),"")</f>
        <v>PRIVACION ILEGITIMA DE LIBERTAD AGRAVADO</v>
      </c>
      <c r="HZ30" s="206" t="str">
        <f>IFERROR(INDEX($A$2:$A$113,MATCH(ROWS($ED$2:ED30),$ED$2:$ED$113,0)),"")</f>
        <v>PRIVACION ILEGITIMA DE LIBERTAD AGRAVADO</v>
      </c>
      <c r="IA30" s="206" t="str">
        <f>IFERROR(INDEX($A$2:$A$113,MATCH(ROWS($EE$2:EE30),$EE$2:$EE$113,0)),"")</f>
        <v>PRIVACION ILEGITIMA DE LIBERTAD AGRAVADO</v>
      </c>
      <c r="IB30" s="206" t="str">
        <f>IFERROR(INDEX($A$2:$A$113,MATCH(ROWS($EF$2:EF30),$EF$2:$EF$113,0)),"")</f>
        <v>PRIVACION ILEGITIMA DE LIBERTAD AGRAVADO</v>
      </c>
      <c r="IC30" s="206" t="str">
        <f>IFERROR(INDEX($A$2:$A$113,MATCH(ROWS($EG$2:EG30),$EG$2:$EG$113,0)),"")</f>
        <v>PRIVACION ILEGITIMA DE LIBERTAD AGRAVADO</v>
      </c>
      <c r="ID30" s="206" t="str">
        <f>IFERROR(INDEX($A$2:$A$113,MATCH(ROWS($EH$2:EH30),$EH$2:$EH$113,0)),"")</f>
        <v>PRIVACION ILEGITIMA DE LIBERTAD AGRAVADO</v>
      </c>
      <c r="IE30" s="206" t="str">
        <f>IFERROR(INDEX($A$2:$A$113,MATCH(ROWS($EI$2:EI30),$EI$2:$EI$113,0)),"")</f>
        <v>PRIVACION ILEGITIMA DE LIBERTAD AGRAVADO</v>
      </c>
      <c r="IF30" s="206" t="str">
        <f>IFERROR(INDEX($A$2:$A$113,MATCH(ROWS($EJ$2:EJ30),$EJ$2:$EJ$113,0)),"")</f>
        <v>PRIVACION ILEGITIMA DE LIBERTAD AGRAVADO</v>
      </c>
      <c r="IG30" s="206" t="str">
        <f>IFERROR(INDEX($A$2:$A$113,MATCH(ROWS($EK$2:EK30),$EK$2:$EK$113,0)),"")</f>
        <v>PRIVACION ILEGITIMA DE LIBERTAD AGRAVADO</v>
      </c>
      <c r="IH30" s="206" t="str">
        <f>IFERROR(INDEX($A$2:$A$113,MATCH(ROWS($EL$2:EL30),$EL$2:$EL$113,0)),"")</f>
        <v>PRIVACION ILEGITIMA DE LIBERTAD AGRAVADO</v>
      </c>
      <c r="II30" s="206" t="str">
        <f>IFERROR(INDEX($A$2:$A$113,MATCH(ROWS($EM$2:EM30),$EM$2:$EM$113,0)),"")</f>
        <v>PRIVACION ILEGITIMA DE LIBERTAD AGRAVADO</v>
      </c>
      <c r="IJ30" s="206" t="str">
        <f>IFERROR(INDEX($A$2:$A$113,MATCH(ROWS($EN$2:EN30),$EN$2:$EN$113,0)),"")</f>
        <v>PRIVACION ILEGITIMA DE LIBERTAD AGRAVADO</v>
      </c>
      <c r="IK30" s="207" t="str">
        <f>IFERROR(INDEX($A$2:$A$113,MATCH(ROWS($EO$2:EO30),$EO$2:$EO$113,0)),"")</f>
        <v>PRIVACION ILEGITIMA DE LIBERTAD AGRAVADO</v>
      </c>
      <c r="IL30" s="207" t="str">
        <f>IFERROR(INDEX($A$2:$A$113,MATCH(ROWS($EP$2:EP30),$EP$2:$EP$113,0)),"")</f>
        <v>PRIVACION ILEGITIMA DE LIBERTAD AGRAVADO</v>
      </c>
      <c r="IM30" s="207" t="str">
        <f>IFERROR(INDEX($A$2:$A$113,MATCH(ROWS($EQ$2:EQ30),$EQ$2:$EQ$113,0)),"")</f>
        <v>PRIVACION ILEGITIMA DE LIBERTAD AGRAVADO</v>
      </c>
      <c r="IN30" s="207" t="str">
        <f>IFERROR(INDEX($A$2:$A$113,MATCH(ROWS($ER$2:ER30),$ER$2:$ER$113,0)),"")</f>
        <v>PRIVACION ILEGITIMA DE LIBERTAD AGRAVADO</v>
      </c>
      <c r="IO30" s="207" t="str">
        <f>IFERROR(INDEX($A$2:$A$113,MATCH(ROWS($ES$2:ES30),$ES$2:$ES$113,0)),"")</f>
        <v>PRIVACION ILEGITIMA DE LIBERTAD AGRAVADO</v>
      </c>
      <c r="IP30" s="207" t="str">
        <f>IFERROR(INDEX($A$2:$A$113,MATCH(ROWS($ET$2:ET30),$ET$2:$ET$113,0)),"")</f>
        <v>PRIVACION ILEGITIMA DE LIBERTAD AGRAVADO</v>
      </c>
      <c r="IQ30" s="207" t="str">
        <f>IFERROR(INDEX($A$2:$A$113,MATCH(ROWS($EU$2:EU30),$EU$2:$EU$113,0)),"")</f>
        <v>PRIVACION ILEGITIMA DE LIBERTAD AGRAVADO</v>
      </c>
      <c r="IR30" s="207" t="str">
        <f>IFERROR(INDEX($A$2:$A$113,MATCH(ROWS($EV$2:EV30),$EV$2:$EV$113,0)),"")</f>
        <v>PRIVACION ILEGITIMA DE LIBERTAD AGRAVADO</v>
      </c>
      <c r="IS30" s="207" t="str">
        <f>IFERROR(INDEX($A$2:$A$113,MATCH(ROWS($EW$2:EW30),$EW$2:$EW$113,0)),"")</f>
        <v>PRIVACION ILEGITIMA DE LIBERTAD AGRAVADO</v>
      </c>
      <c r="IT30" s="207" t="str">
        <f>IFERROR(INDEX($A$2:$A$113,MATCH(ROWS($EX$2:EX30),$EX$2:$EX$113,0)),"")</f>
        <v>PRIVACION ILEGITIMA DE LIBERTAD AGRAVADO</v>
      </c>
      <c r="IU30" s="207" t="str">
        <f>IFERROR(INDEX($A$2:$A$113,MATCH(ROWS($EY$2:EY30),$EY$2:$EY$113,0)),"")</f>
        <v>PRIVACION ILEGITIMA DE LIBERTAD AGRAVADO</v>
      </c>
      <c r="IV30" s="207" t="str">
        <f>IFERROR(INDEX($A$2:$A$113,MATCH(ROWS($EZ$2:EZ30),$EZ$2:$EZ$113,0)),"")</f>
        <v>PRIVACION ILEGITIMA DE LIBERTAD AGRAVADO</v>
      </c>
      <c r="IW30" s="207" t="str">
        <f>IFERROR(INDEX($A$2:$A$113,MATCH(ROWS($FA$2:FA30),$FA$2:$FA$113,0)),"")</f>
        <v>PRIVACION ILEGITIMA DE LIBERTAD AGRAVADO</v>
      </c>
      <c r="IX30" s="207" t="str">
        <f>IFERROR(INDEX($A$2:$A$113,MATCH(ROWS($FB$2:FB30),$FB$2:$FB$113,0)),"")</f>
        <v>PRIVACION ILEGITIMA DE LIBERTAD AGRAVADO</v>
      </c>
      <c r="IY30" s="207" t="str">
        <f>IFERROR(INDEX($A$2:$A$113,MATCH(ROWS($FC$2:FC30),$FC$2:$FC$113,0)),"")</f>
        <v>PRIVACION ILEGITIMA DE LIBERTAD AGRAVADO</v>
      </c>
      <c r="IZ30" s="207" t="str">
        <f>IFERROR(INDEX($A$2:$A$113,MATCH(ROWS($FD$2:FD30),$FD$2:$FD$113,0)),"")</f>
        <v>PRIVACION ILEGITIMA DE LIBERTAD AGRAVADO</v>
      </c>
      <c r="JA30" s="207" t="str">
        <f>IFERROR(INDEX($A$2:$A$113,MATCH(ROWS($FE$2:FE30),$FE$2:$FE$113,0)),"")</f>
        <v>PRIVACION ILEGITIMA DE LIBERTAD AGRAVADO</v>
      </c>
      <c r="JB30" s="207" t="str">
        <f>IFERROR(INDEX($A$2:$A$113,MATCH(ROWS($FF$2:FF30),$FF$2:$FF$113,0)),"")</f>
        <v>PRIVACION ILEGITIMA DE LIBERTAD AGRAVADO</v>
      </c>
      <c r="JC30" s="207" t="str">
        <f>IFERROR(INDEX($A$2:$A$113,MATCH(ROWS($FG$2:FG30),$FG$2:$FG$113,0)),"")</f>
        <v>PRIVACION ILEGITIMA DE LIBERTAD AGRAVADO</v>
      </c>
      <c r="JD30" s="207" t="str">
        <f>IFERROR(INDEX($A$2:$A$113,MATCH(ROWS($FH$2:FH30),$FH$2:$FH$113,0)),"")</f>
        <v>PRIVACION ILEGITIMA DE LIBERTAD AGRAVADO</v>
      </c>
      <c r="JE30" s="207" t="str">
        <f>IFERROR(INDEX($A$2:$A$113,MATCH(ROWS($FI$2:FI30),$FI$2:$FI$113,0)),"")</f>
        <v>PRIVACION ILEGITIMA DE LIBERTAD AGRAVADO</v>
      </c>
      <c r="JF30" s="207" t="str">
        <f>IFERROR(INDEX($A$2:$A$113,MATCH(ROWS($FJ$2:FJ30),$FJ$2:$FJ$113,0)),"")</f>
        <v>PRIVACION ILEGITIMA DE LIBERTAD AGRAVADO</v>
      </c>
      <c r="JG30" s="207" t="str">
        <f>IFERROR(INDEX($A$2:$A$113,MATCH(ROWS($FK$2:FK30),$FK$2:$FK$113,0)),"")</f>
        <v>PRIVACION ILEGITIMA DE LIBERTAD AGRAVADO</v>
      </c>
      <c r="JH30" s="207" t="str">
        <f>IFERROR(INDEX($A$2:$A$113,MATCH(ROWS($FL$2:FL30),$FL$2:$FL$113,0)),"")</f>
        <v>PRIVACION ILEGITIMA DE LIBERTAD AGRAVADO</v>
      </c>
      <c r="JI30" s="207" t="str">
        <f>IFERROR(INDEX($A$2:$A$113,MATCH(ROWS($FM$2:FM30),$FM$2:$FM$113,0)),"")</f>
        <v>PRIVACION ILEGITIMA DE LIBERTAD AGRAVADO</v>
      </c>
      <c r="JJ30" s="207" t="str">
        <f>IFERROR(INDEX($A$2:$A$113,MATCH(ROWS($FN$2:FN30),$FN$2:$FN$113,0)),"")</f>
        <v>PRIVACION ILEGITIMA DE LIBERTAD AGRAVADO</v>
      </c>
      <c r="JK30" s="207" t="str">
        <f>IFERROR(INDEX($A$2:$A$113,MATCH(ROWS($FO$2:FO30),$FO$2:$FO$113,0)),"")</f>
        <v>PRIVACION ILEGITIMA DE LIBERTAD AGRAVADO</v>
      </c>
      <c r="JL30" s="207" t="str">
        <f>IFERROR(INDEX($A$2:$A$113,MATCH(ROWS($FP$2:FP30),$FP$2:$FP$113,0)),"")</f>
        <v>PRIVACION ILEGITIMA DE LIBERTAD AGRAVADO</v>
      </c>
      <c r="JM30" s="207" t="str">
        <f>IFERROR(INDEX($A$2:$A$113,MATCH(ROWS($FQ$2:FQ30),$FQ$2:$FQ$113,0)),"")</f>
        <v>PRIVACION ILEGITIMA DE LIBERTAD AGRAVADO</v>
      </c>
      <c r="JN30" s="207" t="str">
        <f>IFERROR(INDEX($A$2:$A$113,MATCH(ROWS($FR$2:FR30),$FR$2:$FR$113,0)),"")</f>
        <v>PRIVACION ILEGITIMA DE LIBERTAD AGRAVADO</v>
      </c>
      <c r="JO30" s="207" t="str">
        <f>IFERROR(INDEX($A$2:$A$113,MATCH(ROWS($FS$2:FS30),$FS$2:$FS$113,0)),"")</f>
        <v>PRIVACION ILEGITIMA DE LIBERTAD AGRAVADO</v>
      </c>
      <c r="JP30" s="207" t="str">
        <f>IFERROR(INDEX($A$2:$A$113,MATCH(ROWS($FT$2:FT30),$FT$2:$FT$113,0)),"")</f>
        <v>PRIVACION ILEGITIMA DE LIBERTAD AGRAVADO</v>
      </c>
      <c r="JQ30" s="207" t="str">
        <f>IFERROR(INDEX($A$2:$A$113,MATCH(ROWS($FU$2:FU30),$FU$2:$FU$113,0)),"")</f>
        <v>PRIVACION ILEGITIMA DE LIBERTAD AGRAVADO</v>
      </c>
      <c r="JR30" s="207" t="str">
        <f>IFERROR(INDEX($A$2:$A$113,MATCH(ROWS($FV$2:FV30),$FV$2:$FV$113,0)),"")</f>
        <v>PRIVACION ILEGITIMA DE LIBERTAD AGRAVADO</v>
      </c>
      <c r="JS30" s="207" t="str">
        <f>IFERROR(INDEX($A$2:$A$113,MATCH(ROWS($FW$2:FW30),$FW$2:$FW$113,0)),"")</f>
        <v>PRIVACION ILEGITIMA DE LIBERTAD AGRAVADO</v>
      </c>
      <c r="JT30" s="207" t="str">
        <f>IFERROR(INDEX($A$2:$A$113,MATCH(ROWS($FX$2:FX30),$FX$2:$FX$113,0)),"")</f>
        <v>PRIVACION ILEGITIMA DE LIBERTAD AGRAVADO</v>
      </c>
      <c r="JU30" s="207" t="str">
        <f>IFERROR(INDEX($A$2:$A$113,MATCH(ROWS($FY$2:FY30),$FY$2:$FY$113,0)),"")</f>
        <v>PRIVACION ILEGITIMA DE LIBERTAD AGRAVADO</v>
      </c>
      <c r="JV30" s="207" t="str">
        <f>IFERROR(INDEX($A$2:$A$113,MATCH(ROWS($FZ$2:FZ30),$FZ$2:$FZ$113,0)),"")</f>
        <v>PRIVACION ILEGITIMA DE LIBERTAD AGRAVADO</v>
      </c>
      <c r="JW30" s="207" t="str">
        <f>IFERROR(INDEX($A$2:$A$113,MATCH(ROWS($GA$2:GA30),$GA$2:$GA$113,0)),"")</f>
        <v>PRIVACION ILEGITIMA DE LIBERTAD AGRAVADO</v>
      </c>
      <c r="JX30" s="207" t="str">
        <f>IFERROR(INDEX($A$2:$A$113,MATCH(ROWS($GB$2:GB30),$GB$2:$GB$113,0)),"")</f>
        <v>PRIVACION ILEGITIMA DE LIBERTAD AGRAVADO</v>
      </c>
      <c r="JY30" s="207" t="str">
        <f>IFERROR(INDEX($A$2:$A$113,MATCH(ROWS($GC$2:GC30),$GC$2:$GC$113,0)),"")</f>
        <v>PRIVACION ILEGITIMA DE LIBERTAD AGRAVADO</v>
      </c>
      <c r="JZ30" s="207" t="str">
        <f>IFERROR(INDEX($A$2:$A$113,MATCH(ROWS($GD$2:GD30),$GD$2:$GD$113,0)),"")</f>
        <v>PRIVACION ILEGITIMA DE LIBERTAD AGRAVADO</v>
      </c>
      <c r="KA30" s="207" t="str">
        <f>IFERROR(INDEX($A$2:$A$113,MATCH(ROWS($GE$2:GE30),$GE$2:$GE$113,0)),"")</f>
        <v>PRIVACION ILEGITIMA DE LIBERTAD AGRAVADO</v>
      </c>
      <c r="KB30" s="207" t="str">
        <f>IFERROR(INDEX($A$2:$A$113,MATCH(ROWS($GF$2:GF30),$GF$2:$GF$113,0)),"")</f>
        <v>PRIVACION ILEGITIMA DE LIBERTAD AGRAVADO</v>
      </c>
      <c r="KC30" s="207" t="str">
        <f>IFERROR(INDEX($A$2:$A$113,MATCH(ROWS($GG$2:GG30),$GG$2:$GG$113,0)),"")</f>
        <v>PRIVACION ILEGITIMA DE LIBERTAD AGRAVADO</v>
      </c>
      <c r="KD30" s="207" t="str">
        <f>IFERROR(INDEX($A$2:$A$113,MATCH(ROWS($GH$2:GH30),$GH$2:$GH$113,0)),"")</f>
        <v>PRIVACION ILEGITIMA DE LIBERTAD AGRAVADO</v>
      </c>
      <c r="KE30" s="207" t="str">
        <f>IFERROR(INDEX($A$2:$A$113,MATCH(ROWS($GI$2:GI30),$GI$2:$GI$113,0)),"")</f>
        <v>PRIVACION ILEGITIMA DE LIBERTAD AGRAVADO</v>
      </c>
      <c r="KF30" s="207" t="str">
        <f>IFERROR(INDEX($A$2:$A$113,MATCH(ROWS($GJ$2:GJ30),$GJ$2:$GJ$113,0)),"")</f>
        <v>PRIVACION ILEGITIMA DE LIBERTAD AGRAVADO</v>
      </c>
      <c r="KG30" s="207" t="str">
        <f>IFERROR(INDEX($A$2:$A$113,MATCH(ROWS($GK$2:GK30),$GK$2:$GK$113,0)),"")</f>
        <v>PRIVACION ILEGITIMA DE LIBERTAD AGRAVADO</v>
      </c>
      <c r="KH30" s="207" t="str">
        <f>IFERROR(INDEX($A$2:$A$113,MATCH(ROWS($GL$2:GL30),$GL$2:$GL$113,0)),"")</f>
        <v>PRIVACION ILEGITIMA DE LIBERTAD AGRAVADO</v>
      </c>
      <c r="KI30" s="207" t="str">
        <f>IFERROR(INDEX($A$2:$A$113,MATCH(ROWS($GM$2:GM30),$GM$2:$GM$113,0)),"")</f>
        <v>PRIVACION ILEGITIMA DE LIBERTAD AGRAVADO</v>
      </c>
      <c r="KJ30" s="207" t="str">
        <f>IFERROR(INDEX($A$2:$A$113,MATCH(ROWS($GN$2:GN30),$GN$2:$GN$113,0)),"")</f>
        <v>PRIVACION ILEGITIMA DE LIBERTAD AGRAVADO</v>
      </c>
      <c r="KK30" s="207" t="str">
        <f>IFERROR(INDEX($A$2:$A$113,MATCH(ROWS($GO$2:GO30),$GO$2:$GO$113,0)),"")</f>
        <v>PRIVACION ILEGITIMA DE LIBERTAD AGRAVADO</v>
      </c>
      <c r="KL30" s="207" t="str">
        <f>IFERROR(INDEX($A$2:$A$113,MATCH(ROWS($GP$2:GP30),$GP$2:$GP$113,0)),"")</f>
        <v>PRIVACION ILEGITIMA DE LIBERTAD AGRAVADO</v>
      </c>
      <c r="KM30" s="207" t="str">
        <f>IFERROR(INDEX($A$2:$A$113,MATCH(ROWS($GQ$2:GQ30),$GQ$2:$GQ$113,0)),"")</f>
        <v>PRIVACION ILEGITIMA DE LIBERTAD AGRAVADO</v>
      </c>
      <c r="KN30" s="207" t="str">
        <f>IFERROR(INDEX($A$2:$A$113,MATCH(ROWS($GR$2:GR30),$GR$2:$GR$113,0)),"")</f>
        <v>PRIVACION ILEGITIMA DE LIBERTAD AGRAVADO</v>
      </c>
      <c r="KO30" s="207" t="str">
        <f>IFERROR(INDEX($A$2:$A$113,MATCH(ROWS($GS$2:GS30),$GS$2:$GS$113,0)),"")</f>
        <v>PRIVACION ILEGITIMA DE LIBERTAD AGRAVADO</v>
      </c>
      <c r="KP30" s="207" t="str">
        <f>IFERROR(INDEX($A$2:$A$113,MATCH(ROWS($GT$2:GT30),$GT$2:$GT$113,0)),"")</f>
        <v>PRIVACION ILEGITIMA DE LIBERTAD AGRAVADO</v>
      </c>
      <c r="KQ30" s="207" t="str">
        <f>IFERROR(INDEX($A$2:$A$113,MATCH(ROWS($GU$2:GU30),$GU$2:$GU$113,0)),"")</f>
        <v>PRIVACION ILEGITIMA DE LIBERTAD AGRAVADO</v>
      </c>
      <c r="KR30" s="207" t="str">
        <f>IFERROR(INDEX($A$2:$A$113,MATCH(ROWS($GV$2:GV30),$GV$2:$GV$113,0)),"")</f>
        <v>PRIVACION ILEGITIMA DE LIBERTAD AGRAVADO</v>
      </c>
      <c r="KS30" s="207" t="str">
        <f>IFERROR(INDEX($A$2:$A$113,MATCH(ROWS($GW$2:GW30),$GW$2:$GW$113,0)),"")</f>
        <v>PRIVACION ILEGITIMA DE LIBERTAD AGRAVADO</v>
      </c>
    </row>
    <row r="31" spans="1:305" x14ac:dyDescent="0.25">
      <c r="A31" s="206" t="s">
        <v>918</v>
      </c>
      <c r="B31" s="206" t="s">
        <v>75</v>
      </c>
      <c r="D31" s="206" t="s">
        <v>791</v>
      </c>
      <c r="E31" s="206" t="s">
        <v>76</v>
      </c>
      <c r="F31" s="207">
        <f>--ISNUMBER(IFERROR(SEARCH('PLANILLA DJ'!$X$3,$A31,1),""))</f>
        <v>1</v>
      </c>
      <c r="G31" s="207">
        <f>--ISNUMBER(IFERROR(SEARCH('PLANILLA DJ'!$X$4,$A31,1),""))</f>
        <v>1</v>
      </c>
      <c r="H31" s="207">
        <f>--ISNUMBER(IFERROR(SEARCH('PLANILLA DJ'!$X$5,$A31,1),""))</f>
        <v>1</v>
      </c>
      <c r="I31" s="207">
        <f>--ISNUMBER(IFERROR(SEARCH('PLANILLA DJ'!$X$6,$A31,1),""))</f>
        <v>1</v>
      </c>
      <c r="J31" s="207">
        <f>--ISNUMBER(IFERROR(SEARCH('PLANILLA DJ'!$X$7,$A31,1),""))</f>
        <v>1</v>
      </c>
      <c r="K31" s="207">
        <f>--ISNUMBER(IFERROR(SEARCH('PLANILLA DJ'!$X$8,$A31,1),""))</f>
        <v>1</v>
      </c>
      <c r="L31" s="207">
        <f>--ISNUMBER(IFERROR(SEARCH('PLANILLA DJ'!$X$9,$A31,1),""))</f>
        <v>1</v>
      </c>
      <c r="M31" s="207">
        <f>--ISNUMBER(IFERROR(SEARCH('PLANILLA DJ'!$X$10,$A31,1),""))</f>
        <v>1</v>
      </c>
      <c r="N31" s="207">
        <f>--ISNUMBER(IFERROR(SEARCH('PLANILLA DJ'!$X$11,$A31,1),""))</f>
        <v>1</v>
      </c>
      <c r="O31" s="207">
        <f>--ISNUMBER(IFERROR(SEARCH('PLANILLA DJ'!$X$12,$A31,1),""))</f>
        <v>1</v>
      </c>
      <c r="P31" s="207">
        <f>--ISNUMBER(IFERROR(SEARCH('PLANILLA DJ'!$X$13,$A31,1),""))</f>
        <v>1</v>
      </c>
      <c r="Q31" s="207">
        <f>--ISNUMBER(IFERROR(SEARCH('PLANILLA DJ'!$X$14,$A31,1),""))</f>
        <v>1</v>
      </c>
      <c r="R31" s="207">
        <f>--ISNUMBER(IFERROR(SEARCH('PLANILLA DJ'!$X$15,$A31,1),""))</f>
        <v>1</v>
      </c>
      <c r="S31" s="207">
        <f>--ISNUMBER(IFERROR(SEARCH('PLANILLA DJ'!$X$16,$A31,1),""))</f>
        <v>1</v>
      </c>
      <c r="T31" s="207">
        <f>--ISNUMBER(IFERROR(SEARCH('PLANILLA DJ'!$X$17,$A31,1),""))</f>
        <v>1</v>
      </c>
      <c r="U31" s="207">
        <f>--ISNUMBER(IFERROR(SEARCH('PLANILLA DJ'!$X$18,$A31,1),""))</f>
        <v>1</v>
      </c>
      <c r="V31" s="207">
        <f>--ISNUMBER(IFERROR(SEARCH('PLANILLA DJ'!$X$19,$A31,1),""))</f>
        <v>1</v>
      </c>
      <c r="W31" s="207">
        <f>--ISNUMBER(IFERROR(SEARCH('PLANILLA DJ'!$X$20,$A31,1),""))</f>
        <v>1</v>
      </c>
      <c r="X31" s="207">
        <f>--ISNUMBER(IFERROR(SEARCH('PLANILLA DJ'!$X$21,$A31,1),""))</f>
        <v>1</v>
      </c>
      <c r="Y31" s="207">
        <f>--ISNUMBER(IFERROR(SEARCH('PLANILLA DJ'!$X$22,$A31,1),""))</f>
        <v>1</v>
      </c>
      <c r="Z31" s="207">
        <f>--ISNUMBER(IFERROR(SEARCH('PLANILLA DJ'!$X$23,$A31,1),""))</f>
        <v>1</v>
      </c>
      <c r="AA31" s="207">
        <f>--ISNUMBER(IFERROR(SEARCH('PLANILLA DJ'!$X$24,$A31,1),""))</f>
        <v>1</v>
      </c>
      <c r="AB31" s="207">
        <f>--ISNUMBER(IFERROR(SEARCH('PLANILLA DJ'!$X$25,$A31,1),""))</f>
        <v>1</v>
      </c>
      <c r="AC31" s="207">
        <f>--ISNUMBER(IFERROR(SEARCH('PLANILLA DJ'!$X$26,$A31,1),""))</f>
        <v>1</v>
      </c>
      <c r="AD31" s="207">
        <f>--ISNUMBER(IFERROR(SEARCH('PLANILLA DJ'!$X$27,$A31,1),""))</f>
        <v>1</v>
      </c>
      <c r="AE31" s="207">
        <f>--ISNUMBER(IFERROR(SEARCH('PLANILLA DJ'!$X$28,$A31,1),""))</f>
        <v>1</v>
      </c>
      <c r="AF31" s="207">
        <f>--ISNUMBER(IFERROR(SEARCH('PLANILLA DJ'!$X$29,$A31,1),""))</f>
        <v>1</v>
      </c>
      <c r="AG31" s="207">
        <f>--ISNUMBER(IFERROR(SEARCH('PLANILLA DJ'!$X$30,$A31,1),""))</f>
        <v>1</v>
      </c>
      <c r="AH31" s="207">
        <f>--ISNUMBER(IFERROR(SEARCH('PLANILLA DJ'!$X$31,$A31,1),""))</f>
        <v>1</v>
      </c>
      <c r="AI31" s="207">
        <f>--ISNUMBER(IFERROR(SEARCH('PLANILLA DJ'!$X$32,$A31,1),""))</f>
        <v>1</v>
      </c>
      <c r="AJ31" s="207">
        <f>--ISNUMBER(IFERROR(SEARCH('PLANILLA DJ'!$X$33,$A31,1),""))</f>
        <v>1</v>
      </c>
      <c r="AK31" s="207">
        <f>--ISNUMBER(IFERROR(SEARCH('PLANILLA DJ'!$X$34,$A31,1),""))</f>
        <v>1</v>
      </c>
      <c r="AL31" s="207">
        <f>--ISNUMBER(IFERROR(SEARCH('PLANILLA DJ'!$X$35,$A31,1),""))</f>
        <v>1</v>
      </c>
      <c r="AM31" s="207">
        <f>--ISNUMBER(IFERROR(SEARCH('PLANILLA DJ'!$X$36,$A31,1),""))</f>
        <v>1</v>
      </c>
      <c r="AN31" s="207">
        <f>--ISNUMBER(IFERROR(SEARCH('PLANILLA DJ'!$X$37,$A31,1),""))</f>
        <v>1</v>
      </c>
      <c r="AO31" s="207">
        <f>--ISNUMBER(IFERROR(SEARCH('PLANILLA DJ'!$X$38,$A31,1),""))</f>
        <v>1</v>
      </c>
      <c r="AP31" s="207">
        <f>--ISNUMBER(IFERROR(SEARCH('PLANILLA DJ'!$X$39,$A31,1),""))</f>
        <v>1</v>
      </c>
      <c r="AQ31" s="207">
        <f>--ISNUMBER(IFERROR(SEARCH('PLANILLA DJ'!$X$40,$A31,1),""))</f>
        <v>1</v>
      </c>
      <c r="AR31" s="207">
        <f>--ISNUMBER(IFERROR(SEARCH('PLANILLA DJ'!$X$41,$A31,1),""))</f>
        <v>1</v>
      </c>
      <c r="AS31" s="207">
        <f>--ISNUMBER(IFERROR(SEARCH('PLANILLA DJ'!$X$42,$A31,1),""))</f>
        <v>1</v>
      </c>
      <c r="AT31" s="207">
        <f>--ISNUMBER(IFERROR(SEARCH('PLANILLA DJ'!$X$43,$A31,1),""))</f>
        <v>1</v>
      </c>
      <c r="AU31" s="207">
        <f>--ISNUMBER(IFERROR(SEARCH('PLANILLA DJ'!$X$44,$A31,1),""))</f>
        <v>1</v>
      </c>
      <c r="AV31" s="207">
        <f>--ISNUMBER(IFERROR(SEARCH('PLANILLA DJ'!$X$45,$A31,1),""))</f>
        <v>1</v>
      </c>
      <c r="AW31" s="207">
        <f>--ISNUMBER(IFERROR(SEARCH('PLANILLA DJ'!$X$46,$A31,1),""))</f>
        <v>1</v>
      </c>
      <c r="AX31" s="207">
        <f>--ISNUMBER(IFERROR(SEARCH('PLANILLA DJ'!$X$47,$A31,1),""))</f>
        <v>1</v>
      </c>
      <c r="AY31" s="207">
        <f>--ISNUMBER(IFERROR(SEARCH('PLANILLA DJ'!$X$48,$A31,1),""))</f>
        <v>1</v>
      </c>
      <c r="AZ31" s="207">
        <f>--ISNUMBER(IFERROR(SEARCH('PLANILLA DJ'!$X$49,$A31,1),""))</f>
        <v>1</v>
      </c>
      <c r="BA31" s="207">
        <f>--ISNUMBER(IFERROR(SEARCH('PLANILLA DJ'!$X$50,$A31,1),""))</f>
        <v>1</v>
      </c>
      <c r="BB31" s="207">
        <f>--ISNUMBER(IFERROR(SEARCH('PLANILLA DJ'!$X$51,$A31,1),""))</f>
        <v>1</v>
      </c>
      <c r="BC31" s="207">
        <f>--ISNUMBER(IFERROR(SEARCH('PLANILLA DJ'!$X$52,$A31,1),""))</f>
        <v>1</v>
      </c>
      <c r="BD31" s="207">
        <f>--ISNUMBER(IFERROR(SEARCH('PLANILLA DJ'!$X$53,$A31,1),""))</f>
        <v>1</v>
      </c>
      <c r="BE31" s="207">
        <f>--ISNUMBER(IFERROR(SEARCH('PLANILLA DJ'!$X$54,$A31,1),""))</f>
        <v>1</v>
      </c>
      <c r="BF31" s="207">
        <f>--ISNUMBER(IFERROR(SEARCH('PLANILLA DJ'!$X$55,$A31,1),""))</f>
        <v>1</v>
      </c>
      <c r="BG31" s="207">
        <f>--ISNUMBER(IFERROR(SEARCH('PLANILLA DJ'!$X$56,$A31,1),""))</f>
        <v>1</v>
      </c>
      <c r="BH31" s="207">
        <f>--ISNUMBER(IFERROR(SEARCH('PLANILLA DJ'!$X$57,$A31,1),""))</f>
        <v>1</v>
      </c>
      <c r="BI31" s="207">
        <f>--ISNUMBER(IFERROR(SEARCH('PLANILLA DJ'!$X$58,$A31,1),""))</f>
        <v>1</v>
      </c>
      <c r="BJ31" s="207">
        <f>--ISNUMBER(IFERROR(SEARCH('PLANILLA DJ'!$X$59,$A31,1),""))</f>
        <v>1</v>
      </c>
      <c r="BK31" s="207">
        <f>--ISNUMBER(IFERROR(SEARCH('PLANILLA DJ'!$X$60,$A31,1),""))</f>
        <v>1</v>
      </c>
      <c r="BL31" s="207">
        <f>--ISNUMBER(IFERROR(SEARCH('PLANILLA DJ'!$X$61,$A31,1),""))</f>
        <v>1</v>
      </c>
      <c r="BM31" s="207">
        <f>--ISNUMBER(IFERROR(SEARCH('PLANILLA DJ'!$X$62,$A31,1),""))</f>
        <v>1</v>
      </c>
      <c r="BN31" s="207">
        <f>--ISNUMBER(IFERROR(SEARCH('PLANILLA DJ'!$X$63,$A31,1),""))</f>
        <v>1</v>
      </c>
      <c r="BO31" s="207">
        <f>--ISNUMBER(IFERROR(SEARCH('PLANILLA DJ'!$X$64,$A31,1),""))</f>
        <v>1</v>
      </c>
      <c r="BP31" s="207">
        <f>--ISNUMBER(IFERROR(SEARCH('PLANILLA DJ'!$X$65,$A31,1),""))</f>
        <v>1</v>
      </c>
      <c r="BQ31" s="207">
        <f>--ISNUMBER(IFERROR(SEARCH('PLANILLA DJ'!$X$66,$A31,1),""))</f>
        <v>1</v>
      </c>
      <c r="BR31" s="207">
        <f>--ISNUMBER(IFERROR(SEARCH('PLANILLA DJ'!$X$67,$A31,1),""))</f>
        <v>1</v>
      </c>
      <c r="BS31" s="207">
        <f>--ISNUMBER(IFERROR(SEARCH('PLANILLA DJ'!$X$68,$A31,1),""))</f>
        <v>1</v>
      </c>
      <c r="BT31" s="207">
        <f>--ISNUMBER(IFERROR(SEARCH('PLANILLA DJ'!$X$69,$A31,1),""))</f>
        <v>1</v>
      </c>
      <c r="BU31" s="207">
        <f>--ISNUMBER(IFERROR(SEARCH('PLANILLA DJ'!$X$70,$A31,1),""))</f>
        <v>1</v>
      </c>
      <c r="BV31" s="207">
        <f>--ISNUMBER(IFERROR(SEARCH('PLANILLA DJ'!$X$71,$A31,1),""))</f>
        <v>1</v>
      </c>
      <c r="BW31" s="207">
        <f>--ISNUMBER(IFERROR(SEARCH('PLANILLA DJ'!$X$72,$A31,1),""))</f>
        <v>1</v>
      </c>
      <c r="BX31" s="207">
        <f>--ISNUMBER(IFERROR(SEARCH('PLANILLA DJ'!$X$73,$A31,1),""))</f>
        <v>1</v>
      </c>
      <c r="BY31" s="207">
        <f>--ISNUMBER(IFERROR(SEARCH('PLANILLA DJ'!$X$74,$A31,1),""))</f>
        <v>1</v>
      </c>
      <c r="BZ31" s="207">
        <f>--ISNUMBER(IFERROR(SEARCH('PLANILLA DJ'!$X$75,$A31,1),""))</f>
        <v>1</v>
      </c>
      <c r="CA31" s="207">
        <f>--ISNUMBER(IFERROR(SEARCH('PLANILLA DJ'!$X$76,$A31,1),""))</f>
        <v>1</v>
      </c>
      <c r="CB31" s="207">
        <f>--ISNUMBER(IFERROR(SEARCH('PLANILLA DJ'!$X$77,$A31,1),""))</f>
        <v>1</v>
      </c>
      <c r="CC31" s="207">
        <f>--ISNUMBER(IFERROR(SEARCH('PLANILLA DJ'!$X$78,$A31,1),""))</f>
        <v>1</v>
      </c>
      <c r="CD31" s="207">
        <f>--ISNUMBER(IFERROR(SEARCH('PLANILLA DJ'!$X$79,$A31,1),""))</f>
        <v>1</v>
      </c>
      <c r="CE31" s="207">
        <f>--ISNUMBER(IFERROR(SEARCH('PLANILLA DJ'!$X$80,$A31,1),""))</f>
        <v>1</v>
      </c>
      <c r="CF31" s="207">
        <f>--ISNUMBER(IFERROR(SEARCH('PLANILLA DJ'!$X$81,$A31,1),""))</f>
        <v>1</v>
      </c>
      <c r="CG31" s="207">
        <f>--ISNUMBER(IFERROR(SEARCH('PLANILLA DJ'!$X$82,$A31,1),""))</f>
        <v>1</v>
      </c>
      <c r="CH31" s="207">
        <f>--ISNUMBER(IFERROR(SEARCH('PLANILLA DJ'!$X$83,$A31,1),""))</f>
        <v>1</v>
      </c>
      <c r="CI31" s="207">
        <f>--ISNUMBER(IFERROR(SEARCH('PLANILLA DJ'!$X$84,$A31,1),""))</f>
        <v>1</v>
      </c>
      <c r="CJ31" s="207">
        <f>--ISNUMBER(IFERROR(SEARCH('PLANILLA DJ'!$X$85,$A31,1),""))</f>
        <v>1</v>
      </c>
      <c r="CK31" s="207">
        <f>--ISNUMBER(IFERROR(SEARCH('PLANILLA DJ'!$X$86,$A31,1),""))</f>
        <v>1</v>
      </c>
      <c r="CL31" s="207">
        <f>--ISNUMBER(IFERROR(SEARCH('PLANILLA DJ'!$X$87,$A31,1),""))</f>
        <v>1</v>
      </c>
      <c r="CM31" s="207">
        <f>--ISNUMBER(IFERROR(SEARCH('PLANILLA DJ'!$X$88,$A31,1),""))</f>
        <v>1</v>
      </c>
      <c r="CN31" s="207">
        <f>--ISNUMBER(IFERROR(SEARCH('PLANILLA DJ'!$X$89,$A31,1),""))</f>
        <v>1</v>
      </c>
      <c r="CO31" s="207">
        <f>--ISNUMBER(IFERROR(SEARCH('PLANILLA DJ'!$X$90,$A31,1),""))</f>
        <v>1</v>
      </c>
      <c r="CP31" s="207">
        <f>--ISNUMBER(IFERROR(SEARCH('PLANILLA DJ'!$X$91,$A31,1),""))</f>
        <v>1</v>
      </c>
      <c r="CQ31" s="207">
        <f>--ISNUMBER(IFERROR(SEARCH('PLANILLA DJ'!$X$92,$A31,1),""))</f>
        <v>1</v>
      </c>
      <c r="CR31" s="207">
        <f>--ISNUMBER(IFERROR(SEARCH('PLANILLA DJ'!$X$93,$A31,1),""))</f>
        <v>1</v>
      </c>
      <c r="CS31" s="207">
        <f>--ISNUMBER(IFERROR(SEARCH('PLANILLA DJ'!$X$94,$A31,1),""))</f>
        <v>1</v>
      </c>
      <c r="CT31" s="207">
        <f>--ISNUMBER(IFERROR(SEARCH('PLANILLA DJ'!$X$95,$A31,1),""))</f>
        <v>1</v>
      </c>
      <c r="CU31" s="207">
        <f>--ISNUMBER(IFERROR(SEARCH('PLANILLA DJ'!$X$96,$A31,1),""))</f>
        <v>1</v>
      </c>
      <c r="CV31" s="207">
        <f>--ISNUMBER(IFERROR(SEARCH('PLANILLA DJ'!$X$97,$A31,1),""))</f>
        <v>1</v>
      </c>
      <c r="CW31" s="207">
        <f>--ISNUMBER(IFERROR(SEARCH('PLANILLA DJ'!$X$98,$A31,1),""))</f>
        <v>1</v>
      </c>
      <c r="CX31" s="207">
        <f>--ISNUMBER(IFERROR(SEARCH('PLANILLA DJ'!$X$99,$A31,1),""))</f>
        <v>1</v>
      </c>
      <c r="CY31" s="207">
        <f>--ISNUMBER(IFERROR(SEARCH('PLANILLA DJ'!$X$100,$A31,1),""))</f>
        <v>1</v>
      </c>
      <c r="CZ31" s="207">
        <f>--ISNUMBER(IFERROR(SEARCH('PLANILLA DJ'!$X$101,$A31,1),""))</f>
        <v>1</v>
      </c>
      <c r="DA31" s="207">
        <f>--ISNUMBER(IFERROR(SEARCH('PLANILLA DJ'!$X$102,$A31,1),""))</f>
        <v>1</v>
      </c>
      <c r="DB31" s="206">
        <f>IF(F31=1,COUNTIF($F$2:F31,1),"")</f>
        <v>30</v>
      </c>
      <c r="DC31" s="206">
        <f>IF(G31=1,COUNTIF($G$2:G31,1),"")</f>
        <v>30</v>
      </c>
      <c r="DD31" s="206">
        <f>IF(H31=1,COUNTIF($H$2:H31,1),"")</f>
        <v>30</v>
      </c>
      <c r="DE31" s="206">
        <f>IF(I31=1,COUNTIF($I$2:I31,1),"")</f>
        <v>30</v>
      </c>
      <c r="DF31" s="206">
        <f>IF(J31=1,COUNTIF($J$2:J31,1),"")</f>
        <v>30</v>
      </c>
      <c r="DG31" s="206">
        <f>IF(K31=1,COUNTIF($K$2:K31,1),"")</f>
        <v>30</v>
      </c>
      <c r="DH31" s="206">
        <f>IF(L31=1,COUNTIF($L$2:L31,1),"")</f>
        <v>30</v>
      </c>
      <c r="DI31" s="206">
        <f>IF(M31=1,COUNTIF($M$2:M31,1),"")</f>
        <v>30</v>
      </c>
      <c r="DJ31" s="206">
        <f>IF(N31=1,COUNTIF($N$2:N31,1),"")</f>
        <v>30</v>
      </c>
      <c r="DK31" s="206">
        <f>IF(O31=1,COUNTIF($O$2:O31,1),"")</f>
        <v>30</v>
      </c>
      <c r="DL31" s="206">
        <f>IF(P31=1,COUNTIF($P$2:P31,1),"")</f>
        <v>30</v>
      </c>
      <c r="DM31" s="206">
        <f>IF(Q31=1,COUNTIF($Q$2:Q31,1),"")</f>
        <v>30</v>
      </c>
      <c r="DN31" s="207">
        <f>IF(R31=1,COUNTIF($R$2:R31,1),"")</f>
        <v>30</v>
      </c>
      <c r="DO31" s="207">
        <f>IF(S31=1,COUNTIF($S$2:S31,1),"")</f>
        <v>30</v>
      </c>
      <c r="DP31" s="207">
        <f>IF(T31=1,COUNTIF($T$2:T31,1),"")</f>
        <v>30</v>
      </c>
      <c r="DQ31" s="207">
        <f>IF(U31=1,COUNTIF($U$2:U31,1),"")</f>
        <v>30</v>
      </c>
      <c r="DR31" s="207">
        <f>IF(V31=1,COUNTIF($V$2:V31,1),"")</f>
        <v>30</v>
      </c>
      <c r="DS31" s="207">
        <f>IF(W31=1,COUNTIF($W$2:W31,1),"")</f>
        <v>30</v>
      </c>
      <c r="DT31" s="207">
        <f>IF(X31=1,COUNTIF($X$2:X31,1),"")</f>
        <v>30</v>
      </c>
      <c r="DU31" s="207">
        <f>IF(Y31=1,COUNTIF($Y$2:Y31,1),"")</f>
        <v>30</v>
      </c>
      <c r="DV31" s="207">
        <f>IF(Z31=1,COUNTIF(Z$2:Z31,1),"")</f>
        <v>30</v>
      </c>
      <c r="DW31" s="207">
        <f>IF(AA31=1,COUNTIF($AA$2:AA31,1),"")</f>
        <v>30</v>
      </c>
      <c r="DX31" s="207">
        <f>IF(AB31=1,COUNTIF($AB$2:AB31,1),"")</f>
        <v>30</v>
      </c>
      <c r="DY31" s="207">
        <f>IF(AC31=1,COUNTIF($AC$2:AC31,1),"")</f>
        <v>30</v>
      </c>
      <c r="DZ31" s="207">
        <f>IF(AD31=1,COUNTIF($AD$2:AD31,1),"")</f>
        <v>30</v>
      </c>
      <c r="EA31" s="207">
        <f>IF(AE31=1,COUNTIF($AE$2:AE31,1),"")</f>
        <v>30</v>
      </c>
      <c r="EB31" s="207">
        <f>IF(AF31=1,COUNTIF($AF$2:AF31,1),"")</f>
        <v>30</v>
      </c>
      <c r="EC31" s="207">
        <f>IF(AG31=1,COUNTIF($AG$2:AG31,1),"")</f>
        <v>30</v>
      </c>
      <c r="ED31" s="207">
        <f>IF(AH31=1,COUNTIF($AH$2:AH31,1),"")</f>
        <v>30</v>
      </c>
      <c r="EE31" s="207">
        <f>IF(AI31=1,COUNTIF($AI$2:AI31,1),"")</f>
        <v>30</v>
      </c>
      <c r="EF31" s="207">
        <f>IF(AJ31=1,COUNTIF($AJ$2:AJ31,1),"")</f>
        <v>30</v>
      </c>
      <c r="EG31" s="207">
        <f>IF(AK31=1,COUNTIF($AK$2:AK31,1),"")</f>
        <v>30</v>
      </c>
      <c r="EH31" s="207">
        <f>IF(AL31=1,COUNTIF($AL$2:AL31,1),"")</f>
        <v>30</v>
      </c>
      <c r="EI31" s="207">
        <f>IF(AM31=1,COUNTIF($AM$2:AM31,1),"")</f>
        <v>30</v>
      </c>
      <c r="EJ31" s="207">
        <f>IF(AN31=1,COUNTIF($AN$2:AN31,1),"")</f>
        <v>30</v>
      </c>
      <c r="EK31" s="207">
        <f>IF(AO31=1,COUNTIF($AO$2:AO31,1),"")</f>
        <v>30</v>
      </c>
      <c r="EL31" s="207">
        <f>IF(AP31=1,COUNTIF($AP$2:AP31,1),"")</f>
        <v>30</v>
      </c>
      <c r="EM31" s="207">
        <f>IF(AQ31=1,COUNTIF($AQ$2:AQ31,1),"")</f>
        <v>30</v>
      </c>
      <c r="EN31" s="207">
        <f>IF(AR31=1,COUNTIF($AR$2:AR31,1),"")</f>
        <v>30</v>
      </c>
      <c r="EO31" s="207">
        <f>IF(AS31=1,COUNTIF($AS$2:AS31,1),"")</f>
        <v>30</v>
      </c>
      <c r="EP31" s="207">
        <f>IF(AT31=1,COUNTIF($AT$2:AT31,1),"")</f>
        <v>30</v>
      </c>
      <c r="EQ31" s="207">
        <f>IF(AU31=1,COUNTIF($AU$2:AU31,1),"")</f>
        <v>30</v>
      </c>
      <c r="ER31" s="207">
        <f>IF(AV31=1,COUNTIF($AV$2:AV31,1),"")</f>
        <v>30</v>
      </c>
      <c r="ES31" s="207">
        <f>IF(AW31=1,COUNTIF($AW$2:AW31,1),"")</f>
        <v>30</v>
      </c>
      <c r="ET31" s="207">
        <f>IF(AX31=1,COUNTIF($AX$2:AX31,1),"")</f>
        <v>30</v>
      </c>
      <c r="EU31" s="207">
        <f>IF(AY31=1,COUNTIF($AY$2:AY31,1),"")</f>
        <v>30</v>
      </c>
      <c r="EV31" s="207">
        <f>IF(AZ31=1,COUNTIF($AZ$2:AZ31,1),"")</f>
        <v>30</v>
      </c>
      <c r="EW31" s="207">
        <f>IF(BA31=1,COUNTIF($BA$2:BA31,1),"")</f>
        <v>30</v>
      </c>
      <c r="EX31" s="207">
        <f>IF(BB31=1,COUNTIF($BB$2:BB31,1),"")</f>
        <v>30</v>
      </c>
      <c r="EY31" s="207">
        <f>IF(BC31=1,COUNTIF($BC$2:BC31,1),"")</f>
        <v>30</v>
      </c>
      <c r="EZ31" s="207">
        <f>IF(BD31=1,COUNTIF($BD$2:BD31,1),"")</f>
        <v>30</v>
      </c>
      <c r="FA31" s="207">
        <f>IF(BE31=1,COUNTIF($BE$2:BE31,1),"")</f>
        <v>30</v>
      </c>
      <c r="FB31" s="207">
        <f>IF(BF31=1,COUNTIF($BF$2:BF31,1),"")</f>
        <v>30</v>
      </c>
      <c r="FC31" s="207">
        <f>IF(BG31=1,COUNTIF($BG$2:BG31,1),"")</f>
        <v>30</v>
      </c>
      <c r="FD31" s="207">
        <f>IF(BH31=1,COUNTIF($BH$2:BH31,1),"")</f>
        <v>30</v>
      </c>
      <c r="FE31" s="207">
        <f>IF(BI31=1,COUNTIF($BI$2:BI31,1),"")</f>
        <v>30</v>
      </c>
      <c r="FF31" s="207">
        <f>IF(BJ31=1,COUNTIF($BJ$2:BJ31,1),"")</f>
        <v>30</v>
      </c>
      <c r="FG31" s="207">
        <f>IF(BK31=1,COUNTIF($BK$2:BK31,1),"")</f>
        <v>30</v>
      </c>
      <c r="FH31" s="207">
        <f>IF(BL31=1,COUNTIF($BL$2:BL31,1),"")</f>
        <v>30</v>
      </c>
      <c r="FI31" s="207">
        <f>IF(BM31=1,COUNTIF($BM$2:BM31,1),"")</f>
        <v>30</v>
      </c>
      <c r="FJ31" s="207">
        <f>IF(BN31=1,COUNTIF($BN$2:BN31,1),"")</f>
        <v>30</v>
      </c>
      <c r="FK31" s="207">
        <f>IF(BO31=1,COUNTIF($BO$2:BO31,1),"")</f>
        <v>30</v>
      </c>
      <c r="FL31" s="207">
        <f>IF(BP31=1,COUNTIF($BP$2:BP31,1),"")</f>
        <v>30</v>
      </c>
      <c r="FM31" s="207">
        <f>IF(BQ31=1,COUNTIF($BQ$2:BQ31,1),"")</f>
        <v>30</v>
      </c>
      <c r="FN31" s="207">
        <f>IF(BR31=1,COUNTIF($BR$2:BR31,1),"")</f>
        <v>30</v>
      </c>
      <c r="FO31" s="207">
        <f>IF(BS31=1,COUNTIF($BS$2:BS31,1),"")</f>
        <v>30</v>
      </c>
      <c r="FP31" s="207">
        <f>IF(BT31=1,COUNTIF($BT$2:BT31,1),"")</f>
        <v>30</v>
      </c>
      <c r="FQ31" s="207">
        <f>IF(BU31=1,COUNTIF($BU$2:BU31,1),"")</f>
        <v>30</v>
      </c>
      <c r="FR31" s="207">
        <f>IF(BV31=1,COUNTIF($BV$2:BV31,1),"")</f>
        <v>30</v>
      </c>
      <c r="FS31" s="207">
        <f>IF(BW31=1,COUNTIF($BW$2:BW31,1),"")</f>
        <v>30</v>
      </c>
      <c r="FT31" s="207">
        <f>IF(BX31=1,COUNTIF($BX$2:BX31,1),"")</f>
        <v>30</v>
      </c>
      <c r="FU31" s="207">
        <f>IF(BY31=1,COUNTIF($BY$2:BY31,1),"")</f>
        <v>30</v>
      </c>
      <c r="FV31" s="207">
        <f>IF(BZ31=1,COUNTIF($BZ$2:BZ31,1),"")</f>
        <v>30</v>
      </c>
      <c r="FW31" s="207">
        <f>IF(CA31=1,COUNTIF($CA$2:CA31,1),"")</f>
        <v>30</v>
      </c>
      <c r="FX31" s="207">
        <f>IF(CB31=1,COUNTIF($CB$2:CB31,1),"")</f>
        <v>30</v>
      </c>
      <c r="FY31" s="207">
        <f>IF(CC31=1,COUNTIF($CC$2:CC31,1),"")</f>
        <v>30</v>
      </c>
      <c r="FZ31" s="207">
        <f>IF(CD31=1,COUNTIF($CD$2:CD31,1),"")</f>
        <v>30</v>
      </c>
      <c r="GA31" s="207">
        <f>IF(CE31=1,COUNTIF($CE$2:CE31,1),"")</f>
        <v>30</v>
      </c>
      <c r="GB31" s="207">
        <f>IF(CF31=1,COUNTIF($CF$2:CF31,1),"")</f>
        <v>30</v>
      </c>
      <c r="GC31" s="207">
        <f>IF(CG31=1,COUNTIF($CG$2:CG31,1),"")</f>
        <v>30</v>
      </c>
      <c r="GD31" s="207">
        <f>IF(CH31=1,COUNTIF($CH$2:CH31,1),"")</f>
        <v>30</v>
      </c>
      <c r="GE31" s="207">
        <f>IF(CI31=1,COUNTIF($CI$2:CI31,1),"")</f>
        <v>30</v>
      </c>
      <c r="GF31" s="207">
        <f>IF(CJ31=1,COUNTIF($CJ$2:CJ31,1),"")</f>
        <v>30</v>
      </c>
      <c r="GG31" s="207">
        <f>IF(CK31=1,COUNTIF($CK$2:CK31,1),"")</f>
        <v>30</v>
      </c>
      <c r="GH31" s="207">
        <f>IF(CL31=1,COUNTIF($CL$2:CL31,1),"")</f>
        <v>30</v>
      </c>
      <c r="GI31" s="207">
        <f>IF(CM31=1,COUNTIF($CM$2:CM31,1),"")</f>
        <v>30</v>
      </c>
      <c r="GJ31" s="207">
        <f>IF(CN31=1,COUNTIF($CN$2:CN31,1),"")</f>
        <v>30</v>
      </c>
      <c r="GK31" s="207">
        <f>IF(CO31=1,COUNTIF($CO$2:CO31,1),"")</f>
        <v>30</v>
      </c>
      <c r="GL31" s="207">
        <f>IF(CP31=1,COUNTIF($CP$2:CP31,1),"")</f>
        <v>30</v>
      </c>
      <c r="GM31" s="207">
        <f>IF(CQ31=1,COUNTIF($CQ$2:CQ31,1),"")</f>
        <v>30</v>
      </c>
      <c r="GN31" s="207">
        <f>IF(CR31=1,COUNTIF($CR$2:CR31,1),"")</f>
        <v>30</v>
      </c>
      <c r="GO31" s="207">
        <f>IF(CS31=1,COUNTIF($CS$2:CS31,1),"")</f>
        <v>30</v>
      </c>
      <c r="GP31" s="207">
        <f>IF(CT31=1,COUNTIF($CT$2:CT31,1),"")</f>
        <v>30</v>
      </c>
      <c r="GQ31" s="207">
        <f>IF(CU31=1,COUNTIF($CU$2:CU31,1),"")</f>
        <v>30</v>
      </c>
      <c r="GR31" s="207">
        <f>IF(CV31=1,COUNTIF($CV$2:CV31,1),"")</f>
        <v>30</v>
      </c>
      <c r="GS31" s="207">
        <f>IF(CW31=1,COUNTIF($CW$2:CW31,1),"")</f>
        <v>30</v>
      </c>
      <c r="GT31" s="207">
        <f>IF(CX31=1,COUNTIF($CX$2:CX31,1),"")</f>
        <v>30</v>
      </c>
      <c r="GU31" s="207">
        <f>IF(CY31=1,COUNTIF($CY$2:CY31,1),"")</f>
        <v>30</v>
      </c>
      <c r="GV31" s="207">
        <f>IF(CZ31=1,COUNTIF($CZ$2:CZ31,1),"")</f>
        <v>30</v>
      </c>
      <c r="GW31" s="207">
        <f>IF(DA31=1,COUNTIF($DA$2:DA31,1),"")</f>
        <v>30</v>
      </c>
      <c r="GX31" s="206" t="str">
        <f>IFERROR(INDEX($A$2:$A$113,MATCH(ROWS($DB$2:DB31),$DB$2:$DB$113,0)),"")</f>
        <v>PRIVACION ILEGITIMA DE LA LIBERTAD PRODUCIDO  POR FUNCIONARIO PUBLICO C/DETENIDOS</v>
      </c>
      <c r="GY31" s="206" t="str">
        <f>IFERROR(INDEX($A$2:$A$113,MATCH(ROWS($DC$2:DC31),$DC$2:$DC$113,0)),"")</f>
        <v>PRIVACION ILEGITIMA DE LA LIBERTAD PRODUCIDO  POR FUNCIONARIO PUBLICO C/DETENIDOS</v>
      </c>
      <c r="GZ31" s="206" t="str">
        <f>IFERROR(INDEX($A$2:$A$113,MATCH(ROWS($DD$2:DD31),$DD$2:$DD$113,0)),"")</f>
        <v>PRIVACION ILEGITIMA DE LA LIBERTAD PRODUCIDO  POR FUNCIONARIO PUBLICO C/DETENIDOS</v>
      </c>
      <c r="HA31" s="206" t="str">
        <f>IFERROR(INDEX($A$2:$A$113,MATCH(ROWS($DE$2:DE31),$DE$2:$DE$113,0)),"")</f>
        <v>PRIVACION ILEGITIMA DE LA LIBERTAD PRODUCIDO  POR FUNCIONARIO PUBLICO C/DETENIDOS</v>
      </c>
      <c r="HB31" s="206" t="str">
        <f>IFERROR(INDEX($A$2:$A$113,MATCH(ROWS($DF$2:DF31),$DF$2:$DF$113,0)),"")</f>
        <v>PRIVACION ILEGITIMA DE LA LIBERTAD PRODUCIDO  POR FUNCIONARIO PUBLICO C/DETENIDOS</v>
      </c>
      <c r="HC31" s="206" t="str">
        <f>IFERROR(INDEX($A$2:$A$113,MATCH(ROWS($DG$2:DG31),$DG$2:$DG$113,0)),"")</f>
        <v>PRIVACION ILEGITIMA DE LA LIBERTAD PRODUCIDO  POR FUNCIONARIO PUBLICO C/DETENIDOS</v>
      </c>
      <c r="HD31" s="206" t="str">
        <f>IFERROR(INDEX($A$2:$A$113,MATCH(ROWS($DH$2:DH31),$DH$2:$DH$113,0)),"")</f>
        <v>PRIVACION ILEGITIMA DE LA LIBERTAD PRODUCIDO  POR FUNCIONARIO PUBLICO C/DETENIDOS</v>
      </c>
      <c r="HE31" s="206" t="str">
        <f>IFERROR(INDEX($A$2:$A$113,MATCH(ROWS($DI$2:DI31),$DI$2:$DI$113,0)),"")</f>
        <v>PRIVACION ILEGITIMA DE LA LIBERTAD PRODUCIDO  POR FUNCIONARIO PUBLICO C/DETENIDOS</v>
      </c>
      <c r="HF31" s="206" t="str">
        <f>IFERROR(INDEX($A$2:$A$113,MATCH(ROWS($DJ$2:DJ31),$DJ$2:$DJ$113,0)),"")</f>
        <v>PRIVACION ILEGITIMA DE LA LIBERTAD PRODUCIDO  POR FUNCIONARIO PUBLICO C/DETENIDOS</v>
      </c>
      <c r="HG31" s="206" t="str">
        <f>IFERROR(INDEX($A$2:$A$113,MATCH(ROWS($DK$2:DK31),$DK$2:$DK$113,0)),"")</f>
        <v>PRIVACION ILEGITIMA DE LA LIBERTAD PRODUCIDO  POR FUNCIONARIO PUBLICO C/DETENIDOS</v>
      </c>
      <c r="HH31" s="206" t="str">
        <f>IFERROR(INDEX($A$2:$A$113,MATCH(ROWS($DL$2:DL31),$DL$2:$DL$113,0)),"")</f>
        <v>PRIVACION ILEGITIMA DE LA LIBERTAD PRODUCIDO  POR FUNCIONARIO PUBLICO C/DETENIDOS</v>
      </c>
      <c r="HI31" s="206" t="str">
        <f>IFERROR(INDEX($A$2:$A$113,MATCH(ROWS($DM$2:DM31),$DM$2:$DM$113,0)),"")</f>
        <v>PRIVACION ILEGITIMA DE LA LIBERTAD PRODUCIDO  POR FUNCIONARIO PUBLICO C/DETENIDOS</v>
      </c>
      <c r="HJ31" s="206" t="str">
        <f>IFERROR(INDEX($A$2:$A$113,MATCH(ROWS($DN$2:DN31),$DN$2:$DN$113,0)),"")</f>
        <v>PRIVACION ILEGITIMA DE LA LIBERTAD PRODUCIDO  POR FUNCIONARIO PUBLICO C/DETENIDOS</v>
      </c>
      <c r="HK31" s="206" t="str">
        <f>IFERROR(INDEX($A$2:$A$113,MATCH(ROWS($DO$2:DO31),$DO$2:$DO$113,0)),"")</f>
        <v>PRIVACION ILEGITIMA DE LA LIBERTAD PRODUCIDO  POR FUNCIONARIO PUBLICO C/DETENIDOS</v>
      </c>
      <c r="HL31" s="206" t="str">
        <f>IFERROR(INDEX($A$2:$A$113,MATCH(ROWS($DP$2:DP31),$DP$2:$DP$113,0)),"")</f>
        <v>PRIVACION ILEGITIMA DE LA LIBERTAD PRODUCIDO  POR FUNCIONARIO PUBLICO C/DETENIDOS</v>
      </c>
      <c r="HM31" s="206" t="str">
        <f>IFERROR(INDEX($A$2:$A$113,MATCH(ROWS($DQ$2:DQ31),$DQ$2:$DQ$113,0)),"")</f>
        <v>PRIVACION ILEGITIMA DE LA LIBERTAD PRODUCIDO  POR FUNCIONARIO PUBLICO C/DETENIDOS</v>
      </c>
      <c r="HN31" s="206" t="str">
        <f>IFERROR(INDEX($A$2:$A$113,MATCH(ROWS($DR$2:DR31),$DR$2:$DR$113,0)),"")</f>
        <v>PRIVACION ILEGITIMA DE LA LIBERTAD PRODUCIDO  POR FUNCIONARIO PUBLICO C/DETENIDOS</v>
      </c>
      <c r="HO31" s="206" t="str">
        <f>IFERROR(INDEX($A$2:$A$113,MATCH(ROWS($DS$2:DS31),$DS$2:$DS$113,0)),"")</f>
        <v>PRIVACION ILEGITIMA DE LA LIBERTAD PRODUCIDO  POR FUNCIONARIO PUBLICO C/DETENIDOS</v>
      </c>
      <c r="HP31" s="206" t="str">
        <f>IFERROR(INDEX($A$2:$A$113,MATCH(ROWS($DT$2:DT31),$DT$2:$DT$113,0)),"")</f>
        <v>PRIVACION ILEGITIMA DE LA LIBERTAD PRODUCIDO  POR FUNCIONARIO PUBLICO C/DETENIDOS</v>
      </c>
      <c r="HQ31" s="206" t="str">
        <f>IFERROR(INDEX($A$2:$A$113,MATCH(ROWS($DU$2:DU31),$DU$2:$DU$113,0)),"")</f>
        <v>PRIVACION ILEGITIMA DE LA LIBERTAD PRODUCIDO  POR FUNCIONARIO PUBLICO C/DETENIDOS</v>
      </c>
      <c r="HR31" s="206" t="str">
        <f>IFERROR(INDEX($A$2:$A$113,MATCH(ROWS($DV$2:DV31),$DV$2:$DV$113,0)),"")</f>
        <v>PRIVACION ILEGITIMA DE LA LIBERTAD PRODUCIDO  POR FUNCIONARIO PUBLICO C/DETENIDOS</v>
      </c>
      <c r="HS31" s="206" t="str">
        <f>IFERROR(INDEX($A$2:$A$113,MATCH(ROWS($DW$2:DW31),$DW$2:$DW$113,0)),"")</f>
        <v>PRIVACION ILEGITIMA DE LA LIBERTAD PRODUCIDO  POR FUNCIONARIO PUBLICO C/DETENIDOS</v>
      </c>
      <c r="HT31" s="206" t="str">
        <f>IFERROR(INDEX($A$2:$A$113,MATCH(ROWS($DX$2:DX31),$DX$2:$DX$113,0)),"")</f>
        <v>PRIVACION ILEGITIMA DE LA LIBERTAD PRODUCIDO  POR FUNCIONARIO PUBLICO C/DETENIDOS</v>
      </c>
      <c r="HU31" s="206" t="str">
        <f>IFERROR(INDEX($A$2:$A$113,MATCH(ROWS($DY$2:DY31),$DY$2:$DY$113,0)),"")</f>
        <v>PRIVACION ILEGITIMA DE LA LIBERTAD PRODUCIDO  POR FUNCIONARIO PUBLICO C/DETENIDOS</v>
      </c>
      <c r="HV31" s="206" t="str">
        <f>IFERROR(INDEX($A$2:$A$113,MATCH(ROWS($DZ$2:DZ31),$DZ$2:$DZ$113,0)),"")</f>
        <v>PRIVACION ILEGITIMA DE LA LIBERTAD PRODUCIDO  POR FUNCIONARIO PUBLICO C/DETENIDOS</v>
      </c>
      <c r="HW31" s="206" t="str">
        <f>IFERROR(INDEX($A$2:$A$113,MATCH(ROWS($EA$2:EA31),$EA$2:$EA$113,0)),"")</f>
        <v>PRIVACION ILEGITIMA DE LA LIBERTAD PRODUCIDO  POR FUNCIONARIO PUBLICO C/DETENIDOS</v>
      </c>
      <c r="HX31" s="206" t="str">
        <f>IFERROR(INDEX($A$2:$A$113,MATCH(ROWS($EB$2:EB31),$EB$2:$EB$113,0)),"")</f>
        <v>PRIVACION ILEGITIMA DE LA LIBERTAD PRODUCIDO  POR FUNCIONARIO PUBLICO C/DETENIDOS</v>
      </c>
      <c r="HY31" s="206" t="str">
        <f>IFERROR(INDEX($A$2:$A$113,MATCH(ROWS($EC$2:EC31),$EC$2:$EC$113,0)),"")</f>
        <v>PRIVACION ILEGITIMA DE LA LIBERTAD PRODUCIDO  POR FUNCIONARIO PUBLICO C/DETENIDOS</v>
      </c>
      <c r="HZ31" s="206" t="str">
        <f>IFERROR(INDEX($A$2:$A$113,MATCH(ROWS($ED$2:ED31),$ED$2:$ED$113,0)),"")</f>
        <v>PRIVACION ILEGITIMA DE LA LIBERTAD PRODUCIDO  POR FUNCIONARIO PUBLICO C/DETENIDOS</v>
      </c>
      <c r="IA31" s="206" t="str">
        <f>IFERROR(INDEX($A$2:$A$113,MATCH(ROWS($EE$2:EE31),$EE$2:$EE$113,0)),"")</f>
        <v>PRIVACION ILEGITIMA DE LA LIBERTAD PRODUCIDO  POR FUNCIONARIO PUBLICO C/DETENIDOS</v>
      </c>
      <c r="IB31" s="206" t="str">
        <f>IFERROR(INDEX($A$2:$A$113,MATCH(ROWS($EF$2:EF31),$EF$2:$EF$113,0)),"")</f>
        <v>PRIVACION ILEGITIMA DE LA LIBERTAD PRODUCIDO  POR FUNCIONARIO PUBLICO C/DETENIDOS</v>
      </c>
      <c r="IC31" s="206" t="str">
        <f>IFERROR(INDEX($A$2:$A$113,MATCH(ROWS($EG$2:EG31),$EG$2:$EG$113,0)),"")</f>
        <v>PRIVACION ILEGITIMA DE LA LIBERTAD PRODUCIDO  POR FUNCIONARIO PUBLICO C/DETENIDOS</v>
      </c>
      <c r="ID31" s="206" t="str">
        <f>IFERROR(INDEX($A$2:$A$113,MATCH(ROWS($EH$2:EH31),$EH$2:$EH$113,0)),"")</f>
        <v>PRIVACION ILEGITIMA DE LA LIBERTAD PRODUCIDO  POR FUNCIONARIO PUBLICO C/DETENIDOS</v>
      </c>
      <c r="IE31" s="206" t="str">
        <f>IFERROR(INDEX($A$2:$A$113,MATCH(ROWS($EI$2:EI31),$EI$2:$EI$113,0)),"")</f>
        <v>PRIVACION ILEGITIMA DE LA LIBERTAD PRODUCIDO  POR FUNCIONARIO PUBLICO C/DETENIDOS</v>
      </c>
      <c r="IF31" s="206" t="str">
        <f>IFERROR(INDEX($A$2:$A$113,MATCH(ROWS($EJ$2:EJ31),$EJ$2:$EJ$113,0)),"")</f>
        <v>PRIVACION ILEGITIMA DE LA LIBERTAD PRODUCIDO  POR FUNCIONARIO PUBLICO C/DETENIDOS</v>
      </c>
      <c r="IG31" s="206" t="str">
        <f>IFERROR(INDEX($A$2:$A$113,MATCH(ROWS($EK$2:EK31),$EK$2:$EK$113,0)),"")</f>
        <v>PRIVACION ILEGITIMA DE LA LIBERTAD PRODUCIDO  POR FUNCIONARIO PUBLICO C/DETENIDOS</v>
      </c>
      <c r="IH31" s="206" t="str">
        <f>IFERROR(INDEX($A$2:$A$113,MATCH(ROWS($EL$2:EL31),$EL$2:$EL$113,0)),"")</f>
        <v>PRIVACION ILEGITIMA DE LA LIBERTAD PRODUCIDO  POR FUNCIONARIO PUBLICO C/DETENIDOS</v>
      </c>
      <c r="II31" s="206" t="str">
        <f>IFERROR(INDEX($A$2:$A$113,MATCH(ROWS($EM$2:EM31),$EM$2:$EM$113,0)),"")</f>
        <v>PRIVACION ILEGITIMA DE LA LIBERTAD PRODUCIDO  POR FUNCIONARIO PUBLICO C/DETENIDOS</v>
      </c>
      <c r="IJ31" s="206" t="str">
        <f>IFERROR(INDEX($A$2:$A$113,MATCH(ROWS($EN$2:EN31),$EN$2:$EN$113,0)),"")</f>
        <v>PRIVACION ILEGITIMA DE LA LIBERTAD PRODUCIDO  POR FUNCIONARIO PUBLICO C/DETENIDOS</v>
      </c>
      <c r="IK31" s="207" t="str">
        <f>IFERROR(INDEX($A$2:$A$113,MATCH(ROWS($EO$2:EO31),$EO$2:$EO$113,0)),"")</f>
        <v>PRIVACION ILEGITIMA DE LA LIBERTAD PRODUCIDO  POR FUNCIONARIO PUBLICO C/DETENIDOS</v>
      </c>
      <c r="IL31" s="207" t="str">
        <f>IFERROR(INDEX($A$2:$A$113,MATCH(ROWS($EP$2:EP31),$EP$2:$EP$113,0)),"")</f>
        <v>PRIVACION ILEGITIMA DE LA LIBERTAD PRODUCIDO  POR FUNCIONARIO PUBLICO C/DETENIDOS</v>
      </c>
      <c r="IM31" s="207" t="str">
        <f>IFERROR(INDEX($A$2:$A$113,MATCH(ROWS($EQ$2:EQ31),$EQ$2:$EQ$113,0)),"")</f>
        <v>PRIVACION ILEGITIMA DE LA LIBERTAD PRODUCIDO  POR FUNCIONARIO PUBLICO C/DETENIDOS</v>
      </c>
      <c r="IN31" s="207" t="str">
        <f>IFERROR(INDEX($A$2:$A$113,MATCH(ROWS($ER$2:ER31),$ER$2:$ER$113,0)),"")</f>
        <v>PRIVACION ILEGITIMA DE LA LIBERTAD PRODUCIDO  POR FUNCIONARIO PUBLICO C/DETENIDOS</v>
      </c>
      <c r="IO31" s="207" t="str">
        <f>IFERROR(INDEX($A$2:$A$113,MATCH(ROWS($ES$2:ES31),$ES$2:$ES$113,0)),"")</f>
        <v>PRIVACION ILEGITIMA DE LA LIBERTAD PRODUCIDO  POR FUNCIONARIO PUBLICO C/DETENIDOS</v>
      </c>
      <c r="IP31" s="207" t="str">
        <f>IFERROR(INDEX($A$2:$A$113,MATCH(ROWS($ET$2:ET31),$ET$2:$ET$113,0)),"")</f>
        <v>PRIVACION ILEGITIMA DE LA LIBERTAD PRODUCIDO  POR FUNCIONARIO PUBLICO C/DETENIDOS</v>
      </c>
      <c r="IQ31" s="207" t="str">
        <f>IFERROR(INDEX($A$2:$A$113,MATCH(ROWS($EU$2:EU31),$EU$2:$EU$113,0)),"")</f>
        <v>PRIVACION ILEGITIMA DE LA LIBERTAD PRODUCIDO  POR FUNCIONARIO PUBLICO C/DETENIDOS</v>
      </c>
      <c r="IR31" s="207" t="str">
        <f>IFERROR(INDEX($A$2:$A$113,MATCH(ROWS($EV$2:EV31),$EV$2:$EV$113,0)),"")</f>
        <v>PRIVACION ILEGITIMA DE LA LIBERTAD PRODUCIDO  POR FUNCIONARIO PUBLICO C/DETENIDOS</v>
      </c>
      <c r="IS31" s="207" t="str">
        <f>IFERROR(INDEX($A$2:$A$113,MATCH(ROWS($EW$2:EW31),$EW$2:$EW$113,0)),"")</f>
        <v>PRIVACION ILEGITIMA DE LA LIBERTAD PRODUCIDO  POR FUNCIONARIO PUBLICO C/DETENIDOS</v>
      </c>
      <c r="IT31" s="207" t="str">
        <f>IFERROR(INDEX($A$2:$A$113,MATCH(ROWS($EX$2:EX31),$EX$2:$EX$113,0)),"")</f>
        <v>PRIVACION ILEGITIMA DE LA LIBERTAD PRODUCIDO  POR FUNCIONARIO PUBLICO C/DETENIDOS</v>
      </c>
      <c r="IU31" s="207" t="str">
        <f>IFERROR(INDEX($A$2:$A$113,MATCH(ROWS($EY$2:EY31),$EY$2:$EY$113,0)),"")</f>
        <v>PRIVACION ILEGITIMA DE LA LIBERTAD PRODUCIDO  POR FUNCIONARIO PUBLICO C/DETENIDOS</v>
      </c>
      <c r="IV31" s="207" t="str">
        <f>IFERROR(INDEX($A$2:$A$113,MATCH(ROWS($EZ$2:EZ31),$EZ$2:$EZ$113,0)),"")</f>
        <v>PRIVACION ILEGITIMA DE LA LIBERTAD PRODUCIDO  POR FUNCIONARIO PUBLICO C/DETENIDOS</v>
      </c>
      <c r="IW31" s="207" t="str">
        <f>IFERROR(INDEX($A$2:$A$113,MATCH(ROWS($FA$2:FA31),$FA$2:$FA$113,0)),"")</f>
        <v>PRIVACION ILEGITIMA DE LA LIBERTAD PRODUCIDO  POR FUNCIONARIO PUBLICO C/DETENIDOS</v>
      </c>
      <c r="IX31" s="207" t="str">
        <f>IFERROR(INDEX($A$2:$A$113,MATCH(ROWS($FB$2:FB31),$FB$2:$FB$113,0)),"")</f>
        <v>PRIVACION ILEGITIMA DE LA LIBERTAD PRODUCIDO  POR FUNCIONARIO PUBLICO C/DETENIDOS</v>
      </c>
      <c r="IY31" s="207" t="str">
        <f>IFERROR(INDEX($A$2:$A$113,MATCH(ROWS($FC$2:FC31),$FC$2:$FC$113,0)),"")</f>
        <v>PRIVACION ILEGITIMA DE LA LIBERTAD PRODUCIDO  POR FUNCIONARIO PUBLICO C/DETENIDOS</v>
      </c>
      <c r="IZ31" s="207" t="str">
        <f>IFERROR(INDEX($A$2:$A$113,MATCH(ROWS($FD$2:FD31),$FD$2:$FD$113,0)),"")</f>
        <v>PRIVACION ILEGITIMA DE LA LIBERTAD PRODUCIDO  POR FUNCIONARIO PUBLICO C/DETENIDOS</v>
      </c>
      <c r="JA31" s="207" t="str">
        <f>IFERROR(INDEX($A$2:$A$113,MATCH(ROWS($FE$2:FE31),$FE$2:$FE$113,0)),"")</f>
        <v>PRIVACION ILEGITIMA DE LA LIBERTAD PRODUCIDO  POR FUNCIONARIO PUBLICO C/DETENIDOS</v>
      </c>
      <c r="JB31" s="207" t="str">
        <f>IFERROR(INDEX($A$2:$A$113,MATCH(ROWS($FF$2:FF31),$FF$2:$FF$113,0)),"")</f>
        <v>PRIVACION ILEGITIMA DE LA LIBERTAD PRODUCIDO  POR FUNCIONARIO PUBLICO C/DETENIDOS</v>
      </c>
      <c r="JC31" s="207" t="str">
        <f>IFERROR(INDEX($A$2:$A$113,MATCH(ROWS($FG$2:FG31),$FG$2:$FG$113,0)),"")</f>
        <v>PRIVACION ILEGITIMA DE LA LIBERTAD PRODUCIDO  POR FUNCIONARIO PUBLICO C/DETENIDOS</v>
      </c>
      <c r="JD31" s="207" t="str">
        <f>IFERROR(INDEX($A$2:$A$113,MATCH(ROWS($FH$2:FH31),$FH$2:$FH$113,0)),"")</f>
        <v>PRIVACION ILEGITIMA DE LA LIBERTAD PRODUCIDO  POR FUNCIONARIO PUBLICO C/DETENIDOS</v>
      </c>
      <c r="JE31" s="207" t="str">
        <f>IFERROR(INDEX($A$2:$A$113,MATCH(ROWS($FI$2:FI31),$FI$2:$FI$113,0)),"")</f>
        <v>PRIVACION ILEGITIMA DE LA LIBERTAD PRODUCIDO  POR FUNCIONARIO PUBLICO C/DETENIDOS</v>
      </c>
      <c r="JF31" s="207" t="str">
        <f>IFERROR(INDEX($A$2:$A$113,MATCH(ROWS($FJ$2:FJ31),$FJ$2:$FJ$113,0)),"")</f>
        <v>PRIVACION ILEGITIMA DE LA LIBERTAD PRODUCIDO  POR FUNCIONARIO PUBLICO C/DETENIDOS</v>
      </c>
      <c r="JG31" s="207" t="str">
        <f>IFERROR(INDEX($A$2:$A$113,MATCH(ROWS($FK$2:FK31),$FK$2:$FK$113,0)),"")</f>
        <v>PRIVACION ILEGITIMA DE LA LIBERTAD PRODUCIDO  POR FUNCIONARIO PUBLICO C/DETENIDOS</v>
      </c>
      <c r="JH31" s="207" t="str">
        <f>IFERROR(INDEX($A$2:$A$113,MATCH(ROWS($FL$2:FL31),$FL$2:$FL$113,0)),"")</f>
        <v>PRIVACION ILEGITIMA DE LA LIBERTAD PRODUCIDO  POR FUNCIONARIO PUBLICO C/DETENIDOS</v>
      </c>
      <c r="JI31" s="207" t="str">
        <f>IFERROR(INDEX($A$2:$A$113,MATCH(ROWS($FM$2:FM31),$FM$2:$FM$113,0)),"")</f>
        <v>PRIVACION ILEGITIMA DE LA LIBERTAD PRODUCIDO  POR FUNCIONARIO PUBLICO C/DETENIDOS</v>
      </c>
      <c r="JJ31" s="207" t="str">
        <f>IFERROR(INDEX($A$2:$A$113,MATCH(ROWS($FN$2:FN31),$FN$2:$FN$113,0)),"")</f>
        <v>PRIVACION ILEGITIMA DE LA LIBERTAD PRODUCIDO  POR FUNCIONARIO PUBLICO C/DETENIDOS</v>
      </c>
      <c r="JK31" s="207" t="str">
        <f>IFERROR(INDEX($A$2:$A$113,MATCH(ROWS($FO$2:FO31),$FO$2:$FO$113,0)),"")</f>
        <v>PRIVACION ILEGITIMA DE LA LIBERTAD PRODUCIDO  POR FUNCIONARIO PUBLICO C/DETENIDOS</v>
      </c>
      <c r="JL31" s="207" t="str">
        <f>IFERROR(INDEX($A$2:$A$113,MATCH(ROWS($FP$2:FP31),$FP$2:$FP$113,0)),"")</f>
        <v>PRIVACION ILEGITIMA DE LA LIBERTAD PRODUCIDO  POR FUNCIONARIO PUBLICO C/DETENIDOS</v>
      </c>
      <c r="JM31" s="207" t="str">
        <f>IFERROR(INDEX($A$2:$A$113,MATCH(ROWS($FQ$2:FQ31),$FQ$2:$FQ$113,0)),"")</f>
        <v>PRIVACION ILEGITIMA DE LA LIBERTAD PRODUCIDO  POR FUNCIONARIO PUBLICO C/DETENIDOS</v>
      </c>
      <c r="JN31" s="207" t="str">
        <f>IFERROR(INDEX($A$2:$A$113,MATCH(ROWS($FR$2:FR31),$FR$2:$FR$113,0)),"")</f>
        <v>PRIVACION ILEGITIMA DE LA LIBERTAD PRODUCIDO  POR FUNCIONARIO PUBLICO C/DETENIDOS</v>
      </c>
      <c r="JO31" s="207" t="str">
        <f>IFERROR(INDEX($A$2:$A$113,MATCH(ROWS($FS$2:FS31),$FS$2:$FS$113,0)),"")</f>
        <v>PRIVACION ILEGITIMA DE LA LIBERTAD PRODUCIDO  POR FUNCIONARIO PUBLICO C/DETENIDOS</v>
      </c>
      <c r="JP31" s="207" t="str">
        <f>IFERROR(INDEX($A$2:$A$113,MATCH(ROWS($FT$2:FT31),$FT$2:$FT$113,0)),"")</f>
        <v>PRIVACION ILEGITIMA DE LA LIBERTAD PRODUCIDO  POR FUNCIONARIO PUBLICO C/DETENIDOS</v>
      </c>
      <c r="JQ31" s="207" t="str">
        <f>IFERROR(INDEX($A$2:$A$113,MATCH(ROWS($FU$2:FU31),$FU$2:$FU$113,0)),"")</f>
        <v>PRIVACION ILEGITIMA DE LA LIBERTAD PRODUCIDO  POR FUNCIONARIO PUBLICO C/DETENIDOS</v>
      </c>
      <c r="JR31" s="207" t="str">
        <f>IFERROR(INDEX($A$2:$A$113,MATCH(ROWS($FV$2:FV31),$FV$2:$FV$113,0)),"")</f>
        <v>PRIVACION ILEGITIMA DE LA LIBERTAD PRODUCIDO  POR FUNCIONARIO PUBLICO C/DETENIDOS</v>
      </c>
      <c r="JS31" s="207" t="str">
        <f>IFERROR(INDEX($A$2:$A$113,MATCH(ROWS($FW$2:FW31),$FW$2:$FW$113,0)),"")</f>
        <v>PRIVACION ILEGITIMA DE LA LIBERTAD PRODUCIDO  POR FUNCIONARIO PUBLICO C/DETENIDOS</v>
      </c>
      <c r="JT31" s="207" t="str">
        <f>IFERROR(INDEX($A$2:$A$113,MATCH(ROWS($FX$2:FX31),$FX$2:$FX$113,0)),"")</f>
        <v>PRIVACION ILEGITIMA DE LA LIBERTAD PRODUCIDO  POR FUNCIONARIO PUBLICO C/DETENIDOS</v>
      </c>
      <c r="JU31" s="207" t="str">
        <f>IFERROR(INDEX($A$2:$A$113,MATCH(ROWS($FY$2:FY31),$FY$2:$FY$113,0)),"")</f>
        <v>PRIVACION ILEGITIMA DE LA LIBERTAD PRODUCIDO  POR FUNCIONARIO PUBLICO C/DETENIDOS</v>
      </c>
      <c r="JV31" s="207" t="str">
        <f>IFERROR(INDEX($A$2:$A$113,MATCH(ROWS($FZ$2:FZ31),$FZ$2:$FZ$113,0)),"")</f>
        <v>PRIVACION ILEGITIMA DE LA LIBERTAD PRODUCIDO  POR FUNCIONARIO PUBLICO C/DETENIDOS</v>
      </c>
      <c r="JW31" s="207" t="str">
        <f>IFERROR(INDEX($A$2:$A$113,MATCH(ROWS($GA$2:GA31),$GA$2:$GA$113,0)),"")</f>
        <v>PRIVACION ILEGITIMA DE LA LIBERTAD PRODUCIDO  POR FUNCIONARIO PUBLICO C/DETENIDOS</v>
      </c>
      <c r="JX31" s="207" t="str">
        <f>IFERROR(INDEX($A$2:$A$113,MATCH(ROWS($GB$2:GB31),$GB$2:$GB$113,0)),"")</f>
        <v>PRIVACION ILEGITIMA DE LA LIBERTAD PRODUCIDO  POR FUNCIONARIO PUBLICO C/DETENIDOS</v>
      </c>
      <c r="JY31" s="207" t="str">
        <f>IFERROR(INDEX($A$2:$A$113,MATCH(ROWS($GC$2:GC31),$GC$2:$GC$113,0)),"")</f>
        <v>PRIVACION ILEGITIMA DE LA LIBERTAD PRODUCIDO  POR FUNCIONARIO PUBLICO C/DETENIDOS</v>
      </c>
      <c r="JZ31" s="207" t="str">
        <f>IFERROR(INDEX($A$2:$A$113,MATCH(ROWS($GD$2:GD31),$GD$2:$GD$113,0)),"")</f>
        <v>PRIVACION ILEGITIMA DE LA LIBERTAD PRODUCIDO  POR FUNCIONARIO PUBLICO C/DETENIDOS</v>
      </c>
      <c r="KA31" s="207" t="str">
        <f>IFERROR(INDEX($A$2:$A$113,MATCH(ROWS($GE$2:GE31),$GE$2:$GE$113,0)),"")</f>
        <v>PRIVACION ILEGITIMA DE LA LIBERTAD PRODUCIDO  POR FUNCIONARIO PUBLICO C/DETENIDOS</v>
      </c>
      <c r="KB31" s="207" t="str">
        <f>IFERROR(INDEX($A$2:$A$113,MATCH(ROWS($GF$2:GF31),$GF$2:$GF$113,0)),"")</f>
        <v>PRIVACION ILEGITIMA DE LA LIBERTAD PRODUCIDO  POR FUNCIONARIO PUBLICO C/DETENIDOS</v>
      </c>
      <c r="KC31" s="207" t="str">
        <f>IFERROR(INDEX($A$2:$A$113,MATCH(ROWS($GG$2:GG31),$GG$2:$GG$113,0)),"")</f>
        <v>PRIVACION ILEGITIMA DE LA LIBERTAD PRODUCIDO  POR FUNCIONARIO PUBLICO C/DETENIDOS</v>
      </c>
      <c r="KD31" s="207" t="str">
        <f>IFERROR(INDEX($A$2:$A$113,MATCH(ROWS($GH$2:GH31),$GH$2:$GH$113,0)),"")</f>
        <v>PRIVACION ILEGITIMA DE LA LIBERTAD PRODUCIDO  POR FUNCIONARIO PUBLICO C/DETENIDOS</v>
      </c>
      <c r="KE31" s="207" t="str">
        <f>IFERROR(INDEX($A$2:$A$113,MATCH(ROWS($GI$2:GI31),$GI$2:$GI$113,0)),"")</f>
        <v>PRIVACION ILEGITIMA DE LA LIBERTAD PRODUCIDO  POR FUNCIONARIO PUBLICO C/DETENIDOS</v>
      </c>
      <c r="KF31" s="207" t="str">
        <f>IFERROR(INDEX($A$2:$A$113,MATCH(ROWS($GJ$2:GJ31),$GJ$2:$GJ$113,0)),"")</f>
        <v>PRIVACION ILEGITIMA DE LA LIBERTAD PRODUCIDO  POR FUNCIONARIO PUBLICO C/DETENIDOS</v>
      </c>
      <c r="KG31" s="207" t="str">
        <f>IFERROR(INDEX($A$2:$A$113,MATCH(ROWS($GK$2:GK31),$GK$2:$GK$113,0)),"")</f>
        <v>PRIVACION ILEGITIMA DE LA LIBERTAD PRODUCIDO  POR FUNCIONARIO PUBLICO C/DETENIDOS</v>
      </c>
      <c r="KH31" s="207" t="str">
        <f>IFERROR(INDEX($A$2:$A$113,MATCH(ROWS($GL$2:GL31),$GL$2:$GL$113,0)),"")</f>
        <v>PRIVACION ILEGITIMA DE LA LIBERTAD PRODUCIDO  POR FUNCIONARIO PUBLICO C/DETENIDOS</v>
      </c>
      <c r="KI31" s="207" t="str">
        <f>IFERROR(INDEX($A$2:$A$113,MATCH(ROWS($GM$2:GM31),$GM$2:$GM$113,0)),"")</f>
        <v>PRIVACION ILEGITIMA DE LA LIBERTAD PRODUCIDO  POR FUNCIONARIO PUBLICO C/DETENIDOS</v>
      </c>
      <c r="KJ31" s="207" t="str">
        <f>IFERROR(INDEX($A$2:$A$113,MATCH(ROWS($GN$2:GN31),$GN$2:$GN$113,0)),"")</f>
        <v>PRIVACION ILEGITIMA DE LA LIBERTAD PRODUCIDO  POR FUNCIONARIO PUBLICO C/DETENIDOS</v>
      </c>
      <c r="KK31" s="207" t="str">
        <f>IFERROR(INDEX($A$2:$A$113,MATCH(ROWS($GO$2:GO31),$GO$2:$GO$113,0)),"")</f>
        <v>PRIVACION ILEGITIMA DE LA LIBERTAD PRODUCIDO  POR FUNCIONARIO PUBLICO C/DETENIDOS</v>
      </c>
      <c r="KL31" s="207" t="str">
        <f>IFERROR(INDEX($A$2:$A$113,MATCH(ROWS($GP$2:GP31),$GP$2:$GP$113,0)),"")</f>
        <v>PRIVACION ILEGITIMA DE LA LIBERTAD PRODUCIDO  POR FUNCIONARIO PUBLICO C/DETENIDOS</v>
      </c>
      <c r="KM31" s="207" t="str">
        <f>IFERROR(INDEX($A$2:$A$113,MATCH(ROWS($GQ$2:GQ31),$GQ$2:$GQ$113,0)),"")</f>
        <v>PRIVACION ILEGITIMA DE LA LIBERTAD PRODUCIDO  POR FUNCIONARIO PUBLICO C/DETENIDOS</v>
      </c>
      <c r="KN31" s="207" t="str">
        <f>IFERROR(INDEX($A$2:$A$113,MATCH(ROWS($GR$2:GR31),$GR$2:$GR$113,0)),"")</f>
        <v>PRIVACION ILEGITIMA DE LA LIBERTAD PRODUCIDO  POR FUNCIONARIO PUBLICO C/DETENIDOS</v>
      </c>
      <c r="KO31" s="207" t="str">
        <f>IFERROR(INDEX($A$2:$A$113,MATCH(ROWS($GS$2:GS31),$GS$2:$GS$113,0)),"")</f>
        <v>PRIVACION ILEGITIMA DE LA LIBERTAD PRODUCIDO  POR FUNCIONARIO PUBLICO C/DETENIDOS</v>
      </c>
      <c r="KP31" s="207" t="str">
        <f>IFERROR(INDEX($A$2:$A$113,MATCH(ROWS($GT$2:GT31),$GT$2:$GT$113,0)),"")</f>
        <v>PRIVACION ILEGITIMA DE LA LIBERTAD PRODUCIDO  POR FUNCIONARIO PUBLICO C/DETENIDOS</v>
      </c>
      <c r="KQ31" s="207" t="str">
        <f>IFERROR(INDEX($A$2:$A$113,MATCH(ROWS($GU$2:GU31),$GU$2:$GU$113,0)),"")</f>
        <v>PRIVACION ILEGITIMA DE LA LIBERTAD PRODUCIDO  POR FUNCIONARIO PUBLICO C/DETENIDOS</v>
      </c>
      <c r="KR31" s="207" t="str">
        <f>IFERROR(INDEX($A$2:$A$113,MATCH(ROWS($GV$2:GV31),$GV$2:$GV$113,0)),"")</f>
        <v>PRIVACION ILEGITIMA DE LA LIBERTAD PRODUCIDO  POR FUNCIONARIO PUBLICO C/DETENIDOS</v>
      </c>
      <c r="KS31" s="207" t="str">
        <f>IFERROR(INDEX($A$2:$A$113,MATCH(ROWS($GW$2:GW31),$GW$2:$GW$113,0)),"")</f>
        <v>PRIVACION ILEGITIMA DE LA LIBERTAD PRODUCIDO  POR FUNCIONARIO PUBLICO C/DETENIDOS</v>
      </c>
    </row>
    <row r="32" spans="1:305" x14ac:dyDescent="0.25">
      <c r="A32" s="206" t="s">
        <v>919</v>
      </c>
      <c r="B32" s="206" t="s">
        <v>75</v>
      </c>
      <c r="D32" s="206" t="s">
        <v>791</v>
      </c>
      <c r="E32" s="206" t="s">
        <v>76</v>
      </c>
      <c r="F32" s="207">
        <f>--ISNUMBER(IFERROR(SEARCH('PLANILLA DJ'!$X$3,$A32,1),""))</f>
        <v>1</v>
      </c>
      <c r="G32" s="207">
        <f>--ISNUMBER(IFERROR(SEARCH('PLANILLA DJ'!$X$4,$A32,1),""))</f>
        <v>1</v>
      </c>
      <c r="H32" s="207">
        <f>--ISNUMBER(IFERROR(SEARCH('PLANILLA DJ'!$X$5,$A32,1),""))</f>
        <v>1</v>
      </c>
      <c r="I32" s="207">
        <f>--ISNUMBER(IFERROR(SEARCH('PLANILLA DJ'!$X$6,$A32,1),""))</f>
        <v>1</v>
      </c>
      <c r="J32" s="207">
        <f>--ISNUMBER(IFERROR(SEARCH('PLANILLA DJ'!$X$7,$A32,1),""))</f>
        <v>1</v>
      </c>
      <c r="K32" s="207">
        <f>--ISNUMBER(IFERROR(SEARCH('PLANILLA DJ'!$X$8,$A32,1),""))</f>
        <v>1</v>
      </c>
      <c r="L32" s="207">
        <f>--ISNUMBER(IFERROR(SEARCH('PLANILLA DJ'!$X$9,$A32,1),""))</f>
        <v>1</v>
      </c>
      <c r="M32" s="207">
        <f>--ISNUMBER(IFERROR(SEARCH('PLANILLA DJ'!$X$10,$A32,1),""))</f>
        <v>1</v>
      </c>
      <c r="N32" s="207">
        <f>--ISNUMBER(IFERROR(SEARCH('PLANILLA DJ'!$X$11,$A32,1),""))</f>
        <v>1</v>
      </c>
      <c r="O32" s="207">
        <f>--ISNUMBER(IFERROR(SEARCH('PLANILLA DJ'!$X$12,$A32,1),""))</f>
        <v>1</v>
      </c>
      <c r="P32" s="207">
        <f>--ISNUMBER(IFERROR(SEARCH('PLANILLA DJ'!$X$13,$A32,1),""))</f>
        <v>1</v>
      </c>
      <c r="Q32" s="207">
        <f>--ISNUMBER(IFERROR(SEARCH('PLANILLA DJ'!$X$14,$A32,1),""))</f>
        <v>1</v>
      </c>
      <c r="R32" s="207">
        <f>--ISNUMBER(IFERROR(SEARCH('PLANILLA DJ'!$X$15,$A32,1),""))</f>
        <v>1</v>
      </c>
      <c r="S32" s="207">
        <f>--ISNUMBER(IFERROR(SEARCH('PLANILLA DJ'!$X$16,$A32,1),""))</f>
        <v>1</v>
      </c>
      <c r="T32" s="207">
        <f>--ISNUMBER(IFERROR(SEARCH('PLANILLA DJ'!$X$17,$A32,1),""))</f>
        <v>1</v>
      </c>
      <c r="U32" s="207">
        <f>--ISNUMBER(IFERROR(SEARCH('PLANILLA DJ'!$X$18,$A32,1),""))</f>
        <v>1</v>
      </c>
      <c r="V32" s="207">
        <f>--ISNUMBER(IFERROR(SEARCH('PLANILLA DJ'!$X$19,$A32,1),""))</f>
        <v>1</v>
      </c>
      <c r="W32" s="207">
        <f>--ISNUMBER(IFERROR(SEARCH('PLANILLA DJ'!$X$20,$A32,1),""))</f>
        <v>1</v>
      </c>
      <c r="X32" s="207">
        <f>--ISNUMBER(IFERROR(SEARCH('PLANILLA DJ'!$X$21,$A32,1),""))</f>
        <v>1</v>
      </c>
      <c r="Y32" s="207">
        <f>--ISNUMBER(IFERROR(SEARCH('PLANILLA DJ'!$X$22,$A32,1),""))</f>
        <v>1</v>
      </c>
      <c r="Z32" s="207">
        <f>--ISNUMBER(IFERROR(SEARCH('PLANILLA DJ'!$X$23,$A32,1),""))</f>
        <v>1</v>
      </c>
      <c r="AA32" s="207">
        <f>--ISNUMBER(IFERROR(SEARCH('PLANILLA DJ'!$X$24,$A32,1),""))</f>
        <v>1</v>
      </c>
      <c r="AB32" s="207">
        <f>--ISNUMBER(IFERROR(SEARCH('PLANILLA DJ'!$X$25,$A32,1),""))</f>
        <v>1</v>
      </c>
      <c r="AC32" s="207">
        <f>--ISNUMBER(IFERROR(SEARCH('PLANILLA DJ'!$X$26,$A32,1),""))</f>
        <v>1</v>
      </c>
      <c r="AD32" s="207">
        <f>--ISNUMBER(IFERROR(SEARCH('PLANILLA DJ'!$X$27,$A32,1),""))</f>
        <v>1</v>
      </c>
      <c r="AE32" s="207">
        <f>--ISNUMBER(IFERROR(SEARCH('PLANILLA DJ'!$X$28,$A32,1),""))</f>
        <v>1</v>
      </c>
      <c r="AF32" s="207">
        <f>--ISNUMBER(IFERROR(SEARCH('PLANILLA DJ'!$X$29,$A32,1),""))</f>
        <v>1</v>
      </c>
      <c r="AG32" s="207">
        <f>--ISNUMBER(IFERROR(SEARCH('PLANILLA DJ'!$X$30,$A32,1),""))</f>
        <v>1</v>
      </c>
      <c r="AH32" s="207">
        <f>--ISNUMBER(IFERROR(SEARCH('PLANILLA DJ'!$X$31,$A32,1),""))</f>
        <v>1</v>
      </c>
      <c r="AI32" s="207">
        <f>--ISNUMBER(IFERROR(SEARCH('PLANILLA DJ'!$X$32,$A32,1),""))</f>
        <v>1</v>
      </c>
      <c r="AJ32" s="207">
        <f>--ISNUMBER(IFERROR(SEARCH('PLANILLA DJ'!$X$33,$A32,1),""))</f>
        <v>1</v>
      </c>
      <c r="AK32" s="207">
        <f>--ISNUMBER(IFERROR(SEARCH('PLANILLA DJ'!$X$34,$A32,1),""))</f>
        <v>1</v>
      </c>
      <c r="AL32" s="207">
        <f>--ISNUMBER(IFERROR(SEARCH('PLANILLA DJ'!$X$35,$A32,1),""))</f>
        <v>1</v>
      </c>
      <c r="AM32" s="207">
        <f>--ISNUMBER(IFERROR(SEARCH('PLANILLA DJ'!$X$36,$A32,1),""))</f>
        <v>1</v>
      </c>
      <c r="AN32" s="207">
        <f>--ISNUMBER(IFERROR(SEARCH('PLANILLA DJ'!$X$37,$A32,1),""))</f>
        <v>1</v>
      </c>
      <c r="AO32" s="207">
        <f>--ISNUMBER(IFERROR(SEARCH('PLANILLA DJ'!$X$38,$A32,1),""))</f>
        <v>1</v>
      </c>
      <c r="AP32" s="207">
        <f>--ISNUMBER(IFERROR(SEARCH('PLANILLA DJ'!$X$39,$A32,1),""))</f>
        <v>1</v>
      </c>
      <c r="AQ32" s="207">
        <f>--ISNUMBER(IFERROR(SEARCH('PLANILLA DJ'!$X$40,$A32,1),""))</f>
        <v>1</v>
      </c>
      <c r="AR32" s="207">
        <f>--ISNUMBER(IFERROR(SEARCH('PLANILLA DJ'!$X$41,$A32,1),""))</f>
        <v>1</v>
      </c>
      <c r="AS32" s="207">
        <f>--ISNUMBER(IFERROR(SEARCH('PLANILLA DJ'!$X$42,$A32,1),""))</f>
        <v>1</v>
      </c>
      <c r="AT32" s="207">
        <f>--ISNUMBER(IFERROR(SEARCH('PLANILLA DJ'!$X$43,$A32,1),""))</f>
        <v>1</v>
      </c>
      <c r="AU32" s="207">
        <f>--ISNUMBER(IFERROR(SEARCH('PLANILLA DJ'!$X$44,$A32,1),""))</f>
        <v>1</v>
      </c>
      <c r="AV32" s="207">
        <f>--ISNUMBER(IFERROR(SEARCH('PLANILLA DJ'!$X$45,$A32,1),""))</f>
        <v>1</v>
      </c>
      <c r="AW32" s="207">
        <f>--ISNUMBER(IFERROR(SEARCH('PLANILLA DJ'!$X$46,$A32,1),""))</f>
        <v>1</v>
      </c>
      <c r="AX32" s="207">
        <f>--ISNUMBER(IFERROR(SEARCH('PLANILLA DJ'!$X$47,$A32,1),""))</f>
        <v>1</v>
      </c>
      <c r="AY32" s="207">
        <f>--ISNUMBER(IFERROR(SEARCH('PLANILLA DJ'!$X$48,$A32,1),""))</f>
        <v>1</v>
      </c>
      <c r="AZ32" s="207">
        <f>--ISNUMBER(IFERROR(SEARCH('PLANILLA DJ'!$X$49,$A32,1),""))</f>
        <v>1</v>
      </c>
      <c r="BA32" s="207">
        <f>--ISNUMBER(IFERROR(SEARCH('PLANILLA DJ'!$X$50,$A32,1),""))</f>
        <v>1</v>
      </c>
      <c r="BB32" s="207">
        <f>--ISNUMBER(IFERROR(SEARCH('PLANILLA DJ'!$X$51,$A32,1),""))</f>
        <v>1</v>
      </c>
      <c r="BC32" s="207">
        <f>--ISNUMBER(IFERROR(SEARCH('PLANILLA DJ'!$X$52,$A32,1),""))</f>
        <v>1</v>
      </c>
      <c r="BD32" s="207">
        <f>--ISNUMBER(IFERROR(SEARCH('PLANILLA DJ'!$X$53,$A32,1),""))</f>
        <v>1</v>
      </c>
      <c r="BE32" s="207">
        <f>--ISNUMBER(IFERROR(SEARCH('PLANILLA DJ'!$X$54,$A32,1),""))</f>
        <v>1</v>
      </c>
      <c r="BF32" s="207">
        <f>--ISNUMBER(IFERROR(SEARCH('PLANILLA DJ'!$X$55,$A32,1),""))</f>
        <v>1</v>
      </c>
      <c r="BG32" s="207">
        <f>--ISNUMBER(IFERROR(SEARCH('PLANILLA DJ'!$X$56,$A32,1),""))</f>
        <v>1</v>
      </c>
      <c r="BH32" s="207">
        <f>--ISNUMBER(IFERROR(SEARCH('PLANILLA DJ'!$X$57,$A32,1),""))</f>
        <v>1</v>
      </c>
      <c r="BI32" s="207">
        <f>--ISNUMBER(IFERROR(SEARCH('PLANILLA DJ'!$X$58,$A32,1),""))</f>
        <v>1</v>
      </c>
      <c r="BJ32" s="207">
        <f>--ISNUMBER(IFERROR(SEARCH('PLANILLA DJ'!$X$59,$A32,1),""))</f>
        <v>1</v>
      </c>
      <c r="BK32" s="207">
        <f>--ISNUMBER(IFERROR(SEARCH('PLANILLA DJ'!$X$60,$A32,1),""))</f>
        <v>1</v>
      </c>
      <c r="BL32" s="207">
        <f>--ISNUMBER(IFERROR(SEARCH('PLANILLA DJ'!$X$61,$A32,1),""))</f>
        <v>1</v>
      </c>
      <c r="BM32" s="207">
        <f>--ISNUMBER(IFERROR(SEARCH('PLANILLA DJ'!$X$62,$A32,1),""))</f>
        <v>1</v>
      </c>
      <c r="BN32" s="207">
        <f>--ISNUMBER(IFERROR(SEARCH('PLANILLA DJ'!$X$63,$A32,1),""))</f>
        <v>1</v>
      </c>
      <c r="BO32" s="207">
        <f>--ISNUMBER(IFERROR(SEARCH('PLANILLA DJ'!$X$64,$A32,1),""))</f>
        <v>1</v>
      </c>
      <c r="BP32" s="207">
        <f>--ISNUMBER(IFERROR(SEARCH('PLANILLA DJ'!$X$65,$A32,1),""))</f>
        <v>1</v>
      </c>
      <c r="BQ32" s="207">
        <f>--ISNUMBER(IFERROR(SEARCH('PLANILLA DJ'!$X$66,$A32,1),""))</f>
        <v>1</v>
      </c>
      <c r="BR32" s="207">
        <f>--ISNUMBER(IFERROR(SEARCH('PLANILLA DJ'!$X$67,$A32,1),""))</f>
        <v>1</v>
      </c>
      <c r="BS32" s="207">
        <f>--ISNUMBER(IFERROR(SEARCH('PLANILLA DJ'!$X$68,$A32,1),""))</f>
        <v>1</v>
      </c>
      <c r="BT32" s="207">
        <f>--ISNUMBER(IFERROR(SEARCH('PLANILLA DJ'!$X$69,$A32,1),""))</f>
        <v>1</v>
      </c>
      <c r="BU32" s="207">
        <f>--ISNUMBER(IFERROR(SEARCH('PLANILLA DJ'!$X$70,$A32,1),""))</f>
        <v>1</v>
      </c>
      <c r="BV32" s="207">
        <f>--ISNUMBER(IFERROR(SEARCH('PLANILLA DJ'!$X$71,$A32,1),""))</f>
        <v>1</v>
      </c>
      <c r="BW32" s="207">
        <f>--ISNUMBER(IFERROR(SEARCH('PLANILLA DJ'!$X$72,$A32,1),""))</f>
        <v>1</v>
      </c>
      <c r="BX32" s="207">
        <f>--ISNUMBER(IFERROR(SEARCH('PLANILLA DJ'!$X$73,$A32,1),""))</f>
        <v>1</v>
      </c>
      <c r="BY32" s="207">
        <f>--ISNUMBER(IFERROR(SEARCH('PLANILLA DJ'!$X$74,$A32,1),""))</f>
        <v>1</v>
      </c>
      <c r="BZ32" s="207">
        <f>--ISNUMBER(IFERROR(SEARCH('PLANILLA DJ'!$X$75,$A32,1),""))</f>
        <v>1</v>
      </c>
      <c r="CA32" s="207">
        <f>--ISNUMBER(IFERROR(SEARCH('PLANILLA DJ'!$X$76,$A32,1),""))</f>
        <v>1</v>
      </c>
      <c r="CB32" s="207">
        <f>--ISNUMBER(IFERROR(SEARCH('PLANILLA DJ'!$X$77,$A32,1),""))</f>
        <v>1</v>
      </c>
      <c r="CC32" s="207">
        <f>--ISNUMBER(IFERROR(SEARCH('PLANILLA DJ'!$X$78,$A32,1),""))</f>
        <v>1</v>
      </c>
      <c r="CD32" s="207">
        <f>--ISNUMBER(IFERROR(SEARCH('PLANILLA DJ'!$X$79,$A32,1),""))</f>
        <v>1</v>
      </c>
      <c r="CE32" s="207">
        <f>--ISNUMBER(IFERROR(SEARCH('PLANILLA DJ'!$X$80,$A32,1),""))</f>
        <v>1</v>
      </c>
      <c r="CF32" s="207">
        <f>--ISNUMBER(IFERROR(SEARCH('PLANILLA DJ'!$X$81,$A32,1),""))</f>
        <v>1</v>
      </c>
      <c r="CG32" s="207">
        <f>--ISNUMBER(IFERROR(SEARCH('PLANILLA DJ'!$X$82,$A32,1),""))</f>
        <v>1</v>
      </c>
      <c r="CH32" s="207">
        <f>--ISNUMBER(IFERROR(SEARCH('PLANILLA DJ'!$X$83,$A32,1),""))</f>
        <v>1</v>
      </c>
      <c r="CI32" s="207">
        <f>--ISNUMBER(IFERROR(SEARCH('PLANILLA DJ'!$X$84,$A32,1),""))</f>
        <v>1</v>
      </c>
      <c r="CJ32" s="207">
        <f>--ISNUMBER(IFERROR(SEARCH('PLANILLA DJ'!$X$85,$A32,1),""))</f>
        <v>1</v>
      </c>
      <c r="CK32" s="207">
        <f>--ISNUMBER(IFERROR(SEARCH('PLANILLA DJ'!$X$86,$A32,1),""))</f>
        <v>1</v>
      </c>
      <c r="CL32" s="207">
        <f>--ISNUMBER(IFERROR(SEARCH('PLANILLA DJ'!$X$87,$A32,1),""))</f>
        <v>1</v>
      </c>
      <c r="CM32" s="207">
        <f>--ISNUMBER(IFERROR(SEARCH('PLANILLA DJ'!$X$88,$A32,1),""))</f>
        <v>1</v>
      </c>
      <c r="CN32" s="207">
        <f>--ISNUMBER(IFERROR(SEARCH('PLANILLA DJ'!$X$89,$A32,1),""))</f>
        <v>1</v>
      </c>
      <c r="CO32" s="207">
        <f>--ISNUMBER(IFERROR(SEARCH('PLANILLA DJ'!$X$90,$A32,1),""))</f>
        <v>1</v>
      </c>
      <c r="CP32" s="207">
        <f>--ISNUMBER(IFERROR(SEARCH('PLANILLA DJ'!$X$91,$A32,1),""))</f>
        <v>1</v>
      </c>
      <c r="CQ32" s="207">
        <f>--ISNUMBER(IFERROR(SEARCH('PLANILLA DJ'!$X$92,$A32,1),""))</f>
        <v>1</v>
      </c>
      <c r="CR32" s="207">
        <f>--ISNUMBER(IFERROR(SEARCH('PLANILLA DJ'!$X$93,$A32,1),""))</f>
        <v>1</v>
      </c>
      <c r="CS32" s="207">
        <f>--ISNUMBER(IFERROR(SEARCH('PLANILLA DJ'!$X$94,$A32,1),""))</f>
        <v>1</v>
      </c>
      <c r="CT32" s="207">
        <f>--ISNUMBER(IFERROR(SEARCH('PLANILLA DJ'!$X$95,$A32,1),""))</f>
        <v>1</v>
      </c>
      <c r="CU32" s="207">
        <f>--ISNUMBER(IFERROR(SEARCH('PLANILLA DJ'!$X$96,$A32,1),""))</f>
        <v>1</v>
      </c>
      <c r="CV32" s="207">
        <f>--ISNUMBER(IFERROR(SEARCH('PLANILLA DJ'!$X$97,$A32,1),""))</f>
        <v>1</v>
      </c>
      <c r="CW32" s="207">
        <f>--ISNUMBER(IFERROR(SEARCH('PLANILLA DJ'!$X$98,$A32,1),""))</f>
        <v>1</v>
      </c>
      <c r="CX32" s="207">
        <f>--ISNUMBER(IFERROR(SEARCH('PLANILLA DJ'!$X$99,$A32,1),""))</f>
        <v>1</v>
      </c>
      <c r="CY32" s="207">
        <f>--ISNUMBER(IFERROR(SEARCH('PLANILLA DJ'!$X$100,$A32,1),""))</f>
        <v>1</v>
      </c>
      <c r="CZ32" s="207">
        <f>--ISNUMBER(IFERROR(SEARCH('PLANILLA DJ'!$X$101,$A32,1),""))</f>
        <v>1</v>
      </c>
      <c r="DA32" s="207">
        <f>--ISNUMBER(IFERROR(SEARCH('PLANILLA DJ'!$X$102,$A32,1),""))</f>
        <v>1</v>
      </c>
      <c r="DB32" s="206">
        <f>IF(F32=1,COUNTIF($F$2:F32,1),"")</f>
        <v>31</v>
      </c>
      <c r="DC32" s="206">
        <f>IF(G32=1,COUNTIF($G$2:G32,1),"")</f>
        <v>31</v>
      </c>
      <c r="DD32" s="206">
        <f>IF(H32=1,COUNTIF($H$2:H32,1),"")</f>
        <v>31</v>
      </c>
      <c r="DE32" s="206">
        <f>IF(I32=1,COUNTIF($I$2:I32,1),"")</f>
        <v>31</v>
      </c>
      <c r="DF32" s="206">
        <f>IF(J32=1,COUNTIF($J$2:J32,1),"")</f>
        <v>31</v>
      </c>
      <c r="DG32" s="206">
        <f>IF(K32=1,COUNTIF($K$2:K32,1),"")</f>
        <v>31</v>
      </c>
      <c r="DH32" s="206">
        <f>IF(L32=1,COUNTIF($L$2:L32,1),"")</f>
        <v>31</v>
      </c>
      <c r="DI32" s="206">
        <f>IF(M32=1,COUNTIF($M$2:M32,1),"")</f>
        <v>31</v>
      </c>
      <c r="DJ32" s="206">
        <f>IF(N32=1,COUNTIF($N$2:N32,1),"")</f>
        <v>31</v>
      </c>
      <c r="DK32" s="206">
        <f>IF(O32=1,COUNTIF($O$2:O32,1),"")</f>
        <v>31</v>
      </c>
      <c r="DL32" s="206">
        <f>IF(P32=1,COUNTIF($P$2:P32,1),"")</f>
        <v>31</v>
      </c>
      <c r="DM32" s="206">
        <f>IF(Q32=1,COUNTIF($Q$2:Q32,1),"")</f>
        <v>31</v>
      </c>
      <c r="DN32" s="207">
        <f>IF(R32=1,COUNTIF($R$2:R32,1),"")</f>
        <v>31</v>
      </c>
      <c r="DO32" s="207">
        <f>IF(S32=1,COUNTIF($S$2:S32,1),"")</f>
        <v>31</v>
      </c>
      <c r="DP32" s="207">
        <f>IF(T32=1,COUNTIF($T$2:T32,1),"")</f>
        <v>31</v>
      </c>
      <c r="DQ32" s="207">
        <f>IF(U32=1,COUNTIF($U$2:U32,1),"")</f>
        <v>31</v>
      </c>
      <c r="DR32" s="207">
        <f>IF(V32=1,COUNTIF($V$2:V32,1),"")</f>
        <v>31</v>
      </c>
      <c r="DS32" s="207">
        <f>IF(W32=1,COUNTIF($W$2:W32,1),"")</f>
        <v>31</v>
      </c>
      <c r="DT32" s="207">
        <f>IF(X32=1,COUNTIF($X$2:X32,1),"")</f>
        <v>31</v>
      </c>
      <c r="DU32" s="207">
        <f>IF(Y32=1,COUNTIF($Y$2:Y32,1),"")</f>
        <v>31</v>
      </c>
      <c r="DV32" s="207">
        <f>IF(Z32=1,COUNTIF(Z$2:Z32,1),"")</f>
        <v>31</v>
      </c>
      <c r="DW32" s="207">
        <f>IF(AA32=1,COUNTIF($AA$2:AA32,1),"")</f>
        <v>31</v>
      </c>
      <c r="DX32" s="207">
        <f>IF(AB32=1,COUNTIF($AB$2:AB32,1),"")</f>
        <v>31</v>
      </c>
      <c r="DY32" s="207">
        <f>IF(AC32=1,COUNTIF($AC$2:AC32,1),"")</f>
        <v>31</v>
      </c>
      <c r="DZ32" s="207">
        <f>IF(AD32=1,COUNTIF($AD$2:AD32,1),"")</f>
        <v>31</v>
      </c>
      <c r="EA32" s="207">
        <f>IF(AE32=1,COUNTIF($AE$2:AE32,1),"")</f>
        <v>31</v>
      </c>
      <c r="EB32" s="207">
        <f>IF(AF32=1,COUNTIF($AF$2:AF32,1),"")</f>
        <v>31</v>
      </c>
      <c r="EC32" s="207">
        <f>IF(AG32=1,COUNTIF($AG$2:AG32,1),"")</f>
        <v>31</v>
      </c>
      <c r="ED32" s="207">
        <f>IF(AH32=1,COUNTIF($AH$2:AH32,1),"")</f>
        <v>31</v>
      </c>
      <c r="EE32" s="207">
        <f>IF(AI32=1,COUNTIF($AI$2:AI32,1),"")</f>
        <v>31</v>
      </c>
      <c r="EF32" s="207">
        <f>IF(AJ32=1,COUNTIF($AJ$2:AJ32,1),"")</f>
        <v>31</v>
      </c>
      <c r="EG32" s="207">
        <f>IF(AK32=1,COUNTIF($AK$2:AK32,1),"")</f>
        <v>31</v>
      </c>
      <c r="EH32" s="207">
        <f>IF(AL32=1,COUNTIF($AL$2:AL32,1),"")</f>
        <v>31</v>
      </c>
      <c r="EI32" s="207">
        <f>IF(AM32=1,COUNTIF($AM$2:AM32,1),"")</f>
        <v>31</v>
      </c>
      <c r="EJ32" s="207">
        <f>IF(AN32=1,COUNTIF($AN$2:AN32,1),"")</f>
        <v>31</v>
      </c>
      <c r="EK32" s="207">
        <f>IF(AO32=1,COUNTIF($AO$2:AO32,1),"")</f>
        <v>31</v>
      </c>
      <c r="EL32" s="207">
        <f>IF(AP32=1,COUNTIF($AP$2:AP32,1),"")</f>
        <v>31</v>
      </c>
      <c r="EM32" s="207">
        <f>IF(AQ32=1,COUNTIF($AQ$2:AQ32,1),"")</f>
        <v>31</v>
      </c>
      <c r="EN32" s="207">
        <f>IF(AR32=1,COUNTIF($AR$2:AR32,1),"")</f>
        <v>31</v>
      </c>
      <c r="EO32" s="207">
        <f>IF(AS32=1,COUNTIF($AS$2:AS32,1),"")</f>
        <v>31</v>
      </c>
      <c r="EP32" s="207">
        <f>IF(AT32=1,COUNTIF($AT$2:AT32,1),"")</f>
        <v>31</v>
      </c>
      <c r="EQ32" s="207">
        <f>IF(AU32=1,COUNTIF($AU$2:AU32,1),"")</f>
        <v>31</v>
      </c>
      <c r="ER32" s="207">
        <f>IF(AV32=1,COUNTIF($AV$2:AV32,1),"")</f>
        <v>31</v>
      </c>
      <c r="ES32" s="207">
        <f>IF(AW32=1,COUNTIF($AW$2:AW32,1),"")</f>
        <v>31</v>
      </c>
      <c r="ET32" s="207">
        <f>IF(AX32=1,COUNTIF($AX$2:AX32,1),"")</f>
        <v>31</v>
      </c>
      <c r="EU32" s="207">
        <f>IF(AY32=1,COUNTIF($AY$2:AY32,1),"")</f>
        <v>31</v>
      </c>
      <c r="EV32" s="207">
        <f>IF(AZ32=1,COUNTIF($AZ$2:AZ32,1),"")</f>
        <v>31</v>
      </c>
      <c r="EW32" s="207">
        <f>IF(BA32=1,COUNTIF($BA$2:BA32,1),"")</f>
        <v>31</v>
      </c>
      <c r="EX32" s="207">
        <f>IF(BB32=1,COUNTIF($BB$2:BB32,1),"")</f>
        <v>31</v>
      </c>
      <c r="EY32" s="207">
        <f>IF(BC32=1,COUNTIF($BC$2:BC32,1),"")</f>
        <v>31</v>
      </c>
      <c r="EZ32" s="207">
        <f>IF(BD32=1,COUNTIF($BD$2:BD32,1),"")</f>
        <v>31</v>
      </c>
      <c r="FA32" s="207">
        <f>IF(BE32=1,COUNTIF($BE$2:BE32,1),"")</f>
        <v>31</v>
      </c>
      <c r="FB32" s="207">
        <f>IF(BF32=1,COUNTIF($BF$2:BF32,1),"")</f>
        <v>31</v>
      </c>
      <c r="FC32" s="207">
        <f>IF(BG32=1,COUNTIF($BG$2:BG32,1),"")</f>
        <v>31</v>
      </c>
      <c r="FD32" s="207">
        <f>IF(BH32=1,COUNTIF($BH$2:BH32,1),"")</f>
        <v>31</v>
      </c>
      <c r="FE32" s="207">
        <f>IF(BI32=1,COUNTIF($BI$2:BI32,1),"")</f>
        <v>31</v>
      </c>
      <c r="FF32" s="207">
        <f>IF(BJ32=1,COUNTIF($BJ$2:BJ32,1),"")</f>
        <v>31</v>
      </c>
      <c r="FG32" s="207">
        <f>IF(BK32=1,COUNTIF($BK$2:BK32,1),"")</f>
        <v>31</v>
      </c>
      <c r="FH32" s="207">
        <f>IF(BL32=1,COUNTIF($BL$2:BL32,1),"")</f>
        <v>31</v>
      </c>
      <c r="FI32" s="207">
        <f>IF(BM32=1,COUNTIF($BM$2:BM32,1),"")</f>
        <v>31</v>
      </c>
      <c r="FJ32" s="207">
        <f>IF(BN32=1,COUNTIF($BN$2:BN32,1),"")</f>
        <v>31</v>
      </c>
      <c r="FK32" s="207">
        <f>IF(BO32=1,COUNTIF($BO$2:BO32,1),"")</f>
        <v>31</v>
      </c>
      <c r="FL32" s="207">
        <f>IF(BP32=1,COUNTIF($BP$2:BP32,1),"")</f>
        <v>31</v>
      </c>
      <c r="FM32" s="207">
        <f>IF(BQ32=1,COUNTIF($BQ$2:BQ32,1),"")</f>
        <v>31</v>
      </c>
      <c r="FN32" s="207">
        <f>IF(BR32=1,COUNTIF($BR$2:BR32,1),"")</f>
        <v>31</v>
      </c>
      <c r="FO32" s="207">
        <f>IF(BS32=1,COUNTIF($BS$2:BS32,1),"")</f>
        <v>31</v>
      </c>
      <c r="FP32" s="207">
        <f>IF(BT32=1,COUNTIF($BT$2:BT32,1),"")</f>
        <v>31</v>
      </c>
      <c r="FQ32" s="207">
        <f>IF(BU32=1,COUNTIF($BU$2:BU32,1),"")</f>
        <v>31</v>
      </c>
      <c r="FR32" s="207">
        <f>IF(BV32=1,COUNTIF($BV$2:BV32,1),"")</f>
        <v>31</v>
      </c>
      <c r="FS32" s="207">
        <f>IF(BW32=1,COUNTIF($BW$2:BW32,1),"")</f>
        <v>31</v>
      </c>
      <c r="FT32" s="207">
        <f>IF(BX32=1,COUNTIF($BX$2:BX32,1),"")</f>
        <v>31</v>
      </c>
      <c r="FU32" s="207">
        <f>IF(BY32=1,COUNTIF($BY$2:BY32,1),"")</f>
        <v>31</v>
      </c>
      <c r="FV32" s="207">
        <f>IF(BZ32=1,COUNTIF($BZ$2:BZ32,1),"")</f>
        <v>31</v>
      </c>
      <c r="FW32" s="207">
        <f>IF(CA32=1,COUNTIF($CA$2:CA32,1),"")</f>
        <v>31</v>
      </c>
      <c r="FX32" s="207">
        <f>IF(CB32=1,COUNTIF($CB$2:CB32,1),"")</f>
        <v>31</v>
      </c>
      <c r="FY32" s="207">
        <f>IF(CC32=1,COUNTIF($CC$2:CC32,1),"")</f>
        <v>31</v>
      </c>
      <c r="FZ32" s="207">
        <f>IF(CD32=1,COUNTIF($CD$2:CD32,1),"")</f>
        <v>31</v>
      </c>
      <c r="GA32" s="207">
        <f>IF(CE32=1,COUNTIF($CE$2:CE32,1),"")</f>
        <v>31</v>
      </c>
      <c r="GB32" s="207">
        <f>IF(CF32=1,COUNTIF($CF$2:CF32,1),"")</f>
        <v>31</v>
      </c>
      <c r="GC32" s="207">
        <f>IF(CG32=1,COUNTIF($CG$2:CG32,1),"")</f>
        <v>31</v>
      </c>
      <c r="GD32" s="207">
        <f>IF(CH32=1,COUNTIF($CH$2:CH32,1),"")</f>
        <v>31</v>
      </c>
      <c r="GE32" s="207">
        <f>IF(CI32=1,COUNTIF($CI$2:CI32,1),"")</f>
        <v>31</v>
      </c>
      <c r="GF32" s="207">
        <f>IF(CJ32=1,COUNTIF($CJ$2:CJ32,1),"")</f>
        <v>31</v>
      </c>
      <c r="GG32" s="207">
        <f>IF(CK32=1,COUNTIF($CK$2:CK32,1),"")</f>
        <v>31</v>
      </c>
      <c r="GH32" s="207">
        <f>IF(CL32=1,COUNTIF($CL$2:CL32,1),"")</f>
        <v>31</v>
      </c>
      <c r="GI32" s="207">
        <f>IF(CM32=1,COUNTIF($CM$2:CM32,1),"")</f>
        <v>31</v>
      </c>
      <c r="GJ32" s="207">
        <f>IF(CN32=1,COUNTIF($CN$2:CN32,1),"")</f>
        <v>31</v>
      </c>
      <c r="GK32" s="207">
        <f>IF(CO32=1,COUNTIF($CO$2:CO32,1),"")</f>
        <v>31</v>
      </c>
      <c r="GL32" s="207">
        <f>IF(CP32=1,COUNTIF($CP$2:CP32,1),"")</f>
        <v>31</v>
      </c>
      <c r="GM32" s="207">
        <f>IF(CQ32=1,COUNTIF($CQ$2:CQ32,1),"")</f>
        <v>31</v>
      </c>
      <c r="GN32" s="207">
        <f>IF(CR32=1,COUNTIF($CR$2:CR32,1),"")</f>
        <v>31</v>
      </c>
      <c r="GO32" s="207">
        <f>IF(CS32=1,COUNTIF($CS$2:CS32,1),"")</f>
        <v>31</v>
      </c>
      <c r="GP32" s="207">
        <f>IF(CT32=1,COUNTIF($CT$2:CT32,1),"")</f>
        <v>31</v>
      </c>
      <c r="GQ32" s="207">
        <f>IF(CU32=1,COUNTIF($CU$2:CU32,1),"")</f>
        <v>31</v>
      </c>
      <c r="GR32" s="207">
        <f>IF(CV32=1,COUNTIF($CV$2:CV32,1),"")</f>
        <v>31</v>
      </c>
      <c r="GS32" s="207">
        <f>IF(CW32=1,COUNTIF($CW$2:CW32,1),"")</f>
        <v>31</v>
      </c>
      <c r="GT32" s="207">
        <f>IF(CX32=1,COUNTIF($CX$2:CX32,1),"")</f>
        <v>31</v>
      </c>
      <c r="GU32" s="207">
        <f>IF(CY32=1,COUNTIF($CY$2:CY32,1),"")</f>
        <v>31</v>
      </c>
      <c r="GV32" s="207">
        <f>IF(CZ32=1,COUNTIF($CZ$2:CZ32,1),"")</f>
        <v>31</v>
      </c>
      <c r="GW32" s="207">
        <f>IF(DA32=1,COUNTIF($DA$2:DA32,1),"")</f>
        <v>31</v>
      </c>
      <c r="GX32" s="206" t="str">
        <f>IFERROR(INDEX($A$2:$A$113,MATCH(ROWS($DB$2:DB32),$DB$2:$DB$113,0)),"")</f>
        <v>PRIVACION ILEGITIMA DE LA LIBERTAD PRODUCIDA POR FUNCIONARIO PUBLICO CON ABUSO DE FUNCIONES, VEJACIONES, SEVERIDADES, APREMIOS ILEGALES</v>
      </c>
      <c r="GY32" s="206" t="str">
        <f>IFERROR(INDEX($A$2:$A$113,MATCH(ROWS($DC$2:DC32),$DC$2:$DC$113,0)),"")</f>
        <v>PRIVACION ILEGITIMA DE LA LIBERTAD PRODUCIDA POR FUNCIONARIO PUBLICO CON ABUSO DE FUNCIONES, VEJACIONES, SEVERIDADES, APREMIOS ILEGALES</v>
      </c>
      <c r="GZ32" s="206" t="str">
        <f>IFERROR(INDEX($A$2:$A$113,MATCH(ROWS($DD$2:DD32),$DD$2:$DD$113,0)),"")</f>
        <v>PRIVACION ILEGITIMA DE LA LIBERTAD PRODUCIDA POR FUNCIONARIO PUBLICO CON ABUSO DE FUNCIONES, VEJACIONES, SEVERIDADES, APREMIOS ILEGALES</v>
      </c>
      <c r="HA32" s="206" t="str">
        <f>IFERROR(INDEX($A$2:$A$113,MATCH(ROWS($DE$2:DE32),$DE$2:$DE$113,0)),"")</f>
        <v>PRIVACION ILEGITIMA DE LA LIBERTAD PRODUCIDA POR FUNCIONARIO PUBLICO CON ABUSO DE FUNCIONES, VEJACIONES, SEVERIDADES, APREMIOS ILEGALES</v>
      </c>
      <c r="HB32" s="206" t="str">
        <f>IFERROR(INDEX($A$2:$A$113,MATCH(ROWS($DF$2:DF32),$DF$2:$DF$113,0)),"")</f>
        <v>PRIVACION ILEGITIMA DE LA LIBERTAD PRODUCIDA POR FUNCIONARIO PUBLICO CON ABUSO DE FUNCIONES, VEJACIONES, SEVERIDADES, APREMIOS ILEGALES</v>
      </c>
      <c r="HC32" s="206" t="str">
        <f>IFERROR(INDEX($A$2:$A$113,MATCH(ROWS($DG$2:DG32),$DG$2:$DG$113,0)),"")</f>
        <v>PRIVACION ILEGITIMA DE LA LIBERTAD PRODUCIDA POR FUNCIONARIO PUBLICO CON ABUSO DE FUNCIONES, VEJACIONES, SEVERIDADES, APREMIOS ILEGALES</v>
      </c>
      <c r="HD32" s="206" t="str">
        <f>IFERROR(INDEX($A$2:$A$113,MATCH(ROWS($DH$2:DH32),$DH$2:$DH$113,0)),"")</f>
        <v>PRIVACION ILEGITIMA DE LA LIBERTAD PRODUCIDA POR FUNCIONARIO PUBLICO CON ABUSO DE FUNCIONES, VEJACIONES, SEVERIDADES, APREMIOS ILEGALES</v>
      </c>
      <c r="HE32" s="206" t="str">
        <f>IFERROR(INDEX($A$2:$A$113,MATCH(ROWS($DI$2:DI32),$DI$2:$DI$113,0)),"")</f>
        <v>PRIVACION ILEGITIMA DE LA LIBERTAD PRODUCIDA POR FUNCIONARIO PUBLICO CON ABUSO DE FUNCIONES, VEJACIONES, SEVERIDADES, APREMIOS ILEGALES</v>
      </c>
      <c r="HF32" s="206" t="str">
        <f>IFERROR(INDEX($A$2:$A$113,MATCH(ROWS($DJ$2:DJ32),$DJ$2:$DJ$113,0)),"")</f>
        <v>PRIVACION ILEGITIMA DE LA LIBERTAD PRODUCIDA POR FUNCIONARIO PUBLICO CON ABUSO DE FUNCIONES, VEJACIONES, SEVERIDADES, APREMIOS ILEGALES</v>
      </c>
      <c r="HG32" s="206" t="str">
        <f>IFERROR(INDEX($A$2:$A$113,MATCH(ROWS($DK$2:DK32),$DK$2:$DK$113,0)),"")</f>
        <v>PRIVACION ILEGITIMA DE LA LIBERTAD PRODUCIDA POR FUNCIONARIO PUBLICO CON ABUSO DE FUNCIONES, VEJACIONES, SEVERIDADES, APREMIOS ILEGALES</v>
      </c>
      <c r="HH32" s="206" t="str">
        <f>IFERROR(INDEX($A$2:$A$113,MATCH(ROWS($DL$2:DL32),$DL$2:$DL$113,0)),"")</f>
        <v>PRIVACION ILEGITIMA DE LA LIBERTAD PRODUCIDA POR FUNCIONARIO PUBLICO CON ABUSO DE FUNCIONES, VEJACIONES, SEVERIDADES, APREMIOS ILEGALES</v>
      </c>
      <c r="HI32" s="206" t="str">
        <f>IFERROR(INDEX($A$2:$A$113,MATCH(ROWS($DM$2:DM32),$DM$2:$DM$113,0)),"")</f>
        <v>PRIVACION ILEGITIMA DE LA LIBERTAD PRODUCIDA POR FUNCIONARIO PUBLICO CON ABUSO DE FUNCIONES, VEJACIONES, SEVERIDADES, APREMIOS ILEGALES</v>
      </c>
      <c r="HJ32" s="206" t="str">
        <f>IFERROR(INDEX($A$2:$A$113,MATCH(ROWS($DN$2:DN32),$DN$2:$DN$113,0)),"")</f>
        <v>PRIVACION ILEGITIMA DE LA LIBERTAD PRODUCIDA POR FUNCIONARIO PUBLICO CON ABUSO DE FUNCIONES, VEJACIONES, SEVERIDADES, APREMIOS ILEGALES</v>
      </c>
      <c r="HK32" s="206" t="str">
        <f>IFERROR(INDEX($A$2:$A$113,MATCH(ROWS($DO$2:DO32),$DO$2:$DO$113,0)),"")</f>
        <v>PRIVACION ILEGITIMA DE LA LIBERTAD PRODUCIDA POR FUNCIONARIO PUBLICO CON ABUSO DE FUNCIONES, VEJACIONES, SEVERIDADES, APREMIOS ILEGALES</v>
      </c>
      <c r="HL32" s="206" t="str">
        <f>IFERROR(INDEX($A$2:$A$113,MATCH(ROWS($DP$2:DP32),$DP$2:$DP$113,0)),"")</f>
        <v>PRIVACION ILEGITIMA DE LA LIBERTAD PRODUCIDA POR FUNCIONARIO PUBLICO CON ABUSO DE FUNCIONES, VEJACIONES, SEVERIDADES, APREMIOS ILEGALES</v>
      </c>
      <c r="HM32" s="206" t="str">
        <f>IFERROR(INDEX($A$2:$A$113,MATCH(ROWS($DQ$2:DQ32),$DQ$2:$DQ$113,0)),"")</f>
        <v>PRIVACION ILEGITIMA DE LA LIBERTAD PRODUCIDA POR FUNCIONARIO PUBLICO CON ABUSO DE FUNCIONES, VEJACIONES, SEVERIDADES, APREMIOS ILEGALES</v>
      </c>
      <c r="HN32" s="206" t="str">
        <f>IFERROR(INDEX($A$2:$A$113,MATCH(ROWS($DR$2:DR32),$DR$2:$DR$113,0)),"")</f>
        <v>PRIVACION ILEGITIMA DE LA LIBERTAD PRODUCIDA POR FUNCIONARIO PUBLICO CON ABUSO DE FUNCIONES, VEJACIONES, SEVERIDADES, APREMIOS ILEGALES</v>
      </c>
      <c r="HO32" s="206" t="str">
        <f>IFERROR(INDEX($A$2:$A$113,MATCH(ROWS($DS$2:DS32),$DS$2:$DS$113,0)),"")</f>
        <v>PRIVACION ILEGITIMA DE LA LIBERTAD PRODUCIDA POR FUNCIONARIO PUBLICO CON ABUSO DE FUNCIONES, VEJACIONES, SEVERIDADES, APREMIOS ILEGALES</v>
      </c>
      <c r="HP32" s="206" t="str">
        <f>IFERROR(INDEX($A$2:$A$113,MATCH(ROWS($DT$2:DT32),$DT$2:$DT$113,0)),"")</f>
        <v>PRIVACION ILEGITIMA DE LA LIBERTAD PRODUCIDA POR FUNCIONARIO PUBLICO CON ABUSO DE FUNCIONES, VEJACIONES, SEVERIDADES, APREMIOS ILEGALES</v>
      </c>
      <c r="HQ32" s="206" t="str">
        <f>IFERROR(INDEX($A$2:$A$113,MATCH(ROWS($DU$2:DU32),$DU$2:$DU$113,0)),"")</f>
        <v>PRIVACION ILEGITIMA DE LA LIBERTAD PRODUCIDA POR FUNCIONARIO PUBLICO CON ABUSO DE FUNCIONES, VEJACIONES, SEVERIDADES, APREMIOS ILEGALES</v>
      </c>
      <c r="HR32" s="206" t="str">
        <f>IFERROR(INDEX($A$2:$A$113,MATCH(ROWS($DV$2:DV32),$DV$2:$DV$113,0)),"")</f>
        <v>PRIVACION ILEGITIMA DE LA LIBERTAD PRODUCIDA POR FUNCIONARIO PUBLICO CON ABUSO DE FUNCIONES, VEJACIONES, SEVERIDADES, APREMIOS ILEGALES</v>
      </c>
      <c r="HS32" s="206" t="str">
        <f>IFERROR(INDEX($A$2:$A$113,MATCH(ROWS($DW$2:DW32),$DW$2:$DW$113,0)),"")</f>
        <v>PRIVACION ILEGITIMA DE LA LIBERTAD PRODUCIDA POR FUNCIONARIO PUBLICO CON ABUSO DE FUNCIONES, VEJACIONES, SEVERIDADES, APREMIOS ILEGALES</v>
      </c>
      <c r="HT32" s="206" t="str">
        <f>IFERROR(INDEX($A$2:$A$113,MATCH(ROWS($DX$2:DX32),$DX$2:$DX$113,0)),"")</f>
        <v>PRIVACION ILEGITIMA DE LA LIBERTAD PRODUCIDA POR FUNCIONARIO PUBLICO CON ABUSO DE FUNCIONES, VEJACIONES, SEVERIDADES, APREMIOS ILEGALES</v>
      </c>
      <c r="HU32" s="206" t="str">
        <f>IFERROR(INDEX($A$2:$A$113,MATCH(ROWS($DY$2:DY32),$DY$2:$DY$113,0)),"")</f>
        <v>PRIVACION ILEGITIMA DE LA LIBERTAD PRODUCIDA POR FUNCIONARIO PUBLICO CON ABUSO DE FUNCIONES, VEJACIONES, SEVERIDADES, APREMIOS ILEGALES</v>
      </c>
      <c r="HV32" s="206" t="str">
        <f>IFERROR(INDEX($A$2:$A$113,MATCH(ROWS($DZ$2:DZ32),$DZ$2:$DZ$113,0)),"")</f>
        <v>PRIVACION ILEGITIMA DE LA LIBERTAD PRODUCIDA POR FUNCIONARIO PUBLICO CON ABUSO DE FUNCIONES, VEJACIONES, SEVERIDADES, APREMIOS ILEGALES</v>
      </c>
      <c r="HW32" s="206" t="str">
        <f>IFERROR(INDEX($A$2:$A$113,MATCH(ROWS($EA$2:EA32),$EA$2:$EA$113,0)),"")</f>
        <v>PRIVACION ILEGITIMA DE LA LIBERTAD PRODUCIDA POR FUNCIONARIO PUBLICO CON ABUSO DE FUNCIONES, VEJACIONES, SEVERIDADES, APREMIOS ILEGALES</v>
      </c>
      <c r="HX32" s="206" t="str">
        <f>IFERROR(INDEX($A$2:$A$113,MATCH(ROWS($EB$2:EB32),$EB$2:$EB$113,0)),"")</f>
        <v>PRIVACION ILEGITIMA DE LA LIBERTAD PRODUCIDA POR FUNCIONARIO PUBLICO CON ABUSO DE FUNCIONES, VEJACIONES, SEVERIDADES, APREMIOS ILEGALES</v>
      </c>
      <c r="HY32" s="206" t="str">
        <f>IFERROR(INDEX($A$2:$A$113,MATCH(ROWS($EC$2:EC32),$EC$2:$EC$113,0)),"")</f>
        <v>PRIVACION ILEGITIMA DE LA LIBERTAD PRODUCIDA POR FUNCIONARIO PUBLICO CON ABUSO DE FUNCIONES, VEJACIONES, SEVERIDADES, APREMIOS ILEGALES</v>
      </c>
      <c r="HZ32" s="206" t="str">
        <f>IFERROR(INDEX($A$2:$A$113,MATCH(ROWS($ED$2:ED32),$ED$2:$ED$113,0)),"")</f>
        <v>PRIVACION ILEGITIMA DE LA LIBERTAD PRODUCIDA POR FUNCIONARIO PUBLICO CON ABUSO DE FUNCIONES, VEJACIONES, SEVERIDADES, APREMIOS ILEGALES</v>
      </c>
      <c r="IA32" s="206" t="str">
        <f>IFERROR(INDEX($A$2:$A$113,MATCH(ROWS($EE$2:EE32),$EE$2:$EE$113,0)),"")</f>
        <v>PRIVACION ILEGITIMA DE LA LIBERTAD PRODUCIDA POR FUNCIONARIO PUBLICO CON ABUSO DE FUNCIONES, VEJACIONES, SEVERIDADES, APREMIOS ILEGALES</v>
      </c>
      <c r="IB32" s="206" t="str">
        <f>IFERROR(INDEX($A$2:$A$113,MATCH(ROWS($EF$2:EF32),$EF$2:$EF$113,0)),"")</f>
        <v>PRIVACION ILEGITIMA DE LA LIBERTAD PRODUCIDA POR FUNCIONARIO PUBLICO CON ABUSO DE FUNCIONES, VEJACIONES, SEVERIDADES, APREMIOS ILEGALES</v>
      </c>
      <c r="IC32" s="206" t="str">
        <f>IFERROR(INDEX($A$2:$A$113,MATCH(ROWS($EG$2:EG32),$EG$2:$EG$113,0)),"")</f>
        <v>PRIVACION ILEGITIMA DE LA LIBERTAD PRODUCIDA POR FUNCIONARIO PUBLICO CON ABUSO DE FUNCIONES, VEJACIONES, SEVERIDADES, APREMIOS ILEGALES</v>
      </c>
      <c r="ID32" s="206" t="str">
        <f>IFERROR(INDEX($A$2:$A$113,MATCH(ROWS($EH$2:EH32),$EH$2:$EH$113,0)),"")</f>
        <v>PRIVACION ILEGITIMA DE LA LIBERTAD PRODUCIDA POR FUNCIONARIO PUBLICO CON ABUSO DE FUNCIONES, VEJACIONES, SEVERIDADES, APREMIOS ILEGALES</v>
      </c>
      <c r="IE32" s="206" t="str">
        <f>IFERROR(INDEX($A$2:$A$113,MATCH(ROWS($EI$2:EI32),$EI$2:$EI$113,0)),"")</f>
        <v>PRIVACION ILEGITIMA DE LA LIBERTAD PRODUCIDA POR FUNCIONARIO PUBLICO CON ABUSO DE FUNCIONES, VEJACIONES, SEVERIDADES, APREMIOS ILEGALES</v>
      </c>
      <c r="IF32" s="206" t="str">
        <f>IFERROR(INDEX($A$2:$A$113,MATCH(ROWS($EJ$2:EJ32),$EJ$2:$EJ$113,0)),"")</f>
        <v>PRIVACION ILEGITIMA DE LA LIBERTAD PRODUCIDA POR FUNCIONARIO PUBLICO CON ABUSO DE FUNCIONES, VEJACIONES, SEVERIDADES, APREMIOS ILEGALES</v>
      </c>
      <c r="IG32" s="206" t="str">
        <f>IFERROR(INDEX($A$2:$A$113,MATCH(ROWS($EK$2:EK32),$EK$2:$EK$113,0)),"")</f>
        <v>PRIVACION ILEGITIMA DE LA LIBERTAD PRODUCIDA POR FUNCIONARIO PUBLICO CON ABUSO DE FUNCIONES, VEJACIONES, SEVERIDADES, APREMIOS ILEGALES</v>
      </c>
      <c r="IH32" s="206" t="str">
        <f>IFERROR(INDEX($A$2:$A$113,MATCH(ROWS($EL$2:EL32),$EL$2:$EL$113,0)),"")</f>
        <v>PRIVACION ILEGITIMA DE LA LIBERTAD PRODUCIDA POR FUNCIONARIO PUBLICO CON ABUSO DE FUNCIONES, VEJACIONES, SEVERIDADES, APREMIOS ILEGALES</v>
      </c>
      <c r="II32" s="206" t="str">
        <f>IFERROR(INDEX($A$2:$A$113,MATCH(ROWS($EM$2:EM32),$EM$2:$EM$113,0)),"")</f>
        <v>PRIVACION ILEGITIMA DE LA LIBERTAD PRODUCIDA POR FUNCIONARIO PUBLICO CON ABUSO DE FUNCIONES, VEJACIONES, SEVERIDADES, APREMIOS ILEGALES</v>
      </c>
      <c r="IJ32" s="206" t="str">
        <f>IFERROR(INDEX($A$2:$A$113,MATCH(ROWS($EN$2:EN32),$EN$2:$EN$113,0)),"")</f>
        <v>PRIVACION ILEGITIMA DE LA LIBERTAD PRODUCIDA POR FUNCIONARIO PUBLICO CON ABUSO DE FUNCIONES, VEJACIONES, SEVERIDADES, APREMIOS ILEGALES</v>
      </c>
      <c r="IK32" s="207" t="str">
        <f>IFERROR(INDEX($A$2:$A$113,MATCH(ROWS($EO$2:EO32),$EO$2:$EO$113,0)),"")</f>
        <v>PRIVACION ILEGITIMA DE LA LIBERTAD PRODUCIDA POR FUNCIONARIO PUBLICO CON ABUSO DE FUNCIONES, VEJACIONES, SEVERIDADES, APREMIOS ILEGALES</v>
      </c>
      <c r="IL32" s="207" t="str">
        <f>IFERROR(INDEX($A$2:$A$113,MATCH(ROWS($EP$2:EP32),$EP$2:$EP$113,0)),"")</f>
        <v>PRIVACION ILEGITIMA DE LA LIBERTAD PRODUCIDA POR FUNCIONARIO PUBLICO CON ABUSO DE FUNCIONES, VEJACIONES, SEVERIDADES, APREMIOS ILEGALES</v>
      </c>
      <c r="IM32" s="207" t="str">
        <f>IFERROR(INDEX($A$2:$A$113,MATCH(ROWS($EQ$2:EQ32),$EQ$2:$EQ$113,0)),"")</f>
        <v>PRIVACION ILEGITIMA DE LA LIBERTAD PRODUCIDA POR FUNCIONARIO PUBLICO CON ABUSO DE FUNCIONES, VEJACIONES, SEVERIDADES, APREMIOS ILEGALES</v>
      </c>
      <c r="IN32" s="207" t="str">
        <f>IFERROR(INDEX($A$2:$A$113,MATCH(ROWS($ER$2:ER32),$ER$2:$ER$113,0)),"")</f>
        <v>PRIVACION ILEGITIMA DE LA LIBERTAD PRODUCIDA POR FUNCIONARIO PUBLICO CON ABUSO DE FUNCIONES, VEJACIONES, SEVERIDADES, APREMIOS ILEGALES</v>
      </c>
      <c r="IO32" s="207" t="str">
        <f>IFERROR(INDEX($A$2:$A$113,MATCH(ROWS($ES$2:ES32),$ES$2:$ES$113,0)),"")</f>
        <v>PRIVACION ILEGITIMA DE LA LIBERTAD PRODUCIDA POR FUNCIONARIO PUBLICO CON ABUSO DE FUNCIONES, VEJACIONES, SEVERIDADES, APREMIOS ILEGALES</v>
      </c>
      <c r="IP32" s="207" t="str">
        <f>IFERROR(INDEX($A$2:$A$113,MATCH(ROWS($ET$2:ET32),$ET$2:$ET$113,0)),"")</f>
        <v>PRIVACION ILEGITIMA DE LA LIBERTAD PRODUCIDA POR FUNCIONARIO PUBLICO CON ABUSO DE FUNCIONES, VEJACIONES, SEVERIDADES, APREMIOS ILEGALES</v>
      </c>
      <c r="IQ32" s="207" t="str">
        <f>IFERROR(INDEX($A$2:$A$113,MATCH(ROWS($EU$2:EU32),$EU$2:$EU$113,0)),"")</f>
        <v>PRIVACION ILEGITIMA DE LA LIBERTAD PRODUCIDA POR FUNCIONARIO PUBLICO CON ABUSO DE FUNCIONES, VEJACIONES, SEVERIDADES, APREMIOS ILEGALES</v>
      </c>
      <c r="IR32" s="207" t="str">
        <f>IFERROR(INDEX($A$2:$A$113,MATCH(ROWS($EV$2:EV32),$EV$2:$EV$113,0)),"")</f>
        <v>PRIVACION ILEGITIMA DE LA LIBERTAD PRODUCIDA POR FUNCIONARIO PUBLICO CON ABUSO DE FUNCIONES, VEJACIONES, SEVERIDADES, APREMIOS ILEGALES</v>
      </c>
      <c r="IS32" s="207" t="str">
        <f>IFERROR(INDEX($A$2:$A$113,MATCH(ROWS($EW$2:EW32),$EW$2:$EW$113,0)),"")</f>
        <v>PRIVACION ILEGITIMA DE LA LIBERTAD PRODUCIDA POR FUNCIONARIO PUBLICO CON ABUSO DE FUNCIONES, VEJACIONES, SEVERIDADES, APREMIOS ILEGALES</v>
      </c>
      <c r="IT32" s="207" t="str">
        <f>IFERROR(INDEX($A$2:$A$113,MATCH(ROWS($EX$2:EX32),$EX$2:$EX$113,0)),"")</f>
        <v>PRIVACION ILEGITIMA DE LA LIBERTAD PRODUCIDA POR FUNCIONARIO PUBLICO CON ABUSO DE FUNCIONES, VEJACIONES, SEVERIDADES, APREMIOS ILEGALES</v>
      </c>
      <c r="IU32" s="207" t="str">
        <f>IFERROR(INDEX($A$2:$A$113,MATCH(ROWS($EY$2:EY32),$EY$2:$EY$113,0)),"")</f>
        <v>PRIVACION ILEGITIMA DE LA LIBERTAD PRODUCIDA POR FUNCIONARIO PUBLICO CON ABUSO DE FUNCIONES, VEJACIONES, SEVERIDADES, APREMIOS ILEGALES</v>
      </c>
      <c r="IV32" s="207" t="str">
        <f>IFERROR(INDEX($A$2:$A$113,MATCH(ROWS($EZ$2:EZ32),$EZ$2:$EZ$113,0)),"")</f>
        <v>PRIVACION ILEGITIMA DE LA LIBERTAD PRODUCIDA POR FUNCIONARIO PUBLICO CON ABUSO DE FUNCIONES, VEJACIONES, SEVERIDADES, APREMIOS ILEGALES</v>
      </c>
      <c r="IW32" s="207" t="str">
        <f>IFERROR(INDEX($A$2:$A$113,MATCH(ROWS($FA$2:FA32),$FA$2:$FA$113,0)),"")</f>
        <v>PRIVACION ILEGITIMA DE LA LIBERTAD PRODUCIDA POR FUNCIONARIO PUBLICO CON ABUSO DE FUNCIONES, VEJACIONES, SEVERIDADES, APREMIOS ILEGALES</v>
      </c>
      <c r="IX32" s="207" t="str">
        <f>IFERROR(INDEX($A$2:$A$113,MATCH(ROWS($FB$2:FB32),$FB$2:$FB$113,0)),"")</f>
        <v>PRIVACION ILEGITIMA DE LA LIBERTAD PRODUCIDA POR FUNCIONARIO PUBLICO CON ABUSO DE FUNCIONES, VEJACIONES, SEVERIDADES, APREMIOS ILEGALES</v>
      </c>
      <c r="IY32" s="207" t="str">
        <f>IFERROR(INDEX($A$2:$A$113,MATCH(ROWS($FC$2:FC32),$FC$2:$FC$113,0)),"")</f>
        <v>PRIVACION ILEGITIMA DE LA LIBERTAD PRODUCIDA POR FUNCIONARIO PUBLICO CON ABUSO DE FUNCIONES, VEJACIONES, SEVERIDADES, APREMIOS ILEGALES</v>
      </c>
      <c r="IZ32" s="207" t="str">
        <f>IFERROR(INDEX($A$2:$A$113,MATCH(ROWS($FD$2:FD32),$FD$2:$FD$113,0)),"")</f>
        <v>PRIVACION ILEGITIMA DE LA LIBERTAD PRODUCIDA POR FUNCIONARIO PUBLICO CON ABUSO DE FUNCIONES, VEJACIONES, SEVERIDADES, APREMIOS ILEGALES</v>
      </c>
      <c r="JA32" s="207" t="str">
        <f>IFERROR(INDEX($A$2:$A$113,MATCH(ROWS($FE$2:FE32),$FE$2:$FE$113,0)),"")</f>
        <v>PRIVACION ILEGITIMA DE LA LIBERTAD PRODUCIDA POR FUNCIONARIO PUBLICO CON ABUSO DE FUNCIONES, VEJACIONES, SEVERIDADES, APREMIOS ILEGALES</v>
      </c>
      <c r="JB32" s="207" t="str">
        <f>IFERROR(INDEX($A$2:$A$113,MATCH(ROWS($FF$2:FF32),$FF$2:$FF$113,0)),"")</f>
        <v>PRIVACION ILEGITIMA DE LA LIBERTAD PRODUCIDA POR FUNCIONARIO PUBLICO CON ABUSO DE FUNCIONES, VEJACIONES, SEVERIDADES, APREMIOS ILEGALES</v>
      </c>
      <c r="JC32" s="207" t="str">
        <f>IFERROR(INDEX($A$2:$A$113,MATCH(ROWS($FG$2:FG32),$FG$2:$FG$113,0)),"")</f>
        <v>PRIVACION ILEGITIMA DE LA LIBERTAD PRODUCIDA POR FUNCIONARIO PUBLICO CON ABUSO DE FUNCIONES, VEJACIONES, SEVERIDADES, APREMIOS ILEGALES</v>
      </c>
      <c r="JD32" s="207" t="str">
        <f>IFERROR(INDEX($A$2:$A$113,MATCH(ROWS($FH$2:FH32),$FH$2:$FH$113,0)),"")</f>
        <v>PRIVACION ILEGITIMA DE LA LIBERTAD PRODUCIDA POR FUNCIONARIO PUBLICO CON ABUSO DE FUNCIONES, VEJACIONES, SEVERIDADES, APREMIOS ILEGALES</v>
      </c>
      <c r="JE32" s="207" t="str">
        <f>IFERROR(INDEX($A$2:$A$113,MATCH(ROWS($FI$2:FI32),$FI$2:$FI$113,0)),"")</f>
        <v>PRIVACION ILEGITIMA DE LA LIBERTAD PRODUCIDA POR FUNCIONARIO PUBLICO CON ABUSO DE FUNCIONES, VEJACIONES, SEVERIDADES, APREMIOS ILEGALES</v>
      </c>
      <c r="JF32" s="207" t="str">
        <f>IFERROR(INDEX($A$2:$A$113,MATCH(ROWS($FJ$2:FJ32),$FJ$2:$FJ$113,0)),"")</f>
        <v>PRIVACION ILEGITIMA DE LA LIBERTAD PRODUCIDA POR FUNCIONARIO PUBLICO CON ABUSO DE FUNCIONES, VEJACIONES, SEVERIDADES, APREMIOS ILEGALES</v>
      </c>
      <c r="JG32" s="207" t="str">
        <f>IFERROR(INDEX($A$2:$A$113,MATCH(ROWS($FK$2:FK32),$FK$2:$FK$113,0)),"")</f>
        <v>PRIVACION ILEGITIMA DE LA LIBERTAD PRODUCIDA POR FUNCIONARIO PUBLICO CON ABUSO DE FUNCIONES, VEJACIONES, SEVERIDADES, APREMIOS ILEGALES</v>
      </c>
      <c r="JH32" s="207" t="str">
        <f>IFERROR(INDEX($A$2:$A$113,MATCH(ROWS($FL$2:FL32),$FL$2:$FL$113,0)),"")</f>
        <v>PRIVACION ILEGITIMA DE LA LIBERTAD PRODUCIDA POR FUNCIONARIO PUBLICO CON ABUSO DE FUNCIONES, VEJACIONES, SEVERIDADES, APREMIOS ILEGALES</v>
      </c>
      <c r="JI32" s="207" t="str">
        <f>IFERROR(INDEX($A$2:$A$113,MATCH(ROWS($FM$2:FM32),$FM$2:$FM$113,0)),"")</f>
        <v>PRIVACION ILEGITIMA DE LA LIBERTAD PRODUCIDA POR FUNCIONARIO PUBLICO CON ABUSO DE FUNCIONES, VEJACIONES, SEVERIDADES, APREMIOS ILEGALES</v>
      </c>
      <c r="JJ32" s="207" t="str">
        <f>IFERROR(INDEX($A$2:$A$113,MATCH(ROWS($FN$2:FN32),$FN$2:$FN$113,0)),"")</f>
        <v>PRIVACION ILEGITIMA DE LA LIBERTAD PRODUCIDA POR FUNCIONARIO PUBLICO CON ABUSO DE FUNCIONES, VEJACIONES, SEVERIDADES, APREMIOS ILEGALES</v>
      </c>
      <c r="JK32" s="207" t="str">
        <f>IFERROR(INDEX($A$2:$A$113,MATCH(ROWS($FO$2:FO32),$FO$2:$FO$113,0)),"")</f>
        <v>PRIVACION ILEGITIMA DE LA LIBERTAD PRODUCIDA POR FUNCIONARIO PUBLICO CON ABUSO DE FUNCIONES, VEJACIONES, SEVERIDADES, APREMIOS ILEGALES</v>
      </c>
      <c r="JL32" s="207" t="str">
        <f>IFERROR(INDEX($A$2:$A$113,MATCH(ROWS($FP$2:FP32),$FP$2:$FP$113,0)),"")</f>
        <v>PRIVACION ILEGITIMA DE LA LIBERTAD PRODUCIDA POR FUNCIONARIO PUBLICO CON ABUSO DE FUNCIONES, VEJACIONES, SEVERIDADES, APREMIOS ILEGALES</v>
      </c>
      <c r="JM32" s="207" t="str">
        <f>IFERROR(INDEX($A$2:$A$113,MATCH(ROWS($FQ$2:FQ32),$FQ$2:$FQ$113,0)),"")</f>
        <v>PRIVACION ILEGITIMA DE LA LIBERTAD PRODUCIDA POR FUNCIONARIO PUBLICO CON ABUSO DE FUNCIONES, VEJACIONES, SEVERIDADES, APREMIOS ILEGALES</v>
      </c>
      <c r="JN32" s="207" t="str">
        <f>IFERROR(INDEX($A$2:$A$113,MATCH(ROWS($FR$2:FR32),$FR$2:$FR$113,0)),"")</f>
        <v>PRIVACION ILEGITIMA DE LA LIBERTAD PRODUCIDA POR FUNCIONARIO PUBLICO CON ABUSO DE FUNCIONES, VEJACIONES, SEVERIDADES, APREMIOS ILEGALES</v>
      </c>
      <c r="JO32" s="207" t="str">
        <f>IFERROR(INDEX($A$2:$A$113,MATCH(ROWS($FS$2:FS32),$FS$2:$FS$113,0)),"")</f>
        <v>PRIVACION ILEGITIMA DE LA LIBERTAD PRODUCIDA POR FUNCIONARIO PUBLICO CON ABUSO DE FUNCIONES, VEJACIONES, SEVERIDADES, APREMIOS ILEGALES</v>
      </c>
      <c r="JP32" s="207" t="str">
        <f>IFERROR(INDEX($A$2:$A$113,MATCH(ROWS($FT$2:FT32),$FT$2:$FT$113,0)),"")</f>
        <v>PRIVACION ILEGITIMA DE LA LIBERTAD PRODUCIDA POR FUNCIONARIO PUBLICO CON ABUSO DE FUNCIONES, VEJACIONES, SEVERIDADES, APREMIOS ILEGALES</v>
      </c>
      <c r="JQ32" s="207" t="str">
        <f>IFERROR(INDEX($A$2:$A$113,MATCH(ROWS($FU$2:FU32),$FU$2:$FU$113,0)),"")</f>
        <v>PRIVACION ILEGITIMA DE LA LIBERTAD PRODUCIDA POR FUNCIONARIO PUBLICO CON ABUSO DE FUNCIONES, VEJACIONES, SEVERIDADES, APREMIOS ILEGALES</v>
      </c>
      <c r="JR32" s="207" t="str">
        <f>IFERROR(INDEX($A$2:$A$113,MATCH(ROWS($FV$2:FV32),$FV$2:$FV$113,0)),"")</f>
        <v>PRIVACION ILEGITIMA DE LA LIBERTAD PRODUCIDA POR FUNCIONARIO PUBLICO CON ABUSO DE FUNCIONES, VEJACIONES, SEVERIDADES, APREMIOS ILEGALES</v>
      </c>
      <c r="JS32" s="207" t="str">
        <f>IFERROR(INDEX($A$2:$A$113,MATCH(ROWS($FW$2:FW32),$FW$2:$FW$113,0)),"")</f>
        <v>PRIVACION ILEGITIMA DE LA LIBERTAD PRODUCIDA POR FUNCIONARIO PUBLICO CON ABUSO DE FUNCIONES, VEJACIONES, SEVERIDADES, APREMIOS ILEGALES</v>
      </c>
      <c r="JT32" s="207" t="str">
        <f>IFERROR(INDEX($A$2:$A$113,MATCH(ROWS($FX$2:FX32),$FX$2:$FX$113,0)),"")</f>
        <v>PRIVACION ILEGITIMA DE LA LIBERTAD PRODUCIDA POR FUNCIONARIO PUBLICO CON ABUSO DE FUNCIONES, VEJACIONES, SEVERIDADES, APREMIOS ILEGALES</v>
      </c>
      <c r="JU32" s="207" t="str">
        <f>IFERROR(INDEX($A$2:$A$113,MATCH(ROWS($FY$2:FY32),$FY$2:$FY$113,0)),"")</f>
        <v>PRIVACION ILEGITIMA DE LA LIBERTAD PRODUCIDA POR FUNCIONARIO PUBLICO CON ABUSO DE FUNCIONES, VEJACIONES, SEVERIDADES, APREMIOS ILEGALES</v>
      </c>
      <c r="JV32" s="207" t="str">
        <f>IFERROR(INDEX($A$2:$A$113,MATCH(ROWS($FZ$2:FZ32),$FZ$2:$FZ$113,0)),"")</f>
        <v>PRIVACION ILEGITIMA DE LA LIBERTAD PRODUCIDA POR FUNCIONARIO PUBLICO CON ABUSO DE FUNCIONES, VEJACIONES, SEVERIDADES, APREMIOS ILEGALES</v>
      </c>
      <c r="JW32" s="207" t="str">
        <f>IFERROR(INDEX($A$2:$A$113,MATCH(ROWS($GA$2:GA32),$GA$2:$GA$113,0)),"")</f>
        <v>PRIVACION ILEGITIMA DE LA LIBERTAD PRODUCIDA POR FUNCIONARIO PUBLICO CON ABUSO DE FUNCIONES, VEJACIONES, SEVERIDADES, APREMIOS ILEGALES</v>
      </c>
      <c r="JX32" s="207" t="str">
        <f>IFERROR(INDEX($A$2:$A$113,MATCH(ROWS($GB$2:GB32),$GB$2:$GB$113,0)),"")</f>
        <v>PRIVACION ILEGITIMA DE LA LIBERTAD PRODUCIDA POR FUNCIONARIO PUBLICO CON ABUSO DE FUNCIONES, VEJACIONES, SEVERIDADES, APREMIOS ILEGALES</v>
      </c>
      <c r="JY32" s="207" t="str">
        <f>IFERROR(INDEX($A$2:$A$113,MATCH(ROWS($GC$2:GC32),$GC$2:$GC$113,0)),"")</f>
        <v>PRIVACION ILEGITIMA DE LA LIBERTAD PRODUCIDA POR FUNCIONARIO PUBLICO CON ABUSO DE FUNCIONES, VEJACIONES, SEVERIDADES, APREMIOS ILEGALES</v>
      </c>
      <c r="JZ32" s="207" t="str">
        <f>IFERROR(INDEX($A$2:$A$113,MATCH(ROWS($GD$2:GD32),$GD$2:$GD$113,0)),"")</f>
        <v>PRIVACION ILEGITIMA DE LA LIBERTAD PRODUCIDA POR FUNCIONARIO PUBLICO CON ABUSO DE FUNCIONES, VEJACIONES, SEVERIDADES, APREMIOS ILEGALES</v>
      </c>
      <c r="KA32" s="207" t="str">
        <f>IFERROR(INDEX($A$2:$A$113,MATCH(ROWS($GE$2:GE32),$GE$2:$GE$113,0)),"")</f>
        <v>PRIVACION ILEGITIMA DE LA LIBERTAD PRODUCIDA POR FUNCIONARIO PUBLICO CON ABUSO DE FUNCIONES, VEJACIONES, SEVERIDADES, APREMIOS ILEGALES</v>
      </c>
      <c r="KB32" s="207" t="str">
        <f>IFERROR(INDEX($A$2:$A$113,MATCH(ROWS($GF$2:GF32),$GF$2:$GF$113,0)),"")</f>
        <v>PRIVACION ILEGITIMA DE LA LIBERTAD PRODUCIDA POR FUNCIONARIO PUBLICO CON ABUSO DE FUNCIONES, VEJACIONES, SEVERIDADES, APREMIOS ILEGALES</v>
      </c>
      <c r="KC32" s="207" t="str">
        <f>IFERROR(INDEX($A$2:$A$113,MATCH(ROWS($GG$2:GG32),$GG$2:$GG$113,0)),"")</f>
        <v>PRIVACION ILEGITIMA DE LA LIBERTAD PRODUCIDA POR FUNCIONARIO PUBLICO CON ABUSO DE FUNCIONES, VEJACIONES, SEVERIDADES, APREMIOS ILEGALES</v>
      </c>
      <c r="KD32" s="207" t="str">
        <f>IFERROR(INDEX($A$2:$A$113,MATCH(ROWS($GH$2:GH32),$GH$2:$GH$113,0)),"")</f>
        <v>PRIVACION ILEGITIMA DE LA LIBERTAD PRODUCIDA POR FUNCIONARIO PUBLICO CON ABUSO DE FUNCIONES, VEJACIONES, SEVERIDADES, APREMIOS ILEGALES</v>
      </c>
      <c r="KE32" s="207" t="str">
        <f>IFERROR(INDEX($A$2:$A$113,MATCH(ROWS($GI$2:GI32),$GI$2:$GI$113,0)),"")</f>
        <v>PRIVACION ILEGITIMA DE LA LIBERTAD PRODUCIDA POR FUNCIONARIO PUBLICO CON ABUSO DE FUNCIONES, VEJACIONES, SEVERIDADES, APREMIOS ILEGALES</v>
      </c>
      <c r="KF32" s="207" t="str">
        <f>IFERROR(INDEX($A$2:$A$113,MATCH(ROWS($GJ$2:GJ32),$GJ$2:$GJ$113,0)),"")</f>
        <v>PRIVACION ILEGITIMA DE LA LIBERTAD PRODUCIDA POR FUNCIONARIO PUBLICO CON ABUSO DE FUNCIONES, VEJACIONES, SEVERIDADES, APREMIOS ILEGALES</v>
      </c>
      <c r="KG32" s="207" t="str">
        <f>IFERROR(INDEX($A$2:$A$113,MATCH(ROWS($GK$2:GK32),$GK$2:$GK$113,0)),"")</f>
        <v>PRIVACION ILEGITIMA DE LA LIBERTAD PRODUCIDA POR FUNCIONARIO PUBLICO CON ABUSO DE FUNCIONES, VEJACIONES, SEVERIDADES, APREMIOS ILEGALES</v>
      </c>
      <c r="KH32" s="207" t="str">
        <f>IFERROR(INDEX($A$2:$A$113,MATCH(ROWS($GL$2:GL32),$GL$2:$GL$113,0)),"")</f>
        <v>PRIVACION ILEGITIMA DE LA LIBERTAD PRODUCIDA POR FUNCIONARIO PUBLICO CON ABUSO DE FUNCIONES, VEJACIONES, SEVERIDADES, APREMIOS ILEGALES</v>
      </c>
      <c r="KI32" s="207" t="str">
        <f>IFERROR(INDEX($A$2:$A$113,MATCH(ROWS($GM$2:GM32),$GM$2:$GM$113,0)),"")</f>
        <v>PRIVACION ILEGITIMA DE LA LIBERTAD PRODUCIDA POR FUNCIONARIO PUBLICO CON ABUSO DE FUNCIONES, VEJACIONES, SEVERIDADES, APREMIOS ILEGALES</v>
      </c>
      <c r="KJ32" s="207" t="str">
        <f>IFERROR(INDEX($A$2:$A$113,MATCH(ROWS($GN$2:GN32),$GN$2:$GN$113,0)),"")</f>
        <v>PRIVACION ILEGITIMA DE LA LIBERTAD PRODUCIDA POR FUNCIONARIO PUBLICO CON ABUSO DE FUNCIONES, VEJACIONES, SEVERIDADES, APREMIOS ILEGALES</v>
      </c>
      <c r="KK32" s="207" t="str">
        <f>IFERROR(INDEX($A$2:$A$113,MATCH(ROWS($GO$2:GO32),$GO$2:$GO$113,0)),"")</f>
        <v>PRIVACION ILEGITIMA DE LA LIBERTAD PRODUCIDA POR FUNCIONARIO PUBLICO CON ABUSO DE FUNCIONES, VEJACIONES, SEVERIDADES, APREMIOS ILEGALES</v>
      </c>
      <c r="KL32" s="207" t="str">
        <f>IFERROR(INDEX($A$2:$A$113,MATCH(ROWS($GP$2:GP32),$GP$2:$GP$113,0)),"")</f>
        <v>PRIVACION ILEGITIMA DE LA LIBERTAD PRODUCIDA POR FUNCIONARIO PUBLICO CON ABUSO DE FUNCIONES, VEJACIONES, SEVERIDADES, APREMIOS ILEGALES</v>
      </c>
      <c r="KM32" s="207" t="str">
        <f>IFERROR(INDEX($A$2:$A$113,MATCH(ROWS($GQ$2:GQ32),$GQ$2:$GQ$113,0)),"")</f>
        <v>PRIVACION ILEGITIMA DE LA LIBERTAD PRODUCIDA POR FUNCIONARIO PUBLICO CON ABUSO DE FUNCIONES, VEJACIONES, SEVERIDADES, APREMIOS ILEGALES</v>
      </c>
      <c r="KN32" s="207" t="str">
        <f>IFERROR(INDEX($A$2:$A$113,MATCH(ROWS($GR$2:GR32),$GR$2:$GR$113,0)),"")</f>
        <v>PRIVACION ILEGITIMA DE LA LIBERTAD PRODUCIDA POR FUNCIONARIO PUBLICO CON ABUSO DE FUNCIONES, VEJACIONES, SEVERIDADES, APREMIOS ILEGALES</v>
      </c>
      <c r="KO32" s="207" t="str">
        <f>IFERROR(INDEX($A$2:$A$113,MATCH(ROWS($GS$2:GS32),$GS$2:$GS$113,0)),"")</f>
        <v>PRIVACION ILEGITIMA DE LA LIBERTAD PRODUCIDA POR FUNCIONARIO PUBLICO CON ABUSO DE FUNCIONES, VEJACIONES, SEVERIDADES, APREMIOS ILEGALES</v>
      </c>
      <c r="KP32" s="207" t="str">
        <f>IFERROR(INDEX($A$2:$A$113,MATCH(ROWS($GT$2:GT32),$GT$2:$GT$113,0)),"")</f>
        <v>PRIVACION ILEGITIMA DE LA LIBERTAD PRODUCIDA POR FUNCIONARIO PUBLICO CON ABUSO DE FUNCIONES, VEJACIONES, SEVERIDADES, APREMIOS ILEGALES</v>
      </c>
      <c r="KQ32" s="207" t="str">
        <f>IFERROR(INDEX($A$2:$A$113,MATCH(ROWS($GU$2:GU32),$GU$2:$GU$113,0)),"")</f>
        <v>PRIVACION ILEGITIMA DE LA LIBERTAD PRODUCIDA POR FUNCIONARIO PUBLICO CON ABUSO DE FUNCIONES, VEJACIONES, SEVERIDADES, APREMIOS ILEGALES</v>
      </c>
      <c r="KR32" s="207" t="str">
        <f>IFERROR(INDEX($A$2:$A$113,MATCH(ROWS($GV$2:GV32),$GV$2:$GV$113,0)),"")</f>
        <v>PRIVACION ILEGITIMA DE LA LIBERTAD PRODUCIDA POR FUNCIONARIO PUBLICO CON ABUSO DE FUNCIONES, VEJACIONES, SEVERIDADES, APREMIOS ILEGALES</v>
      </c>
      <c r="KS32" s="207" t="str">
        <f>IFERROR(INDEX($A$2:$A$113,MATCH(ROWS($GW$2:GW32),$GW$2:$GW$113,0)),"")</f>
        <v>PRIVACION ILEGITIMA DE LA LIBERTAD PRODUCIDA POR FUNCIONARIO PUBLICO CON ABUSO DE FUNCIONES, VEJACIONES, SEVERIDADES, APREMIOS ILEGALES</v>
      </c>
    </row>
    <row r="33" spans="1:305" x14ac:dyDescent="0.25">
      <c r="A33" s="206" t="s">
        <v>897</v>
      </c>
      <c r="B33" s="206" t="s">
        <v>75</v>
      </c>
      <c r="D33" s="206" t="s">
        <v>791</v>
      </c>
      <c r="E33" s="206" t="s">
        <v>76</v>
      </c>
      <c r="F33" s="207">
        <f>--ISNUMBER(IFERROR(SEARCH('PLANILLA DJ'!$X$3,$A33,1),""))</f>
        <v>1</v>
      </c>
      <c r="G33" s="207">
        <f>--ISNUMBER(IFERROR(SEARCH('PLANILLA DJ'!$X$4,$A33,1),""))</f>
        <v>1</v>
      </c>
      <c r="H33" s="207">
        <f>--ISNUMBER(IFERROR(SEARCH('PLANILLA DJ'!$X$5,$A33,1),""))</f>
        <v>1</v>
      </c>
      <c r="I33" s="207">
        <f>--ISNUMBER(IFERROR(SEARCH('PLANILLA DJ'!$X$6,$A33,1),""))</f>
        <v>1</v>
      </c>
      <c r="J33" s="207">
        <f>--ISNUMBER(IFERROR(SEARCH('PLANILLA DJ'!$X$7,$A33,1),""))</f>
        <v>1</v>
      </c>
      <c r="K33" s="207">
        <f>--ISNUMBER(IFERROR(SEARCH('PLANILLA DJ'!$X$8,$A33,1),""))</f>
        <v>1</v>
      </c>
      <c r="L33" s="207">
        <f>--ISNUMBER(IFERROR(SEARCH('PLANILLA DJ'!$X$9,$A33,1),""))</f>
        <v>1</v>
      </c>
      <c r="M33" s="207">
        <f>--ISNUMBER(IFERROR(SEARCH('PLANILLA DJ'!$X$10,$A33,1),""))</f>
        <v>1</v>
      </c>
      <c r="N33" s="207">
        <f>--ISNUMBER(IFERROR(SEARCH('PLANILLA DJ'!$X$11,$A33,1),""))</f>
        <v>1</v>
      </c>
      <c r="O33" s="207">
        <f>--ISNUMBER(IFERROR(SEARCH('PLANILLA DJ'!$X$12,$A33,1),""))</f>
        <v>1</v>
      </c>
      <c r="P33" s="207">
        <f>--ISNUMBER(IFERROR(SEARCH('PLANILLA DJ'!$X$13,$A33,1),""))</f>
        <v>1</v>
      </c>
      <c r="Q33" s="207">
        <f>--ISNUMBER(IFERROR(SEARCH('PLANILLA DJ'!$X$14,$A33,1),""))</f>
        <v>1</v>
      </c>
      <c r="R33" s="207">
        <f>--ISNUMBER(IFERROR(SEARCH('PLANILLA DJ'!$X$15,$A33,1),""))</f>
        <v>1</v>
      </c>
      <c r="S33" s="207">
        <f>--ISNUMBER(IFERROR(SEARCH('PLANILLA DJ'!$X$16,$A33,1),""))</f>
        <v>1</v>
      </c>
      <c r="T33" s="207">
        <f>--ISNUMBER(IFERROR(SEARCH('PLANILLA DJ'!$X$17,$A33,1),""))</f>
        <v>1</v>
      </c>
      <c r="U33" s="207">
        <f>--ISNUMBER(IFERROR(SEARCH('PLANILLA DJ'!$X$18,$A33,1),""))</f>
        <v>1</v>
      </c>
      <c r="V33" s="207">
        <f>--ISNUMBER(IFERROR(SEARCH('PLANILLA DJ'!$X$19,$A33,1),""))</f>
        <v>1</v>
      </c>
      <c r="W33" s="207">
        <f>--ISNUMBER(IFERROR(SEARCH('PLANILLA DJ'!$X$20,$A33,1),""))</f>
        <v>1</v>
      </c>
      <c r="X33" s="207">
        <f>--ISNUMBER(IFERROR(SEARCH('PLANILLA DJ'!$X$21,$A33,1),""))</f>
        <v>1</v>
      </c>
      <c r="Y33" s="207">
        <f>--ISNUMBER(IFERROR(SEARCH('PLANILLA DJ'!$X$22,$A33,1),""))</f>
        <v>1</v>
      </c>
      <c r="Z33" s="207">
        <f>--ISNUMBER(IFERROR(SEARCH('PLANILLA DJ'!$X$23,$A33,1),""))</f>
        <v>1</v>
      </c>
      <c r="AA33" s="207">
        <f>--ISNUMBER(IFERROR(SEARCH('PLANILLA DJ'!$X$24,$A33,1),""))</f>
        <v>1</v>
      </c>
      <c r="AB33" s="207">
        <f>--ISNUMBER(IFERROR(SEARCH('PLANILLA DJ'!$X$25,$A33,1),""))</f>
        <v>1</v>
      </c>
      <c r="AC33" s="207">
        <f>--ISNUMBER(IFERROR(SEARCH('PLANILLA DJ'!$X$26,$A33,1),""))</f>
        <v>1</v>
      </c>
      <c r="AD33" s="207">
        <f>--ISNUMBER(IFERROR(SEARCH('PLANILLA DJ'!$X$27,$A33,1),""))</f>
        <v>1</v>
      </c>
      <c r="AE33" s="207">
        <f>--ISNUMBER(IFERROR(SEARCH('PLANILLA DJ'!$X$28,$A33,1),""))</f>
        <v>1</v>
      </c>
      <c r="AF33" s="207">
        <f>--ISNUMBER(IFERROR(SEARCH('PLANILLA DJ'!$X$29,$A33,1),""))</f>
        <v>1</v>
      </c>
      <c r="AG33" s="207">
        <f>--ISNUMBER(IFERROR(SEARCH('PLANILLA DJ'!$X$30,$A33,1),""))</f>
        <v>1</v>
      </c>
      <c r="AH33" s="207">
        <f>--ISNUMBER(IFERROR(SEARCH('PLANILLA DJ'!$X$31,$A33,1),""))</f>
        <v>1</v>
      </c>
      <c r="AI33" s="207">
        <f>--ISNUMBER(IFERROR(SEARCH('PLANILLA DJ'!$X$32,$A33,1),""))</f>
        <v>1</v>
      </c>
      <c r="AJ33" s="207">
        <f>--ISNUMBER(IFERROR(SEARCH('PLANILLA DJ'!$X$33,$A33,1),""))</f>
        <v>1</v>
      </c>
      <c r="AK33" s="207">
        <f>--ISNUMBER(IFERROR(SEARCH('PLANILLA DJ'!$X$34,$A33,1),""))</f>
        <v>1</v>
      </c>
      <c r="AL33" s="207">
        <f>--ISNUMBER(IFERROR(SEARCH('PLANILLA DJ'!$X$35,$A33,1),""))</f>
        <v>1</v>
      </c>
      <c r="AM33" s="207">
        <f>--ISNUMBER(IFERROR(SEARCH('PLANILLA DJ'!$X$36,$A33,1),""))</f>
        <v>1</v>
      </c>
      <c r="AN33" s="207">
        <f>--ISNUMBER(IFERROR(SEARCH('PLANILLA DJ'!$X$37,$A33,1),""))</f>
        <v>1</v>
      </c>
      <c r="AO33" s="207">
        <f>--ISNUMBER(IFERROR(SEARCH('PLANILLA DJ'!$X$38,$A33,1),""))</f>
        <v>1</v>
      </c>
      <c r="AP33" s="207">
        <f>--ISNUMBER(IFERROR(SEARCH('PLANILLA DJ'!$X$39,$A33,1),""))</f>
        <v>1</v>
      </c>
      <c r="AQ33" s="207">
        <f>--ISNUMBER(IFERROR(SEARCH('PLANILLA DJ'!$X$40,$A33,1),""))</f>
        <v>1</v>
      </c>
      <c r="AR33" s="207">
        <f>--ISNUMBER(IFERROR(SEARCH('PLANILLA DJ'!$X$41,$A33,1),""))</f>
        <v>1</v>
      </c>
      <c r="AS33" s="207">
        <f>--ISNUMBER(IFERROR(SEARCH('PLANILLA DJ'!$X$42,$A33,1),""))</f>
        <v>1</v>
      </c>
      <c r="AT33" s="207">
        <f>--ISNUMBER(IFERROR(SEARCH('PLANILLA DJ'!$X$43,$A33,1),""))</f>
        <v>1</v>
      </c>
      <c r="AU33" s="207">
        <f>--ISNUMBER(IFERROR(SEARCH('PLANILLA DJ'!$X$44,$A33,1),""))</f>
        <v>1</v>
      </c>
      <c r="AV33" s="207">
        <f>--ISNUMBER(IFERROR(SEARCH('PLANILLA DJ'!$X$45,$A33,1),""))</f>
        <v>1</v>
      </c>
      <c r="AW33" s="207">
        <f>--ISNUMBER(IFERROR(SEARCH('PLANILLA DJ'!$X$46,$A33,1),""))</f>
        <v>1</v>
      </c>
      <c r="AX33" s="207">
        <f>--ISNUMBER(IFERROR(SEARCH('PLANILLA DJ'!$X$47,$A33,1),""))</f>
        <v>1</v>
      </c>
      <c r="AY33" s="207">
        <f>--ISNUMBER(IFERROR(SEARCH('PLANILLA DJ'!$X$48,$A33,1),""))</f>
        <v>1</v>
      </c>
      <c r="AZ33" s="207">
        <f>--ISNUMBER(IFERROR(SEARCH('PLANILLA DJ'!$X$49,$A33,1),""))</f>
        <v>1</v>
      </c>
      <c r="BA33" s="207">
        <f>--ISNUMBER(IFERROR(SEARCH('PLANILLA DJ'!$X$50,$A33,1),""))</f>
        <v>1</v>
      </c>
      <c r="BB33" s="207">
        <f>--ISNUMBER(IFERROR(SEARCH('PLANILLA DJ'!$X$51,$A33,1),""))</f>
        <v>1</v>
      </c>
      <c r="BC33" s="207">
        <f>--ISNUMBER(IFERROR(SEARCH('PLANILLA DJ'!$X$52,$A33,1),""))</f>
        <v>1</v>
      </c>
      <c r="BD33" s="207">
        <f>--ISNUMBER(IFERROR(SEARCH('PLANILLA DJ'!$X$53,$A33,1),""))</f>
        <v>1</v>
      </c>
      <c r="BE33" s="207">
        <f>--ISNUMBER(IFERROR(SEARCH('PLANILLA DJ'!$X$54,$A33,1),""))</f>
        <v>1</v>
      </c>
      <c r="BF33" s="207">
        <f>--ISNUMBER(IFERROR(SEARCH('PLANILLA DJ'!$X$55,$A33,1),""))</f>
        <v>1</v>
      </c>
      <c r="BG33" s="207">
        <f>--ISNUMBER(IFERROR(SEARCH('PLANILLA DJ'!$X$56,$A33,1),""))</f>
        <v>1</v>
      </c>
      <c r="BH33" s="207">
        <f>--ISNUMBER(IFERROR(SEARCH('PLANILLA DJ'!$X$57,$A33,1),""))</f>
        <v>1</v>
      </c>
      <c r="BI33" s="207">
        <f>--ISNUMBER(IFERROR(SEARCH('PLANILLA DJ'!$X$58,$A33,1),""))</f>
        <v>1</v>
      </c>
      <c r="BJ33" s="207">
        <f>--ISNUMBER(IFERROR(SEARCH('PLANILLA DJ'!$X$59,$A33,1),""))</f>
        <v>1</v>
      </c>
      <c r="BK33" s="207">
        <f>--ISNUMBER(IFERROR(SEARCH('PLANILLA DJ'!$X$60,$A33,1),""))</f>
        <v>1</v>
      </c>
      <c r="BL33" s="207">
        <f>--ISNUMBER(IFERROR(SEARCH('PLANILLA DJ'!$X$61,$A33,1),""))</f>
        <v>1</v>
      </c>
      <c r="BM33" s="207">
        <f>--ISNUMBER(IFERROR(SEARCH('PLANILLA DJ'!$X$62,$A33,1),""))</f>
        <v>1</v>
      </c>
      <c r="BN33" s="207">
        <f>--ISNUMBER(IFERROR(SEARCH('PLANILLA DJ'!$X$63,$A33,1),""))</f>
        <v>1</v>
      </c>
      <c r="BO33" s="207">
        <f>--ISNUMBER(IFERROR(SEARCH('PLANILLA DJ'!$X$64,$A33,1),""))</f>
        <v>1</v>
      </c>
      <c r="BP33" s="207">
        <f>--ISNUMBER(IFERROR(SEARCH('PLANILLA DJ'!$X$65,$A33,1),""))</f>
        <v>1</v>
      </c>
      <c r="BQ33" s="207">
        <f>--ISNUMBER(IFERROR(SEARCH('PLANILLA DJ'!$X$66,$A33,1),""))</f>
        <v>1</v>
      </c>
      <c r="BR33" s="207">
        <f>--ISNUMBER(IFERROR(SEARCH('PLANILLA DJ'!$X$67,$A33,1),""))</f>
        <v>1</v>
      </c>
      <c r="BS33" s="207">
        <f>--ISNUMBER(IFERROR(SEARCH('PLANILLA DJ'!$X$68,$A33,1),""))</f>
        <v>1</v>
      </c>
      <c r="BT33" s="207">
        <f>--ISNUMBER(IFERROR(SEARCH('PLANILLA DJ'!$X$69,$A33,1),""))</f>
        <v>1</v>
      </c>
      <c r="BU33" s="207">
        <f>--ISNUMBER(IFERROR(SEARCH('PLANILLA DJ'!$X$70,$A33,1),""))</f>
        <v>1</v>
      </c>
      <c r="BV33" s="207">
        <f>--ISNUMBER(IFERROR(SEARCH('PLANILLA DJ'!$X$71,$A33,1),""))</f>
        <v>1</v>
      </c>
      <c r="BW33" s="207">
        <f>--ISNUMBER(IFERROR(SEARCH('PLANILLA DJ'!$X$72,$A33,1),""))</f>
        <v>1</v>
      </c>
      <c r="BX33" s="207">
        <f>--ISNUMBER(IFERROR(SEARCH('PLANILLA DJ'!$X$73,$A33,1),""))</f>
        <v>1</v>
      </c>
      <c r="BY33" s="207">
        <f>--ISNUMBER(IFERROR(SEARCH('PLANILLA DJ'!$X$74,$A33,1),""))</f>
        <v>1</v>
      </c>
      <c r="BZ33" s="207">
        <f>--ISNUMBER(IFERROR(SEARCH('PLANILLA DJ'!$X$75,$A33,1),""))</f>
        <v>1</v>
      </c>
      <c r="CA33" s="207">
        <f>--ISNUMBER(IFERROR(SEARCH('PLANILLA DJ'!$X$76,$A33,1),""))</f>
        <v>1</v>
      </c>
      <c r="CB33" s="207">
        <f>--ISNUMBER(IFERROR(SEARCH('PLANILLA DJ'!$X$77,$A33,1),""))</f>
        <v>1</v>
      </c>
      <c r="CC33" s="207">
        <f>--ISNUMBER(IFERROR(SEARCH('PLANILLA DJ'!$X$78,$A33,1),""))</f>
        <v>1</v>
      </c>
      <c r="CD33" s="207">
        <f>--ISNUMBER(IFERROR(SEARCH('PLANILLA DJ'!$X$79,$A33,1),""))</f>
        <v>1</v>
      </c>
      <c r="CE33" s="207">
        <f>--ISNUMBER(IFERROR(SEARCH('PLANILLA DJ'!$X$80,$A33,1),""))</f>
        <v>1</v>
      </c>
      <c r="CF33" s="207">
        <f>--ISNUMBER(IFERROR(SEARCH('PLANILLA DJ'!$X$81,$A33,1),""))</f>
        <v>1</v>
      </c>
      <c r="CG33" s="207">
        <f>--ISNUMBER(IFERROR(SEARCH('PLANILLA DJ'!$X$82,$A33,1),""))</f>
        <v>1</v>
      </c>
      <c r="CH33" s="207">
        <f>--ISNUMBER(IFERROR(SEARCH('PLANILLA DJ'!$X$83,$A33,1),""))</f>
        <v>1</v>
      </c>
      <c r="CI33" s="207">
        <f>--ISNUMBER(IFERROR(SEARCH('PLANILLA DJ'!$X$84,$A33,1),""))</f>
        <v>1</v>
      </c>
      <c r="CJ33" s="207">
        <f>--ISNUMBER(IFERROR(SEARCH('PLANILLA DJ'!$X$85,$A33,1),""))</f>
        <v>1</v>
      </c>
      <c r="CK33" s="207">
        <f>--ISNUMBER(IFERROR(SEARCH('PLANILLA DJ'!$X$86,$A33,1),""))</f>
        <v>1</v>
      </c>
      <c r="CL33" s="207">
        <f>--ISNUMBER(IFERROR(SEARCH('PLANILLA DJ'!$X$87,$A33,1),""))</f>
        <v>1</v>
      </c>
      <c r="CM33" s="207">
        <f>--ISNUMBER(IFERROR(SEARCH('PLANILLA DJ'!$X$88,$A33,1),""))</f>
        <v>1</v>
      </c>
      <c r="CN33" s="207">
        <f>--ISNUMBER(IFERROR(SEARCH('PLANILLA DJ'!$X$89,$A33,1),""))</f>
        <v>1</v>
      </c>
      <c r="CO33" s="207">
        <f>--ISNUMBER(IFERROR(SEARCH('PLANILLA DJ'!$X$90,$A33,1),""))</f>
        <v>1</v>
      </c>
      <c r="CP33" s="207">
        <f>--ISNUMBER(IFERROR(SEARCH('PLANILLA DJ'!$X$91,$A33,1),""))</f>
        <v>1</v>
      </c>
      <c r="CQ33" s="207">
        <f>--ISNUMBER(IFERROR(SEARCH('PLANILLA DJ'!$X$92,$A33,1),""))</f>
        <v>1</v>
      </c>
      <c r="CR33" s="207">
        <f>--ISNUMBER(IFERROR(SEARCH('PLANILLA DJ'!$X$93,$A33,1),""))</f>
        <v>1</v>
      </c>
      <c r="CS33" s="207">
        <f>--ISNUMBER(IFERROR(SEARCH('PLANILLA DJ'!$X$94,$A33,1),""))</f>
        <v>1</v>
      </c>
      <c r="CT33" s="207">
        <f>--ISNUMBER(IFERROR(SEARCH('PLANILLA DJ'!$X$95,$A33,1),""))</f>
        <v>1</v>
      </c>
      <c r="CU33" s="207">
        <f>--ISNUMBER(IFERROR(SEARCH('PLANILLA DJ'!$X$96,$A33,1),""))</f>
        <v>1</v>
      </c>
      <c r="CV33" s="207">
        <f>--ISNUMBER(IFERROR(SEARCH('PLANILLA DJ'!$X$97,$A33,1),""))</f>
        <v>1</v>
      </c>
      <c r="CW33" s="207">
        <f>--ISNUMBER(IFERROR(SEARCH('PLANILLA DJ'!$X$98,$A33,1),""))</f>
        <v>1</v>
      </c>
      <c r="CX33" s="207">
        <f>--ISNUMBER(IFERROR(SEARCH('PLANILLA DJ'!$X$99,$A33,1),""))</f>
        <v>1</v>
      </c>
      <c r="CY33" s="207">
        <f>--ISNUMBER(IFERROR(SEARCH('PLANILLA DJ'!$X$100,$A33,1),""))</f>
        <v>1</v>
      </c>
      <c r="CZ33" s="207">
        <f>--ISNUMBER(IFERROR(SEARCH('PLANILLA DJ'!$X$101,$A33,1),""))</f>
        <v>1</v>
      </c>
      <c r="DA33" s="207">
        <f>--ISNUMBER(IFERROR(SEARCH('PLANILLA DJ'!$X$102,$A33,1),""))</f>
        <v>1</v>
      </c>
      <c r="DB33" s="206">
        <f>IF(F33=1,COUNTIF($F$2:F33,1),"")</f>
        <v>32</v>
      </c>
      <c r="DC33" s="206">
        <f>IF(G33=1,COUNTIF($G$2:G33,1),"")</f>
        <v>32</v>
      </c>
      <c r="DD33" s="206">
        <f>IF(H33=1,COUNTIF($H$2:H33,1),"")</f>
        <v>32</v>
      </c>
      <c r="DE33" s="206">
        <f>IF(I33=1,COUNTIF($I$2:I33,1),"")</f>
        <v>32</v>
      </c>
      <c r="DF33" s="206">
        <f>IF(J33=1,COUNTIF($J$2:J33,1),"")</f>
        <v>32</v>
      </c>
      <c r="DG33" s="206">
        <f>IF(K33=1,COUNTIF($K$2:K33,1),"")</f>
        <v>32</v>
      </c>
      <c r="DH33" s="206">
        <f>IF(L33=1,COUNTIF($L$2:L33,1),"")</f>
        <v>32</v>
      </c>
      <c r="DI33" s="206">
        <f>IF(M33=1,COUNTIF($M$2:M33,1),"")</f>
        <v>32</v>
      </c>
      <c r="DJ33" s="206">
        <f>IF(N33=1,COUNTIF($N$2:N33,1),"")</f>
        <v>32</v>
      </c>
      <c r="DK33" s="206">
        <f>IF(O33=1,COUNTIF($O$2:O33,1),"")</f>
        <v>32</v>
      </c>
      <c r="DL33" s="206">
        <f>IF(P33=1,COUNTIF($P$2:P33,1),"")</f>
        <v>32</v>
      </c>
      <c r="DM33" s="206">
        <f>IF(Q33=1,COUNTIF($Q$2:Q33,1),"")</f>
        <v>32</v>
      </c>
      <c r="DN33" s="207">
        <f>IF(R33=1,COUNTIF($R$2:R33,1),"")</f>
        <v>32</v>
      </c>
      <c r="DO33" s="207">
        <f>IF(S33=1,COUNTIF($S$2:S33,1),"")</f>
        <v>32</v>
      </c>
      <c r="DP33" s="207">
        <f>IF(T33=1,COUNTIF($T$2:T33,1),"")</f>
        <v>32</v>
      </c>
      <c r="DQ33" s="207">
        <f>IF(U33=1,COUNTIF($U$2:U33,1),"")</f>
        <v>32</v>
      </c>
      <c r="DR33" s="207">
        <f>IF(V33=1,COUNTIF($V$2:V33,1),"")</f>
        <v>32</v>
      </c>
      <c r="DS33" s="207">
        <f>IF(W33=1,COUNTIF($W$2:W33,1),"")</f>
        <v>32</v>
      </c>
      <c r="DT33" s="207">
        <f>IF(X33=1,COUNTIF($X$2:X33,1),"")</f>
        <v>32</v>
      </c>
      <c r="DU33" s="207">
        <f>IF(Y33=1,COUNTIF($Y$2:Y33,1),"")</f>
        <v>32</v>
      </c>
      <c r="DV33" s="207">
        <f>IF(Z33=1,COUNTIF(Z$2:Z33,1),"")</f>
        <v>32</v>
      </c>
      <c r="DW33" s="207">
        <f>IF(AA33=1,COUNTIF($AA$2:AA33,1),"")</f>
        <v>32</v>
      </c>
      <c r="DX33" s="207">
        <f>IF(AB33=1,COUNTIF($AB$2:AB33,1),"")</f>
        <v>32</v>
      </c>
      <c r="DY33" s="207">
        <f>IF(AC33=1,COUNTIF($AC$2:AC33,1),"")</f>
        <v>32</v>
      </c>
      <c r="DZ33" s="207">
        <f>IF(AD33=1,COUNTIF($AD$2:AD33,1),"")</f>
        <v>32</v>
      </c>
      <c r="EA33" s="207">
        <f>IF(AE33=1,COUNTIF($AE$2:AE33,1),"")</f>
        <v>32</v>
      </c>
      <c r="EB33" s="207">
        <f>IF(AF33=1,COUNTIF($AF$2:AF33,1),"")</f>
        <v>32</v>
      </c>
      <c r="EC33" s="207">
        <f>IF(AG33=1,COUNTIF($AG$2:AG33,1),"")</f>
        <v>32</v>
      </c>
      <c r="ED33" s="207">
        <f>IF(AH33=1,COUNTIF($AH$2:AH33,1),"")</f>
        <v>32</v>
      </c>
      <c r="EE33" s="207">
        <f>IF(AI33=1,COUNTIF($AI$2:AI33,1),"")</f>
        <v>32</v>
      </c>
      <c r="EF33" s="207">
        <f>IF(AJ33=1,COUNTIF($AJ$2:AJ33,1),"")</f>
        <v>32</v>
      </c>
      <c r="EG33" s="207">
        <f>IF(AK33=1,COUNTIF($AK$2:AK33,1),"")</f>
        <v>32</v>
      </c>
      <c r="EH33" s="207">
        <f>IF(AL33=1,COUNTIF($AL$2:AL33,1),"")</f>
        <v>32</v>
      </c>
      <c r="EI33" s="207">
        <f>IF(AM33=1,COUNTIF($AM$2:AM33,1),"")</f>
        <v>32</v>
      </c>
      <c r="EJ33" s="207">
        <f>IF(AN33=1,COUNTIF($AN$2:AN33,1),"")</f>
        <v>32</v>
      </c>
      <c r="EK33" s="207">
        <f>IF(AO33=1,COUNTIF($AO$2:AO33,1),"")</f>
        <v>32</v>
      </c>
      <c r="EL33" s="207">
        <f>IF(AP33=1,COUNTIF($AP$2:AP33,1),"")</f>
        <v>32</v>
      </c>
      <c r="EM33" s="207">
        <f>IF(AQ33=1,COUNTIF($AQ$2:AQ33,1),"")</f>
        <v>32</v>
      </c>
      <c r="EN33" s="207">
        <f>IF(AR33=1,COUNTIF($AR$2:AR33,1),"")</f>
        <v>32</v>
      </c>
      <c r="EO33" s="207">
        <f>IF(AS33=1,COUNTIF($AS$2:AS33,1),"")</f>
        <v>32</v>
      </c>
      <c r="EP33" s="207">
        <f>IF(AT33=1,COUNTIF($AT$2:AT33,1),"")</f>
        <v>32</v>
      </c>
      <c r="EQ33" s="207">
        <f>IF(AU33=1,COUNTIF($AU$2:AU33,1),"")</f>
        <v>32</v>
      </c>
      <c r="ER33" s="207">
        <f>IF(AV33=1,COUNTIF($AV$2:AV33,1),"")</f>
        <v>32</v>
      </c>
      <c r="ES33" s="207">
        <f>IF(AW33=1,COUNTIF($AW$2:AW33,1),"")</f>
        <v>32</v>
      </c>
      <c r="ET33" s="207">
        <f>IF(AX33=1,COUNTIF($AX$2:AX33,1),"")</f>
        <v>32</v>
      </c>
      <c r="EU33" s="207">
        <f>IF(AY33=1,COUNTIF($AY$2:AY33,1),"")</f>
        <v>32</v>
      </c>
      <c r="EV33" s="207">
        <f>IF(AZ33=1,COUNTIF($AZ$2:AZ33,1),"")</f>
        <v>32</v>
      </c>
      <c r="EW33" s="207">
        <f>IF(BA33=1,COUNTIF($BA$2:BA33,1),"")</f>
        <v>32</v>
      </c>
      <c r="EX33" s="207">
        <f>IF(BB33=1,COUNTIF($BB$2:BB33,1),"")</f>
        <v>32</v>
      </c>
      <c r="EY33" s="207">
        <f>IF(BC33=1,COUNTIF($BC$2:BC33,1),"")</f>
        <v>32</v>
      </c>
      <c r="EZ33" s="207">
        <f>IF(BD33=1,COUNTIF($BD$2:BD33,1),"")</f>
        <v>32</v>
      </c>
      <c r="FA33" s="207">
        <f>IF(BE33=1,COUNTIF($BE$2:BE33,1),"")</f>
        <v>32</v>
      </c>
      <c r="FB33" s="207">
        <f>IF(BF33=1,COUNTIF($BF$2:BF33,1),"")</f>
        <v>32</v>
      </c>
      <c r="FC33" s="207">
        <f>IF(BG33=1,COUNTIF($BG$2:BG33,1),"")</f>
        <v>32</v>
      </c>
      <c r="FD33" s="207">
        <f>IF(BH33=1,COUNTIF($BH$2:BH33,1),"")</f>
        <v>32</v>
      </c>
      <c r="FE33" s="207">
        <f>IF(BI33=1,COUNTIF($BI$2:BI33,1),"")</f>
        <v>32</v>
      </c>
      <c r="FF33" s="207">
        <f>IF(BJ33=1,COUNTIF($BJ$2:BJ33,1),"")</f>
        <v>32</v>
      </c>
      <c r="FG33" s="207">
        <f>IF(BK33=1,COUNTIF($BK$2:BK33,1),"")</f>
        <v>32</v>
      </c>
      <c r="FH33" s="207">
        <f>IF(BL33=1,COUNTIF($BL$2:BL33,1),"")</f>
        <v>32</v>
      </c>
      <c r="FI33" s="207">
        <f>IF(BM33=1,COUNTIF($BM$2:BM33,1),"")</f>
        <v>32</v>
      </c>
      <c r="FJ33" s="207">
        <f>IF(BN33=1,COUNTIF($BN$2:BN33,1),"")</f>
        <v>32</v>
      </c>
      <c r="FK33" s="207">
        <f>IF(BO33=1,COUNTIF($BO$2:BO33,1),"")</f>
        <v>32</v>
      </c>
      <c r="FL33" s="207">
        <f>IF(BP33=1,COUNTIF($BP$2:BP33,1),"")</f>
        <v>32</v>
      </c>
      <c r="FM33" s="207">
        <f>IF(BQ33=1,COUNTIF($BQ$2:BQ33,1),"")</f>
        <v>32</v>
      </c>
      <c r="FN33" s="207">
        <f>IF(BR33=1,COUNTIF($BR$2:BR33,1),"")</f>
        <v>32</v>
      </c>
      <c r="FO33" s="207">
        <f>IF(BS33=1,COUNTIF($BS$2:BS33,1),"")</f>
        <v>32</v>
      </c>
      <c r="FP33" s="207">
        <f>IF(BT33=1,COUNTIF($BT$2:BT33,1),"")</f>
        <v>32</v>
      </c>
      <c r="FQ33" s="207">
        <f>IF(BU33=1,COUNTIF($BU$2:BU33,1),"")</f>
        <v>32</v>
      </c>
      <c r="FR33" s="207">
        <f>IF(BV33=1,COUNTIF($BV$2:BV33,1),"")</f>
        <v>32</v>
      </c>
      <c r="FS33" s="207">
        <f>IF(BW33=1,COUNTIF($BW$2:BW33,1),"")</f>
        <v>32</v>
      </c>
      <c r="FT33" s="207">
        <f>IF(BX33=1,COUNTIF($BX$2:BX33,1),"")</f>
        <v>32</v>
      </c>
      <c r="FU33" s="207">
        <f>IF(BY33=1,COUNTIF($BY$2:BY33,1),"")</f>
        <v>32</v>
      </c>
      <c r="FV33" s="207">
        <f>IF(BZ33=1,COUNTIF($BZ$2:BZ33,1),"")</f>
        <v>32</v>
      </c>
      <c r="FW33" s="207">
        <f>IF(CA33=1,COUNTIF($CA$2:CA33,1),"")</f>
        <v>32</v>
      </c>
      <c r="FX33" s="207">
        <f>IF(CB33=1,COUNTIF($CB$2:CB33,1),"")</f>
        <v>32</v>
      </c>
      <c r="FY33" s="207">
        <f>IF(CC33=1,COUNTIF($CC$2:CC33,1),"")</f>
        <v>32</v>
      </c>
      <c r="FZ33" s="207">
        <f>IF(CD33=1,COUNTIF($CD$2:CD33,1),"")</f>
        <v>32</v>
      </c>
      <c r="GA33" s="207">
        <f>IF(CE33=1,COUNTIF($CE$2:CE33,1),"")</f>
        <v>32</v>
      </c>
      <c r="GB33" s="207">
        <f>IF(CF33=1,COUNTIF($CF$2:CF33,1),"")</f>
        <v>32</v>
      </c>
      <c r="GC33" s="207">
        <f>IF(CG33=1,COUNTIF($CG$2:CG33,1),"")</f>
        <v>32</v>
      </c>
      <c r="GD33" s="207">
        <f>IF(CH33=1,COUNTIF($CH$2:CH33,1),"")</f>
        <v>32</v>
      </c>
      <c r="GE33" s="207">
        <f>IF(CI33=1,COUNTIF($CI$2:CI33,1),"")</f>
        <v>32</v>
      </c>
      <c r="GF33" s="207">
        <f>IF(CJ33=1,COUNTIF($CJ$2:CJ33,1),"")</f>
        <v>32</v>
      </c>
      <c r="GG33" s="207">
        <f>IF(CK33=1,COUNTIF($CK$2:CK33,1),"")</f>
        <v>32</v>
      </c>
      <c r="GH33" s="207">
        <f>IF(CL33=1,COUNTIF($CL$2:CL33,1),"")</f>
        <v>32</v>
      </c>
      <c r="GI33" s="207">
        <f>IF(CM33=1,COUNTIF($CM$2:CM33,1),"")</f>
        <v>32</v>
      </c>
      <c r="GJ33" s="207">
        <f>IF(CN33=1,COUNTIF($CN$2:CN33,1),"")</f>
        <v>32</v>
      </c>
      <c r="GK33" s="207">
        <f>IF(CO33=1,COUNTIF($CO$2:CO33,1),"")</f>
        <v>32</v>
      </c>
      <c r="GL33" s="207">
        <f>IF(CP33=1,COUNTIF($CP$2:CP33,1),"")</f>
        <v>32</v>
      </c>
      <c r="GM33" s="207">
        <f>IF(CQ33=1,COUNTIF($CQ$2:CQ33,1),"")</f>
        <v>32</v>
      </c>
      <c r="GN33" s="207">
        <f>IF(CR33=1,COUNTIF($CR$2:CR33,1),"")</f>
        <v>32</v>
      </c>
      <c r="GO33" s="207">
        <f>IF(CS33=1,COUNTIF($CS$2:CS33,1),"")</f>
        <v>32</v>
      </c>
      <c r="GP33" s="207">
        <f>IF(CT33=1,COUNTIF($CT$2:CT33,1),"")</f>
        <v>32</v>
      </c>
      <c r="GQ33" s="207">
        <f>IF(CU33=1,COUNTIF($CU$2:CU33,1),"")</f>
        <v>32</v>
      </c>
      <c r="GR33" s="207">
        <f>IF(CV33=1,COUNTIF($CV$2:CV33,1),"")</f>
        <v>32</v>
      </c>
      <c r="GS33" s="207">
        <f>IF(CW33=1,COUNTIF($CW$2:CW33,1),"")</f>
        <v>32</v>
      </c>
      <c r="GT33" s="207">
        <f>IF(CX33=1,COUNTIF($CX$2:CX33,1),"")</f>
        <v>32</v>
      </c>
      <c r="GU33" s="207">
        <f>IF(CY33=1,COUNTIF($CY$2:CY33,1),"")</f>
        <v>32</v>
      </c>
      <c r="GV33" s="207">
        <f>IF(CZ33=1,COUNTIF($CZ$2:CZ33,1),"")</f>
        <v>32</v>
      </c>
      <c r="GW33" s="207">
        <f>IF(DA33=1,COUNTIF($DA$2:DA33,1),"")</f>
        <v>32</v>
      </c>
      <c r="GX33" s="206" t="str">
        <f>IFERROR(INDEX($A$2:$A$113,MATCH(ROWS($DB$2:DB33),$DB$2:$DB$113,0)),"")</f>
        <v xml:space="preserve">PRIVACION ILEGITIMA DE LA LIBERTAD  AGRAVADO POR TORTURA </v>
      </c>
      <c r="GY33" s="206" t="str">
        <f>IFERROR(INDEX($A$2:$A$113,MATCH(ROWS($DC$2:DC33),$DC$2:$DC$113,0)),"")</f>
        <v xml:space="preserve">PRIVACION ILEGITIMA DE LA LIBERTAD  AGRAVADO POR TORTURA </v>
      </c>
      <c r="GZ33" s="206" t="str">
        <f>IFERROR(INDEX($A$2:$A$113,MATCH(ROWS($DD$2:DD33),$DD$2:$DD$113,0)),"")</f>
        <v xml:space="preserve">PRIVACION ILEGITIMA DE LA LIBERTAD  AGRAVADO POR TORTURA </v>
      </c>
      <c r="HA33" s="206" t="str">
        <f>IFERROR(INDEX($A$2:$A$113,MATCH(ROWS($DE$2:DE33),$DE$2:$DE$113,0)),"")</f>
        <v xml:space="preserve">PRIVACION ILEGITIMA DE LA LIBERTAD  AGRAVADO POR TORTURA </v>
      </c>
      <c r="HB33" s="206" t="str">
        <f>IFERROR(INDEX($A$2:$A$113,MATCH(ROWS($DF$2:DF33),$DF$2:$DF$113,0)),"")</f>
        <v xml:space="preserve">PRIVACION ILEGITIMA DE LA LIBERTAD  AGRAVADO POR TORTURA </v>
      </c>
      <c r="HC33" s="206" t="str">
        <f>IFERROR(INDEX($A$2:$A$113,MATCH(ROWS($DG$2:DG33),$DG$2:$DG$113,0)),"")</f>
        <v xml:space="preserve">PRIVACION ILEGITIMA DE LA LIBERTAD  AGRAVADO POR TORTURA </v>
      </c>
      <c r="HD33" s="206" t="str">
        <f>IFERROR(INDEX($A$2:$A$113,MATCH(ROWS($DH$2:DH33),$DH$2:$DH$113,0)),"")</f>
        <v xml:space="preserve">PRIVACION ILEGITIMA DE LA LIBERTAD  AGRAVADO POR TORTURA </v>
      </c>
      <c r="HE33" s="206" t="str">
        <f>IFERROR(INDEX($A$2:$A$113,MATCH(ROWS($DI$2:DI33),$DI$2:$DI$113,0)),"")</f>
        <v xml:space="preserve">PRIVACION ILEGITIMA DE LA LIBERTAD  AGRAVADO POR TORTURA </v>
      </c>
      <c r="HF33" s="206" t="str">
        <f>IFERROR(INDEX($A$2:$A$113,MATCH(ROWS($DJ$2:DJ33),$DJ$2:$DJ$113,0)),"")</f>
        <v xml:space="preserve">PRIVACION ILEGITIMA DE LA LIBERTAD  AGRAVADO POR TORTURA </v>
      </c>
      <c r="HG33" s="206" t="str">
        <f>IFERROR(INDEX($A$2:$A$113,MATCH(ROWS($DK$2:DK33),$DK$2:$DK$113,0)),"")</f>
        <v xml:space="preserve">PRIVACION ILEGITIMA DE LA LIBERTAD  AGRAVADO POR TORTURA </v>
      </c>
      <c r="HH33" s="206" t="str">
        <f>IFERROR(INDEX($A$2:$A$113,MATCH(ROWS($DL$2:DL33),$DL$2:$DL$113,0)),"")</f>
        <v xml:space="preserve">PRIVACION ILEGITIMA DE LA LIBERTAD  AGRAVADO POR TORTURA </v>
      </c>
      <c r="HI33" s="206" t="str">
        <f>IFERROR(INDEX($A$2:$A$113,MATCH(ROWS($DM$2:DM33),$DM$2:$DM$113,0)),"")</f>
        <v xml:space="preserve">PRIVACION ILEGITIMA DE LA LIBERTAD  AGRAVADO POR TORTURA </v>
      </c>
      <c r="HJ33" s="206" t="str">
        <f>IFERROR(INDEX($A$2:$A$113,MATCH(ROWS($DN$2:DN33),$DN$2:$DN$113,0)),"")</f>
        <v xml:space="preserve">PRIVACION ILEGITIMA DE LA LIBERTAD  AGRAVADO POR TORTURA </v>
      </c>
      <c r="HK33" s="206" t="str">
        <f>IFERROR(INDEX($A$2:$A$113,MATCH(ROWS($DO$2:DO33),$DO$2:$DO$113,0)),"")</f>
        <v xml:space="preserve">PRIVACION ILEGITIMA DE LA LIBERTAD  AGRAVADO POR TORTURA </v>
      </c>
      <c r="HL33" s="206" t="str">
        <f>IFERROR(INDEX($A$2:$A$113,MATCH(ROWS($DP$2:DP33),$DP$2:$DP$113,0)),"")</f>
        <v xml:space="preserve">PRIVACION ILEGITIMA DE LA LIBERTAD  AGRAVADO POR TORTURA </v>
      </c>
      <c r="HM33" s="206" t="str">
        <f>IFERROR(INDEX($A$2:$A$113,MATCH(ROWS($DQ$2:DQ33),$DQ$2:$DQ$113,0)),"")</f>
        <v xml:space="preserve">PRIVACION ILEGITIMA DE LA LIBERTAD  AGRAVADO POR TORTURA </v>
      </c>
      <c r="HN33" s="206" t="str">
        <f>IFERROR(INDEX($A$2:$A$113,MATCH(ROWS($DR$2:DR33),$DR$2:$DR$113,0)),"")</f>
        <v xml:space="preserve">PRIVACION ILEGITIMA DE LA LIBERTAD  AGRAVADO POR TORTURA </v>
      </c>
      <c r="HO33" s="206" t="str">
        <f>IFERROR(INDEX($A$2:$A$113,MATCH(ROWS($DS$2:DS33),$DS$2:$DS$113,0)),"")</f>
        <v xml:space="preserve">PRIVACION ILEGITIMA DE LA LIBERTAD  AGRAVADO POR TORTURA </v>
      </c>
      <c r="HP33" s="206" t="str">
        <f>IFERROR(INDEX($A$2:$A$113,MATCH(ROWS($DT$2:DT33),$DT$2:$DT$113,0)),"")</f>
        <v xml:space="preserve">PRIVACION ILEGITIMA DE LA LIBERTAD  AGRAVADO POR TORTURA </v>
      </c>
      <c r="HQ33" s="206" t="str">
        <f>IFERROR(INDEX($A$2:$A$113,MATCH(ROWS($DU$2:DU33),$DU$2:$DU$113,0)),"")</f>
        <v xml:space="preserve">PRIVACION ILEGITIMA DE LA LIBERTAD  AGRAVADO POR TORTURA </v>
      </c>
      <c r="HR33" s="206" t="str">
        <f>IFERROR(INDEX($A$2:$A$113,MATCH(ROWS($DV$2:DV33),$DV$2:$DV$113,0)),"")</f>
        <v xml:space="preserve">PRIVACION ILEGITIMA DE LA LIBERTAD  AGRAVADO POR TORTURA </v>
      </c>
      <c r="HS33" s="206" t="str">
        <f>IFERROR(INDEX($A$2:$A$113,MATCH(ROWS($DW$2:DW33),$DW$2:$DW$113,0)),"")</f>
        <v xml:space="preserve">PRIVACION ILEGITIMA DE LA LIBERTAD  AGRAVADO POR TORTURA </v>
      </c>
      <c r="HT33" s="206" t="str">
        <f>IFERROR(INDEX($A$2:$A$113,MATCH(ROWS($DX$2:DX33),$DX$2:$DX$113,0)),"")</f>
        <v xml:space="preserve">PRIVACION ILEGITIMA DE LA LIBERTAD  AGRAVADO POR TORTURA </v>
      </c>
      <c r="HU33" s="206" t="str">
        <f>IFERROR(INDEX($A$2:$A$113,MATCH(ROWS($DY$2:DY33),$DY$2:$DY$113,0)),"")</f>
        <v xml:space="preserve">PRIVACION ILEGITIMA DE LA LIBERTAD  AGRAVADO POR TORTURA </v>
      </c>
      <c r="HV33" s="206" t="str">
        <f>IFERROR(INDEX($A$2:$A$113,MATCH(ROWS($DZ$2:DZ33),$DZ$2:$DZ$113,0)),"")</f>
        <v xml:space="preserve">PRIVACION ILEGITIMA DE LA LIBERTAD  AGRAVADO POR TORTURA </v>
      </c>
      <c r="HW33" s="206" t="str">
        <f>IFERROR(INDEX($A$2:$A$113,MATCH(ROWS($EA$2:EA33),$EA$2:$EA$113,0)),"")</f>
        <v xml:space="preserve">PRIVACION ILEGITIMA DE LA LIBERTAD  AGRAVADO POR TORTURA </v>
      </c>
      <c r="HX33" s="206" t="str">
        <f>IFERROR(INDEX($A$2:$A$113,MATCH(ROWS($EB$2:EB33),$EB$2:$EB$113,0)),"")</f>
        <v xml:space="preserve">PRIVACION ILEGITIMA DE LA LIBERTAD  AGRAVADO POR TORTURA </v>
      </c>
      <c r="HY33" s="206" t="str">
        <f>IFERROR(INDEX($A$2:$A$113,MATCH(ROWS($EC$2:EC33),$EC$2:$EC$113,0)),"")</f>
        <v xml:space="preserve">PRIVACION ILEGITIMA DE LA LIBERTAD  AGRAVADO POR TORTURA </v>
      </c>
      <c r="HZ33" s="206" t="str">
        <f>IFERROR(INDEX($A$2:$A$113,MATCH(ROWS($ED$2:ED33),$ED$2:$ED$113,0)),"")</f>
        <v xml:space="preserve">PRIVACION ILEGITIMA DE LA LIBERTAD  AGRAVADO POR TORTURA </v>
      </c>
      <c r="IA33" s="206" t="str">
        <f>IFERROR(INDEX($A$2:$A$113,MATCH(ROWS($EE$2:EE33),$EE$2:$EE$113,0)),"")</f>
        <v xml:space="preserve">PRIVACION ILEGITIMA DE LA LIBERTAD  AGRAVADO POR TORTURA </v>
      </c>
      <c r="IB33" s="206" t="str">
        <f>IFERROR(INDEX($A$2:$A$113,MATCH(ROWS($EF$2:EF33),$EF$2:$EF$113,0)),"")</f>
        <v xml:space="preserve">PRIVACION ILEGITIMA DE LA LIBERTAD  AGRAVADO POR TORTURA </v>
      </c>
      <c r="IC33" s="206" t="str">
        <f>IFERROR(INDEX($A$2:$A$113,MATCH(ROWS($EG$2:EG33),$EG$2:$EG$113,0)),"")</f>
        <v xml:space="preserve">PRIVACION ILEGITIMA DE LA LIBERTAD  AGRAVADO POR TORTURA </v>
      </c>
      <c r="ID33" s="206" t="str">
        <f>IFERROR(INDEX($A$2:$A$113,MATCH(ROWS($EH$2:EH33),$EH$2:$EH$113,0)),"")</f>
        <v xml:space="preserve">PRIVACION ILEGITIMA DE LA LIBERTAD  AGRAVADO POR TORTURA </v>
      </c>
      <c r="IE33" s="206" t="str">
        <f>IFERROR(INDEX($A$2:$A$113,MATCH(ROWS($EI$2:EI33),$EI$2:$EI$113,0)),"")</f>
        <v xml:space="preserve">PRIVACION ILEGITIMA DE LA LIBERTAD  AGRAVADO POR TORTURA </v>
      </c>
      <c r="IF33" s="206" t="str">
        <f>IFERROR(INDEX($A$2:$A$113,MATCH(ROWS($EJ$2:EJ33),$EJ$2:$EJ$113,0)),"")</f>
        <v xml:space="preserve">PRIVACION ILEGITIMA DE LA LIBERTAD  AGRAVADO POR TORTURA </v>
      </c>
      <c r="IG33" s="206" t="str">
        <f>IFERROR(INDEX($A$2:$A$113,MATCH(ROWS($EK$2:EK33),$EK$2:$EK$113,0)),"")</f>
        <v xml:space="preserve">PRIVACION ILEGITIMA DE LA LIBERTAD  AGRAVADO POR TORTURA </v>
      </c>
      <c r="IH33" s="206" t="str">
        <f>IFERROR(INDEX($A$2:$A$113,MATCH(ROWS($EL$2:EL33),$EL$2:$EL$113,0)),"")</f>
        <v xml:space="preserve">PRIVACION ILEGITIMA DE LA LIBERTAD  AGRAVADO POR TORTURA </v>
      </c>
      <c r="II33" s="206" t="str">
        <f>IFERROR(INDEX($A$2:$A$113,MATCH(ROWS($EM$2:EM33),$EM$2:$EM$113,0)),"")</f>
        <v xml:space="preserve">PRIVACION ILEGITIMA DE LA LIBERTAD  AGRAVADO POR TORTURA </v>
      </c>
      <c r="IJ33" s="206" t="str">
        <f>IFERROR(INDEX($A$2:$A$113,MATCH(ROWS($EN$2:EN33),$EN$2:$EN$113,0)),"")</f>
        <v xml:space="preserve">PRIVACION ILEGITIMA DE LA LIBERTAD  AGRAVADO POR TORTURA </v>
      </c>
      <c r="IK33" s="207" t="str">
        <f>IFERROR(INDEX($A$2:$A$113,MATCH(ROWS($EO$2:EO33),$EO$2:$EO$113,0)),"")</f>
        <v xml:space="preserve">PRIVACION ILEGITIMA DE LA LIBERTAD  AGRAVADO POR TORTURA </v>
      </c>
      <c r="IL33" s="207" t="str">
        <f>IFERROR(INDEX($A$2:$A$113,MATCH(ROWS($EP$2:EP33),$EP$2:$EP$113,0)),"")</f>
        <v xml:space="preserve">PRIVACION ILEGITIMA DE LA LIBERTAD  AGRAVADO POR TORTURA </v>
      </c>
      <c r="IM33" s="207" t="str">
        <f>IFERROR(INDEX($A$2:$A$113,MATCH(ROWS($EQ$2:EQ33),$EQ$2:$EQ$113,0)),"")</f>
        <v xml:space="preserve">PRIVACION ILEGITIMA DE LA LIBERTAD  AGRAVADO POR TORTURA </v>
      </c>
      <c r="IN33" s="207" t="str">
        <f>IFERROR(INDEX($A$2:$A$113,MATCH(ROWS($ER$2:ER33),$ER$2:$ER$113,0)),"")</f>
        <v xml:space="preserve">PRIVACION ILEGITIMA DE LA LIBERTAD  AGRAVADO POR TORTURA </v>
      </c>
      <c r="IO33" s="207" t="str">
        <f>IFERROR(INDEX($A$2:$A$113,MATCH(ROWS($ES$2:ES33),$ES$2:$ES$113,0)),"")</f>
        <v xml:space="preserve">PRIVACION ILEGITIMA DE LA LIBERTAD  AGRAVADO POR TORTURA </v>
      </c>
      <c r="IP33" s="207" t="str">
        <f>IFERROR(INDEX($A$2:$A$113,MATCH(ROWS($ET$2:ET33),$ET$2:$ET$113,0)),"")</f>
        <v xml:space="preserve">PRIVACION ILEGITIMA DE LA LIBERTAD  AGRAVADO POR TORTURA </v>
      </c>
      <c r="IQ33" s="207" t="str">
        <f>IFERROR(INDEX($A$2:$A$113,MATCH(ROWS($EU$2:EU33),$EU$2:$EU$113,0)),"")</f>
        <v xml:space="preserve">PRIVACION ILEGITIMA DE LA LIBERTAD  AGRAVADO POR TORTURA </v>
      </c>
      <c r="IR33" s="207" t="str">
        <f>IFERROR(INDEX($A$2:$A$113,MATCH(ROWS($EV$2:EV33),$EV$2:$EV$113,0)),"")</f>
        <v xml:space="preserve">PRIVACION ILEGITIMA DE LA LIBERTAD  AGRAVADO POR TORTURA </v>
      </c>
      <c r="IS33" s="207" t="str">
        <f>IFERROR(INDEX($A$2:$A$113,MATCH(ROWS($EW$2:EW33),$EW$2:$EW$113,0)),"")</f>
        <v xml:space="preserve">PRIVACION ILEGITIMA DE LA LIBERTAD  AGRAVADO POR TORTURA </v>
      </c>
      <c r="IT33" s="207" t="str">
        <f>IFERROR(INDEX($A$2:$A$113,MATCH(ROWS($EX$2:EX33),$EX$2:$EX$113,0)),"")</f>
        <v xml:space="preserve">PRIVACION ILEGITIMA DE LA LIBERTAD  AGRAVADO POR TORTURA </v>
      </c>
      <c r="IU33" s="207" t="str">
        <f>IFERROR(INDEX($A$2:$A$113,MATCH(ROWS($EY$2:EY33),$EY$2:$EY$113,0)),"")</f>
        <v xml:space="preserve">PRIVACION ILEGITIMA DE LA LIBERTAD  AGRAVADO POR TORTURA </v>
      </c>
      <c r="IV33" s="207" t="str">
        <f>IFERROR(INDEX($A$2:$A$113,MATCH(ROWS($EZ$2:EZ33),$EZ$2:$EZ$113,0)),"")</f>
        <v xml:space="preserve">PRIVACION ILEGITIMA DE LA LIBERTAD  AGRAVADO POR TORTURA </v>
      </c>
      <c r="IW33" s="207" t="str">
        <f>IFERROR(INDEX($A$2:$A$113,MATCH(ROWS($FA$2:FA33),$FA$2:$FA$113,0)),"")</f>
        <v xml:space="preserve">PRIVACION ILEGITIMA DE LA LIBERTAD  AGRAVADO POR TORTURA </v>
      </c>
      <c r="IX33" s="207" t="str">
        <f>IFERROR(INDEX($A$2:$A$113,MATCH(ROWS($FB$2:FB33),$FB$2:$FB$113,0)),"")</f>
        <v xml:space="preserve">PRIVACION ILEGITIMA DE LA LIBERTAD  AGRAVADO POR TORTURA </v>
      </c>
      <c r="IY33" s="207" t="str">
        <f>IFERROR(INDEX($A$2:$A$113,MATCH(ROWS($FC$2:FC33),$FC$2:$FC$113,0)),"")</f>
        <v xml:space="preserve">PRIVACION ILEGITIMA DE LA LIBERTAD  AGRAVADO POR TORTURA </v>
      </c>
      <c r="IZ33" s="207" t="str">
        <f>IFERROR(INDEX($A$2:$A$113,MATCH(ROWS($FD$2:FD33),$FD$2:$FD$113,0)),"")</f>
        <v xml:space="preserve">PRIVACION ILEGITIMA DE LA LIBERTAD  AGRAVADO POR TORTURA </v>
      </c>
      <c r="JA33" s="207" t="str">
        <f>IFERROR(INDEX($A$2:$A$113,MATCH(ROWS($FE$2:FE33),$FE$2:$FE$113,0)),"")</f>
        <v xml:space="preserve">PRIVACION ILEGITIMA DE LA LIBERTAD  AGRAVADO POR TORTURA </v>
      </c>
      <c r="JB33" s="207" t="str">
        <f>IFERROR(INDEX($A$2:$A$113,MATCH(ROWS($FF$2:FF33),$FF$2:$FF$113,0)),"")</f>
        <v xml:space="preserve">PRIVACION ILEGITIMA DE LA LIBERTAD  AGRAVADO POR TORTURA </v>
      </c>
      <c r="JC33" s="207" t="str">
        <f>IFERROR(INDEX($A$2:$A$113,MATCH(ROWS($FG$2:FG33),$FG$2:$FG$113,0)),"")</f>
        <v xml:space="preserve">PRIVACION ILEGITIMA DE LA LIBERTAD  AGRAVADO POR TORTURA </v>
      </c>
      <c r="JD33" s="207" t="str">
        <f>IFERROR(INDEX($A$2:$A$113,MATCH(ROWS($FH$2:FH33),$FH$2:$FH$113,0)),"")</f>
        <v xml:space="preserve">PRIVACION ILEGITIMA DE LA LIBERTAD  AGRAVADO POR TORTURA </v>
      </c>
      <c r="JE33" s="207" t="str">
        <f>IFERROR(INDEX($A$2:$A$113,MATCH(ROWS($FI$2:FI33),$FI$2:$FI$113,0)),"")</f>
        <v xml:space="preserve">PRIVACION ILEGITIMA DE LA LIBERTAD  AGRAVADO POR TORTURA </v>
      </c>
      <c r="JF33" s="207" t="str">
        <f>IFERROR(INDEX($A$2:$A$113,MATCH(ROWS($FJ$2:FJ33),$FJ$2:$FJ$113,0)),"")</f>
        <v xml:space="preserve">PRIVACION ILEGITIMA DE LA LIBERTAD  AGRAVADO POR TORTURA </v>
      </c>
      <c r="JG33" s="207" t="str">
        <f>IFERROR(INDEX($A$2:$A$113,MATCH(ROWS($FK$2:FK33),$FK$2:$FK$113,0)),"")</f>
        <v xml:space="preserve">PRIVACION ILEGITIMA DE LA LIBERTAD  AGRAVADO POR TORTURA </v>
      </c>
      <c r="JH33" s="207" t="str">
        <f>IFERROR(INDEX($A$2:$A$113,MATCH(ROWS($FL$2:FL33),$FL$2:$FL$113,0)),"")</f>
        <v xml:space="preserve">PRIVACION ILEGITIMA DE LA LIBERTAD  AGRAVADO POR TORTURA </v>
      </c>
      <c r="JI33" s="207" t="str">
        <f>IFERROR(INDEX($A$2:$A$113,MATCH(ROWS($FM$2:FM33),$FM$2:$FM$113,0)),"")</f>
        <v xml:space="preserve">PRIVACION ILEGITIMA DE LA LIBERTAD  AGRAVADO POR TORTURA </v>
      </c>
      <c r="JJ33" s="207" t="str">
        <f>IFERROR(INDEX($A$2:$A$113,MATCH(ROWS($FN$2:FN33),$FN$2:$FN$113,0)),"")</f>
        <v xml:space="preserve">PRIVACION ILEGITIMA DE LA LIBERTAD  AGRAVADO POR TORTURA </v>
      </c>
      <c r="JK33" s="207" t="str">
        <f>IFERROR(INDEX($A$2:$A$113,MATCH(ROWS($FO$2:FO33),$FO$2:$FO$113,0)),"")</f>
        <v xml:space="preserve">PRIVACION ILEGITIMA DE LA LIBERTAD  AGRAVADO POR TORTURA </v>
      </c>
      <c r="JL33" s="207" t="str">
        <f>IFERROR(INDEX($A$2:$A$113,MATCH(ROWS($FP$2:FP33),$FP$2:$FP$113,0)),"")</f>
        <v xml:space="preserve">PRIVACION ILEGITIMA DE LA LIBERTAD  AGRAVADO POR TORTURA </v>
      </c>
      <c r="JM33" s="207" t="str">
        <f>IFERROR(INDEX($A$2:$A$113,MATCH(ROWS($FQ$2:FQ33),$FQ$2:$FQ$113,0)),"")</f>
        <v xml:space="preserve">PRIVACION ILEGITIMA DE LA LIBERTAD  AGRAVADO POR TORTURA </v>
      </c>
      <c r="JN33" s="207" t="str">
        <f>IFERROR(INDEX($A$2:$A$113,MATCH(ROWS($FR$2:FR33),$FR$2:$FR$113,0)),"")</f>
        <v xml:space="preserve">PRIVACION ILEGITIMA DE LA LIBERTAD  AGRAVADO POR TORTURA </v>
      </c>
      <c r="JO33" s="207" t="str">
        <f>IFERROR(INDEX($A$2:$A$113,MATCH(ROWS($FS$2:FS33),$FS$2:$FS$113,0)),"")</f>
        <v xml:space="preserve">PRIVACION ILEGITIMA DE LA LIBERTAD  AGRAVADO POR TORTURA </v>
      </c>
      <c r="JP33" s="207" t="str">
        <f>IFERROR(INDEX($A$2:$A$113,MATCH(ROWS($FT$2:FT33),$FT$2:$FT$113,0)),"")</f>
        <v xml:space="preserve">PRIVACION ILEGITIMA DE LA LIBERTAD  AGRAVADO POR TORTURA </v>
      </c>
      <c r="JQ33" s="207" t="str">
        <f>IFERROR(INDEX($A$2:$A$113,MATCH(ROWS($FU$2:FU33),$FU$2:$FU$113,0)),"")</f>
        <v xml:space="preserve">PRIVACION ILEGITIMA DE LA LIBERTAD  AGRAVADO POR TORTURA </v>
      </c>
      <c r="JR33" s="207" t="str">
        <f>IFERROR(INDEX($A$2:$A$113,MATCH(ROWS($FV$2:FV33),$FV$2:$FV$113,0)),"")</f>
        <v xml:space="preserve">PRIVACION ILEGITIMA DE LA LIBERTAD  AGRAVADO POR TORTURA </v>
      </c>
      <c r="JS33" s="207" t="str">
        <f>IFERROR(INDEX($A$2:$A$113,MATCH(ROWS($FW$2:FW33),$FW$2:$FW$113,0)),"")</f>
        <v xml:space="preserve">PRIVACION ILEGITIMA DE LA LIBERTAD  AGRAVADO POR TORTURA </v>
      </c>
      <c r="JT33" s="207" t="str">
        <f>IFERROR(INDEX($A$2:$A$113,MATCH(ROWS($FX$2:FX33),$FX$2:$FX$113,0)),"")</f>
        <v xml:space="preserve">PRIVACION ILEGITIMA DE LA LIBERTAD  AGRAVADO POR TORTURA </v>
      </c>
      <c r="JU33" s="207" t="str">
        <f>IFERROR(INDEX($A$2:$A$113,MATCH(ROWS($FY$2:FY33),$FY$2:$FY$113,0)),"")</f>
        <v xml:space="preserve">PRIVACION ILEGITIMA DE LA LIBERTAD  AGRAVADO POR TORTURA </v>
      </c>
      <c r="JV33" s="207" t="str">
        <f>IFERROR(INDEX($A$2:$A$113,MATCH(ROWS($FZ$2:FZ33),$FZ$2:$FZ$113,0)),"")</f>
        <v xml:space="preserve">PRIVACION ILEGITIMA DE LA LIBERTAD  AGRAVADO POR TORTURA </v>
      </c>
      <c r="JW33" s="207" t="str">
        <f>IFERROR(INDEX($A$2:$A$113,MATCH(ROWS($GA$2:GA33),$GA$2:$GA$113,0)),"")</f>
        <v xml:space="preserve">PRIVACION ILEGITIMA DE LA LIBERTAD  AGRAVADO POR TORTURA </v>
      </c>
      <c r="JX33" s="207" t="str">
        <f>IFERROR(INDEX($A$2:$A$113,MATCH(ROWS($GB$2:GB33),$GB$2:$GB$113,0)),"")</f>
        <v xml:space="preserve">PRIVACION ILEGITIMA DE LA LIBERTAD  AGRAVADO POR TORTURA </v>
      </c>
      <c r="JY33" s="207" t="str">
        <f>IFERROR(INDEX($A$2:$A$113,MATCH(ROWS($GC$2:GC33),$GC$2:$GC$113,0)),"")</f>
        <v xml:space="preserve">PRIVACION ILEGITIMA DE LA LIBERTAD  AGRAVADO POR TORTURA </v>
      </c>
      <c r="JZ33" s="207" t="str">
        <f>IFERROR(INDEX($A$2:$A$113,MATCH(ROWS($GD$2:GD33),$GD$2:$GD$113,0)),"")</f>
        <v xml:space="preserve">PRIVACION ILEGITIMA DE LA LIBERTAD  AGRAVADO POR TORTURA </v>
      </c>
      <c r="KA33" s="207" t="str">
        <f>IFERROR(INDEX($A$2:$A$113,MATCH(ROWS($GE$2:GE33),$GE$2:$GE$113,0)),"")</f>
        <v xml:space="preserve">PRIVACION ILEGITIMA DE LA LIBERTAD  AGRAVADO POR TORTURA </v>
      </c>
      <c r="KB33" s="207" t="str">
        <f>IFERROR(INDEX($A$2:$A$113,MATCH(ROWS($GF$2:GF33),$GF$2:$GF$113,0)),"")</f>
        <v xml:space="preserve">PRIVACION ILEGITIMA DE LA LIBERTAD  AGRAVADO POR TORTURA </v>
      </c>
      <c r="KC33" s="207" t="str">
        <f>IFERROR(INDEX($A$2:$A$113,MATCH(ROWS($GG$2:GG33),$GG$2:$GG$113,0)),"")</f>
        <v xml:space="preserve">PRIVACION ILEGITIMA DE LA LIBERTAD  AGRAVADO POR TORTURA </v>
      </c>
      <c r="KD33" s="207" t="str">
        <f>IFERROR(INDEX($A$2:$A$113,MATCH(ROWS($GH$2:GH33),$GH$2:$GH$113,0)),"")</f>
        <v xml:space="preserve">PRIVACION ILEGITIMA DE LA LIBERTAD  AGRAVADO POR TORTURA </v>
      </c>
      <c r="KE33" s="207" t="str">
        <f>IFERROR(INDEX($A$2:$A$113,MATCH(ROWS($GI$2:GI33),$GI$2:$GI$113,0)),"")</f>
        <v xml:space="preserve">PRIVACION ILEGITIMA DE LA LIBERTAD  AGRAVADO POR TORTURA </v>
      </c>
      <c r="KF33" s="207" t="str">
        <f>IFERROR(INDEX($A$2:$A$113,MATCH(ROWS($GJ$2:GJ33),$GJ$2:$GJ$113,0)),"")</f>
        <v xml:space="preserve">PRIVACION ILEGITIMA DE LA LIBERTAD  AGRAVADO POR TORTURA </v>
      </c>
      <c r="KG33" s="207" t="str">
        <f>IFERROR(INDEX($A$2:$A$113,MATCH(ROWS($GK$2:GK33),$GK$2:$GK$113,0)),"")</f>
        <v xml:space="preserve">PRIVACION ILEGITIMA DE LA LIBERTAD  AGRAVADO POR TORTURA </v>
      </c>
      <c r="KH33" s="207" t="str">
        <f>IFERROR(INDEX($A$2:$A$113,MATCH(ROWS($GL$2:GL33),$GL$2:$GL$113,0)),"")</f>
        <v xml:space="preserve">PRIVACION ILEGITIMA DE LA LIBERTAD  AGRAVADO POR TORTURA </v>
      </c>
      <c r="KI33" s="207" t="str">
        <f>IFERROR(INDEX($A$2:$A$113,MATCH(ROWS($GM$2:GM33),$GM$2:$GM$113,0)),"")</f>
        <v xml:space="preserve">PRIVACION ILEGITIMA DE LA LIBERTAD  AGRAVADO POR TORTURA </v>
      </c>
      <c r="KJ33" s="207" t="str">
        <f>IFERROR(INDEX($A$2:$A$113,MATCH(ROWS($GN$2:GN33),$GN$2:$GN$113,0)),"")</f>
        <v xml:space="preserve">PRIVACION ILEGITIMA DE LA LIBERTAD  AGRAVADO POR TORTURA </v>
      </c>
      <c r="KK33" s="207" t="str">
        <f>IFERROR(INDEX($A$2:$A$113,MATCH(ROWS($GO$2:GO33),$GO$2:$GO$113,0)),"")</f>
        <v xml:space="preserve">PRIVACION ILEGITIMA DE LA LIBERTAD  AGRAVADO POR TORTURA </v>
      </c>
      <c r="KL33" s="207" t="str">
        <f>IFERROR(INDEX($A$2:$A$113,MATCH(ROWS($GP$2:GP33),$GP$2:$GP$113,0)),"")</f>
        <v xml:space="preserve">PRIVACION ILEGITIMA DE LA LIBERTAD  AGRAVADO POR TORTURA </v>
      </c>
      <c r="KM33" s="207" t="str">
        <f>IFERROR(INDEX($A$2:$A$113,MATCH(ROWS($GQ$2:GQ33),$GQ$2:$GQ$113,0)),"")</f>
        <v xml:space="preserve">PRIVACION ILEGITIMA DE LA LIBERTAD  AGRAVADO POR TORTURA </v>
      </c>
      <c r="KN33" s="207" t="str">
        <f>IFERROR(INDEX($A$2:$A$113,MATCH(ROWS($GR$2:GR33),$GR$2:$GR$113,0)),"")</f>
        <v xml:space="preserve">PRIVACION ILEGITIMA DE LA LIBERTAD  AGRAVADO POR TORTURA </v>
      </c>
      <c r="KO33" s="207" t="str">
        <f>IFERROR(INDEX($A$2:$A$113,MATCH(ROWS($GS$2:GS33),$GS$2:$GS$113,0)),"")</f>
        <v xml:space="preserve">PRIVACION ILEGITIMA DE LA LIBERTAD  AGRAVADO POR TORTURA </v>
      </c>
      <c r="KP33" s="207" t="str">
        <f>IFERROR(INDEX($A$2:$A$113,MATCH(ROWS($GT$2:GT33),$GT$2:$GT$113,0)),"")</f>
        <v xml:space="preserve">PRIVACION ILEGITIMA DE LA LIBERTAD  AGRAVADO POR TORTURA </v>
      </c>
      <c r="KQ33" s="207" t="str">
        <f>IFERROR(INDEX($A$2:$A$113,MATCH(ROWS($GU$2:GU33),$GU$2:$GU$113,0)),"")</f>
        <v xml:space="preserve">PRIVACION ILEGITIMA DE LA LIBERTAD  AGRAVADO POR TORTURA </v>
      </c>
      <c r="KR33" s="207" t="str">
        <f>IFERROR(INDEX($A$2:$A$113,MATCH(ROWS($GV$2:GV33),$GV$2:$GV$113,0)),"")</f>
        <v xml:space="preserve">PRIVACION ILEGITIMA DE LA LIBERTAD  AGRAVADO POR TORTURA </v>
      </c>
      <c r="KS33" s="207" t="str">
        <f>IFERROR(INDEX($A$2:$A$113,MATCH(ROWS($GW$2:GW33),$GW$2:$GW$113,0)),"")</f>
        <v xml:space="preserve">PRIVACION ILEGITIMA DE LA LIBERTAD  AGRAVADO POR TORTURA </v>
      </c>
    </row>
    <row r="34" spans="1:305" x14ac:dyDescent="0.25">
      <c r="A34" s="206" t="s">
        <v>51</v>
      </c>
      <c r="B34" s="206" t="s">
        <v>77</v>
      </c>
      <c r="D34" s="206" t="s">
        <v>791</v>
      </c>
      <c r="E34" s="206" t="s">
        <v>76</v>
      </c>
      <c r="F34" s="207">
        <f>--ISNUMBER(IFERROR(SEARCH('PLANILLA DJ'!$X$3,$A34,1),""))</f>
        <v>1</v>
      </c>
      <c r="G34" s="207">
        <f>--ISNUMBER(IFERROR(SEARCH('PLANILLA DJ'!$X$4,$A34,1),""))</f>
        <v>1</v>
      </c>
      <c r="H34" s="207">
        <f>--ISNUMBER(IFERROR(SEARCH('PLANILLA DJ'!$X$5,$A34,1),""))</f>
        <v>1</v>
      </c>
      <c r="I34" s="207">
        <f>--ISNUMBER(IFERROR(SEARCH('PLANILLA DJ'!$X$6,$A34,1),""))</f>
        <v>1</v>
      </c>
      <c r="J34" s="207">
        <f>--ISNUMBER(IFERROR(SEARCH('PLANILLA DJ'!$X$7,$A34,1),""))</f>
        <v>1</v>
      </c>
      <c r="K34" s="207">
        <f>--ISNUMBER(IFERROR(SEARCH('PLANILLA DJ'!$X$8,$A34,1),""))</f>
        <v>1</v>
      </c>
      <c r="L34" s="207">
        <f>--ISNUMBER(IFERROR(SEARCH('PLANILLA DJ'!$X$9,$A34,1),""))</f>
        <v>1</v>
      </c>
      <c r="M34" s="207">
        <f>--ISNUMBER(IFERROR(SEARCH('PLANILLA DJ'!$X$10,$A34,1),""))</f>
        <v>1</v>
      </c>
      <c r="N34" s="207">
        <f>--ISNUMBER(IFERROR(SEARCH('PLANILLA DJ'!$X$11,$A34,1),""))</f>
        <v>1</v>
      </c>
      <c r="O34" s="207">
        <f>--ISNUMBER(IFERROR(SEARCH('PLANILLA DJ'!$X$12,$A34,1),""))</f>
        <v>1</v>
      </c>
      <c r="P34" s="207">
        <f>--ISNUMBER(IFERROR(SEARCH('PLANILLA DJ'!$X$13,$A34,1),""))</f>
        <v>1</v>
      </c>
      <c r="Q34" s="207">
        <f>--ISNUMBER(IFERROR(SEARCH('PLANILLA DJ'!$X$14,$A34,1),""))</f>
        <v>1</v>
      </c>
      <c r="R34" s="207">
        <f>--ISNUMBER(IFERROR(SEARCH('PLANILLA DJ'!$X$15,$A34,1),""))</f>
        <v>1</v>
      </c>
      <c r="S34" s="207">
        <f>--ISNUMBER(IFERROR(SEARCH('PLANILLA DJ'!$X$16,$A34,1),""))</f>
        <v>1</v>
      </c>
      <c r="T34" s="207">
        <f>--ISNUMBER(IFERROR(SEARCH('PLANILLA DJ'!$X$17,$A34,1),""))</f>
        <v>1</v>
      </c>
      <c r="U34" s="207">
        <f>--ISNUMBER(IFERROR(SEARCH('PLANILLA DJ'!$X$18,$A34,1),""))</f>
        <v>1</v>
      </c>
      <c r="V34" s="207">
        <f>--ISNUMBER(IFERROR(SEARCH('PLANILLA DJ'!$X$19,$A34,1),""))</f>
        <v>1</v>
      </c>
      <c r="W34" s="207">
        <f>--ISNUMBER(IFERROR(SEARCH('PLANILLA DJ'!$X$20,$A34,1),""))</f>
        <v>1</v>
      </c>
      <c r="X34" s="207">
        <f>--ISNUMBER(IFERROR(SEARCH('PLANILLA DJ'!$X$21,$A34,1),""))</f>
        <v>1</v>
      </c>
      <c r="Y34" s="207">
        <f>--ISNUMBER(IFERROR(SEARCH('PLANILLA DJ'!$X$22,$A34,1),""))</f>
        <v>1</v>
      </c>
      <c r="Z34" s="207">
        <f>--ISNUMBER(IFERROR(SEARCH('PLANILLA DJ'!$X$23,$A34,1),""))</f>
        <v>1</v>
      </c>
      <c r="AA34" s="207">
        <f>--ISNUMBER(IFERROR(SEARCH('PLANILLA DJ'!$X$24,$A34,1),""))</f>
        <v>1</v>
      </c>
      <c r="AB34" s="207">
        <f>--ISNUMBER(IFERROR(SEARCH('PLANILLA DJ'!$X$25,$A34,1),""))</f>
        <v>1</v>
      </c>
      <c r="AC34" s="207">
        <f>--ISNUMBER(IFERROR(SEARCH('PLANILLA DJ'!$X$26,$A34,1),""))</f>
        <v>1</v>
      </c>
      <c r="AD34" s="207">
        <f>--ISNUMBER(IFERROR(SEARCH('PLANILLA DJ'!$X$27,$A34,1),""))</f>
        <v>1</v>
      </c>
      <c r="AE34" s="207">
        <f>--ISNUMBER(IFERROR(SEARCH('PLANILLA DJ'!$X$28,$A34,1),""))</f>
        <v>1</v>
      </c>
      <c r="AF34" s="207">
        <f>--ISNUMBER(IFERROR(SEARCH('PLANILLA DJ'!$X$29,$A34,1),""))</f>
        <v>1</v>
      </c>
      <c r="AG34" s="207">
        <f>--ISNUMBER(IFERROR(SEARCH('PLANILLA DJ'!$X$30,$A34,1),""))</f>
        <v>1</v>
      </c>
      <c r="AH34" s="207">
        <f>--ISNUMBER(IFERROR(SEARCH('PLANILLA DJ'!$X$31,$A34,1),""))</f>
        <v>1</v>
      </c>
      <c r="AI34" s="207">
        <f>--ISNUMBER(IFERROR(SEARCH('PLANILLA DJ'!$X$32,$A34,1),""))</f>
        <v>1</v>
      </c>
      <c r="AJ34" s="207">
        <f>--ISNUMBER(IFERROR(SEARCH('PLANILLA DJ'!$X$33,$A34,1),""))</f>
        <v>1</v>
      </c>
      <c r="AK34" s="207">
        <f>--ISNUMBER(IFERROR(SEARCH('PLANILLA DJ'!$X$34,$A34,1),""))</f>
        <v>1</v>
      </c>
      <c r="AL34" s="207">
        <f>--ISNUMBER(IFERROR(SEARCH('PLANILLA DJ'!$X$35,$A34,1),""))</f>
        <v>1</v>
      </c>
      <c r="AM34" s="207">
        <f>--ISNUMBER(IFERROR(SEARCH('PLANILLA DJ'!$X$36,$A34,1),""))</f>
        <v>1</v>
      </c>
      <c r="AN34" s="207">
        <f>--ISNUMBER(IFERROR(SEARCH('PLANILLA DJ'!$X$37,$A34,1),""))</f>
        <v>1</v>
      </c>
      <c r="AO34" s="207">
        <f>--ISNUMBER(IFERROR(SEARCH('PLANILLA DJ'!$X$38,$A34,1),""))</f>
        <v>1</v>
      </c>
      <c r="AP34" s="207">
        <f>--ISNUMBER(IFERROR(SEARCH('PLANILLA DJ'!$X$39,$A34,1),""))</f>
        <v>1</v>
      </c>
      <c r="AQ34" s="207">
        <f>--ISNUMBER(IFERROR(SEARCH('PLANILLA DJ'!$X$40,$A34,1),""))</f>
        <v>1</v>
      </c>
      <c r="AR34" s="207">
        <f>--ISNUMBER(IFERROR(SEARCH('PLANILLA DJ'!$X$41,$A34,1),""))</f>
        <v>1</v>
      </c>
      <c r="AS34" s="207">
        <f>--ISNUMBER(IFERROR(SEARCH('PLANILLA DJ'!$X$42,$A34,1),""))</f>
        <v>1</v>
      </c>
      <c r="AT34" s="207">
        <f>--ISNUMBER(IFERROR(SEARCH('PLANILLA DJ'!$X$43,$A34,1),""))</f>
        <v>1</v>
      </c>
      <c r="AU34" s="207">
        <f>--ISNUMBER(IFERROR(SEARCH('PLANILLA DJ'!$X$44,$A34,1),""))</f>
        <v>1</v>
      </c>
      <c r="AV34" s="207">
        <f>--ISNUMBER(IFERROR(SEARCH('PLANILLA DJ'!$X$45,$A34,1),""))</f>
        <v>1</v>
      </c>
      <c r="AW34" s="207">
        <f>--ISNUMBER(IFERROR(SEARCH('PLANILLA DJ'!$X$46,$A34,1),""))</f>
        <v>1</v>
      </c>
      <c r="AX34" s="207">
        <f>--ISNUMBER(IFERROR(SEARCH('PLANILLA DJ'!$X$47,$A34,1),""))</f>
        <v>1</v>
      </c>
      <c r="AY34" s="207">
        <f>--ISNUMBER(IFERROR(SEARCH('PLANILLA DJ'!$X$48,$A34,1),""))</f>
        <v>1</v>
      </c>
      <c r="AZ34" s="207">
        <f>--ISNUMBER(IFERROR(SEARCH('PLANILLA DJ'!$X$49,$A34,1),""))</f>
        <v>1</v>
      </c>
      <c r="BA34" s="207">
        <f>--ISNUMBER(IFERROR(SEARCH('PLANILLA DJ'!$X$50,$A34,1),""))</f>
        <v>1</v>
      </c>
      <c r="BB34" s="207">
        <f>--ISNUMBER(IFERROR(SEARCH('PLANILLA DJ'!$X$51,$A34,1),""))</f>
        <v>1</v>
      </c>
      <c r="BC34" s="207">
        <f>--ISNUMBER(IFERROR(SEARCH('PLANILLA DJ'!$X$52,$A34,1),""))</f>
        <v>1</v>
      </c>
      <c r="BD34" s="207">
        <f>--ISNUMBER(IFERROR(SEARCH('PLANILLA DJ'!$X$53,$A34,1),""))</f>
        <v>1</v>
      </c>
      <c r="BE34" s="207">
        <f>--ISNUMBER(IFERROR(SEARCH('PLANILLA DJ'!$X$54,$A34,1),""))</f>
        <v>1</v>
      </c>
      <c r="BF34" s="207">
        <f>--ISNUMBER(IFERROR(SEARCH('PLANILLA DJ'!$X$55,$A34,1),""))</f>
        <v>1</v>
      </c>
      <c r="BG34" s="207">
        <f>--ISNUMBER(IFERROR(SEARCH('PLANILLA DJ'!$X$56,$A34,1),""))</f>
        <v>1</v>
      </c>
      <c r="BH34" s="207">
        <f>--ISNUMBER(IFERROR(SEARCH('PLANILLA DJ'!$X$57,$A34,1),""))</f>
        <v>1</v>
      </c>
      <c r="BI34" s="207">
        <f>--ISNUMBER(IFERROR(SEARCH('PLANILLA DJ'!$X$58,$A34,1),""))</f>
        <v>1</v>
      </c>
      <c r="BJ34" s="207">
        <f>--ISNUMBER(IFERROR(SEARCH('PLANILLA DJ'!$X$59,$A34,1),""))</f>
        <v>1</v>
      </c>
      <c r="BK34" s="207">
        <f>--ISNUMBER(IFERROR(SEARCH('PLANILLA DJ'!$X$60,$A34,1),""))</f>
        <v>1</v>
      </c>
      <c r="BL34" s="207">
        <f>--ISNUMBER(IFERROR(SEARCH('PLANILLA DJ'!$X$61,$A34,1),""))</f>
        <v>1</v>
      </c>
      <c r="BM34" s="207">
        <f>--ISNUMBER(IFERROR(SEARCH('PLANILLA DJ'!$X$62,$A34,1),""))</f>
        <v>1</v>
      </c>
      <c r="BN34" s="207">
        <f>--ISNUMBER(IFERROR(SEARCH('PLANILLA DJ'!$X$63,$A34,1),""))</f>
        <v>1</v>
      </c>
      <c r="BO34" s="207">
        <f>--ISNUMBER(IFERROR(SEARCH('PLANILLA DJ'!$X$64,$A34,1),""))</f>
        <v>1</v>
      </c>
      <c r="BP34" s="207">
        <f>--ISNUMBER(IFERROR(SEARCH('PLANILLA DJ'!$X$65,$A34,1),""))</f>
        <v>1</v>
      </c>
      <c r="BQ34" s="207">
        <f>--ISNUMBER(IFERROR(SEARCH('PLANILLA DJ'!$X$66,$A34,1),""))</f>
        <v>1</v>
      </c>
      <c r="BR34" s="207">
        <f>--ISNUMBER(IFERROR(SEARCH('PLANILLA DJ'!$X$67,$A34,1),""))</f>
        <v>1</v>
      </c>
      <c r="BS34" s="207">
        <f>--ISNUMBER(IFERROR(SEARCH('PLANILLA DJ'!$X$68,$A34,1),""))</f>
        <v>1</v>
      </c>
      <c r="BT34" s="207">
        <f>--ISNUMBER(IFERROR(SEARCH('PLANILLA DJ'!$X$69,$A34,1),""))</f>
        <v>1</v>
      </c>
      <c r="BU34" s="207">
        <f>--ISNUMBER(IFERROR(SEARCH('PLANILLA DJ'!$X$70,$A34,1),""))</f>
        <v>1</v>
      </c>
      <c r="BV34" s="207">
        <f>--ISNUMBER(IFERROR(SEARCH('PLANILLA DJ'!$X$71,$A34,1),""))</f>
        <v>1</v>
      </c>
      <c r="BW34" s="207">
        <f>--ISNUMBER(IFERROR(SEARCH('PLANILLA DJ'!$X$72,$A34,1),""))</f>
        <v>1</v>
      </c>
      <c r="BX34" s="207">
        <f>--ISNUMBER(IFERROR(SEARCH('PLANILLA DJ'!$X$73,$A34,1),""))</f>
        <v>1</v>
      </c>
      <c r="BY34" s="207">
        <f>--ISNUMBER(IFERROR(SEARCH('PLANILLA DJ'!$X$74,$A34,1),""))</f>
        <v>1</v>
      </c>
      <c r="BZ34" s="207">
        <f>--ISNUMBER(IFERROR(SEARCH('PLANILLA DJ'!$X$75,$A34,1),""))</f>
        <v>1</v>
      </c>
      <c r="CA34" s="207">
        <f>--ISNUMBER(IFERROR(SEARCH('PLANILLA DJ'!$X$76,$A34,1),""))</f>
        <v>1</v>
      </c>
      <c r="CB34" s="207">
        <f>--ISNUMBER(IFERROR(SEARCH('PLANILLA DJ'!$X$77,$A34,1),""))</f>
        <v>1</v>
      </c>
      <c r="CC34" s="207">
        <f>--ISNUMBER(IFERROR(SEARCH('PLANILLA DJ'!$X$78,$A34,1),""))</f>
        <v>1</v>
      </c>
      <c r="CD34" s="207">
        <f>--ISNUMBER(IFERROR(SEARCH('PLANILLA DJ'!$X$79,$A34,1),""))</f>
        <v>1</v>
      </c>
      <c r="CE34" s="207">
        <f>--ISNUMBER(IFERROR(SEARCH('PLANILLA DJ'!$X$80,$A34,1),""))</f>
        <v>1</v>
      </c>
      <c r="CF34" s="207">
        <f>--ISNUMBER(IFERROR(SEARCH('PLANILLA DJ'!$X$81,$A34,1),""))</f>
        <v>1</v>
      </c>
      <c r="CG34" s="207">
        <f>--ISNUMBER(IFERROR(SEARCH('PLANILLA DJ'!$X$82,$A34,1),""))</f>
        <v>1</v>
      </c>
      <c r="CH34" s="207">
        <f>--ISNUMBER(IFERROR(SEARCH('PLANILLA DJ'!$X$83,$A34,1),""))</f>
        <v>1</v>
      </c>
      <c r="CI34" s="207">
        <f>--ISNUMBER(IFERROR(SEARCH('PLANILLA DJ'!$X$84,$A34,1),""))</f>
        <v>1</v>
      </c>
      <c r="CJ34" s="207">
        <f>--ISNUMBER(IFERROR(SEARCH('PLANILLA DJ'!$X$85,$A34,1),""))</f>
        <v>1</v>
      </c>
      <c r="CK34" s="207">
        <f>--ISNUMBER(IFERROR(SEARCH('PLANILLA DJ'!$X$86,$A34,1),""))</f>
        <v>1</v>
      </c>
      <c r="CL34" s="207">
        <f>--ISNUMBER(IFERROR(SEARCH('PLANILLA DJ'!$X$87,$A34,1),""))</f>
        <v>1</v>
      </c>
      <c r="CM34" s="207">
        <f>--ISNUMBER(IFERROR(SEARCH('PLANILLA DJ'!$X$88,$A34,1),""))</f>
        <v>1</v>
      </c>
      <c r="CN34" s="207">
        <f>--ISNUMBER(IFERROR(SEARCH('PLANILLA DJ'!$X$89,$A34,1),""))</f>
        <v>1</v>
      </c>
      <c r="CO34" s="207">
        <f>--ISNUMBER(IFERROR(SEARCH('PLANILLA DJ'!$X$90,$A34,1),""))</f>
        <v>1</v>
      </c>
      <c r="CP34" s="207">
        <f>--ISNUMBER(IFERROR(SEARCH('PLANILLA DJ'!$X$91,$A34,1),""))</f>
        <v>1</v>
      </c>
      <c r="CQ34" s="207">
        <f>--ISNUMBER(IFERROR(SEARCH('PLANILLA DJ'!$X$92,$A34,1),""))</f>
        <v>1</v>
      </c>
      <c r="CR34" s="207">
        <f>--ISNUMBER(IFERROR(SEARCH('PLANILLA DJ'!$X$93,$A34,1),""))</f>
        <v>1</v>
      </c>
      <c r="CS34" s="207">
        <f>--ISNUMBER(IFERROR(SEARCH('PLANILLA DJ'!$X$94,$A34,1),""))</f>
        <v>1</v>
      </c>
      <c r="CT34" s="207">
        <f>--ISNUMBER(IFERROR(SEARCH('PLANILLA DJ'!$X$95,$A34,1),""))</f>
        <v>1</v>
      </c>
      <c r="CU34" s="207">
        <f>--ISNUMBER(IFERROR(SEARCH('PLANILLA DJ'!$X$96,$A34,1),""))</f>
        <v>1</v>
      </c>
      <c r="CV34" s="207">
        <f>--ISNUMBER(IFERROR(SEARCH('PLANILLA DJ'!$X$97,$A34,1),""))</f>
        <v>1</v>
      </c>
      <c r="CW34" s="207">
        <f>--ISNUMBER(IFERROR(SEARCH('PLANILLA DJ'!$X$98,$A34,1),""))</f>
        <v>1</v>
      </c>
      <c r="CX34" s="207">
        <f>--ISNUMBER(IFERROR(SEARCH('PLANILLA DJ'!$X$99,$A34,1),""))</f>
        <v>1</v>
      </c>
      <c r="CY34" s="207">
        <f>--ISNUMBER(IFERROR(SEARCH('PLANILLA DJ'!$X$100,$A34,1),""))</f>
        <v>1</v>
      </c>
      <c r="CZ34" s="207">
        <f>--ISNUMBER(IFERROR(SEARCH('PLANILLA DJ'!$X$101,$A34,1),""))</f>
        <v>1</v>
      </c>
      <c r="DA34" s="207">
        <f>--ISNUMBER(IFERROR(SEARCH('PLANILLA DJ'!$X$102,$A34,1),""))</f>
        <v>1</v>
      </c>
      <c r="DB34" s="206">
        <f>IF(F34=1,COUNTIF($F$2:F34,1),"")</f>
        <v>33</v>
      </c>
      <c r="DC34" s="206">
        <f>IF(G34=1,COUNTIF($G$2:G34,1),"")</f>
        <v>33</v>
      </c>
      <c r="DD34" s="206">
        <f>IF(H34=1,COUNTIF($H$2:H34,1),"")</f>
        <v>33</v>
      </c>
      <c r="DE34" s="206">
        <f>IF(I34=1,COUNTIF($I$2:I34,1),"")</f>
        <v>33</v>
      </c>
      <c r="DF34" s="206">
        <f>IF(J34=1,COUNTIF($J$2:J34,1),"")</f>
        <v>33</v>
      </c>
      <c r="DG34" s="206">
        <f>IF(K34=1,COUNTIF($K$2:K34,1),"")</f>
        <v>33</v>
      </c>
      <c r="DH34" s="206">
        <f>IF(L34=1,COUNTIF($L$2:L34,1),"")</f>
        <v>33</v>
      </c>
      <c r="DI34" s="206">
        <f>IF(M34=1,COUNTIF($M$2:M34,1),"")</f>
        <v>33</v>
      </c>
      <c r="DJ34" s="206">
        <f>IF(N34=1,COUNTIF($N$2:N34,1),"")</f>
        <v>33</v>
      </c>
      <c r="DK34" s="206">
        <f>IF(O34=1,COUNTIF($O$2:O34,1),"")</f>
        <v>33</v>
      </c>
      <c r="DL34" s="206">
        <f>IF(P34=1,COUNTIF($P$2:P34,1),"")</f>
        <v>33</v>
      </c>
      <c r="DM34" s="206">
        <f>IF(Q34=1,COUNTIF($Q$2:Q34,1),"")</f>
        <v>33</v>
      </c>
      <c r="DN34" s="207">
        <f>IF(R34=1,COUNTIF($R$2:R34,1),"")</f>
        <v>33</v>
      </c>
      <c r="DO34" s="207">
        <f>IF(S34=1,COUNTIF($S$2:S34,1),"")</f>
        <v>33</v>
      </c>
      <c r="DP34" s="207">
        <f>IF(T34=1,COUNTIF($T$2:T34,1),"")</f>
        <v>33</v>
      </c>
      <c r="DQ34" s="207">
        <f>IF(U34=1,COUNTIF($U$2:U34,1),"")</f>
        <v>33</v>
      </c>
      <c r="DR34" s="207">
        <f>IF(V34=1,COUNTIF($V$2:V34,1),"")</f>
        <v>33</v>
      </c>
      <c r="DS34" s="207">
        <f>IF(W34=1,COUNTIF($W$2:W34,1),"")</f>
        <v>33</v>
      </c>
      <c r="DT34" s="207">
        <f>IF(X34=1,COUNTIF($X$2:X34,1),"")</f>
        <v>33</v>
      </c>
      <c r="DU34" s="207">
        <f>IF(Y34=1,COUNTIF($Y$2:Y34,1),"")</f>
        <v>33</v>
      </c>
      <c r="DV34" s="207">
        <f>IF(Z34=1,COUNTIF(Z$2:Z34,1),"")</f>
        <v>33</v>
      </c>
      <c r="DW34" s="207">
        <f>IF(AA34=1,COUNTIF($AA$2:AA34,1),"")</f>
        <v>33</v>
      </c>
      <c r="DX34" s="207">
        <f>IF(AB34=1,COUNTIF($AB$2:AB34,1),"")</f>
        <v>33</v>
      </c>
      <c r="DY34" s="207">
        <f>IF(AC34=1,COUNTIF($AC$2:AC34,1),"")</f>
        <v>33</v>
      </c>
      <c r="DZ34" s="207">
        <f>IF(AD34=1,COUNTIF($AD$2:AD34,1),"")</f>
        <v>33</v>
      </c>
      <c r="EA34" s="207">
        <f>IF(AE34=1,COUNTIF($AE$2:AE34,1),"")</f>
        <v>33</v>
      </c>
      <c r="EB34" s="207">
        <f>IF(AF34=1,COUNTIF($AF$2:AF34,1),"")</f>
        <v>33</v>
      </c>
      <c r="EC34" s="207">
        <f>IF(AG34=1,COUNTIF($AG$2:AG34,1),"")</f>
        <v>33</v>
      </c>
      <c r="ED34" s="207">
        <f>IF(AH34=1,COUNTIF($AH$2:AH34,1),"")</f>
        <v>33</v>
      </c>
      <c r="EE34" s="207">
        <f>IF(AI34=1,COUNTIF($AI$2:AI34,1),"")</f>
        <v>33</v>
      </c>
      <c r="EF34" s="207">
        <f>IF(AJ34=1,COUNTIF($AJ$2:AJ34,1),"")</f>
        <v>33</v>
      </c>
      <c r="EG34" s="207">
        <f>IF(AK34=1,COUNTIF($AK$2:AK34,1),"")</f>
        <v>33</v>
      </c>
      <c r="EH34" s="207">
        <f>IF(AL34=1,COUNTIF($AL$2:AL34,1),"")</f>
        <v>33</v>
      </c>
      <c r="EI34" s="207">
        <f>IF(AM34=1,COUNTIF($AM$2:AM34,1),"")</f>
        <v>33</v>
      </c>
      <c r="EJ34" s="207">
        <f>IF(AN34=1,COUNTIF($AN$2:AN34,1),"")</f>
        <v>33</v>
      </c>
      <c r="EK34" s="207">
        <f>IF(AO34=1,COUNTIF($AO$2:AO34,1),"")</f>
        <v>33</v>
      </c>
      <c r="EL34" s="207">
        <f>IF(AP34=1,COUNTIF($AP$2:AP34,1),"")</f>
        <v>33</v>
      </c>
      <c r="EM34" s="207">
        <f>IF(AQ34=1,COUNTIF($AQ$2:AQ34,1),"")</f>
        <v>33</v>
      </c>
      <c r="EN34" s="207">
        <f>IF(AR34=1,COUNTIF($AR$2:AR34,1),"")</f>
        <v>33</v>
      </c>
      <c r="EO34" s="207">
        <f>IF(AS34=1,COUNTIF($AS$2:AS34,1),"")</f>
        <v>33</v>
      </c>
      <c r="EP34" s="207">
        <f>IF(AT34=1,COUNTIF($AT$2:AT34,1),"")</f>
        <v>33</v>
      </c>
      <c r="EQ34" s="207">
        <f>IF(AU34=1,COUNTIF($AU$2:AU34,1),"")</f>
        <v>33</v>
      </c>
      <c r="ER34" s="207">
        <f>IF(AV34=1,COUNTIF($AV$2:AV34,1),"")</f>
        <v>33</v>
      </c>
      <c r="ES34" s="207">
        <f>IF(AW34=1,COUNTIF($AW$2:AW34,1),"")</f>
        <v>33</v>
      </c>
      <c r="ET34" s="207">
        <f>IF(AX34=1,COUNTIF($AX$2:AX34,1),"")</f>
        <v>33</v>
      </c>
      <c r="EU34" s="207">
        <f>IF(AY34=1,COUNTIF($AY$2:AY34,1),"")</f>
        <v>33</v>
      </c>
      <c r="EV34" s="207">
        <f>IF(AZ34=1,COUNTIF($AZ$2:AZ34,1),"")</f>
        <v>33</v>
      </c>
      <c r="EW34" s="207">
        <f>IF(BA34=1,COUNTIF($BA$2:BA34,1),"")</f>
        <v>33</v>
      </c>
      <c r="EX34" s="207">
        <f>IF(BB34=1,COUNTIF($BB$2:BB34,1),"")</f>
        <v>33</v>
      </c>
      <c r="EY34" s="207">
        <f>IF(BC34=1,COUNTIF($BC$2:BC34,1),"")</f>
        <v>33</v>
      </c>
      <c r="EZ34" s="207">
        <f>IF(BD34=1,COUNTIF($BD$2:BD34,1),"")</f>
        <v>33</v>
      </c>
      <c r="FA34" s="207">
        <f>IF(BE34=1,COUNTIF($BE$2:BE34,1),"")</f>
        <v>33</v>
      </c>
      <c r="FB34" s="207">
        <f>IF(BF34=1,COUNTIF($BF$2:BF34,1),"")</f>
        <v>33</v>
      </c>
      <c r="FC34" s="207">
        <f>IF(BG34=1,COUNTIF($BG$2:BG34,1),"")</f>
        <v>33</v>
      </c>
      <c r="FD34" s="207">
        <f>IF(BH34=1,COUNTIF($BH$2:BH34,1),"")</f>
        <v>33</v>
      </c>
      <c r="FE34" s="207">
        <f>IF(BI34=1,COUNTIF($BI$2:BI34,1),"")</f>
        <v>33</v>
      </c>
      <c r="FF34" s="207">
        <f>IF(BJ34=1,COUNTIF($BJ$2:BJ34,1),"")</f>
        <v>33</v>
      </c>
      <c r="FG34" s="207">
        <f>IF(BK34=1,COUNTIF($BK$2:BK34,1),"")</f>
        <v>33</v>
      </c>
      <c r="FH34" s="207">
        <f>IF(BL34=1,COUNTIF($BL$2:BL34,1),"")</f>
        <v>33</v>
      </c>
      <c r="FI34" s="207">
        <f>IF(BM34=1,COUNTIF($BM$2:BM34,1),"")</f>
        <v>33</v>
      </c>
      <c r="FJ34" s="207">
        <f>IF(BN34=1,COUNTIF($BN$2:BN34,1),"")</f>
        <v>33</v>
      </c>
      <c r="FK34" s="207">
        <f>IF(BO34=1,COUNTIF($BO$2:BO34,1),"")</f>
        <v>33</v>
      </c>
      <c r="FL34" s="207">
        <f>IF(BP34=1,COUNTIF($BP$2:BP34,1),"")</f>
        <v>33</v>
      </c>
      <c r="FM34" s="207">
        <f>IF(BQ34=1,COUNTIF($BQ$2:BQ34,1),"")</f>
        <v>33</v>
      </c>
      <c r="FN34" s="207">
        <f>IF(BR34=1,COUNTIF($BR$2:BR34,1),"")</f>
        <v>33</v>
      </c>
      <c r="FO34" s="207">
        <f>IF(BS34=1,COUNTIF($BS$2:BS34,1),"")</f>
        <v>33</v>
      </c>
      <c r="FP34" s="207">
        <f>IF(BT34=1,COUNTIF($BT$2:BT34,1),"")</f>
        <v>33</v>
      </c>
      <c r="FQ34" s="207">
        <f>IF(BU34=1,COUNTIF($BU$2:BU34,1),"")</f>
        <v>33</v>
      </c>
      <c r="FR34" s="207">
        <f>IF(BV34=1,COUNTIF($BV$2:BV34,1),"")</f>
        <v>33</v>
      </c>
      <c r="FS34" s="207">
        <f>IF(BW34=1,COUNTIF($BW$2:BW34,1),"")</f>
        <v>33</v>
      </c>
      <c r="FT34" s="207">
        <f>IF(BX34=1,COUNTIF($BX$2:BX34,1),"")</f>
        <v>33</v>
      </c>
      <c r="FU34" s="207">
        <f>IF(BY34=1,COUNTIF($BY$2:BY34,1),"")</f>
        <v>33</v>
      </c>
      <c r="FV34" s="207">
        <f>IF(BZ34=1,COUNTIF($BZ$2:BZ34,1),"")</f>
        <v>33</v>
      </c>
      <c r="FW34" s="207">
        <f>IF(CA34=1,COUNTIF($CA$2:CA34,1),"")</f>
        <v>33</v>
      </c>
      <c r="FX34" s="207">
        <f>IF(CB34=1,COUNTIF($CB$2:CB34,1),"")</f>
        <v>33</v>
      </c>
      <c r="FY34" s="207">
        <f>IF(CC34=1,COUNTIF($CC$2:CC34,1),"")</f>
        <v>33</v>
      </c>
      <c r="FZ34" s="207">
        <f>IF(CD34=1,COUNTIF($CD$2:CD34,1),"")</f>
        <v>33</v>
      </c>
      <c r="GA34" s="207">
        <f>IF(CE34=1,COUNTIF($CE$2:CE34,1),"")</f>
        <v>33</v>
      </c>
      <c r="GB34" s="207">
        <f>IF(CF34=1,COUNTIF($CF$2:CF34,1),"")</f>
        <v>33</v>
      </c>
      <c r="GC34" s="207">
        <f>IF(CG34=1,COUNTIF($CG$2:CG34,1),"")</f>
        <v>33</v>
      </c>
      <c r="GD34" s="207">
        <f>IF(CH34=1,COUNTIF($CH$2:CH34,1),"")</f>
        <v>33</v>
      </c>
      <c r="GE34" s="207">
        <f>IF(CI34=1,COUNTIF($CI$2:CI34,1),"")</f>
        <v>33</v>
      </c>
      <c r="GF34" s="207">
        <f>IF(CJ34=1,COUNTIF($CJ$2:CJ34,1),"")</f>
        <v>33</v>
      </c>
      <c r="GG34" s="207">
        <f>IF(CK34=1,COUNTIF($CK$2:CK34,1),"")</f>
        <v>33</v>
      </c>
      <c r="GH34" s="207">
        <f>IF(CL34=1,COUNTIF($CL$2:CL34,1),"")</f>
        <v>33</v>
      </c>
      <c r="GI34" s="207">
        <f>IF(CM34=1,COUNTIF($CM$2:CM34,1),"")</f>
        <v>33</v>
      </c>
      <c r="GJ34" s="207">
        <f>IF(CN34=1,COUNTIF($CN$2:CN34,1),"")</f>
        <v>33</v>
      </c>
      <c r="GK34" s="207">
        <f>IF(CO34=1,COUNTIF($CO$2:CO34,1),"")</f>
        <v>33</v>
      </c>
      <c r="GL34" s="207">
        <f>IF(CP34=1,COUNTIF($CP$2:CP34,1),"")</f>
        <v>33</v>
      </c>
      <c r="GM34" s="207">
        <f>IF(CQ34=1,COUNTIF($CQ$2:CQ34,1),"")</f>
        <v>33</v>
      </c>
      <c r="GN34" s="207">
        <f>IF(CR34=1,COUNTIF($CR$2:CR34,1),"")</f>
        <v>33</v>
      </c>
      <c r="GO34" s="207">
        <f>IF(CS34=1,COUNTIF($CS$2:CS34,1),"")</f>
        <v>33</v>
      </c>
      <c r="GP34" s="207">
        <f>IF(CT34=1,COUNTIF($CT$2:CT34,1),"")</f>
        <v>33</v>
      </c>
      <c r="GQ34" s="207">
        <f>IF(CU34=1,COUNTIF($CU$2:CU34,1),"")</f>
        <v>33</v>
      </c>
      <c r="GR34" s="207">
        <f>IF(CV34=1,COUNTIF($CV$2:CV34,1),"")</f>
        <v>33</v>
      </c>
      <c r="GS34" s="207">
        <f>IF(CW34=1,COUNTIF($CW$2:CW34,1),"")</f>
        <v>33</v>
      </c>
      <c r="GT34" s="207">
        <f>IF(CX34=1,COUNTIF($CX$2:CX34,1),"")</f>
        <v>33</v>
      </c>
      <c r="GU34" s="207">
        <f>IF(CY34=1,COUNTIF($CY$2:CY34,1),"")</f>
        <v>33</v>
      </c>
      <c r="GV34" s="207">
        <f>IF(CZ34=1,COUNTIF($CZ$2:CZ34,1),"")</f>
        <v>33</v>
      </c>
      <c r="GW34" s="207">
        <f>IF(DA34=1,COUNTIF($DA$2:DA34,1),"")</f>
        <v>33</v>
      </c>
      <c r="GX34" s="206" t="str">
        <f>IFERROR(INDEX($A$2:$A$113,MATCH(ROWS($DB$2:DB34),$DB$2:$DB$113,0)),"")</f>
        <v xml:space="preserve">TRATA DE PERSONA SIMPLE </v>
      </c>
      <c r="GY34" s="206" t="str">
        <f>IFERROR(INDEX($A$2:$A$113,MATCH(ROWS($DC$2:DC34),$DC$2:$DC$113,0)),"")</f>
        <v xml:space="preserve">TRATA DE PERSONA SIMPLE </v>
      </c>
      <c r="GZ34" s="206" t="str">
        <f>IFERROR(INDEX($A$2:$A$113,MATCH(ROWS($DD$2:DD34),$DD$2:$DD$113,0)),"")</f>
        <v xml:space="preserve">TRATA DE PERSONA SIMPLE </v>
      </c>
      <c r="HA34" s="206" t="str">
        <f>IFERROR(INDEX($A$2:$A$113,MATCH(ROWS($DE$2:DE34),$DE$2:$DE$113,0)),"")</f>
        <v xml:space="preserve">TRATA DE PERSONA SIMPLE </v>
      </c>
      <c r="HB34" s="206" t="str">
        <f>IFERROR(INDEX($A$2:$A$113,MATCH(ROWS($DF$2:DF34),$DF$2:$DF$113,0)),"")</f>
        <v xml:space="preserve">TRATA DE PERSONA SIMPLE </v>
      </c>
      <c r="HC34" s="206" t="str">
        <f>IFERROR(INDEX($A$2:$A$113,MATCH(ROWS($DG$2:DG34),$DG$2:$DG$113,0)),"")</f>
        <v xml:space="preserve">TRATA DE PERSONA SIMPLE </v>
      </c>
      <c r="HD34" s="206" t="str">
        <f>IFERROR(INDEX($A$2:$A$113,MATCH(ROWS($DH$2:DH34),$DH$2:$DH$113,0)),"")</f>
        <v xml:space="preserve">TRATA DE PERSONA SIMPLE </v>
      </c>
      <c r="HE34" s="206" t="str">
        <f>IFERROR(INDEX($A$2:$A$113,MATCH(ROWS($DI$2:DI34),$DI$2:$DI$113,0)),"")</f>
        <v xml:space="preserve">TRATA DE PERSONA SIMPLE </v>
      </c>
      <c r="HF34" s="206" t="str">
        <f>IFERROR(INDEX($A$2:$A$113,MATCH(ROWS($DJ$2:DJ34),$DJ$2:$DJ$113,0)),"")</f>
        <v xml:space="preserve">TRATA DE PERSONA SIMPLE </v>
      </c>
      <c r="HG34" s="206" t="str">
        <f>IFERROR(INDEX($A$2:$A$113,MATCH(ROWS($DK$2:DK34),$DK$2:$DK$113,0)),"")</f>
        <v xml:space="preserve">TRATA DE PERSONA SIMPLE </v>
      </c>
      <c r="HH34" s="206" t="str">
        <f>IFERROR(INDEX($A$2:$A$113,MATCH(ROWS($DL$2:DL34),$DL$2:$DL$113,0)),"")</f>
        <v xml:space="preserve">TRATA DE PERSONA SIMPLE </v>
      </c>
      <c r="HI34" s="206" t="str">
        <f>IFERROR(INDEX($A$2:$A$113,MATCH(ROWS($DM$2:DM34),$DM$2:$DM$113,0)),"")</f>
        <v xml:space="preserve">TRATA DE PERSONA SIMPLE </v>
      </c>
      <c r="HJ34" s="206" t="str">
        <f>IFERROR(INDEX($A$2:$A$113,MATCH(ROWS($DN$2:DN34),$DN$2:$DN$113,0)),"")</f>
        <v xml:space="preserve">TRATA DE PERSONA SIMPLE </v>
      </c>
      <c r="HK34" s="206" t="str">
        <f>IFERROR(INDEX($A$2:$A$113,MATCH(ROWS($DO$2:DO34),$DO$2:$DO$113,0)),"")</f>
        <v xml:space="preserve">TRATA DE PERSONA SIMPLE </v>
      </c>
      <c r="HL34" s="206" t="str">
        <f>IFERROR(INDEX($A$2:$A$113,MATCH(ROWS($DP$2:DP34),$DP$2:$DP$113,0)),"")</f>
        <v xml:space="preserve">TRATA DE PERSONA SIMPLE </v>
      </c>
      <c r="HM34" s="206" t="str">
        <f>IFERROR(INDEX($A$2:$A$113,MATCH(ROWS($DQ$2:DQ34),$DQ$2:$DQ$113,0)),"")</f>
        <v xml:space="preserve">TRATA DE PERSONA SIMPLE </v>
      </c>
      <c r="HN34" s="206" t="str">
        <f>IFERROR(INDEX($A$2:$A$113,MATCH(ROWS($DR$2:DR34),$DR$2:$DR$113,0)),"")</f>
        <v xml:space="preserve">TRATA DE PERSONA SIMPLE </v>
      </c>
      <c r="HO34" s="206" t="str">
        <f>IFERROR(INDEX($A$2:$A$113,MATCH(ROWS($DS$2:DS34),$DS$2:$DS$113,0)),"")</f>
        <v xml:space="preserve">TRATA DE PERSONA SIMPLE </v>
      </c>
      <c r="HP34" s="206" t="str">
        <f>IFERROR(INDEX($A$2:$A$113,MATCH(ROWS($DT$2:DT34),$DT$2:$DT$113,0)),"")</f>
        <v xml:space="preserve">TRATA DE PERSONA SIMPLE </v>
      </c>
      <c r="HQ34" s="206" t="str">
        <f>IFERROR(INDEX($A$2:$A$113,MATCH(ROWS($DU$2:DU34),$DU$2:$DU$113,0)),"")</f>
        <v xml:space="preserve">TRATA DE PERSONA SIMPLE </v>
      </c>
      <c r="HR34" s="206" t="str">
        <f>IFERROR(INDEX($A$2:$A$113,MATCH(ROWS($DV$2:DV34),$DV$2:$DV$113,0)),"")</f>
        <v xml:space="preserve">TRATA DE PERSONA SIMPLE </v>
      </c>
      <c r="HS34" s="206" t="str">
        <f>IFERROR(INDEX($A$2:$A$113,MATCH(ROWS($DW$2:DW34),$DW$2:$DW$113,0)),"")</f>
        <v xml:space="preserve">TRATA DE PERSONA SIMPLE </v>
      </c>
      <c r="HT34" s="206" t="str">
        <f>IFERROR(INDEX($A$2:$A$113,MATCH(ROWS($DX$2:DX34),$DX$2:$DX$113,0)),"")</f>
        <v xml:space="preserve">TRATA DE PERSONA SIMPLE </v>
      </c>
      <c r="HU34" s="206" t="str">
        <f>IFERROR(INDEX($A$2:$A$113,MATCH(ROWS($DY$2:DY34),$DY$2:$DY$113,0)),"")</f>
        <v xml:space="preserve">TRATA DE PERSONA SIMPLE </v>
      </c>
      <c r="HV34" s="206" t="str">
        <f>IFERROR(INDEX($A$2:$A$113,MATCH(ROWS($DZ$2:DZ34),$DZ$2:$DZ$113,0)),"")</f>
        <v xml:space="preserve">TRATA DE PERSONA SIMPLE </v>
      </c>
      <c r="HW34" s="206" t="str">
        <f>IFERROR(INDEX($A$2:$A$113,MATCH(ROWS($EA$2:EA34),$EA$2:$EA$113,0)),"")</f>
        <v xml:space="preserve">TRATA DE PERSONA SIMPLE </v>
      </c>
      <c r="HX34" s="206" t="str">
        <f>IFERROR(INDEX($A$2:$A$113,MATCH(ROWS($EB$2:EB34),$EB$2:$EB$113,0)),"")</f>
        <v xml:space="preserve">TRATA DE PERSONA SIMPLE </v>
      </c>
      <c r="HY34" s="206" t="str">
        <f>IFERROR(INDEX($A$2:$A$113,MATCH(ROWS($EC$2:EC34),$EC$2:$EC$113,0)),"")</f>
        <v xml:space="preserve">TRATA DE PERSONA SIMPLE </v>
      </c>
      <c r="HZ34" s="206" t="str">
        <f>IFERROR(INDEX($A$2:$A$113,MATCH(ROWS($ED$2:ED34),$ED$2:$ED$113,0)),"")</f>
        <v xml:space="preserve">TRATA DE PERSONA SIMPLE </v>
      </c>
      <c r="IA34" s="206" t="str">
        <f>IFERROR(INDEX($A$2:$A$113,MATCH(ROWS($EE$2:EE34),$EE$2:$EE$113,0)),"")</f>
        <v xml:space="preserve">TRATA DE PERSONA SIMPLE </v>
      </c>
      <c r="IB34" s="206" t="str">
        <f>IFERROR(INDEX($A$2:$A$113,MATCH(ROWS($EF$2:EF34),$EF$2:$EF$113,0)),"")</f>
        <v xml:space="preserve">TRATA DE PERSONA SIMPLE </v>
      </c>
      <c r="IC34" s="206" t="str">
        <f>IFERROR(INDEX($A$2:$A$113,MATCH(ROWS($EG$2:EG34),$EG$2:$EG$113,0)),"")</f>
        <v xml:space="preserve">TRATA DE PERSONA SIMPLE </v>
      </c>
      <c r="ID34" s="206" t="str">
        <f>IFERROR(INDEX($A$2:$A$113,MATCH(ROWS($EH$2:EH34),$EH$2:$EH$113,0)),"")</f>
        <v xml:space="preserve">TRATA DE PERSONA SIMPLE </v>
      </c>
      <c r="IE34" s="206" t="str">
        <f>IFERROR(INDEX($A$2:$A$113,MATCH(ROWS($EI$2:EI34),$EI$2:$EI$113,0)),"")</f>
        <v xml:space="preserve">TRATA DE PERSONA SIMPLE </v>
      </c>
      <c r="IF34" s="206" t="str">
        <f>IFERROR(INDEX($A$2:$A$113,MATCH(ROWS($EJ$2:EJ34),$EJ$2:$EJ$113,0)),"")</f>
        <v xml:space="preserve">TRATA DE PERSONA SIMPLE </v>
      </c>
      <c r="IG34" s="206" t="str">
        <f>IFERROR(INDEX($A$2:$A$113,MATCH(ROWS($EK$2:EK34),$EK$2:$EK$113,0)),"")</f>
        <v xml:space="preserve">TRATA DE PERSONA SIMPLE </v>
      </c>
      <c r="IH34" s="206" t="str">
        <f>IFERROR(INDEX($A$2:$A$113,MATCH(ROWS($EL$2:EL34),$EL$2:$EL$113,0)),"")</f>
        <v xml:space="preserve">TRATA DE PERSONA SIMPLE </v>
      </c>
      <c r="II34" s="206" t="str">
        <f>IFERROR(INDEX($A$2:$A$113,MATCH(ROWS($EM$2:EM34),$EM$2:$EM$113,0)),"")</f>
        <v xml:space="preserve">TRATA DE PERSONA SIMPLE </v>
      </c>
      <c r="IJ34" s="206" t="str">
        <f>IFERROR(INDEX($A$2:$A$113,MATCH(ROWS($EN$2:EN34),$EN$2:$EN$113,0)),"")</f>
        <v xml:space="preserve">TRATA DE PERSONA SIMPLE </v>
      </c>
      <c r="IK34" s="207" t="str">
        <f>IFERROR(INDEX($A$2:$A$113,MATCH(ROWS($EO$2:EO34),$EO$2:$EO$113,0)),"")</f>
        <v xml:space="preserve">TRATA DE PERSONA SIMPLE </v>
      </c>
      <c r="IL34" s="207" t="str">
        <f>IFERROR(INDEX($A$2:$A$113,MATCH(ROWS($EP$2:EP34),$EP$2:$EP$113,0)),"")</f>
        <v xml:space="preserve">TRATA DE PERSONA SIMPLE </v>
      </c>
      <c r="IM34" s="207" t="str">
        <f>IFERROR(INDEX($A$2:$A$113,MATCH(ROWS($EQ$2:EQ34),$EQ$2:$EQ$113,0)),"")</f>
        <v xml:space="preserve">TRATA DE PERSONA SIMPLE </v>
      </c>
      <c r="IN34" s="207" t="str">
        <f>IFERROR(INDEX($A$2:$A$113,MATCH(ROWS($ER$2:ER34),$ER$2:$ER$113,0)),"")</f>
        <v xml:space="preserve">TRATA DE PERSONA SIMPLE </v>
      </c>
      <c r="IO34" s="207" t="str">
        <f>IFERROR(INDEX($A$2:$A$113,MATCH(ROWS($ES$2:ES34),$ES$2:$ES$113,0)),"")</f>
        <v xml:space="preserve">TRATA DE PERSONA SIMPLE </v>
      </c>
      <c r="IP34" s="207" t="str">
        <f>IFERROR(INDEX($A$2:$A$113,MATCH(ROWS($ET$2:ET34),$ET$2:$ET$113,0)),"")</f>
        <v xml:space="preserve">TRATA DE PERSONA SIMPLE </v>
      </c>
      <c r="IQ34" s="207" t="str">
        <f>IFERROR(INDEX($A$2:$A$113,MATCH(ROWS($EU$2:EU34),$EU$2:$EU$113,0)),"")</f>
        <v xml:space="preserve">TRATA DE PERSONA SIMPLE </v>
      </c>
      <c r="IR34" s="207" t="str">
        <f>IFERROR(INDEX($A$2:$A$113,MATCH(ROWS($EV$2:EV34),$EV$2:$EV$113,0)),"")</f>
        <v xml:space="preserve">TRATA DE PERSONA SIMPLE </v>
      </c>
      <c r="IS34" s="207" t="str">
        <f>IFERROR(INDEX($A$2:$A$113,MATCH(ROWS($EW$2:EW34),$EW$2:$EW$113,0)),"")</f>
        <v xml:space="preserve">TRATA DE PERSONA SIMPLE </v>
      </c>
      <c r="IT34" s="207" t="str">
        <f>IFERROR(INDEX($A$2:$A$113,MATCH(ROWS($EX$2:EX34),$EX$2:$EX$113,0)),"")</f>
        <v xml:space="preserve">TRATA DE PERSONA SIMPLE </v>
      </c>
      <c r="IU34" s="207" t="str">
        <f>IFERROR(INDEX($A$2:$A$113,MATCH(ROWS($EY$2:EY34),$EY$2:$EY$113,0)),"")</f>
        <v xml:space="preserve">TRATA DE PERSONA SIMPLE </v>
      </c>
      <c r="IV34" s="207" t="str">
        <f>IFERROR(INDEX($A$2:$A$113,MATCH(ROWS($EZ$2:EZ34),$EZ$2:$EZ$113,0)),"")</f>
        <v xml:space="preserve">TRATA DE PERSONA SIMPLE </v>
      </c>
      <c r="IW34" s="207" t="str">
        <f>IFERROR(INDEX($A$2:$A$113,MATCH(ROWS($FA$2:FA34),$FA$2:$FA$113,0)),"")</f>
        <v xml:space="preserve">TRATA DE PERSONA SIMPLE </v>
      </c>
      <c r="IX34" s="207" t="str">
        <f>IFERROR(INDEX($A$2:$A$113,MATCH(ROWS($FB$2:FB34),$FB$2:$FB$113,0)),"")</f>
        <v xml:space="preserve">TRATA DE PERSONA SIMPLE </v>
      </c>
      <c r="IY34" s="207" t="str">
        <f>IFERROR(INDEX($A$2:$A$113,MATCH(ROWS($FC$2:FC34),$FC$2:$FC$113,0)),"")</f>
        <v xml:space="preserve">TRATA DE PERSONA SIMPLE </v>
      </c>
      <c r="IZ34" s="207" t="str">
        <f>IFERROR(INDEX($A$2:$A$113,MATCH(ROWS($FD$2:FD34),$FD$2:$FD$113,0)),"")</f>
        <v xml:space="preserve">TRATA DE PERSONA SIMPLE </v>
      </c>
      <c r="JA34" s="207" t="str">
        <f>IFERROR(INDEX($A$2:$A$113,MATCH(ROWS($FE$2:FE34),$FE$2:$FE$113,0)),"")</f>
        <v xml:space="preserve">TRATA DE PERSONA SIMPLE </v>
      </c>
      <c r="JB34" s="207" t="str">
        <f>IFERROR(INDEX($A$2:$A$113,MATCH(ROWS($FF$2:FF34),$FF$2:$FF$113,0)),"")</f>
        <v xml:space="preserve">TRATA DE PERSONA SIMPLE </v>
      </c>
      <c r="JC34" s="207" t="str">
        <f>IFERROR(INDEX($A$2:$A$113,MATCH(ROWS($FG$2:FG34),$FG$2:$FG$113,0)),"")</f>
        <v xml:space="preserve">TRATA DE PERSONA SIMPLE </v>
      </c>
      <c r="JD34" s="207" t="str">
        <f>IFERROR(INDEX($A$2:$A$113,MATCH(ROWS($FH$2:FH34),$FH$2:$FH$113,0)),"")</f>
        <v xml:space="preserve">TRATA DE PERSONA SIMPLE </v>
      </c>
      <c r="JE34" s="207" t="str">
        <f>IFERROR(INDEX($A$2:$A$113,MATCH(ROWS($FI$2:FI34),$FI$2:$FI$113,0)),"")</f>
        <v xml:space="preserve">TRATA DE PERSONA SIMPLE </v>
      </c>
      <c r="JF34" s="207" t="str">
        <f>IFERROR(INDEX($A$2:$A$113,MATCH(ROWS($FJ$2:FJ34),$FJ$2:$FJ$113,0)),"")</f>
        <v xml:space="preserve">TRATA DE PERSONA SIMPLE </v>
      </c>
      <c r="JG34" s="207" t="str">
        <f>IFERROR(INDEX($A$2:$A$113,MATCH(ROWS($FK$2:FK34),$FK$2:$FK$113,0)),"")</f>
        <v xml:space="preserve">TRATA DE PERSONA SIMPLE </v>
      </c>
      <c r="JH34" s="207" t="str">
        <f>IFERROR(INDEX($A$2:$A$113,MATCH(ROWS($FL$2:FL34),$FL$2:$FL$113,0)),"")</f>
        <v xml:space="preserve">TRATA DE PERSONA SIMPLE </v>
      </c>
      <c r="JI34" s="207" t="str">
        <f>IFERROR(INDEX($A$2:$A$113,MATCH(ROWS($FM$2:FM34),$FM$2:$FM$113,0)),"")</f>
        <v xml:space="preserve">TRATA DE PERSONA SIMPLE </v>
      </c>
      <c r="JJ34" s="207" t="str">
        <f>IFERROR(INDEX($A$2:$A$113,MATCH(ROWS($FN$2:FN34),$FN$2:$FN$113,0)),"")</f>
        <v xml:space="preserve">TRATA DE PERSONA SIMPLE </v>
      </c>
      <c r="JK34" s="207" t="str">
        <f>IFERROR(INDEX($A$2:$A$113,MATCH(ROWS($FO$2:FO34),$FO$2:$FO$113,0)),"")</f>
        <v xml:space="preserve">TRATA DE PERSONA SIMPLE </v>
      </c>
      <c r="JL34" s="207" t="str">
        <f>IFERROR(INDEX($A$2:$A$113,MATCH(ROWS($FP$2:FP34),$FP$2:$FP$113,0)),"")</f>
        <v xml:space="preserve">TRATA DE PERSONA SIMPLE </v>
      </c>
      <c r="JM34" s="207" t="str">
        <f>IFERROR(INDEX($A$2:$A$113,MATCH(ROWS($FQ$2:FQ34),$FQ$2:$FQ$113,0)),"")</f>
        <v xml:space="preserve">TRATA DE PERSONA SIMPLE </v>
      </c>
      <c r="JN34" s="207" t="str">
        <f>IFERROR(INDEX($A$2:$A$113,MATCH(ROWS($FR$2:FR34),$FR$2:$FR$113,0)),"")</f>
        <v xml:space="preserve">TRATA DE PERSONA SIMPLE </v>
      </c>
      <c r="JO34" s="207" t="str">
        <f>IFERROR(INDEX($A$2:$A$113,MATCH(ROWS($FS$2:FS34),$FS$2:$FS$113,0)),"")</f>
        <v xml:space="preserve">TRATA DE PERSONA SIMPLE </v>
      </c>
      <c r="JP34" s="207" t="str">
        <f>IFERROR(INDEX($A$2:$A$113,MATCH(ROWS($FT$2:FT34),$FT$2:$FT$113,0)),"")</f>
        <v xml:space="preserve">TRATA DE PERSONA SIMPLE </v>
      </c>
      <c r="JQ34" s="207" t="str">
        <f>IFERROR(INDEX($A$2:$A$113,MATCH(ROWS($FU$2:FU34),$FU$2:$FU$113,0)),"")</f>
        <v xml:space="preserve">TRATA DE PERSONA SIMPLE </v>
      </c>
      <c r="JR34" s="207" t="str">
        <f>IFERROR(INDEX($A$2:$A$113,MATCH(ROWS($FV$2:FV34),$FV$2:$FV$113,0)),"")</f>
        <v xml:space="preserve">TRATA DE PERSONA SIMPLE </v>
      </c>
      <c r="JS34" s="207" t="str">
        <f>IFERROR(INDEX($A$2:$A$113,MATCH(ROWS($FW$2:FW34),$FW$2:$FW$113,0)),"")</f>
        <v xml:space="preserve">TRATA DE PERSONA SIMPLE </v>
      </c>
      <c r="JT34" s="207" t="str">
        <f>IFERROR(INDEX($A$2:$A$113,MATCH(ROWS($FX$2:FX34),$FX$2:$FX$113,0)),"")</f>
        <v xml:space="preserve">TRATA DE PERSONA SIMPLE </v>
      </c>
      <c r="JU34" s="207" t="str">
        <f>IFERROR(INDEX($A$2:$A$113,MATCH(ROWS($FY$2:FY34),$FY$2:$FY$113,0)),"")</f>
        <v xml:space="preserve">TRATA DE PERSONA SIMPLE </v>
      </c>
      <c r="JV34" s="207" t="str">
        <f>IFERROR(INDEX($A$2:$A$113,MATCH(ROWS($FZ$2:FZ34),$FZ$2:$FZ$113,0)),"")</f>
        <v xml:space="preserve">TRATA DE PERSONA SIMPLE </v>
      </c>
      <c r="JW34" s="207" t="str">
        <f>IFERROR(INDEX($A$2:$A$113,MATCH(ROWS($GA$2:GA34),$GA$2:$GA$113,0)),"")</f>
        <v xml:space="preserve">TRATA DE PERSONA SIMPLE </v>
      </c>
      <c r="JX34" s="207" t="str">
        <f>IFERROR(INDEX($A$2:$A$113,MATCH(ROWS($GB$2:GB34),$GB$2:$GB$113,0)),"")</f>
        <v xml:space="preserve">TRATA DE PERSONA SIMPLE </v>
      </c>
      <c r="JY34" s="207" t="str">
        <f>IFERROR(INDEX($A$2:$A$113,MATCH(ROWS($GC$2:GC34),$GC$2:$GC$113,0)),"")</f>
        <v xml:space="preserve">TRATA DE PERSONA SIMPLE </v>
      </c>
      <c r="JZ34" s="207" t="str">
        <f>IFERROR(INDEX($A$2:$A$113,MATCH(ROWS($GD$2:GD34),$GD$2:$GD$113,0)),"")</f>
        <v xml:space="preserve">TRATA DE PERSONA SIMPLE </v>
      </c>
      <c r="KA34" s="207" t="str">
        <f>IFERROR(INDEX($A$2:$A$113,MATCH(ROWS($GE$2:GE34),$GE$2:$GE$113,0)),"")</f>
        <v xml:space="preserve">TRATA DE PERSONA SIMPLE </v>
      </c>
      <c r="KB34" s="207" t="str">
        <f>IFERROR(INDEX($A$2:$A$113,MATCH(ROWS($GF$2:GF34),$GF$2:$GF$113,0)),"")</f>
        <v xml:space="preserve">TRATA DE PERSONA SIMPLE </v>
      </c>
      <c r="KC34" s="207" t="str">
        <f>IFERROR(INDEX($A$2:$A$113,MATCH(ROWS($GG$2:GG34),$GG$2:$GG$113,0)),"")</f>
        <v xml:space="preserve">TRATA DE PERSONA SIMPLE </v>
      </c>
      <c r="KD34" s="207" t="str">
        <f>IFERROR(INDEX($A$2:$A$113,MATCH(ROWS($GH$2:GH34),$GH$2:$GH$113,0)),"")</f>
        <v xml:space="preserve">TRATA DE PERSONA SIMPLE </v>
      </c>
      <c r="KE34" s="207" t="str">
        <f>IFERROR(INDEX($A$2:$A$113,MATCH(ROWS($GI$2:GI34),$GI$2:$GI$113,0)),"")</f>
        <v xml:space="preserve">TRATA DE PERSONA SIMPLE </v>
      </c>
      <c r="KF34" s="207" t="str">
        <f>IFERROR(INDEX($A$2:$A$113,MATCH(ROWS($GJ$2:GJ34),$GJ$2:$GJ$113,0)),"")</f>
        <v xml:space="preserve">TRATA DE PERSONA SIMPLE </v>
      </c>
      <c r="KG34" s="207" t="str">
        <f>IFERROR(INDEX($A$2:$A$113,MATCH(ROWS($GK$2:GK34),$GK$2:$GK$113,0)),"")</f>
        <v xml:space="preserve">TRATA DE PERSONA SIMPLE </v>
      </c>
      <c r="KH34" s="207" t="str">
        <f>IFERROR(INDEX($A$2:$A$113,MATCH(ROWS($GL$2:GL34),$GL$2:$GL$113,0)),"")</f>
        <v xml:space="preserve">TRATA DE PERSONA SIMPLE </v>
      </c>
      <c r="KI34" s="207" t="str">
        <f>IFERROR(INDEX($A$2:$A$113,MATCH(ROWS($GM$2:GM34),$GM$2:$GM$113,0)),"")</f>
        <v xml:space="preserve">TRATA DE PERSONA SIMPLE </v>
      </c>
      <c r="KJ34" s="207" t="str">
        <f>IFERROR(INDEX($A$2:$A$113,MATCH(ROWS($GN$2:GN34),$GN$2:$GN$113,0)),"")</f>
        <v xml:space="preserve">TRATA DE PERSONA SIMPLE </v>
      </c>
      <c r="KK34" s="207" t="str">
        <f>IFERROR(INDEX($A$2:$A$113,MATCH(ROWS($GO$2:GO34),$GO$2:$GO$113,0)),"")</f>
        <v xml:space="preserve">TRATA DE PERSONA SIMPLE </v>
      </c>
      <c r="KL34" s="207" t="str">
        <f>IFERROR(INDEX($A$2:$A$113,MATCH(ROWS($GP$2:GP34),$GP$2:$GP$113,0)),"")</f>
        <v xml:space="preserve">TRATA DE PERSONA SIMPLE </v>
      </c>
      <c r="KM34" s="207" t="str">
        <f>IFERROR(INDEX($A$2:$A$113,MATCH(ROWS($GQ$2:GQ34),$GQ$2:$GQ$113,0)),"")</f>
        <v xml:space="preserve">TRATA DE PERSONA SIMPLE </v>
      </c>
      <c r="KN34" s="207" t="str">
        <f>IFERROR(INDEX($A$2:$A$113,MATCH(ROWS($GR$2:GR34),$GR$2:$GR$113,0)),"")</f>
        <v xml:space="preserve">TRATA DE PERSONA SIMPLE </v>
      </c>
      <c r="KO34" s="207" t="str">
        <f>IFERROR(INDEX($A$2:$A$113,MATCH(ROWS($GS$2:GS34),$GS$2:$GS$113,0)),"")</f>
        <v xml:space="preserve">TRATA DE PERSONA SIMPLE </v>
      </c>
      <c r="KP34" s="207" t="str">
        <f>IFERROR(INDEX($A$2:$A$113,MATCH(ROWS($GT$2:GT34),$GT$2:$GT$113,0)),"")</f>
        <v xml:space="preserve">TRATA DE PERSONA SIMPLE </v>
      </c>
      <c r="KQ34" s="207" t="str">
        <f>IFERROR(INDEX($A$2:$A$113,MATCH(ROWS($GU$2:GU34),$GU$2:$GU$113,0)),"")</f>
        <v xml:space="preserve">TRATA DE PERSONA SIMPLE </v>
      </c>
      <c r="KR34" s="207" t="str">
        <f>IFERROR(INDEX($A$2:$A$113,MATCH(ROWS($GV$2:GV34),$GV$2:$GV$113,0)),"")</f>
        <v xml:space="preserve">TRATA DE PERSONA SIMPLE </v>
      </c>
      <c r="KS34" s="207" t="str">
        <f>IFERROR(INDEX($A$2:$A$113,MATCH(ROWS($GW$2:GW34),$GW$2:$GW$113,0)),"")</f>
        <v xml:space="preserve">TRATA DE PERSONA SIMPLE </v>
      </c>
    </row>
    <row r="35" spans="1:305" x14ac:dyDescent="0.25">
      <c r="A35" s="206" t="s">
        <v>52</v>
      </c>
      <c r="B35" s="206" t="s">
        <v>78</v>
      </c>
      <c r="D35" s="206" t="s">
        <v>791</v>
      </c>
      <c r="E35" s="206" t="s">
        <v>76</v>
      </c>
      <c r="F35" s="207">
        <f>--ISNUMBER(IFERROR(SEARCH('PLANILLA DJ'!$X$3,$A35,1),""))</f>
        <v>1</v>
      </c>
      <c r="G35" s="207">
        <f>--ISNUMBER(IFERROR(SEARCH('PLANILLA DJ'!$X$4,$A35,1),""))</f>
        <v>1</v>
      </c>
      <c r="H35" s="207">
        <f>--ISNUMBER(IFERROR(SEARCH('PLANILLA DJ'!$X$5,$A35,1),""))</f>
        <v>1</v>
      </c>
      <c r="I35" s="207">
        <f>--ISNUMBER(IFERROR(SEARCH('PLANILLA DJ'!$X$6,$A35,1),""))</f>
        <v>1</v>
      </c>
      <c r="J35" s="207">
        <f>--ISNUMBER(IFERROR(SEARCH('PLANILLA DJ'!$X$7,$A35,1),""))</f>
        <v>1</v>
      </c>
      <c r="K35" s="207">
        <f>--ISNUMBER(IFERROR(SEARCH('PLANILLA DJ'!$X$8,$A35,1),""))</f>
        <v>1</v>
      </c>
      <c r="L35" s="207">
        <f>--ISNUMBER(IFERROR(SEARCH('PLANILLA DJ'!$X$9,$A35,1),""))</f>
        <v>1</v>
      </c>
      <c r="M35" s="207">
        <f>--ISNUMBER(IFERROR(SEARCH('PLANILLA DJ'!$X$10,$A35,1),""))</f>
        <v>1</v>
      </c>
      <c r="N35" s="207">
        <f>--ISNUMBER(IFERROR(SEARCH('PLANILLA DJ'!$X$11,$A35,1),""))</f>
        <v>1</v>
      </c>
      <c r="O35" s="207">
        <f>--ISNUMBER(IFERROR(SEARCH('PLANILLA DJ'!$X$12,$A35,1),""))</f>
        <v>1</v>
      </c>
      <c r="P35" s="207">
        <f>--ISNUMBER(IFERROR(SEARCH('PLANILLA DJ'!$X$13,$A35,1),""))</f>
        <v>1</v>
      </c>
      <c r="Q35" s="207">
        <f>--ISNUMBER(IFERROR(SEARCH('PLANILLA DJ'!$X$14,$A35,1),""))</f>
        <v>1</v>
      </c>
      <c r="R35" s="207">
        <f>--ISNUMBER(IFERROR(SEARCH('PLANILLA DJ'!$X$15,$A35,1),""))</f>
        <v>1</v>
      </c>
      <c r="S35" s="207">
        <f>--ISNUMBER(IFERROR(SEARCH('PLANILLA DJ'!$X$16,$A35,1),""))</f>
        <v>1</v>
      </c>
      <c r="T35" s="207">
        <f>--ISNUMBER(IFERROR(SEARCH('PLANILLA DJ'!$X$17,$A35,1),""))</f>
        <v>1</v>
      </c>
      <c r="U35" s="207">
        <f>--ISNUMBER(IFERROR(SEARCH('PLANILLA DJ'!$X$18,$A35,1),""))</f>
        <v>1</v>
      </c>
      <c r="V35" s="207">
        <f>--ISNUMBER(IFERROR(SEARCH('PLANILLA DJ'!$X$19,$A35,1),""))</f>
        <v>1</v>
      </c>
      <c r="W35" s="207">
        <f>--ISNUMBER(IFERROR(SEARCH('PLANILLA DJ'!$X$20,$A35,1),""))</f>
        <v>1</v>
      </c>
      <c r="X35" s="207">
        <f>--ISNUMBER(IFERROR(SEARCH('PLANILLA DJ'!$X$21,$A35,1),""))</f>
        <v>1</v>
      </c>
      <c r="Y35" s="207">
        <f>--ISNUMBER(IFERROR(SEARCH('PLANILLA DJ'!$X$22,$A35,1),""))</f>
        <v>1</v>
      </c>
      <c r="Z35" s="207">
        <f>--ISNUMBER(IFERROR(SEARCH('PLANILLA DJ'!$X$23,$A35,1),""))</f>
        <v>1</v>
      </c>
      <c r="AA35" s="207">
        <f>--ISNUMBER(IFERROR(SEARCH('PLANILLA DJ'!$X$24,$A35,1),""))</f>
        <v>1</v>
      </c>
      <c r="AB35" s="207">
        <f>--ISNUMBER(IFERROR(SEARCH('PLANILLA DJ'!$X$25,$A35,1),""))</f>
        <v>1</v>
      </c>
      <c r="AC35" s="207">
        <f>--ISNUMBER(IFERROR(SEARCH('PLANILLA DJ'!$X$26,$A35,1),""))</f>
        <v>1</v>
      </c>
      <c r="AD35" s="207">
        <f>--ISNUMBER(IFERROR(SEARCH('PLANILLA DJ'!$X$27,$A35,1),""))</f>
        <v>1</v>
      </c>
      <c r="AE35" s="207">
        <f>--ISNUMBER(IFERROR(SEARCH('PLANILLA DJ'!$X$28,$A35,1),""))</f>
        <v>1</v>
      </c>
      <c r="AF35" s="207">
        <f>--ISNUMBER(IFERROR(SEARCH('PLANILLA DJ'!$X$29,$A35,1),""))</f>
        <v>1</v>
      </c>
      <c r="AG35" s="207">
        <f>--ISNUMBER(IFERROR(SEARCH('PLANILLA DJ'!$X$30,$A35,1),""))</f>
        <v>1</v>
      </c>
      <c r="AH35" s="207">
        <f>--ISNUMBER(IFERROR(SEARCH('PLANILLA DJ'!$X$31,$A35,1),""))</f>
        <v>1</v>
      </c>
      <c r="AI35" s="207">
        <f>--ISNUMBER(IFERROR(SEARCH('PLANILLA DJ'!$X$32,$A35,1),""))</f>
        <v>1</v>
      </c>
      <c r="AJ35" s="207">
        <f>--ISNUMBER(IFERROR(SEARCH('PLANILLA DJ'!$X$33,$A35,1),""))</f>
        <v>1</v>
      </c>
      <c r="AK35" s="207">
        <f>--ISNUMBER(IFERROR(SEARCH('PLANILLA DJ'!$X$34,$A35,1),""))</f>
        <v>1</v>
      </c>
      <c r="AL35" s="207">
        <f>--ISNUMBER(IFERROR(SEARCH('PLANILLA DJ'!$X$35,$A35,1),""))</f>
        <v>1</v>
      </c>
      <c r="AM35" s="207">
        <f>--ISNUMBER(IFERROR(SEARCH('PLANILLA DJ'!$X$36,$A35,1),""))</f>
        <v>1</v>
      </c>
      <c r="AN35" s="207">
        <f>--ISNUMBER(IFERROR(SEARCH('PLANILLA DJ'!$X$37,$A35,1),""))</f>
        <v>1</v>
      </c>
      <c r="AO35" s="207">
        <f>--ISNUMBER(IFERROR(SEARCH('PLANILLA DJ'!$X$38,$A35,1),""))</f>
        <v>1</v>
      </c>
      <c r="AP35" s="207">
        <f>--ISNUMBER(IFERROR(SEARCH('PLANILLA DJ'!$X$39,$A35,1),""))</f>
        <v>1</v>
      </c>
      <c r="AQ35" s="207">
        <f>--ISNUMBER(IFERROR(SEARCH('PLANILLA DJ'!$X$40,$A35,1),""))</f>
        <v>1</v>
      </c>
      <c r="AR35" s="207">
        <f>--ISNUMBER(IFERROR(SEARCH('PLANILLA DJ'!$X$41,$A35,1),""))</f>
        <v>1</v>
      </c>
      <c r="AS35" s="207">
        <f>--ISNUMBER(IFERROR(SEARCH('PLANILLA DJ'!$X$42,$A35,1),""))</f>
        <v>1</v>
      </c>
      <c r="AT35" s="207">
        <f>--ISNUMBER(IFERROR(SEARCH('PLANILLA DJ'!$X$43,$A35,1),""))</f>
        <v>1</v>
      </c>
      <c r="AU35" s="207">
        <f>--ISNUMBER(IFERROR(SEARCH('PLANILLA DJ'!$X$44,$A35,1),""))</f>
        <v>1</v>
      </c>
      <c r="AV35" s="207">
        <f>--ISNUMBER(IFERROR(SEARCH('PLANILLA DJ'!$X$45,$A35,1),""))</f>
        <v>1</v>
      </c>
      <c r="AW35" s="207">
        <f>--ISNUMBER(IFERROR(SEARCH('PLANILLA DJ'!$X$46,$A35,1),""))</f>
        <v>1</v>
      </c>
      <c r="AX35" s="207">
        <f>--ISNUMBER(IFERROR(SEARCH('PLANILLA DJ'!$X$47,$A35,1),""))</f>
        <v>1</v>
      </c>
      <c r="AY35" s="207">
        <f>--ISNUMBER(IFERROR(SEARCH('PLANILLA DJ'!$X$48,$A35,1),""))</f>
        <v>1</v>
      </c>
      <c r="AZ35" s="207">
        <f>--ISNUMBER(IFERROR(SEARCH('PLANILLA DJ'!$X$49,$A35,1),""))</f>
        <v>1</v>
      </c>
      <c r="BA35" s="207">
        <f>--ISNUMBER(IFERROR(SEARCH('PLANILLA DJ'!$X$50,$A35,1),""))</f>
        <v>1</v>
      </c>
      <c r="BB35" s="207">
        <f>--ISNUMBER(IFERROR(SEARCH('PLANILLA DJ'!$X$51,$A35,1),""))</f>
        <v>1</v>
      </c>
      <c r="BC35" s="207">
        <f>--ISNUMBER(IFERROR(SEARCH('PLANILLA DJ'!$X$52,$A35,1),""))</f>
        <v>1</v>
      </c>
      <c r="BD35" s="207">
        <f>--ISNUMBER(IFERROR(SEARCH('PLANILLA DJ'!$X$53,$A35,1),""))</f>
        <v>1</v>
      </c>
      <c r="BE35" s="207">
        <f>--ISNUMBER(IFERROR(SEARCH('PLANILLA DJ'!$X$54,$A35,1),""))</f>
        <v>1</v>
      </c>
      <c r="BF35" s="207">
        <f>--ISNUMBER(IFERROR(SEARCH('PLANILLA DJ'!$X$55,$A35,1),""))</f>
        <v>1</v>
      </c>
      <c r="BG35" s="207">
        <f>--ISNUMBER(IFERROR(SEARCH('PLANILLA DJ'!$X$56,$A35,1),""))</f>
        <v>1</v>
      </c>
      <c r="BH35" s="207">
        <f>--ISNUMBER(IFERROR(SEARCH('PLANILLA DJ'!$X$57,$A35,1),""))</f>
        <v>1</v>
      </c>
      <c r="BI35" s="207">
        <f>--ISNUMBER(IFERROR(SEARCH('PLANILLA DJ'!$X$58,$A35,1),""))</f>
        <v>1</v>
      </c>
      <c r="BJ35" s="207">
        <f>--ISNUMBER(IFERROR(SEARCH('PLANILLA DJ'!$X$59,$A35,1),""))</f>
        <v>1</v>
      </c>
      <c r="BK35" s="207">
        <f>--ISNUMBER(IFERROR(SEARCH('PLANILLA DJ'!$X$60,$A35,1),""))</f>
        <v>1</v>
      </c>
      <c r="BL35" s="207">
        <f>--ISNUMBER(IFERROR(SEARCH('PLANILLA DJ'!$X$61,$A35,1),""))</f>
        <v>1</v>
      </c>
      <c r="BM35" s="207">
        <f>--ISNUMBER(IFERROR(SEARCH('PLANILLA DJ'!$X$62,$A35,1),""))</f>
        <v>1</v>
      </c>
      <c r="BN35" s="207">
        <f>--ISNUMBER(IFERROR(SEARCH('PLANILLA DJ'!$X$63,$A35,1),""))</f>
        <v>1</v>
      </c>
      <c r="BO35" s="207">
        <f>--ISNUMBER(IFERROR(SEARCH('PLANILLA DJ'!$X$64,$A35,1),""))</f>
        <v>1</v>
      </c>
      <c r="BP35" s="207">
        <f>--ISNUMBER(IFERROR(SEARCH('PLANILLA DJ'!$X$65,$A35,1),""))</f>
        <v>1</v>
      </c>
      <c r="BQ35" s="207">
        <f>--ISNUMBER(IFERROR(SEARCH('PLANILLA DJ'!$X$66,$A35,1),""))</f>
        <v>1</v>
      </c>
      <c r="BR35" s="207">
        <f>--ISNUMBER(IFERROR(SEARCH('PLANILLA DJ'!$X$67,$A35,1),""))</f>
        <v>1</v>
      </c>
      <c r="BS35" s="207">
        <f>--ISNUMBER(IFERROR(SEARCH('PLANILLA DJ'!$X$68,$A35,1),""))</f>
        <v>1</v>
      </c>
      <c r="BT35" s="207">
        <f>--ISNUMBER(IFERROR(SEARCH('PLANILLA DJ'!$X$69,$A35,1),""))</f>
        <v>1</v>
      </c>
      <c r="BU35" s="207">
        <f>--ISNUMBER(IFERROR(SEARCH('PLANILLA DJ'!$X$70,$A35,1),""))</f>
        <v>1</v>
      </c>
      <c r="BV35" s="207">
        <f>--ISNUMBER(IFERROR(SEARCH('PLANILLA DJ'!$X$71,$A35,1),""))</f>
        <v>1</v>
      </c>
      <c r="BW35" s="207">
        <f>--ISNUMBER(IFERROR(SEARCH('PLANILLA DJ'!$X$72,$A35,1),""))</f>
        <v>1</v>
      </c>
      <c r="BX35" s="207">
        <f>--ISNUMBER(IFERROR(SEARCH('PLANILLA DJ'!$X$73,$A35,1),""))</f>
        <v>1</v>
      </c>
      <c r="BY35" s="207">
        <f>--ISNUMBER(IFERROR(SEARCH('PLANILLA DJ'!$X$74,$A35,1),""))</f>
        <v>1</v>
      </c>
      <c r="BZ35" s="207">
        <f>--ISNUMBER(IFERROR(SEARCH('PLANILLA DJ'!$X$75,$A35,1),""))</f>
        <v>1</v>
      </c>
      <c r="CA35" s="207">
        <f>--ISNUMBER(IFERROR(SEARCH('PLANILLA DJ'!$X$76,$A35,1),""))</f>
        <v>1</v>
      </c>
      <c r="CB35" s="207">
        <f>--ISNUMBER(IFERROR(SEARCH('PLANILLA DJ'!$X$77,$A35,1),""))</f>
        <v>1</v>
      </c>
      <c r="CC35" s="207">
        <f>--ISNUMBER(IFERROR(SEARCH('PLANILLA DJ'!$X$78,$A35,1),""))</f>
        <v>1</v>
      </c>
      <c r="CD35" s="207">
        <f>--ISNUMBER(IFERROR(SEARCH('PLANILLA DJ'!$X$79,$A35,1),""))</f>
        <v>1</v>
      </c>
      <c r="CE35" s="207">
        <f>--ISNUMBER(IFERROR(SEARCH('PLANILLA DJ'!$X$80,$A35,1),""))</f>
        <v>1</v>
      </c>
      <c r="CF35" s="207">
        <f>--ISNUMBER(IFERROR(SEARCH('PLANILLA DJ'!$X$81,$A35,1),""))</f>
        <v>1</v>
      </c>
      <c r="CG35" s="207">
        <f>--ISNUMBER(IFERROR(SEARCH('PLANILLA DJ'!$X$82,$A35,1),""))</f>
        <v>1</v>
      </c>
      <c r="CH35" s="207">
        <f>--ISNUMBER(IFERROR(SEARCH('PLANILLA DJ'!$X$83,$A35,1),""))</f>
        <v>1</v>
      </c>
      <c r="CI35" s="207">
        <f>--ISNUMBER(IFERROR(SEARCH('PLANILLA DJ'!$X$84,$A35,1),""))</f>
        <v>1</v>
      </c>
      <c r="CJ35" s="207">
        <f>--ISNUMBER(IFERROR(SEARCH('PLANILLA DJ'!$X$85,$A35,1),""))</f>
        <v>1</v>
      </c>
      <c r="CK35" s="207">
        <f>--ISNUMBER(IFERROR(SEARCH('PLANILLA DJ'!$X$86,$A35,1),""))</f>
        <v>1</v>
      </c>
      <c r="CL35" s="207">
        <f>--ISNUMBER(IFERROR(SEARCH('PLANILLA DJ'!$X$87,$A35,1),""))</f>
        <v>1</v>
      </c>
      <c r="CM35" s="207">
        <f>--ISNUMBER(IFERROR(SEARCH('PLANILLA DJ'!$X$88,$A35,1),""))</f>
        <v>1</v>
      </c>
      <c r="CN35" s="207">
        <f>--ISNUMBER(IFERROR(SEARCH('PLANILLA DJ'!$X$89,$A35,1),""))</f>
        <v>1</v>
      </c>
      <c r="CO35" s="207">
        <f>--ISNUMBER(IFERROR(SEARCH('PLANILLA DJ'!$X$90,$A35,1),""))</f>
        <v>1</v>
      </c>
      <c r="CP35" s="207">
        <f>--ISNUMBER(IFERROR(SEARCH('PLANILLA DJ'!$X$91,$A35,1),""))</f>
        <v>1</v>
      </c>
      <c r="CQ35" s="207">
        <f>--ISNUMBER(IFERROR(SEARCH('PLANILLA DJ'!$X$92,$A35,1),""))</f>
        <v>1</v>
      </c>
      <c r="CR35" s="207">
        <f>--ISNUMBER(IFERROR(SEARCH('PLANILLA DJ'!$X$93,$A35,1),""))</f>
        <v>1</v>
      </c>
      <c r="CS35" s="207">
        <f>--ISNUMBER(IFERROR(SEARCH('PLANILLA DJ'!$X$94,$A35,1),""))</f>
        <v>1</v>
      </c>
      <c r="CT35" s="207">
        <f>--ISNUMBER(IFERROR(SEARCH('PLANILLA DJ'!$X$95,$A35,1),""))</f>
        <v>1</v>
      </c>
      <c r="CU35" s="207">
        <f>--ISNUMBER(IFERROR(SEARCH('PLANILLA DJ'!$X$96,$A35,1),""))</f>
        <v>1</v>
      </c>
      <c r="CV35" s="207">
        <f>--ISNUMBER(IFERROR(SEARCH('PLANILLA DJ'!$X$97,$A35,1),""))</f>
        <v>1</v>
      </c>
      <c r="CW35" s="207">
        <f>--ISNUMBER(IFERROR(SEARCH('PLANILLA DJ'!$X$98,$A35,1),""))</f>
        <v>1</v>
      </c>
      <c r="CX35" s="207">
        <f>--ISNUMBER(IFERROR(SEARCH('PLANILLA DJ'!$X$99,$A35,1),""))</f>
        <v>1</v>
      </c>
      <c r="CY35" s="207">
        <f>--ISNUMBER(IFERROR(SEARCH('PLANILLA DJ'!$X$100,$A35,1),""))</f>
        <v>1</v>
      </c>
      <c r="CZ35" s="207">
        <f>--ISNUMBER(IFERROR(SEARCH('PLANILLA DJ'!$X$101,$A35,1),""))</f>
        <v>1</v>
      </c>
      <c r="DA35" s="207">
        <f>--ISNUMBER(IFERROR(SEARCH('PLANILLA DJ'!$X$102,$A35,1),""))</f>
        <v>1</v>
      </c>
      <c r="DB35" s="206">
        <f>IF(F35=1,COUNTIF($F$2:F35,1),"")</f>
        <v>34</v>
      </c>
      <c r="DC35" s="206">
        <f>IF(G35=1,COUNTIF($G$2:G35,1),"")</f>
        <v>34</v>
      </c>
      <c r="DD35" s="206">
        <f>IF(H35=1,COUNTIF($H$2:H35,1),"")</f>
        <v>34</v>
      </c>
      <c r="DE35" s="206">
        <f>IF(I35=1,COUNTIF($I$2:I35,1),"")</f>
        <v>34</v>
      </c>
      <c r="DF35" s="206">
        <f>IF(J35=1,COUNTIF($J$2:J35,1),"")</f>
        <v>34</v>
      </c>
      <c r="DG35" s="206">
        <f>IF(K35=1,COUNTIF($K$2:K35,1),"")</f>
        <v>34</v>
      </c>
      <c r="DH35" s="206">
        <f>IF(L35=1,COUNTIF($L$2:L35,1),"")</f>
        <v>34</v>
      </c>
      <c r="DI35" s="206">
        <f>IF(M35=1,COUNTIF($M$2:M35,1),"")</f>
        <v>34</v>
      </c>
      <c r="DJ35" s="206">
        <f>IF(N35=1,COUNTIF($N$2:N35,1),"")</f>
        <v>34</v>
      </c>
      <c r="DK35" s="206">
        <f>IF(O35=1,COUNTIF($O$2:O35,1),"")</f>
        <v>34</v>
      </c>
      <c r="DL35" s="206">
        <f>IF(P35=1,COUNTIF($P$2:P35,1),"")</f>
        <v>34</v>
      </c>
      <c r="DM35" s="206">
        <f>IF(Q35=1,COUNTIF($Q$2:Q35,1),"")</f>
        <v>34</v>
      </c>
      <c r="DN35" s="207">
        <f>IF(R35=1,COUNTIF($R$2:R35,1),"")</f>
        <v>34</v>
      </c>
      <c r="DO35" s="207">
        <f>IF(S35=1,COUNTIF($S$2:S35,1),"")</f>
        <v>34</v>
      </c>
      <c r="DP35" s="207">
        <f>IF(T35=1,COUNTIF($T$2:T35,1),"")</f>
        <v>34</v>
      </c>
      <c r="DQ35" s="207">
        <f>IF(U35=1,COUNTIF($U$2:U35,1),"")</f>
        <v>34</v>
      </c>
      <c r="DR35" s="207">
        <f>IF(V35=1,COUNTIF($V$2:V35,1),"")</f>
        <v>34</v>
      </c>
      <c r="DS35" s="207">
        <f>IF(W35=1,COUNTIF($W$2:W35,1),"")</f>
        <v>34</v>
      </c>
      <c r="DT35" s="207">
        <f>IF(X35=1,COUNTIF($X$2:X35,1),"")</f>
        <v>34</v>
      </c>
      <c r="DU35" s="207">
        <f>IF(Y35=1,COUNTIF($Y$2:Y35,1),"")</f>
        <v>34</v>
      </c>
      <c r="DV35" s="207">
        <f>IF(Z35=1,COUNTIF(Z$2:Z35,1),"")</f>
        <v>34</v>
      </c>
      <c r="DW35" s="207">
        <f>IF(AA35=1,COUNTIF($AA$2:AA35,1),"")</f>
        <v>34</v>
      </c>
      <c r="DX35" s="207">
        <f>IF(AB35=1,COUNTIF($AB$2:AB35,1),"")</f>
        <v>34</v>
      </c>
      <c r="DY35" s="207">
        <f>IF(AC35=1,COUNTIF($AC$2:AC35,1),"")</f>
        <v>34</v>
      </c>
      <c r="DZ35" s="207">
        <f>IF(AD35=1,COUNTIF($AD$2:AD35,1),"")</f>
        <v>34</v>
      </c>
      <c r="EA35" s="207">
        <f>IF(AE35=1,COUNTIF($AE$2:AE35,1),"")</f>
        <v>34</v>
      </c>
      <c r="EB35" s="207">
        <f>IF(AF35=1,COUNTIF($AF$2:AF35,1),"")</f>
        <v>34</v>
      </c>
      <c r="EC35" s="207">
        <f>IF(AG35=1,COUNTIF($AG$2:AG35,1),"")</f>
        <v>34</v>
      </c>
      <c r="ED35" s="207">
        <f>IF(AH35=1,COUNTIF($AH$2:AH35,1),"")</f>
        <v>34</v>
      </c>
      <c r="EE35" s="207">
        <f>IF(AI35=1,COUNTIF($AI$2:AI35,1),"")</f>
        <v>34</v>
      </c>
      <c r="EF35" s="207">
        <f>IF(AJ35=1,COUNTIF($AJ$2:AJ35,1),"")</f>
        <v>34</v>
      </c>
      <c r="EG35" s="207">
        <f>IF(AK35=1,COUNTIF($AK$2:AK35,1),"")</f>
        <v>34</v>
      </c>
      <c r="EH35" s="207">
        <f>IF(AL35=1,COUNTIF($AL$2:AL35,1),"")</f>
        <v>34</v>
      </c>
      <c r="EI35" s="207">
        <f>IF(AM35=1,COUNTIF($AM$2:AM35,1),"")</f>
        <v>34</v>
      </c>
      <c r="EJ35" s="207">
        <f>IF(AN35=1,COUNTIF($AN$2:AN35,1),"")</f>
        <v>34</v>
      </c>
      <c r="EK35" s="207">
        <f>IF(AO35=1,COUNTIF($AO$2:AO35,1),"")</f>
        <v>34</v>
      </c>
      <c r="EL35" s="207">
        <f>IF(AP35=1,COUNTIF($AP$2:AP35,1),"")</f>
        <v>34</v>
      </c>
      <c r="EM35" s="207">
        <f>IF(AQ35=1,COUNTIF($AQ$2:AQ35,1),"")</f>
        <v>34</v>
      </c>
      <c r="EN35" s="207">
        <f>IF(AR35=1,COUNTIF($AR$2:AR35,1),"")</f>
        <v>34</v>
      </c>
      <c r="EO35" s="207">
        <f>IF(AS35=1,COUNTIF($AS$2:AS35,1),"")</f>
        <v>34</v>
      </c>
      <c r="EP35" s="207">
        <f>IF(AT35=1,COUNTIF($AT$2:AT35,1),"")</f>
        <v>34</v>
      </c>
      <c r="EQ35" s="207">
        <f>IF(AU35=1,COUNTIF($AU$2:AU35,1),"")</f>
        <v>34</v>
      </c>
      <c r="ER35" s="207">
        <f>IF(AV35=1,COUNTIF($AV$2:AV35,1),"")</f>
        <v>34</v>
      </c>
      <c r="ES35" s="207">
        <f>IF(AW35=1,COUNTIF($AW$2:AW35,1),"")</f>
        <v>34</v>
      </c>
      <c r="ET35" s="207">
        <f>IF(AX35=1,COUNTIF($AX$2:AX35,1),"")</f>
        <v>34</v>
      </c>
      <c r="EU35" s="207">
        <f>IF(AY35=1,COUNTIF($AY$2:AY35,1),"")</f>
        <v>34</v>
      </c>
      <c r="EV35" s="207">
        <f>IF(AZ35=1,COUNTIF($AZ$2:AZ35,1),"")</f>
        <v>34</v>
      </c>
      <c r="EW35" s="207">
        <f>IF(BA35=1,COUNTIF($BA$2:BA35,1),"")</f>
        <v>34</v>
      </c>
      <c r="EX35" s="207">
        <f>IF(BB35=1,COUNTIF($BB$2:BB35,1),"")</f>
        <v>34</v>
      </c>
      <c r="EY35" s="207">
        <f>IF(BC35=1,COUNTIF($BC$2:BC35,1),"")</f>
        <v>34</v>
      </c>
      <c r="EZ35" s="207">
        <f>IF(BD35=1,COUNTIF($BD$2:BD35,1),"")</f>
        <v>34</v>
      </c>
      <c r="FA35" s="207">
        <f>IF(BE35=1,COUNTIF($BE$2:BE35,1),"")</f>
        <v>34</v>
      </c>
      <c r="FB35" s="207">
        <f>IF(BF35=1,COUNTIF($BF$2:BF35,1),"")</f>
        <v>34</v>
      </c>
      <c r="FC35" s="207">
        <f>IF(BG35=1,COUNTIF($BG$2:BG35,1),"")</f>
        <v>34</v>
      </c>
      <c r="FD35" s="207">
        <f>IF(BH35=1,COUNTIF($BH$2:BH35,1),"")</f>
        <v>34</v>
      </c>
      <c r="FE35" s="207">
        <f>IF(BI35=1,COUNTIF($BI$2:BI35,1),"")</f>
        <v>34</v>
      </c>
      <c r="FF35" s="207">
        <f>IF(BJ35=1,COUNTIF($BJ$2:BJ35,1),"")</f>
        <v>34</v>
      </c>
      <c r="FG35" s="207">
        <f>IF(BK35=1,COUNTIF($BK$2:BK35,1),"")</f>
        <v>34</v>
      </c>
      <c r="FH35" s="207">
        <f>IF(BL35=1,COUNTIF($BL$2:BL35,1),"")</f>
        <v>34</v>
      </c>
      <c r="FI35" s="207">
        <f>IF(BM35=1,COUNTIF($BM$2:BM35,1),"")</f>
        <v>34</v>
      </c>
      <c r="FJ35" s="207">
        <f>IF(BN35=1,COUNTIF($BN$2:BN35,1),"")</f>
        <v>34</v>
      </c>
      <c r="FK35" s="207">
        <f>IF(BO35=1,COUNTIF($BO$2:BO35,1),"")</f>
        <v>34</v>
      </c>
      <c r="FL35" s="207">
        <f>IF(BP35=1,COUNTIF($BP$2:BP35,1),"")</f>
        <v>34</v>
      </c>
      <c r="FM35" s="207">
        <f>IF(BQ35=1,COUNTIF($BQ$2:BQ35,1),"")</f>
        <v>34</v>
      </c>
      <c r="FN35" s="207">
        <f>IF(BR35=1,COUNTIF($BR$2:BR35,1),"")</f>
        <v>34</v>
      </c>
      <c r="FO35" s="207">
        <f>IF(BS35=1,COUNTIF($BS$2:BS35,1),"")</f>
        <v>34</v>
      </c>
      <c r="FP35" s="207">
        <f>IF(BT35=1,COUNTIF($BT$2:BT35,1),"")</f>
        <v>34</v>
      </c>
      <c r="FQ35" s="207">
        <f>IF(BU35=1,COUNTIF($BU$2:BU35,1),"")</f>
        <v>34</v>
      </c>
      <c r="FR35" s="207">
        <f>IF(BV35=1,COUNTIF($BV$2:BV35,1),"")</f>
        <v>34</v>
      </c>
      <c r="FS35" s="207">
        <f>IF(BW35=1,COUNTIF($BW$2:BW35,1),"")</f>
        <v>34</v>
      </c>
      <c r="FT35" s="207">
        <f>IF(BX35=1,COUNTIF($BX$2:BX35,1),"")</f>
        <v>34</v>
      </c>
      <c r="FU35" s="207">
        <f>IF(BY35=1,COUNTIF($BY$2:BY35,1),"")</f>
        <v>34</v>
      </c>
      <c r="FV35" s="207">
        <f>IF(BZ35=1,COUNTIF($BZ$2:BZ35,1),"")</f>
        <v>34</v>
      </c>
      <c r="FW35" s="207">
        <f>IF(CA35=1,COUNTIF($CA$2:CA35,1),"")</f>
        <v>34</v>
      </c>
      <c r="FX35" s="207">
        <f>IF(CB35=1,COUNTIF($CB$2:CB35,1),"")</f>
        <v>34</v>
      </c>
      <c r="FY35" s="207">
        <f>IF(CC35=1,COUNTIF($CC$2:CC35,1),"")</f>
        <v>34</v>
      </c>
      <c r="FZ35" s="207">
        <f>IF(CD35=1,COUNTIF($CD$2:CD35,1),"")</f>
        <v>34</v>
      </c>
      <c r="GA35" s="207">
        <f>IF(CE35=1,COUNTIF($CE$2:CE35,1),"")</f>
        <v>34</v>
      </c>
      <c r="GB35" s="207">
        <f>IF(CF35=1,COUNTIF($CF$2:CF35,1),"")</f>
        <v>34</v>
      </c>
      <c r="GC35" s="207">
        <f>IF(CG35=1,COUNTIF($CG$2:CG35,1),"")</f>
        <v>34</v>
      </c>
      <c r="GD35" s="207">
        <f>IF(CH35=1,COUNTIF($CH$2:CH35,1),"")</f>
        <v>34</v>
      </c>
      <c r="GE35" s="207">
        <f>IF(CI35=1,COUNTIF($CI$2:CI35,1),"")</f>
        <v>34</v>
      </c>
      <c r="GF35" s="207">
        <f>IF(CJ35=1,COUNTIF($CJ$2:CJ35,1),"")</f>
        <v>34</v>
      </c>
      <c r="GG35" s="207">
        <f>IF(CK35=1,COUNTIF($CK$2:CK35,1),"")</f>
        <v>34</v>
      </c>
      <c r="GH35" s="207">
        <f>IF(CL35=1,COUNTIF($CL$2:CL35,1),"")</f>
        <v>34</v>
      </c>
      <c r="GI35" s="207">
        <f>IF(CM35=1,COUNTIF($CM$2:CM35,1),"")</f>
        <v>34</v>
      </c>
      <c r="GJ35" s="207">
        <f>IF(CN35=1,COUNTIF($CN$2:CN35,1),"")</f>
        <v>34</v>
      </c>
      <c r="GK35" s="207">
        <f>IF(CO35=1,COUNTIF($CO$2:CO35,1),"")</f>
        <v>34</v>
      </c>
      <c r="GL35" s="207">
        <f>IF(CP35=1,COUNTIF($CP$2:CP35,1),"")</f>
        <v>34</v>
      </c>
      <c r="GM35" s="207">
        <f>IF(CQ35=1,COUNTIF($CQ$2:CQ35,1),"")</f>
        <v>34</v>
      </c>
      <c r="GN35" s="207">
        <f>IF(CR35=1,COUNTIF($CR$2:CR35,1),"")</f>
        <v>34</v>
      </c>
      <c r="GO35" s="207">
        <f>IF(CS35=1,COUNTIF($CS$2:CS35,1),"")</f>
        <v>34</v>
      </c>
      <c r="GP35" s="207">
        <f>IF(CT35=1,COUNTIF($CT$2:CT35,1),"")</f>
        <v>34</v>
      </c>
      <c r="GQ35" s="207">
        <f>IF(CU35=1,COUNTIF($CU$2:CU35,1),"")</f>
        <v>34</v>
      </c>
      <c r="GR35" s="207">
        <f>IF(CV35=1,COUNTIF($CV$2:CV35,1),"")</f>
        <v>34</v>
      </c>
      <c r="GS35" s="207">
        <f>IF(CW35=1,COUNTIF($CW$2:CW35,1),"")</f>
        <v>34</v>
      </c>
      <c r="GT35" s="207">
        <f>IF(CX35=1,COUNTIF($CX$2:CX35,1),"")</f>
        <v>34</v>
      </c>
      <c r="GU35" s="207">
        <f>IF(CY35=1,COUNTIF($CY$2:CY35,1),"")</f>
        <v>34</v>
      </c>
      <c r="GV35" s="207">
        <f>IF(CZ35=1,COUNTIF($CZ$2:CZ35,1),"")</f>
        <v>34</v>
      </c>
      <c r="GW35" s="207">
        <f>IF(DA35=1,COUNTIF($DA$2:DA35,1),"")</f>
        <v>34</v>
      </c>
      <c r="GX35" s="206" t="str">
        <f>IFERROR(INDEX($A$2:$A$113,MATCH(ROWS($DB$2:DB35),$DB$2:$DB$113,0)),"")</f>
        <v xml:space="preserve">TRATA DE PERSONA AGRAVADO </v>
      </c>
      <c r="GY35" s="206" t="str">
        <f>IFERROR(INDEX($A$2:$A$113,MATCH(ROWS($DC$2:DC35),$DC$2:$DC$113,0)),"")</f>
        <v xml:space="preserve">TRATA DE PERSONA AGRAVADO </v>
      </c>
      <c r="GZ35" s="206" t="str">
        <f>IFERROR(INDEX($A$2:$A$113,MATCH(ROWS($DD$2:DD35),$DD$2:$DD$113,0)),"")</f>
        <v xml:space="preserve">TRATA DE PERSONA AGRAVADO </v>
      </c>
      <c r="HA35" s="206" t="str">
        <f>IFERROR(INDEX($A$2:$A$113,MATCH(ROWS($DE$2:DE35),$DE$2:$DE$113,0)),"")</f>
        <v xml:space="preserve">TRATA DE PERSONA AGRAVADO </v>
      </c>
      <c r="HB35" s="206" t="str">
        <f>IFERROR(INDEX($A$2:$A$113,MATCH(ROWS($DF$2:DF35),$DF$2:$DF$113,0)),"")</f>
        <v xml:space="preserve">TRATA DE PERSONA AGRAVADO </v>
      </c>
      <c r="HC35" s="206" t="str">
        <f>IFERROR(INDEX($A$2:$A$113,MATCH(ROWS($DG$2:DG35),$DG$2:$DG$113,0)),"")</f>
        <v xml:space="preserve">TRATA DE PERSONA AGRAVADO </v>
      </c>
      <c r="HD35" s="206" t="str">
        <f>IFERROR(INDEX($A$2:$A$113,MATCH(ROWS($DH$2:DH35),$DH$2:$DH$113,0)),"")</f>
        <v xml:space="preserve">TRATA DE PERSONA AGRAVADO </v>
      </c>
      <c r="HE35" s="206" t="str">
        <f>IFERROR(INDEX($A$2:$A$113,MATCH(ROWS($DI$2:DI35),$DI$2:$DI$113,0)),"")</f>
        <v xml:space="preserve">TRATA DE PERSONA AGRAVADO </v>
      </c>
      <c r="HF35" s="206" t="str">
        <f>IFERROR(INDEX($A$2:$A$113,MATCH(ROWS($DJ$2:DJ35),$DJ$2:$DJ$113,0)),"")</f>
        <v xml:space="preserve">TRATA DE PERSONA AGRAVADO </v>
      </c>
      <c r="HG35" s="206" t="str">
        <f>IFERROR(INDEX($A$2:$A$113,MATCH(ROWS($DK$2:DK35),$DK$2:$DK$113,0)),"")</f>
        <v xml:space="preserve">TRATA DE PERSONA AGRAVADO </v>
      </c>
      <c r="HH35" s="206" t="str">
        <f>IFERROR(INDEX($A$2:$A$113,MATCH(ROWS($DL$2:DL35),$DL$2:$DL$113,0)),"")</f>
        <v xml:space="preserve">TRATA DE PERSONA AGRAVADO </v>
      </c>
      <c r="HI35" s="206" t="str">
        <f>IFERROR(INDEX($A$2:$A$113,MATCH(ROWS($DM$2:DM35),$DM$2:$DM$113,0)),"")</f>
        <v xml:space="preserve">TRATA DE PERSONA AGRAVADO </v>
      </c>
      <c r="HJ35" s="206" t="str">
        <f>IFERROR(INDEX($A$2:$A$113,MATCH(ROWS($DN$2:DN35),$DN$2:$DN$113,0)),"")</f>
        <v xml:space="preserve">TRATA DE PERSONA AGRAVADO </v>
      </c>
      <c r="HK35" s="206" t="str">
        <f>IFERROR(INDEX($A$2:$A$113,MATCH(ROWS($DO$2:DO35),$DO$2:$DO$113,0)),"")</f>
        <v xml:space="preserve">TRATA DE PERSONA AGRAVADO </v>
      </c>
      <c r="HL35" s="206" t="str">
        <f>IFERROR(INDEX($A$2:$A$113,MATCH(ROWS($DP$2:DP35),$DP$2:$DP$113,0)),"")</f>
        <v xml:space="preserve">TRATA DE PERSONA AGRAVADO </v>
      </c>
      <c r="HM35" s="206" t="str">
        <f>IFERROR(INDEX($A$2:$A$113,MATCH(ROWS($DQ$2:DQ35),$DQ$2:$DQ$113,0)),"")</f>
        <v xml:space="preserve">TRATA DE PERSONA AGRAVADO </v>
      </c>
      <c r="HN35" s="206" t="str">
        <f>IFERROR(INDEX($A$2:$A$113,MATCH(ROWS($DR$2:DR35),$DR$2:$DR$113,0)),"")</f>
        <v xml:space="preserve">TRATA DE PERSONA AGRAVADO </v>
      </c>
      <c r="HO35" s="206" t="str">
        <f>IFERROR(INDEX($A$2:$A$113,MATCH(ROWS($DS$2:DS35),$DS$2:$DS$113,0)),"")</f>
        <v xml:space="preserve">TRATA DE PERSONA AGRAVADO </v>
      </c>
      <c r="HP35" s="206" t="str">
        <f>IFERROR(INDEX($A$2:$A$113,MATCH(ROWS($DT$2:DT35),$DT$2:$DT$113,0)),"")</f>
        <v xml:space="preserve">TRATA DE PERSONA AGRAVADO </v>
      </c>
      <c r="HQ35" s="206" t="str">
        <f>IFERROR(INDEX($A$2:$A$113,MATCH(ROWS($DU$2:DU35),$DU$2:$DU$113,0)),"")</f>
        <v xml:space="preserve">TRATA DE PERSONA AGRAVADO </v>
      </c>
      <c r="HR35" s="206" t="str">
        <f>IFERROR(INDEX($A$2:$A$113,MATCH(ROWS($DV$2:DV35),$DV$2:$DV$113,0)),"")</f>
        <v xml:space="preserve">TRATA DE PERSONA AGRAVADO </v>
      </c>
      <c r="HS35" s="206" t="str">
        <f>IFERROR(INDEX($A$2:$A$113,MATCH(ROWS($DW$2:DW35),$DW$2:$DW$113,0)),"")</f>
        <v xml:space="preserve">TRATA DE PERSONA AGRAVADO </v>
      </c>
      <c r="HT35" s="206" t="str">
        <f>IFERROR(INDEX($A$2:$A$113,MATCH(ROWS($DX$2:DX35),$DX$2:$DX$113,0)),"")</f>
        <v xml:space="preserve">TRATA DE PERSONA AGRAVADO </v>
      </c>
      <c r="HU35" s="206" t="str">
        <f>IFERROR(INDEX($A$2:$A$113,MATCH(ROWS($DY$2:DY35),$DY$2:$DY$113,0)),"")</f>
        <v xml:space="preserve">TRATA DE PERSONA AGRAVADO </v>
      </c>
      <c r="HV35" s="206" t="str">
        <f>IFERROR(INDEX($A$2:$A$113,MATCH(ROWS($DZ$2:DZ35),$DZ$2:$DZ$113,0)),"")</f>
        <v xml:space="preserve">TRATA DE PERSONA AGRAVADO </v>
      </c>
      <c r="HW35" s="206" t="str">
        <f>IFERROR(INDEX($A$2:$A$113,MATCH(ROWS($EA$2:EA35),$EA$2:$EA$113,0)),"")</f>
        <v xml:space="preserve">TRATA DE PERSONA AGRAVADO </v>
      </c>
      <c r="HX35" s="206" t="str">
        <f>IFERROR(INDEX($A$2:$A$113,MATCH(ROWS($EB$2:EB35),$EB$2:$EB$113,0)),"")</f>
        <v xml:space="preserve">TRATA DE PERSONA AGRAVADO </v>
      </c>
      <c r="HY35" s="206" t="str">
        <f>IFERROR(INDEX($A$2:$A$113,MATCH(ROWS($EC$2:EC35),$EC$2:$EC$113,0)),"")</f>
        <v xml:space="preserve">TRATA DE PERSONA AGRAVADO </v>
      </c>
      <c r="HZ35" s="206" t="str">
        <f>IFERROR(INDEX($A$2:$A$113,MATCH(ROWS($ED$2:ED35),$ED$2:$ED$113,0)),"")</f>
        <v xml:space="preserve">TRATA DE PERSONA AGRAVADO </v>
      </c>
      <c r="IA35" s="206" t="str">
        <f>IFERROR(INDEX($A$2:$A$113,MATCH(ROWS($EE$2:EE35),$EE$2:$EE$113,0)),"")</f>
        <v xml:space="preserve">TRATA DE PERSONA AGRAVADO </v>
      </c>
      <c r="IB35" s="206" t="str">
        <f>IFERROR(INDEX($A$2:$A$113,MATCH(ROWS($EF$2:EF35),$EF$2:$EF$113,0)),"")</f>
        <v xml:space="preserve">TRATA DE PERSONA AGRAVADO </v>
      </c>
      <c r="IC35" s="206" t="str">
        <f>IFERROR(INDEX($A$2:$A$113,MATCH(ROWS($EG$2:EG35),$EG$2:$EG$113,0)),"")</f>
        <v xml:space="preserve">TRATA DE PERSONA AGRAVADO </v>
      </c>
      <c r="ID35" s="206" t="str">
        <f>IFERROR(INDEX($A$2:$A$113,MATCH(ROWS($EH$2:EH35),$EH$2:$EH$113,0)),"")</f>
        <v xml:space="preserve">TRATA DE PERSONA AGRAVADO </v>
      </c>
      <c r="IE35" s="206" t="str">
        <f>IFERROR(INDEX($A$2:$A$113,MATCH(ROWS($EI$2:EI35),$EI$2:$EI$113,0)),"")</f>
        <v xml:space="preserve">TRATA DE PERSONA AGRAVADO </v>
      </c>
      <c r="IF35" s="206" t="str">
        <f>IFERROR(INDEX($A$2:$A$113,MATCH(ROWS($EJ$2:EJ35),$EJ$2:$EJ$113,0)),"")</f>
        <v xml:space="preserve">TRATA DE PERSONA AGRAVADO </v>
      </c>
      <c r="IG35" s="206" t="str">
        <f>IFERROR(INDEX($A$2:$A$113,MATCH(ROWS($EK$2:EK35),$EK$2:$EK$113,0)),"")</f>
        <v xml:space="preserve">TRATA DE PERSONA AGRAVADO </v>
      </c>
      <c r="IH35" s="206" t="str">
        <f>IFERROR(INDEX($A$2:$A$113,MATCH(ROWS($EL$2:EL35),$EL$2:$EL$113,0)),"")</f>
        <v xml:space="preserve">TRATA DE PERSONA AGRAVADO </v>
      </c>
      <c r="II35" s="206" t="str">
        <f>IFERROR(INDEX($A$2:$A$113,MATCH(ROWS($EM$2:EM35),$EM$2:$EM$113,0)),"")</f>
        <v xml:space="preserve">TRATA DE PERSONA AGRAVADO </v>
      </c>
      <c r="IJ35" s="206" t="str">
        <f>IFERROR(INDEX($A$2:$A$113,MATCH(ROWS($EN$2:EN35),$EN$2:$EN$113,0)),"")</f>
        <v xml:space="preserve">TRATA DE PERSONA AGRAVADO </v>
      </c>
      <c r="IK35" s="207" t="str">
        <f>IFERROR(INDEX($A$2:$A$113,MATCH(ROWS($EO$2:EO35),$EO$2:$EO$113,0)),"")</f>
        <v xml:space="preserve">TRATA DE PERSONA AGRAVADO </v>
      </c>
      <c r="IL35" s="207" t="str">
        <f>IFERROR(INDEX($A$2:$A$113,MATCH(ROWS($EP$2:EP35),$EP$2:$EP$113,0)),"")</f>
        <v xml:space="preserve">TRATA DE PERSONA AGRAVADO </v>
      </c>
      <c r="IM35" s="207" t="str">
        <f>IFERROR(INDEX($A$2:$A$113,MATCH(ROWS($EQ$2:EQ35),$EQ$2:$EQ$113,0)),"")</f>
        <v xml:space="preserve">TRATA DE PERSONA AGRAVADO </v>
      </c>
      <c r="IN35" s="207" t="str">
        <f>IFERROR(INDEX($A$2:$A$113,MATCH(ROWS($ER$2:ER35),$ER$2:$ER$113,0)),"")</f>
        <v xml:space="preserve">TRATA DE PERSONA AGRAVADO </v>
      </c>
      <c r="IO35" s="207" t="str">
        <f>IFERROR(INDEX($A$2:$A$113,MATCH(ROWS($ES$2:ES35),$ES$2:$ES$113,0)),"")</f>
        <v xml:space="preserve">TRATA DE PERSONA AGRAVADO </v>
      </c>
      <c r="IP35" s="207" t="str">
        <f>IFERROR(INDEX($A$2:$A$113,MATCH(ROWS($ET$2:ET35),$ET$2:$ET$113,0)),"")</f>
        <v xml:space="preserve">TRATA DE PERSONA AGRAVADO </v>
      </c>
      <c r="IQ35" s="207" t="str">
        <f>IFERROR(INDEX($A$2:$A$113,MATCH(ROWS($EU$2:EU35),$EU$2:$EU$113,0)),"")</f>
        <v xml:space="preserve">TRATA DE PERSONA AGRAVADO </v>
      </c>
      <c r="IR35" s="207" t="str">
        <f>IFERROR(INDEX($A$2:$A$113,MATCH(ROWS($EV$2:EV35),$EV$2:$EV$113,0)),"")</f>
        <v xml:space="preserve">TRATA DE PERSONA AGRAVADO </v>
      </c>
      <c r="IS35" s="207" t="str">
        <f>IFERROR(INDEX($A$2:$A$113,MATCH(ROWS($EW$2:EW35),$EW$2:$EW$113,0)),"")</f>
        <v xml:space="preserve">TRATA DE PERSONA AGRAVADO </v>
      </c>
      <c r="IT35" s="207" t="str">
        <f>IFERROR(INDEX($A$2:$A$113,MATCH(ROWS($EX$2:EX35),$EX$2:$EX$113,0)),"")</f>
        <v xml:space="preserve">TRATA DE PERSONA AGRAVADO </v>
      </c>
      <c r="IU35" s="207" t="str">
        <f>IFERROR(INDEX($A$2:$A$113,MATCH(ROWS($EY$2:EY35),$EY$2:$EY$113,0)),"")</f>
        <v xml:space="preserve">TRATA DE PERSONA AGRAVADO </v>
      </c>
      <c r="IV35" s="207" t="str">
        <f>IFERROR(INDEX($A$2:$A$113,MATCH(ROWS($EZ$2:EZ35),$EZ$2:$EZ$113,0)),"")</f>
        <v xml:space="preserve">TRATA DE PERSONA AGRAVADO </v>
      </c>
      <c r="IW35" s="207" t="str">
        <f>IFERROR(INDEX($A$2:$A$113,MATCH(ROWS($FA$2:FA35),$FA$2:$FA$113,0)),"")</f>
        <v xml:space="preserve">TRATA DE PERSONA AGRAVADO </v>
      </c>
      <c r="IX35" s="207" t="str">
        <f>IFERROR(INDEX($A$2:$A$113,MATCH(ROWS($FB$2:FB35),$FB$2:$FB$113,0)),"")</f>
        <v xml:space="preserve">TRATA DE PERSONA AGRAVADO </v>
      </c>
      <c r="IY35" s="207" t="str">
        <f>IFERROR(INDEX($A$2:$A$113,MATCH(ROWS($FC$2:FC35),$FC$2:$FC$113,0)),"")</f>
        <v xml:space="preserve">TRATA DE PERSONA AGRAVADO </v>
      </c>
      <c r="IZ35" s="207" t="str">
        <f>IFERROR(INDEX($A$2:$A$113,MATCH(ROWS($FD$2:FD35),$FD$2:$FD$113,0)),"")</f>
        <v xml:space="preserve">TRATA DE PERSONA AGRAVADO </v>
      </c>
      <c r="JA35" s="207" t="str">
        <f>IFERROR(INDEX($A$2:$A$113,MATCH(ROWS($FE$2:FE35),$FE$2:$FE$113,0)),"")</f>
        <v xml:space="preserve">TRATA DE PERSONA AGRAVADO </v>
      </c>
      <c r="JB35" s="207" t="str">
        <f>IFERROR(INDEX($A$2:$A$113,MATCH(ROWS($FF$2:FF35),$FF$2:$FF$113,0)),"")</f>
        <v xml:space="preserve">TRATA DE PERSONA AGRAVADO </v>
      </c>
      <c r="JC35" s="207" t="str">
        <f>IFERROR(INDEX($A$2:$A$113,MATCH(ROWS($FG$2:FG35),$FG$2:$FG$113,0)),"")</f>
        <v xml:space="preserve">TRATA DE PERSONA AGRAVADO </v>
      </c>
      <c r="JD35" s="207" t="str">
        <f>IFERROR(INDEX($A$2:$A$113,MATCH(ROWS($FH$2:FH35),$FH$2:$FH$113,0)),"")</f>
        <v xml:space="preserve">TRATA DE PERSONA AGRAVADO </v>
      </c>
      <c r="JE35" s="207" t="str">
        <f>IFERROR(INDEX($A$2:$A$113,MATCH(ROWS($FI$2:FI35),$FI$2:$FI$113,0)),"")</f>
        <v xml:space="preserve">TRATA DE PERSONA AGRAVADO </v>
      </c>
      <c r="JF35" s="207" t="str">
        <f>IFERROR(INDEX($A$2:$A$113,MATCH(ROWS($FJ$2:FJ35),$FJ$2:$FJ$113,0)),"")</f>
        <v xml:space="preserve">TRATA DE PERSONA AGRAVADO </v>
      </c>
      <c r="JG35" s="207" t="str">
        <f>IFERROR(INDEX($A$2:$A$113,MATCH(ROWS($FK$2:FK35),$FK$2:$FK$113,0)),"")</f>
        <v xml:space="preserve">TRATA DE PERSONA AGRAVADO </v>
      </c>
      <c r="JH35" s="207" t="str">
        <f>IFERROR(INDEX($A$2:$A$113,MATCH(ROWS($FL$2:FL35),$FL$2:$FL$113,0)),"")</f>
        <v xml:space="preserve">TRATA DE PERSONA AGRAVADO </v>
      </c>
      <c r="JI35" s="207" t="str">
        <f>IFERROR(INDEX($A$2:$A$113,MATCH(ROWS($FM$2:FM35),$FM$2:$FM$113,0)),"")</f>
        <v xml:space="preserve">TRATA DE PERSONA AGRAVADO </v>
      </c>
      <c r="JJ35" s="207" t="str">
        <f>IFERROR(INDEX($A$2:$A$113,MATCH(ROWS($FN$2:FN35),$FN$2:$FN$113,0)),"")</f>
        <v xml:space="preserve">TRATA DE PERSONA AGRAVADO </v>
      </c>
      <c r="JK35" s="207" t="str">
        <f>IFERROR(INDEX($A$2:$A$113,MATCH(ROWS($FO$2:FO35),$FO$2:$FO$113,0)),"")</f>
        <v xml:space="preserve">TRATA DE PERSONA AGRAVADO </v>
      </c>
      <c r="JL35" s="207" t="str">
        <f>IFERROR(INDEX($A$2:$A$113,MATCH(ROWS($FP$2:FP35),$FP$2:$FP$113,0)),"")</f>
        <v xml:space="preserve">TRATA DE PERSONA AGRAVADO </v>
      </c>
      <c r="JM35" s="207" t="str">
        <f>IFERROR(INDEX($A$2:$A$113,MATCH(ROWS($FQ$2:FQ35),$FQ$2:$FQ$113,0)),"")</f>
        <v xml:space="preserve">TRATA DE PERSONA AGRAVADO </v>
      </c>
      <c r="JN35" s="207" t="str">
        <f>IFERROR(INDEX($A$2:$A$113,MATCH(ROWS($FR$2:FR35),$FR$2:$FR$113,0)),"")</f>
        <v xml:space="preserve">TRATA DE PERSONA AGRAVADO </v>
      </c>
      <c r="JO35" s="207" t="str">
        <f>IFERROR(INDEX($A$2:$A$113,MATCH(ROWS($FS$2:FS35),$FS$2:$FS$113,0)),"")</f>
        <v xml:space="preserve">TRATA DE PERSONA AGRAVADO </v>
      </c>
      <c r="JP35" s="207" t="str">
        <f>IFERROR(INDEX($A$2:$A$113,MATCH(ROWS($FT$2:FT35),$FT$2:$FT$113,0)),"")</f>
        <v xml:space="preserve">TRATA DE PERSONA AGRAVADO </v>
      </c>
      <c r="JQ35" s="207" t="str">
        <f>IFERROR(INDEX($A$2:$A$113,MATCH(ROWS($FU$2:FU35),$FU$2:$FU$113,0)),"")</f>
        <v xml:space="preserve">TRATA DE PERSONA AGRAVADO </v>
      </c>
      <c r="JR35" s="207" t="str">
        <f>IFERROR(INDEX($A$2:$A$113,MATCH(ROWS($FV$2:FV35),$FV$2:$FV$113,0)),"")</f>
        <v xml:space="preserve">TRATA DE PERSONA AGRAVADO </v>
      </c>
      <c r="JS35" s="207" t="str">
        <f>IFERROR(INDEX($A$2:$A$113,MATCH(ROWS($FW$2:FW35),$FW$2:$FW$113,0)),"")</f>
        <v xml:space="preserve">TRATA DE PERSONA AGRAVADO </v>
      </c>
      <c r="JT35" s="207" t="str">
        <f>IFERROR(INDEX($A$2:$A$113,MATCH(ROWS($FX$2:FX35),$FX$2:$FX$113,0)),"")</f>
        <v xml:space="preserve">TRATA DE PERSONA AGRAVADO </v>
      </c>
      <c r="JU35" s="207" t="str">
        <f>IFERROR(INDEX($A$2:$A$113,MATCH(ROWS($FY$2:FY35),$FY$2:$FY$113,0)),"")</f>
        <v xml:space="preserve">TRATA DE PERSONA AGRAVADO </v>
      </c>
      <c r="JV35" s="207" t="str">
        <f>IFERROR(INDEX($A$2:$A$113,MATCH(ROWS($FZ$2:FZ35),$FZ$2:$FZ$113,0)),"")</f>
        <v xml:space="preserve">TRATA DE PERSONA AGRAVADO </v>
      </c>
      <c r="JW35" s="207" t="str">
        <f>IFERROR(INDEX($A$2:$A$113,MATCH(ROWS($GA$2:GA35),$GA$2:$GA$113,0)),"")</f>
        <v xml:space="preserve">TRATA DE PERSONA AGRAVADO </v>
      </c>
      <c r="JX35" s="207" t="str">
        <f>IFERROR(INDEX($A$2:$A$113,MATCH(ROWS($GB$2:GB35),$GB$2:$GB$113,0)),"")</f>
        <v xml:space="preserve">TRATA DE PERSONA AGRAVADO </v>
      </c>
      <c r="JY35" s="207" t="str">
        <f>IFERROR(INDEX($A$2:$A$113,MATCH(ROWS($GC$2:GC35),$GC$2:$GC$113,0)),"")</f>
        <v xml:space="preserve">TRATA DE PERSONA AGRAVADO </v>
      </c>
      <c r="JZ35" s="207" t="str">
        <f>IFERROR(INDEX($A$2:$A$113,MATCH(ROWS($GD$2:GD35),$GD$2:$GD$113,0)),"")</f>
        <v xml:space="preserve">TRATA DE PERSONA AGRAVADO </v>
      </c>
      <c r="KA35" s="207" t="str">
        <f>IFERROR(INDEX($A$2:$A$113,MATCH(ROWS($GE$2:GE35),$GE$2:$GE$113,0)),"")</f>
        <v xml:space="preserve">TRATA DE PERSONA AGRAVADO </v>
      </c>
      <c r="KB35" s="207" t="str">
        <f>IFERROR(INDEX($A$2:$A$113,MATCH(ROWS($GF$2:GF35),$GF$2:$GF$113,0)),"")</f>
        <v xml:space="preserve">TRATA DE PERSONA AGRAVADO </v>
      </c>
      <c r="KC35" s="207" t="str">
        <f>IFERROR(INDEX($A$2:$A$113,MATCH(ROWS($GG$2:GG35),$GG$2:$GG$113,0)),"")</f>
        <v xml:space="preserve">TRATA DE PERSONA AGRAVADO </v>
      </c>
      <c r="KD35" s="207" t="str">
        <f>IFERROR(INDEX($A$2:$A$113,MATCH(ROWS($GH$2:GH35),$GH$2:$GH$113,0)),"")</f>
        <v xml:space="preserve">TRATA DE PERSONA AGRAVADO </v>
      </c>
      <c r="KE35" s="207" t="str">
        <f>IFERROR(INDEX($A$2:$A$113,MATCH(ROWS($GI$2:GI35),$GI$2:$GI$113,0)),"")</f>
        <v xml:space="preserve">TRATA DE PERSONA AGRAVADO </v>
      </c>
      <c r="KF35" s="207" t="str">
        <f>IFERROR(INDEX($A$2:$A$113,MATCH(ROWS($GJ$2:GJ35),$GJ$2:$GJ$113,0)),"")</f>
        <v xml:space="preserve">TRATA DE PERSONA AGRAVADO </v>
      </c>
      <c r="KG35" s="207" t="str">
        <f>IFERROR(INDEX($A$2:$A$113,MATCH(ROWS($GK$2:GK35),$GK$2:$GK$113,0)),"")</f>
        <v xml:space="preserve">TRATA DE PERSONA AGRAVADO </v>
      </c>
      <c r="KH35" s="207" t="str">
        <f>IFERROR(INDEX($A$2:$A$113,MATCH(ROWS($GL$2:GL35),$GL$2:$GL$113,0)),"")</f>
        <v xml:space="preserve">TRATA DE PERSONA AGRAVADO </v>
      </c>
      <c r="KI35" s="207" t="str">
        <f>IFERROR(INDEX($A$2:$A$113,MATCH(ROWS($GM$2:GM35),$GM$2:$GM$113,0)),"")</f>
        <v xml:space="preserve">TRATA DE PERSONA AGRAVADO </v>
      </c>
      <c r="KJ35" s="207" t="str">
        <f>IFERROR(INDEX($A$2:$A$113,MATCH(ROWS($GN$2:GN35),$GN$2:$GN$113,0)),"")</f>
        <v xml:space="preserve">TRATA DE PERSONA AGRAVADO </v>
      </c>
      <c r="KK35" s="207" t="str">
        <f>IFERROR(INDEX($A$2:$A$113,MATCH(ROWS($GO$2:GO35),$GO$2:$GO$113,0)),"")</f>
        <v xml:space="preserve">TRATA DE PERSONA AGRAVADO </v>
      </c>
      <c r="KL35" s="207" t="str">
        <f>IFERROR(INDEX($A$2:$A$113,MATCH(ROWS($GP$2:GP35),$GP$2:$GP$113,0)),"")</f>
        <v xml:space="preserve">TRATA DE PERSONA AGRAVADO </v>
      </c>
      <c r="KM35" s="207" t="str">
        <f>IFERROR(INDEX($A$2:$A$113,MATCH(ROWS($GQ$2:GQ35),$GQ$2:$GQ$113,0)),"")</f>
        <v xml:space="preserve">TRATA DE PERSONA AGRAVADO </v>
      </c>
      <c r="KN35" s="207" t="str">
        <f>IFERROR(INDEX($A$2:$A$113,MATCH(ROWS($GR$2:GR35),$GR$2:$GR$113,0)),"")</f>
        <v xml:space="preserve">TRATA DE PERSONA AGRAVADO </v>
      </c>
      <c r="KO35" s="207" t="str">
        <f>IFERROR(INDEX($A$2:$A$113,MATCH(ROWS($GS$2:GS35),$GS$2:$GS$113,0)),"")</f>
        <v xml:space="preserve">TRATA DE PERSONA AGRAVADO </v>
      </c>
      <c r="KP35" s="207" t="str">
        <f>IFERROR(INDEX($A$2:$A$113,MATCH(ROWS($GT$2:GT35),$GT$2:$GT$113,0)),"")</f>
        <v xml:space="preserve">TRATA DE PERSONA AGRAVADO </v>
      </c>
      <c r="KQ35" s="207" t="str">
        <f>IFERROR(INDEX($A$2:$A$113,MATCH(ROWS($GU$2:GU35),$GU$2:$GU$113,0)),"")</f>
        <v xml:space="preserve">TRATA DE PERSONA AGRAVADO </v>
      </c>
      <c r="KR35" s="207" t="str">
        <f>IFERROR(INDEX($A$2:$A$113,MATCH(ROWS($GV$2:GV35),$GV$2:$GV$113,0)),"")</f>
        <v xml:space="preserve">TRATA DE PERSONA AGRAVADO </v>
      </c>
      <c r="KS35" s="207" t="str">
        <f>IFERROR(INDEX($A$2:$A$113,MATCH(ROWS($GW$2:GW35),$GW$2:$GW$113,0)),"")</f>
        <v xml:space="preserve">TRATA DE PERSONA AGRAVADO </v>
      </c>
    </row>
    <row r="36" spans="1:305" x14ac:dyDescent="0.25">
      <c r="A36" s="206" t="s">
        <v>53</v>
      </c>
      <c r="B36" s="206" t="s">
        <v>75</v>
      </c>
      <c r="D36" s="206" t="s">
        <v>791</v>
      </c>
      <c r="E36" s="206" t="s">
        <v>76</v>
      </c>
      <c r="F36" s="207">
        <f>--ISNUMBER(IFERROR(SEARCH('PLANILLA DJ'!$X$3,$A36,1),""))</f>
        <v>1</v>
      </c>
      <c r="G36" s="207">
        <f>--ISNUMBER(IFERROR(SEARCH('PLANILLA DJ'!$X$4,$A36,1),""))</f>
        <v>1</v>
      </c>
      <c r="H36" s="207">
        <f>--ISNUMBER(IFERROR(SEARCH('PLANILLA DJ'!$X$5,$A36,1),""))</f>
        <v>1</v>
      </c>
      <c r="I36" s="207">
        <f>--ISNUMBER(IFERROR(SEARCH('PLANILLA DJ'!$X$6,$A36,1),""))</f>
        <v>1</v>
      </c>
      <c r="J36" s="207">
        <f>--ISNUMBER(IFERROR(SEARCH('PLANILLA DJ'!$X$7,$A36,1),""))</f>
        <v>1</v>
      </c>
      <c r="K36" s="207">
        <f>--ISNUMBER(IFERROR(SEARCH('PLANILLA DJ'!$X$8,$A36,1),""))</f>
        <v>1</v>
      </c>
      <c r="L36" s="207">
        <f>--ISNUMBER(IFERROR(SEARCH('PLANILLA DJ'!$X$9,$A36,1),""))</f>
        <v>1</v>
      </c>
      <c r="M36" s="207">
        <f>--ISNUMBER(IFERROR(SEARCH('PLANILLA DJ'!$X$10,$A36,1),""))</f>
        <v>1</v>
      </c>
      <c r="N36" s="207">
        <f>--ISNUMBER(IFERROR(SEARCH('PLANILLA DJ'!$X$11,$A36,1),""))</f>
        <v>1</v>
      </c>
      <c r="O36" s="207">
        <f>--ISNUMBER(IFERROR(SEARCH('PLANILLA DJ'!$X$12,$A36,1),""))</f>
        <v>1</v>
      </c>
      <c r="P36" s="207">
        <f>--ISNUMBER(IFERROR(SEARCH('PLANILLA DJ'!$X$13,$A36,1),""))</f>
        <v>1</v>
      </c>
      <c r="Q36" s="207">
        <f>--ISNUMBER(IFERROR(SEARCH('PLANILLA DJ'!$X$14,$A36,1),""))</f>
        <v>1</v>
      </c>
      <c r="R36" s="207">
        <f>--ISNUMBER(IFERROR(SEARCH('PLANILLA DJ'!$X$15,$A36,1),""))</f>
        <v>1</v>
      </c>
      <c r="S36" s="207">
        <f>--ISNUMBER(IFERROR(SEARCH('PLANILLA DJ'!$X$16,$A36,1),""))</f>
        <v>1</v>
      </c>
      <c r="T36" s="207">
        <f>--ISNUMBER(IFERROR(SEARCH('PLANILLA DJ'!$X$17,$A36,1),""))</f>
        <v>1</v>
      </c>
      <c r="U36" s="207">
        <f>--ISNUMBER(IFERROR(SEARCH('PLANILLA DJ'!$X$18,$A36,1),""))</f>
        <v>1</v>
      </c>
      <c r="V36" s="207">
        <f>--ISNUMBER(IFERROR(SEARCH('PLANILLA DJ'!$X$19,$A36,1),""))</f>
        <v>1</v>
      </c>
      <c r="W36" s="207">
        <f>--ISNUMBER(IFERROR(SEARCH('PLANILLA DJ'!$X$20,$A36,1),""))</f>
        <v>1</v>
      </c>
      <c r="X36" s="207">
        <f>--ISNUMBER(IFERROR(SEARCH('PLANILLA DJ'!$X$21,$A36,1),""))</f>
        <v>1</v>
      </c>
      <c r="Y36" s="207">
        <f>--ISNUMBER(IFERROR(SEARCH('PLANILLA DJ'!$X$22,$A36,1),""))</f>
        <v>1</v>
      </c>
      <c r="Z36" s="207">
        <f>--ISNUMBER(IFERROR(SEARCH('PLANILLA DJ'!$X$23,$A36,1),""))</f>
        <v>1</v>
      </c>
      <c r="AA36" s="207">
        <f>--ISNUMBER(IFERROR(SEARCH('PLANILLA DJ'!$X$24,$A36,1),""))</f>
        <v>1</v>
      </c>
      <c r="AB36" s="207">
        <f>--ISNUMBER(IFERROR(SEARCH('PLANILLA DJ'!$X$25,$A36,1),""))</f>
        <v>1</v>
      </c>
      <c r="AC36" s="207">
        <f>--ISNUMBER(IFERROR(SEARCH('PLANILLA DJ'!$X$26,$A36,1),""))</f>
        <v>1</v>
      </c>
      <c r="AD36" s="207">
        <f>--ISNUMBER(IFERROR(SEARCH('PLANILLA DJ'!$X$27,$A36,1),""))</f>
        <v>1</v>
      </c>
      <c r="AE36" s="207">
        <f>--ISNUMBER(IFERROR(SEARCH('PLANILLA DJ'!$X$28,$A36,1),""))</f>
        <v>1</v>
      </c>
      <c r="AF36" s="207">
        <f>--ISNUMBER(IFERROR(SEARCH('PLANILLA DJ'!$X$29,$A36,1),""))</f>
        <v>1</v>
      </c>
      <c r="AG36" s="207">
        <f>--ISNUMBER(IFERROR(SEARCH('PLANILLA DJ'!$X$30,$A36,1),""))</f>
        <v>1</v>
      </c>
      <c r="AH36" s="207">
        <f>--ISNUMBER(IFERROR(SEARCH('PLANILLA DJ'!$X$31,$A36,1),""))</f>
        <v>1</v>
      </c>
      <c r="AI36" s="207">
        <f>--ISNUMBER(IFERROR(SEARCH('PLANILLA DJ'!$X$32,$A36,1),""))</f>
        <v>1</v>
      </c>
      <c r="AJ36" s="207">
        <f>--ISNUMBER(IFERROR(SEARCH('PLANILLA DJ'!$X$33,$A36,1),""))</f>
        <v>1</v>
      </c>
      <c r="AK36" s="207">
        <f>--ISNUMBER(IFERROR(SEARCH('PLANILLA DJ'!$X$34,$A36,1),""))</f>
        <v>1</v>
      </c>
      <c r="AL36" s="207">
        <f>--ISNUMBER(IFERROR(SEARCH('PLANILLA DJ'!$X$35,$A36,1),""))</f>
        <v>1</v>
      </c>
      <c r="AM36" s="207">
        <f>--ISNUMBER(IFERROR(SEARCH('PLANILLA DJ'!$X$36,$A36,1),""))</f>
        <v>1</v>
      </c>
      <c r="AN36" s="207">
        <f>--ISNUMBER(IFERROR(SEARCH('PLANILLA DJ'!$X$37,$A36,1),""))</f>
        <v>1</v>
      </c>
      <c r="AO36" s="207">
        <f>--ISNUMBER(IFERROR(SEARCH('PLANILLA DJ'!$X$38,$A36,1),""))</f>
        <v>1</v>
      </c>
      <c r="AP36" s="207">
        <f>--ISNUMBER(IFERROR(SEARCH('PLANILLA DJ'!$X$39,$A36,1),""))</f>
        <v>1</v>
      </c>
      <c r="AQ36" s="207">
        <f>--ISNUMBER(IFERROR(SEARCH('PLANILLA DJ'!$X$40,$A36,1),""))</f>
        <v>1</v>
      </c>
      <c r="AR36" s="207">
        <f>--ISNUMBER(IFERROR(SEARCH('PLANILLA DJ'!$X$41,$A36,1),""))</f>
        <v>1</v>
      </c>
      <c r="AS36" s="207">
        <f>--ISNUMBER(IFERROR(SEARCH('PLANILLA DJ'!$X$42,$A36,1),""))</f>
        <v>1</v>
      </c>
      <c r="AT36" s="207">
        <f>--ISNUMBER(IFERROR(SEARCH('PLANILLA DJ'!$X$43,$A36,1),""))</f>
        <v>1</v>
      </c>
      <c r="AU36" s="207">
        <f>--ISNUMBER(IFERROR(SEARCH('PLANILLA DJ'!$X$44,$A36,1),""))</f>
        <v>1</v>
      </c>
      <c r="AV36" s="207">
        <f>--ISNUMBER(IFERROR(SEARCH('PLANILLA DJ'!$X$45,$A36,1),""))</f>
        <v>1</v>
      </c>
      <c r="AW36" s="207">
        <f>--ISNUMBER(IFERROR(SEARCH('PLANILLA DJ'!$X$46,$A36,1),""))</f>
        <v>1</v>
      </c>
      <c r="AX36" s="207">
        <f>--ISNUMBER(IFERROR(SEARCH('PLANILLA DJ'!$X$47,$A36,1),""))</f>
        <v>1</v>
      </c>
      <c r="AY36" s="207">
        <f>--ISNUMBER(IFERROR(SEARCH('PLANILLA DJ'!$X$48,$A36,1),""))</f>
        <v>1</v>
      </c>
      <c r="AZ36" s="207">
        <f>--ISNUMBER(IFERROR(SEARCH('PLANILLA DJ'!$X$49,$A36,1),""))</f>
        <v>1</v>
      </c>
      <c r="BA36" s="207">
        <f>--ISNUMBER(IFERROR(SEARCH('PLANILLA DJ'!$X$50,$A36,1),""))</f>
        <v>1</v>
      </c>
      <c r="BB36" s="207">
        <f>--ISNUMBER(IFERROR(SEARCH('PLANILLA DJ'!$X$51,$A36,1),""))</f>
        <v>1</v>
      </c>
      <c r="BC36" s="207">
        <f>--ISNUMBER(IFERROR(SEARCH('PLANILLA DJ'!$X$52,$A36,1),""))</f>
        <v>1</v>
      </c>
      <c r="BD36" s="207">
        <f>--ISNUMBER(IFERROR(SEARCH('PLANILLA DJ'!$X$53,$A36,1),""))</f>
        <v>1</v>
      </c>
      <c r="BE36" s="207">
        <f>--ISNUMBER(IFERROR(SEARCH('PLANILLA DJ'!$X$54,$A36,1),""))</f>
        <v>1</v>
      </c>
      <c r="BF36" s="207">
        <f>--ISNUMBER(IFERROR(SEARCH('PLANILLA DJ'!$X$55,$A36,1),""))</f>
        <v>1</v>
      </c>
      <c r="BG36" s="207">
        <f>--ISNUMBER(IFERROR(SEARCH('PLANILLA DJ'!$X$56,$A36,1),""))</f>
        <v>1</v>
      </c>
      <c r="BH36" s="207">
        <f>--ISNUMBER(IFERROR(SEARCH('PLANILLA DJ'!$X$57,$A36,1),""))</f>
        <v>1</v>
      </c>
      <c r="BI36" s="207">
        <f>--ISNUMBER(IFERROR(SEARCH('PLANILLA DJ'!$X$58,$A36,1),""))</f>
        <v>1</v>
      </c>
      <c r="BJ36" s="207">
        <f>--ISNUMBER(IFERROR(SEARCH('PLANILLA DJ'!$X$59,$A36,1),""))</f>
        <v>1</v>
      </c>
      <c r="BK36" s="207">
        <f>--ISNUMBER(IFERROR(SEARCH('PLANILLA DJ'!$X$60,$A36,1),""))</f>
        <v>1</v>
      </c>
      <c r="BL36" s="207">
        <f>--ISNUMBER(IFERROR(SEARCH('PLANILLA DJ'!$X$61,$A36,1),""))</f>
        <v>1</v>
      </c>
      <c r="BM36" s="207">
        <f>--ISNUMBER(IFERROR(SEARCH('PLANILLA DJ'!$X$62,$A36,1),""))</f>
        <v>1</v>
      </c>
      <c r="BN36" s="207">
        <f>--ISNUMBER(IFERROR(SEARCH('PLANILLA DJ'!$X$63,$A36,1),""))</f>
        <v>1</v>
      </c>
      <c r="BO36" s="207">
        <f>--ISNUMBER(IFERROR(SEARCH('PLANILLA DJ'!$X$64,$A36,1),""))</f>
        <v>1</v>
      </c>
      <c r="BP36" s="207">
        <f>--ISNUMBER(IFERROR(SEARCH('PLANILLA DJ'!$X$65,$A36,1),""))</f>
        <v>1</v>
      </c>
      <c r="BQ36" s="207">
        <f>--ISNUMBER(IFERROR(SEARCH('PLANILLA DJ'!$X$66,$A36,1),""))</f>
        <v>1</v>
      </c>
      <c r="BR36" s="207">
        <f>--ISNUMBER(IFERROR(SEARCH('PLANILLA DJ'!$X$67,$A36,1),""))</f>
        <v>1</v>
      </c>
      <c r="BS36" s="207">
        <f>--ISNUMBER(IFERROR(SEARCH('PLANILLA DJ'!$X$68,$A36,1),""))</f>
        <v>1</v>
      </c>
      <c r="BT36" s="207">
        <f>--ISNUMBER(IFERROR(SEARCH('PLANILLA DJ'!$X$69,$A36,1),""))</f>
        <v>1</v>
      </c>
      <c r="BU36" s="207">
        <f>--ISNUMBER(IFERROR(SEARCH('PLANILLA DJ'!$X$70,$A36,1),""))</f>
        <v>1</v>
      </c>
      <c r="BV36" s="207">
        <f>--ISNUMBER(IFERROR(SEARCH('PLANILLA DJ'!$X$71,$A36,1),""))</f>
        <v>1</v>
      </c>
      <c r="BW36" s="207">
        <f>--ISNUMBER(IFERROR(SEARCH('PLANILLA DJ'!$X$72,$A36,1),""))</f>
        <v>1</v>
      </c>
      <c r="BX36" s="207">
        <f>--ISNUMBER(IFERROR(SEARCH('PLANILLA DJ'!$X$73,$A36,1),""))</f>
        <v>1</v>
      </c>
      <c r="BY36" s="207">
        <f>--ISNUMBER(IFERROR(SEARCH('PLANILLA DJ'!$X$74,$A36,1),""))</f>
        <v>1</v>
      </c>
      <c r="BZ36" s="207">
        <f>--ISNUMBER(IFERROR(SEARCH('PLANILLA DJ'!$X$75,$A36,1),""))</f>
        <v>1</v>
      </c>
      <c r="CA36" s="207">
        <f>--ISNUMBER(IFERROR(SEARCH('PLANILLA DJ'!$X$76,$A36,1),""))</f>
        <v>1</v>
      </c>
      <c r="CB36" s="207">
        <f>--ISNUMBER(IFERROR(SEARCH('PLANILLA DJ'!$X$77,$A36,1),""))</f>
        <v>1</v>
      </c>
      <c r="CC36" s="207">
        <f>--ISNUMBER(IFERROR(SEARCH('PLANILLA DJ'!$X$78,$A36,1),""))</f>
        <v>1</v>
      </c>
      <c r="CD36" s="207">
        <f>--ISNUMBER(IFERROR(SEARCH('PLANILLA DJ'!$X$79,$A36,1),""))</f>
        <v>1</v>
      </c>
      <c r="CE36" s="207">
        <f>--ISNUMBER(IFERROR(SEARCH('PLANILLA DJ'!$X$80,$A36,1),""))</f>
        <v>1</v>
      </c>
      <c r="CF36" s="207">
        <f>--ISNUMBER(IFERROR(SEARCH('PLANILLA DJ'!$X$81,$A36,1),""))</f>
        <v>1</v>
      </c>
      <c r="CG36" s="207">
        <f>--ISNUMBER(IFERROR(SEARCH('PLANILLA DJ'!$X$82,$A36,1),""))</f>
        <v>1</v>
      </c>
      <c r="CH36" s="207">
        <f>--ISNUMBER(IFERROR(SEARCH('PLANILLA DJ'!$X$83,$A36,1),""))</f>
        <v>1</v>
      </c>
      <c r="CI36" s="207">
        <f>--ISNUMBER(IFERROR(SEARCH('PLANILLA DJ'!$X$84,$A36,1),""))</f>
        <v>1</v>
      </c>
      <c r="CJ36" s="207">
        <f>--ISNUMBER(IFERROR(SEARCH('PLANILLA DJ'!$X$85,$A36,1),""))</f>
        <v>1</v>
      </c>
      <c r="CK36" s="207">
        <f>--ISNUMBER(IFERROR(SEARCH('PLANILLA DJ'!$X$86,$A36,1),""))</f>
        <v>1</v>
      </c>
      <c r="CL36" s="207">
        <f>--ISNUMBER(IFERROR(SEARCH('PLANILLA DJ'!$X$87,$A36,1),""))</f>
        <v>1</v>
      </c>
      <c r="CM36" s="207">
        <f>--ISNUMBER(IFERROR(SEARCH('PLANILLA DJ'!$X$88,$A36,1),""))</f>
        <v>1</v>
      </c>
      <c r="CN36" s="207">
        <f>--ISNUMBER(IFERROR(SEARCH('PLANILLA DJ'!$X$89,$A36,1),""))</f>
        <v>1</v>
      </c>
      <c r="CO36" s="207">
        <f>--ISNUMBER(IFERROR(SEARCH('PLANILLA DJ'!$X$90,$A36,1),""))</f>
        <v>1</v>
      </c>
      <c r="CP36" s="207">
        <f>--ISNUMBER(IFERROR(SEARCH('PLANILLA DJ'!$X$91,$A36,1),""))</f>
        <v>1</v>
      </c>
      <c r="CQ36" s="207">
        <f>--ISNUMBER(IFERROR(SEARCH('PLANILLA DJ'!$X$92,$A36,1),""))</f>
        <v>1</v>
      </c>
      <c r="CR36" s="207">
        <f>--ISNUMBER(IFERROR(SEARCH('PLANILLA DJ'!$X$93,$A36,1),""))</f>
        <v>1</v>
      </c>
      <c r="CS36" s="207">
        <f>--ISNUMBER(IFERROR(SEARCH('PLANILLA DJ'!$X$94,$A36,1),""))</f>
        <v>1</v>
      </c>
      <c r="CT36" s="207">
        <f>--ISNUMBER(IFERROR(SEARCH('PLANILLA DJ'!$X$95,$A36,1),""))</f>
        <v>1</v>
      </c>
      <c r="CU36" s="207">
        <f>--ISNUMBER(IFERROR(SEARCH('PLANILLA DJ'!$X$96,$A36,1),""))</f>
        <v>1</v>
      </c>
      <c r="CV36" s="207">
        <f>--ISNUMBER(IFERROR(SEARCH('PLANILLA DJ'!$X$97,$A36,1),""))</f>
        <v>1</v>
      </c>
      <c r="CW36" s="207">
        <f>--ISNUMBER(IFERROR(SEARCH('PLANILLA DJ'!$X$98,$A36,1),""))</f>
        <v>1</v>
      </c>
      <c r="CX36" s="207">
        <f>--ISNUMBER(IFERROR(SEARCH('PLANILLA DJ'!$X$99,$A36,1),""))</f>
        <v>1</v>
      </c>
      <c r="CY36" s="207">
        <f>--ISNUMBER(IFERROR(SEARCH('PLANILLA DJ'!$X$100,$A36,1),""))</f>
        <v>1</v>
      </c>
      <c r="CZ36" s="207">
        <f>--ISNUMBER(IFERROR(SEARCH('PLANILLA DJ'!$X$101,$A36,1),""))</f>
        <v>1</v>
      </c>
      <c r="DA36" s="207">
        <f>--ISNUMBER(IFERROR(SEARCH('PLANILLA DJ'!$X$102,$A36,1),""))</f>
        <v>1</v>
      </c>
      <c r="DB36" s="206">
        <f>IF(F36=1,COUNTIF($F$2:F36,1),"")</f>
        <v>35</v>
      </c>
      <c r="DC36" s="206">
        <f>IF(G36=1,COUNTIF($G$2:G36,1),"")</f>
        <v>35</v>
      </c>
      <c r="DD36" s="206">
        <f>IF(H36=1,COUNTIF($H$2:H36,1),"")</f>
        <v>35</v>
      </c>
      <c r="DE36" s="206">
        <f>IF(I36=1,COUNTIF($I$2:I36,1),"")</f>
        <v>35</v>
      </c>
      <c r="DF36" s="206">
        <f>IF(J36=1,COUNTIF($J$2:J36,1),"")</f>
        <v>35</v>
      </c>
      <c r="DG36" s="206">
        <f>IF(K36=1,COUNTIF($K$2:K36,1),"")</f>
        <v>35</v>
      </c>
      <c r="DH36" s="206">
        <f>IF(L36=1,COUNTIF($L$2:L36,1),"")</f>
        <v>35</v>
      </c>
      <c r="DI36" s="206">
        <f>IF(M36=1,COUNTIF($M$2:M36,1),"")</f>
        <v>35</v>
      </c>
      <c r="DJ36" s="206">
        <f>IF(N36=1,COUNTIF($N$2:N36,1),"")</f>
        <v>35</v>
      </c>
      <c r="DK36" s="206">
        <f>IF(O36=1,COUNTIF($O$2:O36,1),"")</f>
        <v>35</v>
      </c>
      <c r="DL36" s="206">
        <f>IF(P36=1,COUNTIF($P$2:P36,1),"")</f>
        <v>35</v>
      </c>
      <c r="DM36" s="206">
        <f>IF(Q36=1,COUNTIF($Q$2:Q36,1),"")</f>
        <v>35</v>
      </c>
      <c r="DN36" s="207">
        <f>IF(R36=1,COUNTIF($R$2:R36,1),"")</f>
        <v>35</v>
      </c>
      <c r="DO36" s="207">
        <f>IF(S36=1,COUNTIF($S$2:S36,1),"")</f>
        <v>35</v>
      </c>
      <c r="DP36" s="207">
        <f>IF(T36=1,COUNTIF($T$2:T36,1),"")</f>
        <v>35</v>
      </c>
      <c r="DQ36" s="207">
        <f>IF(U36=1,COUNTIF($U$2:U36,1),"")</f>
        <v>35</v>
      </c>
      <c r="DR36" s="207">
        <f>IF(V36=1,COUNTIF($V$2:V36,1),"")</f>
        <v>35</v>
      </c>
      <c r="DS36" s="207">
        <f>IF(W36=1,COUNTIF($W$2:W36,1),"")</f>
        <v>35</v>
      </c>
      <c r="DT36" s="207">
        <f>IF(X36=1,COUNTIF($X$2:X36,1),"")</f>
        <v>35</v>
      </c>
      <c r="DU36" s="207">
        <f>IF(Y36=1,COUNTIF($Y$2:Y36,1),"")</f>
        <v>35</v>
      </c>
      <c r="DV36" s="207">
        <f>IF(Z36=1,COUNTIF(Z$2:Z36,1),"")</f>
        <v>35</v>
      </c>
      <c r="DW36" s="207">
        <f>IF(AA36=1,COUNTIF($AA$2:AA36,1),"")</f>
        <v>35</v>
      </c>
      <c r="DX36" s="207">
        <f>IF(AB36=1,COUNTIF($AB$2:AB36,1),"")</f>
        <v>35</v>
      </c>
      <c r="DY36" s="207">
        <f>IF(AC36=1,COUNTIF($AC$2:AC36,1),"")</f>
        <v>35</v>
      </c>
      <c r="DZ36" s="207">
        <f>IF(AD36=1,COUNTIF($AD$2:AD36,1),"")</f>
        <v>35</v>
      </c>
      <c r="EA36" s="207">
        <f>IF(AE36=1,COUNTIF($AE$2:AE36,1),"")</f>
        <v>35</v>
      </c>
      <c r="EB36" s="207">
        <f>IF(AF36=1,COUNTIF($AF$2:AF36,1),"")</f>
        <v>35</v>
      </c>
      <c r="EC36" s="207">
        <f>IF(AG36=1,COUNTIF($AG$2:AG36,1),"")</f>
        <v>35</v>
      </c>
      <c r="ED36" s="207">
        <f>IF(AH36=1,COUNTIF($AH$2:AH36,1),"")</f>
        <v>35</v>
      </c>
      <c r="EE36" s="207">
        <f>IF(AI36=1,COUNTIF($AI$2:AI36,1),"")</f>
        <v>35</v>
      </c>
      <c r="EF36" s="207">
        <f>IF(AJ36=1,COUNTIF($AJ$2:AJ36,1),"")</f>
        <v>35</v>
      </c>
      <c r="EG36" s="207">
        <f>IF(AK36=1,COUNTIF($AK$2:AK36,1),"")</f>
        <v>35</v>
      </c>
      <c r="EH36" s="207">
        <f>IF(AL36=1,COUNTIF($AL$2:AL36,1),"")</f>
        <v>35</v>
      </c>
      <c r="EI36" s="207">
        <f>IF(AM36=1,COUNTIF($AM$2:AM36,1),"")</f>
        <v>35</v>
      </c>
      <c r="EJ36" s="207">
        <f>IF(AN36=1,COUNTIF($AN$2:AN36,1),"")</f>
        <v>35</v>
      </c>
      <c r="EK36" s="207">
        <f>IF(AO36=1,COUNTIF($AO$2:AO36,1),"")</f>
        <v>35</v>
      </c>
      <c r="EL36" s="207">
        <f>IF(AP36=1,COUNTIF($AP$2:AP36,1),"")</f>
        <v>35</v>
      </c>
      <c r="EM36" s="207">
        <f>IF(AQ36=1,COUNTIF($AQ$2:AQ36,1),"")</f>
        <v>35</v>
      </c>
      <c r="EN36" s="207">
        <f>IF(AR36=1,COUNTIF($AR$2:AR36,1),"")</f>
        <v>35</v>
      </c>
      <c r="EO36" s="207">
        <f>IF(AS36=1,COUNTIF($AS$2:AS36,1),"")</f>
        <v>35</v>
      </c>
      <c r="EP36" s="207">
        <f>IF(AT36=1,COUNTIF($AT$2:AT36,1),"")</f>
        <v>35</v>
      </c>
      <c r="EQ36" s="207">
        <f>IF(AU36=1,COUNTIF($AU$2:AU36,1),"")</f>
        <v>35</v>
      </c>
      <c r="ER36" s="207">
        <f>IF(AV36=1,COUNTIF($AV$2:AV36,1),"")</f>
        <v>35</v>
      </c>
      <c r="ES36" s="207">
        <f>IF(AW36=1,COUNTIF($AW$2:AW36,1),"")</f>
        <v>35</v>
      </c>
      <c r="ET36" s="207">
        <f>IF(AX36=1,COUNTIF($AX$2:AX36,1),"")</f>
        <v>35</v>
      </c>
      <c r="EU36" s="207">
        <f>IF(AY36=1,COUNTIF($AY$2:AY36,1),"")</f>
        <v>35</v>
      </c>
      <c r="EV36" s="207">
        <f>IF(AZ36=1,COUNTIF($AZ$2:AZ36,1),"")</f>
        <v>35</v>
      </c>
      <c r="EW36" s="207">
        <f>IF(BA36=1,COUNTIF($BA$2:BA36,1),"")</f>
        <v>35</v>
      </c>
      <c r="EX36" s="207">
        <f>IF(BB36=1,COUNTIF($BB$2:BB36,1),"")</f>
        <v>35</v>
      </c>
      <c r="EY36" s="207">
        <f>IF(BC36=1,COUNTIF($BC$2:BC36,1),"")</f>
        <v>35</v>
      </c>
      <c r="EZ36" s="207">
        <f>IF(BD36=1,COUNTIF($BD$2:BD36,1),"")</f>
        <v>35</v>
      </c>
      <c r="FA36" s="207">
        <f>IF(BE36=1,COUNTIF($BE$2:BE36,1),"")</f>
        <v>35</v>
      </c>
      <c r="FB36" s="207">
        <f>IF(BF36=1,COUNTIF($BF$2:BF36,1),"")</f>
        <v>35</v>
      </c>
      <c r="FC36" s="207">
        <f>IF(BG36=1,COUNTIF($BG$2:BG36,1),"")</f>
        <v>35</v>
      </c>
      <c r="FD36" s="207">
        <f>IF(BH36=1,COUNTIF($BH$2:BH36,1),"")</f>
        <v>35</v>
      </c>
      <c r="FE36" s="207">
        <f>IF(BI36=1,COUNTIF($BI$2:BI36,1),"")</f>
        <v>35</v>
      </c>
      <c r="FF36" s="207">
        <f>IF(BJ36=1,COUNTIF($BJ$2:BJ36,1),"")</f>
        <v>35</v>
      </c>
      <c r="FG36" s="207">
        <f>IF(BK36=1,COUNTIF($BK$2:BK36,1),"")</f>
        <v>35</v>
      </c>
      <c r="FH36" s="207">
        <f>IF(BL36=1,COUNTIF($BL$2:BL36,1),"")</f>
        <v>35</v>
      </c>
      <c r="FI36" s="207">
        <f>IF(BM36=1,COUNTIF($BM$2:BM36,1),"")</f>
        <v>35</v>
      </c>
      <c r="FJ36" s="207">
        <f>IF(BN36=1,COUNTIF($BN$2:BN36,1),"")</f>
        <v>35</v>
      </c>
      <c r="FK36" s="207">
        <f>IF(BO36=1,COUNTIF($BO$2:BO36,1),"")</f>
        <v>35</v>
      </c>
      <c r="FL36" s="207">
        <f>IF(BP36=1,COUNTIF($BP$2:BP36,1),"")</f>
        <v>35</v>
      </c>
      <c r="FM36" s="207">
        <f>IF(BQ36=1,COUNTIF($BQ$2:BQ36,1),"")</f>
        <v>35</v>
      </c>
      <c r="FN36" s="207">
        <f>IF(BR36=1,COUNTIF($BR$2:BR36,1),"")</f>
        <v>35</v>
      </c>
      <c r="FO36" s="207">
        <f>IF(BS36=1,COUNTIF($BS$2:BS36,1),"")</f>
        <v>35</v>
      </c>
      <c r="FP36" s="207">
        <f>IF(BT36=1,COUNTIF($BT$2:BT36,1),"")</f>
        <v>35</v>
      </c>
      <c r="FQ36" s="207">
        <f>IF(BU36=1,COUNTIF($BU$2:BU36,1),"")</f>
        <v>35</v>
      </c>
      <c r="FR36" s="207">
        <f>IF(BV36=1,COUNTIF($BV$2:BV36,1),"")</f>
        <v>35</v>
      </c>
      <c r="FS36" s="207">
        <f>IF(BW36=1,COUNTIF($BW$2:BW36,1),"")</f>
        <v>35</v>
      </c>
      <c r="FT36" s="207">
        <f>IF(BX36=1,COUNTIF($BX$2:BX36,1),"")</f>
        <v>35</v>
      </c>
      <c r="FU36" s="207">
        <f>IF(BY36=1,COUNTIF($BY$2:BY36,1),"")</f>
        <v>35</v>
      </c>
      <c r="FV36" s="207">
        <f>IF(BZ36=1,COUNTIF($BZ$2:BZ36,1),"")</f>
        <v>35</v>
      </c>
      <c r="FW36" s="207">
        <f>IF(CA36=1,COUNTIF($CA$2:CA36,1),"")</f>
        <v>35</v>
      </c>
      <c r="FX36" s="207">
        <f>IF(CB36=1,COUNTIF($CB$2:CB36,1),"")</f>
        <v>35</v>
      </c>
      <c r="FY36" s="207">
        <f>IF(CC36=1,COUNTIF($CC$2:CC36,1),"")</f>
        <v>35</v>
      </c>
      <c r="FZ36" s="207">
        <f>IF(CD36=1,COUNTIF($CD$2:CD36,1),"")</f>
        <v>35</v>
      </c>
      <c r="GA36" s="207">
        <f>IF(CE36=1,COUNTIF($CE$2:CE36,1),"")</f>
        <v>35</v>
      </c>
      <c r="GB36" s="207">
        <f>IF(CF36=1,COUNTIF($CF$2:CF36,1),"")</f>
        <v>35</v>
      </c>
      <c r="GC36" s="207">
        <f>IF(CG36=1,COUNTIF($CG$2:CG36,1),"")</f>
        <v>35</v>
      </c>
      <c r="GD36" s="207">
        <f>IF(CH36=1,COUNTIF($CH$2:CH36,1),"")</f>
        <v>35</v>
      </c>
      <c r="GE36" s="207">
        <f>IF(CI36=1,COUNTIF($CI$2:CI36,1),"")</f>
        <v>35</v>
      </c>
      <c r="GF36" s="207">
        <f>IF(CJ36=1,COUNTIF($CJ$2:CJ36,1),"")</f>
        <v>35</v>
      </c>
      <c r="GG36" s="207">
        <f>IF(CK36=1,COUNTIF($CK$2:CK36,1),"")</f>
        <v>35</v>
      </c>
      <c r="GH36" s="207">
        <f>IF(CL36=1,COUNTIF($CL$2:CL36,1),"")</f>
        <v>35</v>
      </c>
      <c r="GI36" s="207">
        <f>IF(CM36=1,COUNTIF($CM$2:CM36,1),"")</f>
        <v>35</v>
      </c>
      <c r="GJ36" s="207">
        <f>IF(CN36=1,COUNTIF($CN$2:CN36,1),"")</f>
        <v>35</v>
      </c>
      <c r="GK36" s="207">
        <f>IF(CO36=1,COUNTIF($CO$2:CO36,1),"")</f>
        <v>35</v>
      </c>
      <c r="GL36" s="207">
        <f>IF(CP36=1,COUNTIF($CP$2:CP36,1),"")</f>
        <v>35</v>
      </c>
      <c r="GM36" s="207">
        <f>IF(CQ36=1,COUNTIF($CQ$2:CQ36,1),"")</f>
        <v>35</v>
      </c>
      <c r="GN36" s="207">
        <f>IF(CR36=1,COUNTIF($CR$2:CR36,1),"")</f>
        <v>35</v>
      </c>
      <c r="GO36" s="207">
        <f>IF(CS36=1,COUNTIF($CS$2:CS36,1),"")</f>
        <v>35</v>
      </c>
      <c r="GP36" s="207">
        <f>IF(CT36=1,COUNTIF($CT$2:CT36,1),"")</f>
        <v>35</v>
      </c>
      <c r="GQ36" s="207">
        <f>IF(CU36=1,COUNTIF($CU$2:CU36,1),"")</f>
        <v>35</v>
      </c>
      <c r="GR36" s="207">
        <f>IF(CV36=1,COUNTIF($CV$2:CV36,1),"")</f>
        <v>35</v>
      </c>
      <c r="GS36" s="207">
        <f>IF(CW36=1,COUNTIF($CW$2:CW36,1),"")</f>
        <v>35</v>
      </c>
      <c r="GT36" s="207">
        <f>IF(CX36=1,COUNTIF($CX$2:CX36,1),"")</f>
        <v>35</v>
      </c>
      <c r="GU36" s="207">
        <f>IF(CY36=1,COUNTIF($CY$2:CY36,1),"")</f>
        <v>35</v>
      </c>
      <c r="GV36" s="207">
        <f>IF(CZ36=1,COUNTIF($CZ$2:CZ36,1),"")</f>
        <v>35</v>
      </c>
      <c r="GW36" s="207">
        <f>IF(DA36=1,COUNTIF($DA$2:DA36,1),"")</f>
        <v>35</v>
      </c>
      <c r="GX36" s="206" t="str">
        <f>IFERROR(INDEX($A$2:$A$113,MATCH(ROWS($DB$2:DB36),$DB$2:$DB$113,0)),"")</f>
        <v xml:space="preserve">OTROS DELITOS CONTRA LA LIBERTAD INDIVIDUAL </v>
      </c>
      <c r="GY36" s="206" t="str">
        <f>IFERROR(INDEX($A$2:$A$113,MATCH(ROWS($DC$2:DC36),$DC$2:$DC$113,0)),"")</f>
        <v xml:space="preserve">OTROS DELITOS CONTRA LA LIBERTAD INDIVIDUAL </v>
      </c>
      <c r="GZ36" s="206" t="str">
        <f>IFERROR(INDEX($A$2:$A$113,MATCH(ROWS($DD$2:DD36),$DD$2:$DD$113,0)),"")</f>
        <v xml:space="preserve">OTROS DELITOS CONTRA LA LIBERTAD INDIVIDUAL </v>
      </c>
      <c r="HA36" s="206" t="str">
        <f>IFERROR(INDEX($A$2:$A$113,MATCH(ROWS($DE$2:DE36),$DE$2:$DE$113,0)),"")</f>
        <v xml:space="preserve">OTROS DELITOS CONTRA LA LIBERTAD INDIVIDUAL </v>
      </c>
      <c r="HB36" s="206" t="str">
        <f>IFERROR(INDEX($A$2:$A$113,MATCH(ROWS($DF$2:DF36),$DF$2:$DF$113,0)),"")</f>
        <v xml:space="preserve">OTROS DELITOS CONTRA LA LIBERTAD INDIVIDUAL </v>
      </c>
      <c r="HC36" s="206" t="str">
        <f>IFERROR(INDEX($A$2:$A$113,MATCH(ROWS($DG$2:DG36),$DG$2:$DG$113,0)),"")</f>
        <v xml:space="preserve">OTROS DELITOS CONTRA LA LIBERTAD INDIVIDUAL </v>
      </c>
      <c r="HD36" s="206" t="str">
        <f>IFERROR(INDEX($A$2:$A$113,MATCH(ROWS($DH$2:DH36),$DH$2:$DH$113,0)),"")</f>
        <v xml:space="preserve">OTROS DELITOS CONTRA LA LIBERTAD INDIVIDUAL </v>
      </c>
      <c r="HE36" s="206" t="str">
        <f>IFERROR(INDEX($A$2:$A$113,MATCH(ROWS($DI$2:DI36),$DI$2:$DI$113,0)),"")</f>
        <v xml:space="preserve">OTROS DELITOS CONTRA LA LIBERTAD INDIVIDUAL </v>
      </c>
      <c r="HF36" s="206" t="str">
        <f>IFERROR(INDEX($A$2:$A$113,MATCH(ROWS($DJ$2:DJ36),$DJ$2:$DJ$113,0)),"")</f>
        <v xml:space="preserve">OTROS DELITOS CONTRA LA LIBERTAD INDIVIDUAL </v>
      </c>
      <c r="HG36" s="206" t="str">
        <f>IFERROR(INDEX($A$2:$A$113,MATCH(ROWS($DK$2:DK36),$DK$2:$DK$113,0)),"")</f>
        <v xml:space="preserve">OTROS DELITOS CONTRA LA LIBERTAD INDIVIDUAL </v>
      </c>
      <c r="HH36" s="206" t="str">
        <f>IFERROR(INDEX($A$2:$A$113,MATCH(ROWS($DL$2:DL36),$DL$2:$DL$113,0)),"")</f>
        <v xml:space="preserve">OTROS DELITOS CONTRA LA LIBERTAD INDIVIDUAL </v>
      </c>
      <c r="HI36" s="206" t="str">
        <f>IFERROR(INDEX($A$2:$A$113,MATCH(ROWS($DM$2:DM36),$DM$2:$DM$113,0)),"")</f>
        <v xml:space="preserve">OTROS DELITOS CONTRA LA LIBERTAD INDIVIDUAL </v>
      </c>
      <c r="HJ36" s="206" t="str">
        <f>IFERROR(INDEX($A$2:$A$113,MATCH(ROWS($DN$2:DN36),$DN$2:$DN$113,0)),"")</f>
        <v xml:space="preserve">OTROS DELITOS CONTRA LA LIBERTAD INDIVIDUAL </v>
      </c>
      <c r="HK36" s="206" t="str">
        <f>IFERROR(INDEX($A$2:$A$113,MATCH(ROWS($DO$2:DO36),$DO$2:$DO$113,0)),"")</f>
        <v xml:space="preserve">OTROS DELITOS CONTRA LA LIBERTAD INDIVIDUAL </v>
      </c>
      <c r="HL36" s="206" t="str">
        <f>IFERROR(INDEX($A$2:$A$113,MATCH(ROWS($DP$2:DP36),$DP$2:$DP$113,0)),"")</f>
        <v xml:space="preserve">OTROS DELITOS CONTRA LA LIBERTAD INDIVIDUAL </v>
      </c>
      <c r="HM36" s="206" t="str">
        <f>IFERROR(INDEX($A$2:$A$113,MATCH(ROWS($DQ$2:DQ36),$DQ$2:$DQ$113,0)),"")</f>
        <v xml:space="preserve">OTROS DELITOS CONTRA LA LIBERTAD INDIVIDUAL </v>
      </c>
      <c r="HN36" s="206" t="str">
        <f>IFERROR(INDEX($A$2:$A$113,MATCH(ROWS($DR$2:DR36),$DR$2:$DR$113,0)),"")</f>
        <v xml:space="preserve">OTROS DELITOS CONTRA LA LIBERTAD INDIVIDUAL </v>
      </c>
      <c r="HO36" s="206" t="str">
        <f>IFERROR(INDEX($A$2:$A$113,MATCH(ROWS($DS$2:DS36),$DS$2:$DS$113,0)),"")</f>
        <v xml:space="preserve">OTROS DELITOS CONTRA LA LIBERTAD INDIVIDUAL </v>
      </c>
      <c r="HP36" s="206" t="str">
        <f>IFERROR(INDEX($A$2:$A$113,MATCH(ROWS($DT$2:DT36),$DT$2:$DT$113,0)),"")</f>
        <v xml:space="preserve">OTROS DELITOS CONTRA LA LIBERTAD INDIVIDUAL </v>
      </c>
      <c r="HQ36" s="206" t="str">
        <f>IFERROR(INDEX($A$2:$A$113,MATCH(ROWS($DU$2:DU36),$DU$2:$DU$113,0)),"")</f>
        <v xml:space="preserve">OTROS DELITOS CONTRA LA LIBERTAD INDIVIDUAL </v>
      </c>
      <c r="HR36" s="206" t="str">
        <f>IFERROR(INDEX($A$2:$A$113,MATCH(ROWS($DV$2:DV36),$DV$2:$DV$113,0)),"")</f>
        <v xml:space="preserve">OTROS DELITOS CONTRA LA LIBERTAD INDIVIDUAL </v>
      </c>
      <c r="HS36" s="206" t="str">
        <f>IFERROR(INDEX($A$2:$A$113,MATCH(ROWS($DW$2:DW36),$DW$2:$DW$113,0)),"")</f>
        <v xml:space="preserve">OTROS DELITOS CONTRA LA LIBERTAD INDIVIDUAL </v>
      </c>
      <c r="HT36" s="206" t="str">
        <f>IFERROR(INDEX($A$2:$A$113,MATCH(ROWS($DX$2:DX36),$DX$2:$DX$113,0)),"")</f>
        <v xml:space="preserve">OTROS DELITOS CONTRA LA LIBERTAD INDIVIDUAL </v>
      </c>
      <c r="HU36" s="206" t="str">
        <f>IFERROR(INDEX($A$2:$A$113,MATCH(ROWS($DY$2:DY36),$DY$2:$DY$113,0)),"")</f>
        <v xml:space="preserve">OTROS DELITOS CONTRA LA LIBERTAD INDIVIDUAL </v>
      </c>
      <c r="HV36" s="206" t="str">
        <f>IFERROR(INDEX($A$2:$A$113,MATCH(ROWS($DZ$2:DZ36),$DZ$2:$DZ$113,0)),"")</f>
        <v xml:space="preserve">OTROS DELITOS CONTRA LA LIBERTAD INDIVIDUAL </v>
      </c>
      <c r="HW36" s="206" t="str">
        <f>IFERROR(INDEX($A$2:$A$113,MATCH(ROWS($EA$2:EA36),$EA$2:$EA$113,0)),"")</f>
        <v xml:space="preserve">OTROS DELITOS CONTRA LA LIBERTAD INDIVIDUAL </v>
      </c>
      <c r="HX36" s="206" t="str">
        <f>IFERROR(INDEX($A$2:$A$113,MATCH(ROWS($EB$2:EB36),$EB$2:$EB$113,0)),"")</f>
        <v xml:space="preserve">OTROS DELITOS CONTRA LA LIBERTAD INDIVIDUAL </v>
      </c>
      <c r="HY36" s="206" t="str">
        <f>IFERROR(INDEX($A$2:$A$113,MATCH(ROWS($EC$2:EC36),$EC$2:$EC$113,0)),"")</f>
        <v xml:space="preserve">OTROS DELITOS CONTRA LA LIBERTAD INDIVIDUAL </v>
      </c>
      <c r="HZ36" s="206" t="str">
        <f>IFERROR(INDEX($A$2:$A$113,MATCH(ROWS($ED$2:ED36),$ED$2:$ED$113,0)),"")</f>
        <v xml:space="preserve">OTROS DELITOS CONTRA LA LIBERTAD INDIVIDUAL </v>
      </c>
      <c r="IA36" s="206" t="str">
        <f>IFERROR(INDEX($A$2:$A$113,MATCH(ROWS($EE$2:EE36),$EE$2:$EE$113,0)),"")</f>
        <v xml:space="preserve">OTROS DELITOS CONTRA LA LIBERTAD INDIVIDUAL </v>
      </c>
      <c r="IB36" s="206" t="str">
        <f>IFERROR(INDEX($A$2:$A$113,MATCH(ROWS($EF$2:EF36),$EF$2:$EF$113,0)),"")</f>
        <v xml:space="preserve">OTROS DELITOS CONTRA LA LIBERTAD INDIVIDUAL </v>
      </c>
      <c r="IC36" s="206" t="str">
        <f>IFERROR(INDEX($A$2:$A$113,MATCH(ROWS($EG$2:EG36),$EG$2:$EG$113,0)),"")</f>
        <v xml:space="preserve">OTROS DELITOS CONTRA LA LIBERTAD INDIVIDUAL </v>
      </c>
      <c r="ID36" s="206" t="str">
        <f>IFERROR(INDEX($A$2:$A$113,MATCH(ROWS($EH$2:EH36),$EH$2:$EH$113,0)),"")</f>
        <v xml:space="preserve">OTROS DELITOS CONTRA LA LIBERTAD INDIVIDUAL </v>
      </c>
      <c r="IE36" s="206" t="str">
        <f>IFERROR(INDEX($A$2:$A$113,MATCH(ROWS($EI$2:EI36),$EI$2:$EI$113,0)),"")</f>
        <v xml:space="preserve">OTROS DELITOS CONTRA LA LIBERTAD INDIVIDUAL </v>
      </c>
      <c r="IF36" s="206" t="str">
        <f>IFERROR(INDEX($A$2:$A$113,MATCH(ROWS($EJ$2:EJ36),$EJ$2:$EJ$113,0)),"")</f>
        <v xml:space="preserve">OTROS DELITOS CONTRA LA LIBERTAD INDIVIDUAL </v>
      </c>
      <c r="IG36" s="206" t="str">
        <f>IFERROR(INDEX($A$2:$A$113,MATCH(ROWS($EK$2:EK36),$EK$2:$EK$113,0)),"")</f>
        <v xml:space="preserve">OTROS DELITOS CONTRA LA LIBERTAD INDIVIDUAL </v>
      </c>
      <c r="IH36" s="206" t="str">
        <f>IFERROR(INDEX($A$2:$A$113,MATCH(ROWS($EL$2:EL36),$EL$2:$EL$113,0)),"")</f>
        <v xml:space="preserve">OTROS DELITOS CONTRA LA LIBERTAD INDIVIDUAL </v>
      </c>
      <c r="II36" s="206" t="str">
        <f>IFERROR(INDEX($A$2:$A$113,MATCH(ROWS($EM$2:EM36),$EM$2:$EM$113,0)),"")</f>
        <v xml:space="preserve">OTROS DELITOS CONTRA LA LIBERTAD INDIVIDUAL </v>
      </c>
      <c r="IJ36" s="206" t="str">
        <f>IFERROR(INDEX($A$2:$A$113,MATCH(ROWS($EN$2:EN36),$EN$2:$EN$113,0)),"")</f>
        <v xml:space="preserve">OTROS DELITOS CONTRA LA LIBERTAD INDIVIDUAL </v>
      </c>
      <c r="IK36" s="207" t="str">
        <f>IFERROR(INDEX($A$2:$A$113,MATCH(ROWS($EO$2:EO36),$EO$2:$EO$113,0)),"")</f>
        <v xml:space="preserve">OTROS DELITOS CONTRA LA LIBERTAD INDIVIDUAL </v>
      </c>
      <c r="IL36" s="207" t="str">
        <f>IFERROR(INDEX($A$2:$A$113,MATCH(ROWS($EP$2:EP36),$EP$2:$EP$113,0)),"")</f>
        <v xml:space="preserve">OTROS DELITOS CONTRA LA LIBERTAD INDIVIDUAL </v>
      </c>
      <c r="IM36" s="207" t="str">
        <f>IFERROR(INDEX($A$2:$A$113,MATCH(ROWS($EQ$2:EQ36),$EQ$2:$EQ$113,0)),"")</f>
        <v xml:space="preserve">OTROS DELITOS CONTRA LA LIBERTAD INDIVIDUAL </v>
      </c>
      <c r="IN36" s="207" t="str">
        <f>IFERROR(INDEX($A$2:$A$113,MATCH(ROWS($ER$2:ER36),$ER$2:$ER$113,0)),"")</f>
        <v xml:space="preserve">OTROS DELITOS CONTRA LA LIBERTAD INDIVIDUAL </v>
      </c>
      <c r="IO36" s="207" t="str">
        <f>IFERROR(INDEX($A$2:$A$113,MATCH(ROWS($ES$2:ES36),$ES$2:$ES$113,0)),"")</f>
        <v xml:space="preserve">OTROS DELITOS CONTRA LA LIBERTAD INDIVIDUAL </v>
      </c>
      <c r="IP36" s="207" t="str">
        <f>IFERROR(INDEX($A$2:$A$113,MATCH(ROWS($ET$2:ET36),$ET$2:$ET$113,0)),"")</f>
        <v xml:space="preserve">OTROS DELITOS CONTRA LA LIBERTAD INDIVIDUAL </v>
      </c>
      <c r="IQ36" s="207" t="str">
        <f>IFERROR(INDEX($A$2:$A$113,MATCH(ROWS($EU$2:EU36),$EU$2:$EU$113,0)),"")</f>
        <v xml:space="preserve">OTROS DELITOS CONTRA LA LIBERTAD INDIVIDUAL </v>
      </c>
      <c r="IR36" s="207" t="str">
        <f>IFERROR(INDEX($A$2:$A$113,MATCH(ROWS($EV$2:EV36),$EV$2:$EV$113,0)),"")</f>
        <v xml:space="preserve">OTROS DELITOS CONTRA LA LIBERTAD INDIVIDUAL </v>
      </c>
      <c r="IS36" s="207" t="str">
        <f>IFERROR(INDEX($A$2:$A$113,MATCH(ROWS($EW$2:EW36),$EW$2:$EW$113,0)),"")</f>
        <v xml:space="preserve">OTROS DELITOS CONTRA LA LIBERTAD INDIVIDUAL </v>
      </c>
      <c r="IT36" s="207" t="str">
        <f>IFERROR(INDEX($A$2:$A$113,MATCH(ROWS($EX$2:EX36),$EX$2:$EX$113,0)),"")</f>
        <v xml:space="preserve">OTROS DELITOS CONTRA LA LIBERTAD INDIVIDUAL </v>
      </c>
      <c r="IU36" s="207" t="str">
        <f>IFERROR(INDEX($A$2:$A$113,MATCH(ROWS($EY$2:EY36),$EY$2:$EY$113,0)),"")</f>
        <v xml:space="preserve">OTROS DELITOS CONTRA LA LIBERTAD INDIVIDUAL </v>
      </c>
      <c r="IV36" s="207" t="str">
        <f>IFERROR(INDEX($A$2:$A$113,MATCH(ROWS($EZ$2:EZ36),$EZ$2:$EZ$113,0)),"")</f>
        <v xml:space="preserve">OTROS DELITOS CONTRA LA LIBERTAD INDIVIDUAL </v>
      </c>
      <c r="IW36" s="207" t="str">
        <f>IFERROR(INDEX($A$2:$A$113,MATCH(ROWS($FA$2:FA36),$FA$2:$FA$113,0)),"")</f>
        <v xml:space="preserve">OTROS DELITOS CONTRA LA LIBERTAD INDIVIDUAL </v>
      </c>
      <c r="IX36" s="207" t="str">
        <f>IFERROR(INDEX($A$2:$A$113,MATCH(ROWS($FB$2:FB36),$FB$2:$FB$113,0)),"")</f>
        <v xml:space="preserve">OTROS DELITOS CONTRA LA LIBERTAD INDIVIDUAL </v>
      </c>
      <c r="IY36" s="207" t="str">
        <f>IFERROR(INDEX($A$2:$A$113,MATCH(ROWS($FC$2:FC36),$FC$2:$FC$113,0)),"")</f>
        <v xml:space="preserve">OTROS DELITOS CONTRA LA LIBERTAD INDIVIDUAL </v>
      </c>
      <c r="IZ36" s="207" t="str">
        <f>IFERROR(INDEX($A$2:$A$113,MATCH(ROWS($FD$2:FD36),$FD$2:$FD$113,0)),"")</f>
        <v xml:space="preserve">OTROS DELITOS CONTRA LA LIBERTAD INDIVIDUAL </v>
      </c>
      <c r="JA36" s="207" t="str">
        <f>IFERROR(INDEX($A$2:$A$113,MATCH(ROWS($FE$2:FE36),$FE$2:$FE$113,0)),"")</f>
        <v xml:space="preserve">OTROS DELITOS CONTRA LA LIBERTAD INDIVIDUAL </v>
      </c>
      <c r="JB36" s="207" t="str">
        <f>IFERROR(INDEX($A$2:$A$113,MATCH(ROWS($FF$2:FF36),$FF$2:$FF$113,0)),"")</f>
        <v xml:space="preserve">OTROS DELITOS CONTRA LA LIBERTAD INDIVIDUAL </v>
      </c>
      <c r="JC36" s="207" t="str">
        <f>IFERROR(INDEX($A$2:$A$113,MATCH(ROWS($FG$2:FG36),$FG$2:$FG$113,0)),"")</f>
        <v xml:space="preserve">OTROS DELITOS CONTRA LA LIBERTAD INDIVIDUAL </v>
      </c>
      <c r="JD36" s="207" t="str">
        <f>IFERROR(INDEX($A$2:$A$113,MATCH(ROWS($FH$2:FH36),$FH$2:$FH$113,0)),"")</f>
        <v xml:space="preserve">OTROS DELITOS CONTRA LA LIBERTAD INDIVIDUAL </v>
      </c>
      <c r="JE36" s="207" t="str">
        <f>IFERROR(INDEX($A$2:$A$113,MATCH(ROWS($FI$2:FI36),$FI$2:$FI$113,0)),"")</f>
        <v xml:space="preserve">OTROS DELITOS CONTRA LA LIBERTAD INDIVIDUAL </v>
      </c>
      <c r="JF36" s="207" t="str">
        <f>IFERROR(INDEX($A$2:$A$113,MATCH(ROWS($FJ$2:FJ36),$FJ$2:$FJ$113,0)),"")</f>
        <v xml:space="preserve">OTROS DELITOS CONTRA LA LIBERTAD INDIVIDUAL </v>
      </c>
      <c r="JG36" s="207" t="str">
        <f>IFERROR(INDEX($A$2:$A$113,MATCH(ROWS($FK$2:FK36),$FK$2:$FK$113,0)),"")</f>
        <v xml:space="preserve">OTROS DELITOS CONTRA LA LIBERTAD INDIVIDUAL </v>
      </c>
      <c r="JH36" s="207" t="str">
        <f>IFERROR(INDEX($A$2:$A$113,MATCH(ROWS($FL$2:FL36),$FL$2:$FL$113,0)),"")</f>
        <v xml:space="preserve">OTROS DELITOS CONTRA LA LIBERTAD INDIVIDUAL </v>
      </c>
      <c r="JI36" s="207" t="str">
        <f>IFERROR(INDEX($A$2:$A$113,MATCH(ROWS($FM$2:FM36),$FM$2:$FM$113,0)),"")</f>
        <v xml:space="preserve">OTROS DELITOS CONTRA LA LIBERTAD INDIVIDUAL </v>
      </c>
      <c r="JJ36" s="207" t="str">
        <f>IFERROR(INDEX($A$2:$A$113,MATCH(ROWS($FN$2:FN36),$FN$2:$FN$113,0)),"")</f>
        <v xml:space="preserve">OTROS DELITOS CONTRA LA LIBERTAD INDIVIDUAL </v>
      </c>
      <c r="JK36" s="207" t="str">
        <f>IFERROR(INDEX($A$2:$A$113,MATCH(ROWS($FO$2:FO36),$FO$2:$FO$113,0)),"")</f>
        <v xml:space="preserve">OTROS DELITOS CONTRA LA LIBERTAD INDIVIDUAL </v>
      </c>
      <c r="JL36" s="207" t="str">
        <f>IFERROR(INDEX($A$2:$A$113,MATCH(ROWS($FP$2:FP36),$FP$2:$FP$113,0)),"")</f>
        <v xml:space="preserve">OTROS DELITOS CONTRA LA LIBERTAD INDIVIDUAL </v>
      </c>
      <c r="JM36" s="207" t="str">
        <f>IFERROR(INDEX($A$2:$A$113,MATCH(ROWS($FQ$2:FQ36),$FQ$2:$FQ$113,0)),"")</f>
        <v xml:space="preserve">OTROS DELITOS CONTRA LA LIBERTAD INDIVIDUAL </v>
      </c>
      <c r="JN36" s="207" t="str">
        <f>IFERROR(INDEX($A$2:$A$113,MATCH(ROWS($FR$2:FR36),$FR$2:$FR$113,0)),"")</f>
        <v xml:space="preserve">OTROS DELITOS CONTRA LA LIBERTAD INDIVIDUAL </v>
      </c>
      <c r="JO36" s="207" t="str">
        <f>IFERROR(INDEX($A$2:$A$113,MATCH(ROWS($FS$2:FS36),$FS$2:$FS$113,0)),"")</f>
        <v xml:space="preserve">OTROS DELITOS CONTRA LA LIBERTAD INDIVIDUAL </v>
      </c>
      <c r="JP36" s="207" t="str">
        <f>IFERROR(INDEX($A$2:$A$113,MATCH(ROWS($FT$2:FT36),$FT$2:$FT$113,0)),"")</f>
        <v xml:space="preserve">OTROS DELITOS CONTRA LA LIBERTAD INDIVIDUAL </v>
      </c>
      <c r="JQ36" s="207" t="str">
        <f>IFERROR(INDEX($A$2:$A$113,MATCH(ROWS($FU$2:FU36),$FU$2:$FU$113,0)),"")</f>
        <v xml:space="preserve">OTROS DELITOS CONTRA LA LIBERTAD INDIVIDUAL </v>
      </c>
      <c r="JR36" s="207" t="str">
        <f>IFERROR(INDEX($A$2:$A$113,MATCH(ROWS($FV$2:FV36),$FV$2:$FV$113,0)),"")</f>
        <v xml:space="preserve">OTROS DELITOS CONTRA LA LIBERTAD INDIVIDUAL </v>
      </c>
      <c r="JS36" s="207" t="str">
        <f>IFERROR(INDEX($A$2:$A$113,MATCH(ROWS($FW$2:FW36),$FW$2:$FW$113,0)),"")</f>
        <v xml:space="preserve">OTROS DELITOS CONTRA LA LIBERTAD INDIVIDUAL </v>
      </c>
      <c r="JT36" s="207" t="str">
        <f>IFERROR(INDEX($A$2:$A$113,MATCH(ROWS($FX$2:FX36),$FX$2:$FX$113,0)),"")</f>
        <v xml:space="preserve">OTROS DELITOS CONTRA LA LIBERTAD INDIVIDUAL </v>
      </c>
      <c r="JU36" s="207" t="str">
        <f>IFERROR(INDEX($A$2:$A$113,MATCH(ROWS($FY$2:FY36),$FY$2:$FY$113,0)),"")</f>
        <v xml:space="preserve">OTROS DELITOS CONTRA LA LIBERTAD INDIVIDUAL </v>
      </c>
      <c r="JV36" s="207" t="str">
        <f>IFERROR(INDEX($A$2:$A$113,MATCH(ROWS($FZ$2:FZ36),$FZ$2:$FZ$113,0)),"")</f>
        <v xml:space="preserve">OTROS DELITOS CONTRA LA LIBERTAD INDIVIDUAL </v>
      </c>
      <c r="JW36" s="207" t="str">
        <f>IFERROR(INDEX($A$2:$A$113,MATCH(ROWS($GA$2:GA36),$GA$2:$GA$113,0)),"")</f>
        <v xml:space="preserve">OTROS DELITOS CONTRA LA LIBERTAD INDIVIDUAL </v>
      </c>
      <c r="JX36" s="207" t="str">
        <f>IFERROR(INDEX($A$2:$A$113,MATCH(ROWS($GB$2:GB36),$GB$2:$GB$113,0)),"")</f>
        <v xml:space="preserve">OTROS DELITOS CONTRA LA LIBERTAD INDIVIDUAL </v>
      </c>
      <c r="JY36" s="207" t="str">
        <f>IFERROR(INDEX($A$2:$A$113,MATCH(ROWS($GC$2:GC36),$GC$2:$GC$113,0)),"")</f>
        <v xml:space="preserve">OTROS DELITOS CONTRA LA LIBERTAD INDIVIDUAL </v>
      </c>
      <c r="JZ36" s="207" t="str">
        <f>IFERROR(INDEX($A$2:$A$113,MATCH(ROWS($GD$2:GD36),$GD$2:$GD$113,0)),"")</f>
        <v xml:space="preserve">OTROS DELITOS CONTRA LA LIBERTAD INDIVIDUAL </v>
      </c>
      <c r="KA36" s="207" t="str">
        <f>IFERROR(INDEX($A$2:$A$113,MATCH(ROWS($GE$2:GE36),$GE$2:$GE$113,0)),"")</f>
        <v xml:space="preserve">OTROS DELITOS CONTRA LA LIBERTAD INDIVIDUAL </v>
      </c>
      <c r="KB36" s="207" t="str">
        <f>IFERROR(INDEX($A$2:$A$113,MATCH(ROWS($GF$2:GF36),$GF$2:$GF$113,0)),"")</f>
        <v xml:space="preserve">OTROS DELITOS CONTRA LA LIBERTAD INDIVIDUAL </v>
      </c>
      <c r="KC36" s="207" t="str">
        <f>IFERROR(INDEX($A$2:$A$113,MATCH(ROWS($GG$2:GG36),$GG$2:$GG$113,0)),"")</f>
        <v xml:space="preserve">OTROS DELITOS CONTRA LA LIBERTAD INDIVIDUAL </v>
      </c>
      <c r="KD36" s="207" t="str">
        <f>IFERROR(INDEX($A$2:$A$113,MATCH(ROWS($GH$2:GH36),$GH$2:$GH$113,0)),"")</f>
        <v xml:space="preserve">OTROS DELITOS CONTRA LA LIBERTAD INDIVIDUAL </v>
      </c>
      <c r="KE36" s="207" t="str">
        <f>IFERROR(INDEX($A$2:$A$113,MATCH(ROWS($GI$2:GI36),$GI$2:$GI$113,0)),"")</f>
        <v xml:space="preserve">OTROS DELITOS CONTRA LA LIBERTAD INDIVIDUAL </v>
      </c>
      <c r="KF36" s="207" t="str">
        <f>IFERROR(INDEX($A$2:$A$113,MATCH(ROWS($GJ$2:GJ36),$GJ$2:$GJ$113,0)),"")</f>
        <v xml:space="preserve">OTROS DELITOS CONTRA LA LIBERTAD INDIVIDUAL </v>
      </c>
      <c r="KG36" s="207" t="str">
        <f>IFERROR(INDEX($A$2:$A$113,MATCH(ROWS($GK$2:GK36),$GK$2:$GK$113,0)),"")</f>
        <v xml:space="preserve">OTROS DELITOS CONTRA LA LIBERTAD INDIVIDUAL </v>
      </c>
      <c r="KH36" s="207" t="str">
        <f>IFERROR(INDEX($A$2:$A$113,MATCH(ROWS($GL$2:GL36),$GL$2:$GL$113,0)),"")</f>
        <v xml:space="preserve">OTROS DELITOS CONTRA LA LIBERTAD INDIVIDUAL </v>
      </c>
      <c r="KI36" s="207" t="str">
        <f>IFERROR(INDEX($A$2:$A$113,MATCH(ROWS($GM$2:GM36),$GM$2:$GM$113,0)),"")</f>
        <v xml:space="preserve">OTROS DELITOS CONTRA LA LIBERTAD INDIVIDUAL </v>
      </c>
      <c r="KJ36" s="207" t="str">
        <f>IFERROR(INDEX($A$2:$A$113,MATCH(ROWS($GN$2:GN36),$GN$2:$GN$113,0)),"")</f>
        <v xml:space="preserve">OTROS DELITOS CONTRA LA LIBERTAD INDIVIDUAL </v>
      </c>
      <c r="KK36" s="207" t="str">
        <f>IFERROR(INDEX($A$2:$A$113,MATCH(ROWS($GO$2:GO36),$GO$2:$GO$113,0)),"")</f>
        <v xml:space="preserve">OTROS DELITOS CONTRA LA LIBERTAD INDIVIDUAL </v>
      </c>
      <c r="KL36" s="207" t="str">
        <f>IFERROR(INDEX($A$2:$A$113,MATCH(ROWS($GP$2:GP36),$GP$2:$GP$113,0)),"")</f>
        <v xml:space="preserve">OTROS DELITOS CONTRA LA LIBERTAD INDIVIDUAL </v>
      </c>
      <c r="KM36" s="207" t="str">
        <f>IFERROR(INDEX($A$2:$A$113,MATCH(ROWS($GQ$2:GQ36),$GQ$2:$GQ$113,0)),"")</f>
        <v xml:space="preserve">OTROS DELITOS CONTRA LA LIBERTAD INDIVIDUAL </v>
      </c>
      <c r="KN36" s="207" t="str">
        <f>IFERROR(INDEX($A$2:$A$113,MATCH(ROWS($GR$2:GR36),$GR$2:$GR$113,0)),"")</f>
        <v xml:space="preserve">OTROS DELITOS CONTRA LA LIBERTAD INDIVIDUAL </v>
      </c>
      <c r="KO36" s="207" t="str">
        <f>IFERROR(INDEX($A$2:$A$113,MATCH(ROWS($GS$2:GS36),$GS$2:$GS$113,0)),"")</f>
        <v xml:space="preserve">OTROS DELITOS CONTRA LA LIBERTAD INDIVIDUAL </v>
      </c>
      <c r="KP36" s="207" t="str">
        <f>IFERROR(INDEX($A$2:$A$113,MATCH(ROWS($GT$2:GT36),$GT$2:$GT$113,0)),"")</f>
        <v xml:space="preserve">OTROS DELITOS CONTRA LA LIBERTAD INDIVIDUAL </v>
      </c>
      <c r="KQ36" s="207" t="str">
        <f>IFERROR(INDEX($A$2:$A$113,MATCH(ROWS($GU$2:GU36),$GU$2:$GU$113,0)),"")</f>
        <v xml:space="preserve">OTROS DELITOS CONTRA LA LIBERTAD INDIVIDUAL </v>
      </c>
      <c r="KR36" s="207" t="str">
        <f>IFERROR(INDEX($A$2:$A$113,MATCH(ROWS($GV$2:GV36),$GV$2:$GV$113,0)),"")</f>
        <v xml:space="preserve">OTROS DELITOS CONTRA LA LIBERTAD INDIVIDUAL </v>
      </c>
      <c r="KS36" s="207" t="str">
        <f>IFERROR(INDEX($A$2:$A$113,MATCH(ROWS($GW$2:GW36),$GW$2:$GW$113,0)),"")</f>
        <v xml:space="preserve">OTROS DELITOS CONTRA LA LIBERTAD INDIVIDUAL </v>
      </c>
    </row>
    <row r="37" spans="1:305" x14ac:dyDescent="0.25">
      <c r="A37" s="206" t="s">
        <v>79</v>
      </c>
      <c r="B37" s="206">
        <v>13</v>
      </c>
      <c r="D37" s="206" t="s">
        <v>12</v>
      </c>
      <c r="E37" s="206" t="s">
        <v>76</v>
      </c>
      <c r="F37" s="207">
        <f>--ISNUMBER(IFERROR(SEARCH('PLANILLA DJ'!$X$3,$A37,1),""))</f>
        <v>1</v>
      </c>
      <c r="G37" s="207">
        <f>--ISNUMBER(IFERROR(SEARCH('PLANILLA DJ'!$X$4,$A37,1),""))</f>
        <v>1</v>
      </c>
      <c r="H37" s="207">
        <f>--ISNUMBER(IFERROR(SEARCH('PLANILLA DJ'!$X$5,$A37,1),""))</f>
        <v>1</v>
      </c>
      <c r="I37" s="207">
        <f>--ISNUMBER(IFERROR(SEARCH('PLANILLA DJ'!$X$6,$A37,1),""))</f>
        <v>1</v>
      </c>
      <c r="J37" s="207">
        <f>--ISNUMBER(IFERROR(SEARCH('PLANILLA DJ'!$X$7,$A37,1),""))</f>
        <v>1</v>
      </c>
      <c r="K37" s="207">
        <f>--ISNUMBER(IFERROR(SEARCH('PLANILLA DJ'!$X$8,$A37,1),""))</f>
        <v>1</v>
      </c>
      <c r="L37" s="207">
        <f>--ISNUMBER(IFERROR(SEARCH('PLANILLA DJ'!$X$9,$A37,1),""))</f>
        <v>1</v>
      </c>
      <c r="M37" s="207">
        <f>--ISNUMBER(IFERROR(SEARCH('PLANILLA DJ'!$X$10,$A37,1),""))</f>
        <v>1</v>
      </c>
      <c r="N37" s="207">
        <f>--ISNUMBER(IFERROR(SEARCH('PLANILLA DJ'!$X$11,$A37,1),""))</f>
        <v>1</v>
      </c>
      <c r="O37" s="207">
        <f>--ISNUMBER(IFERROR(SEARCH('PLANILLA DJ'!$X$12,$A37,1),""))</f>
        <v>1</v>
      </c>
      <c r="P37" s="207">
        <f>--ISNUMBER(IFERROR(SEARCH('PLANILLA DJ'!$X$13,$A37,1),""))</f>
        <v>1</v>
      </c>
      <c r="Q37" s="207">
        <f>--ISNUMBER(IFERROR(SEARCH('PLANILLA DJ'!$X$14,$A37,1),""))</f>
        <v>1</v>
      </c>
      <c r="R37" s="207">
        <f>--ISNUMBER(IFERROR(SEARCH('PLANILLA DJ'!$X$15,$A37,1),""))</f>
        <v>1</v>
      </c>
      <c r="S37" s="207">
        <f>--ISNUMBER(IFERROR(SEARCH('PLANILLA DJ'!$X$16,$A37,1),""))</f>
        <v>1</v>
      </c>
      <c r="T37" s="207">
        <f>--ISNUMBER(IFERROR(SEARCH('PLANILLA DJ'!$X$17,$A37,1),""))</f>
        <v>1</v>
      </c>
      <c r="U37" s="207">
        <f>--ISNUMBER(IFERROR(SEARCH('PLANILLA DJ'!$X$18,$A37,1),""))</f>
        <v>1</v>
      </c>
      <c r="V37" s="207">
        <f>--ISNUMBER(IFERROR(SEARCH('PLANILLA DJ'!$X$19,$A37,1),""))</f>
        <v>1</v>
      </c>
      <c r="W37" s="207">
        <f>--ISNUMBER(IFERROR(SEARCH('PLANILLA DJ'!$X$20,$A37,1),""))</f>
        <v>1</v>
      </c>
      <c r="X37" s="207">
        <f>--ISNUMBER(IFERROR(SEARCH('PLANILLA DJ'!$X$21,$A37,1),""))</f>
        <v>1</v>
      </c>
      <c r="Y37" s="207">
        <f>--ISNUMBER(IFERROR(SEARCH('PLANILLA DJ'!$X$22,$A37,1),""))</f>
        <v>1</v>
      </c>
      <c r="Z37" s="207">
        <f>--ISNUMBER(IFERROR(SEARCH('PLANILLA DJ'!$X$23,$A37,1),""))</f>
        <v>1</v>
      </c>
      <c r="AA37" s="207">
        <f>--ISNUMBER(IFERROR(SEARCH('PLANILLA DJ'!$X$24,$A37,1),""))</f>
        <v>1</v>
      </c>
      <c r="AB37" s="207">
        <f>--ISNUMBER(IFERROR(SEARCH('PLANILLA DJ'!$X$25,$A37,1),""))</f>
        <v>1</v>
      </c>
      <c r="AC37" s="207">
        <f>--ISNUMBER(IFERROR(SEARCH('PLANILLA DJ'!$X$26,$A37,1),""))</f>
        <v>1</v>
      </c>
      <c r="AD37" s="207">
        <f>--ISNUMBER(IFERROR(SEARCH('PLANILLA DJ'!$X$27,$A37,1),""))</f>
        <v>1</v>
      </c>
      <c r="AE37" s="207">
        <f>--ISNUMBER(IFERROR(SEARCH('PLANILLA DJ'!$X$28,$A37,1),""))</f>
        <v>1</v>
      </c>
      <c r="AF37" s="207">
        <f>--ISNUMBER(IFERROR(SEARCH('PLANILLA DJ'!$X$29,$A37,1),""))</f>
        <v>1</v>
      </c>
      <c r="AG37" s="207">
        <f>--ISNUMBER(IFERROR(SEARCH('PLANILLA DJ'!$X$30,$A37,1),""))</f>
        <v>1</v>
      </c>
      <c r="AH37" s="207">
        <f>--ISNUMBER(IFERROR(SEARCH('PLANILLA DJ'!$X$31,$A37,1),""))</f>
        <v>1</v>
      </c>
      <c r="AI37" s="207">
        <f>--ISNUMBER(IFERROR(SEARCH('PLANILLA DJ'!$X$32,$A37,1),""))</f>
        <v>1</v>
      </c>
      <c r="AJ37" s="207">
        <f>--ISNUMBER(IFERROR(SEARCH('PLANILLA DJ'!$X$33,$A37,1),""))</f>
        <v>1</v>
      </c>
      <c r="AK37" s="207">
        <f>--ISNUMBER(IFERROR(SEARCH('PLANILLA DJ'!$X$34,$A37,1),""))</f>
        <v>1</v>
      </c>
      <c r="AL37" s="207">
        <f>--ISNUMBER(IFERROR(SEARCH('PLANILLA DJ'!$X$35,$A37,1),""))</f>
        <v>1</v>
      </c>
      <c r="AM37" s="207">
        <f>--ISNUMBER(IFERROR(SEARCH('PLANILLA DJ'!$X$36,$A37,1),""))</f>
        <v>1</v>
      </c>
      <c r="AN37" s="207">
        <f>--ISNUMBER(IFERROR(SEARCH('PLANILLA DJ'!$X$37,$A37,1),""))</f>
        <v>1</v>
      </c>
      <c r="AO37" s="207">
        <f>--ISNUMBER(IFERROR(SEARCH('PLANILLA DJ'!$X$38,$A37,1),""))</f>
        <v>1</v>
      </c>
      <c r="AP37" s="207">
        <f>--ISNUMBER(IFERROR(SEARCH('PLANILLA DJ'!$X$39,$A37,1),""))</f>
        <v>1</v>
      </c>
      <c r="AQ37" s="207">
        <f>--ISNUMBER(IFERROR(SEARCH('PLANILLA DJ'!$X$40,$A37,1),""))</f>
        <v>1</v>
      </c>
      <c r="AR37" s="207">
        <f>--ISNUMBER(IFERROR(SEARCH('PLANILLA DJ'!$X$41,$A37,1),""))</f>
        <v>1</v>
      </c>
      <c r="AS37" s="207">
        <f>--ISNUMBER(IFERROR(SEARCH('PLANILLA DJ'!$X$42,$A37,1),""))</f>
        <v>1</v>
      </c>
      <c r="AT37" s="207">
        <f>--ISNUMBER(IFERROR(SEARCH('PLANILLA DJ'!$X$43,$A37,1),""))</f>
        <v>1</v>
      </c>
      <c r="AU37" s="207">
        <f>--ISNUMBER(IFERROR(SEARCH('PLANILLA DJ'!$X$44,$A37,1),""))</f>
        <v>1</v>
      </c>
      <c r="AV37" s="207">
        <f>--ISNUMBER(IFERROR(SEARCH('PLANILLA DJ'!$X$45,$A37,1),""))</f>
        <v>1</v>
      </c>
      <c r="AW37" s="207">
        <f>--ISNUMBER(IFERROR(SEARCH('PLANILLA DJ'!$X$46,$A37,1),""))</f>
        <v>1</v>
      </c>
      <c r="AX37" s="207">
        <f>--ISNUMBER(IFERROR(SEARCH('PLANILLA DJ'!$X$47,$A37,1),""))</f>
        <v>1</v>
      </c>
      <c r="AY37" s="207">
        <f>--ISNUMBER(IFERROR(SEARCH('PLANILLA DJ'!$X$48,$A37,1),""))</f>
        <v>1</v>
      </c>
      <c r="AZ37" s="207">
        <f>--ISNUMBER(IFERROR(SEARCH('PLANILLA DJ'!$X$49,$A37,1),""))</f>
        <v>1</v>
      </c>
      <c r="BA37" s="207">
        <f>--ISNUMBER(IFERROR(SEARCH('PLANILLA DJ'!$X$50,$A37,1),""))</f>
        <v>1</v>
      </c>
      <c r="BB37" s="207">
        <f>--ISNUMBER(IFERROR(SEARCH('PLANILLA DJ'!$X$51,$A37,1),""))</f>
        <v>1</v>
      </c>
      <c r="BC37" s="207">
        <f>--ISNUMBER(IFERROR(SEARCH('PLANILLA DJ'!$X$52,$A37,1),""))</f>
        <v>1</v>
      </c>
      <c r="BD37" s="207">
        <f>--ISNUMBER(IFERROR(SEARCH('PLANILLA DJ'!$X$53,$A37,1),""))</f>
        <v>1</v>
      </c>
      <c r="BE37" s="207">
        <f>--ISNUMBER(IFERROR(SEARCH('PLANILLA DJ'!$X$54,$A37,1),""))</f>
        <v>1</v>
      </c>
      <c r="BF37" s="207">
        <f>--ISNUMBER(IFERROR(SEARCH('PLANILLA DJ'!$X$55,$A37,1),""))</f>
        <v>1</v>
      </c>
      <c r="BG37" s="207">
        <f>--ISNUMBER(IFERROR(SEARCH('PLANILLA DJ'!$X$56,$A37,1),""))</f>
        <v>1</v>
      </c>
      <c r="BH37" s="207">
        <f>--ISNUMBER(IFERROR(SEARCH('PLANILLA DJ'!$X$57,$A37,1),""))</f>
        <v>1</v>
      </c>
      <c r="BI37" s="207">
        <f>--ISNUMBER(IFERROR(SEARCH('PLANILLA DJ'!$X$58,$A37,1),""))</f>
        <v>1</v>
      </c>
      <c r="BJ37" s="207">
        <f>--ISNUMBER(IFERROR(SEARCH('PLANILLA DJ'!$X$59,$A37,1),""))</f>
        <v>1</v>
      </c>
      <c r="BK37" s="207">
        <f>--ISNUMBER(IFERROR(SEARCH('PLANILLA DJ'!$X$60,$A37,1),""))</f>
        <v>1</v>
      </c>
      <c r="BL37" s="207">
        <f>--ISNUMBER(IFERROR(SEARCH('PLANILLA DJ'!$X$61,$A37,1),""))</f>
        <v>1</v>
      </c>
      <c r="BM37" s="207">
        <f>--ISNUMBER(IFERROR(SEARCH('PLANILLA DJ'!$X$62,$A37,1),""))</f>
        <v>1</v>
      </c>
      <c r="BN37" s="207">
        <f>--ISNUMBER(IFERROR(SEARCH('PLANILLA DJ'!$X$63,$A37,1),""))</f>
        <v>1</v>
      </c>
      <c r="BO37" s="207">
        <f>--ISNUMBER(IFERROR(SEARCH('PLANILLA DJ'!$X$64,$A37,1),""))</f>
        <v>1</v>
      </c>
      <c r="BP37" s="207">
        <f>--ISNUMBER(IFERROR(SEARCH('PLANILLA DJ'!$X$65,$A37,1),""))</f>
        <v>1</v>
      </c>
      <c r="BQ37" s="207">
        <f>--ISNUMBER(IFERROR(SEARCH('PLANILLA DJ'!$X$66,$A37,1),""))</f>
        <v>1</v>
      </c>
      <c r="BR37" s="207">
        <f>--ISNUMBER(IFERROR(SEARCH('PLANILLA DJ'!$X$67,$A37,1),""))</f>
        <v>1</v>
      </c>
      <c r="BS37" s="207">
        <f>--ISNUMBER(IFERROR(SEARCH('PLANILLA DJ'!$X$68,$A37,1),""))</f>
        <v>1</v>
      </c>
      <c r="BT37" s="207">
        <f>--ISNUMBER(IFERROR(SEARCH('PLANILLA DJ'!$X$69,$A37,1),""))</f>
        <v>1</v>
      </c>
      <c r="BU37" s="207">
        <f>--ISNUMBER(IFERROR(SEARCH('PLANILLA DJ'!$X$70,$A37,1),""))</f>
        <v>1</v>
      </c>
      <c r="BV37" s="207">
        <f>--ISNUMBER(IFERROR(SEARCH('PLANILLA DJ'!$X$71,$A37,1),""))</f>
        <v>1</v>
      </c>
      <c r="BW37" s="207">
        <f>--ISNUMBER(IFERROR(SEARCH('PLANILLA DJ'!$X$72,$A37,1),""))</f>
        <v>1</v>
      </c>
      <c r="BX37" s="207">
        <f>--ISNUMBER(IFERROR(SEARCH('PLANILLA DJ'!$X$73,$A37,1),""))</f>
        <v>1</v>
      </c>
      <c r="BY37" s="207">
        <f>--ISNUMBER(IFERROR(SEARCH('PLANILLA DJ'!$X$74,$A37,1),""))</f>
        <v>1</v>
      </c>
      <c r="BZ37" s="207">
        <f>--ISNUMBER(IFERROR(SEARCH('PLANILLA DJ'!$X$75,$A37,1),""))</f>
        <v>1</v>
      </c>
      <c r="CA37" s="207">
        <f>--ISNUMBER(IFERROR(SEARCH('PLANILLA DJ'!$X$76,$A37,1),""))</f>
        <v>1</v>
      </c>
      <c r="CB37" s="207">
        <f>--ISNUMBER(IFERROR(SEARCH('PLANILLA DJ'!$X$77,$A37,1),""))</f>
        <v>1</v>
      </c>
      <c r="CC37" s="207">
        <f>--ISNUMBER(IFERROR(SEARCH('PLANILLA DJ'!$X$78,$A37,1),""))</f>
        <v>1</v>
      </c>
      <c r="CD37" s="207">
        <f>--ISNUMBER(IFERROR(SEARCH('PLANILLA DJ'!$X$79,$A37,1),""))</f>
        <v>1</v>
      </c>
      <c r="CE37" s="207">
        <f>--ISNUMBER(IFERROR(SEARCH('PLANILLA DJ'!$X$80,$A37,1),""))</f>
        <v>1</v>
      </c>
      <c r="CF37" s="207">
        <f>--ISNUMBER(IFERROR(SEARCH('PLANILLA DJ'!$X$81,$A37,1),""))</f>
        <v>1</v>
      </c>
      <c r="CG37" s="207">
        <f>--ISNUMBER(IFERROR(SEARCH('PLANILLA DJ'!$X$82,$A37,1),""))</f>
        <v>1</v>
      </c>
      <c r="CH37" s="207">
        <f>--ISNUMBER(IFERROR(SEARCH('PLANILLA DJ'!$X$83,$A37,1),""))</f>
        <v>1</v>
      </c>
      <c r="CI37" s="207">
        <f>--ISNUMBER(IFERROR(SEARCH('PLANILLA DJ'!$X$84,$A37,1),""))</f>
        <v>1</v>
      </c>
      <c r="CJ37" s="207">
        <f>--ISNUMBER(IFERROR(SEARCH('PLANILLA DJ'!$X$85,$A37,1),""))</f>
        <v>1</v>
      </c>
      <c r="CK37" s="207">
        <f>--ISNUMBER(IFERROR(SEARCH('PLANILLA DJ'!$X$86,$A37,1),""))</f>
        <v>1</v>
      </c>
      <c r="CL37" s="207">
        <f>--ISNUMBER(IFERROR(SEARCH('PLANILLA DJ'!$X$87,$A37,1),""))</f>
        <v>1</v>
      </c>
      <c r="CM37" s="207">
        <f>--ISNUMBER(IFERROR(SEARCH('PLANILLA DJ'!$X$88,$A37,1),""))</f>
        <v>1</v>
      </c>
      <c r="CN37" s="207">
        <f>--ISNUMBER(IFERROR(SEARCH('PLANILLA DJ'!$X$89,$A37,1),""))</f>
        <v>1</v>
      </c>
      <c r="CO37" s="207">
        <f>--ISNUMBER(IFERROR(SEARCH('PLANILLA DJ'!$X$90,$A37,1),""))</f>
        <v>1</v>
      </c>
      <c r="CP37" s="207">
        <f>--ISNUMBER(IFERROR(SEARCH('PLANILLA DJ'!$X$91,$A37,1),""))</f>
        <v>1</v>
      </c>
      <c r="CQ37" s="207">
        <f>--ISNUMBER(IFERROR(SEARCH('PLANILLA DJ'!$X$92,$A37,1),""))</f>
        <v>1</v>
      </c>
      <c r="CR37" s="207">
        <f>--ISNUMBER(IFERROR(SEARCH('PLANILLA DJ'!$X$93,$A37,1),""))</f>
        <v>1</v>
      </c>
      <c r="CS37" s="207">
        <f>--ISNUMBER(IFERROR(SEARCH('PLANILLA DJ'!$X$94,$A37,1),""))</f>
        <v>1</v>
      </c>
      <c r="CT37" s="207">
        <f>--ISNUMBER(IFERROR(SEARCH('PLANILLA DJ'!$X$95,$A37,1),""))</f>
        <v>1</v>
      </c>
      <c r="CU37" s="207">
        <f>--ISNUMBER(IFERROR(SEARCH('PLANILLA DJ'!$X$96,$A37,1),""))</f>
        <v>1</v>
      </c>
      <c r="CV37" s="207">
        <f>--ISNUMBER(IFERROR(SEARCH('PLANILLA DJ'!$X$97,$A37,1),""))</f>
        <v>1</v>
      </c>
      <c r="CW37" s="207">
        <f>--ISNUMBER(IFERROR(SEARCH('PLANILLA DJ'!$X$98,$A37,1),""))</f>
        <v>1</v>
      </c>
      <c r="CX37" s="207">
        <f>--ISNUMBER(IFERROR(SEARCH('PLANILLA DJ'!$X$99,$A37,1),""))</f>
        <v>1</v>
      </c>
      <c r="CY37" s="207">
        <f>--ISNUMBER(IFERROR(SEARCH('PLANILLA DJ'!$X$100,$A37,1),""))</f>
        <v>1</v>
      </c>
      <c r="CZ37" s="207">
        <f>--ISNUMBER(IFERROR(SEARCH('PLANILLA DJ'!$X$101,$A37,1),""))</f>
        <v>1</v>
      </c>
      <c r="DA37" s="207">
        <f>--ISNUMBER(IFERROR(SEARCH('PLANILLA DJ'!$X$102,$A37,1),""))</f>
        <v>1</v>
      </c>
      <c r="DB37" s="206">
        <f>IF(F37=1,COUNTIF($F$2:F37,1),"")</f>
        <v>36</v>
      </c>
      <c r="DC37" s="206">
        <f>IF(G37=1,COUNTIF($G$2:G37,1),"")</f>
        <v>36</v>
      </c>
      <c r="DD37" s="206">
        <f>IF(H37=1,COUNTIF($H$2:H37,1),"")</f>
        <v>36</v>
      </c>
      <c r="DE37" s="206">
        <f>IF(I37=1,COUNTIF($I$2:I37,1),"")</f>
        <v>36</v>
      </c>
      <c r="DF37" s="206">
        <f>IF(J37=1,COUNTIF($J$2:J37,1),"")</f>
        <v>36</v>
      </c>
      <c r="DG37" s="206">
        <f>IF(K37=1,COUNTIF($K$2:K37,1),"")</f>
        <v>36</v>
      </c>
      <c r="DH37" s="206">
        <f>IF(L37=1,COUNTIF($L$2:L37,1),"")</f>
        <v>36</v>
      </c>
      <c r="DI37" s="206">
        <f>IF(M37=1,COUNTIF($M$2:M37,1),"")</f>
        <v>36</v>
      </c>
      <c r="DJ37" s="206">
        <f>IF(N37=1,COUNTIF($N$2:N37,1),"")</f>
        <v>36</v>
      </c>
      <c r="DK37" s="206">
        <f>IF(O37=1,COUNTIF($O$2:O37,1),"")</f>
        <v>36</v>
      </c>
      <c r="DL37" s="206">
        <f>IF(P37=1,COUNTIF($P$2:P37,1),"")</f>
        <v>36</v>
      </c>
      <c r="DM37" s="206">
        <f>IF(Q37=1,COUNTIF($Q$2:Q37,1),"")</f>
        <v>36</v>
      </c>
      <c r="DN37" s="207">
        <f>IF(R37=1,COUNTIF($R$2:R37,1),"")</f>
        <v>36</v>
      </c>
      <c r="DO37" s="207">
        <f>IF(S37=1,COUNTIF($S$2:S37,1),"")</f>
        <v>36</v>
      </c>
      <c r="DP37" s="207">
        <f>IF(T37=1,COUNTIF($T$2:T37,1),"")</f>
        <v>36</v>
      </c>
      <c r="DQ37" s="207">
        <f>IF(U37=1,COUNTIF($U$2:U37,1),"")</f>
        <v>36</v>
      </c>
      <c r="DR37" s="207">
        <f>IF(V37=1,COUNTIF($V$2:V37,1),"")</f>
        <v>36</v>
      </c>
      <c r="DS37" s="207">
        <f>IF(W37=1,COUNTIF($W$2:W37,1),"")</f>
        <v>36</v>
      </c>
      <c r="DT37" s="207">
        <f>IF(X37=1,COUNTIF($X$2:X37,1),"")</f>
        <v>36</v>
      </c>
      <c r="DU37" s="207">
        <f>IF(Y37=1,COUNTIF($Y$2:Y37,1),"")</f>
        <v>36</v>
      </c>
      <c r="DV37" s="207">
        <f>IF(Z37=1,COUNTIF(Z$2:Z37,1),"")</f>
        <v>36</v>
      </c>
      <c r="DW37" s="207">
        <f>IF(AA37=1,COUNTIF($AA$2:AA37,1),"")</f>
        <v>36</v>
      </c>
      <c r="DX37" s="207">
        <f>IF(AB37=1,COUNTIF($AB$2:AB37,1),"")</f>
        <v>36</v>
      </c>
      <c r="DY37" s="207">
        <f>IF(AC37=1,COUNTIF($AC$2:AC37,1),"")</f>
        <v>36</v>
      </c>
      <c r="DZ37" s="207">
        <f>IF(AD37=1,COUNTIF($AD$2:AD37,1),"")</f>
        <v>36</v>
      </c>
      <c r="EA37" s="207">
        <f>IF(AE37=1,COUNTIF($AE$2:AE37,1),"")</f>
        <v>36</v>
      </c>
      <c r="EB37" s="207">
        <f>IF(AF37=1,COUNTIF($AF$2:AF37,1),"")</f>
        <v>36</v>
      </c>
      <c r="EC37" s="207">
        <f>IF(AG37=1,COUNTIF($AG$2:AG37,1),"")</f>
        <v>36</v>
      </c>
      <c r="ED37" s="207">
        <f>IF(AH37=1,COUNTIF($AH$2:AH37,1),"")</f>
        <v>36</v>
      </c>
      <c r="EE37" s="207">
        <f>IF(AI37=1,COUNTIF($AI$2:AI37,1),"")</f>
        <v>36</v>
      </c>
      <c r="EF37" s="207">
        <f>IF(AJ37=1,COUNTIF($AJ$2:AJ37,1),"")</f>
        <v>36</v>
      </c>
      <c r="EG37" s="207">
        <f>IF(AK37=1,COUNTIF($AK$2:AK37,1),"")</f>
        <v>36</v>
      </c>
      <c r="EH37" s="207">
        <f>IF(AL37=1,COUNTIF($AL$2:AL37,1),"")</f>
        <v>36</v>
      </c>
      <c r="EI37" s="207">
        <f>IF(AM37=1,COUNTIF($AM$2:AM37,1),"")</f>
        <v>36</v>
      </c>
      <c r="EJ37" s="207">
        <f>IF(AN37=1,COUNTIF($AN$2:AN37,1),"")</f>
        <v>36</v>
      </c>
      <c r="EK37" s="207">
        <f>IF(AO37=1,COUNTIF($AO$2:AO37,1),"")</f>
        <v>36</v>
      </c>
      <c r="EL37" s="207">
        <f>IF(AP37=1,COUNTIF($AP$2:AP37,1),"")</f>
        <v>36</v>
      </c>
      <c r="EM37" s="207">
        <f>IF(AQ37=1,COUNTIF($AQ$2:AQ37,1),"")</f>
        <v>36</v>
      </c>
      <c r="EN37" s="207">
        <f>IF(AR37=1,COUNTIF($AR$2:AR37,1),"")</f>
        <v>36</v>
      </c>
      <c r="EO37" s="207">
        <f>IF(AS37=1,COUNTIF($AS$2:AS37,1),"")</f>
        <v>36</v>
      </c>
      <c r="EP37" s="207">
        <f>IF(AT37=1,COUNTIF($AT$2:AT37,1),"")</f>
        <v>36</v>
      </c>
      <c r="EQ37" s="207">
        <f>IF(AU37=1,COUNTIF($AU$2:AU37,1),"")</f>
        <v>36</v>
      </c>
      <c r="ER37" s="207">
        <f>IF(AV37=1,COUNTIF($AV$2:AV37,1),"")</f>
        <v>36</v>
      </c>
      <c r="ES37" s="207">
        <f>IF(AW37=1,COUNTIF($AW$2:AW37,1),"")</f>
        <v>36</v>
      </c>
      <c r="ET37" s="207">
        <f>IF(AX37=1,COUNTIF($AX$2:AX37,1),"")</f>
        <v>36</v>
      </c>
      <c r="EU37" s="207">
        <f>IF(AY37=1,COUNTIF($AY$2:AY37,1),"")</f>
        <v>36</v>
      </c>
      <c r="EV37" s="207">
        <f>IF(AZ37=1,COUNTIF($AZ$2:AZ37,1),"")</f>
        <v>36</v>
      </c>
      <c r="EW37" s="207">
        <f>IF(BA37=1,COUNTIF($BA$2:BA37,1),"")</f>
        <v>36</v>
      </c>
      <c r="EX37" s="207">
        <f>IF(BB37=1,COUNTIF($BB$2:BB37,1),"")</f>
        <v>36</v>
      </c>
      <c r="EY37" s="207">
        <f>IF(BC37=1,COUNTIF($BC$2:BC37,1),"")</f>
        <v>36</v>
      </c>
      <c r="EZ37" s="207">
        <f>IF(BD37=1,COUNTIF($BD$2:BD37,1),"")</f>
        <v>36</v>
      </c>
      <c r="FA37" s="207">
        <f>IF(BE37=1,COUNTIF($BE$2:BE37,1),"")</f>
        <v>36</v>
      </c>
      <c r="FB37" s="207">
        <f>IF(BF37=1,COUNTIF($BF$2:BF37,1),"")</f>
        <v>36</v>
      </c>
      <c r="FC37" s="207">
        <f>IF(BG37=1,COUNTIF($BG$2:BG37,1),"")</f>
        <v>36</v>
      </c>
      <c r="FD37" s="207">
        <f>IF(BH37=1,COUNTIF($BH$2:BH37,1),"")</f>
        <v>36</v>
      </c>
      <c r="FE37" s="207">
        <f>IF(BI37=1,COUNTIF($BI$2:BI37,1),"")</f>
        <v>36</v>
      </c>
      <c r="FF37" s="207">
        <f>IF(BJ37=1,COUNTIF($BJ$2:BJ37,1),"")</f>
        <v>36</v>
      </c>
      <c r="FG37" s="207">
        <f>IF(BK37=1,COUNTIF($BK$2:BK37,1),"")</f>
        <v>36</v>
      </c>
      <c r="FH37" s="207">
        <f>IF(BL37=1,COUNTIF($BL$2:BL37,1),"")</f>
        <v>36</v>
      </c>
      <c r="FI37" s="207">
        <f>IF(BM37=1,COUNTIF($BM$2:BM37,1),"")</f>
        <v>36</v>
      </c>
      <c r="FJ37" s="207">
        <f>IF(BN37=1,COUNTIF($BN$2:BN37,1),"")</f>
        <v>36</v>
      </c>
      <c r="FK37" s="207">
        <f>IF(BO37=1,COUNTIF($BO$2:BO37,1),"")</f>
        <v>36</v>
      </c>
      <c r="FL37" s="207">
        <f>IF(BP37=1,COUNTIF($BP$2:BP37,1),"")</f>
        <v>36</v>
      </c>
      <c r="FM37" s="207">
        <f>IF(BQ37=1,COUNTIF($BQ$2:BQ37,1),"")</f>
        <v>36</v>
      </c>
      <c r="FN37" s="207">
        <f>IF(BR37=1,COUNTIF($BR$2:BR37,1),"")</f>
        <v>36</v>
      </c>
      <c r="FO37" s="207">
        <f>IF(BS37=1,COUNTIF($BS$2:BS37,1),"")</f>
        <v>36</v>
      </c>
      <c r="FP37" s="207">
        <f>IF(BT37=1,COUNTIF($BT$2:BT37,1),"")</f>
        <v>36</v>
      </c>
      <c r="FQ37" s="207">
        <f>IF(BU37=1,COUNTIF($BU$2:BU37,1),"")</f>
        <v>36</v>
      </c>
      <c r="FR37" s="207">
        <f>IF(BV37=1,COUNTIF($BV$2:BV37,1),"")</f>
        <v>36</v>
      </c>
      <c r="FS37" s="207">
        <f>IF(BW37=1,COUNTIF($BW$2:BW37,1),"")</f>
        <v>36</v>
      </c>
      <c r="FT37" s="207">
        <f>IF(BX37=1,COUNTIF($BX$2:BX37,1),"")</f>
        <v>36</v>
      </c>
      <c r="FU37" s="207">
        <f>IF(BY37=1,COUNTIF($BY$2:BY37,1),"")</f>
        <v>36</v>
      </c>
      <c r="FV37" s="207">
        <f>IF(BZ37=1,COUNTIF($BZ$2:BZ37,1),"")</f>
        <v>36</v>
      </c>
      <c r="FW37" s="207">
        <f>IF(CA37=1,COUNTIF($CA$2:CA37,1),"")</f>
        <v>36</v>
      </c>
      <c r="FX37" s="207">
        <f>IF(CB37=1,COUNTIF($CB$2:CB37,1),"")</f>
        <v>36</v>
      </c>
      <c r="FY37" s="207">
        <f>IF(CC37=1,COUNTIF($CC$2:CC37,1),"")</f>
        <v>36</v>
      </c>
      <c r="FZ37" s="207">
        <f>IF(CD37=1,COUNTIF($CD$2:CD37,1),"")</f>
        <v>36</v>
      </c>
      <c r="GA37" s="207">
        <f>IF(CE37=1,COUNTIF($CE$2:CE37,1),"")</f>
        <v>36</v>
      </c>
      <c r="GB37" s="207">
        <f>IF(CF37=1,COUNTIF($CF$2:CF37,1),"")</f>
        <v>36</v>
      </c>
      <c r="GC37" s="207">
        <f>IF(CG37=1,COUNTIF($CG$2:CG37,1),"")</f>
        <v>36</v>
      </c>
      <c r="GD37" s="207">
        <f>IF(CH37=1,COUNTIF($CH$2:CH37,1),"")</f>
        <v>36</v>
      </c>
      <c r="GE37" s="207">
        <f>IF(CI37=1,COUNTIF($CI$2:CI37,1),"")</f>
        <v>36</v>
      </c>
      <c r="GF37" s="207">
        <f>IF(CJ37=1,COUNTIF($CJ$2:CJ37,1),"")</f>
        <v>36</v>
      </c>
      <c r="GG37" s="207">
        <f>IF(CK37=1,COUNTIF($CK$2:CK37,1),"")</f>
        <v>36</v>
      </c>
      <c r="GH37" s="207">
        <f>IF(CL37=1,COUNTIF($CL$2:CL37,1),"")</f>
        <v>36</v>
      </c>
      <c r="GI37" s="207">
        <f>IF(CM37=1,COUNTIF($CM$2:CM37,1),"")</f>
        <v>36</v>
      </c>
      <c r="GJ37" s="207">
        <f>IF(CN37=1,COUNTIF($CN$2:CN37,1),"")</f>
        <v>36</v>
      </c>
      <c r="GK37" s="207">
        <f>IF(CO37=1,COUNTIF($CO$2:CO37,1),"")</f>
        <v>36</v>
      </c>
      <c r="GL37" s="207">
        <f>IF(CP37=1,COUNTIF($CP$2:CP37,1),"")</f>
        <v>36</v>
      </c>
      <c r="GM37" s="207">
        <f>IF(CQ37=1,COUNTIF($CQ$2:CQ37,1),"")</f>
        <v>36</v>
      </c>
      <c r="GN37" s="207">
        <f>IF(CR37=1,COUNTIF($CR$2:CR37,1),"")</f>
        <v>36</v>
      </c>
      <c r="GO37" s="207">
        <f>IF(CS37=1,COUNTIF($CS$2:CS37,1),"")</f>
        <v>36</v>
      </c>
      <c r="GP37" s="207">
        <f>IF(CT37=1,COUNTIF($CT$2:CT37,1),"")</f>
        <v>36</v>
      </c>
      <c r="GQ37" s="207">
        <f>IF(CU37=1,COUNTIF($CU$2:CU37,1),"")</f>
        <v>36</v>
      </c>
      <c r="GR37" s="207">
        <f>IF(CV37=1,COUNTIF($CV$2:CV37,1),"")</f>
        <v>36</v>
      </c>
      <c r="GS37" s="207">
        <f>IF(CW37=1,COUNTIF($CW$2:CW37,1),"")</f>
        <v>36</v>
      </c>
      <c r="GT37" s="207">
        <f>IF(CX37=1,COUNTIF($CX$2:CX37,1),"")</f>
        <v>36</v>
      </c>
      <c r="GU37" s="207">
        <f>IF(CY37=1,COUNTIF($CY$2:CY37,1),"")</f>
        <v>36</v>
      </c>
      <c r="GV37" s="207">
        <f>IF(CZ37=1,COUNTIF($CZ$2:CZ37,1),"")</f>
        <v>36</v>
      </c>
      <c r="GW37" s="207">
        <f>IF(DA37=1,COUNTIF($DA$2:DA37,1),"")</f>
        <v>36</v>
      </c>
      <c r="GX37" s="206" t="str">
        <f>IFERROR(INDEX($A$2:$A$113,MATCH(ROWS($DB$2:DB37),$DB$2:$DB$113,0)),"")</f>
        <v>AMENAZAS SIMPLE (ALARMAR O AMEDRENTAR)</v>
      </c>
      <c r="GY37" s="206" t="str">
        <f>IFERROR(INDEX($A$2:$A$113,MATCH(ROWS($DC$2:DC37),$DC$2:$DC$113,0)),"")</f>
        <v>AMENAZAS SIMPLE (ALARMAR O AMEDRENTAR)</v>
      </c>
      <c r="GZ37" s="206" t="str">
        <f>IFERROR(INDEX($A$2:$A$113,MATCH(ROWS($DD$2:DD37),$DD$2:$DD$113,0)),"")</f>
        <v>AMENAZAS SIMPLE (ALARMAR O AMEDRENTAR)</v>
      </c>
      <c r="HA37" s="206" t="str">
        <f>IFERROR(INDEX($A$2:$A$113,MATCH(ROWS($DE$2:DE37),$DE$2:$DE$113,0)),"")</f>
        <v>AMENAZAS SIMPLE (ALARMAR O AMEDRENTAR)</v>
      </c>
      <c r="HB37" s="206" t="str">
        <f>IFERROR(INDEX($A$2:$A$113,MATCH(ROWS($DF$2:DF37),$DF$2:$DF$113,0)),"")</f>
        <v>AMENAZAS SIMPLE (ALARMAR O AMEDRENTAR)</v>
      </c>
      <c r="HC37" s="206" t="str">
        <f>IFERROR(INDEX($A$2:$A$113,MATCH(ROWS($DG$2:DG37),$DG$2:$DG$113,0)),"")</f>
        <v>AMENAZAS SIMPLE (ALARMAR O AMEDRENTAR)</v>
      </c>
      <c r="HD37" s="206" t="str">
        <f>IFERROR(INDEX($A$2:$A$113,MATCH(ROWS($DH$2:DH37),$DH$2:$DH$113,0)),"")</f>
        <v>AMENAZAS SIMPLE (ALARMAR O AMEDRENTAR)</v>
      </c>
      <c r="HE37" s="206" t="str">
        <f>IFERROR(INDEX($A$2:$A$113,MATCH(ROWS($DI$2:DI37),$DI$2:$DI$113,0)),"")</f>
        <v>AMENAZAS SIMPLE (ALARMAR O AMEDRENTAR)</v>
      </c>
      <c r="HF37" s="206" t="str">
        <f>IFERROR(INDEX($A$2:$A$113,MATCH(ROWS($DJ$2:DJ37),$DJ$2:$DJ$113,0)),"")</f>
        <v>AMENAZAS SIMPLE (ALARMAR O AMEDRENTAR)</v>
      </c>
      <c r="HG37" s="206" t="str">
        <f>IFERROR(INDEX($A$2:$A$113,MATCH(ROWS($DK$2:DK37),$DK$2:$DK$113,0)),"")</f>
        <v>AMENAZAS SIMPLE (ALARMAR O AMEDRENTAR)</v>
      </c>
      <c r="HH37" s="206" t="str">
        <f>IFERROR(INDEX($A$2:$A$113,MATCH(ROWS($DL$2:DL37),$DL$2:$DL$113,0)),"")</f>
        <v>AMENAZAS SIMPLE (ALARMAR O AMEDRENTAR)</v>
      </c>
      <c r="HI37" s="206" t="str">
        <f>IFERROR(INDEX($A$2:$A$113,MATCH(ROWS($DM$2:DM37),$DM$2:$DM$113,0)),"")</f>
        <v>AMENAZAS SIMPLE (ALARMAR O AMEDRENTAR)</v>
      </c>
      <c r="HJ37" s="206" t="str">
        <f>IFERROR(INDEX($A$2:$A$113,MATCH(ROWS($DN$2:DN37),$DN$2:$DN$113,0)),"")</f>
        <v>AMENAZAS SIMPLE (ALARMAR O AMEDRENTAR)</v>
      </c>
      <c r="HK37" s="206" t="str">
        <f>IFERROR(INDEX($A$2:$A$113,MATCH(ROWS($DO$2:DO37),$DO$2:$DO$113,0)),"")</f>
        <v>AMENAZAS SIMPLE (ALARMAR O AMEDRENTAR)</v>
      </c>
      <c r="HL37" s="206" t="str">
        <f>IFERROR(INDEX($A$2:$A$113,MATCH(ROWS($DP$2:DP37),$DP$2:$DP$113,0)),"")</f>
        <v>AMENAZAS SIMPLE (ALARMAR O AMEDRENTAR)</v>
      </c>
      <c r="HM37" s="206" t="str">
        <f>IFERROR(INDEX($A$2:$A$113,MATCH(ROWS($DQ$2:DQ37),$DQ$2:$DQ$113,0)),"")</f>
        <v>AMENAZAS SIMPLE (ALARMAR O AMEDRENTAR)</v>
      </c>
      <c r="HN37" s="206" t="str">
        <f>IFERROR(INDEX($A$2:$A$113,MATCH(ROWS($DR$2:DR37),$DR$2:$DR$113,0)),"")</f>
        <v>AMENAZAS SIMPLE (ALARMAR O AMEDRENTAR)</v>
      </c>
      <c r="HO37" s="206" t="str">
        <f>IFERROR(INDEX($A$2:$A$113,MATCH(ROWS($DS$2:DS37),$DS$2:$DS$113,0)),"")</f>
        <v>AMENAZAS SIMPLE (ALARMAR O AMEDRENTAR)</v>
      </c>
      <c r="HP37" s="206" t="str">
        <f>IFERROR(INDEX($A$2:$A$113,MATCH(ROWS($DT$2:DT37),$DT$2:$DT$113,0)),"")</f>
        <v>AMENAZAS SIMPLE (ALARMAR O AMEDRENTAR)</v>
      </c>
      <c r="HQ37" s="206" t="str">
        <f>IFERROR(INDEX($A$2:$A$113,MATCH(ROWS($DU$2:DU37),$DU$2:$DU$113,0)),"")</f>
        <v>AMENAZAS SIMPLE (ALARMAR O AMEDRENTAR)</v>
      </c>
      <c r="HR37" s="206" t="str">
        <f>IFERROR(INDEX($A$2:$A$113,MATCH(ROWS($DV$2:DV37),$DV$2:$DV$113,0)),"")</f>
        <v>AMENAZAS SIMPLE (ALARMAR O AMEDRENTAR)</v>
      </c>
      <c r="HS37" s="206" t="str">
        <f>IFERROR(INDEX($A$2:$A$113,MATCH(ROWS($DW$2:DW37),$DW$2:$DW$113,0)),"")</f>
        <v>AMENAZAS SIMPLE (ALARMAR O AMEDRENTAR)</v>
      </c>
      <c r="HT37" s="206" t="str">
        <f>IFERROR(INDEX($A$2:$A$113,MATCH(ROWS($DX$2:DX37),$DX$2:$DX$113,0)),"")</f>
        <v>AMENAZAS SIMPLE (ALARMAR O AMEDRENTAR)</v>
      </c>
      <c r="HU37" s="206" t="str">
        <f>IFERROR(INDEX($A$2:$A$113,MATCH(ROWS($DY$2:DY37),$DY$2:$DY$113,0)),"")</f>
        <v>AMENAZAS SIMPLE (ALARMAR O AMEDRENTAR)</v>
      </c>
      <c r="HV37" s="206" t="str">
        <f>IFERROR(INDEX($A$2:$A$113,MATCH(ROWS($DZ$2:DZ37),$DZ$2:$DZ$113,0)),"")</f>
        <v>AMENAZAS SIMPLE (ALARMAR O AMEDRENTAR)</v>
      </c>
      <c r="HW37" s="206" t="str">
        <f>IFERROR(INDEX($A$2:$A$113,MATCH(ROWS($EA$2:EA37),$EA$2:$EA$113,0)),"")</f>
        <v>AMENAZAS SIMPLE (ALARMAR O AMEDRENTAR)</v>
      </c>
      <c r="HX37" s="206" t="str">
        <f>IFERROR(INDEX($A$2:$A$113,MATCH(ROWS($EB$2:EB37),$EB$2:$EB$113,0)),"")</f>
        <v>AMENAZAS SIMPLE (ALARMAR O AMEDRENTAR)</v>
      </c>
      <c r="HY37" s="206" t="str">
        <f>IFERROR(INDEX($A$2:$A$113,MATCH(ROWS($EC$2:EC37),$EC$2:$EC$113,0)),"")</f>
        <v>AMENAZAS SIMPLE (ALARMAR O AMEDRENTAR)</v>
      </c>
      <c r="HZ37" s="206" t="str">
        <f>IFERROR(INDEX($A$2:$A$113,MATCH(ROWS($ED$2:ED37),$ED$2:$ED$113,0)),"")</f>
        <v>AMENAZAS SIMPLE (ALARMAR O AMEDRENTAR)</v>
      </c>
      <c r="IA37" s="206" t="str">
        <f>IFERROR(INDEX($A$2:$A$113,MATCH(ROWS($EE$2:EE37),$EE$2:$EE$113,0)),"")</f>
        <v>AMENAZAS SIMPLE (ALARMAR O AMEDRENTAR)</v>
      </c>
      <c r="IB37" s="206" t="str">
        <f>IFERROR(INDEX($A$2:$A$113,MATCH(ROWS($EF$2:EF37),$EF$2:$EF$113,0)),"")</f>
        <v>AMENAZAS SIMPLE (ALARMAR O AMEDRENTAR)</v>
      </c>
      <c r="IC37" s="206" t="str">
        <f>IFERROR(INDEX($A$2:$A$113,MATCH(ROWS($EG$2:EG37),$EG$2:$EG$113,0)),"")</f>
        <v>AMENAZAS SIMPLE (ALARMAR O AMEDRENTAR)</v>
      </c>
      <c r="ID37" s="206" t="str">
        <f>IFERROR(INDEX($A$2:$A$113,MATCH(ROWS($EH$2:EH37),$EH$2:$EH$113,0)),"")</f>
        <v>AMENAZAS SIMPLE (ALARMAR O AMEDRENTAR)</v>
      </c>
      <c r="IE37" s="206" t="str">
        <f>IFERROR(INDEX($A$2:$A$113,MATCH(ROWS($EI$2:EI37),$EI$2:$EI$113,0)),"")</f>
        <v>AMENAZAS SIMPLE (ALARMAR O AMEDRENTAR)</v>
      </c>
      <c r="IF37" s="206" t="str">
        <f>IFERROR(INDEX($A$2:$A$113,MATCH(ROWS($EJ$2:EJ37),$EJ$2:$EJ$113,0)),"")</f>
        <v>AMENAZAS SIMPLE (ALARMAR O AMEDRENTAR)</v>
      </c>
      <c r="IG37" s="206" t="str">
        <f>IFERROR(INDEX($A$2:$A$113,MATCH(ROWS($EK$2:EK37),$EK$2:$EK$113,0)),"")</f>
        <v>AMENAZAS SIMPLE (ALARMAR O AMEDRENTAR)</v>
      </c>
      <c r="IH37" s="206" t="str">
        <f>IFERROR(INDEX($A$2:$A$113,MATCH(ROWS($EL$2:EL37),$EL$2:$EL$113,0)),"")</f>
        <v>AMENAZAS SIMPLE (ALARMAR O AMEDRENTAR)</v>
      </c>
      <c r="II37" s="206" t="str">
        <f>IFERROR(INDEX($A$2:$A$113,MATCH(ROWS($EM$2:EM37),$EM$2:$EM$113,0)),"")</f>
        <v>AMENAZAS SIMPLE (ALARMAR O AMEDRENTAR)</v>
      </c>
      <c r="IJ37" s="206" t="str">
        <f>IFERROR(INDEX($A$2:$A$113,MATCH(ROWS($EN$2:EN37),$EN$2:$EN$113,0)),"")</f>
        <v>AMENAZAS SIMPLE (ALARMAR O AMEDRENTAR)</v>
      </c>
      <c r="IK37" s="207" t="str">
        <f>IFERROR(INDEX($A$2:$A$113,MATCH(ROWS($EO$2:EO37),$EO$2:$EO$113,0)),"")</f>
        <v>AMENAZAS SIMPLE (ALARMAR O AMEDRENTAR)</v>
      </c>
      <c r="IL37" s="207" t="str">
        <f>IFERROR(INDEX($A$2:$A$113,MATCH(ROWS($EP$2:EP37),$EP$2:$EP$113,0)),"")</f>
        <v>AMENAZAS SIMPLE (ALARMAR O AMEDRENTAR)</v>
      </c>
      <c r="IM37" s="207" t="str">
        <f>IFERROR(INDEX($A$2:$A$113,MATCH(ROWS($EQ$2:EQ37),$EQ$2:$EQ$113,0)),"")</f>
        <v>AMENAZAS SIMPLE (ALARMAR O AMEDRENTAR)</v>
      </c>
      <c r="IN37" s="207" t="str">
        <f>IFERROR(INDEX($A$2:$A$113,MATCH(ROWS($ER$2:ER37),$ER$2:$ER$113,0)),"")</f>
        <v>AMENAZAS SIMPLE (ALARMAR O AMEDRENTAR)</v>
      </c>
      <c r="IO37" s="207" t="str">
        <f>IFERROR(INDEX($A$2:$A$113,MATCH(ROWS($ES$2:ES37),$ES$2:$ES$113,0)),"")</f>
        <v>AMENAZAS SIMPLE (ALARMAR O AMEDRENTAR)</v>
      </c>
      <c r="IP37" s="207" t="str">
        <f>IFERROR(INDEX($A$2:$A$113,MATCH(ROWS($ET$2:ET37),$ET$2:$ET$113,0)),"")</f>
        <v>AMENAZAS SIMPLE (ALARMAR O AMEDRENTAR)</v>
      </c>
      <c r="IQ37" s="207" t="str">
        <f>IFERROR(INDEX($A$2:$A$113,MATCH(ROWS($EU$2:EU37),$EU$2:$EU$113,0)),"")</f>
        <v>AMENAZAS SIMPLE (ALARMAR O AMEDRENTAR)</v>
      </c>
      <c r="IR37" s="207" t="str">
        <f>IFERROR(INDEX($A$2:$A$113,MATCH(ROWS($EV$2:EV37),$EV$2:$EV$113,0)),"")</f>
        <v>AMENAZAS SIMPLE (ALARMAR O AMEDRENTAR)</v>
      </c>
      <c r="IS37" s="207" t="str">
        <f>IFERROR(INDEX($A$2:$A$113,MATCH(ROWS($EW$2:EW37),$EW$2:$EW$113,0)),"")</f>
        <v>AMENAZAS SIMPLE (ALARMAR O AMEDRENTAR)</v>
      </c>
      <c r="IT37" s="207" t="str">
        <f>IFERROR(INDEX($A$2:$A$113,MATCH(ROWS($EX$2:EX37),$EX$2:$EX$113,0)),"")</f>
        <v>AMENAZAS SIMPLE (ALARMAR O AMEDRENTAR)</v>
      </c>
      <c r="IU37" s="207" t="str">
        <f>IFERROR(INDEX($A$2:$A$113,MATCH(ROWS($EY$2:EY37),$EY$2:$EY$113,0)),"")</f>
        <v>AMENAZAS SIMPLE (ALARMAR O AMEDRENTAR)</v>
      </c>
      <c r="IV37" s="207" t="str">
        <f>IFERROR(INDEX($A$2:$A$113,MATCH(ROWS($EZ$2:EZ37),$EZ$2:$EZ$113,0)),"")</f>
        <v>AMENAZAS SIMPLE (ALARMAR O AMEDRENTAR)</v>
      </c>
      <c r="IW37" s="207" t="str">
        <f>IFERROR(INDEX($A$2:$A$113,MATCH(ROWS($FA$2:FA37),$FA$2:$FA$113,0)),"")</f>
        <v>AMENAZAS SIMPLE (ALARMAR O AMEDRENTAR)</v>
      </c>
      <c r="IX37" s="207" t="str">
        <f>IFERROR(INDEX($A$2:$A$113,MATCH(ROWS($FB$2:FB37),$FB$2:$FB$113,0)),"")</f>
        <v>AMENAZAS SIMPLE (ALARMAR O AMEDRENTAR)</v>
      </c>
      <c r="IY37" s="207" t="str">
        <f>IFERROR(INDEX($A$2:$A$113,MATCH(ROWS($FC$2:FC37),$FC$2:$FC$113,0)),"")</f>
        <v>AMENAZAS SIMPLE (ALARMAR O AMEDRENTAR)</v>
      </c>
      <c r="IZ37" s="207" t="str">
        <f>IFERROR(INDEX($A$2:$A$113,MATCH(ROWS($FD$2:FD37),$FD$2:$FD$113,0)),"")</f>
        <v>AMENAZAS SIMPLE (ALARMAR O AMEDRENTAR)</v>
      </c>
      <c r="JA37" s="207" t="str">
        <f>IFERROR(INDEX($A$2:$A$113,MATCH(ROWS($FE$2:FE37),$FE$2:$FE$113,0)),"")</f>
        <v>AMENAZAS SIMPLE (ALARMAR O AMEDRENTAR)</v>
      </c>
      <c r="JB37" s="207" t="str">
        <f>IFERROR(INDEX($A$2:$A$113,MATCH(ROWS($FF$2:FF37),$FF$2:$FF$113,0)),"")</f>
        <v>AMENAZAS SIMPLE (ALARMAR O AMEDRENTAR)</v>
      </c>
      <c r="JC37" s="207" t="str">
        <f>IFERROR(INDEX($A$2:$A$113,MATCH(ROWS($FG$2:FG37),$FG$2:$FG$113,0)),"")</f>
        <v>AMENAZAS SIMPLE (ALARMAR O AMEDRENTAR)</v>
      </c>
      <c r="JD37" s="207" t="str">
        <f>IFERROR(INDEX($A$2:$A$113,MATCH(ROWS($FH$2:FH37),$FH$2:$FH$113,0)),"")</f>
        <v>AMENAZAS SIMPLE (ALARMAR O AMEDRENTAR)</v>
      </c>
      <c r="JE37" s="207" t="str">
        <f>IFERROR(INDEX($A$2:$A$113,MATCH(ROWS($FI$2:FI37),$FI$2:$FI$113,0)),"")</f>
        <v>AMENAZAS SIMPLE (ALARMAR O AMEDRENTAR)</v>
      </c>
      <c r="JF37" s="207" t="str">
        <f>IFERROR(INDEX($A$2:$A$113,MATCH(ROWS($FJ$2:FJ37),$FJ$2:$FJ$113,0)),"")</f>
        <v>AMENAZAS SIMPLE (ALARMAR O AMEDRENTAR)</v>
      </c>
      <c r="JG37" s="207" t="str">
        <f>IFERROR(INDEX($A$2:$A$113,MATCH(ROWS($FK$2:FK37),$FK$2:$FK$113,0)),"")</f>
        <v>AMENAZAS SIMPLE (ALARMAR O AMEDRENTAR)</v>
      </c>
      <c r="JH37" s="207" t="str">
        <f>IFERROR(INDEX($A$2:$A$113,MATCH(ROWS($FL$2:FL37),$FL$2:$FL$113,0)),"")</f>
        <v>AMENAZAS SIMPLE (ALARMAR O AMEDRENTAR)</v>
      </c>
      <c r="JI37" s="207" t="str">
        <f>IFERROR(INDEX($A$2:$A$113,MATCH(ROWS($FM$2:FM37),$FM$2:$FM$113,0)),"")</f>
        <v>AMENAZAS SIMPLE (ALARMAR O AMEDRENTAR)</v>
      </c>
      <c r="JJ37" s="207" t="str">
        <f>IFERROR(INDEX($A$2:$A$113,MATCH(ROWS($FN$2:FN37),$FN$2:$FN$113,0)),"")</f>
        <v>AMENAZAS SIMPLE (ALARMAR O AMEDRENTAR)</v>
      </c>
      <c r="JK37" s="207" t="str">
        <f>IFERROR(INDEX($A$2:$A$113,MATCH(ROWS($FO$2:FO37),$FO$2:$FO$113,0)),"")</f>
        <v>AMENAZAS SIMPLE (ALARMAR O AMEDRENTAR)</v>
      </c>
      <c r="JL37" s="207" t="str">
        <f>IFERROR(INDEX($A$2:$A$113,MATCH(ROWS($FP$2:FP37),$FP$2:$FP$113,0)),"")</f>
        <v>AMENAZAS SIMPLE (ALARMAR O AMEDRENTAR)</v>
      </c>
      <c r="JM37" s="207" t="str">
        <f>IFERROR(INDEX($A$2:$A$113,MATCH(ROWS($FQ$2:FQ37),$FQ$2:$FQ$113,0)),"")</f>
        <v>AMENAZAS SIMPLE (ALARMAR O AMEDRENTAR)</v>
      </c>
      <c r="JN37" s="207" t="str">
        <f>IFERROR(INDEX($A$2:$A$113,MATCH(ROWS($FR$2:FR37),$FR$2:$FR$113,0)),"")</f>
        <v>AMENAZAS SIMPLE (ALARMAR O AMEDRENTAR)</v>
      </c>
      <c r="JO37" s="207" t="str">
        <f>IFERROR(INDEX($A$2:$A$113,MATCH(ROWS($FS$2:FS37),$FS$2:$FS$113,0)),"")</f>
        <v>AMENAZAS SIMPLE (ALARMAR O AMEDRENTAR)</v>
      </c>
      <c r="JP37" s="207" t="str">
        <f>IFERROR(INDEX($A$2:$A$113,MATCH(ROWS($FT$2:FT37),$FT$2:$FT$113,0)),"")</f>
        <v>AMENAZAS SIMPLE (ALARMAR O AMEDRENTAR)</v>
      </c>
      <c r="JQ37" s="207" t="str">
        <f>IFERROR(INDEX($A$2:$A$113,MATCH(ROWS($FU$2:FU37),$FU$2:$FU$113,0)),"")</f>
        <v>AMENAZAS SIMPLE (ALARMAR O AMEDRENTAR)</v>
      </c>
      <c r="JR37" s="207" t="str">
        <f>IFERROR(INDEX($A$2:$A$113,MATCH(ROWS($FV$2:FV37),$FV$2:$FV$113,0)),"")</f>
        <v>AMENAZAS SIMPLE (ALARMAR O AMEDRENTAR)</v>
      </c>
      <c r="JS37" s="207" t="str">
        <f>IFERROR(INDEX($A$2:$A$113,MATCH(ROWS($FW$2:FW37),$FW$2:$FW$113,0)),"")</f>
        <v>AMENAZAS SIMPLE (ALARMAR O AMEDRENTAR)</v>
      </c>
      <c r="JT37" s="207" t="str">
        <f>IFERROR(INDEX($A$2:$A$113,MATCH(ROWS($FX$2:FX37),$FX$2:$FX$113,0)),"")</f>
        <v>AMENAZAS SIMPLE (ALARMAR O AMEDRENTAR)</v>
      </c>
      <c r="JU37" s="207" t="str">
        <f>IFERROR(INDEX($A$2:$A$113,MATCH(ROWS($FY$2:FY37),$FY$2:$FY$113,0)),"")</f>
        <v>AMENAZAS SIMPLE (ALARMAR O AMEDRENTAR)</v>
      </c>
      <c r="JV37" s="207" t="str">
        <f>IFERROR(INDEX($A$2:$A$113,MATCH(ROWS($FZ$2:FZ37),$FZ$2:$FZ$113,0)),"")</f>
        <v>AMENAZAS SIMPLE (ALARMAR O AMEDRENTAR)</v>
      </c>
      <c r="JW37" s="207" t="str">
        <f>IFERROR(INDEX($A$2:$A$113,MATCH(ROWS($GA$2:GA37),$GA$2:$GA$113,0)),"")</f>
        <v>AMENAZAS SIMPLE (ALARMAR O AMEDRENTAR)</v>
      </c>
      <c r="JX37" s="207" t="str">
        <f>IFERROR(INDEX($A$2:$A$113,MATCH(ROWS($GB$2:GB37),$GB$2:$GB$113,0)),"")</f>
        <v>AMENAZAS SIMPLE (ALARMAR O AMEDRENTAR)</v>
      </c>
      <c r="JY37" s="207" t="str">
        <f>IFERROR(INDEX($A$2:$A$113,MATCH(ROWS($GC$2:GC37),$GC$2:$GC$113,0)),"")</f>
        <v>AMENAZAS SIMPLE (ALARMAR O AMEDRENTAR)</v>
      </c>
      <c r="JZ37" s="207" t="str">
        <f>IFERROR(INDEX($A$2:$A$113,MATCH(ROWS($GD$2:GD37),$GD$2:$GD$113,0)),"")</f>
        <v>AMENAZAS SIMPLE (ALARMAR O AMEDRENTAR)</v>
      </c>
      <c r="KA37" s="207" t="str">
        <f>IFERROR(INDEX($A$2:$A$113,MATCH(ROWS($GE$2:GE37),$GE$2:$GE$113,0)),"")</f>
        <v>AMENAZAS SIMPLE (ALARMAR O AMEDRENTAR)</v>
      </c>
      <c r="KB37" s="207" t="str">
        <f>IFERROR(INDEX($A$2:$A$113,MATCH(ROWS($GF$2:GF37),$GF$2:$GF$113,0)),"")</f>
        <v>AMENAZAS SIMPLE (ALARMAR O AMEDRENTAR)</v>
      </c>
      <c r="KC37" s="207" t="str">
        <f>IFERROR(INDEX($A$2:$A$113,MATCH(ROWS($GG$2:GG37),$GG$2:$GG$113,0)),"")</f>
        <v>AMENAZAS SIMPLE (ALARMAR O AMEDRENTAR)</v>
      </c>
      <c r="KD37" s="207" t="str">
        <f>IFERROR(INDEX($A$2:$A$113,MATCH(ROWS($GH$2:GH37),$GH$2:$GH$113,0)),"")</f>
        <v>AMENAZAS SIMPLE (ALARMAR O AMEDRENTAR)</v>
      </c>
      <c r="KE37" s="207" t="str">
        <f>IFERROR(INDEX($A$2:$A$113,MATCH(ROWS($GI$2:GI37),$GI$2:$GI$113,0)),"")</f>
        <v>AMENAZAS SIMPLE (ALARMAR O AMEDRENTAR)</v>
      </c>
      <c r="KF37" s="207" t="str">
        <f>IFERROR(INDEX($A$2:$A$113,MATCH(ROWS($GJ$2:GJ37),$GJ$2:$GJ$113,0)),"")</f>
        <v>AMENAZAS SIMPLE (ALARMAR O AMEDRENTAR)</v>
      </c>
      <c r="KG37" s="207" t="str">
        <f>IFERROR(INDEX($A$2:$A$113,MATCH(ROWS($GK$2:GK37),$GK$2:$GK$113,0)),"")</f>
        <v>AMENAZAS SIMPLE (ALARMAR O AMEDRENTAR)</v>
      </c>
      <c r="KH37" s="207" t="str">
        <f>IFERROR(INDEX($A$2:$A$113,MATCH(ROWS($GL$2:GL37),$GL$2:$GL$113,0)),"")</f>
        <v>AMENAZAS SIMPLE (ALARMAR O AMEDRENTAR)</v>
      </c>
      <c r="KI37" s="207" t="str">
        <f>IFERROR(INDEX($A$2:$A$113,MATCH(ROWS($GM$2:GM37),$GM$2:$GM$113,0)),"")</f>
        <v>AMENAZAS SIMPLE (ALARMAR O AMEDRENTAR)</v>
      </c>
      <c r="KJ37" s="207" t="str">
        <f>IFERROR(INDEX($A$2:$A$113,MATCH(ROWS($GN$2:GN37),$GN$2:$GN$113,0)),"")</f>
        <v>AMENAZAS SIMPLE (ALARMAR O AMEDRENTAR)</v>
      </c>
      <c r="KK37" s="207" t="str">
        <f>IFERROR(INDEX($A$2:$A$113,MATCH(ROWS($GO$2:GO37),$GO$2:$GO$113,0)),"")</f>
        <v>AMENAZAS SIMPLE (ALARMAR O AMEDRENTAR)</v>
      </c>
      <c r="KL37" s="207" t="str">
        <f>IFERROR(INDEX($A$2:$A$113,MATCH(ROWS($GP$2:GP37),$GP$2:$GP$113,0)),"")</f>
        <v>AMENAZAS SIMPLE (ALARMAR O AMEDRENTAR)</v>
      </c>
      <c r="KM37" s="207" t="str">
        <f>IFERROR(INDEX($A$2:$A$113,MATCH(ROWS($GQ$2:GQ37),$GQ$2:$GQ$113,0)),"")</f>
        <v>AMENAZAS SIMPLE (ALARMAR O AMEDRENTAR)</v>
      </c>
      <c r="KN37" s="207" t="str">
        <f>IFERROR(INDEX($A$2:$A$113,MATCH(ROWS($GR$2:GR37),$GR$2:$GR$113,0)),"")</f>
        <v>AMENAZAS SIMPLE (ALARMAR O AMEDRENTAR)</v>
      </c>
      <c r="KO37" s="207" t="str">
        <f>IFERROR(INDEX($A$2:$A$113,MATCH(ROWS($GS$2:GS37),$GS$2:$GS$113,0)),"")</f>
        <v>AMENAZAS SIMPLE (ALARMAR O AMEDRENTAR)</v>
      </c>
      <c r="KP37" s="207" t="str">
        <f>IFERROR(INDEX($A$2:$A$113,MATCH(ROWS($GT$2:GT37),$GT$2:$GT$113,0)),"")</f>
        <v>AMENAZAS SIMPLE (ALARMAR O AMEDRENTAR)</v>
      </c>
      <c r="KQ37" s="207" t="str">
        <f>IFERROR(INDEX($A$2:$A$113,MATCH(ROWS($GU$2:GU37),$GU$2:$GU$113,0)),"")</f>
        <v>AMENAZAS SIMPLE (ALARMAR O AMEDRENTAR)</v>
      </c>
      <c r="KR37" s="207" t="str">
        <f>IFERROR(INDEX($A$2:$A$113,MATCH(ROWS($GV$2:GV37),$GV$2:$GV$113,0)),"")</f>
        <v>AMENAZAS SIMPLE (ALARMAR O AMEDRENTAR)</v>
      </c>
      <c r="KS37" s="207" t="str">
        <f>IFERROR(INDEX($A$2:$A$113,MATCH(ROWS($GW$2:GW37),$GW$2:$GW$113,0)),"")</f>
        <v>AMENAZAS SIMPLE (ALARMAR O AMEDRENTAR)</v>
      </c>
    </row>
    <row r="38" spans="1:305" x14ac:dyDescent="0.25">
      <c r="A38" s="206" t="s">
        <v>80</v>
      </c>
      <c r="B38" s="206">
        <v>13</v>
      </c>
      <c r="D38" s="206" t="s">
        <v>12</v>
      </c>
      <c r="E38" s="206" t="s">
        <v>76</v>
      </c>
      <c r="F38" s="207">
        <f>--ISNUMBER(IFERROR(SEARCH('PLANILLA DJ'!$X$3,$A38,1),""))</f>
        <v>1</v>
      </c>
      <c r="G38" s="207">
        <f>--ISNUMBER(IFERROR(SEARCH('PLANILLA DJ'!$X$4,$A38,1),""))</f>
        <v>1</v>
      </c>
      <c r="H38" s="207">
        <f>--ISNUMBER(IFERROR(SEARCH('PLANILLA DJ'!$X$5,$A38,1),""))</f>
        <v>1</v>
      </c>
      <c r="I38" s="207">
        <f>--ISNUMBER(IFERROR(SEARCH('PLANILLA DJ'!$X$6,$A38,1),""))</f>
        <v>1</v>
      </c>
      <c r="J38" s="207">
        <f>--ISNUMBER(IFERROR(SEARCH('PLANILLA DJ'!$X$7,$A38,1),""))</f>
        <v>1</v>
      </c>
      <c r="K38" s="207">
        <f>--ISNUMBER(IFERROR(SEARCH('PLANILLA DJ'!$X$8,$A38,1),""))</f>
        <v>1</v>
      </c>
      <c r="L38" s="207">
        <f>--ISNUMBER(IFERROR(SEARCH('PLANILLA DJ'!$X$9,$A38,1),""))</f>
        <v>1</v>
      </c>
      <c r="M38" s="207">
        <f>--ISNUMBER(IFERROR(SEARCH('PLANILLA DJ'!$X$10,$A38,1),""))</f>
        <v>1</v>
      </c>
      <c r="N38" s="207">
        <f>--ISNUMBER(IFERROR(SEARCH('PLANILLA DJ'!$X$11,$A38,1),""))</f>
        <v>1</v>
      </c>
      <c r="O38" s="207">
        <f>--ISNUMBER(IFERROR(SEARCH('PLANILLA DJ'!$X$12,$A38,1),""))</f>
        <v>1</v>
      </c>
      <c r="P38" s="207">
        <f>--ISNUMBER(IFERROR(SEARCH('PLANILLA DJ'!$X$13,$A38,1),""))</f>
        <v>1</v>
      </c>
      <c r="Q38" s="207">
        <f>--ISNUMBER(IFERROR(SEARCH('PLANILLA DJ'!$X$14,$A38,1),""))</f>
        <v>1</v>
      </c>
      <c r="R38" s="207">
        <f>--ISNUMBER(IFERROR(SEARCH('PLANILLA DJ'!$X$15,$A38,1),""))</f>
        <v>1</v>
      </c>
      <c r="S38" s="207">
        <f>--ISNUMBER(IFERROR(SEARCH('PLANILLA DJ'!$X$16,$A38,1),""))</f>
        <v>1</v>
      </c>
      <c r="T38" s="207">
        <f>--ISNUMBER(IFERROR(SEARCH('PLANILLA DJ'!$X$17,$A38,1),""))</f>
        <v>1</v>
      </c>
      <c r="U38" s="207">
        <f>--ISNUMBER(IFERROR(SEARCH('PLANILLA DJ'!$X$18,$A38,1),""))</f>
        <v>1</v>
      </c>
      <c r="V38" s="207">
        <f>--ISNUMBER(IFERROR(SEARCH('PLANILLA DJ'!$X$19,$A38,1),""))</f>
        <v>1</v>
      </c>
      <c r="W38" s="207">
        <f>--ISNUMBER(IFERROR(SEARCH('PLANILLA DJ'!$X$20,$A38,1),""))</f>
        <v>1</v>
      </c>
      <c r="X38" s="207">
        <f>--ISNUMBER(IFERROR(SEARCH('PLANILLA DJ'!$X$21,$A38,1),""))</f>
        <v>1</v>
      </c>
      <c r="Y38" s="207">
        <f>--ISNUMBER(IFERROR(SEARCH('PLANILLA DJ'!$X$22,$A38,1),""))</f>
        <v>1</v>
      </c>
      <c r="Z38" s="207">
        <f>--ISNUMBER(IFERROR(SEARCH('PLANILLA DJ'!$X$23,$A38,1),""))</f>
        <v>1</v>
      </c>
      <c r="AA38" s="207">
        <f>--ISNUMBER(IFERROR(SEARCH('PLANILLA DJ'!$X$24,$A38,1),""))</f>
        <v>1</v>
      </c>
      <c r="AB38" s="207">
        <f>--ISNUMBER(IFERROR(SEARCH('PLANILLA DJ'!$X$25,$A38,1),""))</f>
        <v>1</v>
      </c>
      <c r="AC38" s="207">
        <f>--ISNUMBER(IFERROR(SEARCH('PLANILLA DJ'!$X$26,$A38,1),""))</f>
        <v>1</v>
      </c>
      <c r="AD38" s="207">
        <f>--ISNUMBER(IFERROR(SEARCH('PLANILLA DJ'!$X$27,$A38,1),""))</f>
        <v>1</v>
      </c>
      <c r="AE38" s="207">
        <f>--ISNUMBER(IFERROR(SEARCH('PLANILLA DJ'!$X$28,$A38,1),""))</f>
        <v>1</v>
      </c>
      <c r="AF38" s="207">
        <f>--ISNUMBER(IFERROR(SEARCH('PLANILLA DJ'!$X$29,$A38,1),""))</f>
        <v>1</v>
      </c>
      <c r="AG38" s="207">
        <f>--ISNUMBER(IFERROR(SEARCH('PLANILLA DJ'!$X$30,$A38,1),""))</f>
        <v>1</v>
      </c>
      <c r="AH38" s="207">
        <f>--ISNUMBER(IFERROR(SEARCH('PLANILLA DJ'!$X$31,$A38,1),""))</f>
        <v>1</v>
      </c>
      <c r="AI38" s="207">
        <f>--ISNUMBER(IFERROR(SEARCH('PLANILLA DJ'!$X$32,$A38,1),""))</f>
        <v>1</v>
      </c>
      <c r="AJ38" s="207">
        <f>--ISNUMBER(IFERROR(SEARCH('PLANILLA DJ'!$X$33,$A38,1),""))</f>
        <v>1</v>
      </c>
      <c r="AK38" s="207">
        <f>--ISNUMBER(IFERROR(SEARCH('PLANILLA DJ'!$X$34,$A38,1),""))</f>
        <v>1</v>
      </c>
      <c r="AL38" s="207">
        <f>--ISNUMBER(IFERROR(SEARCH('PLANILLA DJ'!$X$35,$A38,1),""))</f>
        <v>1</v>
      </c>
      <c r="AM38" s="207">
        <f>--ISNUMBER(IFERROR(SEARCH('PLANILLA DJ'!$X$36,$A38,1),""))</f>
        <v>1</v>
      </c>
      <c r="AN38" s="207">
        <f>--ISNUMBER(IFERROR(SEARCH('PLANILLA DJ'!$X$37,$A38,1),""))</f>
        <v>1</v>
      </c>
      <c r="AO38" s="207">
        <f>--ISNUMBER(IFERROR(SEARCH('PLANILLA DJ'!$X$38,$A38,1),""))</f>
        <v>1</v>
      </c>
      <c r="AP38" s="207">
        <f>--ISNUMBER(IFERROR(SEARCH('PLANILLA DJ'!$X$39,$A38,1),""))</f>
        <v>1</v>
      </c>
      <c r="AQ38" s="207">
        <f>--ISNUMBER(IFERROR(SEARCH('PLANILLA DJ'!$X$40,$A38,1),""))</f>
        <v>1</v>
      </c>
      <c r="AR38" s="207">
        <f>--ISNUMBER(IFERROR(SEARCH('PLANILLA DJ'!$X$41,$A38,1),""))</f>
        <v>1</v>
      </c>
      <c r="AS38" s="207">
        <f>--ISNUMBER(IFERROR(SEARCH('PLANILLA DJ'!$X$42,$A38,1),""))</f>
        <v>1</v>
      </c>
      <c r="AT38" s="207">
        <f>--ISNUMBER(IFERROR(SEARCH('PLANILLA DJ'!$X$43,$A38,1),""))</f>
        <v>1</v>
      </c>
      <c r="AU38" s="207">
        <f>--ISNUMBER(IFERROR(SEARCH('PLANILLA DJ'!$X$44,$A38,1),""))</f>
        <v>1</v>
      </c>
      <c r="AV38" s="207">
        <f>--ISNUMBER(IFERROR(SEARCH('PLANILLA DJ'!$X$45,$A38,1),""))</f>
        <v>1</v>
      </c>
      <c r="AW38" s="207">
        <f>--ISNUMBER(IFERROR(SEARCH('PLANILLA DJ'!$X$46,$A38,1),""))</f>
        <v>1</v>
      </c>
      <c r="AX38" s="207">
        <f>--ISNUMBER(IFERROR(SEARCH('PLANILLA DJ'!$X$47,$A38,1),""))</f>
        <v>1</v>
      </c>
      <c r="AY38" s="207">
        <f>--ISNUMBER(IFERROR(SEARCH('PLANILLA DJ'!$X$48,$A38,1),""))</f>
        <v>1</v>
      </c>
      <c r="AZ38" s="207">
        <f>--ISNUMBER(IFERROR(SEARCH('PLANILLA DJ'!$X$49,$A38,1),""))</f>
        <v>1</v>
      </c>
      <c r="BA38" s="207">
        <f>--ISNUMBER(IFERROR(SEARCH('PLANILLA DJ'!$X$50,$A38,1),""))</f>
        <v>1</v>
      </c>
      <c r="BB38" s="207">
        <f>--ISNUMBER(IFERROR(SEARCH('PLANILLA DJ'!$X$51,$A38,1),""))</f>
        <v>1</v>
      </c>
      <c r="BC38" s="207">
        <f>--ISNUMBER(IFERROR(SEARCH('PLANILLA DJ'!$X$52,$A38,1),""))</f>
        <v>1</v>
      </c>
      <c r="BD38" s="207">
        <f>--ISNUMBER(IFERROR(SEARCH('PLANILLA DJ'!$X$53,$A38,1),""))</f>
        <v>1</v>
      </c>
      <c r="BE38" s="207">
        <f>--ISNUMBER(IFERROR(SEARCH('PLANILLA DJ'!$X$54,$A38,1),""))</f>
        <v>1</v>
      </c>
      <c r="BF38" s="207">
        <f>--ISNUMBER(IFERROR(SEARCH('PLANILLA DJ'!$X$55,$A38,1),""))</f>
        <v>1</v>
      </c>
      <c r="BG38" s="207">
        <f>--ISNUMBER(IFERROR(SEARCH('PLANILLA DJ'!$X$56,$A38,1),""))</f>
        <v>1</v>
      </c>
      <c r="BH38" s="207">
        <f>--ISNUMBER(IFERROR(SEARCH('PLANILLA DJ'!$X$57,$A38,1),""))</f>
        <v>1</v>
      </c>
      <c r="BI38" s="207">
        <f>--ISNUMBER(IFERROR(SEARCH('PLANILLA DJ'!$X$58,$A38,1),""))</f>
        <v>1</v>
      </c>
      <c r="BJ38" s="207">
        <f>--ISNUMBER(IFERROR(SEARCH('PLANILLA DJ'!$X$59,$A38,1),""))</f>
        <v>1</v>
      </c>
      <c r="BK38" s="207">
        <f>--ISNUMBER(IFERROR(SEARCH('PLANILLA DJ'!$X$60,$A38,1),""))</f>
        <v>1</v>
      </c>
      <c r="BL38" s="207">
        <f>--ISNUMBER(IFERROR(SEARCH('PLANILLA DJ'!$X$61,$A38,1),""))</f>
        <v>1</v>
      </c>
      <c r="BM38" s="207">
        <f>--ISNUMBER(IFERROR(SEARCH('PLANILLA DJ'!$X$62,$A38,1),""))</f>
        <v>1</v>
      </c>
      <c r="BN38" s="207">
        <f>--ISNUMBER(IFERROR(SEARCH('PLANILLA DJ'!$X$63,$A38,1),""))</f>
        <v>1</v>
      </c>
      <c r="BO38" s="207">
        <f>--ISNUMBER(IFERROR(SEARCH('PLANILLA DJ'!$X$64,$A38,1),""))</f>
        <v>1</v>
      </c>
      <c r="BP38" s="207">
        <f>--ISNUMBER(IFERROR(SEARCH('PLANILLA DJ'!$X$65,$A38,1),""))</f>
        <v>1</v>
      </c>
      <c r="BQ38" s="207">
        <f>--ISNUMBER(IFERROR(SEARCH('PLANILLA DJ'!$X$66,$A38,1),""))</f>
        <v>1</v>
      </c>
      <c r="BR38" s="207">
        <f>--ISNUMBER(IFERROR(SEARCH('PLANILLA DJ'!$X$67,$A38,1),""))</f>
        <v>1</v>
      </c>
      <c r="BS38" s="207">
        <f>--ISNUMBER(IFERROR(SEARCH('PLANILLA DJ'!$X$68,$A38,1),""))</f>
        <v>1</v>
      </c>
      <c r="BT38" s="207">
        <f>--ISNUMBER(IFERROR(SEARCH('PLANILLA DJ'!$X$69,$A38,1),""))</f>
        <v>1</v>
      </c>
      <c r="BU38" s="207">
        <f>--ISNUMBER(IFERROR(SEARCH('PLANILLA DJ'!$X$70,$A38,1),""))</f>
        <v>1</v>
      </c>
      <c r="BV38" s="207">
        <f>--ISNUMBER(IFERROR(SEARCH('PLANILLA DJ'!$X$71,$A38,1),""))</f>
        <v>1</v>
      </c>
      <c r="BW38" s="207">
        <f>--ISNUMBER(IFERROR(SEARCH('PLANILLA DJ'!$X$72,$A38,1),""))</f>
        <v>1</v>
      </c>
      <c r="BX38" s="207">
        <f>--ISNUMBER(IFERROR(SEARCH('PLANILLA DJ'!$X$73,$A38,1),""))</f>
        <v>1</v>
      </c>
      <c r="BY38" s="207">
        <f>--ISNUMBER(IFERROR(SEARCH('PLANILLA DJ'!$X$74,$A38,1),""))</f>
        <v>1</v>
      </c>
      <c r="BZ38" s="207">
        <f>--ISNUMBER(IFERROR(SEARCH('PLANILLA DJ'!$X$75,$A38,1),""))</f>
        <v>1</v>
      </c>
      <c r="CA38" s="207">
        <f>--ISNUMBER(IFERROR(SEARCH('PLANILLA DJ'!$X$76,$A38,1),""))</f>
        <v>1</v>
      </c>
      <c r="CB38" s="207">
        <f>--ISNUMBER(IFERROR(SEARCH('PLANILLA DJ'!$X$77,$A38,1),""))</f>
        <v>1</v>
      </c>
      <c r="CC38" s="207">
        <f>--ISNUMBER(IFERROR(SEARCH('PLANILLA DJ'!$X$78,$A38,1),""))</f>
        <v>1</v>
      </c>
      <c r="CD38" s="207">
        <f>--ISNUMBER(IFERROR(SEARCH('PLANILLA DJ'!$X$79,$A38,1),""))</f>
        <v>1</v>
      </c>
      <c r="CE38" s="207">
        <f>--ISNUMBER(IFERROR(SEARCH('PLANILLA DJ'!$X$80,$A38,1),""))</f>
        <v>1</v>
      </c>
      <c r="CF38" s="207">
        <f>--ISNUMBER(IFERROR(SEARCH('PLANILLA DJ'!$X$81,$A38,1),""))</f>
        <v>1</v>
      </c>
      <c r="CG38" s="207">
        <f>--ISNUMBER(IFERROR(SEARCH('PLANILLA DJ'!$X$82,$A38,1),""))</f>
        <v>1</v>
      </c>
      <c r="CH38" s="207">
        <f>--ISNUMBER(IFERROR(SEARCH('PLANILLA DJ'!$X$83,$A38,1),""))</f>
        <v>1</v>
      </c>
      <c r="CI38" s="207">
        <f>--ISNUMBER(IFERROR(SEARCH('PLANILLA DJ'!$X$84,$A38,1),""))</f>
        <v>1</v>
      </c>
      <c r="CJ38" s="207">
        <f>--ISNUMBER(IFERROR(SEARCH('PLANILLA DJ'!$X$85,$A38,1),""))</f>
        <v>1</v>
      </c>
      <c r="CK38" s="207">
        <f>--ISNUMBER(IFERROR(SEARCH('PLANILLA DJ'!$X$86,$A38,1),""))</f>
        <v>1</v>
      </c>
      <c r="CL38" s="207">
        <f>--ISNUMBER(IFERROR(SEARCH('PLANILLA DJ'!$X$87,$A38,1),""))</f>
        <v>1</v>
      </c>
      <c r="CM38" s="207">
        <f>--ISNUMBER(IFERROR(SEARCH('PLANILLA DJ'!$X$88,$A38,1),""))</f>
        <v>1</v>
      </c>
      <c r="CN38" s="207">
        <f>--ISNUMBER(IFERROR(SEARCH('PLANILLA DJ'!$X$89,$A38,1),""))</f>
        <v>1</v>
      </c>
      <c r="CO38" s="207">
        <f>--ISNUMBER(IFERROR(SEARCH('PLANILLA DJ'!$X$90,$A38,1),""))</f>
        <v>1</v>
      </c>
      <c r="CP38" s="207">
        <f>--ISNUMBER(IFERROR(SEARCH('PLANILLA DJ'!$X$91,$A38,1),""))</f>
        <v>1</v>
      </c>
      <c r="CQ38" s="207">
        <f>--ISNUMBER(IFERROR(SEARCH('PLANILLA DJ'!$X$92,$A38,1),""))</f>
        <v>1</v>
      </c>
      <c r="CR38" s="207">
        <f>--ISNUMBER(IFERROR(SEARCH('PLANILLA DJ'!$X$93,$A38,1),""))</f>
        <v>1</v>
      </c>
      <c r="CS38" s="207">
        <f>--ISNUMBER(IFERROR(SEARCH('PLANILLA DJ'!$X$94,$A38,1),""))</f>
        <v>1</v>
      </c>
      <c r="CT38" s="207">
        <f>--ISNUMBER(IFERROR(SEARCH('PLANILLA DJ'!$X$95,$A38,1),""))</f>
        <v>1</v>
      </c>
      <c r="CU38" s="207">
        <f>--ISNUMBER(IFERROR(SEARCH('PLANILLA DJ'!$X$96,$A38,1),""))</f>
        <v>1</v>
      </c>
      <c r="CV38" s="207">
        <f>--ISNUMBER(IFERROR(SEARCH('PLANILLA DJ'!$X$97,$A38,1),""))</f>
        <v>1</v>
      </c>
      <c r="CW38" s="207">
        <f>--ISNUMBER(IFERROR(SEARCH('PLANILLA DJ'!$X$98,$A38,1),""))</f>
        <v>1</v>
      </c>
      <c r="CX38" s="207">
        <f>--ISNUMBER(IFERROR(SEARCH('PLANILLA DJ'!$X$99,$A38,1),""))</f>
        <v>1</v>
      </c>
      <c r="CY38" s="207">
        <f>--ISNUMBER(IFERROR(SEARCH('PLANILLA DJ'!$X$100,$A38,1),""))</f>
        <v>1</v>
      </c>
      <c r="CZ38" s="207">
        <f>--ISNUMBER(IFERROR(SEARCH('PLANILLA DJ'!$X$101,$A38,1),""))</f>
        <v>1</v>
      </c>
      <c r="DA38" s="207">
        <f>--ISNUMBER(IFERROR(SEARCH('PLANILLA DJ'!$X$102,$A38,1),""))</f>
        <v>1</v>
      </c>
      <c r="DB38" s="206">
        <f>IF(F38=1,COUNTIF($F$2:F38,1),"")</f>
        <v>37</v>
      </c>
      <c r="DC38" s="206">
        <f>IF(G38=1,COUNTIF($G$2:G38,1),"")</f>
        <v>37</v>
      </c>
      <c r="DD38" s="206">
        <f>IF(H38=1,COUNTIF($H$2:H38,1),"")</f>
        <v>37</v>
      </c>
      <c r="DE38" s="206">
        <f>IF(I38=1,COUNTIF($I$2:I38,1),"")</f>
        <v>37</v>
      </c>
      <c r="DF38" s="206">
        <f>IF(J38=1,COUNTIF($J$2:J38,1),"")</f>
        <v>37</v>
      </c>
      <c r="DG38" s="206">
        <f>IF(K38=1,COUNTIF($K$2:K38,1),"")</f>
        <v>37</v>
      </c>
      <c r="DH38" s="206">
        <f>IF(L38=1,COUNTIF($L$2:L38,1),"")</f>
        <v>37</v>
      </c>
      <c r="DI38" s="206">
        <f>IF(M38=1,COUNTIF($M$2:M38,1),"")</f>
        <v>37</v>
      </c>
      <c r="DJ38" s="206">
        <f>IF(N38=1,COUNTIF($N$2:N38,1),"")</f>
        <v>37</v>
      </c>
      <c r="DK38" s="206">
        <f>IF(O38=1,COUNTIF($O$2:O38,1),"")</f>
        <v>37</v>
      </c>
      <c r="DL38" s="206">
        <f>IF(P38=1,COUNTIF($P$2:P38,1),"")</f>
        <v>37</v>
      </c>
      <c r="DM38" s="206">
        <f>IF(Q38=1,COUNTIF($Q$2:Q38,1),"")</f>
        <v>37</v>
      </c>
      <c r="DN38" s="207">
        <f>IF(R38=1,COUNTIF($R$2:R38,1),"")</f>
        <v>37</v>
      </c>
      <c r="DO38" s="207">
        <f>IF(S38=1,COUNTIF($S$2:S38,1),"")</f>
        <v>37</v>
      </c>
      <c r="DP38" s="207">
        <f>IF(T38=1,COUNTIF($T$2:T38,1),"")</f>
        <v>37</v>
      </c>
      <c r="DQ38" s="207">
        <f>IF(U38=1,COUNTIF($U$2:U38,1),"")</f>
        <v>37</v>
      </c>
      <c r="DR38" s="207">
        <f>IF(V38=1,COUNTIF($V$2:V38,1),"")</f>
        <v>37</v>
      </c>
      <c r="DS38" s="207">
        <f>IF(W38=1,COUNTIF($W$2:W38,1),"")</f>
        <v>37</v>
      </c>
      <c r="DT38" s="207">
        <f>IF(X38=1,COUNTIF($X$2:X38,1),"")</f>
        <v>37</v>
      </c>
      <c r="DU38" s="207">
        <f>IF(Y38=1,COUNTIF($Y$2:Y38,1),"")</f>
        <v>37</v>
      </c>
      <c r="DV38" s="207">
        <f>IF(Z38=1,COUNTIF(Z$2:Z38,1),"")</f>
        <v>37</v>
      </c>
      <c r="DW38" s="207">
        <f>IF(AA38=1,COUNTIF($AA$2:AA38,1),"")</f>
        <v>37</v>
      </c>
      <c r="DX38" s="207">
        <f>IF(AB38=1,COUNTIF($AB$2:AB38,1),"")</f>
        <v>37</v>
      </c>
      <c r="DY38" s="207">
        <f>IF(AC38=1,COUNTIF($AC$2:AC38,1),"")</f>
        <v>37</v>
      </c>
      <c r="DZ38" s="207">
        <f>IF(AD38=1,COUNTIF($AD$2:AD38,1),"")</f>
        <v>37</v>
      </c>
      <c r="EA38" s="207">
        <f>IF(AE38=1,COUNTIF($AE$2:AE38,1),"")</f>
        <v>37</v>
      </c>
      <c r="EB38" s="207">
        <f>IF(AF38=1,COUNTIF($AF$2:AF38,1),"")</f>
        <v>37</v>
      </c>
      <c r="EC38" s="207">
        <f>IF(AG38=1,COUNTIF($AG$2:AG38,1),"")</f>
        <v>37</v>
      </c>
      <c r="ED38" s="207">
        <f>IF(AH38=1,COUNTIF($AH$2:AH38,1),"")</f>
        <v>37</v>
      </c>
      <c r="EE38" s="207">
        <f>IF(AI38=1,COUNTIF($AI$2:AI38,1),"")</f>
        <v>37</v>
      </c>
      <c r="EF38" s="207">
        <f>IF(AJ38=1,COUNTIF($AJ$2:AJ38,1),"")</f>
        <v>37</v>
      </c>
      <c r="EG38" s="207">
        <f>IF(AK38=1,COUNTIF($AK$2:AK38,1),"")</f>
        <v>37</v>
      </c>
      <c r="EH38" s="207">
        <f>IF(AL38=1,COUNTIF($AL$2:AL38,1),"")</f>
        <v>37</v>
      </c>
      <c r="EI38" s="207">
        <f>IF(AM38=1,COUNTIF($AM$2:AM38,1),"")</f>
        <v>37</v>
      </c>
      <c r="EJ38" s="207">
        <f>IF(AN38=1,COUNTIF($AN$2:AN38,1),"")</f>
        <v>37</v>
      </c>
      <c r="EK38" s="207">
        <f>IF(AO38=1,COUNTIF($AO$2:AO38,1),"")</f>
        <v>37</v>
      </c>
      <c r="EL38" s="207">
        <f>IF(AP38=1,COUNTIF($AP$2:AP38,1),"")</f>
        <v>37</v>
      </c>
      <c r="EM38" s="207">
        <f>IF(AQ38=1,COUNTIF($AQ$2:AQ38,1),"")</f>
        <v>37</v>
      </c>
      <c r="EN38" s="207">
        <f>IF(AR38=1,COUNTIF($AR$2:AR38,1),"")</f>
        <v>37</v>
      </c>
      <c r="EO38" s="207">
        <f>IF(AS38=1,COUNTIF($AS$2:AS38,1),"")</f>
        <v>37</v>
      </c>
      <c r="EP38" s="207">
        <f>IF(AT38=1,COUNTIF($AT$2:AT38,1),"")</f>
        <v>37</v>
      </c>
      <c r="EQ38" s="207">
        <f>IF(AU38=1,COUNTIF($AU$2:AU38,1),"")</f>
        <v>37</v>
      </c>
      <c r="ER38" s="207">
        <f>IF(AV38=1,COUNTIF($AV$2:AV38,1),"")</f>
        <v>37</v>
      </c>
      <c r="ES38" s="207">
        <f>IF(AW38=1,COUNTIF($AW$2:AW38,1),"")</f>
        <v>37</v>
      </c>
      <c r="ET38" s="207">
        <f>IF(AX38=1,COUNTIF($AX$2:AX38,1),"")</f>
        <v>37</v>
      </c>
      <c r="EU38" s="207">
        <f>IF(AY38=1,COUNTIF($AY$2:AY38,1),"")</f>
        <v>37</v>
      </c>
      <c r="EV38" s="207">
        <f>IF(AZ38=1,COUNTIF($AZ$2:AZ38,1),"")</f>
        <v>37</v>
      </c>
      <c r="EW38" s="207">
        <f>IF(BA38=1,COUNTIF($BA$2:BA38,1),"")</f>
        <v>37</v>
      </c>
      <c r="EX38" s="207">
        <f>IF(BB38=1,COUNTIF($BB$2:BB38,1),"")</f>
        <v>37</v>
      </c>
      <c r="EY38" s="207">
        <f>IF(BC38=1,COUNTIF($BC$2:BC38,1),"")</f>
        <v>37</v>
      </c>
      <c r="EZ38" s="207">
        <f>IF(BD38=1,COUNTIF($BD$2:BD38,1),"")</f>
        <v>37</v>
      </c>
      <c r="FA38" s="207">
        <f>IF(BE38=1,COUNTIF($BE$2:BE38,1),"")</f>
        <v>37</v>
      </c>
      <c r="FB38" s="207">
        <f>IF(BF38=1,COUNTIF($BF$2:BF38,1),"")</f>
        <v>37</v>
      </c>
      <c r="FC38" s="207">
        <f>IF(BG38=1,COUNTIF($BG$2:BG38,1),"")</f>
        <v>37</v>
      </c>
      <c r="FD38" s="207">
        <f>IF(BH38=1,COUNTIF($BH$2:BH38,1),"")</f>
        <v>37</v>
      </c>
      <c r="FE38" s="207">
        <f>IF(BI38=1,COUNTIF($BI$2:BI38,1),"")</f>
        <v>37</v>
      </c>
      <c r="FF38" s="207">
        <f>IF(BJ38=1,COUNTIF($BJ$2:BJ38,1),"")</f>
        <v>37</v>
      </c>
      <c r="FG38" s="207">
        <f>IF(BK38=1,COUNTIF($BK$2:BK38,1),"")</f>
        <v>37</v>
      </c>
      <c r="FH38" s="207">
        <f>IF(BL38=1,COUNTIF($BL$2:BL38,1),"")</f>
        <v>37</v>
      </c>
      <c r="FI38" s="207">
        <f>IF(BM38=1,COUNTIF($BM$2:BM38,1),"")</f>
        <v>37</v>
      </c>
      <c r="FJ38" s="207">
        <f>IF(BN38=1,COUNTIF($BN$2:BN38,1),"")</f>
        <v>37</v>
      </c>
      <c r="FK38" s="207">
        <f>IF(BO38=1,COUNTIF($BO$2:BO38,1),"")</f>
        <v>37</v>
      </c>
      <c r="FL38" s="207">
        <f>IF(BP38=1,COUNTIF($BP$2:BP38,1),"")</f>
        <v>37</v>
      </c>
      <c r="FM38" s="207">
        <f>IF(BQ38=1,COUNTIF($BQ$2:BQ38,1),"")</f>
        <v>37</v>
      </c>
      <c r="FN38" s="207">
        <f>IF(BR38=1,COUNTIF($BR$2:BR38,1),"")</f>
        <v>37</v>
      </c>
      <c r="FO38" s="207">
        <f>IF(BS38=1,COUNTIF($BS$2:BS38,1),"")</f>
        <v>37</v>
      </c>
      <c r="FP38" s="207">
        <f>IF(BT38=1,COUNTIF($BT$2:BT38,1),"")</f>
        <v>37</v>
      </c>
      <c r="FQ38" s="207">
        <f>IF(BU38=1,COUNTIF($BU$2:BU38,1),"")</f>
        <v>37</v>
      </c>
      <c r="FR38" s="207">
        <f>IF(BV38=1,COUNTIF($BV$2:BV38,1),"")</f>
        <v>37</v>
      </c>
      <c r="FS38" s="207">
        <f>IF(BW38=1,COUNTIF($BW$2:BW38,1),"")</f>
        <v>37</v>
      </c>
      <c r="FT38" s="207">
        <f>IF(BX38=1,COUNTIF($BX$2:BX38,1),"")</f>
        <v>37</v>
      </c>
      <c r="FU38" s="207">
        <f>IF(BY38=1,COUNTIF($BY$2:BY38,1),"")</f>
        <v>37</v>
      </c>
      <c r="FV38" s="207">
        <f>IF(BZ38=1,COUNTIF($BZ$2:BZ38,1),"")</f>
        <v>37</v>
      </c>
      <c r="FW38" s="207">
        <f>IF(CA38=1,COUNTIF($CA$2:CA38,1),"")</f>
        <v>37</v>
      </c>
      <c r="FX38" s="207">
        <f>IF(CB38=1,COUNTIF($CB$2:CB38,1),"")</f>
        <v>37</v>
      </c>
      <c r="FY38" s="207">
        <f>IF(CC38=1,COUNTIF($CC$2:CC38,1),"")</f>
        <v>37</v>
      </c>
      <c r="FZ38" s="207">
        <f>IF(CD38=1,COUNTIF($CD$2:CD38,1),"")</f>
        <v>37</v>
      </c>
      <c r="GA38" s="207">
        <f>IF(CE38=1,COUNTIF($CE$2:CE38,1),"")</f>
        <v>37</v>
      </c>
      <c r="GB38" s="207">
        <f>IF(CF38=1,COUNTIF($CF$2:CF38,1),"")</f>
        <v>37</v>
      </c>
      <c r="GC38" s="207">
        <f>IF(CG38=1,COUNTIF($CG$2:CG38,1),"")</f>
        <v>37</v>
      </c>
      <c r="GD38" s="207">
        <f>IF(CH38=1,COUNTIF($CH$2:CH38,1),"")</f>
        <v>37</v>
      </c>
      <c r="GE38" s="207">
        <f>IF(CI38=1,COUNTIF($CI$2:CI38,1),"")</f>
        <v>37</v>
      </c>
      <c r="GF38" s="207">
        <f>IF(CJ38=1,COUNTIF($CJ$2:CJ38,1),"")</f>
        <v>37</v>
      </c>
      <c r="GG38" s="207">
        <f>IF(CK38=1,COUNTIF($CK$2:CK38,1),"")</f>
        <v>37</v>
      </c>
      <c r="GH38" s="207">
        <f>IF(CL38=1,COUNTIF($CL$2:CL38,1),"")</f>
        <v>37</v>
      </c>
      <c r="GI38" s="207">
        <f>IF(CM38=1,COUNTIF($CM$2:CM38,1),"")</f>
        <v>37</v>
      </c>
      <c r="GJ38" s="207">
        <f>IF(CN38=1,COUNTIF($CN$2:CN38,1),"")</f>
        <v>37</v>
      </c>
      <c r="GK38" s="207">
        <f>IF(CO38=1,COUNTIF($CO$2:CO38,1),"")</f>
        <v>37</v>
      </c>
      <c r="GL38" s="207">
        <f>IF(CP38=1,COUNTIF($CP$2:CP38,1),"")</f>
        <v>37</v>
      </c>
      <c r="GM38" s="207">
        <f>IF(CQ38=1,COUNTIF($CQ$2:CQ38,1),"")</f>
        <v>37</v>
      </c>
      <c r="GN38" s="207">
        <f>IF(CR38=1,COUNTIF($CR$2:CR38,1),"")</f>
        <v>37</v>
      </c>
      <c r="GO38" s="207">
        <f>IF(CS38=1,COUNTIF($CS$2:CS38,1),"")</f>
        <v>37</v>
      </c>
      <c r="GP38" s="207">
        <f>IF(CT38=1,COUNTIF($CT$2:CT38,1),"")</f>
        <v>37</v>
      </c>
      <c r="GQ38" s="207">
        <f>IF(CU38=1,COUNTIF($CU$2:CU38,1),"")</f>
        <v>37</v>
      </c>
      <c r="GR38" s="207">
        <f>IF(CV38=1,COUNTIF($CV$2:CV38,1),"")</f>
        <v>37</v>
      </c>
      <c r="GS38" s="207">
        <f>IF(CW38=1,COUNTIF($CW$2:CW38,1),"")</f>
        <v>37</v>
      </c>
      <c r="GT38" s="207">
        <f>IF(CX38=1,COUNTIF($CX$2:CX38,1),"")</f>
        <v>37</v>
      </c>
      <c r="GU38" s="207">
        <f>IF(CY38=1,COUNTIF($CY$2:CY38,1),"")</f>
        <v>37</v>
      </c>
      <c r="GV38" s="207">
        <f>IF(CZ38=1,COUNTIF($CZ$2:CZ38,1),"")</f>
        <v>37</v>
      </c>
      <c r="GW38" s="207">
        <f>IF(DA38=1,COUNTIF($DA$2:DA38,1),"")</f>
        <v>37</v>
      </c>
      <c r="GX38" s="206" t="str">
        <f>IFERROR(INDEX($A$2:$A$113,MATCH(ROWS($DB$2:DB38),$DB$2:$DB$113,0)),"")</f>
        <v>AMENAZAS CALIFICADA POR EL USO DE ARMAS</v>
      </c>
      <c r="GY38" s="206" t="str">
        <f>IFERROR(INDEX($A$2:$A$113,MATCH(ROWS($DC$2:DC38),$DC$2:$DC$113,0)),"")</f>
        <v>AMENAZAS CALIFICADA POR EL USO DE ARMAS</v>
      </c>
      <c r="GZ38" s="206" t="str">
        <f>IFERROR(INDEX($A$2:$A$113,MATCH(ROWS($DD$2:DD38),$DD$2:$DD$113,0)),"")</f>
        <v>AMENAZAS CALIFICADA POR EL USO DE ARMAS</v>
      </c>
      <c r="HA38" s="206" t="str">
        <f>IFERROR(INDEX($A$2:$A$113,MATCH(ROWS($DE$2:DE38),$DE$2:$DE$113,0)),"")</f>
        <v>AMENAZAS CALIFICADA POR EL USO DE ARMAS</v>
      </c>
      <c r="HB38" s="206" t="str">
        <f>IFERROR(INDEX($A$2:$A$113,MATCH(ROWS($DF$2:DF38),$DF$2:$DF$113,0)),"")</f>
        <v>AMENAZAS CALIFICADA POR EL USO DE ARMAS</v>
      </c>
      <c r="HC38" s="206" t="str">
        <f>IFERROR(INDEX($A$2:$A$113,MATCH(ROWS($DG$2:DG38),$DG$2:$DG$113,0)),"")</f>
        <v>AMENAZAS CALIFICADA POR EL USO DE ARMAS</v>
      </c>
      <c r="HD38" s="206" t="str">
        <f>IFERROR(INDEX($A$2:$A$113,MATCH(ROWS($DH$2:DH38),$DH$2:$DH$113,0)),"")</f>
        <v>AMENAZAS CALIFICADA POR EL USO DE ARMAS</v>
      </c>
      <c r="HE38" s="206" t="str">
        <f>IFERROR(INDEX($A$2:$A$113,MATCH(ROWS($DI$2:DI38),$DI$2:$DI$113,0)),"")</f>
        <v>AMENAZAS CALIFICADA POR EL USO DE ARMAS</v>
      </c>
      <c r="HF38" s="206" t="str">
        <f>IFERROR(INDEX($A$2:$A$113,MATCH(ROWS($DJ$2:DJ38),$DJ$2:$DJ$113,0)),"")</f>
        <v>AMENAZAS CALIFICADA POR EL USO DE ARMAS</v>
      </c>
      <c r="HG38" s="206" t="str">
        <f>IFERROR(INDEX($A$2:$A$113,MATCH(ROWS($DK$2:DK38),$DK$2:$DK$113,0)),"")</f>
        <v>AMENAZAS CALIFICADA POR EL USO DE ARMAS</v>
      </c>
      <c r="HH38" s="206" t="str">
        <f>IFERROR(INDEX($A$2:$A$113,MATCH(ROWS($DL$2:DL38),$DL$2:$DL$113,0)),"")</f>
        <v>AMENAZAS CALIFICADA POR EL USO DE ARMAS</v>
      </c>
      <c r="HI38" s="206" t="str">
        <f>IFERROR(INDEX($A$2:$A$113,MATCH(ROWS($DM$2:DM38),$DM$2:$DM$113,0)),"")</f>
        <v>AMENAZAS CALIFICADA POR EL USO DE ARMAS</v>
      </c>
      <c r="HJ38" s="206" t="str">
        <f>IFERROR(INDEX($A$2:$A$113,MATCH(ROWS($DN$2:DN38),$DN$2:$DN$113,0)),"")</f>
        <v>AMENAZAS CALIFICADA POR EL USO DE ARMAS</v>
      </c>
      <c r="HK38" s="206" t="str">
        <f>IFERROR(INDEX($A$2:$A$113,MATCH(ROWS($DO$2:DO38),$DO$2:$DO$113,0)),"")</f>
        <v>AMENAZAS CALIFICADA POR EL USO DE ARMAS</v>
      </c>
      <c r="HL38" s="206" t="str">
        <f>IFERROR(INDEX($A$2:$A$113,MATCH(ROWS($DP$2:DP38),$DP$2:$DP$113,0)),"")</f>
        <v>AMENAZAS CALIFICADA POR EL USO DE ARMAS</v>
      </c>
      <c r="HM38" s="206" t="str">
        <f>IFERROR(INDEX($A$2:$A$113,MATCH(ROWS($DQ$2:DQ38),$DQ$2:$DQ$113,0)),"")</f>
        <v>AMENAZAS CALIFICADA POR EL USO DE ARMAS</v>
      </c>
      <c r="HN38" s="206" t="str">
        <f>IFERROR(INDEX($A$2:$A$113,MATCH(ROWS($DR$2:DR38),$DR$2:$DR$113,0)),"")</f>
        <v>AMENAZAS CALIFICADA POR EL USO DE ARMAS</v>
      </c>
      <c r="HO38" s="206" t="str">
        <f>IFERROR(INDEX($A$2:$A$113,MATCH(ROWS($DS$2:DS38),$DS$2:$DS$113,0)),"")</f>
        <v>AMENAZAS CALIFICADA POR EL USO DE ARMAS</v>
      </c>
      <c r="HP38" s="206" t="str">
        <f>IFERROR(INDEX($A$2:$A$113,MATCH(ROWS($DT$2:DT38),$DT$2:$DT$113,0)),"")</f>
        <v>AMENAZAS CALIFICADA POR EL USO DE ARMAS</v>
      </c>
      <c r="HQ38" s="206" t="str">
        <f>IFERROR(INDEX($A$2:$A$113,MATCH(ROWS($DU$2:DU38),$DU$2:$DU$113,0)),"")</f>
        <v>AMENAZAS CALIFICADA POR EL USO DE ARMAS</v>
      </c>
      <c r="HR38" s="206" t="str">
        <f>IFERROR(INDEX($A$2:$A$113,MATCH(ROWS($DV$2:DV38),$DV$2:$DV$113,0)),"")</f>
        <v>AMENAZAS CALIFICADA POR EL USO DE ARMAS</v>
      </c>
      <c r="HS38" s="206" t="str">
        <f>IFERROR(INDEX($A$2:$A$113,MATCH(ROWS($DW$2:DW38),$DW$2:$DW$113,0)),"")</f>
        <v>AMENAZAS CALIFICADA POR EL USO DE ARMAS</v>
      </c>
      <c r="HT38" s="206" t="str">
        <f>IFERROR(INDEX($A$2:$A$113,MATCH(ROWS($DX$2:DX38),$DX$2:$DX$113,0)),"")</f>
        <v>AMENAZAS CALIFICADA POR EL USO DE ARMAS</v>
      </c>
      <c r="HU38" s="206" t="str">
        <f>IFERROR(INDEX($A$2:$A$113,MATCH(ROWS($DY$2:DY38),$DY$2:$DY$113,0)),"")</f>
        <v>AMENAZAS CALIFICADA POR EL USO DE ARMAS</v>
      </c>
      <c r="HV38" s="206" t="str">
        <f>IFERROR(INDEX($A$2:$A$113,MATCH(ROWS($DZ$2:DZ38),$DZ$2:$DZ$113,0)),"")</f>
        <v>AMENAZAS CALIFICADA POR EL USO DE ARMAS</v>
      </c>
      <c r="HW38" s="206" t="str">
        <f>IFERROR(INDEX($A$2:$A$113,MATCH(ROWS($EA$2:EA38),$EA$2:$EA$113,0)),"")</f>
        <v>AMENAZAS CALIFICADA POR EL USO DE ARMAS</v>
      </c>
      <c r="HX38" s="206" t="str">
        <f>IFERROR(INDEX($A$2:$A$113,MATCH(ROWS($EB$2:EB38),$EB$2:$EB$113,0)),"")</f>
        <v>AMENAZAS CALIFICADA POR EL USO DE ARMAS</v>
      </c>
      <c r="HY38" s="206" t="str">
        <f>IFERROR(INDEX($A$2:$A$113,MATCH(ROWS($EC$2:EC38),$EC$2:$EC$113,0)),"")</f>
        <v>AMENAZAS CALIFICADA POR EL USO DE ARMAS</v>
      </c>
      <c r="HZ38" s="206" t="str">
        <f>IFERROR(INDEX($A$2:$A$113,MATCH(ROWS($ED$2:ED38),$ED$2:$ED$113,0)),"")</f>
        <v>AMENAZAS CALIFICADA POR EL USO DE ARMAS</v>
      </c>
      <c r="IA38" s="206" t="str">
        <f>IFERROR(INDEX($A$2:$A$113,MATCH(ROWS($EE$2:EE38),$EE$2:$EE$113,0)),"")</f>
        <v>AMENAZAS CALIFICADA POR EL USO DE ARMAS</v>
      </c>
      <c r="IB38" s="206" t="str">
        <f>IFERROR(INDEX($A$2:$A$113,MATCH(ROWS($EF$2:EF38),$EF$2:$EF$113,0)),"")</f>
        <v>AMENAZAS CALIFICADA POR EL USO DE ARMAS</v>
      </c>
      <c r="IC38" s="206" t="str">
        <f>IFERROR(INDEX($A$2:$A$113,MATCH(ROWS($EG$2:EG38),$EG$2:$EG$113,0)),"")</f>
        <v>AMENAZAS CALIFICADA POR EL USO DE ARMAS</v>
      </c>
      <c r="ID38" s="206" t="str">
        <f>IFERROR(INDEX($A$2:$A$113,MATCH(ROWS($EH$2:EH38),$EH$2:$EH$113,0)),"")</f>
        <v>AMENAZAS CALIFICADA POR EL USO DE ARMAS</v>
      </c>
      <c r="IE38" s="206" t="str">
        <f>IFERROR(INDEX($A$2:$A$113,MATCH(ROWS($EI$2:EI38),$EI$2:$EI$113,0)),"")</f>
        <v>AMENAZAS CALIFICADA POR EL USO DE ARMAS</v>
      </c>
      <c r="IF38" s="206" t="str">
        <f>IFERROR(INDEX($A$2:$A$113,MATCH(ROWS($EJ$2:EJ38),$EJ$2:$EJ$113,0)),"")</f>
        <v>AMENAZAS CALIFICADA POR EL USO DE ARMAS</v>
      </c>
      <c r="IG38" s="206" t="str">
        <f>IFERROR(INDEX($A$2:$A$113,MATCH(ROWS($EK$2:EK38),$EK$2:$EK$113,0)),"")</f>
        <v>AMENAZAS CALIFICADA POR EL USO DE ARMAS</v>
      </c>
      <c r="IH38" s="206" t="str">
        <f>IFERROR(INDEX($A$2:$A$113,MATCH(ROWS($EL$2:EL38),$EL$2:$EL$113,0)),"")</f>
        <v>AMENAZAS CALIFICADA POR EL USO DE ARMAS</v>
      </c>
      <c r="II38" s="206" t="str">
        <f>IFERROR(INDEX($A$2:$A$113,MATCH(ROWS($EM$2:EM38),$EM$2:$EM$113,0)),"")</f>
        <v>AMENAZAS CALIFICADA POR EL USO DE ARMAS</v>
      </c>
      <c r="IJ38" s="206" t="str">
        <f>IFERROR(INDEX($A$2:$A$113,MATCH(ROWS($EN$2:EN38),$EN$2:$EN$113,0)),"")</f>
        <v>AMENAZAS CALIFICADA POR EL USO DE ARMAS</v>
      </c>
      <c r="IK38" s="207" t="str">
        <f>IFERROR(INDEX($A$2:$A$113,MATCH(ROWS($EO$2:EO38),$EO$2:$EO$113,0)),"")</f>
        <v>AMENAZAS CALIFICADA POR EL USO DE ARMAS</v>
      </c>
      <c r="IL38" s="207" t="str">
        <f>IFERROR(INDEX($A$2:$A$113,MATCH(ROWS($EP$2:EP38),$EP$2:$EP$113,0)),"")</f>
        <v>AMENAZAS CALIFICADA POR EL USO DE ARMAS</v>
      </c>
      <c r="IM38" s="207" t="str">
        <f>IFERROR(INDEX($A$2:$A$113,MATCH(ROWS($EQ$2:EQ38),$EQ$2:$EQ$113,0)),"")</f>
        <v>AMENAZAS CALIFICADA POR EL USO DE ARMAS</v>
      </c>
      <c r="IN38" s="207" t="str">
        <f>IFERROR(INDEX($A$2:$A$113,MATCH(ROWS($ER$2:ER38),$ER$2:$ER$113,0)),"")</f>
        <v>AMENAZAS CALIFICADA POR EL USO DE ARMAS</v>
      </c>
      <c r="IO38" s="207" t="str">
        <f>IFERROR(INDEX($A$2:$A$113,MATCH(ROWS($ES$2:ES38),$ES$2:$ES$113,0)),"")</f>
        <v>AMENAZAS CALIFICADA POR EL USO DE ARMAS</v>
      </c>
      <c r="IP38" s="207" t="str">
        <f>IFERROR(INDEX($A$2:$A$113,MATCH(ROWS($ET$2:ET38),$ET$2:$ET$113,0)),"")</f>
        <v>AMENAZAS CALIFICADA POR EL USO DE ARMAS</v>
      </c>
      <c r="IQ38" s="207" t="str">
        <f>IFERROR(INDEX($A$2:$A$113,MATCH(ROWS($EU$2:EU38),$EU$2:$EU$113,0)),"")</f>
        <v>AMENAZAS CALIFICADA POR EL USO DE ARMAS</v>
      </c>
      <c r="IR38" s="207" t="str">
        <f>IFERROR(INDEX($A$2:$A$113,MATCH(ROWS($EV$2:EV38),$EV$2:$EV$113,0)),"")</f>
        <v>AMENAZAS CALIFICADA POR EL USO DE ARMAS</v>
      </c>
      <c r="IS38" s="207" t="str">
        <f>IFERROR(INDEX($A$2:$A$113,MATCH(ROWS($EW$2:EW38),$EW$2:$EW$113,0)),"")</f>
        <v>AMENAZAS CALIFICADA POR EL USO DE ARMAS</v>
      </c>
      <c r="IT38" s="207" t="str">
        <f>IFERROR(INDEX($A$2:$A$113,MATCH(ROWS($EX$2:EX38),$EX$2:$EX$113,0)),"")</f>
        <v>AMENAZAS CALIFICADA POR EL USO DE ARMAS</v>
      </c>
      <c r="IU38" s="207" t="str">
        <f>IFERROR(INDEX($A$2:$A$113,MATCH(ROWS($EY$2:EY38),$EY$2:$EY$113,0)),"")</f>
        <v>AMENAZAS CALIFICADA POR EL USO DE ARMAS</v>
      </c>
      <c r="IV38" s="207" t="str">
        <f>IFERROR(INDEX($A$2:$A$113,MATCH(ROWS($EZ$2:EZ38),$EZ$2:$EZ$113,0)),"")</f>
        <v>AMENAZAS CALIFICADA POR EL USO DE ARMAS</v>
      </c>
      <c r="IW38" s="207" t="str">
        <f>IFERROR(INDEX($A$2:$A$113,MATCH(ROWS($FA$2:FA38),$FA$2:$FA$113,0)),"")</f>
        <v>AMENAZAS CALIFICADA POR EL USO DE ARMAS</v>
      </c>
      <c r="IX38" s="207" t="str">
        <f>IFERROR(INDEX($A$2:$A$113,MATCH(ROWS($FB$2:FB38),$FB$2:$FB$113,0)),"")</f>
        <v>AMENAZAS CALIFICADA POR EL USO DE ARMAS</v>
      </c>
      <c r="IY38" s="207" t="str">
        <f>IFERROR(INDEX($A$2:$A$113,MATCH(ROWS($FC$2:FC38),$FC$2:$FC$113,0)),"")</f>
        <v>AMENAZAS CALIFICADA POR EL USO DE ARMAS</v>
      </c>
      <c r="IZ38" s="207" t="str">
        <f>IFERROR(INDEX($A$2:$A$113,MATCH(ROWS($FD$2:FD38),$FD$2:$FD$113,0)),"")</f>
        <v>AMENAZAS CALIFICADA POR EL USO DE ARMAS</v>
      </c>
      <c r="JA38" s="207" t="str">
        <f>IFERROR(INDEX($A$2:$A$113,MATCH(ROWS($FE$2:FE38),$FE$2:$FE$113,0)),"")</f>
        <v>AMENAZAS CALIFICADA POR EL USO DE ARMAS</v>
      </c>
      <c r="JB38" s="207" t="str">
        <f>IFERROR(INDEX($A$2:$A$113,MATCH(ROWS($FF$2:FF38),$FF$2:$FF$113,0)),"")</f>
        <v>AMENAZAS CALIFICADA POR EL USO DE ARMAS</v>
      </c>
      <c r="JC38" s="207" t="str">
        <f>IFERROR(INDEX($A$2:$A$113,MATCH(ROWS($FG$2:FG38),$FG$2:$FG$113,0)),"")</f>
        <v>AMENAZAS CALIFICADA POR EL USO DE ARMAS</v>
      </c>
      <c r="JD38" s="207" t="str">
        <f>IFERROR(INDEX($A$2:$A$113,MATCH(ROWS($FH$2:FH38),$FH$2:$FH$113,0)),"")</f>
        <v>AMENAZAS CALIFICADA POR EL USO DE ARMAS</v>
      </c>
      <c r="JE38" s="207" t="str">
        <f>IFERROR(INDEX($A$2:$A$113,MATCH(ROWS($FI$2:FI38),$FI$2:$FI$113,0)),"")</f>
        <v>AMENAZAS CALIFICADA POR EL USO DE ARMAS</v>
      </c>
      <c r="JF38" s="207" t="str">
        <f>IFERROR(INDEX($A$2:$A$113,MATCH(ROWS($FJ$2:FJ38),$FJ$2:$FJ$113,0)),"")</f>
        <v>AMENAZAS CALIFICADA POR EL USO DE ARMAS</v>
      </c>
      <c r="JG38" s="207" t="str">
        <f>IFERROR(INDEX($A$2:$A$113,MATCH(ROWS($FK$2:FK38),$FK$2:$FK$113,0)),"")</f>
        <v>AMENAZAS CALIFICADA POR EL USO DE ARMAS</v>
      </c>
      <c r="JH38" s="207" t="str">
        <f>IFERROR(INDEX($A$2:$A$113,MATCH(ROWS($FL$2:FL38),$FL$2:$FL$113,0)),"")</f>
        <v>AMENAZAS CALIFICADA POR EL USO DE ARMAS</v>
      </c>
      <c r="JI38" s="207" t="str">
        <f>IFERROR(INDEX($A$2:$A$113,MATCH(ROWS($FM$2:FM38),$FM$2:$FM$113,0)),"")</f>
        <v>AMENAZAS CALIFICADA POR EL USO DE ARMAS</v>
      </c>
      <c r="JJ38" s="207" t="str">
        <f>IFERROR(INDEX($A$2:$A$113,MATCH(ROWS($FN$2:FN38),$FN$2:$FN$113,0)),"")</f>
        <v>AMENAZAS CALIFICADA POR EL USO DE ARMAS</v>
      </c>
      <c r="JK38" s="207" t="str">
        <f>IFERROR(INDEX($A$2:$A$113,MATCH(ROWS($FO$2:FO38),$FO$2:$FO$113,0)),"")</f>
        <v>AMENAZAS CALIFICADA POR EL USO DE ARMAS</v>
      </c>
      <c r="JL38" s="207" t="str">
        <f>IFERROR(INDEX($A$2:$A$113,MATCH(ROWS($FP$2:FP38),$FP$2:$FP$113,0)),"")</f>
        <v>AMENAZAS CALIFICADA POR EL USO DE ARMAS</v>
      </c>
      <c r="JM38" s="207" t="str">
        <f>IFERROR(INDEX($A$2:$A$113,MATCH(ROWS($FQ$2:FQ38),$FQ$2:$FQ$113,0)),"")</f>
        <v>AMENAZAS CALIFICADA POR EL USO DE ARMAS</v>
      </c>
      <c r="JN38" s="207" t="str">
        <f>IFERROR(INDEX($A$2:$A$113,MATCH(ROWS($FR$2:FR38),$FR$2:$FR$113,0)),"")</f>
        <v>AMENAZAS CALIFICADA POR EL USO DE ARMAS</v>
      </c>
      <c r="JO38" s="207" t="str">
        <f>IFERROR(INDEX($A$2:$A$113,MATCH(ROWS($FS$2:FS38),$FS$2:$FS$113,0)),"")</f>
        <v>AMENAZAS CALIFICADA POR EL USO DE ARMAS</v>
      </c>
      <c r="JP38" s="207" t="str">
        <f>IFERROR(INDEX($A$2:$A$113,MATCH(ROWS($FT$2:FT38),$FT$2:$FT$113,0)),"")</f>
        <v>AMENAZAS CALIFICADA POR EL USO DE ARMAS</v>
      </c>
      <c r="JQ38" s="207" t="str">
        <f>IFERROR(INDEX($A$2:$A$113,MATCH(ROWS($FU$2:FU38),$FU$2:$FU$113,0)),"")</f>
        <v>AMENAZAS CALIFICADA POR EL USO DE ARMAS</v>
      </c>
      <c r="JR38" s="207" t="str">
        <f>IFERROR(INDEX($A$2:$A$113,MATCH(ROWS($FV$2:FV38),$FV$2:$FV$113,0)),"")</f>
        <v>AMENAZAS CALIFICADA POR EL USO DE ARMAS</v>
      </c>
      <c r="JS38" s="207" t="str">
        <f>IFERROR(INDEX($A$2:$A$113,MATCH(ROWS($FW$2:FW38),$FW$2:$FW$113,0)),"")</f>
        <v>AMENAZAS CALIFICADA POR EL USO DE ARMAS</v>
      </c>
      <c r="JT38" s="207" t="str">
        <f>IFERROR(INDEX($A$2:$A$113,MATCH(ROWS($FX$2:FX38),$FX$2:$FX$113,0)),"")</f>
        <v>AMENAZAS CALIFICADA POR EL USO DE ARMAS</v>
      </c>
      <c r="JU38" s="207" t="str">
        <f>IFERROR(INDEX($A$2:$A$113,MATCH(ROWS($FY$2:FY38),$FY$2:$FY$113,0)),"")</f>
        <v>AMENAZAS CALIFICADA POR EL USO DE ARMAS</v>
      </c>
      <c r="JV38" s="207" t="str">
        <f>IFERROR(INDEX($A$2:$A$113,MATCH(ROWS($FZ$2:FZ38),$FZ$2:$FZ$113,0)),"")</f>
        <v>AMENAZAS CALIFICADA POR EL USO DE ARMAS</v>
      </c>
      <c r="JW38" s="207" t="str">
        <f>IFERROR(INDEX($A$2:$A$113,MATCH(ROWS($GA$2:GA38),$GA$2:$GA$113,0)),"")</f>
        <v>AMENAZAS CALIFICADA POR EL USO DE ARMAS</v>
      </c>
      <c r="JX38" s="207" t="str">
        <f>IFERROR(INDEX($A$2:$A$113,MATCH(ROWS($GB$2:GB38),$GB$2:$GB$113,0)),"")</f>
        <v>AMENAZAS CALIFICADA POR EL USO DE ARMAS</v>
      </c>
      <c r="JY38" s="207" t="str">
        <f>IFERROR(INDEX($A$2:$A$113,MATCH(ROWS($GC$2:GC38),$GC$2:$GC$113,0)),"")</f>
        <v>AMENAZAS CALIFICADA POR EL USO DE ARMAS</v>
      </c>
      <c r="JZ38" s="207" t="str">
        <f>IFERROR(INDEX($A$2:$A$113,MATCH(ROWS($GD$2:GD38),$GD$2:$GD$113,0)),"")</f>
        <v>AMENAZAS CALIFICADA POR EL USO DE ARMAS</v>
      </c>
      <c r="KA38" s="207" t="str">
        <f>IFERROR(INDEX($A$2:$A$113,MATCH(ROWS($GE$2:GE38),$GE$2:$GE$113,0)),"")</f>
        <v>AMENAZAS CALIFICADA POR EL USO DE ARMAS</v>
      </c>
      <c r="KB38" s="207" t="str">
        <f>IFERROR(INDEX($A$2:$A$113,MATCH(ROWS($GF$2:GF38),$GF$2:$GF$113,0)),"")</f>
        <v>AMENAZAS CALIFICADA POR EL USO DE ARMAS</v>
      </c>
      <c r="KC38" s="207" t="str">
        <f>IFERROR(INDEX($A$2:$A$113,MATCH(ROWS($GG$2:GG38),$GG$2:$GG$113,0)),"")</f>
        <v>AMENAZAS CALIFICADA POR EL USO DE ARMAS</v>
      </c>
      <c r="KD38" s="207" t="str">
        <f>IFERROR(INDEX($A$2:$A$113,MATCH(ROWS($GH$2:GH38),$GH$2:$GH$113,0)),"")</f>
        <v>AMENAZAS CALIFICADA POR EL USO DE ARMAS</v>
      </c>
      <c r="KE38" s="207" t="str">
        <f>IFERROR(INDEX($A$2:$A$113,MATCH(ROWS($GI$2:GI38),$GI$2:$GI$113,0)),"")</f>
        <v>AMENAZAS CALIFICADA POR EL USO DE ARMAS</v>
      </c>
      <c r="KF38" s="207" t="str">
        <f>IFERROR(INDEX($A$2:$A$113,MATCH(ROWS($GJ$2:GJ38),$GJ$2:$GJ$113,0)),"")</f>
        <v>AMENAZAS CALIFICADA POR EL USO DE ARMAS</v>
      </c>
      <c r="KG38" s="207" t="str">
        <f>IFERROR(INDEX($A$2:$A$113,MATCH(ROWS($GK$2:GK38),$GK$2:$GK$113,0)),"")</f>
        <v>AMENAZAS CALIFICADA POR EL USO DE ARMAS</v>
      </c>
      <c r="KH38" s="207" t="str">
        <f>IFERROR(INDEX($A$2:$A$113,MATCH(ROWS($GL$2:GL38),$GL$2:$GL$113,0)),"")</f>
        <v>AMENAZAS CALIFICADA POR EL USO DE ARMAS</v>
      </c>
      <c r="KI38" s="207" t="str">
        <f>IFERROR(INDEX($A$2:$A$113,MATCH(ROWS($GM$2:GM38),$GM$2:$GM$113,0)),"")</f>
        <v>AMENAZAS CALIFICADA POR EL USO DE ARMAS</v>
      </c>
      <c r="KJ38" s="207" t="str">
        <f>IFERROR(INDEX($A$2:$A$113,MATCH(ROWS($GN$2:GN38),$GN$2:$GN$113,0)),"")</f>
        <v>AMENAZAS CALIFICADA POR EL USO DE ARMAS</v>
      </c>
      <c r="KK38" s="207" t="str">
        <f>IFERROR(INDEX($A$2:$A$113,MATCH(ROWS($GO$2:GO38),$GO$2:$GO$113,0)),"")</f>
        <v>AMENAZAS CALIFICADA POR EL USO DE ARMAS</v>
      </c>
      <c r="KL38" s="207" t="str">
        <f>IFERROR(INDEX($A$2:$A$113,MATCH(ROWS($GP$2:GP38),$GP$2:$GP$113,0)),"")</f>
        <v>AMENAZAS CALIFICADA POR EL USO DE ARMAS</v>
      </c>
      <c r="KM38" s="207" t="str">
        <f>IFERROR(INDEX($A$2:$A$113,MATCH(ROWS($GQ$2:GQ38),$GQ$2:$GQ$113,0)),"")</f>
        <v>AMENAZAS CALIFICADA POR EL USO DE ARMAS</v>
      </c>
      <c r="KN38" s="207" t="str">
        <f>IFERROR(INDEX($A$2:$A$113,MATCH(ROWS($GR$2:GR38),$GR$2:$GR$113,0)),"")</f>
        <v>AMENAZAS CALIFICADA POR EL USO DE ARMAS</v>
      </c>
      <c r="KO38" s="207" t="str">
        <f>IFERROR(INDEX($A$2:$A$113,MATCH(ROWS($GS$2:GS38),$GS$2:$GS$113,0)),"")</f>
        <v>AMENAZAS CALIFICADA POR EL USO DE ARMAS</v>
      </c>
      <c r="KP38" s="207" t="str">
        <f>IFERROR(INDEX($A$2:$A$113,MATCH(ROWS($GT$2:GT38),$GT$2:$GT$113,0)),"")</f>
        <v>AMENAZAS CALIFICADA POR EL USO DE ARMAS</v>
      </c>
      <c r="KQ38" s="207" t="str">
        <f>IFERROR(INDEX($A$2:$A$113,MATCH(ROWS($GU$2:GU38),$GU$2:$GU$113,0)),"")</f>
        <v>AMENAZAS CALIFICADA POR EL USO DE ARMAS</v>
      </c>
      <c r="KR38" s="207" t="str">
        <f>IFERROR(INDEX($A$2:$A$113,MATCH(ROWS($GV$2:GV38),$GV$2:$GV$113,0)),"")</f>
        <v>AMENAZAS CALIFICADA POR EL USO DE ARMAS</v>
      </c>
      <c r="KS38" s="207" t="str">
        <f>IFERROR(INDEX($A$2:$A$113,MATCH(ROWS($GW$2:GW38),$GW$2:$GW$113,0)),"")</f>
        <v>AMENAZAS CALIFICADA POR EL USO DE ARMAS</v>
      </c>
    </row>
    <row r="39" spans="1:305" x14ac:dyDescent="0.25">
      <c r="A39" s="206" t="s">
        <v>81</v>
      </c>
      <c r="B39" s="206">
        <v>13</v>
      </c>
      <c r="D39" s="206" t="s">
        <v>12</v>
      </c>
      <c r="E39" s="206" t="s">
        <v>76</v>
      </c>
      <c r="F39" s="207">
        <f>--ISNUMBER(IFERROR(SEARCH('PLANILLA DJ'!$X$3,$A39,1),""))</f>
        <v>1</v>
      </c>
      <c r="G39" s="207">
        <f>--ISNUMBER(IFERROR(SEARCH('PLANILLA DJ'!$X$4,$A39,1),""))</f>
        <v>1</v>
      </c>
      <c r="H39" s="207">
        <f>--ISNUMBER(IFERROR(SEARCH('PLANILLA DJ'!$X$5,$A39,1),""))</f>
        <v>1</v>
      </c>
      <c r="I39" s="207">
        <f>--ISNUMBER(IFERROR(SEARCH('PLANILLA DJ'!$X$6,$A39,1),""))</f>
        <v>1</v>
      </c>
      <c r="J39" s="207">
        <f>--ISNUMBER(IFERROR(SEARCH('PLANILLA DJ'!$X$7,$A39,1),""))</f>
        <v>1</v>
      </c>
      <c r="K39" s="207">
        <f>--ISNUMBER(IFERROR(SEARCH('PLANILLA DJ'!$X$8,$A39,1),""))</f>
        <v>1</v>
      </c>
      <c r="L39" s="207">
        <f>--ISNUMBER(IFERROR(SEARCH('PLANILLA DJ'!$X$9,$A39,1),""))</f>
        <v>1</v>
      </c>
      <c r="M39" s="207">
        <f>--ISNUMBER(IFERROR(SEARCH('PLANILLA DJ'!$X$10,$A39,1),""))</f>
        <v>1</v>
      </c>
      <c r="N39" s="207">
        <f>--ISNUMBER(IFERROR(SEARCH('PLANILLA DJ'!$X$11,$A39,1),""))</f>
        <v>1</v>
      </c>
      <c r="O39" s="207">
        <f>--ISNUMBER(IFERROR(SEARCH('PLANILLA DJ'!$X$12,$A39,1),""))</f>
        <v>1</v>
      </c>
      <c r="P39" s="207">
        <f>--ISNUMBER(IFERROR(SEARCH('PLANILLA DJ'!$X$13,$A39,1),""))</f>
        <v>1</v>
      </c>
      <c r="Q39" s="207">
        <f>--ISNUMBER(IFERROR(SEARCH('PLANILLA DJ'!$X$14,$A39,1),""))</f>
        <v>1</v>
      </c>
      <c r="R39" s="207">
        <f>--ISNUMBER(IFERROR(SEARCH('PLANILLA DJ'!$X$15,$A39,1),""))</f>
        <v>1</v>
      </c>
      <c r="S39" s="207">
        <f>--ISNUMBER(IFERROR(SEARCH('PLANILLA DJ'!$X$16,$A39,1),""))</f>
        <v>1</v>
      </c>
      <c r="T39" s="207">
        <f>--ISNUMBER(IFERROR(SEARCH('PLANILLA DJ'!$X$17,$A39,1),""))</f>
        <v>1</v>
      </c>
      <c r="U39" s="207">
        <f>--ISNUMBER(IFERROR(SEARCH('PLANILLA DJ'!$X$18,$A39,1),""))</f>
        <v>1</v>
      </c>
      <c r="V39" s="207">
        <f>--ISNUMBER(IFERROR(SEARCH('PLANILLA DJ'!$X$19,$A39,1),""))</f>
        <v>1</v>
      </c>
      <c r="W39" s="207">
        <f>--ISNUMBER(IFERROR(SEARCH('PLANILLA DJ'!$X$20,$A39,1),""))</f>
        <v>1</v>
      </c>
      <c r="X39" s="207">
        <f>--ISNUMBER(IFERROR(SEARCH('PLANILLA DJ'!$X$21,$A39,1),""))</f>
        <v>1</v>
      </c>
      <c r="Y39" s="207">
        <f>--ISNUMBER(IFERROR(SEARCH('PLANILLA DJ'!$X$22,$A39,1),""))</f>
        <v>1</v>
      </c>
      <c r="Z39" s="207">
        <f>--ISNUMBER(IFERROR(SEARCH('PLANILLA DJ'!$X$23,$A39,1),""))</f>
        <v>1</v>
      </c>
      <c r="AA39" s="207">
        <f>--ISNUMBER(IFERROR(SEARCH('PLANILLA DJ'!$X$24,$A39,1),""))</f>
        <v>1</v>
      </c>
      <c r="AB39" s="207">
        <f>--ISNUMBER(IFERROR(SEARCH('PLANILLA DJ'!$X$25,$A39,1),""))</f>
        <v>1</v>
      </c>
      <c r="AC39" s="207">
        <f>--ISNUMBER(IFERROR(SEARCH('PLANILLA DJ'!$X$26,$A39,1),""))</f>
        <v>1</v>
      </c>
      <c r="AD39" s="207">
        <f>--ISNUMBER(IFERROR(SEARCH('PLANILLA DJ'!$X$27,$A39,1),""))</f>
        <v>1</v>
      </c>
      <c r="AE39" s="207">
        <f>--ISNUMBER(IFERROR(SEARCH('PLANILLA DJ'!$X$28,$A39,1),""))</f>
        <v>1</v>
      </c>
      <c r="AF39" s="207">
        <f>--ISNUMBER(IFERROR(SEARCH('PLANILLA DJ'!$X$29,$A39,1),""))</f>
        <v>1</v>
      </c>
      <c r="AG39" s="207">
        <f>--ISNUMBER(IFERROR(SEARCH('PLANILLA DJ'!$X$30,$A39,1),""))</f>
        <v>1</v>
      </c>
      <c r="AH39" s="207">
        <f>--ISNUMBER(IFERROR(SEARCH('PLANILLA DJ'!$X$31,$A39,1),""))</f>
        <v>1</v>
      </c>
      <c r="AI39" s="207">
        <f>--ISNUMBER(IFERROR(SEARCH('PLANILLA DJ'!$X$32,$A39,1),""))</f>
        <v>1</v>
      </c>
      <c r="AJ39" s="207">
        <f>--ISNUMBER(IFERROR(SEARCH('PLANILLA DJ'!$X$33,$A39,1),""))</f>
        <v>1</v>
      </c>
      <c r="AK39" s="207">
        <f>--ISNUMBER(IFERROR(SEARCH('PLANILLA DJ'!$X$34,$A39,1),""))</f>
        <v>1</v>
      </c>
      <c r="AL39" s="207">
        <f>--ISNUMBER(IFERROR(SEARCH('PLANILLA DJ'!$X$35,$A39,1),""))</f>
        <v>1</v>
      </c>
      <c r="AM39" s="207">
        <f>--ISNUMBER(IFERROR(SEARCH('PLANILLA DJ'!$X$36,$A39,1),""))</f>
        <v>1</v>
      </c>
      <c r="AN39" s="207">
        <f>--ISNUMBER(IFERROR(SEARCH('PLANILLA DJ'!$X$37,$A39,1),""))</f>
        <v>1</v>
      </c>
      <c r="AO39" s="207">
        <f>--ISNUMBER(IFERROR(SEARCH('PLANILLA DJ'!$X$38,$A39,1),""))</f>
        <v>1</v>
      </c>
      <c r="AP39" s="207">
        <f>--ISNUMBER(IFERROR(SEARCH('PLANILLA DJ'!$X$39,$A39,1),""))</f>
        <v>1</v>
      </c>
      <c r="AQ39" s="207">
        <f>--ISNUMBER(IFERROR(SEARCH('PLANILLA DJ'!$X$40,$A39,1),""))</f>
        <v>1</v>
      </c>
      <c r="AR39" s="207">
        <f>--ISNUMBER(IFERROR(SEARCH('PLANILLA DJ'!$X$41,$A39,1),""))</f>
        <v>1</v>
      </c>
      <c r="AS39" s="207">
        <f>--ISNUMBER(IFERROR(SEARCH('PLANILLA DJ'!$X$42,$A39,1),""))</f>
        <v>1</v>
      </c>
      <c r="AT39" s="207">
        <f>--ISNUMBER(IFERROR(SEARCH('PLANILLA DJ'!$X$43,$A39,1),""))</f>
        <v>1</v>
      </c>
      <c r="AU39" s="207">
        <f>--ISNUMBER(IFERROR(SEARCH('PLANILLA DJ'!$X$44,$A39,1),""))</f>
        <v>1</v>
      </c>
      <c r="AV39" s="207">
        <f>--ISNUMBER(IFERROR(SEARCH('PLANILLA DJ'!$X$45,$A39,1),""))</f>
        <v>1</v>
      </c>
      <c r="AW39" s="207">
        <f>--ISNUMBER(IFERROR(SEARCH('PLANILLA DJ'!$X$46,$A39,1),""))</f>
        <v>1</v>
      </c>
      <c r="AX39" s="207">
        <f>--ISNUMBER(IFERROR(SEARCH('PLANILLA DJ'!$X$47,$A39,1),""))</f>
        <v>1</v>
      </c>
      <c r="AY39" s="207">
        <f>--ISNUMBER(IFERROR(SEARCH('PLANILLA DJ'!$X$48,$A39,1),""))</f>
        <v>1</v>
      </c>
      <c r="AZ39" s="207">
        <f>--ISNUMBER(IFERROR(SEARCH('PLANILLA DJ'!$X$49,$A39,1),""))</f>
        <v>1</v>
      </c>
      <c r="BA39" s="207">
        <f>--ISNUMBER(IFERROR(SEARCH('PLANILLA DJ'!$X$50,$A39,1),""))</f>
        <v>1</v>
      </c>
      <c r="BB39" s="207">
        <f>--ISNUMBER(IFERROR(SEARCH('PLANILLA DJ'!$X$51,$A39,1),""))</f>
        <v>1</v>
      </c>
      <c r="BC39" s="207">
        <f>--ISNUMBER(IFERROR(SEARCH('PLANILLA DJ'!$X$52,$A39,1),""))</f>
        <v>1</v>
      </c>
      <c r="BD39" s="207">
        <f>--ISNUMBER(IFERROR(SEARCH('PLANILLA DJ'!$X$53,$A39,1),""))</f>
        <v>1</v>
      </c>
      <c r="BE39" s="207">
        <f>--ISNUMBER(IFERROR(SEARCH('PLANILLA DJ'!$X$54,$A39,1),""))</f>
        <v>1</v>
      </c>
      <c r="BF39" s="207">
        <f>--ISNUMBER(IFERROR(SEARCH('PLANILLA DJ'!$X$55,$A39,1),""))</f>
        <v>1</v>
      </c>
      <c r="BG39" s="207">
        <f>--ISNUMBER(IFERROR(SEARCH('PLANILLA DJ'!$X$56,$A39,1),""))</f>
        <v>1</v>
      </c>
      <c r="BH39" s="207">
        <f>--ISNUMBER(IFERROR(SEARCH('PLANILLA DJ'!$X$57,$A39,1),""))</f>
        <v>1</v>
      </c>
      <c r="BI39" s="207">
        <f>--ISNUMBER(IFERROR(SEARCH('PLANILLA DJ'!$X$58,$A39,1),""))</f>
        <v>1</v>
      </c>
      <c r="BJ39" s="207">
        <f>--ISNUMBER(IFERROR(SEARCH('PLANILLA DJ'!$X$59,$A39,1),""))</f>
        <v>1</v>
      </c>
      <c r="BK39" s="207">
        <f>--ISNUMBER(IFERROR(SEARCH('PLANILLA DJ'!$X$60,$A39,1),""))</f>
        <v>1</v>
      </c>
      <c r="BL39" s="207">
        <f>--ISNUMBER(IFERROR(SEARCH('PLANILLA DJ'!$X$61,$A39,1),""))</f>
        <v>1</v>
      </c>
      <c r="BM39" s="207">
        <f>--ISNUMBER(IFERROR(SEARCH('PLANILLA DJ'!$X$62,$A39,1),""))</f>
        <v>1</v>
      </c>
      <c r="BN39" s="207">
        <f>--ISNUMBER(IFERROR(SEARCH('PLANILLA DJ'!$X$63,$A39,1),""))</f>
        <v>1</v>
      </c>
      <c r="BO39" s="207">
        <f>--ISNUMBER(IFERROR(SEARCH('PLANILLA DJ'!$X$64,$A39,1),""))</f>
        <v>1</v>
      </c>
      <c r="BP39" s="207">
        <f>--ISNUMBER(IFERROR(SEARCH('PLANILLA DJ'!$X$65,$A39,1),""))</f>
        <v>1</v>
      </c>
      <c r="BQ39" s="207">
        <f>--ISNUMBER(IFERROR(SEARCH('PLANILLA DJ'!$X$66,$A39,1),""))</f>
        <v>1</v>
      </c>
      <c r="BR39" s="207">
        <f>--ISNUMBER(IFERROR(SEARCH('PLANILLA DJ'!$X$67,$A39,1),""))</f>
        <v>1</v>
      </c>
      <c r="BS39" s="207">
        <f>--ISNUMBER(IFERROR(SEARCH('PLANILLA DJ'!$X$68,$A39,1),""))</f>
        <v>1</v>
      </c>
      <c r="BT39" s="207">
        <f>--ISNUMBER(IFERROR(SEARCH('PLANILLA DJ'!$X$69,$A39,1),""))</f>
        <v>1</v>
      </c>
      <c r="BU39" s="207">
        <f>--ISNUMBER(IFERROR(SEARCH('PLANILLA DJ'!$X$70,$A39,1),""))</f>
        <v>1</v>
      </c>
      <c r="BV39" s="207">
        <f>--ISNUMBER(IFERROR(SEARCH('PLANILLA DJ'!$X$71,$A39,1),""))</f>
        <v>1</v>
      </c>
      <c r="BW39" s="207">
        <f>--ISNUMBER(IFERROR(SEARCH('PLANILLA DJ'!$X$72,$A39,1),""))</f>
        <v>1</v>
      </c>
      <c r="BX39" s="207">
        <f>--ISNUMBER(IFERROR(SEARCH('PLANILLA DJ'!$X$73,$A39,1),""))</f>
        <v>1</v>
      </c>
      <c r="BY39" s="207">
        <f>--ISNUMBER(IFERROR(SEARCH('PLANILLA DJ'!$X$74,$A39,1),""))</f>
        <v>1</v>
      </c>
      <c r="BZ39" s="207">
        <f>--ISNUMBER(IFERROR(SEARCH('PLANILLA DJ'!$X$75,$A39,1),""))</f>
        <v>1</v>
      </c>
      <c r="CA39" s="207">
        <f>--ISNUMBER(IFERROR(SEARCH('PLANILLA DJ'!$X$76,$A39,1),""))</f>
        <v>1</v>
      </c>
      <c r="CB39" s="207">
        <f>--ISNUMBER(IFERROR(SEARCH('PLANILLA DJ'!$X$77,$A39,1),""))</f>
        <v>1</v>
      </c>
      <c r="CC39" s="207">
        <f>--ISNUMBER(IFERROR(SEARCH('PLANILLA DJ'!$X$78,$A39,1),""))</f>
        <v>1</v>
      </c>
      <c r="CD39" s="207">
        <f>--ISNUMBER(IFERROR(SEARCH('PLANILLA DJ'!$X$79,$A39,1),""))</f>
        <v>1</v>
      </c>
      <c r="CE39" s="207">
        <f>--ISNUMBER(IFERROR(SEARCH('PLANILLA DJ'!$X$80,$A39,1),""))</f>
        <v>1</v>
      </c>
      <c r="CF39" s="207">
        <f>--ISNUMBER(IFERROR(SEARCH('PLANILLA DJ'!$X$81,$A39,1),""))</f>
        <v>1</v>
      </c>
      <c r="CG39" s="207">
        <f>--ISNUMBER(IFERROR(SEARCH('PLANILLA DJ'!$X$82,$A39,1),""))</f>
        <v>1</v>
      </c>
      <c r="CH39" s="207">
        <f>--ISNUMBER(IFERROR(SEARCH('PLANILLA DJ'!$X$83,$A39,1),""))</f>
        <v>1</v>
      </c>
      <c r="CI39" s="207">
        <f>--ISNUMBER(IFERROR(SEARCH('PLANILLA DJ'!$X$84,$A39,1),""))</f>
        <v>1</v>
      </c>
      <c r="CJ39" s="207">
        <f>--ISNUMBER(IFERROR(SEARCH('PLANILLA DJ'!$X$85,$A39,1),""))</f>
        <v>1</v>
      </c>
      <c r="CK39" s="207">
        <f>--ISNUMBER(IFERROR(SEARCH('PLANILLA DJ'!$X$86,$A39,1),""))</f>
        <v>1</v>
      </c>
      <c r="CL39" s="207">
        <f>--ISNUMBER(IFERROR(SEARCH('PLANILLA DJ'!$X$87,$A39,1),""))</f>
        <v>1</v>
      </c>
      <c r="CM39" s="207">
        <f>--ISNUMBER(IFERROR(SEARCH('PLANILLA DJ'!$X$88,$A39,1),""))</f>
        <v>1</v>
      </c>
      <c r="CN39" s="207">
        <f>--ISNUMBER(IFERROR(SEARCH('PLANILLA DJ'!$X$89,$A39,1),""))</f>
        <v>1</v>
      </c>
      <c r="CO39" s="207">
        <f>--ISNUMBER(IFERROR(SEARCH('PLANILLA DJ'!$X$90,$A39,1),""))</f>
        <v>1</v>
      </c>
      <c r="CP39" s="207">
        <f>--ISNUMBER(IFERROR(SEARCH('PLANILLA DJ'!$X$91,$A39,1),""))</f>
        <v>1</v>
      </c>
      <c r="CQ39" s="207">
        <f>--ISNUMBER(IFERROR(SEARCH('PLANILLA DJ'!$X$92,$A39,1),""))</f>
        <v>1</v>
      </c>
      <c r="CR39" s="207">
        <f>--ISNUMBER(IFERROR(SEARCH('PLANILLA DJ'!$X$93,$A39,1),""))</f>
        <v>1</v>
      </c>
      <c r="CS39" s="207">
        <f>--ISNUMBER(IFERROR(SEARCH('PLANILLA DJ'!$X$94,$A39,1),""))</f>
        <v>1</v>
      </c>
      <c r="CT39" s="207">
        <f>--ISNUMBER(IFERROR(SEARCH('PLANILLA DJ'!$X$95,$A39,1),""))</f>
        <v>1</v>
      </c>
      <c r="CU39" s="207">
        <f>--ISNUMBER(IFERROR(SEARCH('PLANILLA DJ'!$X$96,$A39,1),""))</f>
        <v>1</v>
      </c>
      <c r="CV39" s="207">
        <f>--ISNUMBER(IFERROR(SEARCH('PLANILLA DJ'!$X$97,$A39,1),""))</f>
        <v>1</v>
      </c>
      <c r="CW39" s="207">
        <f>--ISNUMBER(IFERROR(SEARCH('PLANILLA DJ'!$X$98,$A39,1),""))</f>
        <v>1</v>
      </c>
      <c r="CX39" s="207">
        <f>--ISNUMBER(IFERROR(SEARCH('PLANILLA DJ'!$X$99,$A39,1),""))</f>
        <v>1</v>
      </c>
      <c r="CY39" s="207">
        <f>--ISNUMBER(IFERROR(SEARCH('PLANILLA DJ'!$X$100,$A39,1),""))</f>
        <v>1</v>
      </c>
      <c r="CZ39" s="207">
        <f>--ISNUMBER(IFERROR(SEARCH('PLANILLA DJ'!$X$101,$A39,1),""))</f>
        <v>1</v>
      </c>
      <c r="DA39" s="207">
        <f>--ISNUMBER(IFERROR(SEARCH('PLANILLA DJ'!$X$102,$A39,1),""))</f>
        <v>1</v>
      </c>
      <c r="DB39" s="206">
        <f>IF(F39=1,COUNTIF($F$2:F39,1),"")</f>
        <v>38</v>
      </c>
      <c r="DC39" s="206">
        <f>IF(G39=1,COUNTIF($G$2:G39,1),"")</f>
        <v>38</v>
      </c>
      <c r="DD39" s="206">
        <f>IF(H39=1,COUNTIF($H$2:H39,1),"")</f>
        <v>38</v>
      </c>
      <c r="DE39" s="206">
        <f>IF(I39=1,COUNTIF($I$2:I39,1),"")</f>
        <v>38</v>
      </c>
      <c r="DF39" s="206">
        <f>IF(J39=1,COUNTIF($J$2:J39,1),"")</f>
        <v>38</v>
      </c>
      <c r="DG39" s="206">
        <f>IF(K39=1,COUNTIF($K$2:K39,1),"")</f>
        <v>38</v>
      </c>
      <c r="DH39" s="206">
        <f>IF(L39=1,COUNTIF($L$2:L39,1),"")</f>
        <v>38</v>
      </c>
      <c r="DI39" s="206">
        <f>IF(M39=1,COUNTIF($M$2:M39,1),"")</f>
        <v>38</v>
      </c>
      <c r="DJ39" s="206">
        <f>IF(N39=1,COUNTIF($N$2:N39,1),"")</f>
        <v>38</v>
      </c>
      <c r="DK39" s="206">
        <f>IF(O39=1,COUNTIF($O$2:O39,1),"")</f>
        <v>38</v>
      </c>
      <c r="DL39" s="206">
        <f>IF(P39=1,COUNTIF($P$2:P39,1),"")</f>
        <v>38</v>
      </c>
      <c r="DM39" s="206">
        <f>IF(Q39=1,COUNTIF($Q$2:Q39,1),"")</f>
        <v>38</v>
      </c>
      <c r="DN39" s="207">
        <f>IF(R39=1,COUNTIF($R$2:R39,1),"")</f>
        <v>38</v>
      </c>
      <c r="DO39" s="207">
        <f>IF(S39=1,COUNTIF($S$2:S39,1),"")</f>
        <v>38</v>
      </c>
      <c r="DP39" s="207">
        <f>IF(T39=1,COUNTIF($T$2:T39,1),"")</f>
        <v>38</v>
      </c>
      <c r="DQ39" s="207">
        <f>IF(U39=1,COUNTIF($U$2:U39,1),"")</f>
        <v>38</v>
      </c>
      <c r="DR39" s="207">
        <f>IF(V39=1,COUNTIF($V$2:V39,1),"")</f>
        <v>38</v>
      </c>
      <c r="DS39" s="207">
        <f>IF(W39=1,COUNTIF($W$2:W39,1),"")</f>
        <v>38</v>
      </c>
      <c r="DT39" s="207">
        <f>IF(X39=1,COUNTIF($X$2:X39,1),"")</f>
        <v>38</v>
      </c>
      <c r="DU39" s="207">
        <f>IF(Y39=1,COUNTIF($Y$2:Y39,1),"")</f>
        <v>38</v>
      </c>
      <c r="DV39" s="207">
        <f>IF(Z39=1,COUNTIF(Z$2:Z39,1),"")</f>
        <v>38</v>
      </c>
      <c r="DW39" s="207">
        <f>IF(AA39=1,COUNTIF($AA$2:AA39,1),"")</f>
        <v>38</v>
      </c>
      <c r="DX39" s="207">
        <f>IF(AB39=1,COUNTIF($AB$2:AB39,1),"")</f>
        <v>38</v>
      </c>
      <c r="DY39" s="207">
        <f>IF(AC39=1,COUNTIF($AC$2:AC39,1),"")</f>
        <v>38</v>
      </c>
      <c r="DZ39" s="207">
        <f>IF(AD39=1,COUNTIF($AD$2:AD39,1),"")</f>
        <v>38</v>
      </c>
      <c r="EA39" s="207">
        <f>IF(AE39=1,COUNTIF($AE$2:AE39,1),"")</f>
        <v>38</v>
      </c>
      <c r="EB39" s="207">
        <f>IF(AF39=1,COUNTIF($AF$2:AF39,1),"")</f>
        <v>38</v>
      </c>
      <c r="EC39" s="207">
        <f>IF(AG39=1,COUNTIF($AG$2:AG39,1),"")</f>
        <v>38</v>
      </c>
      <c r="ED39" s="207">
        <f>IF(AH39=1,COUNTIF($AH$2:AH39,1),"")</f>
        <v>38</v>
      </c>
      <c r="EE39" s="207">
        <f>IF(AI39=1,COUNTIF($AI$2:AI39,1),"")</f>
        <v>38</v>
      </c>
      <c r="EF39" s="207">
        <f>IF(AJ39=1,COUNTIF($AJ$2:AJ39,1),"")</f>
        <v>38</v>
      </c>
      <c r="EG39" s="207">
        <f>IF(AK39=1,COUNTIF($AK$2:AK39,1),"")</f>
        <v>38</v>
      </c>
      <c r="EH39" s="207">
        <f>IF(AL39=1,COUNTIF($AL$2:AL39,1),"")</f>
        <v>38</v>
      </c>
      <c r="EI39" s="207">
        <f>IF(AM39=1,COUNTIF($AM$2:AM39,1),"")</f>
        <v>38</v>
      </c>
      <c r="EJ39" s="207">
        <f>IF(AN39=1,COUNTIF($AN$2:AN39,1),"")</f>
        <v>38</v>
      </c>
      <c r="EK39" s="207">
        <f>IF(AO39=1,COUNTIF($AO$2:AO39,1),"")</f>
        <v>38</v>
      </c>
      <c r="EL39" s="207">
        <f>IF(AP39=1,COUNTIF($AP$2:AP39,1),"")</f>
        <v>38</v>
      </c>
      <c r="EM39" s="207">
        <f>IF(AQ39=1,COUNTIF($AQ$2:AQ39,1),"")</f>
        <v>38</v>
      </c>
      <c r="EN39" s="207">
        <f>IF(AR39=1,COUNTIF($AR$2:AR39,1),"")</f>
        <v>38</v>
      </c>
      <c r="EO39" s="207">
        <f>IF(AS39=1,COUNTIF($AS$2:AS39,1),"")</f>
        <v>38</v>
      </c>
      <c r="EP39" s="207">
        <f>IF(AT39=1,COUNTIF($AT$2:AT39,1),"")</f>
        <v>38</v>
      </c>
      <c r="EQ39" s="207">
        <f>IF(AU39=1,COUNTIF($AU$2:AU39,1),"")</f>
        <v>38</v>
      </c>
      <c r="ER39" s="207">
        <f>IF(AV39=1,COUNTIF($AV$2:AV39,1),"")</f>
        <v>38</v>
      </c>
      <c r="ES39" s="207">
        <f>IF(AW39=1,COUNTIF($AW$2:AW39,1),"")</f>
        <v>38</v>
      </c>
      <c r="ET39" s="207">
        <f>IF(AX39=1,COUNTIF($AX$2:AX39,1),"")</f>
        <v>38</v>
      </c>
      <c r="EU39" s="207">
        <f>IF(AY39=1,COUNTIF($AY$2:AY39,1),"")</f>
        <v>38</v>
      </c>
      <c r="EV39" s="207">
        <f>IF(AZ39=1,COUNTIF($AZ$2:AZ39,1),"")</f>
        <v>38</v>
      </c>
      <c r="EW39" s="207">
        <f>IF(BA39=1,COUNTIF($BA$2:BA39,1),"")</f>
        <v>38</v>
      </c>
      <c r="EX39" s="207">
        <f>IF(BB39=1,COUNTIF($BB$2:BB39,1),"")</f>
        <v>38</v>
      </c>
      <c r="EY39" s="207">
        <f>IF(BC39=1,COUNTIF($BC$2:BC39,1),"")</f>
        <v>38</v>
      </c>
      <c r="EZ39" s="207">
        <f>IF(BD39=1,COUNTIF($BD$2:BD39,1),"")</f>
        <v>38</v>
      </c>
      <c r="FA39" s="207">
        <f>IF(BE39=1,COUNTIF($BE$2:BE39,1),"")</f>
        <v>38</v>
      </c>
      <c r="FB39" s="207">
        <f>IF(BF39=1,COUNTIF($BF$2:BF39,1),"")</f>
        <v>38</v>
      </c>
      <c r="FC39" s="207">
        <f>IF(BG39=1,COUNTIF($BG$2:BG39,1),"")</f>
        <v>38</v>
      </c>
      <c r="FD39" s="207">
        <f>IF(BH39=1,COUNTIF($BH$2:BH39,1),"")</f>
        <v>38</v>
      </c>
      <c r="FE39" s="207">
        <f>IF(BI39=1,COUNTIF($BI$2:BI39,1),"")</f>
        <v>38</v>
      </c>
      <c r="FF39" s="207">
        <f>IF(BJ39=1,COUNTIF($BJ$2:BJ39,1),"")</f>
        <v>38</v>
      </c>
      <c r="FG39" s="207">
        <f>IF(BK39=1,COUNTIF($BK$2:BK39,1),"")</f>
        <v>38</v>
      </c>
      <c r="FH39" s="207">
        <f>IF(BL39=1,COUNTIF($BL$2:BL39,1),"")</f>
        <v>38</v>
      </c>
      <c r="FI39" s="207">
        <f>IF(BM39=1,COUNTIF($BM$2:BM39,1),"")</f>
        <v>38</v>
      </c>
      <c r="FJ39" s="207">
        <f>IF(BN39=1,COUNTIF($BN$2:BN39,1),"")</f>
        <v>38</v>
      </c>
      <c r="FK39" s="207">
        <f>IF(BO39=1,COUNTIF($BO$2:BO39,1),"")</f>
        <v>38</v>
      </c>
      <c r="FL39" s="207">
        <f>IF(BP39=1,COUNTIF($BP$2:BP39,1),"")</f>
        <v>38</v>
      </c>
      <c r="FM39" s="207">
        <f>IF(BQ39=1,COUNTIF($BQ$2:BQ39,1),"")</f>
        <v>38</v>
      </c>
      <c r="FN39" s="207">
        <f>IF(BR39=1,COUNTIF($BR$2:BR39,1),"")</f>
        <v>38</v>
      </c>
      <c r="FO39" s="207">
        <f>IF(BS39=1,COUNTIF($BS$2:BS39,1),"")</f>
        <v>38</v>
      </c>
      <c r="FP39" s="207">
        <f>IF(BT39=1,COUNTIF($BT$2:BT39,1),"")</f>
        <v>38</v>
      </c>
      <c r="FQ39" s="207">
        <f>IF(BU39=1,COUNTIF($BU$2:BU39,1),"")</f>
        <v>38</v>
      </c>
      <c r="FR39" s="207">
        <f>IF(BV39=1,COUNTIF($BV$2:BV39,1),"")</f>
        <v>38</v>
      </c>
      <c r="FS39" s="207">
        <f>IF(BW39=1,COUNTIF($BW$2:BW39,1),"")</f>
        <v>38</v>
      </c>
      <c r="FT39" s="207">
        <f>IF(BX39=1,COUNTIF($BX$2:BX39,1),"")</f>
        <v>38</v>
      </c>
      <c r="FU39" s="207">
        <f>IF(BY39=1,COUNTIF($BY$2:BY39,1),"")</f>
        <v>38</v>
      </c>
      <c r="FV39" s="207">
        <f>IF(BZ39=1,COUNTIF($BZ$2:BZ39,1),"")</f>
        <v>38</v>
      </c>
      <c r="FW39" s="207">
        <f>IF(CA39=1,COUNTIF($CA$2:CA39,1),"")</f>
        <v>38</v>
      </c>
      <c r="FX39" s="207">
        <f>IF(CB39=1,COUNTIF($CB$2:CB39,1),"")</f>
        <v>38</v>
      </c>
      <c r="FY39" s="207">
        <f>IF(CC39=1,COUNTIF($CC$2:CC39,1),"")</f>
        <v>38</v>
      </c>
      <c r="FZ39" s="207">
        <f>IF(CD39=1,COUNTIF($CD$2:CD39,1),"")</f>
        <v>38</v>
      </c>
      <c r="GA39" s="207">
        <f>IF(CE39=1,COUNTIF($CE$2:CE39,1),"")</f>
        <v>38</v>
      </c>
      <c r="GB39" s="207">
        <f>IF(CF39=1,COUNTIF($CF$2:CF39,1),"")</f>
        <v>38</v>
      </c>
      <c r="GC39" s="207">
        <f>IF(CG39=1,COUNTIF($CG$2:CG39,1),"")</f>
        <v>38</v>
      </c>
      <c r="GD39" s="207">
        <f>IF(CH39=1,COUNTIF($CH$2:CH39,1),"")</f>
        <v>38</v>
      </c>
      <c r="GE39" s="207">
        <f>IF(CI39=1,COUNTIF($CI$2:CI39,1),"")</f>
        <v>38</v>
      </c>
      <c r="GF39" s="207">
        <f>IF(CJ39=1,COUNTIF($CJ$2:CJ39,1),"")</f>
        <v>38</v>
      </c>
      <c r="GG39" s="207">
        <f>IF(CK39=1,COUNTIF($CK$2:CK39,1),"")</f>
        <v>38</v>
      </c>
      <c r="GH39" s="207">
        <f>IF(CL39=1,COUNTIF($CL$2:CL39,1),"")</f>
        <v>38</v>
      </c>
      <c r="GI39" s="207">
        <f>IF(CM39=1,COUNTIF($CM$2:CM39,1),"")</f>
        <v>38</v>
      </c>
      <c r="GJ39" s="207">
        <f>IF(CN39=1,COUNTIF($CN$2:CN39,1),"")</f>
        <v>38</v>
      </c>
      <c r="GK39" s="207">
        <f>IF(CO39=1,COUNTIF($CO$2:CO39,1),"")</f>
        <v>38</v>
      </c>
      <c r="GL39" s="207">
        <f>IF(CP39=1,COUNTIF($CP$2:CP39,1),"")</f>
        <v>38</v>
      </c>
      <c r="GM39" s="207">
        <f>IF(CQ39=1,COUNTIF($CQ$2:CQ39,1),"")</f>
        <v>38</v>
      </c>
      <c r="GN39" s="207">
        <f>IF(CR39=1,COUNTIF($CR$2:CR39,1),"")</f>
        <v>38</v>
      </c>
      <c r="GO39" s="207">
        <f>IF(CS39=1,COUNTIF($CS$2:CS39,1),"")</f>
        <v>38</v>
      </c>
      <c r="GP39" s="207">
        <f>IF(CT39=1,COUNTIF($CT$2:CT39,1),"")</f>
        <v>38</v>
      </c>
      <c r="GQ39" s="207">
        <f>IF(CU39=1,COUNTIF($CU$2:CU39,1),"")</f>
        <v>38</v>
      </c>
      <c r="GR39" s="207">
        <f>IF(CV39=1,COUNTIF($CV$2:CV39,1),"")</f>
        <v>38</v>
      </c>
      <c r="GS39" s="207">
        <f>IF(CW39=1,COUNTIF($CW$2:CW39,1),"")</f>
        <v>38</v>
      </c>
      <c r="GT39" s="207">
        <f>IF(CX39=1,COUNTIF($CX$2:CX39,1),"")</f>
        <v>38</v>
      </c>
      <c r="GU39" s="207">
        <f>IF(CY39=1,COUNTIF($CY$2:CY39,1),"")</f>
        <v>38</v>
      </c>
      <c r="GV39" s="207">
        <f>IF(CZ39=1,COUNTIF($CZ$2:CZ39,1),"")</f>
        <v>38</v>
      </c>
      <c r="GW39" s="207">
        <f>IF(DA39=1,COUNTIF($DA$2:DA39,1),"")</f>
        <v>38</v>
      </c>
      <c r="GX39" s="206" t="str">
        <f>IFERROR(INDEX($A$2:$A$113,MATCH(ROWS($DB$2:DB39),$DB$2:$DB$113,0)),"")</f>
        <v>AMENAZAS TELEFONICAS</v>
      </c>
      <c r="GY39" s="206" t="str">
        <f>IFERROR(INDEX($A$2:$A$113,MATCH(ROWS($DC$2:DC39),$DC$2:$DC$113,0)),"")</f>
        <v>AMENAZAS TELEFONICAS</v>
      </c>
      <c r="GZ39" s="206" t="str">
        <f>IFERROR(INDEX($A$2:$A$113,MATCH(ROWS($DD$2:DD39),$DD$2:$DD$113,0)),"")</f>
        <v>AMENAZAS TELEFONICAS</v>
      </c>
      <c r="HA39" s="206" t="str">
        <f>IFERROR(INDEX($A$2:$A$113,MATCH(ROWS($DE$2:DE39),$DE$2:$DE$113,0)),"")</f>
        <v>AMENAZAS TELEFONICAS</v>
      </c>
      <c r="HB39" s="206" t="str">
        <f>IFERROR(INDEX($A$2:$A$113,MATCH(ROWS($DF$2:DF39),$DF$2:$DF$113,0)),"")</f>
        <v>AMENAZAS TELEFONICAS</v>
      </c>
      <c r="HC39" s="206" t="str">
        <f>IFERROR(INDEX($A$2:$A$113,MATCH(ROWS($DG$2:DG39),$DG$2:$DG$113,0)),"")</f>
        <v>AMENAZAS TELEFONICAS</v>
      </c>
      <c r="HD39" s="206" t="str">
        <f>IFERROR(INDEX($A$2:$A$113,MATCH(ROWS($DH$2:DH39),$DH$2:$DH$113,0)),"")</f>
        <v>AMENAZAS TELEFONICAS</v>
      </c>
      <c r="HE39" s="206" t="str">
        <f>IFERROR(INDEX($A$2:$A$113,MATCH(ROWS($DI$2:DI39),$DI$2:$DI$113,0)),"")</f>
        <v>AMENAZAS TELEFONICAS</v>
      </c>
      <c r="HF39" s="206" t="str">
        <f>IFERROR(INDEX($A$2:$A$113,MATCH(ROWS($DJ$2:DJ39),$DJ$2:$DJ$113,0)),"")</f>
        <v>AMENAZAS TELEFONICAS</v>
      </c>
      <c r="HG39" s="206" t="str">
        <f>IFERROR(INDEX($A$2:$A$113,MATCH(ROWS($DK$2:DK39),$DK$2:$DK$113,0)),"")</f>
        <v>AMENAZAS TELEFONICAS</v>
      </c>
      <c r="HH39" s="206" t="str">
        <f>IFERROR(INDEX($A$2:$A$113,MATCH(ROWS($DL$2:DL39),$DL$2:$DL$113,0)),"")</f>
        <v>AMENAZAS TELEFONICAS</v>
      </c>
      <c r="HI39" s="206" t="str">
        <f>IFERROR(INDEX($A$2:$A$113,MATCH(ROWS($DM$2:DM39),$DM$2:$DM$113,0)),"")</f>
        <v>AMENAZAS TELEFONICAS</v>
      </c>
      <c r="HJ39" s="206" t="str">
        <f>IFERROR(INDEX($A$2:$A$113,MATCH(ROWS($DN$2:DN39),$DN$2:$DN$113,0)),"")</f>
        <v>AMENAZAS TELEFONICAS</v>
      </c>
      <c r="HK39" s="206" t="str">
        <f>IFERROR(INDEX($A$2:$A$113,MATCH(ROWS($DO$2:DO39),$DO$2:$DO$113,0)),"")</f>
        <v>AMENAZAS TELEFONICAS</v>
      </c>
      <c r="HL39" s="206" t="str">
        <f>IFERROR(INDEX($A$2:$A$113,MATCH(ROWS($DP$2:DP39),$DP$2:$DP$113,0)),"")</f>
        <v>AMENAZAS TELEFONICAS</v>
      </c>
      <c r="HM39" s="206" t="str">
        <f>IFERROR(INDEX($A$2:$A$113,MATCH(ROWS($DQ$2:DQ39),$DQ$2:$DQ$113,0)),"")</f>
        <v>AMENAZAS TELEFONICAS</v>
      </c>
      <c r="HN39" s="206" t="str">
        <f>IFERROR(INDEX($A$2:$A$113,MATCH(ROWS($DR$2:DR39),$DR$2:$DR$113,0)),"")</f>
        <v>AMENAZAS TELEFONICAS</v>
      </c>
      <c r="HO39" s="206" t="str">
        <f>IFERROR(INDEX($A$2:$A$113,MATCH(ROWS($DS$2:DS39),$DS$2:$DS$113,0)),"")</f>
        <v>AMENAZAS TELEFONICAS</v>
      </c>
      <c r="HP39" s="206" t="str">
        <f>IFERROR(INDEX($A$2:$A$113,MATCH(ROWS($DT$2:DT39),$DT$2:$DT$113,0)),"")</f>
        <v>AMENAZAS TELEFONICAS</v>
      </c>
      <c r="HQ39" s="206" t="str">
        <f>IFERROR(INDEX($A$2:$A$113,MATCH(ROWS($DU$2:DU39),$DU$2:$DU$113,0)),"")</f>
        <v>AMENAZAS TELEFONICAS</v>
      </c>
      <c r="HR39" s="206" t="str">
        <f>IFERROR(INDEX($A$2:$A$113,MATCH(ROWS($DV$2:DV39),$DV$2:$DV$113,0)),"")</f>
        <v>AMENAZAS TELEFONICAS</v>
      </c>
      <c r="HS39" s="206" t="str">
        <f>IFERROR(INDEX($A$2:$A$113,MATCH(ROWS($DW$2:DW39),$DW$2:$DW$113,0)),"")</f>
        <v>AMENAZAS TELEFONICAS</v>
      </c>
      <c r="HT39" s="206" t="str">
        <f>IFERROR(INDEX($A$2:$A$113,MATCH(ROWS($DX$2:DX39),$DX$2:$DX$113,0)),"")</f>
        <v>AMENAZAS TELEFONICAS</v>
      </c>
      <c r="HU39" s="206" t="str">
        <f>IFERROR(INDEX($A$2:$A$113,MATCH(ROWS($DY$2:DY39),$DY$2:$DY$113,0)),"")</f>
        <v>AMENAZAS TELEFONICAS</v>
      </c>
      <c r="HV39" s="206" t="str">
        <f>IFERROR(INDEX($A$2:$A$113,MATCH(ROWS($DZ$2:DZ39),$DZ$2:$DZ$113,0)),"")</f>
        <v>AMENAZAS TELEFONICAS</v>
      </c>
      <c r="HW39" s="206" t="str">
        <f>IFERROR(INDEX($A$2:$A$113,MATCH(ROWS($EA$2:EA39),$EA$2:$EA$113,0)),"")</f>
        <v>AMENAZAS TELEFONICAS</v>
      </c>
      <c r="HX39" s="206" t="str">
        <f>IFERROR(INDEX($A$2:$A$113,MATCH(ROWS($EB$2:EB39),$EB$2:$EB$113,0)),"")</f>
        <v>AMENAZAS TELEFONICAS</v>
      </c>
      <c r="HY39" s="206" t="str">
        <f>IFERROR(INDEX($A$2:$A$113,MATCH(ROWS($EC$2:EC39),$EC$2:$EC$113,0)),"")</f>
        <v>AMENAZAS TELEFONICAS</v>
      </c>
      <c r="HZ39" s="206" t="str">
        <f>IFERROR(INDEX($A$2:$A$113,MATCH(ROWS($ED$2:ED39),$ED$2:$ED$113,0)),"")</f>
        <v>AMENAZAS TELEFONICAS</v>
      </c>
      <c r="IA39" s="206" t="str">
        <f>IFERROR(INDEX($A$2:$A$113,MATCH(ROWS($EE$2:EE39),$EE$2:$EE$113,0)),"")</f>
        <v>AMENAZAS TELEFONICAS</v>
      </c>
      <c r="IB39" s="206" t="str">
        <f>IFERROR(INDEX($A$2:$A$113,MATCH(ROWS($EF$2:EF39),$EF$2:$EF$113,0)),"")</f>
        <v>AMENAZAS TELEFONICAS</v>
      </c>
      <c r="IC39" s="206" t="str">
        <f>IFERROR(INDEX($A$2:$A$113,MATCH(ROWS($EG$2:EG39),$EG$2:$EG$113,0)),"")</f>
        <v>AMENAZAS TELEFONICAS</v>
      </c>
      <c r="ID39" s="206" t="str">
        <f>IFERROR(INDEX($A$2:$A$113,MATCH(ROWS($EH$2:EH39),$EH$2:$EH$113,0)),"")</f>
        <v>AMENAZAS TELEFONICAS</v>
      </c>
      <c r="IE39" s="206" t="str">
        <f>IFERROR(INDEX($A$2:$A$113,MATCH(ROWS($EI$2:EI39),$EI$2:$EI$113,0)),"")</f>
        <v>AMENAZAS TELEFONICAS</v>
      </c>
      <c r="IF39" s="206" t="str">
        <f>IFERROR(INDEX($A$2:$A$113,MATCH(ROWS($EJ$2:EJ39),$EJ$2:$EJ$113,0)),"")</f>
        <v>AMENAZAS TELEFONICAS</v>
      </c>
      <c r="IG39" s="206" t="str">
        <f>IFERROR(INDEX($A$2:$A$113,MATCH(ROWS($EK$2:EK39),$EK$2:$EK$113,0)),"")</f>
        <v>AMENAZAS TELEFONICAS</v>
      </c>
      <c r="IH39" s="206" t="str">
        <f>IFERROR(INDEX($A$2:$A$113,MATCH(ROWS($EL$2:EL39),$EL$2:$EL$113,0)),"")</f>
        <v>AMENAZAS TELEFONICAS</v>
      </c>
      <c r="II39" s="206" t="str">
        <f>IFERROR(INDEX($A$2:$A$113,MATCH(ROWS($EM$2:EM39),$EM$2:$EM$113,0)),"")</f>
        <v>AMENAZAS TELEFONICAS</v>
      </c>
      <c r="IJ39" s="206" t="str">
        <f>IFERROR(INDEX($A$2:$A$113,MATCH(ROWS($EN$2:EN39),$EN$2:$EN$113,0)),"")</f>
        <v>AMENAZAS TELEFONICAS</v>
      </c>
      <c r="IK39" s="207" t="str">
        <f>IFERROR(INDEX($A$2:$A$113,MATCH(ROWS($EO$2:EO39),$EO$2:$EO$113,0)),"")</f>
        <v>AMENAZAS TELEFONICAS</v>
      </c>
      <c r="IL39" s="207" t="str">
        <f>IFERROR(INDEX($A$2:$A$113,MATCH(ROWS($EP$2:EP39),$EP$2:$EP$113,0)),"")</f>
        <v>AMENAZAS TELEFONICAS</v>
      </c>
      <c r="IM39" s="207" t="str">
        <f>IFERROR(INDEX($A$2:$A$113,MATCH(ROWS($EQ$2:EQ39),$EQ$2:$EQ$113,0)),"")</f>
        <v>AMENAZAS TELEFONICAS</v>
      </c>
      <c r="IN39" s="207" t="str">
        <f>IFERROR(INDEX($A$2:$A$113,MATCH(ROWS($ER$2:ER39),$ER$2:$ER$113,0)),"")</f>
        <v>AMENAZAS TELEFONICAS</v>
      </c>
      <c r="IO39" s="207" t="str">
        <f>IFERROR(INDEX($A$2:$A$113,MATCH(ROWS($ES$2:ES39),$ES$2:$ES$113,0)),"")</f>
        <v>AMENAZAS TELEFONICAS</v>
      </c>
      <c r="IP39" s="207" t="str">
        <f>IFERROR(INDEX($A$2:$A$113,MATCH(ROWS($ET$2:ET39),$ET$2:$ET$113,0)),"")</f>
        <v>AMENAZAS TELEFONICAS</v>
      </c>
      <c r="IQ39" s="207" t="str">
        <f>IFERROR(INDEX($A$2:$A$113,MATCH(ROWS($EU$2:EU39),$EU$2:$EU$113,0)),"")</f>
        <v>AMENAZAS TELEFONICAS</v>
      </c>
      <c r="IR39" s="207" t="str">
        <f>IFERROR(INDEX($A$2:$A$113,MATCH(ROWS($EV$2:EV39),$EV$2:$EV$113,0)),"")</f>
        <v>AMENAZAS TELEFONICAS</v>
      </c>
      <c r="IS39" s="207" t="str">
        <f>IFERROR(INDEX($A$2:$A$113,MATCH(ROWS($EW$2:EW39),$EW$2:$EW$113,0)),"")</f>
        <v>AMENAZAS TELEFONICAS</v>
      </c>
      <c r="IT39" s="207" t="str">
        <f>IFERROR(INDEX($A$2:$A$113,MATCH(ROWS($EX$2:EX39),$EX$2:$EX$113,0)),"")</f>
        <v>AMENAZAS TELEFONICAS</v>
      </c>
      <c r="IU39" s="207" t="str">
        <f>IFERROR(INDEX($A$2:$A$113,MATCH(ROWS($EY$2:EY39),$EY$2:$EY$113,0)),"")</f>
        <v>AMENAZAS TELEFONICAS</v>
      </c>
      <c r="IV39" s="207" t="str">
        <f>IFERROR(INDEX($A$2:$A$113,MATCH(ROWS($EZ$2:EZ39),$EZ$2:$EZ$113,0)),"")</f>
        <v>AMENAZAS TELEFONICAS</v>
      </c>
      <c r="IW39" s="207" t="str">
        <f>IFERROR(INDEX($A$2:$A$113,MATCH(ROWS($FA$2:FA39),$FA$2:$FA$113,0)),"")</f>
        <v>AMENAZAS TELEFONICAS</v>
      </c>
      <c r="IX39" s="207" t="str">
        <f>IFERROR(INDEX($A$2:$A$113,MATCH(ROWS($FB$2:FB39),$FB$2:$FB$113,0)),"")</f>
        <v>AMENAZAS TELEFONICAS</v>
      </c>
      <c r="IY39" s="207" t="str">
        <f>IFERROR(INDEX($A$2:$A$113,MATCH(ROWS($FC$2:FC39),$FC$2:$FC$113,0)),"")</f>
        <v>AMENAZAS TELEFONICAS</v>
      </c>
      <c r="IZ39" s="207" t="str">
        <f>IFERROR(INDEX($A$2:$A$113,MATCH(ROWS($FD$2:FD39),$FD$2:$FD$113,0)),"")</f>
        <v>AMENAZAS TELEFONICAS</v>
      </c>
      <c r="JA39" s="207" t="str">
        <f>IFERROR(INDEX($A$2:$A$113,MATCH(ROWS($FE$2:FE39),$FE$2:$FE$113,0)),"")</f>
        <v>AMENAZAS TELEFONICAS</v>
      </c>
      <c r="JB39" s="207" t="str">
        <f>IFERROR(INDEX($A$2:$A$113,MATCH(ROWS($FF$2:FF39),$FF$2:$FF$113,0)),"")</f>
        <v>AMENAZAS TELEFONICAS</v>
      </c>
      <c r="JC39" s="207" t="str">
        <f>IFERROR(INDEX($A$2:$A$113,MATCH(ROWS($FG$2:FG39),$FG$2:$FG$113,0)),"")</f>
        <v>AMENAZAS TELEFONICAS</v>
      </c>
      <c r="JD39" s="207" t="str">
        <f>IFERROR(INDEX($A$2:$A$113,MATCH(ROWS($FH$2:FH39),$FH$2:$FH$113,0)),"")</f>
        <v>AMENAZAS TELEFONICAS</v>
      </c>
      <c r="JE39" s="207" t="str">
        <f>IFERROR(INDEX($A$2:$A$113,MATCH(ROWS($FI$2:FI39),$FI$2:$FI$113,0)),"")</f>
        <v>AMENAZAS TELEFONICAS</v>
      </c>
      <c r="JF39" s="207" t="str">
        <f>IFERROR(INDEX($A$2:$A$113,MATCH(ROWS($FJ$2:FJ39),$FJ$2:$FJ$113,0)),"")</f>
        <v>AMENAZAS TELEFONICAS</v>
      </c>
      <c r="JG39" s="207" t="str">
        <f>IFERROR(INDEX($A$2:$A$113,MATCH(ROWS($FK$2:FK39),$FK$2:$FK$113,0)),"")</f>
        <v>AMENAZAS TELEFONICAS</v>
      </c>
      <c r="JH39" s="207" t="str">
        <f>IFERROR(INDEX($A$2:$A$113,MATCH(ROWS($FL$2:FL39),$FL$2:$FL$113,0)),"")</f>
        <v>AMENAZAS TELEFONICAS</v>
      </c>
      <c r="JI39" s="207" t="str">
        <f>IFERROR(INDEX($A$2:$A$113,MATCH(ROWS($FM$2:FM39),$FM$2:$FM$113,0)),"")</f>
        <v>AMENAZAS TELEFONICAS</v>
      </c>
      <c r="JJ39" s="207" t="str">
        <f>IFERROR(INDEX($A$2:$A$113,MATCH(ROWS($FN$2:FN39),$FN$2:$FN$113,0)),"")</f>
        <v>AMENAZAS TELEFONICAS</v>
      </c>
      <c r="JK39" s="207" t="str">
        <f>IFERROR(INDEX($A$2:$A$113,MATCH(ROWS($FO$2:FO39),$FO$2:$FO$113,0)),"")</f>
        <v>AMENAZAS TELEFONICAS</v>
      </c>
      <c r="JL39" s="207" t="str">
        <f>IFERROR(INDEX($A$2:$A$113,MATCH(ROWS($FP$2:FP39),$FP$2:$FP$113,0)),"")</f>
        <v>AMENAZAS TELEFONICAS</v>
      </c>
      <c r="JM39" s="207" t="str">
        <f>IFERROR(INDEX($A$2:$A$113,MATCH(ROWS($FQ$2:FQ39),$FQ$2:$FQ$113,0)),"")</f>
        <v>AMENAZAS TELEFONICAS</v>
      </c>
      <c r="JN39" s="207" t="str">
        <f>IFERROR(INDEX($A$2:$A$113,MATCH(ROWS($FR$2:FR39),$FR$2:$FR$113,0)),"")</f>
        <v>AMENAZAS TELEFONICAS</v>
      </c>
      <c r="JO39" s="207" t="str">
        <f>IFERROR(INDEX($A$2:$A$113,MATCH(ROWS($FS$2:FS39),$FS$2:$FS$113,0)),"")</f>
        <v>AMENAZAS TELEFONICAS</v>
      </c>
      <c r="JP39" s="207" t="str">
        <f>IFERROR(INDEX($A$2:$A$113,MATCH(ROWS($FT$2:FT39),$FT$2:$FT$113,0)),"")</f>
        <v>AMENAZAS TELEFONICAS</v>
      </c>
      <c r="JQ39" s="207" t="str">
        <f>IFERROR(INDEX($A$2:$A$113,MATCH(ROWS($FU$2:FU39),$FU$2:$FU$113,0)),"")</f>
        <v>AMENAZAS TELEFONICAS</v>
      </c>
      <c r="JR39" s="207" t="str">
        <f>IFERROR(INDEX($A$2:$A$113,MATCH(ROWS($FV$2:FV39),$FV$2:$FV$113,0)),"")</f>
        <v>AMENAZAS TELEFONICAS</v>
      </c>
      <c r="JS39" s="207" t="str">
        <f>IFERROR(INDEX($A$2:$A$113,MATCH(ROWS($FW$2:FW39),$FW$2:$FW$113,0)),"")</f>
        <v>AMENAZAS TELEFONICAS</v>
      </c>
      <c r="JT39" s="207" t="str">
        <f>IFERROR(INDEX($A$2:$A$113,MATCH(ROWS($FX$2:FX39),$FX$2:$FX$113,0)),"")</f>
        <v>AMENAZAS TELEFONICAS</v>
      </c>
      <c r="JU39" s="207" t="str">
        <f>IFERROR(INDEX($A$2:$A$113,MATCH(ROWS($FY$2:FY39),$FY$2:$FY$113,0)),"")</f>
        <v>AMENAZAS TELEFONICAS</v>
      </c>
      <c r="JV39" s="207" t="str">
        <f>IFERROR(INDEX($A$2:$A$113,MATCH(ROWS($FZ$2:FZ39),$FZ$2:$FZ$113,0)),"")</f>
        <v>AMENAZAS TELEFONICAS</v>
      </c>
      <c r="JW39" s="207" t="str">
        <f>IFERROR(INDEX($A$2:$A$113,MATCH(ROWS($GA$2:GA39),$GA$2:$GA$113,0)),"")</f>
        <v>AMENAZAS TELEFONICAS</v>
      </c>
      <c r="JX39" s="207" t="str">
        <f>IFERROR(INDEX($A$2:$A$113,MATCH(ROWS($GB$2:GB39),$GB$2:$GB$113,0)),"")</f>
        <v>AMENAZAS TELEFONICAS</v>
      </c>
      <c r="JY39" s="207" t="str">
        <f>IFERROR(INDEX($A$2:$A$113,MATCH(ROWS($GC$2:GC39),$GC$2:$GC$113,0)),"")</f>
        <v>AMENAZAS TELEFONICAS</v>
      </c>
      <c r="JZ39" s="207" t="str">
        <f>IFERROR(INDEX($A$2:$A$113,MATCH(ROWS($GD$2:GD39),$GD$2:$GD$113,0)),"")</f>
        <v>AMENAZAS TELEFONICAS</v>
      </c>
      <c r="KA39" s="207" t="str">
        <f>IFERROR(INDEX($A$2:$A$113,MATCH(ROWS($GE$2:GE39),$GE$2:$GE$113,0)),"")</f>
        <v>AMENAZAS TELEFONICAS</v>
      </c>
      <c r="KB39" s="207" t="str">
        <f>IFERROR(INDEX($A$2:$A$113,MATCH(ROWS($GF$2:GF39),$GF$2:$GF$113,0)),"")</f>
        <v>AMENAZAS TELEFONICAS</v>
      </c>
      <c r="KC39" s="207" t="str">
        <f>IFERROR(INDEX($A$2:$A$113,MATCH(ROWS($GG$2:GG39),$GG$2:$GG$113,0)),"")</f>
        <v>AMENAZAS TELEFONICAS</v>
      </c>
      <c r="KD39" s="207" t="str">
        <f>IFERROR(INDEX($A$2:$A$113,MATCH(ROWS($GH$2:GH39),$GH$2:$GH$113,0)),"")</f>
        <v>AMENAZAS TELEFONICAS</v>
      </c>
      <c r="KE39" s="207" t="str">
        <f>IFERROR(INDEX($A$2:$A$113,MATCH(ROWS($GI$2:GI39),$GI$2:$GI$113,0)),"")</f>
        <v>AMENAZAS TELEFONICAS</v>
      </c>
      <c r="KF39" s="207" t="str">
        <f>IFERROR(INDEX($A$2:$A$113,MATCH(ROWS($GJ$2:GJ39),$GJ$2:$GJ$113,0)),"")</f>
        <v>AMENAZAS TELEFONICAS</v>
      </c>
      <c r="KG39" s="207" t="str">
        <f>IFERROR(INDEX($A$2:$A$113,MATCH(ROWS($GK$2:GK39),$GK$2:$GK$113,0)),"")</f>
        <v>AMENAZAS TELEFONICAS</v>
      </c>
      <c r="KH39" s="207" t="str">
        <f>IFERROR(INDEX($A$2:$A$113,MATCH(ROWS($GL$2:GL39),$GL$2:$GL$113,0)),"")</f>
        <v>AMENAZAS TELEFONICAS</v>
      </c>
      <c r="KI39" s="207" t="str">
        <f>IFERROR(INDEX($A$2:$A$113,MATCH(ROWS($GM$2:GM39),$GM$2:$GM$113,0)),"")</f>
        <v>AMENAZAS TELEFONICAS</v>
      </c>
      <c r="KJ39" s="207" t="str">
        <f>IFERROR(INDEX($A$2:$A$113,MATCH(ROWS($GN$2:GN39),$GN$2:$GN$113,0)),"")</f>
        <v>AMENAZAS TELEFONICAS</v>
      </c>
      <c r="KK39" s="207" t="str">
        <f>IFERROR(INDEX($A$2:$A$113,MATCH(ROWS($GO$2:GO39),$GO$2:$GO$113,0)),"")</f>
        <v>AMENAZAS TELEFONICAS</v>
      </c>
      <c r="KL39" s="207" t="str">
        <f>IFERROR(INDEX($A$2:$A$113,MATCH(ROWS($GP$2:GP39),$GP$2:$GP$113,0)),"")</f>
        <v>AMENAZAS TELEFONICAS</v>
      </c>
      <c r="KM39" s="207" t="str">
        <f>IFERROR(INDEX($A$2:$A$113,MATCH(ROWS($GQ$2:GQ39),$GQ$2:$GQ$113,0)),"")</f>
        <v>AMENAZAS TELEFONICAS</v>
      </c>
      <c r="KN39" s="207" t="str">
        <f>IFERROR(INDEX($A$2:$A$113,MATCH(ROWS($GR$2:GR39),$GR$2:$GR$113,0)),"")</f>
        <v>AMENAZAS TELEFONICAS</v>
      </c>
      <c r="KO39" s="207" t="str">
        <f>IFERROR(INDEX($A$2:$A$113,MATCH(ROWS($GS$2:GS39),$GS$2:$GS$113,0)),"")</f>
        <v>AMENAZAS TELEFONICAS</v>
      </c>
      <c r="KP39" s="207" t="str">
        <f>IFERROR(INDEX($A$2:$A$113,MATCH(ROWS($GT$2:GT39),$GT$2:$GT$113,0)),"")</f>
        <v>AMENAZAS TELEFONICAS</v>
      </c>
      <c r="KQ39" s="207" t="str">
        <f>IFERROR(INDEX($A$2:$A$113,MATCH(ROWS($GU$2:GU39),$GU$2:$GU$113,0)),"")</f>
        <v>AMENAZAS TELEFONICAS</v>
      </c>
      <c r="KR39" s="207" t="str">
        <f>IFERROR(INDEX($A$2:$A$113,MATCH(ROWS($GV$2:GV39),$GV$2:$GV$113,0)),"")</f>
        <v>AMENAZAS TELEFONICAS</v>
      </c>
      <c r="KS39" s="207" t="str">
        <f>IFERROR(INDEX($A$2:$A$113,MATCH(ROWS($GW$2:GW39),$GW$2:$GW$113,0)),"")</f>
        <v>AMENAZAS TELEFONICAS</v>
      </c>
    </row>
    <row r="40" spans="1:305" x14ac:dyDescent="0.25">
      <c r="A40" s="206" t="s">
        <v>82</v>
      </c>
      <c r="B40" s="206">
        <v>13</v>
      </c>
      <c r="D40" s="206" t="s">
        <v>12</v>
      </c>
      <c r="E40" s="206" t="s">
        <v>76</v>
      </c>
      <c r="F40" s="207">
        <f>--ISNUMBER(IFERROR(SEARCH('PLANILLA DJ'!$X$3,$A40,1),""))</f>
        <v>1</v>
      </c>
      <c r="G40" s="207">
        <f>--ISNUMBER(IFERROR(SEARCH('PLANILLA DJ'!$X$4,$A40,1),""))</f>
        <v>1</v>
      </c>
      <c r="H40" s="207">
        <f>--ISNUMBER(IFERROR(SEARCH('PLANILLA DJ'!$X$5,$A40,1),""))</f>
        <v>1</v>
      </c>
      <c r="I40" s="207">
        <f>--ISNUMBER(IFERROR(SEARCH('PLANILLA DJ'!$X$6,$A40,1),""))</f>
        <v>1</v>
      </c>
      <c r="J40" s="207">
        <f>--ISNUMBER(IFERROR(SEARCH('PLANILLA DJ'!$X$7,$A40,1),""))</f>
        <v>1</v>
      </c>
      <c r="K40" s="207">
        <f>--ISNUMBER(IFERROR(SEARCH('PLANILLA DJ'!$X$8,$A40,1),""))</f>
        <v>1</v>
      </c>
      <c r="L40" s="207">
        <f>--ISNUMBER(IFERROR(SEARCH('PLANILLA DJ'!$X$9,$A40,1),""))</f>
        <v>1</v>
      </c>
      <c r="M40" s="207">
        <f>--ISNUMBER(IFERROR(SEARCH('PLANILLA DJ'!$X$10,$A40,1),""))</f>
        <v>1</v>
      </c>
      <c r="N40" s="207">
        <f>--ISNUMBER(IFERROR(SEARCH('PLANILLA DJ'!$X$11,$A40,1),""))</f>
        <v>1</v>
      </c>
      <c r="O40" s="207">
        <f>--ISNUMBER(IFERROR(SEARCH('PLANILLA DJ'!$X$12,$A40,1),""))</f>
        <v>1</v>
      </c>
      <c r="P40" s="207">
        <f>--ISNUMBER(IFERROR(SEARCH('PLANILLA DJ'!$X$13,$A40,1),""))</f>
        <v>1</v>
      </c>
      <c r="Q40" s="207">
        <f>--ISNUMBER(IFERROR(SEARCH('PLANILLA DJ'!$X$14,$A40,1),""))</f>
        <v>1</v>
      </c>
      <c r="R40" s="207">
        <f>--ISNUMBER(IFERROR(SEARCH('PLANILLA DJ'!$X$15,$A40,1),""))</f>
        <v>1</v>
      </c>
      <c r="S40" s="207">
        <f>--ISNUMBER(IFERROR(SEARCH('PLANILLA DJ'!$X$16,$A40,1),""))</f>
        <v>1</v>
      </c>
      <c r="T40" s="207">
        <f>--ISNUMBER(IFERROR(SEARCH('PLANILLA DJ'!$X$17,$A40,1),""))</f>
        <v>1</v>
      </c>
      <c r="U40" s="207">
        <f>--ISNUMBER(IFERROR(SEARCH('PLANILLA DJ'!$X$18,$A40,1),""))</f>
        <v>1</v>
      </c>
      <c r="V40" s="207">
        <f>--ISNUMBER(IFERROR(SEARCH('PLANILLA DJ'!$X$19,$A40,1),""))</f>
        <v>1</v>
      </c>
      <c r="W40" s="207">
        <f>--ISNUMBER(IFERROR(SEARCH('PLANILLA DJ'!$X$20,$A40,1),""))</f>
        <v>1</v>
      </c>
      <c r="X40" s="207">
        <f>--ISNUMBER(IFERROR(SEARCH('PLANILLA DJ'!$X$21,$A40,1),""))</f>
        <v>1</v>
      </c>
      <c r="Y40" s="207">
        <f>--ISNUMBER(IFERROR(SEARCH('PLANILLA DJ'!$X$22,$A40,1),""))</f>
        <v>1</v>
      </c>
      <c r="Z40" s="207">
        <f>--ISNUMBER(IFERROR(SEARCH('PLANILLA DJ'!$X$23,$A40,1),""))</f>
        <v>1</v>
      </c>
      <c r="AA40" s="207">
        <f>--ISNUMBER(IFERROR(SEARCH('PLANILLA DJ'!$X$24,$A40,1),""))</f>
        <v>1</v>
      </c>
      <c r="AB40" s="207">
        <f>--ISNUMBER(IFERROR(SEARCH('PLANILLA DJ'!$X$25,$A40,1),""))</f>
        <v>1</v>
      </c>
      <c r="AC40" s="207">
        <f>--ISNUMBER(IFERROR(SEARCH('PLANILLA DJ'!$X$26,$A40,1),""))</f>
        <v>1</v>
      </c>
      <c r="AD40" s="207">
        <f>--ISNUMBER(IFERROR(SEARCH('PLANILLA DJ'!$X$27,$A40,1),""))</f>
        <v>1</v>
      </c>
      <c r="AE40" s="207">
        <f>--ISNUMBER(IFERROR(SEARCH('PLANILLA DJ'!$X$28,$A40,1),""))</f>
        <v>1</v>
      </c>
      <c r="AF40" s="207">
        <f>--ISNUMBER(IFERROR(SEARCH('PLANILLA DJ'!$X$29,$A40,1),""))</f>
        <v>1</v>
      </c>
      <c r="AG40" s="207">
        <f>--ISNUMBER(IFERROR(SEARCH('PLANILLA DJ'!$X$30,$A40,1),""))</f>
        <v>1</v>
      </c>
      <c r="AH40" s="207">
        <f>--ISNUMBER(IFERROR(SEARCH('PLANILLA DJ'!$X$31,$A40,1),""))</f>
        <v>1</v>
      </c>
      <c r="AI40" s="207">
        <f>--ISNUMBER(IFERROR(SEARCH('PLANILLA DJ'!$X$32,$A40,1),""))</f>
        <v>1</v>
      </c>
      <c r="AJ40" s="207">
        <f>--ISNUMBER(IFERROR(SEARCH('PLANILLA DJ'!$X$33,$A40,1),""))</f>
        <v>1</v>
      </c>
      <c r="AK40" s="207">
        <f>--ISNUMBER(IFERROR(SEARCH('PLANILLA DJ'!$X$34,$A40,1),""))</f>
        <v>1</v>
      </c>
      <c r="AL40" s="207">
        <f>--ISNUMBER(IFERROR(SEARCH('PLANILLA DJ'!$X$35,$A40,1),""))</f>
        <v>1</v>
      </c>
      <c r="AM40" s="207">
        <f>--ISNUMBER(IFERROR(SEARCH('PLANILLA DJ'!$X$36,$A40,1),""))</f>
        <v>1</v>
      </c>
      <c r="AN40" s="207">
        <f>--ISNUMBER(IFERROR(SEARCH('PLANILLA DJ'!$X$37,$A40,1),""))</f>
        <v>1</v>
      </c>
      <c r="AO40" s="207">
        <f>--ISNUMBER(IFERROR(SEARCH('PLANILLA DJ'!$X$38,$A40,1),""))</f>
        <v>1</v>
      </c>
      <c r="AP40" s="207">
        <f>--ISNUMBER(IFERROR(SEARCH('PLANILLA DJ'!$X$39,$A40,1),""))</f>
        <v>1</v>
      </c>
      <c r="AQ40" s="207">
        <f>--ISNUMBER(IFERROR(SEARCH('PLANILLA DJ'!$X$40,$A40,1),""))</f>
        <v>1</v>
      </c>
      <c r="AR40" s="207">
        <f>--ISNUMBER(IFERROR(SEARCH('PLANILLA DJ'!$X$41,$A40,1),""))</f>
        <v>1</v>
      </c>
      <c r="AS40" s="207">
        <f>--ISNUMBER(IFERROR(SEARCH('PLANILLA DJ'!$X$42,$A40,1),""))</f>
        <v>1</v>
      </c>
      <c r="AT40" s="207">
        <f>--ISNUMBER(IFERROR(SEARCH('PLANILLA DJ'!$X$43,$A40,1),""))</f>
        <v>1</v>
      </c>
      <c r="AU40" s="207">
        <f>--ISNUMBER(IFERROR(SEARCH('PLANILLA DJ'!$X$44,$A40,1),""))</f>
        <v>1</v>
      </c>
      <c r="AV40" s="207">
        <f>--ISNUMBER(IFERROR(SEARCH('PLANILLA DJ'!$X$45,$A40,1),""))</f>
        <v>1</v>
      </c>
      <c r="AW40" s="207">
        <f>--ISNUMBER(IFERROR(SEARCH('PLANILLA DJ'!$X$46,$A40,1),""))</f>
        <v>1</v>
      </c>
      <c r="AX40" s="207">
        <f>--ISNUMBER(IFERROR(SEARCH('PLANILLA DJ'!$X$47,$A40,1),""))</f>
        <v>1</v>
      </c>
      <c r="AY40" s="207">
        <f>--ISNUMBER(IFERROR(SEARCH('PLANILLA DJ'!$X$48,$A40,1),""))</f>
        <v>1</v>
      </c>
      <c r="AZ40" s="207">
        <f>--ISNUMBER(IFERROR(SEARCH('PLANILLA DJ'!$X$49,$A40,1),""))</f>
        <v>1</v>
      </c>
      <c r="BA40" s="207">
        <f>--ISNUMBER(IFERROR(SEARCH('PLANILLA DJ'!$X$50,$A40,1),""))</f>
        <v>1</v>
      </c>
      <c r="BB40" s="207">
        <f>--ISNUMBER(IFERROR(SEARCH('PLANILLA DJ'!$X$51,$A40,1),""))</f>
        <v>1</v>
      </c>
      <c r="BC40" s="207">
        <f>--ISNUMBER(IFERROR(SEARCH('PLANILLA DJ'!$X$52,$A40,1),""))</f>
        <v>1</v>
      </c>
      <c r="BD40" s="207">
        <f>--ISNUMBER(IFERROR(SEARCH('PLANILLA DJ'!$X$53,$A40,1),""))</f>
        <v>1</v>
      </c>
      <c r="BE40" s="207">
        <f>--ISNUMBER(IFERROR(SEARCH('PLANILLA DJ'!$X$54,$A40,1),""))</f>
        <v>1</v>
      </c>
      <c r="BF40" s="207">
        <f>--ISNUMBER(IFERROR(SEARCH('PLANILLA DJ'!$X$55,$A40,1),""))</f>
        <v>1</v>
      </c>
      <c r="BG40" s="207">
        <f>--ISNUMBER(IFERROR(SEARCH('PLANILLA DJ'!$X$56,$A40,1),""))</f>
        <v>1</v>
      </c>
      <c r="BH40" s="207">
        <f>--ISNUMBER(IFERROR(SEARCH('PLANILLA DJ'!$X$57,$A40,1),""))</f>
        <v>1</v>
      </c>
      <c r="BI40" s="207">
        <f>--ISNUMBER(IFERROR(SEARCH('PLANILLA DJ'!$X$58,$A40,1),""))</f>
        <v>1</v>
      </c>
      <c r="BJ40" s="207">
        <f>--ISNUMBER(IFERROR(SEARCH('PLANILLA DJ'!$X$59,$A40,1),""))</f>
        <v>1</v>
      </c>
      <c r="BK40" s="207">
        <f>--ISNUMBER(IFERROR(SEARCH('PLANILLA DJ'!$X$60,$A40,1),""))</f>
        <v>1</v>
      </c>
      <c r="BL40" s="207">
        <f>--ISNUMBER(IFERROR(SEARCH('PLANILLA DJ'!$X$61,$A40,1),""))</f>
        <v>1</v>
      </c>
      <c r="BM40" s="207">
        <f>--ISNUMBER(IFERROR(SEARCH('PLANILLA DJ'!$X$62,$A40,1),""))</f>
        <v>1</v>
      </c>
      <c r="BN40" s="207">
        <f>--ISNUMBER(IFERROR(SEARCH('PLANILLA DJ'!$X$63,$A40,1),""))</f>
        <v>1</v>
      </c>
      <c r="BO40" s="207">
        <f>--ISNUMBER(IFERROR(SEARCH('PLANILLA DJ'!$X$64,$A40,1),""))</f>
        <v>1</v>
      </c>
      <c r="BP40" s="207">
        <f>--ISNUMBER(IFERROR(SEARCH('PLANILLA DJ'!$X$65,$A40,1),""))</f>
        <v>1</v>
      </c>
      <c r="BQ40" s="207">
        <f>--ISNUMBER(IFERROR(SEARCH('PLANILLA DJ'!$X$66,$A40,1),""))</f>
        <v>1</v>
      </c>
      <c r="BR40" s="207">
        <f>--ISNUMBER(IFERROR(SEARCH('PLANILLA DJ'!$X$67,$A40,1),""))</f>
        <v>1</v>
      </c>
      <c r="BS40" s="207">
        <f>--ISNUMBER(IFERROR(SEARCH('PLANILLA DJ'!$X$68,$A40,1),""))</f>
        <v>1</v>
      </c>
      <c r="BT40" s="207">
        <f>--ISNUMBER(IFERROR(SEARCH('PLANILLA DJ'!$X$69,$A40,1),""))</f>
        <v>1</v>
      </c>
      <c r="BU40" s="207">
        <f>--ISNUMBER(IFERROR(SEARCH('PLANILLA DJ'!$X$70,$A40,1),""))</f>
        <v>1</v>
      </c>
      <c r="BV40" s="207">
        <f>--ISNUMBER(IFERROR(SEARCH('PLANILLA DJ'!$X$71,$A40,1),""))</f>
        <v>1</v>
      </c>
      <c r="BW40" s="207">
        <f>--ISNUMBER(IFERROR(SEARCH('PLANILLA DJ'!$X$72,$A40,1),""))</f>
        <v>1</v>
      </c>
      <c r="BX40" s="207">
        <f>--ISNUMBER(IFERROR(SEARCH('PLANILLA DJ'!$X$73,$A40,1),""))</f>
        <v>1</v>
      </c>
      <c r="BY40" s="207">
        <f>--ISNUMBER(IFERROR(SEARCH('PLANILLA DJ'!$X$74,$A40,1),""))</f>
        <v>1</v>
      </c>
      <c r="BZ40" s="207">
        <f>--ISNUMBER(IFERROR(SEARCH('PLANILLA DJ'!$X$75,$A40,1),""))</f>
        <v>1</v>
      </c>
      <c r="CA40" s="207">
        <f>--ISNUMBER(IFERROR(SEARCH('PLANILLA DJ'!$X$76,$A40,1),""))</f>
        <v>1</v>
      </c>
      <c r="CB40" s="207">
        <f>--ISNUMBER(IFERROR(SEARCH('PLANILLA DJ'!$X$77,$A40,1),""))</f>
        <v>1</v>
      </c>
      <c r="CC40" s="207">
        <f>--ISNUMBER(IFERROR(SEARCH('PLANILLA DJ'!$X$78,$A40,1),""))</f>
        <v>1</v>
      </c>
      <c r="CD40" s="207">
        <f>--ISNUMBER(IFERROR(SEARCH('PLANILLA DJ'!$X$79,$A40,1),""))</f>
        <v>1</v>
      </c>
      <c r="CE40" s="207">
        <f>--ISNUMBER(IFERROR(SEARCH('PLANILLA DJ'!$X$80,$A40,1),""))</f>
        <v>1</v>
      </c>
      <c r="CF40" s="207">
        <f>--ISNUMBER(IFERROR(SEARCH('PLANILLA DJ'!$X$81,$A40,1),""))</f>
        <v>1</v>
      </c>
      <c r="CG40" s="207">
        <f>--ISNUMBER(IFERROR(SEARCH('PLANILLA DJ'!$X$82,$A40,1),""))</f>
        <v>1</v>
      </c>
      <c r="CH40" s="207">
        <f>--ISNUMBER(IFERROR(SEARCH('PLANILLA DJ'!$X$83,$A40,1),""))</f>
        <v>1</v>
      </c>
      <c r="CI40" s="207">
        <f>--ISNUMBER(IFERROR(SEARCH('PLANILLA DJ'!$X$84,$A40,1),""))</f>
        <v>1</v>
      </c>
      <c r="CJ40" s="207">
        <f>--ISNUMBER(IFERROR(SEARCH('PLANILLA DJ'!$X$85,$A40,1),""))</f>
        <v>1</v>
      </c>
      <c r="CK40" s="207">
        <f>--ISNUMBER(IFERROR(SEARCH('PLANILLA DJ'!$X$86,$A40,1),""))</f>
        <v>1</v>
      </c>
      <c r="CL40" s="207">
        <f>--ISNUMBER(IFERROR(SEARCH('PLANILLA DJ'!$X$87,$A40,1),""))</f>
        <v>1</v>
      </c>
      <c r="CM40" s="207">
        <f>--ISNUMBER(IFERROR(SEARCH('PLANILLA DJ'!$X$88,$A40,1),""))</f>
        <v>1</v>
      </c>
      <c r="CN40" s="207">
        <f>--ISNUMBER(IFERROR(SEARCH('PLANILLA DJ'!$X$89,$A40,1),""))</f>
        <v>1</v>
      </c>
      <c r="CO40" s="207">
        <f>--ISNUMBER(IFERROR(SEARCH('PLANILLA DJ'!$X$90,$A40,1),""))</f>
        <v>1</v>
      </c>
      <c r="CP40" s="207">
        <f>--ISNUMBER(IFERROR(SEARCH('PLANILLA DJ'!$X$91,$A40,1),""))</f>
        <v>1</v>
      </c>
      <c r="CQ40" s="207">
        <f>--ISNUMBER(IFERROR(SEARCH('PLANILLA DJ'!$X$92,$A40,1),""))</f>
        <v>1</v>
      </c>
      <c r="CR40" s="207">
        <f>--ISNUMBER(IFERROR(SEARCH('PLANILLA DJ'!$X$93,$A40,1),""))</f>
        <v>1</v>
      </c>
      <c r="CS40" s="207">
        <f>--ISNUMBER(IFERROR(SEARCH('PLANILLA DJ'!$X$94,$A40,1),""))</f>
        <v>1</v>
      </c>
      <c r="CT40" s="207">
        <f>--ISNUMBER(IFERROR(SEARCH('PLANILLA DJ'!$X$95,$A40,1),""))</f>
        <v>1</v>
      </c>
      <c r="CU40" s="207">
        <f>--ISNUMBER(IFERROR(SEARCH('PLANILLA DJ'!$X$96,$A40,1),""))</f>
        <v>1</v>
      </c>
      <c r="CV40" s="207">
        <f>--ISNUMBER(IFERROR(SEARCH('PLANILLA DJ'!$X$97,$A40,1),""))</f>
        <v>1</v>
      </c>
      <c r="CW40" s="207">
        <f>--ISNUMBER(IFERROR(SEARCH('PLANILLA DJ'!$X$98,$A40,1),""))</f>
        <v>1</v>
      </c>
      <c r="CX40" s="207">
        <f>--ISNUMBER(IFERROR(SEARCH('PLANILLA DJ'!$X$99,$A40,1),""))</f>
        <v>1</v>
      </c>
      <c r="CY40" s="207">
        <f>--ISNUMBER(IFERROR(SEARCH('PLANILLA DJ'!$X$100,$A40,1),""))</f>
        <v>1</v>
      </c>
      <c r="CZ40" s="207">
        <f>--ISNUMBER(IFERROR(SEARCH('PLANILLA DJ'!$X$101,$A40,1),""))</f>
        <v>1</v>
      </c>
      <c r="DA40" s="207">
        <f>--ISNUMBER(IFERROR(SEARCH('PLANILLA DJ'!$X$102,$A40,1),""))</f>
        <v>1</v>
      </c>
      <c r="DB40" s="206">
        <f>IF(F40=1,COUNTIF($F$2:F40,1),"")</f>
        <v>39</v>
      </c>
      <c r="DC40" s="206">
        <f>IF(G40=1,COUNTIF($G$2:G40,1),"")</f>
        <v>39</v>
      </c>
      <c r="DD40" s="206">
        <f>IF(H40=1,COUNTIF($H$2:H40,1),"")</f>
        <v>39</v>
      </c>
      <c r="DE40" s="206">
        <f>IF(I40=1,COUNTIF($I$2:I40,1),"")</f>
        <v>39</v>
      </c>
      <c r="DF40" s="206">
        <f>IF(J40=1,COUNTIF($J$2:J40,1),"")</f>
        <v>39</v>
      </c>
      <c r="DG40" s="206">
        <f>IF(K40=1,COUNTIF($K$2:K40,1),"")</f>
        <v>39</v>
      </c>
      <c r="DH40" s="206">
        <f>IF(L40=1,COUNTIF($L$2:L40,1),"")</f>
        <v>39</v>
      </c>
      <c r="DI40" s="206">
        <f>IF(M40=1,COUNTIF($M$2:M40,1),"")</f>
        <v>39</v>
      </c>
      <c r="DJ40" s="206">
        <f>IF(N40=1,COUNTIF($N$2:N40,1),"")</f>
        <v>39</v>
      </c>
      <c r="DK40" s="206">
        <f>IF(O40=1,COUNTIF($O$2:O40,1),"")</f>
        <v>39</v>
      </c>
      <c r="DL40" s="206">
        <f>IF(P40=1,COUNTIF($P$2:P40,1),"")</f>
        <v>39</v>
      </c>
      <c r="DM40" s="206">
        <f>IF(Q40=1,COUNTIF($Q$2:Q40,1),"")</f>
        <v>39</v>
      </c>
      <c r="DN40" s="207">
        <f>IF(R40=1,COUNTIF($R$2:R40,1),"")</f>
        <v>39</v>
      </c>
      <c r="DO40" s="207">
        <f>IF(S40=1,COUNTIF($S$2:S40,1),"")</f>
        <v>39</v>
      </c>
      <c r="DP40" s="207">
        <f>IF(T40=1,COUNTIF($T$2:T40,1),"")</f>
        <v>39</v>
      </c>
      <c r="DQ40" s="207">
        <f>IF(U40=1,COUNTIF($U$2:U40,1),"")</f>
        <v>39</v>
      </c>
      <c r="DR40" s="207">
        <f>IF(V40=1,COUNTIF($V$2:V40,1),"")</f>
        <v>39</v>
      </c>
      <c r="DS40" s="207">
        <f>IF(W40=1,COUNTIF($W$2:W40,1),"")</f>
        <v>39</v>
      </c>
      <c r="DT40" s="207">
        <f>IF(X40=1,COUNTIF($X$2:X40,1),"")</f>
        <v>39</v>
      </c>
      <c r="DU40" s="207">
        <f>IF(Y40=1,COUNTIF($Y$2:Y40,1),"")</f>
        <v>39</v>
      </c>
      <c r="DV40" s="207">
        <f>IF(Z40=1,COUNTIF(Z$2:Z40,1),"")</f>
        <v>39</v>
      </c>
      <c r="DW40" s="207">
        <f>IF(AA40=1,COUNTIF($AA$2:AA40,1),"")</f>
        <v>39</v>
      </c>
      <c r="DX40" s="207">
        <f>IF(AB40=1,COUNTIF($AB$2:AB40,1),"")</f>
        <v>39</v>
      </c>
      <c r="DY40" s="207">
        <f>IF(AC40=1,COUNTIF($AC$2:AC40,1),"")</f>
        <v>39</v>
      </c>
      <c r="DZ40" s="207">
        <f>IF(AD40=1,COUNTIF($AD$2:AD40,1),"")</f>
        <v>39</v>
      </c>
      <c r="EA40" s="207">
        <f>IF(AE40=1,COUNTIF($AE$2:AE40,1),"")</f>
        <v>39</v>
      </c>
      <c r="EB40" s="207">
        <f>IF(AF40=1,COUNTIF($AF$2:AF40,1),"")</f>
        <v>39</v>
      </c>
      <c r="EC40" s="207">
        <f>IF(AG40=1,COUNTIF($AG$2:AG40,1),"")</f>
        <v>39</v>
      </c>
      <c r="ED40" s="207">
        <f>IF(AH40=1,COUNTIF($AH$2:AH40,1),"")</f>
        <v>39</v>
      </c>
      <c r="EE40" s="207">
        <f>IF(AI40=1,COUNTIF($AI$2:AI40,1),"")</f>
        <v>39</v>
      </c>
      <c r="EF40" s="207">
        <f>IF(AJ40=1,COUNTIF($AJ$2:AJ40,1),"")</f>
        <v>39</v>
      </c>
      <c r="EG40" s="207">
        <f>IF(AK40=1,COUNTIF($AK$2:AK40,1),"")</f>
        <v>39</v>
      </c>
      <c r="EH40" s="207">
        <f>IF(AL40=1,COUNTIF($AL$2:AL40,1),"")</f>
        <v>39</v>
      </c>
      <c r="EI40" s="207">
        <f>IF(AM40=1,COUNTIF($AM$2:AM40,1),"")</f>
        <v>39</v>
      </c>
      <c r="EJ40" s="207">
        <f>IF(AN40=1,COUNTIF($AN$2:AN40,1),"")</f>
        <v>39</v>
      </c>
      <c r="EK40" s="207">
        <f>IF(AO40=1,COUNTIF($AO$2:AO40,1),"")</f>
        <v>39</v>
      </c>
      <c r="EL40" s="207">
        <f>IF(AP40=1,COUNTIF($AP$2:AP40,1),"")</f>
        <v>39</v>
      </c>
      <c r="EM40" s="207">
        <f>IF(AQ40=1,COUNTIF($AQ$2:AQ40,1),"")</f>
        <v>39</v>
      </c>
      <c r="EN40" s="207">
        <f>IF(AR40=1,COUNTIF($AR$2:AR40,1),"")</f>
        <v>39</v>
      </c>
      <c r="EO40" s="207">
        <f>IF(AS40=1,COUNTIF($AS$2:AS40,1),"")</f>
        <v>39</v>
      </c>
      <c r="EP40" s="207">
        <f>IF(AT40=1,COUNTIF($AT$2:AT40,1),"")</f>
        <v>39</v>
      </c>
      <c r="EQ40" s="207">
        <f>IF(AU40=1,COUNTIF($AU$2:AU40,1),"")</f>
        <v>39</v>
      </c>
      <c r="ER40" s="207">
        <f>IF(AV40=1,COUNTIF($AV$2:AV40,1),"")</f>
        <v>39</v>
      </c>
      <c r="ES40" s="207">
        <f>IF(AW40=1,COUNTIF($AW$2:AW40,1),"")</f>
        <v>39</v>
      </c>
      <c r="ET40" s="207">
        <f>IF(AX40=1,COUNTIF($AX$2:AX40,1),"")</f>
        <v>39</v>
      </c>
      <c r="EU40" s="207">
        <f>IF(AY40=1,COUNTIF($AY$2:AY40,1),"")</f>
        <v>39</v>
      </c>
      <c r="EV40" s="207">
        <f>IF(AZ40=1,COUNTIF($AZ$2:AZ40,1),"")</f>
        <v>39</v>
      </c>
      <c r="EW40" s="207">
        <f>IF(BA40=1,COUNTIF($BA$2:BA40,1),"")</f>
        <v>39</v>
      </c>
      <c r="EX40" s="207">
        <f>IF(BB40=1,COUNTIF($BB$2:BB40,1),"")</f>
        <v>39</v>
      </c>
      <c r="EY40" s="207">
        <f>IF(BC40=1,COUNTIF($BC$2:BC40,1),"")</f>
        <v>39</v>
      </c>
      <c r="EZ40" s="207">
        <f>IF(BD40=1,COUNTIF($BD$2:BD40,1),"")</f>
        <v>39</v>
      </c>
      <c r="FA40" s="207">
        <f>IF(BE40=1,COUNTIF($BE$2:BE40,1),"")</f>
        <v>39</v>
      </c>
      <c r="FB40" s="207">
        <f>IF(BF40=1,COUNTIF($BF$2:BF40,1),"")</f>
        <v>39</v>
      </c>
      <c r="FC40" s="207">
        <f>IF(BG40=1,COUNTIF($BG$2:BG40,1),"")</f>
        <v>39</v>
      </c>
      <c r="FD40" s="207">
        <f>IF(BH40=1,COUNTIF($BH$2:BH40,1),"")</f>
        <v>39</v>
      </c>
      <c r="FE40" s="207">
        <f>IF(BI40=1,COUNTIF($BI$2:BI40,1),"")</f>
        <v>39</v>
      </c>
      <c r="FF40" s="207">
        <f>IF(BJ40=1,COUNTIF($BJ$2:BJ40,1),"")</f>
        <v>39</v>
      </c>
      <c r="FG40" s="207">
        <f>IF(BK40=1,COUNTIF($BK$2:BK40,1),"")</f>
        <v>39</v>
      </c>
      <c r="FH40" s="207">
        <f>IF(BL40=1,COUNTIF($BL$2:BL40,1),"")</f>
        <v>39</v>
      </c>
      <c r="FI40" s="207">
        <f>IF(BM40=1,COUNTIF($BM$2:BM40,1),"")</f>
        <v>39</v>
      </c>
      <c r="FJ40" s="207">
        <f>IF(BN40=1,COUNTIF($BN$2:BN40,1),"")</f>
        <v>39</v>
      </c>
      <c r="FK40" s="207">
        <f>IF(BO40=1,COUNTIF($BO$2:BO40,1),"")</f>
        <v>39</v>
      </c>
      <c r="FL40" s="207">
        <f>IF(BP40=1,COUNTIF($BP$2:BP40,1),"")</f>
        <v>39</v>
      </c>
      <c r="FM40" s="207">
        <f>IF(BQ40=1,COUNTIF($BQ$2:BQ40,1),"")</f>
        <v>39</v>
      </c>
      <c r="FN40" s="207">
        <f>IF(BR40=1,COUNTIF($BR$2:BR40,1),"")</f>
        <v>39</v>
      </c>
      <c r="FO40" s="207">
        <f>IF(BS40=1,COUNTIF($BS$2:BS40,1),"")</f>
        <v>39</v>
      </c>
      <c r="FP40" s="207">
        <f>IF(BT40=1,COUNTIF($BT$2:BT40,1),"")</f>
        <v>39</v>
      </c>
      <c r="FQ40" s="207">
        <f>IF(BU40=1,COUNTIF($BU$2:BU40,1),"")</f>
        <v>39</v>
      </c>
      <c r="FR40" s="207">
        <f>IF(BV40=1,COUNTIF($BV$2:BV40,1),"")</f>
        <v>39</v>
      </c>
      <c r="FS40" s="207">
        <f>IF(BW40=1,COUNTIF($BW$2:BW40,1),"")</f>
        <v>39</v>
      </c>
      <c r="FT40" s="207">
        <f>IF(BX40=1,COUNTIF($BX$2:BX40,1),"")</f>
        <v>39</v>
      </c>
      <c r="FU40" s="207">
        <f>IF(BY40=1,COUNTIF($BY$2:BY40,1),"")</f>
        <v>39</v>
      </c>
      <c r="FV40" s="207">
        <f>IF(BZ40=1,COUNTIF($BZ$2:BZ40,1),"")</f>
        <v>39</v>
      </c>
      <c r="FW40" s="207">
        <f>IF(CA40=1,COUNTIF($CA$2:CA40,1),"")</f>
        <v>39</v>
      </c>
      <c r="FX40" s="207">
        <f>IF(CB40=1,COUNTIF($CB$2:CB40,1),"")</f>
        <v>39</v>
      </c>
      <c r="FY40" s="207">
        <f>IF(CC40=1,COUNTIF($CC$2:CC40,1),"")</f>
        <v>39</v>
      </c>
      <c r="FZ40" s="207">
        <f>IF(CD40=1,COUNTIF($CD$2:CD40,1),"")</f>
        <v>39</v>
      </c>
      <c r="GA40" s="207">
        <f>IF(CE40=1,COUNTIF($CE$2:CE40,1),"")</f>
        <v>39</v>
      </c>
      <c r="GB40" s="207">
        <f>IF(CF40=1,COUNTIF($CF$2:CF40,1),"")</f>
        <v>39</v>
      </c>
      <c r="GC40" s="207">
        <f>IF(CG40=1,COUNTIF($CG$2:CG40,1),"")</f>
        <v>39</v>
      </c>
      <c r="GD40" s="207">
        <f>IF(CH40=1,COUNTIF($CH$2:CH40,1),"")</f>
        <v>39</v>
      </c>
      <c r="GE40" s="207">
        <f>IF(CI40=1,COUNTIF($CI$2:CI40,1),"")</f>
        <v>39</v>
      </c>
      <c r="GF40" s="207">
        <f>IF(CJ40=1,COUNTIF($CJ$2:CJ40,1),"")</f>
        <v>39</v>
      </c>
      <c r="GG40" s="207">
        <f>IF(CK40=1,COUNTIF($CK$2:CK40,1),"")</f>
        <v>39</v>
      </c>
      <c r="GH40" s="207">
        <f>IF(CL40=1,COUNTIF($CL$2:CL40,1),"")</f>
        <v>39</v>
      </c>
      <c r="GI40" s="207">
        <f>IF(CM40=1,COUNTIF($CM$2:CM40,1),"")</f>
        <v>39</v>
      </c>
      <c r="GJ40" s="207">
        <f>IF(CN40=1,COUNTIF($CN$2:CN40,1),"")</f>
        <v>39</v>
      </c>
      <c r="GK40" s="207">
        <f>IF(CO40=1,COUNTIF($CO$2:CO40,1),"")</f>
        <v>39</v>
      </c>
      <c r="GL40" s="207">
        <f>IF(CP40=1,COUNTIF($CP$2:CP40,1),"")</f>
        <v>39</v>
      </c>
      <c r="GM40" s="207">
        <f>IF(CQ40=1,COUNTIF($CQ$2:CQ40,1),"")</f>
        <v>39</v>
      </c>
      <c r="GN40" s="207">
        <f>IF(CR40=1,COUNTIF($CR$2:CR40,1),"")</f>
        <v>39</v>
      </c>
      <c r="GO40" s="207">
        <f>IF(CS40=1,COUNTIF($CS$2:CS40,1),"")</f>
        <v>39</v>
      </c>
      <c r="GP40" s="207">
        <f>IF(CT40=1,COUNTIF($CT$2:CT40,1),"")</f>
        <v>39</v>
      </c>
      <c r="GQ40" s="207">
        <f>IF(CU40=1,COUNTIF($CU$2:CU40,1),"")</f>
        <v>39</v>
      </c>
      <c r="GR40" s="207">
        <f>IF(CV40=1,COUNTIF($CV$2:CV40,1),"")</f>
        <v>39</v>
      </c>
      <c r="GS40" s="207">
        <f>IF(CW40=1,COUNTIF($CW$2:CW40,1),"")</f>
        <v>39</v>
      </c>
      <c r="GT40" s="207">
        <f>IF(CX40=1,COUNTIF($CX$2:CX40,1),"")</f>
        <v>39</v>
      </c>
      <c r="GU40" s="207">
        <f>IF(CY40=1,COUNTIF($CY$2:CY40,1),"")</f>
        <v>39</v>
      </c>
      <c r="GV40" s="207">
        <f>IF(CZ40=1,COUNTIF($CZ$2:CZ40,1),"")</f>
        <v>39</v>
      </c>
      <c r="GW40" s="207">
        <f>IF(DA40=1,COUNTIF($DA$2:DA40,1),"")</f>
        <v>39</v>
      </c>
      <c r="GX40" s="206" t="str">
        <f>IFERROR(INDEX($A$2:$A$113,MATCH(ROWS($DB$2:DB40),$DB$2:$DB$113,0)),"")</f>
        <v xml:space="preserve">AMENAZAS OTRAS </v>
      </c>
      <c r="GY40" s="206" t="str">
        <f>IFERROR(INDEX($A$2:$A$113,MATCH(ROWS($DC$2:DC40),$DC$2:$DC$113,0)),"")</f>
        <v xml:space="preserve">AMENAZAS OTRAS </v>
      </c>
      <c r="GZ40" s="206" t="str">
        <f>IFERROR(INDEX($A$2:$A$113,MATCH(ROWS($DD$2:DD40),$DD$2:$DD$113,0)),"")</f>
        <v xml:space="preserve">AMENAZAS OTRAS </v>
      </c>
      <c r="HA40" s="206" t="str">
        <f>IFERROR(INDEX($A$2:$A$113,MATCH(ROWS($DE$2:DE40),$DE$2:$DE$113,0)),"")</f>
        <v xml:space="preserve">AMENAZAS OTRAS </v>
      </c>
      <c r="HB40" s="206" t="str">
        <f>IFERROR(INDEX($A$2:$A$113,MATCH(ROWS($DF$2:DF40),$DF$2:$DF$113,0)),"")</f>
        <v xml:space="preserve">AMENAZAS OTRAS </v>
      </c>
      <c r="HC40" s="206" t="str">
        <f>IFERROR(INDEX($A$2:$A$113,MATCH(ROWS($DG$2:DG40),$DG$2:$DG$113,0)),"")</f>
        <v xml:space="preserve">AMENAZAS OTRAS </v>
      </c>
      <c r="HD40" s="206" t="str">
        <f>IFERROR(INDEX($A$2:$A$113,MATCH(ROWS($DH$2:DH40),$DH$2:$DH$113,0)),"")</f>
        <v xml:space="preserve">AMENAZAS OTRAS </v>
      </c>
      <c r="HE40" s="206" t="str">
        <f>IFERROR(INDEX($A$2:$A$113,MATCH(ROWS($DI$2:DI40),$DI$2:$DI$113,0)),"")</f>
        <v xml:space="preserve">AMENAZAS OTRAS </v>
      </c>
      <c r="HF40" s="206" t="str">
        <f>IFERROR(INDEX($A$2:$A$113,MATCH(ROWS($DJ$2:DJ40),$DJ$2:$DJ$113,0)),"")</f>
        <v xml:space="preserve">AMENAZAS OTRAS </v>
      </c>
      <c r="HG40" s="206" t="str">
        <f>IFERROR(INDEX($A$2:$A$113,MATCH(ROWS($DK$2:DK40),$DK$2:$DK$113,0)),"")</f>
        <v xml:space="preserve">AMENAZAS OTRAS </v>
      </c>
      <c r="HH40" s="206" t="str">
        <f>IFERROR(INDEX($A$2:$A$113,MATCH(ROWS($DL$2:DL40),$DL$2:$DL$113,0)),"")</f>
        <v xml:space="preserve">AMENAZAS OTRAS </v>
      </c>
      <c r="HI40" s="206" t="str">
        <f>IFERROR(INDEX($A$2:$A$113,MATCH(ROWS($DM$2:DM40),$DM$2:$DM$113,0)),"")</f>
        <v xml:space="preserve">AMENAZAS OTRAS </v>
      </c>
      <c r="HJ40" s="206" t="str">
        <f>IFERROR(INDEX($A$2:$A$113,MATCH(ROWS($DN$2:DN40),$DN$2:$DN$113,0)),"")</f>
        <v xml:space="preserve">AMENAZAS OTRAS </v>
      </c>
      <c r="HK40" s="206" t="str">
        <f>IFERROR(INDEX($A$2:$A$113,MATCH(ROWS($DO$2:DO40),$DO$2:$DO$113,0)),"")</f>
        <v xml:space="preserve">AMENAZAS OTRAS </v>
      </c>
      <c r="HL40" s="206" t="str">
        <f>IFERROR(INDEX($A$2:$A$113,MATCH(ROWS($DP$2:DP40),$DP$2:$DP$113,0)),"")</f>
        <v xml:space="preserve">AMENAZAS OTRAS </v>
      </c>
      <c r="HM40" s="206" t="str">
        <f>IFERROR(INDEX($A$2:$A$113,MATCH(ROWS($DQ$2:DQ40),$DQ$2:$DQ$113,0)),"")</f>
        <v xml:space="preserve">AMENAZAS OTRAS </v>
      </c>
      <c r="HN40" s="206" t="str">
        <f>IFERROR(INDEX($A$2:$A$113,MATCH(ROWS($DR$2:DR40),$DR$2:$DR$113,0)),"")</f>
        <v xml:space="preserve">AMENAZAS OTRAS </v>
      </c>
      <c r="HO40" s="206" t="str">
        <f>IFERROR(INDEX($A$2:$A$113,MATCH(ROWS($DS$2:DS40),$DS$2:$DS$113,0)),"")</f>
        <v xml:space="preserve">AMENAZAS OTRAS </v>
      </c>
      <c r="HP40" s="206" t="str">
        <f>IFERROR(INDEX($A$2:$A$113,MATCH(ROWS($DT$2:DT40),$DT$2:$DT$113,0)),"")</f>
        <v xml:space="preserve">AMENAZAS OTRAS </v>
      </c>
      <c r="HQ40" s="206" t="str">
        <f>IFERROR(INDEX($A$2:$A$113,MATCH(ROWS($DU$2:DU40),$DU$2:$DU$113,0)),"")</f>
        <v xml:space="preserve">AMENAZAS OTRAS </v>
      </c>
      <c r="HR40" s="206" t="str">
        <f>IFERROR(INDEX($A$2:$A$113,MATCH(ROWS($DV$2:DV40),$DV$2:$DV$113,0)),"")</f>
        <v xml:space="preserve">AMENAZAS OTRAS </v>
      </c>
      <c r="HS40" s="206" t="str">
        <f>IFERROR(INDEX($A$2:$A$113,MATCH(ROWS($DW$2:DW40),$DW$2:$DW$113,0)),"")</f>
        <v xml:space="preserve">AMENAZAS OTRAS </v>
      </c>
      <c r="HT40" s="206" t="str">
        <f>IFERROR(INDEX($A$2:$A$113,MATCH(ROWS($DX$2:DX40),$DX$2:$DX$113,0)),"")</f>
        <v xml:space="preserve">AMENAZAS OTRAS </v>
      </c>
      <c r="HU40" s="206" t="str">
        <f>IFERROR(INDEX($A$2:$A$113,MATCH(ROWS($DY$2:DY40),$DY$2:$DY$113,0)),"")</f>
        <v xml:space="preserve">AMENAZAS OTRAS </v>
      </c>
      <c r="HV40" s="206" t="str">
        <f>IFERROR(INDEX($A$2:$A$113,MATCH(ROWS($DZ$2:DZ40),$DZ$2:$DZ$113,0)),"")</f>
        <v xml:space="preserve">AMENAZAS OTRAS </v>
      </c>
      <c r="HW40" s="206" t="str">
        <f>IFERROR(INDEX($A$2:$A$113,MATCH(ROWS($EA$2:EA40),$EA$2:$EA$113,0)),"")</f>
        <v xml:space="preserve">AMENAZAS OTRAS </v>
      </c>
      <c r="HX40" s="206" t="str">
        <f>IFERROR(INDEX($A$2:$A$113,MATCH(ROWS($EB$2:EB40),$EB$2:$EB$113,0)),"")</f>
        <v xml:space="preserve">AMENAZAS OTRAS </v>
      </c>
      <c r="HY40" s="206" t="str">
        <f>IFERROR(INDEX($A$2:$A$113,MATCH(ROWS($EC$2:EC40),$EC$2:$EC$113,0)),"")</f>
        <v xml:space="preserve">AMENAZAS OTRAS </v>
      </c>
      <c r="HZ40" s="206" t="str">
        <f>IFERROR(INDEX($A$2:$A$113,MATCH(ROWS($ED$2:ED40),$ED$2:$ED$113,0)),"")</f>
        <v xml:space="preserve">AMENAZAS OTRAS </v>
      </c>
      <c r="IA40" s="206" t="str">
        <f>IFERROR(INDEX($A$2:$A$113,MATCH(ROWS($EE$2:EE40),$EE$2:$EE$113,0)),"")</f>
        <v xml:space="preserve">AMENAZAS OTRAS </v>
      </c>
      <c r="IB40" s="206" t="str">
        <f>IFERROR(INDEX($A$2:$A$113,MATCH(ROWS($EF$2:EF40),$EF$2:$EF$113,0)),"")</f>
        <v xml:space="preserve">AMENAZAS OTRAS </v>
      </c>
      <c r="IC40" s="206" t="str">
        <f>IFERROR(INDEX($A$2:$A$113,MATCH(ROWS($EG$2:EG40),$EG$2:$EG$113,0)),"")</f>
        <v xml:space="preserve">AMENAZAS OTRAS </v>
      </c>
      <c r="ID40" s="206" t="str">
        <f>IFERROR(INDEX($A$2:$A$113,MATCH(ROWS($EH$2:EH40),$EH$2:$EH$113,0)),"")</f>
        <v xml:space="preserve">AMENAZAS OTRAS </v>
      </c>
      <c r="IE40" s="206" t="str">
        <f>IFERROR(INDEX($A$2:$A$113,MATCH(ROWS($EI$2:EI40),$EI$2:$EI$113,0)),"")</f>
        <v xml:space="preserve">AMENAZAS OTRAS </v>
      </c>
      <c r="IF40" s="206" t="str">
        <f>IFERROR(INDEX($A$2:$A$113,MATCH(ROWS($EJ$2:EJ40),$EJ$2:$EJ$113,0)),"")</f>
        <v xml:space="preserve">AMENAZAS OTRAS </v>
      </c>
      <c r="IG40" s="206" t="str">
        <f>IFERROR(INDEX($A$2:$A$113,MATCH(ROWS($EK$2:EK40),$EK$2:$EK$113,0)),"")</f>
        <v xml:space="preserve">AMENAZAS OTRAS </v>
      </c>
      <c r="IH40" s="206" t="str">
        <f>IFERROR(INDEX($A$2:$A$113,MATCH(ROWS($EL$2:EL40),$EL$2:$EL$113,0)),"")</f>
        <v xml:space="preserve">AMENAZAS OTRAS </v>
      </c>
      <c r="II40" s="206" t="str">
        <f>IFERROR(INDEX($A$2:$A$113,MATCH(ROWS($EM$2:EM40),$EM$2:$EM$113,0)),"")</f>
        <v xml:space="preserve">AMENAZAS OTRAS </v>
      </c>
      <c r="IJ40" s="206" t="str">
        <f>IFERROR(INDEX($A$2:$A$113,MATCH(ROWS($EN$2:EN40),$EN$2:$EN$113,0)),"")</f>
        <v xml:space="preserve">AMENAZAS OTRAS </v>
      </c>
      <c r="IK40" s="207" t="str">
        <f>IFERROR(INDEX($A$2:$A$113,MATCH(ROWS($EO$2:EO40),$EO$2:$EO$113,0)),"")</f>
        <v xml:space="preserve">AMENAZAS OTRAS </v>
      </c>
      <c r="IL40" s="207" t="str">
        <f>IFERROR(INDEX($A$2:$A$113,MATCH(ROWS($EP$2:EP40),$EP$2:$EP$113,0)),"")</f>
        <v xml:space="preserve">AMENAZAS OTRAS </v>
      </c>
      <c r="IM40" s="207" t="str">
        <f>IFERROR(INDEX($A$2:$A$113,MATCH(ROWS($EQ$2:EQ40),$EQ$2:$EQ$113,0)),"")</f>
        <v xml:space="preserve">AMENAZAS OTRAS </v>
      </c>
      <c r="IN40" s="207" t="str">
        <f>IFERROR(INDEX($A$2:$A$113,MATCH(ROWS($ER$2:ER40),$ER$2:$ER$113,0)),"")</f>
        <v xml:space="preserve">AMENAZAS OTRAS </v>
      </c>
      <c r="IO40" s="207" t="str">
        <f>IFERROR(INDEX($A$2:$A$113,MATCH(ROWS($ES$2:ES40),$ES$2:$ES$113,0)),"")</f>
        <v xml:space="preserve">AMENAZAS OTRAS </v>
      </c>
      <c r="IP40" s="207" t="str">
        <f>IFERROR(INDEX($A$2:$A$113,MATCH(ROWS($ET$2:ET40),$ET$2:$ET$113,0)),"")</f>
        <v xml:space="preserve">AMENAZAS OTRAS </v>
      </c>
      <c r="IQ40" s="207" t="str">
        <f>IFERROR(INDEX($A$2:$A$113,MATCH(ROWS($EU$2:EU40),$EU$2:$EU$113,0)),"")</f>
        <v xml:space="preserve">AMENAZAS OTRAS </v>
      </c>
      <c r="IR40" s="207" t="str">
        <f>IFERROR(INDEX($A$2:$A$113,MATCH(ROWS($EV$2:EV40),$EV$2:$EV$113,0)),"")</f>
        <v xml:space="preserve">AMENAZAS OTRAS </v>
      </c>
      <c r="IS40" s="207" t="str">
        <f>IFERROR(INDEX($A$2:$A$113,MATCH(ROWS($EW$2:EW40),$EW$2:$EW$113,0)),"")</f>
        <v xml:space="preserve">AMENAZAS OTRAS </v>
      </c>
      <c r="IT40" s="207" t="str">
        <f>IFERROR(INDEX($A$2:$A$113,MATCH(ROWS($EX$2:EX40),$EX$2:$EX$113,0)),"")</f>
        <v xml:space="preserve">AMENAZAS OTRAS </v>
      </c>
      <c r="IU40" s="207" t="str">
        <f>IFERROR(INDEX($A$2:$A$113,MATCH(ROWS($EY$2:EY40),$EY$2:$EY$113,0)),"")</f>
        <v xml:space="preserve">AMENAZAS OTRAS </v>
      </c>
      <c r="IV40" s="207" t="str">
        <f>IFERROR(INDEX($A$2:$A$113,MATCH(ROWS($EZ$2:EZ40),$EZ$2:$EZ$113,0)),"")</f>
        <v xml:space="preserve">AMENAZAS OTRAS </v>
      </c>
      <c r="IW40" s="207" t="str">
        <f>IFERROR(INDEX($A$2:$A$113,MATCH(ROWS($FA$2:FA40),$FA$2:$FA$113,0)),"")</f>
        <v xml:space="preserve">AMENAZAS OTRAS </v>
      </c>
      <c r="IX40" s="207" t="str">
        <f>IFERROR(INDEX($A$2:$A$113,MATCH(ROWS($FB$2:FB40),$FB$2:$FB$113,0)),"")</f>
        <v xml:space="preserve">AMENAZAS OTRAS </v>
      </c>
      <c r="IY40" s="207" t="str">
        <f>IFERROR(INDEX($A$2:$A$113,MATCH(ROWS($FC$2:FC40),$FC$2:$FC$113,0)),"")</f>
        <v xml:space="preserve">AMENAZAS OTRAS </v>
      </c>
      <c r="IZ40" s="207" t="str">
        <f>IFERROR(INDEX($A$2:$A$113,MATCH(ROWS($FD$2:FD40),$FD$2:$FD$113,0)),"")</f>
        <v xml:space="preserve">AMENAZAS OTRAS </v>
      </c>
      <c r="JA40" s="207" t="str">
        <f>IFERROR(INDEX($A$2:$A$113,MATCH(ROWS($FE$2:FE40),$FE$2:$FE$113,0)),"")</f>
        <v xml:space="preserve">AMENAZAS OTRAS </v>
      </c>
      <c r="JB40" s="207" t="str">
        <f>IFERROR(INDEX($A$2:$A$113,MATCH(ROWS($FF$2:FF40),$FF$2:$FF$113,0)),"")</f>
        <v xml:space="preserve">AMENAZAS OTRAS </v>
      </c>
      <c r="JC40" s="207" t="str">
        <f>IFERROR(INDEX($A$2:$A$113,MATCH(ROWS($FG$2:FG40),$FG$2:$FG$113,0)),"")</f>
        <v xml:space="preserve">AMENAZAS OTRAS </v>
      </c>
      <c r="JD40" s="207" t="str">
        <f>IFERROR(INDEX($A$2:$A$113,MATCH(ROWS($FH$2:FH40),$FH$2:$FH$113,0)),"")</f>
        <v xml:space="preserve">AMENAZAS OTRAS </v>
      </c>
      <c r="JE40" s="207" t="str">
        <f>IFERROR(INDEX($A$2:$A$113,MATCH(ROWS($FI$2:FI40),$FI$2:$FI$113,0)),"")</f>
        <v xml:space="preserve">AMENAZAS OTRAS </v>
      </c>
      <c r="JF40" s="207" t="str">
        <f>IFERROR(INDEX($A$2:$A$113,MATCH(ROWS($FJ$2:FJ40),$FJ$2:$FJ$113,0)),"")</f>
        <v xml:space="preserve">AMENAZAS OTRAS </v>
      </c>
      <c r="JG40" s="207" t="str">
        <f>IFERROR(INDEX($A$2:$A$113,MATCH(ROWS($FK$2:FK40),$FK$2:$FK$113,0)),"")</f>
        <v xml:space="preserve">AMENAZAS OTRAS </v>
      </c>
      <c r="JH40" s="207" t="str">
        <f>IFERROR(INDEX($A$2:$A$113,MATCH(ROWS($FL$2:FL40),$FL$2:$FL$113,0)),"")</f>
        <v xml:space="preserve">AMENAZAS OTRAS </v>
      </c>
      <c r="JI40" s="207" t="str">
        <f>IFERROR(INDEX($A$2:$A$113,MATCH(ROWS($FM$2:FM40),$FM$2:$FM$113,0)),"")</f>
        <v xml:space="preserve">AMENAZAS OTRAS </v>
      </c>
      <c r="JJ40" s="207" t="str">
        <f>IFERROR(INDEX($A$2:$A$113,MATCH(ROWS($FN$2:FN40),$FN$2:$FN$113,0)),"")</f>
        <v xml:space="preserve">AMENAZAS OTRAS </v>
      </c>
      <c r="JK40" s="207" t="str">
        <f>IFERROR(INDEX($A$2:$A$113,MATCH(ROWS($FO$2:FO40),$FO$2:$FO$113,0)),"")</f>
        <v xml:space="preserve">AMENAZAS OTRAS </v>
      </c>
      <c r="JL40" s="207" t="str">
        <f>IFERROR(INDEX($A$2:$A$113,MATCH(ROWS($FP$2:FP40),$FP$2:$FP$113,0)),"")</f>
        <v xml:space="preserve">AMENAZAS OTRAS </v>
      </c>
      <c r="JM40" s="207" t="str">
        <f>IFERROR(INDEX($A$2:$A$113,MATCH(ROWS($FQ$2:FQ40),$FQ$2:$FQ$113,0)),"")</f>
        <v xml:space="preserve">AMENAZAS OTRAS </v>
      </c>
      <c r="JN40" s="207" t="str">
        <f>IFERROR(INDEX($A$2:$A$113,MATCH(ROWS($FR$2:FR40),$FR$2:$FR$113,0)),"")</f>
        <v xml:space="preserve">AMENAZAS OTRAS </v>
      </c>
      <c r="JO40" s="207" t="str">
        <f>IFERROR(INDEX($A$2:$A$113,MATCH(ROWS($FS$2:FS40),$FS$2:$FS$113,0)),"")</f>
        <v xml:space="preserve">AMENAZAS OTRAS </v>
      </c>
      <c r="JP40" s="207" t="str">
        <f>IFERROR(INDEX($A$2:$A$113,MATCH(ROWS($FT$2:FT40),$FT$2:$FT$113,0)),"")</f>
        <v xml:space="preserve">AMENAZAS OTRAS </v>
      </c>
      <c r="JQ40" s="207" t="str">
        <f>IFERROR(INDEX($A$2:$A$113,MATCH(ROWS($FU$2:FU40),$FU$2:$FU$113,0)),"")</f>
        <v xml:space="preserve">AMENAZAS OTRAS </v>
      </c>
      <c r="JR40" s="207" t="str">
        <f>IFERROR(INDEX($A$2:$A$113,MATCH(ROWS($FV$2:FV40),$FV$2:$FV$113,0)),"")</f>
        <v xml:space="preserve">AMENAZAS OTRAS </v>
      </c>
      <c r="JS40" s="207" t="str">
        <f>IFERROR(INDEX($A$2:$A$113,MATCH(ROWS($FW$2:FW40),$FW$2:$FW$113,0)),"")</f>
        <v xml:space="preserve">AMENAZAS OTRAS </v>
      </c>
      <c r="JT40" s="207" t="str">
        <f>IFERROR(INDEX($A$2:$A$113,MATCH(ROWS($FX$2:FX40),$FX$2:$FX$113,0)),"")</f>
        <v xml:space="preserve">AMENAZAS OTRAS </v>
      </c>
      <c r="JU40" s="207" t="str">
        <f>IFERROR(INDEX($A$2:$A$113,MATCH(ROWS($FY$2:FY40),$FY$2:$FY$113,0)),"")</f>
        <v xml:space="preserve">AMENAZAS OTRAS </v>
      </c>
      <c r="JV40" s="207" t="str">
        <f>IFERROR(INDEX($A$2:$A$113,MATCH(ROWS($FZ$2:FZ40),$FZ$2:$FZ$113,0)),"")</f>
        <v xml:space="preserve">AMENAZAS OTRAS </v>
      </c>
      <c r="JW40" s="207" t="str">
        <f>IFERROR(INDEX($A$2:$A$113,MATCH(ROWS($GA$2:GA40),$GA$2:$GA$113,0)),"")</f>
        <v xml:space="preserve">AMENAZAS OTRAS </v>
      </c>
      <c r="JX40" s="207" t="str">
        <f>IFERROR(INDEX($A$2:$A$113,MATCH(ROWS($GB$2:GB40),$GB$2:$GB$113,0)),"")</f>
        <v xml:space="preserve">AMENAZAS OTRAS </v>
      </c>
      <c r="JY40" s="207" t="str">
        <f>IFERROR(INDEX($A$2:$A$113,MATCH(ROWS($GC$2:GC40),$GC$2:$GC$113,0)),"")</f>
        <v xml:space="preserve">AMENAZAS OTRAS </v>
      </c>
      <c r="JZ40" s="207" t="str">
        <f>IFERROR(INDEX($A$2:$A$113,MATCH(ROWS($GD$2:GD40),$GD$2:$GD$113,0)),"")</f>
        <v xml:space="preserve">AMENAZAS OTRAS </v>
      </c>
      <c r="KA40" s="207" t="str">
        <f>IFERROR(INDEX($A$2:$A$113,MATCH(ROWS($GE$2:GE40),$GE$2:$GE$113,0)),"")</f>
        <v xml:space="preserve">AMENAZAS OTRAS </v>
      </c>
      <c r="KB40" s="207" t="str">
        <f>IFERROR(INDEX($A$2:$A$113,MATCH(ROWS($GF$2:GF40),$GF$2:$GF$113,0)),"")</f>
        <v xml:space="preserve">AMENAZAS OTRAS </v>
      </c>
      <c r="KC40" s="207" t="str">
        <f>IFERROR(INDEX($A$2:$A$113,MATCH(ROWS($GG$2:GG40),$GG$2:$GG$113,0)),"")</f>
        <v xml:space="preserve">AMENAZAS OTRAS </v>
      </c>
      <c r="KD40" s="207" t="str">
        <f>IFERROR(INDEX($A$2:$A$113,MATCH(ROWS($GH$2:GH40),$GH$2:$GH$113,0)),"")</f>
        <v xml:space="preserve">AMENAZAS OTRAS </v>
      </c>
      <c r="KE40" s="207" t="str">
        <f>IFERROR(INDEX($A$2:$A$113,MATCH(ROWS($GI$2:GI40),$GI$2:$GI$113,0)),"")</f>
        <v xml:space="preserve">AMENAZAS OTRAS </v>
      </c>
      <c r="KF40" s="207" t="str">
        <f>IFERROR(INDEX($A$2:$A$113,MATCH(ROWS($GJ$2:GJ40),$GJ$2:$GJ$113,0)),"")</f>
        <v xml:space="preserve">AMENAZAS OTRAS </v>
      </c>
      <c r="KG40" s="207" t="str">
        <f>IFERROR(INDEX($A$2:$A$113,MATCH(ROWS($GK$2:GK40),$GK$2:$GK$113,0)),"")</f>
        <v xml:space="preserve">AMENAZAS OTRAS </v>
      </c>
      <c r="KH40" s="207" t="str">
        <f>IFERROR(INDEX($A$2:$A$113,MATCH(ROWS($GL$2:GL40),$GL$2:$GL$113,0)),"")</f>
        <v xml:space="preserve">AMENAZAS OTRAS </v>
      </c>
      <c r="KI40" s="207" t="str">
        <f>IFERROR(INDEX($A$2:$A$113,MATCH(ROWS($GM$2:GM40),$GM$2:$GM$113,0)),"")</f>
        <v xml:space="preserve">AMENAZAS OTRAS </v>
      </c>
      <c r="KJ40" s="207" t="str">
        <f>IFERROR(INDEX($A$2:$A$113,MATCH(ROWS($GN$2:GN40),$GN$2:$GN$113,0)),"")</f>
        <v xml:space="preserve">AMENAZAS OTRAS </v>
      </c>
      <c r="KK40" s="207" t="str">
        <f>IFERROR(INDEX($A$2:$A$113,MATCH(ROWS($GO$2:GO40),$GO$2:$GO$113,0)),"")</f>
        <v xml:space="preserve">AMENAZAS OTRAS </v>
      </c>
      <c r="KL40" s="207" t="str">
        <f>IFERROR(INDEX($A$2:$A$113,MATCH(ROWS($GP$2:GP40),$GP$2:$GP$113,0)),"")</f>
        <v xml:space="preserve">AMENAZAS OTRAS </v>
      </c>
      <c r="KM40" s="207" t="str">
        <f>IFERROR(INDEX($A$2:$A$113,MATCH(ROWS($GQ$2:GQ40),$GQ$2:$GQ$113,0)),"")</f>
        <v xml:space="preserve">AMENAZAS OTRAS </v>
      </c>
      <c r="KN40" s="207" t="str">
        <f>IFERROR(INDEX($A$2:$A$113,MATCH(ROWS($GR$2:GR40),$GR$2:$GR$113,0)),"")</f>
        <v xml:space="preserve">AMENAZAS OTRAS </v>
      </c>
      <c r="KO40" s="207" t="str">
        <f>IFERROR(INDEX($A$2:$A$113,MATCH(ROWS($GS$2:GS40),$GS$2:$GS$113,0)),"")</f>
        <v xml:space="preserve">AMENAZAS OTRAS </v>
      </c>
      <c r="KP40" s="207" t="str">
        <f>IFERROR(INDEX($A$2:$A$113,MATCH(ROWS($GT$2:GT40),$GT$2:$GT$113,0)),"")</f>
        <v xml:space="preserve">AMENAZAS OTRAS </v>
      </c>
      <c r="KQ40" s="207" t="str">
        <f>IFERROR(INDEX($A$2:$A$113,MATCH(ROWS($GU$2:GU40),$GU$2:$GU$113,0)),"")</f>
        <v xml:space="preserve">AMENAZAS OTRAS </v>
      </c>
      <c r="KR40" s="207" t="str">
        <f>IFERROR(INDEX($A$2:$A$113,MATCH(ROWS($GV$2:GV40),$GV$2:$GV$113,0)),"")</f>
        <v xml:space="preserve">AMENAZAS OTRAS </v>
      </c>
      <c r="KS40" s="207" t="str">
        <f>IFERROR(INDEX($A$2:$A$113,MATCH(ROWS($GW$2:GW40),$GW$2:$GW$113,0)),"")</f>
        <v xml:space="preserve">AMENAZAS OTRAS </v>
      </c>
    </row>
    <row r="41" spans="1:305" x14ac:dyDescent="0.25">
      <c r="A41" s="206" t="s">
        <v>83</v>
      </c>
      <c r="B41" s="206" t="s">
        <v>75</v>
      </c>
      <c r="D41" s="206" t="s">
        <v>792</v>
      </c>
      <c r="E41" s="206" t="s">
        <v>76</v>
      </c>
      <c r="F41" s="207">
        <f>--ISNUMBER(IFERROR(SEARCH('PLANILLA DJ'!$X$3,$A41,1),""))</f>
        <v>1</v>
      </c>
      <c r="G41" s="207">
        <f>--ISNUMBER(IFERROR(SEARCH('PLANILLA DJ'!$X$4,$A41,1),""))</f>
        <v>1</v>
      </c>
      <c r="H41" s="207">
        <f>--ISNUMBER(IFERROR(SEARCH('PLANILLA DJ'!$X$5,$A41,1),""))</f>
        <v>1</v>
      </c>
      <c r="I41" s="207">
        <f>--ISNUMBER(IFERROR(SEARCH('PLANILLA DJ'!$X$6,$A41,1),""))</f>
        <v>1</v>
      </c>
      <c r="J41" s="207">
        <f>--ISNUMBER(IFERROR(SEARCH('PLANILLA DJ'!$X$7,$A41,1),""))</f>
        <v>1</v>
      </c>
      <c r="K41" s="207">
        <f>--ISNUMBER(IFERROR(SEARCH('PLANILLA DJ'!$X$8,$A41,1),""))</f>
        <v>1</v>
      </c>
      <c r="L41" s="207">
        <f>--ISNUMBER(IFERROR(SEARCH('PLANILLA DJ'!$X$9,$A41,1),""))</f>
        <v>1</v>
      </c>
      <c r="M41" s="207">
        <f>--ISNUMBER(IFERROR(SEARCH('PLANILLA DJ'!$X$10,$A41,1),""))</f>
        <v>1</v>
      </c>
      <c r="N41" s="207">
        <f>--ISNUMBER(IFERROR(SEARCH('PLANILLA DJ'!$X$11,$A41,1),""))</f>
        <v>1</v>
      </c>
      <c r="O41" s="207">
        <f>--ISNUMBER(IFERROR(SEARCH('PLANILLA DJ'!$X$12,$A41,1),""))</f>
        <v>1</v>
      </c>
      <c r="P41" s="207">
        <f>--ISNUMBER(IFERROR(SEARCH('PLANILLA DJ'!$X$13,$A41,1),""))</f>
        <v>1</v>
      </c>
      <c r="Q41" s="207">
        <f>--ISNUMBER(IFERROR(SEARCH('PLANILLA DJ'!$X$14,$A41,1),""))</f>
        <v>1</v>
      </c>
      <c r="R41" s="207">
        <f>--ISNUMBER(IFERROR(SEARCH('PLANILLA DJ'!$X$15,$A41,1),""))</f>
        <v>1</v>
      </c>
      <c r="S41" s="207">
        <f>--ISNUMBER(IFERROR(SEARCH('PLANILLA DJ'!$X$16,$A41,1),""))</f>
        <v>1</v>
      </c>
      <c r="T41" s="207">
        <f>--ISNUMBER(IFERROR(SEARCH('PLANILLA DJ'!$X$17,$A41,1),""))</f>
        <v>1</v>
      </c>
      <c r="U41" s="207">
        <f>--ISNUMBER(IFERROR(SEARCH('PLANILLA DJ'!$X$18,$A41,1),""))</f>
        <v>1</v>
      </c>
      <c r="V41" s="207">
        <f>--ISNUMBER(IFERROR(SEARCH('PLANILLA DJ'!$X$19,$A41,1),""))</f>
        <v>1</v>
      </c>
      <c r="W41" s="207">
        <f>--ISNUMBER(IFERROR(SEARCH('PLANILLA DJ'!$X$20,$A41,1),""))</f>
        <v>1</v>
      </c>
      <c r="X41" s="207">
        <f>--ISNUMBER(IFERROR(SEARCH('PLANILLA DJ'!$X$21,$A41,1),""))</f>
        <v>1</v>
      </c>
      <c r="Y41" s="207">
        <f>--ISNUMBER(IFERROR(SEARCH('PLANILLA DJ'!$X$22,$A41,1),""))</f>
        <v>1</v>
      </c>
      <c r="Z41" s="207">
        <f>--ISNUMBER(IFERROR(SEARCH('PLANILLA DJ'!$X$23,$A41,1),""))</f>
        <v>1</v>
      </c>
      <c r="AA41" s="207">
        <f>--ISNUMBER(IFERROR(SEARCH('PLANILLA DJ'!$X$24,$A41,1),""))</f>
        <v>1</v>
      </c>
      <c r="AB41" s="207">
        <f>--ISNUMBER(IFERROR(SEARCH('PLANILLA DJ'!$X$25,$A41,1),""))</f>
        <v>1</v>
      </c>
      <c r="AC41" s="207">
        <f>--ISNUMBER(IFERROR(SEARCH('PLANILLA DJ'!$X$26,$A41,1),""))</f>
        <v>1</v>
      </c>
      <c r="AD41" s="207">
        <f>--ISNUMBER(IFERROR(SEARCH('PLANILLA DJ'!$X$27,$A41,1),""))</f>
        <v>1</v>
      </c>
      <c r="AE41" s="207">
        <f>--ISNUMBER(IFERROR(SEARCH('PLANILLA DJ'!$X$28,$A41,1),""))</f>
        <v>1</v>
      </c>
      <c r="AF41" s="207">
        <f>--ISNUMBER(IFERROR(SEARCH('PLANILLA DJ'!$X$29,$A41,1),""))</f>
        <v>1</v>
      </c>
      <c r="AG41" s="207">
        <f>--ISNUMBER(IFERROR(SEARCH('PLANILLA DJ'!$X$30,$A41,1),""))</f>
        <v>1</v>
      </c>
      <c r="AH41" s="207">
        <f>--ISNUMBER(IFERROR(SEARCH('PLANILLA DJ'!$X$31,$A41,1),""))</f>
        <v>1</v>
      </c>
      <c r="AI41" s="207">
        <f>--ISNUMBER(IFERROR(SEARCH('PLANILLA DJ'!$X$32,$A41,1),""))</f>
        <v>1</v>
      </c>
      <c r="AJ41" s="207">
        <f>--ISNUMBER(IFERROR(SEARCH('PLANILLA DJ'!$X$33,$A41,1),""))</f>
        <v>1</v>
      </c>
      <c r="AK41" s="207">
        <f>--ISNUMBER(IFERROR(SEARCH('PLANILLA DJ'!$X$34,$A41,1),""))</f>
        <v>1</v>
      </c>
      <c r="AL41" s="207">
        <f>--ISNUMBER(IFERROR(SEARCH('PLANILLA DJ'!$X$35,$A41,1),""))</f>
        <v>1</v>
      </c>
      <c r="AM41" s="207">
        <f>--ISNUMBER(IFERROR(SEARCH('PLANILLA DJ'!$X$36,$A41,1),""))</f>
        <v>1</v>
      </c>
      <c r="AN41" s="207">
        <f>--ISNUMBER(IFERROR(SEARCH('PLANILLA DJ'!$X$37,$A41,1),""))</f>
        <v>1</v>
      </c>
      <c r="AO41" s="207">
        <f>--ISNUMBER(IFERROR(SEARCH('PLANILLA DJ'!$X$38,$A41,1),""))</f>
        <v>1</v>
      </c>
      <c r="AP41" s="207">
        <f>--ISNUMBER(IFERROR(SEARCH('PLANILLA DJ'!$X$39,$A41,1),""))</f>
        <v>1</v>
      </c>
      <c r="AQ41" s="207">
        <f>--ISNUMBER(IFERROR(SEARCH('PLANILLA DJ'!$X$40,$A41,1),""))</f>
        <v>1</v>
      </c>
      <c r="AR41" s="207">
        <f>--ISNUMBER(IFERROR(SEARCH('PLANILLA DJ'!$X$41,$A41,1),""))</f>
        <v>1</v>
      </c>
      <c r="AS41" s="207">
        <f>--ISNUMBER(IFERROR(SEARCH('PLANILLA DJ'!$X$42,$A41,1),""))</f>
        <v>1</v>
      </c>
      <c r="AT41" s="207">
        <f>--ISNUMBER(IFERROR(SEARCH('PLANILLA DJ'!$X$43,$A41,1),""))</f>
        <v>1</v>
      </c>
      <c r="AU41" s="207">
        <f>--ISNUMBER(IFERROR(SEARCH('PLANILLA DJ'!$X$44,$A41,1),""))</f>
        <v>1</v>
      </c>
      <c r="AV41" s="207">
        <f>--ISNUMBER(IFERROR(SEARCH('PLANILLA DJ'!$X$45,$A41,1),""))</f>
        <v>1</v>
      </c>
      <c r="AW41" s="207">
        <f>--ISNUMBER(IFERROR(SEARCH('PLANILLA DJ'!$X$46,$A41,1),""))</f>
        <v>1</v>
      </c>
      <c r="AX41" s="207">
        <f>--ISNUMBER(IFERROR(SEARCH('PLANILLA DJ'!$X$47,$A41,1),""))</f>
        <v>1</v>
      </c>
      <c r="AY41" s="207">
        <f>--ISNUMBER(IFERROR(SEARCH('PLANILLA DJ'!$X$48,$A41,1),""))</f>
        <v>1</v>
      </c>
      <c r="AZ41" s="207">
        <f>--ISNUMBER(IFERROR(SEARCH('PLANILLA DJ'!$X$49,$A41,1),""))</f>
        <v>1</v>
      </c>
      <c r="BA41" s="207">
        <f>--ISNUMBER(IFERROR(SEARCH('PLANILLA DJ'!$X$50,$A41,1),""))</f>
        <v>1</v>
      </c>
      <c r="BB41" s="207">
        <f>--ISNUMBER(IFERROR(SEARCH('PLANILLA DJ'!$X$51,$A41,1),""))</f>
        <v>1</v>
      </c>
      <c r="BC41" s="207">
        <f>--ISNUMBER(IFERROR(SEARCH('PLANILLA DJ'!$X$52,$A41,1),""))</f>
        <v>1</v>
      </c>
      <c r="BD41" s="207">
        <f>--ISNUMBER(IFERROR(SEARCH('PLANILLA DJ'!$X$53,$A41,1),""))</f>
        <v>1</v>
      </c>
      <c r="BE41" s="207">
        <f>--ISNUMBER(IFERROR(SEARCH('PLANILLA DJ'!$X$54,$A41,1),""))</f>
        <v>1</v>
      </c>
      <c r="BF41" s="207">
        <f>--ISNUMBER(IFERROR(SEARCH('PLANILLA DJ'!$X$55,$A41,1),""))</f>
        <v>1</v>
      </c>
      <c r="BG41" s="207">
        <f>--ISNUMBER(IFERROR(SEARCH('PLANILLA DJ'!$X$56,$A41,1),""))</f>
        <v>1</v>
      </c>
      <c r="BH41" s="207">
        <f>--ISNUMBER(IFERROR(SEARCH('PLANILLA DJ'!$X$57,$A41,1),""))</f>
        <v>1</v>
      </c>
      <c r="BI41" s="207">
        <f>--ISNUMBER(IFERROR(SEARCH('PLANILLA DJ'!$X$58,$A41,1),""))</f>
        <v>1</v>
      </c>
      <c r="BJ41" s="207">
        <f>--ISNUMBER(IFERROR(SEARCH('PLANILLA DJ'!$X$59,$A41,1),""))</f>
        <v>1</v>
      </c>
      <c r="BK41" s="207">
        <f>--ISNUMBER(IFERROR(SEARCH('PLANILLA DJ'!$X$60,$A41,1),""))</f>
        <v>1</v>
      </c>
      <c r="BL41" s="207">
        <f>--ISNUMBER(IFERROR(SEARCH('PLANILLA DJ'!$X$61,$A41,1),""))</f>
        <v>1</v>
      </c>
      <c r="BM41" s="207">
        <f>--ISNUMBER(IFERROR(SEARCH('PLANILLA DJ'!$X$62,$A41,1),""))</f>
        <v>1</v>
      </c>
      <c r="BN41" s="207">
        <f>--ISNUMBER(IFERROR(SEARCH('PLANILLA DJ'!$X$63,$A41,1),""))</f>
        <v>1</v>
      </c>
      <c r="BO41" s="207">
        <f>--ISNUMBER(IFERROR(SEARCH('PLANILLA DJ'!$X$64,$A41,1),""))</f>
        <v>1</v>
      </c>
      <c r="BP41" s="207">
        <f>--ISNUMBER(IFERROR(SEARCH('PLANILLA DJ'!$X$65,$A41,1),""))</f>
        <v>1</v>
      </c>
      <c r="BQ41" s="207">
        <f>--ISNUMBER(IFERROR(SEARCH('PLANILLA DJ'!$X$66,$A41,1),""))</f>
        <v>1</v>
      </c>
      <c r="BR41" s="207">
        <f>--ISNUMBER(IFERROR(SEARCH('PLANILLA DJ'!$X$67,$A41,1),""))</f>
        <v>1</v>
      </c>
      <c r="BS41" s="207">
        <f>--ISNUMBER(IFERROR(SEARCH('PLANILLA DJ'!$X$68,$A41,1),""))</f>
        <v>1</v>
      </c>
      <c r="BT41" s="207">
        <f>--ISNUMBER(IFERROR(SEARCH('PLANILLA DJ'!$X$69,$A41,1),""))</f>
        <v>1</v>
      </c>
      <c r="BU41" s="207">
        <f>--ISNUMBER(IFERROR(SEARCH('PLANILLA DJ'!$X$70,$A41,1),""))</f>
        <v>1</v>
      </c>
      <c r="BV41" s="207">
        <f>--ISNUMBER(IFERROR(SEARCH('PLANILLA DJ'!$X$71,$A41,1),""))</f>
        <v>1</v>
      </c>
      <c r="BW41" s="207">
        <f>--ISNUMBER(IFERROR(SEARCH('PLANILLA DJ'!$X$72,$A41,1),""))</f>
        <v>1</v>
      </c>
      <c r="BX41" s="207">
        <f>--ISNUMBER(IFERROR(SEARCH('PLANILLA DJ'!$X$73,$A41,1),""))</f>
        <v>1</v>
      </c>
      <c r="BY41" s="207">
        <f>--ISNUMBER(IFERROR(SEARCH('PLANILLA DJ'!$X$74,$A41,1),""))</f>
        <v>1</v>
      </c>
      <c r="BZ41" s="207">
        <f>--ISNUMBER(IFERROR(SEARCH('PLANILLA DJ'!$X$75,$A41,1),""))</f>
        <v>1</v>
      </c>
      <c r="CA41" s="207">
        <f>--ISNUMBER(IFERROR(SEARCH('PLANILLA DJ'!$X$76,$A41,1),""))</f>
        <v>1</v>
      </c>
      <c r="CB41" s="207">
        <f>--ISNUMBER(IFERROR(SEARCH('PLANILLA DJ'!$X$77,$A41,1),""))</f>
        <v>1</v>
      </c>
      <c r="CC41" s="207">
        <f>--ISNUMBER(IFERROR(SEARCH('PLANILLA DJ'!$X$78,$A41,1),""))</f>
        <v>1</v>
      </c>
      <c r="CD41" s="207">
        <f>--ISNUMBER(IFERROR(SEARCH('PLANILLA DJ'!$X$79,$A41,1),""))</f>
        <v>1</v>
      </c>
      <c r="CE41" s="207">
        <f>--ISNUMBER(IFERROR(SEARCH('PLANILLA DJ'!$X$80,$A41,1),""))</f>
        <v>1</v>
      </c>
      <c r="CF41" s="207">
        <f>--ISNUMBER(IFERROR(SEARCH('PLANILLA DJ'!$X$81,$A41,1),""))</f>
        <v>1</v>
      </c>
      <c r="CG41" s="207">
        <f>--ISNUMBER(IFERROR(SEARCH('PLANILLA DJ'!$X$82,$A41,1),""))</f>
        <v>1</v>
      </c>
      <c r="CH41" s="207">
        <f>--ISNUMBER(IFERROR(SEARCH('PLANILLA DJ'!$X$83,$A41,1),""))</f>
        <v>1</v>
      </c>
      <c r="CI41" s="207">
        <f>--ISNUMBER(IFERROR(SEARCH('PLANILLA DJ'!$X$84,$A41,1),""))</f>
        <v>1</v>
      </c>
      <c r="CJ41" s="207">
        <f>--ISNUMBER(IFERROR(SEARCH('PLANILLA DJ'!$X$85,$A41,1),""))</f>
        <v>1</v>
      </c>
      <c r="CK41" s="207">
        <f>--ISNUMBER(IFERROR(SEARCH('PLANILLA DJ'!$X$86,$A41,1),""))</f>
        <v>1</v>
      </c>
      <c r="CL41" s="207">
        <f>--ISNUMBER(IFERROR(SEARCH('PLANILLA DJ'!$X$87,$A41,1),""))</f>
        <v>1</v>
      </c>
      <c r="CM41" s="207">
        <f>--ISNUMBER(IFERROR(SEARCH('PLANILLA DJ'!$X$88,$A41,1),""))</f>
        <v>1</v>
      </c>
      <c r="CN41" s="207">
        <f>--ISNUMBER(IFERROR(SEARCH('PLANILLA DJ'!$X$89,$A41,1),""))</f>
        <v>1</v>
      </c>
      <c r="CO41" s="207">
        <f>--ISNUMBER(IFERROR(SEARCH('PLANILLA DJ'!$X$90,$A41,1),""))</f>
        <v>1</v>
      </c>
      <c r="CP41" s="207">
        <f>--ISNUMBER(IFERROR(SEARCH('PLANILLA DJ'!$X$91,$A41,1),""))</f>
        <v>1</v>
      </c>
      <c r="CQ41" s="207">
        <f>--ISNUMBER(IFERROR(SEARCH('PLANILLA DJ'!$X$92,$A41,1),""))</f>
        <v>1</v>
      </c>
      <c r="CR41" s="207">
        <f>--ISNUMBER(IFERROR(SEARCH('PLANILLA DJ'!$X$93,$A41,1),""))</f>
        <v>1</v>
      </c>
      <c r="CS41" s="207">
        <f>--ISNUMBER(IFERROR(SEARCH('PLANILLA DJ'!$X$94,$A41,1),""))</f>
        <v>1</v>
      </c>
      <c r="CT41" s="207">
        <f>--ISNUMBER(IFERROR(SEARCH('PLANILLA DJ'!$X$95,$A41,1),""))</f>
        <v>1</v>
      </c>
      <c r="CU41" s="207">
        <f>--ISNUMBER(IFERROR(SEARCH('PLANILLA DJ'!$X$96,$A41,1),""))</f>
        <v>1</v>
      </c>
      <c r="CV41" s="207">
        <f>--ISNUMBER(IFERROR(SEARCH('PLANILLA DJ'!$X$97,$A41,1),""))</f>
        <v>1</v>
      </c>
      <c r="CW41" s="207">
        <f>--ISNUMBER(IFERROR(SEARCH('PLANILLA DJ'!$X$98,$A41,1),""))</f>
        <v>1</v>
      </c>
      <c r="CX41" s="207">
        <f>--ISNUMBER(IFERROR(SEARCH('PLANILLA DJ'!$X$99,$A41,1),""))</f>
        <v>1</v>
      </c>
      <c r="CY41" s="207">
        <f>--ISNUMBER(IFERROR(SEARCH('PLANILLA DJ'!$X$100,$A41,1),""))</f>
        <v>1</v>
      </c>
      <c r="CZ41" s="207">
        <f>--ISNUMBER(IFERROR(SEARCH('PLANILLA DJ'!$X$101,$A41,1),""))</f>
        <v>1</v>
      </c>
      <c r="DA41" s="207">
        <f>--ISNUMBER(IFERROR(SEARCH('PLANILLA DJ'!$X$102,$A41,1),""))</f>
        <v>1</v>
      </c>
      <c r="DB41" s="206">
        <f>IF(F41=1,COUNTIF($F$2:F41,1),"")</f>
        <v>40</v>
      </c>
      <c r="DC41" s="206">
        <f>IF(G41=1,COUNTIF($G$2:G41,1),"")</f>
        <v>40</v>
      </c>
      <c r="DD41" s="206">
        <f>IF(H41=1,COUNTIF($H$2:H41,1),"")</f>
        <v>40</v>
      </c>
      <c r="DE41" s="206">
        <f>IF(I41=1,COUNTIF($I$2:I41,1),"")</f>
        <v>40</v>
      </c>
      <c r="DF41" s="206">
        <f>IF(J41=1,COUNTIF($J$2:J41,1),"")</f>
        <v>40</v>
      </c>
      <c r="DG41" s="206">
        <f>IF(K41=1,COUNTIF($K$2:K41,1),"")</f>
        <v>40</v>
      </c>
      <c r="DH41" s="206">
        <f>IF(L41=1,COUNTIF($L$2:L41,1),"")</f>
        <v>40</v>
      </c>
      <c r="DI41" s="206">
        <f>IF(M41=1,COUNTIF($M$2:M41,1),"")</f>
        <v>40</v>
      </c>
      <c r="DJ41" s="206">
        <f>IF(N41=1,COUNTIF($N$2:N41,1),"")</f>
        <v>40</v>
      </c>
      <c r="DK41" s="206">
        <f>IF(O41=1,COUNTIF($O$2:O41,1),"")</f>
        <v>40</v>
      </c>
      <c r="DL41" s="206">
        <f>IF(P41=1,COUNTIF($P$2:P41,1),"")</f>
        <v>40</v>
      </c>
      <c r="DM41" s="206">
        <f>IF(Q41=1,COUNTIF($Q$2:Q41,1),"")</f>
        <v>40</v>
      </c>
      <c r="DN41" s="207">
        <f>IF(R41=1,COUNTIF($R$2:R41,1),"")</f>
        <v>40</v>
      </c>
      <c r="DO41" s="207">
        <f>IF(S41=1,COUNTIF($S$2:S41,1),"")</f>
        <v>40</v>
      </c>
      <c r="DP41" s="207">
        <f>IF(T41=1,COUNTIF($T$2:T41,1),"")</f>
        <v>40</v>
      </c>
      <c r="DQ41" s="207">
        <f>IF(U41=1,COUNTIF($U$2:U41,1),"")</f>
        <v>40</v>
      </c>
      <c r="DR41" s="207">
        <f>IF(V41=1,COUNTIF($V$2:V41,1),"")</f>
        <v>40</v>
      </c>
      <c r="DS41" s="207">
        <f>IF(W41=1,COUNTIF($W$2:W41,1),"")</f>
        <v>40</v>
      </c>
      <c r="DT41" s="207">
        <f>IF(X41=1,COUNTIF($X$2:X41,1),"")</f>
        <v>40</v>
      </c>
      <c r="DU41" s="207">
        <f>IF(Y41=1,COUNTIF($Y$2:Y41,1),"")</f>
        <v>40</v>
      </c>
      <c r="DV41" s="207">
        <f>IF(Z41=1,COUNTIF(Z$2:Z41,1),"")</f>
        <v>40</v>
      </c>
      <c r="DW41" s="207">
        <f>IF(AA41=1,COUNTIF($AA$2:AA41,1),"")</f>
        <v>40</v>
      </c>
      <c r="DX41" s="207">
        <f>IF(AB41=1,COUNTIF($AB$2:AB41,1),"")</f>
        <v>40</v>
      </c>
      <c r="DY41" s="207">
        <f>IF(AC41=1,COUNTIF($AC$2:AC41,1),"")</f>
        <v>40</v>
      </c>
      <c r="DZ41" s="207">
        <f>IF(AD41=1,COUNTIF($AD$2:AD41,1),"")</f>
        <v>40</v>
      </c>
      <c r="EA41" s="207">
        <f>IF(AE41=1,COUNTIF($AE$2:AE41,1),"")</f>
        <v>40</v>
      </c>
      <c r="EB41" s="207">
        <f>IF(AF41=1,COUNTIF($AF$2:AF41,1),"")</f>
        <v>40</v>
      </c>
      <c r="EC41" s="207">
        <f>IF(AG41=1,COUNTIF($AG$2:AG41,1),"")</f>
        <v>40</v>
      </c>
      <c r="ED41" s="207">
        <f>IF(AH41=1,COUNTIF($AH$2:AH41,1),"")</f>
        <v>40</v>
      </c>
      <c r="EE41" s="207">
        <f>IF(AI41=1,COUNTIF($AI$2:AI41,1),"")</f>
        <v>40</v>
      </c>
      <c r="EF41" s="207">
        <f>IF(AJ41=1,COUNTIF($AJ$2:AJ41,1),"")</f>
        <v>40</v>
      </c>
      <c r="EG41" s="207">
        <f>IF(AK41=1,COUNTIF($AK$2:AK41,1),"")</f>
        <v>40</v>
      </c>
      <c r="EH41" s="207">
        <f>IF(AL41=1,COUNTIF($AL$2:AL41,1),"")</f>
        <v>40</v>
      </c>
      <c r="EI41" s="207">
        <f>IF(AM41=1,COUNTIF($AM$2:AM41,1),"")</f>
        <v>40</v>
      </c>
      <c r="EJ41" s="207">
        <f>IF(AN41=1,COUNTIF($AN$2:AN41,1),"")</f>
        <v>40</v>
      </c>
      <c r="EK41" s="207">
        <f>IF(AO41=1,COUNTIF($AO$2:AO41,1),"")</f>
        <v>40</v>
      </c>
      <c r="EL41" s="207">
        <f>IF(AP41=1,COUNTIF($AP$2:AP41,1),"")</f>
        <v>40</v>
      </c>
      <c r="EM41" s="207">
        <f>IF(AQ41=1,COUNTIF($AQ$2:AQ41,1),"")</f>
        <v>40</v>
      </c>
      <c r="EN41" s="207">
        <f>IF(AR41=1,COUNTIF($AR$2:AR41,1),"")</f>
        <v>40</v>
      </c>
      <c r="EO41" s="207">
        <f>IF(AS41=1,COUNTIF($AS$2:AS41,1),"")</f>
        <v>40</v>
      </c>
      <c r="EP41" s="207">
        <f>IF(AT41=1,COUNTIF($AT$2:AT41,1),"")</f>
        <v>40</v>
      </c>
      <c r="EQ41" s="207">
        <f>IF(AU41=1,COUNTIF($AU$2:AU41,1),"")</f>
        <v>40</v>
      </c>
      <c r="ER41" s="207">
        <f>IF(AV41=1,COUNTIF($AV$2:AV41,1),"")</f>
        <v>40</v>
      </c>
      <c r="ES41" s="207">
        <f>IF(AW41=1,COUNTIF($AW$2:AW41,1),"")</f>
        <v>40</v>
      </c>
      <c r="ET41" s="207">
        <f>IF(AX41=1,COUNTIF($AX$2:AX41,1),"")</f>
        <v>40</v>
      </c>
      <c r="EU41" s="207">
        <f>IF(AY41=1,COUNTIF($AY$2:AY41,1),"")</f>
        <v>40</v>
      </c>
      <c r="EV41" s="207">
        <f>IF(AZ41=1,COUNTIF($AZ$2:AZ41,1),"")</f>
        <v>40</v>
      </c>
      <c r="EW41" s="207">
        <f>IF(BA41=1,COUNTIF($BA$2:BA41,1),"")</f>
        <v>40</v>
      </c>
      <c r="EX41" s="207">
        <f>IF(BB41=1,COUNTIF($BB$2:BB41,1),"")</f>
        <v>40</v>
      </c>
      <c r="EY41" s="207">
        <f>IF(BC41=1,COUNTIF($BC$2:BC41,1),"")</f>
        <v>40</v>
      </c>
      <c r="EZ41" s="207">
        <f>IF(BD41=1,COUNTIF($BD$2:BD41,1),"")</f>
        <v>40</v>
      </c>
      <c r="FA41" s="207">
        <f>IF(BE41=1,COUNTIF($BE$2:BE41,1),"")</f>
        <v>40</v>
      </c>
      <c r="FB41" s="207">
        <f>IF(BF41=1,COUNTIF($BF$2:BF41,1),"")</f>
        <v>40</v>
      </c>
      <c r="FC41" s="207">
        <f>IF(BG41=1,COUNTIF($BG$2:BG41,1),"")</f>
        <v>40</v>
      </c>
      <c r="FD41" s="207">
        <f>IF(BH41=1,COUNTIF($BH$2:BH41,1),"")</f>
        <v>40</v>
      </c>
      <c r="FE41" s="207">
        <f>IF(BI41=1,COUNTIF($BI$2:BI41,1),"")</f>
        <v>40</v>
      </c>
      <c r="FF41" s="207">
        <f>IF(BJ41=1,COUNTIF($BJ$2:BJ41,1),"")</f>
        <v>40</v>
      </c>
      <c r="FG41" s="207">
        <f>IF(BK41=1,COUNTIF($BK$2:BK41,1),"")</f>
        <v>40</v>
      </c>
      <c r="FH41" s="207">
        <f>IF(BL41=1,COUNTIF($BL$2:BL41,1),"")</f>
        <v>40</v>
      </c>
      <c r="FI41" s="207">
        <f>IF(BM41=1,COUNTIF($BM$2:BM41,1),"")</f>
        <v>40</v>
      </c>
      <c r="FJ41" s="207">
        <f>IF(BN41=1,COUNTIF($BN$2:BN41,1),"")</f>
        <v>40</v>
      </c>
      <c r="FK41" s="207">
        <f>IF(BO41=1,COUNTIF($BO$2:BO41,1),"")</f>
        <v>40</v>
      </c>
      <c r="FL41" s="207">
        <f>IF(BP41=1,COUNTIF($BP$2:BP41,1),"")</f>
        <v>40</v>
      </c>
      <c r="FM41" s="207">
        <f>IF(BQ41=1,COUNTIF($BQ$2:BQ41,1),"")</f>
        <v>40</v>
      </c>
      <c r="FN41" s="207">
        <f>IF(BR41=1,COUNTIF($BR$2:BR41,1),"")</f>
        <v>40</v>
      </c>
      <c r="FO41" s="207">
        <f>IF(BS41=1,COUNTIF($BS$2:BS41,1),"")</f>
        <v>40</v>
      </c>
      <c r="FP41" s="207">
        <f>IF(BT41=1,COUNTIF($BT$2:BT41,1),"")</f>
        <v>40</v>
      </c>
      <c r="FQ41" s="207">
        <f>IF(BU41=1,COUNTIF($BU$2:BU41,1),"")</f>
        <v>40</v>
      </c>
      <c r="FR41" s="207">
        <f>IF(BV41=1,COUNTIF($BV$2:BV41,1),"")</f>
        <v>40</v>
      </c>
      <c r="FS41" s="207">
        <f>IF(BW41=1,COUNTIF($BW$2:BW41,1),"")</f>
        <v>40</v>
      </c>
      <c r="FT41" s="207">
        <f>IF(BX41=1,COUNTIF($BX$2:BX41,1),"")</f>
        <v>40</v>
      </c>
      <c r="FU41" s="207">
        <f>IF(BY41=1,COUNTIF($BY$2:BY41,1),"")</f>
        <v>40</v>
      </c>
      <c r="FV41" s="207">
        <f>IF(BZ41=1,COUNTIF($BZ$2:BZ41,1),"")</f>
        <v>40</v>
      </c>
      <c r="FW41" s="207">
        <f>IF(CA41=1,COUNTIF($CA$2:CA41,1),"")</f>
        <v>40</v>
      </c>
      <c r="FX41" s="207">
        <f>IF(CB41=1,COUNTIF($CB$2:CB41,1),"")</f>
        <v>40</v>
      </c>
      <c r="FY41" s="207">
        <f>IF(CC41=1,COUNTIF($CC$2:CC41,1),"")</f>
        <v>40</v>
      </c>
      <c r="FZ41" s="207">
        <f>IF(CD41=1,COUNTIF($CD$2:CD41,1),"")</f>
        <v>40</v>
      </c>
      <c r="GA41" s="207">
        <f>IF(CE41=1,COUNTIF($CE$2:CE41,1),"")</f>
        <v>40</v>
      </c>
      <c r="GB41" s="207">
        <f>IF(CF41=1,COUNTIF($CF$2:CF41,1),"")</f>
        <v>40</v>
      </c>
      <c r="GC41" s="207">
        <f>IF(CG41=1,COUNTIF($CG$2:CG41,1),"")</f>
        <v>40</v>
      </c>
      <c r="GD41" s="207">
        <f>IF(CH41=1,COUNTIF($CH$2:CH41,1),"")</f>
        <v>40</v>
      </c>
      <c r="GE41" s="207">
        <f>IF(CI41=1,COUNTIF($CI$2:CI41,1),"")</f>
        <v>40</v>
      </c>
      <c r="GF41" s="207">
        <f>IF(CJ41=1,COUNTIF($CJ$2:CJ41,1),"")</f>
        <v>40</v>
      </c>
      <c r="GG41" s="207">
        <f>IF(CK41=1,COUNTIF($CK$2:CK41,1),"")</f>
        <v>40</v>
      </c>
      <c r="GH41" s="207">
        <f>IF(CL41=1,COUNTIF($CL$2:CL41,1),"")</f>
        <v>40</v>
      </c>
      <c r="GI41" s="207">
        <f>IF(CM41=1,COUNTIF($CM$2:CM41,1),"")</f>
        <v>40</v>
      </c>
      <c r="GJ41" s="207">
        <f>IF(CN41=1,COUNTIF($CN$2:CN41,1),"")</f>
        <v>40</v>
      </c>
      <c r="GK41" s="207">
        <f>IF(CO41=1,COUNTIF($CO$2:CO41,1),"")</f>
        <v>40</v>
      </c>
      <c r="GL41" s="207">
        <f>IF(CP41=1,COUNTIF($CP$2:CP41,1),"")</f>
        <v>40</v>
      </c>
      <c r="GM41" s="207">
        <f>IF(CQ41=1,COUNTIF($CQ$2:CQ41,1),"")</f>
        <v>40</v>
      </c>
      <c r="GN41" s="207">
        <f>IF(CR41=1,COUNTIF($CR$2:CR41,1),"")</f>
        <v>40</v>
      </c>
      <c r="GO41" s="207">
        <f>IF(CS41=1,COUNTIF($CS$2:CS41,1),"")</f>
        <v>40</v>
      </c>
      <c r="GP41" s="207">
        <f>IF(CT41=1,COUNTIF($CT$2:CT41,1),"")</f>
        <v>40</v>
      </c>
      <c r="GQ41" s="207">
        <f>IF(CU41=1,COUNTIF($CU$2:CU41,1),"")</f>
        <v>40</v>
      </c>
      <c r="GR41" s="207">
        <f>IF(CV41=1,COUNTIF($CV$2:CV41,1),"")</f>
        <v>40</v>
      </c>
      <c r="GS41" s="207">
        <f>IF(CW41=1,COUNTIF($CW$2:CW41,1),"")</f>
        <v>40</v>
      </c>
      <c r="GT41" s="207">
        <f>IF(CX41=1,COUNTIF($CX$2:CX41,1),"")</f>
        <v>40</v>
      </c>
      <c r="GU41" s="207">
        <f>IF(CY41=1,COUNTIF($CY$2:CY41,1),"")</f>
        <v>40</v>
      </c>
      <c r="GV41" s="207">
        <f>IF(CZ41=1,COUNTIF($CZ$2:CZ41,1),"")</f>
        <v>40</v>
      </c>
      <c r="GW41" s="207">
        <f>IF(DA41=1,COUNTIF($DA$2:DA41,1),"")</f>
        <v>40</v>
      </c>
      <c r="GX41" s="206" t="str">
        <f>IFERROR(INDEX($A$2:$A$113,MATCH(ROWS($DB$2:DB41),$DB$2:$DB$113,0)),"")</f>
        <v xml:space="preserve">VIOLACION DE DOMICILIO SIMPLE </v>
      </c>
      <c r="GY41" s="206" t="str">
        <f>IFERROR(INDEX($A$2:$A$113,MATCH(ROWS($DC$2:DC41),$DC$2:$DC$113,0)),"")</f>
        <v xml:space="preserve">VIOLACION DE DOMICILIO SIMPLE </v>
      </c>
      <c r="GZ41" s="206" t="str">
        <f>IFERROR(INDEX($A$2:$A$113,MATCH(ROWS($DD$2:DD41),$DD$2:$DD$113,0)),"")</f>
        <v xml:space="preserve">VIOLACION DE DOMICILIO SIMPLE </v>
      </c>
      <c r="HA41" s="206" t="str">
        <f>IFERROR(INDEX($A$2:$A$113,MATCH(ROWS($DE$2:DE41),$DE$2:$DE$113,0)),"")</f>
        <v xml:space="preserve">VIOLACION DE DOMICILIO SIMPLE </v>
      </c>
      <c r="HB41" s="206" t="str">
        <f>IFERROR(INDEX($A$2:$A$113,MATCH(ROWS($DF$2:DF41),$DF$2:$DF$113,0)),"")</f>
        <v xml:space="preserve">VIOLACION DE DOMICILIO SIMPLE </v>
      </c>
      <c r="HC41" s="206" t="str">
        <f>IFERROR(INDEX($A$2:$A$113,MATCH(ROWS($DG$2:DG41),$DG$2:$DG$113,0)),"")</f>
        <v xml:space="preserve">VIOLACION DE DOMICILIO SIMPLE </v>
      </c>
      <c r="HD41" s="206" t="str">
        <f>IFERROR(INDEX($A$2:$A$113,MATCH(ROWS($DH$2:DH41),$DH$2:$DH$113,0)),"")</f>
        <v xml:space="preserve">VIOLACION DE DOMICILIO SIMPLE </v>
      </c>
      <c r="HE41" s="206" t="str">
        <f>IFERROR(INDEX($A$2:$A$113,MATCH(ROWS($DI$2:DI41),$DI$2:$DI$113,0)),"")</f>
        <v xml:space="preserve">VIOLACION DE DOMICILIO SIMPLE </v>
      </c>
      <c r="HF41" s="206" t="str">
        <f>IFERROR(INDEX($A$2:$A$113,MATCH(ROWS($DJ$2:DJ41),$DJ$2:$DJ$113,0)),"")</f>
        <v xml:space="preserve">VIOLACION DE DOMICILIO SIMPLE </v>
      </c>
      <c r="HG41" s="206" t="str">
        <f>IFERROR(INDEX($A$2:$A$113,MATCH(ROWS($DK$2:DK41),$DK$2:$DK$113,0)),"")</f>
        <v xml:space="preserve">VIOLACION DE DOMICILIO SIMPLE </v>
      </c>
      <c r="HH41" s="206" t="str">
        <f>IFERROR(INDEX($A$2:$A$113,MATCH(ROWS($DL$2:DL41),$DL$2:$DL$113,0)),"")</f>
        <v xml:space="preserve">VIOLACION DE DOMICILIO SIMPLE </v>
      </c>
      <c r="HI41" s="206" t="str">
        <f>IFERROR(INDEX($A$2:$A$113,MATCH(ROWS($DM$2:DM41),$DM$2:$DM$113,0)),"")</f>
        <v xml:space="preserve">VIOLACION DE DOMICILIO SIMPLE </v>
      </c>
      <c r="HJ41" s="206" t="str">
        <f>IFERROR(INDEX($A$2:$A$113,MATCH(ROWS($DN$2:DN41),$DN$2:$DN$113,0)),"")</f>
        <v xml:space="preserve">VIOLACION DE DOMICILIO SIMPLE </v>
      </c>
      <c r="HK41" s="206" t="str">
        <f>IFERROR(INDEX($A$2:$A$113,MATCH(ROWS($DO$2:DO41),$DO$2:$DO$113,0)),"")</f>
        <v xml:space="preserve">VIOLACION DE DOMICILIO SIMPLE </v>
      </c>
      <c r="HL41" s="206" t="str">
        <f>IFERROR(INDEX($A$2:$A$113,MATCH(ROWS($DP$2:DP41),$DP$2:$DP$113,0)),"")</f>
        <v xml:space="preserve">VIOLACION DE DOMICILIO SIMPLE </v>
      </c>
      <c r="HM41" s="206" t="str">
        <f>IFERROR(INDEX($A$2:$A$113,MATCH(ROWS($DQ$2:DQ41),$DQ$2:$DQ$113,0)),"")</f>
        <v xml:space="preserve">VIOLACION DE DOMICILIO SIMPLE </v>
      </c>
      <c r="HN41" s="206" t="str">
        <f>IFERROR(INDEX($A$2:$A$113,MATCH(ROWS($DR$2:DR41),$DR$2:$DR$113,0)),"")</f>
        <v xml:space="preserve">VIOLACION DE DOMICILIO SIMPLE </v>
      </c>
      <c r="HO41" s="206" t="str">
        <f>IFERROR(INDEX($A$2:$A$113,MATCH(ROWS($DS$2:DS41),$DS$2:$DS$113,0)),"")</f>
        <v xml:space="preserve">VIOLACION DE DOMICILIO SIMPLE </v>
      </c>
      <c r="HP41" s="206" t="str">
        <f>IFERROR(INDEX($A$2:$A$113,MATCH(ROWS($DT$2:DT41),$DT$2:$DT$113,0)),"")</f>
        <v xml:space="preserve">VIOLACION DE DOMICILIO SIMPLE </v>
      </c>
      <c r="HQ41" s="206" t="str">
        <f>IFERROR(INDEX($A$2:$A$113,MATCH(ROWS($DU$2:DU41),$DU$2:$DU$113,0)),"")</f>
        <v xml:space="preserve">VIOLACION DE DOMICILIO SIMPLE </v>
      </c>
      <c r="HR41" s="206" t="str">
        <f>IFERROR(INDEX($A$2:$A$113,MATCH(ROWS($DV$2:DV41),$DV$2:$DV$113,0)),"")</f>
        <v xml:space="preserve">VIOLACION DE DOMICILIO SIMPLE </v>
      </c>
      <c r="HS41" s="206" t="str">
        <f>IFERROR(INDEX($A$2:$A$113,MATCH(ROWS($DW$2:DW41),$DW$2:$DW$113,0)),"")</f>
        <v xml:space="preserve">VIOLACION DE DOMICILIO SIMPLE </v>
      </c>
      <c r="HT41" s="206" t="str">
        <f>IFERROR(INDEX($A$2:$A$113,MATCH(ROWS($DX$2:DX41),$DX$2:$DX$113,0)),"")</f>
        <v xml:space="preserve">VIOLACION DE DOMICILIO SIMPLE </v>
      </c>
      <c r="HU41" s="206" t="str">
        <f>IFERROR(INDEX($A$2:$A$113,MATCH(ROWS($DY$2:DY41),$DY$2:$DY$113,0)),"")</f>
        <v xml:space="preserve">VIOLACION DE DOMICILIO SIMPLE </v>
      </c>
      <c r="HV41" s="206" t="str">
        <f>IFERROR(INDEX($A$2:$A$113,MATCH(ROWS($DZ$2:DZ41),$DZ$2:$DZ$113,0)),"")</f>
        <v xml:space="preserve">VIOLACION DE DOMICILIO SIMPLE </v>
      </c>
      <c r="HW41" s="206" t="str">
        <f>IFERROR(INDEX($A$2:$A$113,MATCH(ROWS($EA$2:EA41),$EA$2:$EA$113,0)),"")</f>
        <v xml:space="preserve">VIOLACION DE DOMICILIO SIMPLE </v>
      </c>
      <c r="HX41" s="206" t="str">
        <f>IFERROR(INDEX($A$2:$A$113,MATCH(ROWS($EB$2:EB41),$EB$2:$EB$113,0)),"")</f>
        <v xml:space="preserve">VIOLACION DE DOMICILIO SIMPLE </v>
      </c>
      <c r="HY41" s="206" t="str">
        <f>IFERROR(INDEX($A$2:$A$113,MATCH(ROWS($EC$2:EC41),$EC$2:$EC$113,0)),"")</f>
        <v xml:space="preserve">VIOLACION DE DOMICILIO SIMPLE </v>
      </c>
      <c r="HZ41" s="206" t="str">
        <f>IFERROR(INDEX($A$2:$A$113,MATCH(ROWS($ED$2:ED41),$ED$2:$ED$113,0)),"")</f>
        <v xml:space="preserve">VIOLACION DE DOMICILIO SIMPLE </v>
      </c>
      <c r="IA41" s="206" t="str">
        <f>IFERROR(INDEX($A$2:$A$113,MATCH(ROWS($EE$2:EE41),$EE$2:$EE$113,0)),"")</f>
        <v xml:space="preserve">VIOLACION DE DOMICILIO SIMPLE </v>
      </c>
      <c r="IB41" s="206" t="str">
        <f>IFERROR(INDEX($A$2:$A$113,MATCH(ROWS($EF$2:EF41),$EF$2:$EF$113,0)),"")</f>
        <v xml:space="preserve">VIOLACION DE DOMICILIO SIMPLE </v>
      </c>
      <c r="IC41" s="206" t="str">
        <f>IFERROR(INDEX($A$2:$A$113,MATCH(ROWS($EG$2:EG41),$EG$2:$EG$113,0)),"")</f>
        <v xml:space="preserve">VIOLACION DE DOMICILIO SIMPLE </v>
      </c>
      <c r="ID41" s="206" t="str">
        <f>IFERROR(INDEX($A$2:$A$113,MATCH(ROWS($EH$2:EH41),$EH$2:$EH$113,0)),"")</f>
        <v xml:space="preserve">VIOLACION DE DOMICILIO SIMPLE </v>
      </c>
      <c r="IE41" s="206" t="str">
        <f>IFERROR(INDEX($A$2:$A$113,MATCH(ROWS($EI$2:EI41),$EI$2:$EI$113,0)),"")</f>
        <v xml:space="preserve">VIOLACION DE DOMICILIO SIMPLE </v>
      </c>
      <c r="IF41" s="206" t="str">
        <f>IFERROR(INDEX($A$2:$A$113,MATCH(ROWS($EJ$2:EJ41),$EJ$2:$EJ$113,0)),"")</f>
        <v xml:space="preserve">VIOLACION DE DOMICILIO SIMPLE </v>
      </c>
      <c r="IG41" s="206" t="str">
        <f>IFERROR(INDEX($A$2:$A$113,MATCH(ROWS($EK$2:EK41),$EK$2:$EK$113,0)),"")</f>
        <v xml:space="preserve">VIOLACION DE DOMICILIO SIMPLE </v>
      </c>
      <c r="IH41" s="206" t="str">
        <f>IFERROR(INDEX($A$2:$A$113,MATCH(ROWS($EL$2:EL41),$EL$2:$EL$113,0)),"")</f>
        <v xml:space="preserve">VIOLACION DE DOMICILIO SIMPLE </v>
      </c>
      <c r="II41" s="206" t="str">
        <f>IFERROR(INDEX($A$2:$A$113,MATCH(ROWS($EM$2:EM41),$EM$2:$EM$113,0)),"")</f>
        <v xml:space="preserve">VIOLACION DE DOMICILIO SIMPLE </v>
      </c>
      <c r="IJ41" s="206" t="str">
        <f>IFERROR(INDEX($A$2:$A$113,MATCH(ROWS($EN$2:EN41),$EN$2:$EN$113,0)),"")</f>
        <v xml:space="preserve">VIOLACION DE DOMICILIO SIMPLE </v>
      </c>
      <c r="IK41" s="207" t="str">
        <f>IFERROR(INDEX($A$2:$A$113,MATCH(ROWS($EO$2:EO41),$EO$2:$EO$113,0)),"")</f>
        <v xml:space="preserve">VIOLACION DE DOMICILIO SIMPLE </v>
      </c>
      <c r="IL41" s="207" t="str">
        <f>IFERROR(INDEX($A$2:$A$113,MATCH(ROWS($EP$2:EP41),$EP$2:$EP$113,0)),"")</f>
        <v xml:space="preserve">VIOLACION DE DOMICILIO SIMPLE </v>
      </c>
      <c r="IM41" s="207" t="str">
        <f>IFERROR(INDEX($A$2:$A$113,MATCH(ROWS($EQ$2:EQ41),$EQ$2:$EQ$113,0)),"")</f>
        <v xml:space="preserve">VIOLACION DE DOMICILIO SIMPLE </v>
      </c>
      <c r="IN41" s="207" t="str">
        <f>IFERROR(INDEX($A$2:$A$113,MATCH(ROWS($ER$2:ER41),$ER$2:$ER$113,0)),"")</f>
        <v xml:space="preserve">VIOLACION DE DOMICILIO SIMPLE </v>
      </c>
      <c r="IO41" s="207" t="str">
        <f>IFERROR(INDEX($A$2:$A$113,MATCH(ROWS($ES$2:ES41),$ES$2:$ES$113,0)),"")</f>
        <v xml:space="preserve">VIOLACION DE DOMICILIO SIMPLE </v>
      </c>
      <c r="IP41" s="207" t="str">
        <f>IFERROR(INDEX($A$2:$A$113,MATCH(ROWS($ET$2:ET41),$ET$2:$ET$113,0)),"")</f>
        <v xml:space="preserve">VIOLACION DE DOMICILIO SIMPLE </v>
      </c>
      <c r="IQ41" s="207" t="str">
        <f>IFERROR(INDEX($A$2:$A$113,MATCH(ROWS($EU$2:EU41),$EU$2:$EU$113,0)),"")</f>
        <v xml:space="preserve">VIOLACION DE DOMICILIO SIMPLE </v>
      </c>
      <c r="IR41" s="207" t="str">
        <f>IFERROR(INDEX($A$2:$A$113,MATCH(ROWS($EV$2:EV41),$EV$2:$EV$113,0)),"")</f>
        <v xml:space="preserve">VIOLACION DE DOMICILIO SIMPLE </v>
      </c>
      <c r="IS41" s="207" t="str">
        <f>IFERROR(INDEX($A$2:$A$113,MATCH(ROWS($EW$2:EW41),$EW$2:$EW$113,0)),"")</f>
        <v xml:space="preserve">VIOLACION DE DOMICILIO SIMPLE </v>
      </c>
      <c r="IT41" s="207" t="str">
        <f>IFERROR(INDEX($A$2:$A$113,MATCH(ROWS($EX$2:EX41),$EX$2:$EX$113,0)),"")</f>
        <v xml:space="preserve">VIOLACION DE DOMICILIO SIMPLE </v>
      </c>
      <c r="IU41" s="207" t="str">
        <f>IFERROR(INDEX($A$2:$A$113,MATCH(ROWS($EY$2:EY41),$EY$2:$EY$113,0)),"")</f>
        <v xml:space="preserve">VIOLACION DE DOMICILIO SIMPLE </v>
      </c>
      <c r="IV41" s="207" t="str">
        <f>IFERROR(INDEX($A$2:$A$113,MATCH(ROWS($EZ$2:EZ41),$EZ$2:$EZ$113,0)),"")</f>
        <v xml:space="preserve">VIOLACION DE DOMICILIO SIMPLE </v>
      </c>
      <c r="IW41" s="207" t="str">
        <f>IFERROR(INDEX($A$2:$A$113,MATCH(ROWS($FA$2:FA41),$FA$2:$FA$113,0)),"")</f>
        <v xml:space="preserve">VIOLACION DE DOMICILIO SIMPLE </v>
      </c>
      <c r="IX41" s="207" t="str">
        <f>IFERROR(INDEX($A$2:$A$113,MATCH(ROWS($FB$2:FB41),$FB$2:$FB$113,0)),"")</f>
        <v xml:space="preserve">VIOLACION DE DOMICILIO SIMPLE </v>
      </c>
      <c r="IY41" s="207" t="str">
        <f>IFERROR(INDEX($A$2:$A$113,MATCH(ROWS($FC$2:FC41),$FC$2:$FC$113,0)),"")</f>
        <v xml:space="preserve">VIOLACION DE DOMICILIO SIMPLE </v>
      </c>
      <c r="IZ41" s="207" t="str">
        <f>IFERROR(INDEX($A$2:$A$113,MATCH(ROWS($FD$2:FD41),$FD$2:$FD$113,0)),"")</f>
        <v xml:space="preserve">VIOLACION DE DOMICILIO SIMPLE </v>
      </c>
      <c r="JA41" s="207" t="str">
        <f>IFERROR(INDEX($A$2:$A$113,MATCH(ROWS($FE$2:FE41),$FE$2:$FE$113,0)),"")</f>
        <v xml:space="preserve">VIOLACION DE DOMICILIO SIMPLE </v>
      </c>
      <c r="JB41" s="207" t="str">
        <f>IFERROR(INDEX($A$2:$A$113,MATCH(ROWS($FF$2:FF41),$FF$2:$FF$113,0)),"")</f>
        <v xml:space="preserve">VIOLACION DE DOMICILIO SIMPLE </v>
      </c>
      <c r="JC41" s="207" t="str">
        <f>IFERROR(INDEX($A$2:$A$113,MATCH(ROWS($FG$2:FG41),$FG$2:$FG$113,0)),"")</f>
        <v xml:space="preserve">VIOLACION DE DOMICILIO SIMPLE </v>
      </c>
      <c r="JD41" s="207" t="str">
        <f>IFERROR(INDEX($A$2:$A$113,MATCH(ROWS($FH$2:FH41),$FH$2:$FH$113,0)),"")</f>
        <v xml:space="preserve">VIOLACION DE DOMICILIO SIMPLE </v>
      </c>
      <c r="JE41" s="207" t="str">
        <f>IFERROR(INDEX($A$2:$A$113,MATCH(ROWS($FI$2:FI41),$FI$2:$FI$113,0)),"")</f>
        <v xml:space="preserve">VIOLACION DE DOMICILIO SIMPLE </v>
      </c>
      <c r="JF41" s="207" t="str">
        <f>IFERROR(INDEX($A$2:$A$113,MATCH(ROWS($FJ$2:FJ41),$FJ$2:$FJ$113,0)),"")</f>
        <v xml:space="preserve">VIOLACION DE DOMICILIO SIMPLE </v>
      </c>
      <c r="JG41" s="207" t="str">
        <f>IFERROR(INDEX($A$2:$A$113,MATCH(ROWS($FK$2:FK41),$FK$2:$FK$113,0)),"")</f>
        <v xml:space="preserve">VIOLACION DE DOMICILIO SIMPLE </v>
      </c>
      <c r="JH41" s="207" t="str">
        <f>IFERROR(INDEX($A$2:$A$113,MATCH(ROWS($FL$2:FL41),$FL$2:$FL$113,0)),"")</f>
        <v xml:space="preserve">VIOLACION DE DOMICILIO SIMPLE </v>
      </c>
      <c r="JI41" s="207" t="str">
        <f>IFERROR(INDEX($A$2:$A$113,MATCH(ROWS($FM$2:FM41),$FM$2:$FM$113,0)),"")</f>
        <v xml:space="preserve">VIOLACION DE DOMICILIO SIMPLE </v>
      </c>
      <c r="JJ41" s="207" t="str">
        <f>IFERROR(INDEX($A$2:$A$113,MATCH(ROWS($FN$2:FN41),$FN$2:$FN$113,0)),"")</f>
        <v xml:space="preserve">VIOLACION DE DOMICILIO SIMPLE </v>
      </c>
      <c r="JK41" s="207" t="str">
        <f>IFERROR(INDEX($A$2:$A$113,MATCH(ROWS($FO$2:FO41),$FO$2:$FO$113,0)),"")</f>
        <v xml:space="preserve">VIOLACION DE DOMICILIO SIMPLE </v>
      </c>
      <c r="JL41" s="207" t="str">
        <f>IFERROR(INDEX($A$2:$A$113,MATCH(ROWS($FP$2:FP41),$FP$2:$FP$113,0)),"")</f>
        <v xml:space="preserve">VIOLACION DE DOMICILIO SIMPLE </v>
      </c>
      <c r="JM41" s="207" t="str">
        <f>IFERROR(INDEX($A$2:$A$113,MATCH(ROWS($FQ$2:FQ41),$FQ$2:$FQ$113,0)),"")</f>
        <v xml:space="preserve">VIOLACION DE DOMICILIO SIMPLE </v>
      </c>
      <c r="JN41" s="207" t="str">
        <f>IFERROR(INDEX($A$2:$A$113,MATCH(ROWS($FR$2:FR41),$FR$2:$FR$113,0)),"")</f>
        <v xml:space="preserve">VIOLACION DE DOMICILIO SIMPLE </v>
      </c>
      <c r="JO41" s="207" t="str">
        <f>IFERROR(INDEX($A$2:$A$113,MATCH(ROWS($FS$2:FS41),$FS$2:$FS$113,0)),"")</f>
        <v xml:space="preserve">VIOLACION DE DOMICILIO SIMPLE </v>
      </c>
      <c r="JP41" s="207" t="str">
        <f>IFERROR(INDEX($A$2:$A$113,MATCH(ROWS($FT$2:FT41),$FT$2:$FT$113,0)),"")</f>
        <v xml:space="preserve">VIOLACION DE DOMICILIO SIMPLE </v>
      </c>
      <c r="JQ41" s="207" t="str">
        <f>IFERROR(INDEX($A$2:$A$113,MATCH(ROWS($FU$2:FU41),$FU$2:$FU$113,0)),"")</f>
        <v xml:space="preserve">VIOLACION DE DOMICILIO SIMPLE </v>
      </c>
      <c r="JR41" s="207" t="str">
        <f>IFERROR(INDEX($A$2:$A$113,MATCH(ROWS($FV$2:FV41),$FV$2:$FV$113,0)),"")</f>
        <v xml:space="preserve">VIOLACION DE DOMICILIO SIMPLE </v>
      </c>
      <c r="JS41" s="207" t="str">
        <f>IFERROR(INDEX($A$2:$A$113,MATCH(ROWS($FW$2:FW41),$FW$2:$FW$113,0)),"")</f>
        <v xml:space="preserve">VIOLACION DE DOMICILIO SIMPLE </v>
      </c>
      <c r="JT41" s="207" t="str">
        <f>IFERROR(INDEX($A$2:$A$113,MATCH(ROWS($FX$2:FX41),$FX$2:$FX$113,0)),"")</f>
        <v xml:space="preserve">VIOLACION DE DOMICILIO SIMPLE </v>
      </c>
      <c r="JU41" s="207" t="str">
        <f>IFERROR(INDEX($A$2:$A$113,MATCH(ROWS($FY$2:FY41),$FY$2:$FY$113,0)),"")</f>
        <v xml:space="preserve">VIOLACION DE DOMICILIO SIMPLE </v>
      </c>
      <c r="JV41" s="207" t="str">
        <f>IFERROR(INDEX($A$2:$A$113,MATCH(ROWS($FZ$2:FZ41),$FZ$2:$FZ$113,0)),"")</f>
        <v xml:space="preserve">VIOLACION DE DOMICILIO SIMPLE </v>
      </c>
      <c r="JW41" s="207" t="str">
        <f>IFERROR(INDEX($A$2:$A$113,MATCH(ROWS($GA$2:GA41),$GA$2:$GA$113,0)),"")</f>
        <v xml:space="preserve">VIOLACION DE DOMICILIO SIMPLE </v>
      </c>
      <c r="JX41" s="207" t="str">
        <f>IFERROR(INDEX($A$2:$A$113,MATCH(ROWS($GB$2:GB41),$GB$2:$GB$113,0)),"")</f>
        <v xml:space="preserve">VIOLACION DE DOMICILIO SIMPLE </v>
      </c>
      <c r="JY41" s="207" t="str">
        <f>IFERROR(INDEX($A$2:$A$113,MATCH(ROWS($GC$2:GC41),$GC$2:$GC$113,0)),"")</f>
        <v xml:space="preserve">VIOLACION DE DOMICILIO SIMPLE </v>
      </c>
      <c r="JZ41" s="207" t="str">
        <f>IFERROR(INDEX($A$2:$A$113,MATCH(ROWS($GD$2:GD41),$GD$2:$GD$113,0)),"")</f>
        <v xml:space="preserve">VIOLACION DE DOMICILIO SIMPLE </v>
      </c>
      <c r="KA41" s="207" t="str">
        <f>IFERROR(INDEX($A$2:$A$113,MATCH(ROWS($GE$2:GE41),$GE$2:$GE$113,0)),"")</f>
        <v xml:space="preserve">VIOLACION DE DOMICILIO SIMPLE </v>
      </c>
      <c r="KB41" s="207" t="str">
        <f>IFERROR(INDEX($A$2:$A$113,MATCH(ROWS($GF$2:GF41),$GF$2:$GF$113,0)),"")</f>
        <v xml:space="preserve">VIOLACION DE DOMICILIO SIMPLE </v>
      </c>
      <c r="KC41" s="207" t="str">
        <f>IFERROR(INDEX($A$2:$A$113,MATCH(ROWS($GG$2:GG41),$GG$2:$GG$113,0)),"")</f>
        <v xml:space="preserve">VIOLACION DE DOMICILIO SIMPLE </v>
      </c>
      <c r="KD41" s="207" t="str">
        <f>IFERROR(INDEX($A$2:$A$113,MATCH(ROWS($GH$2:GH41),$GH$2:$GH$113,0)),"")</f>
        <v xml:space="preserve">VIOLACION DE DOMICILIO SIMPLE </v>
      </c>
      <c r="KE41" s="207" t="str">
        <f>IFERROR(INDEX($A$2:$A$113,MATCH(ROWS($GI$2:GI41),$GI$2:$GI$113,0)),"")</f>
        <v xml:space="preserve">VIOLACION DE DOMICILIO SIMPLE </v>
      </c>
      <c r="KF41" s="207" t="str">
        <f>IFERROR(INDEX($A$2:$A$113,MATCH(ROWS($GJ$2:GJ41),$GJ$2:$GJ$113,0)),"")</f>
        <v xml:space="preserve">VIOLACION DE DOMICILIO SIMPLE </v>
      </c>
      <c r="KG41" s="207" t="str">
        <f>IFERROR(INDEX($A$2:$A$113,MATCH(ROWS($GK$2:GK41),$GK$2:$GK$113,0)),"")</f>
        <v xml:space="preserve">VIOLACION DE DOMICILIO SIMPLE </v>
      </c>
      <c r="KH41" s="207" t="str">
        <f>IFERROR(INDEX($A$2:$A$113,MATCH(ROWS($GL$2:GL41),$GL$2:$GL$113,0)),"")</f>
        <v xml:space="preserve">VIOLACION DE DOMICILIO SIMPLE </v>
      </c>
      <c r="KI41" s="207" t="str">
        <f>IFERROR(INDEX($A$2:$A$113,MATCH(ROWS($GM$2:GM41),$GM$2:$GM$113,0)),"")</f>
        <v xml:space="preserve">VIOLACION DE DOMICILIO SIMPLE </v>
      </c>
      <c r="KJ41" s="207" t="str">
        <f>IFERROR(INDEX($A$2:$A$113,MATCH(ROWS($GN$2:GN41),$GN$2:$GN$113,0)),"")</f>
        <v xml:space="preserve">VIOLACION DE DOMICILIO SIMPLE </v>
      </c>
      <c r="KK41" s="207" t="str">
        <f>IFERROR(INDEX($A$2:$A$113,MATCH(ROWS($GO$2:GO41),$GO$2:$GO$113,0)),"")</f>
        <v xml:space="preserve">VIOLACION DE DOMICILIO SIMPLE </v>
      </c>
      <c r="KL41" s="207" t="str">
        <f>IFERROR(INDEX($A$2:$A$113,MATCH(ROWS($GP$2:GP41),$GP$2:$GP$113,0)),"")</f>
        <v xml:space="preserve">VIOLACION DE DOMICILIO SIMPLE </v>
      </c>
      <c r="KM41" s="207" t="str">
        <f>IFERROR(INDEX($A$2:$A$113,MATCH(ROWS($GQ$2:GQ41),$GQ$2:$GQ$113,0)),"")</f>
        <v xml:space="preserve">VIOLACION DE DOMICILIO SIMPLE </v>
      </c>
      <c r="KN41" s="207" t="str">
        <f>IFERROR(INDEX($A$2:$A$113,MATCH(ROWS($GR$2:GR41),$GR$2:$GR$113,0)),"")</f>
        <v xml:space="preserve">VIOLACION DE DOMICILIO SIMPLE </v>
      </c>
      <c r="KO41" s="207" t="str">
        <f>IFERROR(INDEX($A$2:$A$113,MATCH(ROWS($GS$2:GS41),$GS$2:$GS$113,0)),"")</f>
        <v xml:space="preserve">VIOLACION DE DOMICILIO SIMPLE </v>
      </c>
      <c r="KP41" s="207" t="str">
        <f>IFERROR(INDEX($A$2:$A$113,MATCH(ROWS($GT$2:GT41),$GT$2:$GT$113,0)),"")</f>
        <v xml:space="preserve">VIOLACION DE DOMICILIO SIMPLE </v>
      </c>
      <c r="KQ41" s="207" t="str">
        <f>IFERROR(INDEX($A$2:$A$113,MATCH(ROWS($GU$2:GU41),$GU$2:$GU$113,0)),"")</f>
        <v xml:space="preserve">VIOLACION DE DOMICILIO SIMPLE </v>
      </c>
      <c r="KR41" s="207" t="str">
        <f>IFERROR(INDEX($A$2:$A$113,MATCH(ROWS($GV$2:GV41),$GV$2:$GV$113,0)),"")</f>
        <v xml:space="preserve">VIOLACION DE DOMICILIO SIMPLE </v>
      </c>
      <c r="KS41" s="207" t="str">
        <f>IFERROR(INDEX($A$2:$A$113,MATCH(ROWS($GW$2:GW41),$GW$2:$GW$113,0)),"")</f>
        <v xml:space="preserve">VIOLACION DE DOMICILIO SIMPLE </v>
      </c>
    </row>
    <row r="42" spans="1:305" x14ac:dyDescent="0.25">
      <c r="A42" s="206" t="s">
        <v>920</v>
      </c>
      <c r="B42" s="206" t="s">
        <v>75</v>
      </c>
      <c r="D42" s="206" t="s">
        <v>792</v>
      </c>
      <c r="E42" s="206" t="s">
        <v>76</v>
      </c>
      <c r="F42" s="207">
        <f>--ISNUMBER(IFERROR(SEARCH('PLANILLA DJ'!$X$3,$A42,1),""))</f>
        <v>1</v>
      </c>
      <c r="G42" s="207">
        <f>--ISNUMBER(IFERROR(SEARCH('PLANILLA DJ'!$X$4,$A42,1),""))</f>
        <v>1</v>
      </c>
      <c r="H42" s="207">
        <f>--ISNUMBER(IFERROR(SEARCH('PLANILLA DJ'!$X$5,$A42,1),""))</f>
        <v>1</v>
      </c>
      <c r="I42" s="207">
        <f>--ISNUMBER(IFERROR(SEARCH('PLANILLA DJ'!$X$6,$A42,1),""))</f>
        <v>1</v>
      </c>
      <c r="J42" s="207">
        <f>--ISNUMBER(IFERROR(SEARCH('PLANILLA DJ'!$X$7,$A42,1),""))</f>
        <v>1</v>
      </c>
      <c r="K42" s="207">
        <f>--ISNUMBER(IFERROR(SEARCH('PLANILLA DJ'!$X$8,$A42,1),""))</f>
        <v>1</v>
      </c>
      <c r="L42" s="207">
        <f>--ISNUMBER(IFERROR(SEARCH('PLANILLA DJ'!$X$9,$A42,1),""))</f>
        <v>1</v>
      </c>
      <c r="M42" s="207">
        <f>--ISNUMBER(IFERROR(SEARCH('PLANILLA DJ'!$X$10,$A42,1),""))</f>
        <v>1</v>
      </c>
      <c r="N42" s="207">
        <f>--ISNUMBER(IFERROR(SEARCH('PLANILLA DJ'!$X$11,$A42,1),""))</f>
        <v>1</v>
      </c>
      <c r="O42" s="207">
        <f>--ISNUMBER(IFERROR(SEARCH('PLANILLA DJ'!$X$12,$A42,1),""))</f>
        <v>1</v>
      </c>
      <c r="P42" s="207">
        <f>--ISNUMBER(IFERROR(SEARCH('PLANILLA DJ'!$X$13,$A42,1),""))</f>
        <v>1</v>
      </c>
      <c r="Q42" s="207">
        <f>--ISNUMBER(IFERROR(SEARCH('PLANILLA DJ'!$X$14,$A42,1),""))</f>
        <v>1</v>
      </c>
      <c r="R42" s="207">
        <f>--ISNUMBER(IFERROR(SEARCH('PLANILLA DJ'!$X$15,$A42,1),""))</f>
        <v>1</v>
      </c>
      <c r="S42" s="207">
        <f>--ISNUMBER(IFERROR(SEARCH('PLANILLA DJ'!$X$16,$A42,1),""))</f>
        <v>1</v>
      </c>
      <c r="T42" s="207">
        <f>--ISNUMBER(IFERROR(SEARCH('PLANILLA DJ'!$X$17,$A42,1),""))</f>
        <v>1</v>
      </c>
      <c r="U42" s="207">
        <f>--ISNUMBER(IFERROR(SEARCH('PLANILLA DJ'!$X$18,$A42,1),""))</f>
        <v>1</v>
      </c>
      <c r="V42" s="207">
        <f>--ISNUMBER(IFERROR(SEARCH('PLANILLA DJ'!$X$19,$A42,1),""))</f>
        <v>1</v>
      </c>
      <c r="W42" s="207">
        <f>--ISNUMBER(IFERROR(SEARCH('PLANILLA DJ'!$X$20,$A42,1),""))</f>
        <v>1</v>
      </c>
      <c r="X42" s="207">
        <f>--ISNUMBER(IFERROR(SEARCH('PLANILLA DJ'!$X$21,$A42,1),""))</f>
        <v>1</v>
      </c>
      <c r="Y42" s="207">
        <f>--ISNUMBER(IFERROR(SEARCH('PLANILLA DJ'!$X$22,$A42,1),""))</f>
        <v>1</v>
      </c>
      <c r="Z42" s="207">
        <f>--ISNUMBER(IFERROR(SEARCH('PLANILLA DJ'!$X$23,$A42,1),""))</f>
        <v>1</v>
      </c>
      <c r="AA42" s="207">
        <f>--ISNUMBER(IFERROR(SEARCH('PLANILLA DJ'!$X$24,$A42,1),""))</f>
        <v>1</v>
      </c>
      <c r="AB42" s="207">
        <f>--ISNUMBER(IFERROR(SEARCH('PLANILLA DJ'!$X$25,$A42,1),""))</f>
        <v>1</v>
      </c>
      <c r="AC42" s="207">
        <f>--ISNUMBER(IFERROR(SEARCH('PLANILLA DJ'!$X$26,$A42,1),""))</f>
        <v>1</v>
      </c>
      <c r="AD42" s="207">
        <f>--ISNUMBER(IFERROR(SEARCH('PLANILLA DJ'!$X$27,$A42,1),""))</f>
        <v>1</v>
      </c>
      <c r="AE42" s="207">
        <f>--ISNUMBER(IFERROR(SEARCH('PLANILLA DJ'!$X$28,$A42,1),""))</f>
        <v>1</v>
      </c>
      <c r="AF42" s="207">
        <f>--ISNUMBER(IFERROR(SEARCH('PLANILLA DJ'!$X$29,$A42,1),""))</f>
        <v>1</v>
      </c>
      <c r="AG42" s="207">
        <f>--ISNUMBER(IFERROR(SEARCH('PLANILLA DJ'!$X$30,$A42,1),""))</f>
        <v>1</v>
      </c>
      <c r="AH42" s="207">
        <f>--ISNUMBER(IFERROR(SEARCH('PLANILLA DJ'!$X$31,$A42,1),""))</f>
        <v>1</v>
      </c>
      <c r="AI42" s="207">
        <f>--ISNUMBER(IFERROR(SEARCH('PLANILLA DJ'!$X$32,$A42,1),""))</f>
        <v>1</v>
      </c>
      <c r="AJ42" s="207">
        <f>--ISNUMBER(IFERROR(SEARCH('PLANILLA DJ'!$X$33,$A42,1),""))</f>
        <v>1</v>
      </c>
      <c r="AK42" s="207">
        <f>--ISNUMBER(IFERROR(SEARCH('PLANILLA DJ'!$X$34,$A42,1),""))</f>
        <v>1</v>
      </c>
      <c r="AL42" s="207">
        <f>--ISNUMBER(IFERROR(SEARCH('PLANILLA DJ'!$X$35,$A42,1),""))</f>
        <v>1</v>
      </c>
      <c r="AM42" s="207">
        <f>--ISNUMBER(IFERROR(SEARCH('PLANILLA DJ'!$X$36,$A42,1),""))</f>
        <v>1</v>
      </c>
      <c r="AN42" s="207">
        <f>--ISNUMBER(IFERROR(SEARCH('PLANILLA DJ'!$X$37,$A42,1),""))</f>
        <v>1</v>
      </c>
      <c r="AO42" s="207">
        <f>--ISNUMBER(IFERROR(SEARCH('PLANILLA DJ'!$X$38,$A42,1),""))</f>
        <v>1</v>
      </c>
      <c r="AP42" s="207">
        <f>--ISNUMBER(IFERROR(SEARCH('PLANILLA DJ'!$X$39,$A42,1),""))</f>
        <v>1</v>
      </c>
      <c r="AQ42" s="207">
        <f>--ISNUMBER(IFERROR(SEARCH('PLANILLA DJ'!$X$40,$A42,1),""))</f>
        <v>1</v>
      </c>
      <c r="AR42" s="207">
        <f>--ISNUMBER(IFERROR(SEARCH('PLANILLA DJ'!$X$41,$A42,1),""))</f>
        <v>1</v>
      </c>
      <c r="AS42" s="207">
        <f>--ISNUMBER(IFERROR(SEARCH('PLANILLA DJ'!$X$42,$A42,1),""))</f>
        <v>1</v>
      </c>
      <c r="AT42" s="207">
        <f>--ISNUMBER(IFERROR(SEARCH('PLANILLA DJ'!$X$43,$A42,1),""))</f>
        <v>1</v>
      </c>
      <c r="AU42" s="207">
        <f>--ISNUMBER(IFERROR(SEARCH('PLANILLA DJ'!$X$44,$A42,1),""))</f>
        <v>1</v>
      </c>
      <c r="AV42" s="207">
        <f>--ISNUMBER(IFERROR(SEARCH('PLANILLA DJ'!$X$45,$A42,1),""))</f>
        <v>1</v>
      </c>
      <c r="AW42" s="207">
        <f>--ISNUMBER(IFERROR(SEARCH('PLANILLA DJ'!$X$46,$A42,1),""))</f>
        <v>1</v>
      </c>
      <c r="AX42" s="207">
        <f>--ISNUMBER(IFERROR(SEARCH('PLANILLA DJ'!$X$47,$A42,1),""))</f>
        <v>1</v>
      </c>
      <c r="AY42" s="207">
        <f>--ISNUMBER(IFERROR(SEARCH('PLANILLA DJ'!$X$48,$A42,1),""))</f>
        <v>1</v>
      </c>
      <c r="AZ42" s="207">
        <f>--ISNUMBER(IFERROR(SEARCH('PLANILLA DJ'!$X$49,$A42,1),""))</f>
        <v>1</v>
      </c>
      <c r="BA42" s="207">
        <f>--ISNUMBER(IFERROR(SEARCH('PLANILLA DJ'!$X$50,$A42,1),""))</f>
        <v>1</v>
      </c>
      <c r="BB42" s="207">
        <f>--ISNUMBER(IFERROR(SEARCH('PLANILLA DJ'!$X$51,$A42,1),""))</f>
        <v>1</v>
      </c>
      <c r="BC42" s="207">
        <f>--ISNUMBER(IFERROR(SEARCH('PLANILLA DJ'!$X$52,$A42,1),""))</f>
        <v>1</v>
      </c>
      <c r="BD42" s="207">
        <f>--ISNUMBER(IFERROR(SEARCH('PLANILLA DJ'!$X$53,$A42,1),""))</f>
        <v>1</v>
      </c>
      <c r="BE42" s="207">
        <f>--ISNUMBER(IFERROR(SEARCH('PLANILLA DJ'!$X$54,$A42,1),""))</f>
        <v>1</v>
      </c>
      <c r="BF42" s="207">
        <f>--ISNUMBER(IFERROR(SEARCH('PLANILLA DJ'!$X$55,$A42,1),""))</f>
        <v>1</v>
      </c>
      <c r="BG42" s="207">
        <f>--ISNUMBER(IFERROR(SEARCH('PLANILLA DJ'!$X$56,$A42,1),""))</f>
        <v>1</v>
      </c>
      <c r="BH42" s="207">
        <f>--ISNUMBER(IFERROR(SEARCH('PLANILLA DJ'!$X$57,$A42,1),""))</f>
        <v>1</v>
      </c>
      <c r="BI42" s="207">
        <f>--ISNUMBER(IFERROR(SEARCH('PLANILLA DJ'!$X$58,$A42,1),""))</f>
        <v>1</v>
      </c>
      <c r="BJ42" s="207">
        <f>--ISNUMBER(IFERROR(SEARCH('PLANILLA DJ'!$X$59,$A42,1),""))</f>
        <v>1</v>
      </c>
      <c r="BK42" s="207">
        <f>--ISNUMBER(IFERROR(SEARCH('PLANILLA DJ'!$X$60,$A42,1),""))</f>
        <v>1</v>
      </c>
      <c r="BL42" s="207">
        <f>--ISNUMBER(IFERROR(SEARCH('PLANILLA DJ'!$X$61,$A42,1),""))</f>
        <v>1</v>
      </c>
      <c r="BM42" s="207">
        <f>--ISNUMBER(IFERROR(SEARCH('PLANILLA DJ'!$X$62,$A42,1),""))</f>
        <v>1</v>
      </c>
      <c r="BN42" s="207">
        <f>--ISNUMBER(IFERROR(SEARCH('PLANILLA DJ'!$X$63,$A42,1),""))</f>
        <v>1</v>
      </c>
      <c r="BO42" s="207">
        <f>--ISNUMBER(IFERROR(SEARCH('PLANILLA DJ'!$X$64,$A42,1),""))</f>
        <v>1</v>
      </c>
      <c r="BP42" s="207">
        <f>--ISNUMBER(IFERROR(SEARCH('PLANILLA DJ'!$X$65,$A42,1),""))</f>
        <v>1</v>
      </c>
      <c r="BQ42" s="207">
        <f>--ISNUMBER(IFERROR(SEARCH('PLANILLA DJ'!$X$66,$A42,1),""))</f>
        <v>1</v>
      </c>
      <c r="BR42" s="207">
        <f>--ISNUMBER(IFERROR(SEARCH('PLANILLA DJ'!$X$67,$A42,1),""))</f>
        <v>1</v>
      </c>
      <c r="BS42" s="207">
        <f>--ISNUMBER(IFERROR(SEARCH('PLANILLA DJ'!$X$68,$A42,1),""))</f>
        <v>1</v>
      </c>
      <c r="BT42" s="207">
        <f>--ISNUMBER(IFERROR(SEARCH('PLANILLA DJ'!$X$69,$A42,1),""))</f>
        <v>1</v>
      </c>
      <c r="BU42" s="207">
        <f>--ISNUMBER(IFERROR(SEARCH('PLANILLA DJ'!$X$70,$A42,1),""))</f>
        <v>1</v>
      </c>
      <c r="BV42" s="207">
        <f>--ISNUMBER(IFERROR(SEARCH('PLANILLA DJ'!$X$71,$A42,1),""))</f>
        <v>1</v>
      </c>
      <c r="BW42" s="207">
        <f>--ISNUMBER(IFERROR(SEARCH('PLANILLA DJ'!$X$72,$A42,1),""))</f>
        <v>1</v>
      </c>
      <c r="BX42" s="207">
        <f>--ISNUMBER(IFERROR(SEARCH('PLANILLA DJ'!$X$73,$A42,1),""))</f>
        <v>1</v>
      </c>
      <c r="BY42" s="207">
        <f>--ISNUMBER(IFERROR(SEARCH('PLANILLA DJ'!$X$74,$A42,1),""))</f>
        <v>1</v>
      </c>
      <c r="BZ42" s="207">
        <f>--ISNUMBER(IFERROR(SEARCH('PLANILLA DJ'!$X$75,$A42,1),""))</f>
        <v>1</v>
      </c>
      <c r="CA42" s="207">
        <f>--ISNUMBER(IFERROR(SEARCH('PLANILLA DJ'!$X$76,$A42,1),""))</f>
        <v>1</v>
      </c>
      <c r="CB42" s="207">
        <f>--ISNUMBER(IFERROR(SEARCH('PLANILLA DJ'!$X$77,$A42,1),""))</f>
        <v>1</v>
      </c>
      <c r="CC42" s="207">
        <f>--ISNUMBER(IFERROR(SEARCH('PLANILLA DJ'!$X$78,$A42,1),""))</f>
        <v>1</v>
      </c>
      <c r="CD42" s="207">
        <f>--ISNUMBER(IFERROR(SEARCH('PLANILLA DJ'!$X$79,$A42,1),""))</f>
        <v>1</v>
      </c>
      <c r="CE42" s="207">
        <f>--ISNUMBER(IFERROR(SEARCH('PLANILLA DJ'!$X$80,$A42,1),""))</f>
        <v>1</v>
      </c>
      <c r="CF42" s="207">
        <f>--ISNUMBER(IFERROR(SEARCH('PLANILLA DJ'!$X$81,$A42,1),""))</f>
        <v>1</v>
      </c>
      <c r="CG42" s="207">
        <f>--ISNUMBER(IFERROR(SEARCH('PLANILLA DJ'!$X$82,$A42,1),""))</f>
        <v>1</v>
      </c>
      <c r="CH42" s="207">
        <f>--ISNUMBER(IFERROR(SEARCH('PLANILLA DJ'!$X$83,$A42,1),""))</f>
        <v>1</v>
      </c>
      <c r="CI42" s="207">
        <f>--ISNUMBER(IFERROR(SEARCH('PLANILLA DJ'!$X$84,$A42,1),""))</f>
        <v>1</v>
      </c>
      <c r="CJ42" s="207">
        <f>--ISNUMBER(IFERROR(SEARCH('PLANILLA DJ'!$X$85,$A42,1),""))</f>
        <v>1</v>
      </c>
      <c r="CK42" s="207">
        <f>--ISNUMBER(IFERROR(SEARCH('PLANILLA DJ'!$X$86,$A42,1),""))</f>
        <v>1</v>
      </c>
      <c r="CL42" s="207">
        <f>--ISNUMBER(IFERROR(SEARCH('PLANILLA DJ'!$X$87,$A42,1),""))</f>
        <v>1</v>
      </c>
      <c r="CM42" s="207">
        <f>--ISNUMBER(IFERROR(SEARCH('PLANILLA DJ'!$X$88,$A42,1),""))</f>
        <v>1</v>
      </c>
      <c r="CN42" s="207">
        <f>--ISNUMBER(IFERROR(SEARCH('PLANILLA DJ'!$X$89,$A42,1),""))</f>
        <v>1</v>
      </c>
      <c r="CO42" s="207">
        <f>--ISNUMBER(IFERROR(SEARCH('PLANILLA DJ'!$X$90,$A42,1),""))</f>
        <v>1</v>
      </c>
      <c r="CP42" s="207">
        <f>--ISNUMBER(IFERROR(SEARCH('PLANILLA DJ'!$X$91,$A42,1),""))</f>
        <v>1</v>
      </c>
      <c r="CQ42" s="207">
        <f>--ISNUMBER(IFERROR(SEARCH('PLANILLA DJ'!$X$92,$A42,1),""))</f>
        <v>1</v>
      </c>
      <c r="CR42" s="207">
        <f>--ISNUMBER(IFERROR(SEARCH('PLANILLA DJ'!$X$93,$A42,1),""))</f>
        <v>1</v>
      </c>
      <c r="CS42" s="207">
        <f>--ISNUMBER(IFERROR(SEARCH('PLANILLA DJ'!$X$94,$A42,1),""))</f>
        <v>1</v>
      </c>
      <c r="CT42" s="207">
        <f>--ISNUMBER(IFERROR(SEARCH('PLANILLA DJ'!$X$95,$A42,1),""))</f>
        <v>1</v>
      </c>
      <c r="CU42" s="207">
        <f>--ISNUMBER(IFERROR(SEARCH('PLANILLA DJ'!$X$96,$A42,1),""))</f>
        <v>1</v>
      </c>
      <c r="CV42" s="207">
        <f>--ISNUMBER(IFERROR(SEARCH('PLANILLA DJ'!$X$97,$A42,1),""))</f>
        <v>1</v>
      </c>
      <c r="CW42" s="207">
        <f>--ISNUMBER(IFERROR(SEARCH('PLANILLA DJ'!$X$98,$A42,1),""))</f>
        <v>1</v>
      </c>
      <c r="CX42" s="207">
        <f>--ISNUMBER(IFERROR(SEARCH('PLANILLA DJ'!$X$99,$A42,1),""))</f>
        <v>1</v>
      </c>
      <c r="CY42" s="207">
        <f>--ISNUMBER(IFERROR(SEARCH('PLANILLA DJ'!$X$100,$A42,1),""))</f>
        <v>1</v>
      </c>
      <c r="CZ42" s="207">
        <f>--ISNUMBER(IFERROR(SEARCH('PLANILLA DJ'!$X$101,$A42,1),""))</f>
        <v>1</v>
      </c>
      <c r="DA42" s="207">
        <f>--ISNUMBER(IFERROR(SEARCH('PLANILLA DJ'!$X$102,$A42,1),""))</f>
        <v>1</v>
      </c>
      <c r="DB42" s="206">
        <f>IF(F42=1,COUNTIF($F$2:F42,1),"")</f>
        <v>41</v>
      </c>
      <c r="DC42" s="206">
        <f>IF(G42=1,COUNTIF($G$2:G42,1),"")</f>
        <v>41</v>
      </c>
      <c r="DD42" s="206">
        <f>IF(H42=1,COUNTIF($H$2:H42,1),"")</f>
        <v>41</v>
      </c>
      <c r="DE42" s="206">
        <f>IF(I42=1,COUNTIF($I$2:I42,1),"")</f>
        <v>41</v>
      </c>
      <c r="DF42" s="206">
        <f>IF(J42=1,COUNTIF($J$2:J42,1),"")</f>
        <v>41</v>
      </c>
      <c r="DG42" s="206">
        <f>IF(K42=1,COUNTIF($K$2:K42,1),"")</f>
        <v>41</v>
      </c>
      <c r="DH42" s="206">
        <f>IF(L42=1,COUNTIF($L$2:L42,1),"")</f>
        <v>41</v>
      </c>
      <c r="DI42" s="206">
        <f>IF(M42=1,COUNTIF($M$2:M42,1),"")</f>
        <v>41</v>
      </c>
      <c r="DJ42" s="206">
        <f>IF(N42=1,COUNTIF($N$2:N42,1),"")</f>
        <v>41</v>
      </c>
      <c r="DK42" s="206">
        <f>IF(O42=1,COUNTIF($O$2:O42,1),"")</f>
        <v>41</v>
      </c>
      <c r="DL42" s="206">
        <f>IF(P42=1,COUNTIF($P$2:P42,1),"")</f>
        <v>41</v>
      </c>
      <c r="DM42" s="206">
        <f>IF(Q42=1,COUNTIF($Q$2:Q42,1),"")</f>
        <v>41</v>
      </c>
      <c r="DN42" s="207">
        <f>IF(R42=1,COUNTIF($R$2:R42,1),"")</f>
        <v>41</v>
      </c>
      <c r="DO42" s="207">
        <f>IF(S42=1,COUNTIF($S$2:S42,1),"")</f>
        <v>41</v>
      </c>
      <c r="DP42" s="207">
        <f>IF(T42=1,COUNTIF($T$2:T42,1),"")</f>
        <v>41</v>
      </c>
      <c r="DQ42" s="207">
        <f>IF(U42=1,COUNTIF($U$2:U42,1),"")</f>
        <v>41</v>
      </c>
      <c r="DR42" s="207">
        <f>IF(V42=1,COUNTIF($V$2:V42,1),"")</f>
        <v>41</v>
      </c>
      <c r="DS42" s="207">
        <f>IF(W42=1,COUNTIF($W$2:W42,1),"")</f>
        <v>41</v>
      </c>
      <c r="DT42" s="207">
        <f>IF(X42=1,COUNTIF($X$2:X42,1),"")</f>
        <v>41</v>
      </c>
      <c r="DU42" s="207">
        <f>IF(Y42=1,COUNTIF($Y$2:Y42,1),"")</f>
        <v>41</v>
      </c>
      <c r="DV42" s="207">
        <f>IF(Z42=1,COUNTIF(Z$2:Z42,1),"")</f>
        <v>41</v>
      </c>
      <c r="DW42" s="207">
        <f>IF(AA42=1,COUNTIF($AA$2:AA42,1),"")</f>
        <v>41</v>
      </c>
      <c r="DX42" s="207">
        <f>IF(AB42=1,COUNTIF($AB$2:AB42,1),"")</f>
        <v>41</v>
      </c>
      <c r="DY42" s="207">
        <f>IF(AC42=1,COUNTIF($AC$2:AC42,1),"")</f>
        <v>41</v>
      </c>
      <c r="DZ42" s="207">
        <f>IF(AD42=1,COUNTIF($AD$2:AD42,1),"")</f>
        <v>41</v>
      </c>
      <c r="EA42" s="207">
        <f>IF(AE42=1,COUNTIF($AE$2:AE42,1),"")</f>
        <v>41</v>
      </c>
      <c r="EB42" s="207">
        <f>IF(AF42=1,COUNTIF($AF$2:AF42,1),"")</f>
        <v>41</v>
      </c>
      <c r="EC42" s="207">
        <f>IF(AG42=1,COUNTIF($AG$2:AG42,1),"")</f>
        <v>41</v>
      </c>
      <c r="ED42" s="207">
        <f>IF(AH42=1,COUNTIF($AH$2:AH42,1),"")</f>
        <v>41</v>
      </c>
      <c r="EE42" s="207">
        <f>IF(AI42=1,COUNTIF($AI$2:AI42,1),"")</f>
        <v>41</v>
      </c>
      <c r="EF42" s="207">
        <f>IF(AJ42=1,COUNTIF($AJ$2:AJ42,1),"")</f>
        <v>41</v>
      </c>
      <c r="EG42" s="207">
        <f>IF(AK42=1,COUNTIF($AK$2:AK42,1),"")</f>
        <v>41</v>
      </c>
      <c r="EH42" s="207">
        <f>IF(AL42=1,COUNTIF($AL$2:AL42,1),"")</f>
        <v>41</v>
      </c>
      <c r="EI42" s="207">
        <f>IF(AM42=1,COUNTIF($AM$2:AM42,1),"")</f>
        <v>41</v>
      </c>
      <c r="EJ42" s="207">
        <f>IF(AN42=1,COUNTIF($AN$2:AN42,1),"")</f>
        <v>41</v>
      </c>
      <c r="EK42" s="207">
        <f>IF(AO42=1,COUNTIF($AO$2:AO42,1),"")</f>
        <v>41</v>
      </c>
      <c r="EL42" s="207">
        <f>IF(AP42=1,COUNTIF($AP$2:AP42,1),"")</f>
        <v>41</v>
      </c>
      <c r="EM42" s="207">
        <f>IF(AQ42=1,COUNTIF($AQ$2:AQ42,1),"")</f>
        <v>41</v>
      </c>
      <c r="EN42" s="207">
        <f>IF(AR42=1,COUNTIF($AR$2:AR42,1),"")</f>
        <v>41</v>
      </c>
      <c r="EO42" s="207">
        <f>IF(AS42=1,COUNTIF($AS$2:AS42,1),"")</f>
        <v>41</v>
      </c>
      <c r="EP42" s="207">
        <f>IF(AT42=1,COUNTIF($AT$2:AT42,1),"")</f>
        <v>41</v>
      </c>
      <c r="EQ42" s="207">
        <f>IF(AU42=1,COUNTIF($AU$2:AU42,1),"")</f>
        <v>41</v>
      </c>
      <c r="ER42" s="207">
        <f>IF(AV42=1,COUNTIF($AV$2:AV42,1),"")</f>
        <v>41</v>
      </c>
      <c r="ES42" s="207">
        <f>IF(AW42=1,COUNTIF($AW$2:AW42,1),"")</f>
        <v>41</v>
      </c>
      <c r="ET42" s="207">
        <f>IF(AX42=1,COUNTIF($AX$2:AX42,1),"")</f>
        <v>41</v>
      </c>
      <c r="EU42" s="207">
        <f>IF(AY42=1,COUNTIF($AY$2:AY42,1),"")</f>
        <v>41</v>
      </c>
      <c r="EV42" s="207">
        <f>IF(AZ42=1,COUNTIF($AZ$2:AZ42,1),"")</f>
        <v>41</v>
      </c>
      <c r="EW42" s="207">
        <f>IF(BA42=1,COUNTIF($BA$2:BA42,1),"")</f>
        <v>41</v>
      </c>
      <c r="EX42" s="207">
        <f>IF(BB42=1,COUNTIF($BB$2:BB42,1),"")</f>
        <v>41</v>
      </c>
      <c r="EY42" s="207">
        <f>IF(BC42=1,COUNTIF($BC$2:BC42,1),"")</f>
        <v>41</v>
      </c>
      <c r="EZ42" s="207">
        <f>IF(BD42=1,COUNTIF($BD$2:BD42,1),"")</f>
        <v>41</v>
      </c>
      <c r="FA42" s="207">
        <f>IF(BE42=1,COUNTIF($BE$2:BE42,1),"")</f>
        <v>41</v>
      </c>
      <c r="FB42" s="207">
        <f>IF(BF42=1,COUNTIF($BF$2:BF42,1),"")</f>
        <v>41</v>
      </c>
      <c r="FC42" s="207">
        <f>IF(BG42=1,COUNTIF($BG$2:BG42,1),"")</f>
        <v>41</v>
      </c>
      <c r="FD42" s="207">
        <f>IF(BH42=1,COUNTIF($BH$2:BH42,1),"")</f>
        <v>41</v>
      </c>
      <c r="FE42" s="207">
        <f>IF(BI42=1,COUNTIF($BI$2:BI42,1),"")</f>
        <v>41</v>
      </c>
      <c r="FF42" s="207">
        <f>IF(BJ42=1,COUNTIF($BJ$2:BJ42,1),"")</f>
        <v>41</v>
      </c>
      <c r="FG42" s="207">
        <f>IF(BK42=1,COUNTIF($BK$2:BK42,1),"")</f>
        <v>41</v>
      </c>
      <c r="FH42" s="207">
        <f>IF(BL42=1,COUNTIF($BL$2:BL42,1),"")</f>
        <v>41</v>
      </c>
      <c r="FI42" s="207">
        <f>IF(BM42=1,COUNTIF($BM$2:BM42,1),"")</f>
        <v>41</v>
      </c>
      <c r="FJ42" s="207">
        <f>IF(BN42=1,COUNTIF($BN$2:BN42,1),"")</f>
        <v>41</v>
      </c>
      <c r="FK42" s="207">
        <f>IF(BO42=1,COUNTIF($BO$2:BO42,1),"")</f>
        <v>41</v>
      </c>
      <c r="FL42" s="207">
        <f>IF(BP42=1,COUNTIF($BP$2:BP42,1),"")</f>
        <v>41</v>
      </c>
      <c r="FM42" s="207">
        <f>IF(BQ42=1,COUNTIF($BQ$2:BQ42,1),"")</f>
        <v>41</v>
      </c>
      <c r="FN42" s="207">
        <f>IF(BR42=1,COUNTIF($BR$2:BR42,1),"")</f>
        <v>41</v>
      </c>
      <c r="FO42" s="207">
        <f>IF(BS42=1,COUNTIF($BS$2:BS42,1),"")</f>
        <v>41</v>
      </c>
      <c r="FP42" s="207">
        <f>IF(BT42=1,COUNTIF($BT$2:BT42,1),"")</f>
        <v>41</v>
      </c>
      <c r="FQ42" s="207">
        <f>IF(BU42=1,COUNTIF($BU$2:BU42,1),"")</f>
        <v>41</v>
      </c>
      <c r="FR42" s="207">
        <f>IF(BV42=1,COUNTIF($BV$2:BV42,1),"")</f>
        <v>41</v>
      </c>
      <c r="FS42" s="207">
        <f>IF(BW42=1,COUNTIF($BW$2:BW42,1),"")</f>
        <v>41</v>
      </c>
      <c r="FT42" s="207">
        <f>IF(BX42=1,COUNTIF($BX$2:BX42,1),"")</f>
        <v>41</v>
      </c>
      <c r="FU42" s="207">
        <f>IF(BY42=1,COUNTIF($BY$2:BY42,1),"")</f>
        <v>41</v>
      </c>
      <c r="FV42" s="207">
        <f>IF(BZ42=1,COUNTIF($BZ$2:BZ42,1),"")</f>
        <v>41</v>
      </c>
      <c r="FW42" s="207">
        <f>IF(CA42=1,COUNTIF($CA$2:CA42,1),"")</f>
        <v>41</v>
      </c>
      <c r="FX42" s="207">
        <f>IF(CB42=1,COUNTIF($CB$2:CB42,1),"")</f>
        <v>41</v>
      </c>
      <c r="FY42" s="207">
        <f>IF(CC42=1,COUNTIF($CC$2:CC42,1),"")</f>
        <v>41</v>
      </c>
      <c r="FZ42" s="207">
        <f>IF(CD42=1,COUNTIF($CD$2:CD42,1),"")</f>
        <v>41</v>
      </c>
      <c r="GA42" s="207">
        <f>IF(CE42=1,COUNTIF($CE$2:CE42,1),"")</f>
        <v>41</v>
      </c>
      <c r="GB42" s="207">
        <f>IF(CF42=1,COUNTIF($CF$2:CF42,1),"")</f>
        <v>41</v>
      </c>
      <c r="GC42" s="207">
        <f>IF(CG42=1,COUNTIF($CG$2:CG42,1),"")</f>
        <v>41</v>
      </c>
      <c r="GD42" s="207">
        <f>IF(CH42=1,COUNTIF($CH$2:CH42,1),"")</f>
        <v>41</v>
      </c>
      <c r="GE42" s="207">
        <f>IF(CI42=1,COUNTIF($CI$2:CI42,1),"")</f>
        <v>41</v>
      </c>
      <c r="GF42" s="207">
        <f>IF(CJ42=1,COUNTIF($CJ$2:CJ42,1),"")</f>
        <v>41</v>
      </c>
      <c r="GG42" s="207">
        <f>IF(CK42=1,COUNTIF($CK$2:CK42,1),"")</f>
        <v>41</v>
      </c>
      <c r="GH42" s="207">
        <f>IF(CL42=1,COUNTIF($CL$2:CL42,1),"")</f>
        <v>41</v>
      </c>
      <c r="GI42" s="207">
        <f>IF(CM42=1,COUNTIF($CM$2:CM42,1),"")</f>
        <v>41</v>
      </c>
      <c r="GJ42" s="207">
        <f>IF(CN42=1,COUNTIF($CN$2:CN42,1),"")</f>
        <v>41</v>
      </c>
      <c r="GK42" s="207">
        <f>IF(CO42=1,COUNTIF($CO$2:CO42,1),"")</f>
        <v>41</v>
      </c>
      <c r="GL42" s="207">
        <f>IF(CP42=1,COUNTIF($CP$2:CP42,1),"")</f>
        <v>41</v>
      </c>
      <c r="GM42" s="207">
        <f>IF(CQ42=1,COUNTIF($CQ$2:CQ42,1),"")</f>
        <v>41</v>
      </c>
      <c r="GN42" s="207">
        <f>IF(CR42=1,COUNTIF($CR$2:CR42,1),"")</f>
        <v>41</v>
      </c>
      <c r="GO42" s="207">
        <f>IF(CS42=1,COUNTIF($CS$2:CS42,1),"")</f>
        <v>41</v>
      </c>
      <c r="GP42" s="207">
        <f>IF(CT42=1,COUNTIF($CT$2:CT42,1),"")</f>
        <v>41</v>
      </c>
      <c r="GQ42" s="207">
        <f>IF(CU42=1,COUNTIF($CU$2:CU42,1),"")</f>
        <v>41</v>
      </c>
      <c r="GR42" s="207">
        <f>IF(CV42=1,COUNTIF($CV$2:CV42,1),"")</f>
        <v>41</v>
      </c>
      <c r="GS42" s="207">
        <f>IF(CW42=1,COUNTIF($CW$2:CW42,1),"")</f>
        <v>41</v>
      </c>
      <c r="GT42" s="207">
        <f>IF(CX42=1,COUNTIF($CX$2:CX42,1),"")</f>
        <v>41</v>
      </c>
      <c r="GU42" s="207">
        <f>IF(CY42=1,COUNTIF($CY$2:CY42,1),"")</f>
        <v>41</v>
      </c>
      <c r="GV42" s="207">
        <f>IF(CZ42=1,COUNTIF($CZ$2:CZ42,1),"")</f>
        <v>41</v>
      </c>
      <c r="GW42" s="207">
        <f>IF(DA42=1,COUNTIF($DA$2:DA42,1),"")</f>
        <v>41</v>
      </c>
      <c r="GX42" s="206" t="str">
        <f>IFERROR(INDEX($A$2:$A$113,MATCH(ROWS($DB$2:DB42),$DB$2:$DB$113,0)),"")</f>
        <v>VIOLACION DE DOMICILIO AGRAVADO POR FUNCIONARIO PUBLICO</v>
      </c>
      <c r="GY42" s="206" t="str">
        <f>IFERROR(INDEX($A$2:$A$113,MATCH(ROWS($DC$2:DC42),$DC$2:$DC$113,0)),"")</f>
        <v>VIOLACION DE DOMICILIO AGRAVADO POR FUNCIONARIO PUBLICO</v>
      </c>
      <c r="GZ42" s="206" t="str">
        <f>IFERROR(INDEX($A$2:$A$113,MATCH(ROWS($DD$2:DD42),$DD$2:$DD$113,0)),"")</f>
        <v>VIOLACION DE DOMICILIO AGRAVADO POR FUNCIONARIO PUBLICO</v>
      </c>
      <c r="HA42" s="206" t="str">
        <f>IFERROR(INDEX($A$2:$A$113,MATCH(ROWS($DE$2:DE42),$DE$2:$DE$113,0)),"")</f>
        <v>VIOLACION DE DOMICILIO AGRAVADO POR FUNCIONARIO PUBLICO</v>
      </c>
      <c r="HB42" s="206" t="str">
        <f>IFERROR(INDEX($A$2:$A$113,MATCH(ROWS($DF$2:DF42),$DF$2:$DF$113,0)),"")</f>
        <v>VIOLACION DE DOMICILIO AGRAVADO POR FUNCIONARIO PUBLICO</v>
      </c>
      <c r="HC42" s="206" t="str">
        <f>IFERROR(INDEX($A$2:$A$113,MATCH(ROWS($DG$2:DG42),$DG$2:$DG$113,0)),"")</f>
        <v>VIOLACION DE DOMICILIO AGRAVADO POR FUNCIONARIO PUBLICO</v>
      </c>
      <c r="HD42" s="206" t="str">
        <f>IFERROR(INDEX($A$2:$A$113,MATCH(ROWS($DH$2:DH42),$DH$2:$DH$113,0)),"")</f>
        <v>VIOLACION DE DOMICILIO AGRAVADO POR FUNCIONARIO PUBLICO</v>
      </c>
      <c r="HE42" s="206" t="str">
        <f>IFERROR(INDEX($A$2:$A$113,MATCH(ROWS($DI$2:DI42),$DI$2:$DI$113,0)),"")</f>
        <v>VIOLACION DE DOMICILIO AGRAVADO POR FUNCIONARIO PUBLICO</v>
      </c>
      <c r="HF42" s="206" t="str">
        <f>IFERROR(INDEX($A$2:$A$113,MATCH(ROWS($DJ$2:DJ42),$DJ$2:$DJ$113,0)),"")</f>
        <v>VIOLACION DE DOMICILIO AGRAVADO POR FUNCIONARIO PUBLICO</v>
      </c>
      <c r="HG42" s="206" t="str">
        <f>IFERROR(INDEX($A$2:$A$113,MATCH(ROWS($DK$2:DK42),$DK$2:$DK$113,0)),"")</f>
        <v>VIOLACION DE DOMICILIO AGRAVADO POR FUNCIONARIO PUBLICO</v>
      </c>
      <c r="HH42" s="206" t="str">
        <f>IFERROR(INDEX($A$2:$A$113,MATCH(ROWS($DL$2:DL42),$DL$2:$DL$113,0)),"")</f>
        <v>VIOLACION DE DOMICILIO AGRAVADO POR FUNCIONARIO PUBLICO</v>
      </c>
      <c r="HI42" s="206" t="str">
        <f>IFERROR(INDEX($A$2:$A$113,MATCH(ROWS($DM$2:DM42),$DM$2:$DM$113,0)),"")</f>
        <v>VIOLACION DE DOMICILIO AGRAVADO POR FUNCIONARIO PUBLICO</v>
      </c>
      <c r="HJ42" s="206" t="str">
        <f>IFERROR(INDEX($A$2:$A$113,MATCH(ROWS($DN$2:DN42),$DN$2:$DN$113,0)),"")</f>
        <v>VIOLACION DE DOMICILIO AGRAVADO POR FUNCIONARIO PUBLICO</v>
      </c>
      <c r="HK42" s="206" t="str">
        <f>IFERROR(INDEX($A$2:$A$113,MATCH(ROWS($DO$2:DO42),$DO$2:$DO$113,0)),"")</f>
        <v>VIOLACION DE DOMICILIO AGRAVADO POR FUNCIONARIO PUBLICO</v>
      </c>
      <c r="HL42" s="206" t="str">
        <f>IFERROR(INDEX($A$2:$A$113,MATCH(ROWS($DP$2:DP42),$DP$2:$DP$113,0)),"")</f>
        <v>VIOLACION DE DOMICILIO AGRAVADO POR FUNCIONARIO PUBLICO</v>
      </c>
      <c r="HM42" s="206" t="str">
        <f>IFERROR(INDEX($A$2:$A$113,MATCH(ROWS($DQ$2:DQ42),$DQ$2:$DQ$113,0)),"")</f>
        <v>VIOLACION DE DOMICILIO AGRAVADO POR FUNCIONARIO PUBLICO</v>
      </c>
      <c r="HN42" s="206" t="str">
        <f>IFERROR(INDEX($A$2:$A$113,MATCH(ROWS($DR$2:DR42),$DR$2:$DR$113,0)),"")</f>
        <v>VIOLACION DE DOMICILIO AGRAVADO POR FUNCIONARIO PUBLICO</v>
      </c>
      <c r="HO42" s="206" t="str">
        <f>IFERROR(INDEX($A$2:$A$113,MATCH(ROWS($DS$2:DS42),$DS$2:$DS$113,0)),"")</f>
        <v>VIOLACION DE DOMICILIO AGRAVADO POR FUNCIONARIO PUBLICO</v>
      </c>
      <c r="HP42" s="206" t="str">
        <f>IFERROR(INDEX($A$2:$A$113,MATCH(ROWS($DT$2:DT42),$DT$2:$DT$113,0)),"")</f>
        <v>VIOLACION DE DOMICILIO AGRAVADO POR FUNCIONARIO PUBLICO</v>
      </c>
      <c r="HQ42" s="206" t="str">
        <f>IFERROR(INDEX($A$2:$A$113,MATCH(ROWS($DU$2:DU42),$DU$2:$DU$113,0)),"")</f>
        <v>VIOLACION DE DOMICILIO AGRAVADO POR FUNCIONARIO PUBLICO</v>
      </c>
      <c r="HR42" s="206" t="str">
        <f>IFERROR(INDEX($A$2:$A$113,MATCH(ROWS($DV$2:DV42),$DV$2:$DV$113,0)),"")</f>
        <v>VIOLACION DE DOMICILIO AGRAVADO POR FUNCIONARIO PUBLICO</v>
      </c>
      <c r="HS42" s="206" t="str">
        <f>IFERROR(INDEX($A$2:$A$113,MATCH(ROWS($DW$2:DW42),$DW$2:$DW$113,0)),"")</f>
        <v>VIOLACION DE DOMICILIO AGRAVADO POR FUNCIONARIO PUBLICO</v>
      </c>
      <c r="HT42" s="206" t="str">
        <f>IFERROR(INDEX($A$2:$A$113,MATCH(ROWS($DX$2:DX42),$DX$2:$DX$113,0)),"")</f>
        <v>VIOLACION DE DOMICILIO AGRAVADO POR FUNCIONARIO PUBLICO</v>
      </c>
      <c r="HU42" s="206" t="str">
        <f>IFERROR(INDEX($A$2:$A$113,MATCH(ROWS($DY$2:DY42),$DY$2:$DY$113,0)),"")</f>
        <v>VIOLACION DE DOMICILIO AGRAVADO POR FUNCIONARIO PUBLICO</v>
      </c>
      <c r="HV42" s="206" t="str">
        <f>IFERROR(INDEX($A$2:$A$113,MATCH(ROWS($DZ$2:DZ42),$DZ$2:$DZ$113,0)),"")</f>
        <v>VIOLACION DE DOMICILIO AGRAVADO POR FUNCIONARIO PUBLICO</v>
      </c>
      <c r="HW42" s="206" t="str">
        <f>IFERROR(INDEX($A$2:$A$113,MATCH(ROWS($EA$2:EA42),$EA$2:$EA$113,0)),"")</f>
        <v>VIOLACION DE DOMICILIO AGRAVADO POR FUNCIONARIO PUBLICO</v>
      </c>
      <c r="HX42" s="206" t="str">
        <f>IFERROR(INDEX($A$2:$A$113,MATCH(ROWS($EB$2:EB42),$EB$2:$EB$113,0)),"")</f>
        <v>VIOLACION DE DOMICILIO AGRAVADO POR FUNCIONARIO PUBLICO</v>
      </c>
      <c r="HY42" s="206" t="str">
        <f>IFERROR(INDEX($A$2:$A$113,MATCH(ROWS($EC$2:EC42),$EC$2:$EC$113,0)),"")</f>
        <v>VIOLACION DE DOMICILIO AGRAVADO POR FUNCIONARIO PUBLICO</v>
      </c>
      <c r="HZ42" s="206" t="str">
        <f>IFERROR(INDEX($A$2:$A$113,MATCH(ROWS($ED$2:ED42),$ED$2:$ED$113,0)),"")</f>
        <v>VIOLACION DE DOMICILIO AGRAVADO POR FUNCIONARIO PUBLICO</v>
      </c>
      <c r="IA42" s="206" t="str">
        <f>IFERROR(INDEX($A$2:$A$113,MATCH(ROWS($EE$2:EE42),$EE$2:$EE$113,0)),"")</f>
        <v>VIOLACION DE DOMICILIO AGRAVADO POR FUNCIONARIO PUBLICO</v>
      </c>
      <c r="IB42" s="206" t="str">
        <f>IFERROR(INDEX($A$2:$A$113,MATCH(ROWS($EF$2:EF42),$EF$2:$EF$113,0)),"")</f>
        <v>VIOLACION DE DOMICILIO AGRAVADO POR FUNCIONARIO PUBLICO</v>
      </c>
      <c r="IC42" s="206" t="str">
        <f>IFERROR(INDEX($A$2:$A$113,MATCH(ROWS($EG$2:EG42),$EG$2:$EG$113,0)),"")</f>
        <v>VIOLACION DE DOMICILIO AGRAVADO POR FUNCIONARIO PUBLICO</v>
      </c>
      <c r="ID42" s="206" t="str">
        <f>IFERROR(INDEX($A$2:$A$113,MATCH(ROWS($EH$2:EH42),$EH$2:$EH$113,0)),"")</f>
        <v>VIOLACION DE DOMICILIO AGRAVADO POR FUNCIONARIO PUBLICO</v>
      </c>
      <c r="IE42" s="206" t="str">
        <f>IFERROR(INDEX($A$2:$A$113,MATCH(ROWS($EI$2:EI42),$EI$2:$EI$113,0)),"")</f>
        <v>VIOLACION DE DOMICILIO AGRAVADO POR FUNCIONARIO PUBLICO</v>
      </c>
      <c r="IF42" s="206" t="str">
        <f>IFERROR(INDEX($A$2:$A$113,MATCH(ROWS($EJ$2:EJ42),$EJ$2:$EJ$113,0)),"")</f>
        <v>VIOLACION DE DOMICILIO AGRAVADO POR FUNCIONARIO PUBLICO</v>
      </c>
      <c r="IG42" s="206" t="str">
        <f>IFERROR(INDEX($A$2:$A$113,MATCH(ROWS($EK$2:EK42),$EK$2:$EK$113,0)),"")</f>
        <v>VIOLACION DE DOMICILIO AGRAVADO POR FUNCIONARIO PUBLICO</v>
      </c>
      <c r="IH42" s="206" t="str">
        <f>IFERROR(INDEX($A$2:$A$113,MATCH(ROWS($EL$2:EL42),$EL$2:$EL$113,0)),"")</f>
        <v>VIOLACION DE DOMICILIO AGRAVADO POR FUNCIONARIO PUBLICO</v>
      </c>
      <c r="II42" s="206" t="str">
        <f>IFERROR(INDEX($A$2:$A$113,MATCH(ROWS($EM$2:EM42),$EM$2:$EM$113,0)),"")</f>
        <v>VIOLACION DE DOMICILIO AGRAVADO POR FUNCIONARIO PUBLICO</v>
      </c>
      <c r="IJ42" s="206" t="str">
        <f>IFERROR(INDEX($A$2:$A$113,MATCH(ROWS($EN$2:EN42),$EN$2:$EN$113,0)),"")</f>
        <v>VIOLACION DE DOMICILIO AGRAVADO POR FUNCIONARIO PUBLICO</v>
      </c>
      <c r="IK42" s="207" t="str">
        <f>IFERROR(INDEX($A$2:$A$113,MATCH(ROWS($EO$2:EO42),$EO$2:$EO$113,0)),"")</f>
        <v>VIOLACION DE DOMICILIO AGRAVADO POR FUNCIONARIO PUBLICO</v>
      </c>
      <c r="IL42" s="207" t="str">
        <f>IFERROR(INDEX($A$2:$A$113,MATCH(ROWS($EP$2:EP42),$EP$2:$EP$113,0)),"")</f>
        <v>VIOLACION DE DOMICILIO AGRAVADO POR FUNCIONARIO PUBLICO</v>
      </c>
      <c r="IM42" s="207" t="str">
        <f>IFERROR(INDEX($A$2:$A$113,MATCH(ROWS($EQ$2:EQ42),$EQ$2:$EQ$113,0)),"")</f>
        <v>VIOLACION DE DOMICILIO AGRAVADO POR FUNCIONARIO PUBLICO</v>
      </c>
      <c r="IN42" s="207" t="str">
        <f>IFERROR(INDEX($A$2:$A$113,MATCH(ROWS($ER$2:ER42),$ER$2:$ER$113,0)),"")</f>
        <v>VIOLACION DE DOMICILIO AGRAVADO POR FUNCIONARIO PUBLICO</v>
      </c>
      <c r="IO42" s="207" t="str">
        <f>IFERROR(INDEX($A$2:$A$113,MATCH(ROWS($ES$2:ES42),$ES$2:$ES$113,0)),"")</f>
        <v>VIOLACION DE DOMICILIO AGRAVADO POR FUNCIONARIO PUBLICO</v>
      </c>
      <c r="IP42" s="207" t="str">
        <f>IFERROR(INDEX($A$2:$A$113,MATCH(ROWS($ET$2:ET42),$ET$2:$ET$113,0)),"")</f>
        <v>VIOLACION DE DOMICILIO AGRAVADO POR FUNCIONARIO PUBLICO</v>
      </c>
      <c r="IQ42" s="207" t="str">
        <f>IFERROR(INDEX($A$2:$A$113,MATCH(ROWS($EU$2:EU42),$EU$2:$EU$113,0)),"")</f>
        <v>VIOLACION DE DOMICILIO AGRAVADO POR FUNCIONARIO PUBLICO</v>
      </c>
      <c r="IR42" s="207" t="str">
        <f>IFERROR(INDEX($A$2:$A$113,MATCH(ROWS($EV$2:EV42),$EV$2:$EV$113,0)),"")</f>
        <v>VIOLACION DE DOMICILIO AGRAVADO POR FUNCIONARIO PUBLICO</v>
      </c>
      <c r="IS42" s="207" t="str">
        <f>IFERROR(INDEX($A$2:$A$113,MATCH(ROWS($EW$2:EW42),$EW$2:$EW$113,0)),"")</f>
        <v>VIOLACION DE DOMICILIO AGRAVADO POR FUNCIONARIO PUBLICO</v>
      </c>
      <c r="IT42" s="207" t="str">
        <f>IFERROR(INDEX($A$2:$A$113,MATCH(ROWS($EX$2:EX42),$EX$2:$EX$113,0)),"")</f>
        <v>VIOLACION DE DOMICILIO AGRAVADO POR FUNCIONARIO PUBLICO</v>
      </c>
      <c r="IU42" s="207" t="str">
        <f>IFERROR(INDEX($A$2:$A$113,MATCH(ROWS($EY$2:EY42),$EY$2:$EY$113,0)),"")</f>
        <v>VIOLACION DE DOMICILIO AGRAVADO POR FUNCIONARIO PUBLICO</v>
      </c>
      <c r="IV42" s="207" t="str">
        <f>IFERROR(INDEX($A$2:$A$113,MATCH(ROWS($EZ$2:EZ42),$EZ$2:$EZ$113,0)),"")</f>
        <v>VIOLACION DE DOMICILIO AGRAVADO POR FUNCIONARIO PUBLICO</v>
      </c>
      <c r="IW42" s="207" t="str">
        <f>IFERROR(INDEX($A$2:$A$113,MATCH(ROWS($FA$2:FA42),$FA$2:$FA$113,0)),"")</f>
        <v>VIOLACION DE DOMICILIO AGRAVADO POR FUNCIONARIO PUBLICO</v>
      </c>
      <c r="IX42" s="207" t="str">
        <f>IFERROR(INDEX($A$2:$A$113,MATCH(ROWS($FB$2:FB42),$FB$2:$FB$113,0)),"")</f>
        <v>VIOLACION DE DOMICILIO AGRAVADO POR FUNCIONARIO PUBLICO</v>
      </c>
      <c r="IY42" s="207" t="str">
        <f>IFERROR(INDEX($A$2:$A$113,MATCH(ROWS($FC$2:FC42),$FC$2:$FC$113,0)),"")</f>
        <v>VIOLACION DE DOMICILIO AGRAVADO POR FUNCIONARIO PUBLICO</v>
      </c>
      <c r="IZ42" s="207" t="str">
        <f>IFERROR(INDEX($A$2:$A$113,MATCH(ROWS($FD$2:FD42),$FD$2:$FD$113,0)),"")</f>
        <v>VIOLACION DE DOMICILIO AGRAVADO POR FUNCIONARIO PUBLICO</v>
      </c>
      <c r="JA42" s="207" t="str">
        <f>IFERROR(INDEX($A$2:$A$113,MATCH(ROWS($FE$2:FE42),$FE$2:$FE$113,0)),"")</f>
        <v>VIOLACION DE DOMICILIO AGRAVADO POR FUNCIONARIO PUBLICO</v>
      </c>
      <c r="JB42" s="207" t="str">
        <f>IFERROR(INDEX($A$2:$A$113,MATCH(ROWS($FF$2:FF42),$FF$2:$FF$113,0)),"")</f>
        <v>VIOLACION DE DOMICILIO AGRAVADO POR FUNCIONARIO PUBLICO</v>
      </c>
      <c r="JC42" s="207" t="str">
        <f>IFERROR(INDEX($A$2:$A$113,MATCH(ROWS($FG$2:FG42),$FG$2:$FG$113,0)),"")</f>
        <v>VIOLACION DE DOMICILIO AGRAVADO POR FUNCIONARIO PUBLICO</v>
      </c>
      <c r="JD42" s="207" t="str">
        <f>IFERROR(INDEX($A$2:$A$113,MATCH(ROWS($FH$2:FH42),$FH$2:$FH$113,0)),"")</f>
        <v>VIOLACION DE DOMICILIO AGRAVADO POR FUNCIONARIO PUBLICO</v>
      </c>
      <c r="JE42" s="207" t="str">
        <f>IFERROR(INDEX($A$2:$A$113,MATCH(ROWS($FI$2:FI42),$FI$2:$FI$113,0)),"")</f>
        <v>VIOLACION DE DOMICILIO AGRAVADO POR FUNCIONARIO PUBLICO</v>
      </c>
      <c r="JF42" s="207" t="str">
        <f>IFERROR(INDEX($A$2:$A$113,MATCH(ROWS($FJ$2:FJ42),$FJ$2:$FJ$113,0)),"")</f>
        <v>VIOLACION DE DOMICILIO AGRAVADO POR FUNCIONARIO PUBLICO</v>
      </c>
      <c r="JG42" s="207" t="str">
        <f>IFERROR(INDEX($A$2:$A$113,MATCH(ROWS($FK$2:FK42),$FK$2:$FK$113,0)),"")</f>
        <v>VIOLACION DE DOMICILIO AGRAVADO POR FUNCIONARIO PUBLICO</v>
      </c>
      <c r="JH42" s="207" t="str">
        <f>IFERROR(INDEX($A$2:$A$113,MATCH(ROWS($FL$2:FL42),$FL$2:$FL$113,0)),"")</f>
        <v>VIOLACION DE DOMICILIO AGRAVADO POR FUNCIONARIO PUBLICO</v>
      </c>
      <c r="JI42" s="207" t="str">
        <f>IFERROR(INDEX($A$2:$A$113,MATCH(ROWS($FM$2:FM42),$FM$2:$FM$113,0)),"")</f>
        <v>VIOLACION DE DOMICILIO AGRAVADO POR FUNCIONARIO PUBLICO</v>
      </c>
      <c r="JJ42" s="207" t="str">
        <f>IFERROR(INDEX($A$2:$A$113,MATCH(ROWS($FN$2:FN42),$FN$2:$FN$113,0)),"")</f>
        <v>VIOLACION DE DOMICILIO AGRAVADO POR FUNCIONARIO PUBLICO</v>
      </c>
      <c r="JK42" s="207" t="str">
        <f>IFERROR(INDEX($A$2:$A$113,MATCH(ROWS($FO$2:FO42),$FO$2:$FO$113,0)),"")</f>
        <v>VIOLACION DE DOMICILIO AGRAVADO POR FUNCIONARIO PUBLICO</v>
      </c>
      <c r="JL42" s="207" t="str">
        <f>IFERROR(INDEX($A$2:$A$113,MATCH(ROWS($FP$2:FP42),$FP$2:$FP$113,0)),"")</f>
        <v>VIOLACION DE DOMICILIO AGRAVADO POR FUNCIONARIO PUBLICO</v>
      </c>
      <c r="JM42" s="207" t="str">
        <f>IFERROR(INDEX($A$2:$A$113,MATCH(ROWS($FQ$2:FQ42),$FQ$2:$FQ$113,0)),"")</f>
        <v>VIOLACION DE DOMICILIO AGRAVADO POR FUNCIONARIO PUBLICO</v>
      </c>
      <c r="JN42" s="207" t="str">
        <f>IFERROR(INDEX($A$2:$A$113,MATCH(ROWS($FR$2:FR42),$FR$2:$FR$113,0)),"")</f>
        <v>VIOLACION DE DOMICILIO AGRAVADO POR FUNCIONARIO PUBLICO</v>
      </c>
      <c r="JO42" s="207" t="str">
        <f>IFERROR(INDEX($A$2:$A$113,MATCH(ROWS($FS$2:FS42),$FS$2:$FS$113,0)),"")</f>
        <v>VIOLACION DE DOMICILIO AGRAVADO POR FUNCIONARIO PUBLICO</v>
      </c>
      <c r="JP42" s="207" t="str">
        <f>IFERROR(INDEX($A$2:$A$113,MATCH(ROWS($FT$2:FT42),$FT$2:$FT$113,0)),"")</f>
        <v>VIOLACION DE DOMICILIO AGRAVADO POR FUNCIONARIO PUBLICO</v>
      </c>
      <c r="JQ42" s="207" t="str">
        <f>IFERROR(INDEX($A$2:$A$113,MATCH(ROWS($FU$2:FU42),$FU$2:$FU$113,0)),"")</f>
        <v>VIOLACION DE DOMICILIO AGRAVADO POR FUNCIONARIO PUBLICO</v>
      </c>
      <c r="JR42" s="207" t="str">
        <f>IFERROR(INDEX($A$2:$A$113,MATCH(ROWS($FV$2:FV42),$FV$2:$FV$113,0)),"")</f>
        <v>VIOLACION DE DOMICILIO AGRAVADO POR FUNCIONARIO PUBLICO</v>
      </c>
      <c r="JS42" s="207" t="str">
        <f>IFERROR(INDEX($A$2:$A$113,MATCH(ROWS($FW$2:FW42),$FW$2:$FW$113,0)),"")</f>
        <v>VIOLACION DE DOMICILIO AGRAVADO POR FUNCIONARIO PUBLICO</v>
      </c>
      <c r="JT42" s="207" t="str">
        <f>IFERROR(INDEX($A$2:$A$113,MATCH(ROWS($FX$2:FX42),$FX$2:$FX$113,0)),"")</f>
        <v>VIOLACION DE DOMICILIO AGRAVADO POR FUNCIONARIO PUBLICO</v>
      </c>
      <c r="JU42" s="207" t="str">
        <f>IFERROR(INDEX($A$2:$A$113,MATCH(ROWS($FY$2:FY42),$FY$2:$FY$113,0)),"")</f>
        <v>VIOLACION DE DOMICILIO AGRAVADO POR FUNCIONARIO PUBLICO</v>
      </c>
      <c r="JV42" s="207" t="str">
        <f>IFERROR(INDEX($A$2:$A$113,MATCH(ROWS($FZ$2:FZ42),$FZ$2:$FZ$113,0)),"")</f>
        <v>VIOLACION DE DOMICILIO AGRAVADO POR FUNCIONARIO PUBLICO</v>
      </c>
      <c r="JW42" s="207" t="str">
        <f>IFERROR(INDEX($A$2:$A$113,MATCH(ROWS($GA$2:GA42),$GA$2:$GA$113,0)),"")</f>
        <v>VIOLACION DE DOMICILIO AGRAVADO POR FUNCIONARIO PUBLICO</v>
      </c>
      <c r="JX42" s="207" t="str">
        <f>IFERROR(INDEX($A$2:$A$113,MATCH(ROWS($GB$2:GB42),$GB$2:$GB$113,0)),"")</f>
        <v>VIOLACION DE DOMICILIO AGRAVADO POR FUNCIONARIO PUBLICO</v>
      </c>
      <c r="JY42" s="207" t="str">
        <f>IFERROR(INDEX($A$2:$A$113,MATCH(ROWS($GC$2:GC42),$GC$2:$GC$113,0)),"")</f>
        <v>VIOLACION DE DOMICILIO AGRAVADO POR FUNCIONARIO PUBLICO</v>
      </c>
      <c r="JZ42" s="207" t="str">
        <f>IFERROR(INDEX($A$2:$A$113,MATCH(ROWS($GD$2:GD42),$GD$2:$GD$113,0)),"")</f>
        <v>VIOLACION DE DOMICILIO AGRAVADO POR FUNCIONARIO PUBLICO</v>
      </c>
      <c r="KA42" s="207" t="str">
        <f>IFERROR(INDEX($A$2:$A$113,MATCH(ROWS($GE$2:GE42),$GE$2:$GE$113,0)),"")</f>
        <v>VIOLACION DE DOMICILIO AGRAVADO POR FUNCIONARIO PUBLICO</v>
      </c>
      <c r="KB42" s="207" t="str">
        <f>IFERROR(INDEX($A$2:$A$113,MATCH(ROWS($GF$2:GF42),$GF$2:$GF$113,0)),"")</f>
        <v>VIOLACION DE DOMICILIO AGRAVADO POR FUNCIONARIO PUBLICO</v>
      </c>
      <c r="KC42" s="207" t="str">
        <f>IFERROR(INDEX($A$2:$A$113,MATCH(ROWS($GG$2:GG42),$GG$2:$GG$113,0)),"")</f>
        <v>VIOLACION DE DOMICILIO AGRAVADO POR FUNCIONARIO PUBLICO</v>
      </c>
      <c r="KD42" s="207" t="str">
        <f>IFERROR(INDEX($A$2:$A$113,MATCH(ROWS($GH$2:GH42),$GH$2:$GH$113,0)),"")</f>
        <v>VIOLACION DE DOMICILIO AGRAVADO POR FUNCIONARIO PUBLICO</v>
      </c>
      <c r="KE42" s="207" t="str">
        <f>IFERROR(INDEX($A$2:$A$113,MATCH(ROWS($GI$2:GI42),$GI$2:$GI$113,0)),"")</f>
        <v>VIOLACION DE DOMICILIO AGRAVADO POR FUNCIONARIO PUBLICO</v>
      </c>
      <c r="KF42" s="207" t="str">
        <f>IFERROR(INDEX($A$2:$A$113,MATCH(ROWS($GJ$2:GJ42),$GJ$2:$GJ$113,0)),"")</f>
        <v>VIOLACION DE DOMICILIO AGRAVADO POR FUNCIONARIO PUBLICO</v>
      </c>
      <c r="KG42" s="207" t="str">
        <f>IFERROR(INDEX($A$2:$A$113,MATCH(ROWS($GK$2:GK42),$GK$2:$GK$113,0)),"")</f>
        <v>VIOLACION DE DOMICILIO AGRAVADO POR FUNCIONARIO PUBLICO</v>
      </c>
      <c r="KH42" s="207" t="str">
        <f>IFERROR(INDEX($A$2:$A$113,MATCH(ROWS($GL$2:GL42),$GL$2:$GL$113,0)),"")</f>
        <v>VIOLACION DE DOMICILIO AGRAVADO POR FUNCIONARIO PUBLICO</v>
      </c>
      <c r="KI42" s="207" t="str">
        <f>IFERROR(INDEX($A$2:$A$113,MATCH(ROWS($GM$2:GM42),$GM$2:$GM$113,0)),"")</f>
        <v>VIOLACION DE DOMICILIO AGRAVADO POR FUNCIONARIO PUBLICO</v>
      </c>
      <c r="KJ42" s="207" t="str">
        <f>IFERROR(INDEX($A$2:$A$113,MATCH(ROWS($GN$2:GN42),$GN$2:$GN$113,0)),"")</f>
        <v>VIOLACION DE DOMICILIO AGRAVADO POR FUNCIONARIO PUBLICO</v>
      </c>
      <c r="KK42" s="207" t="str">
        <f>IFERROR(INDEX($A$2:$A$113,MATCH(ROWS($GO$2:GO42),$GO$2:$GO$113,0)),"")</f>
        <v>VIOLACION DE DOMICILIO AGRAVADO POR FUNCIONARIO PUBLICO</v>
      </c>
      <c r="KL42" s="207" t="str">
        <f>IFERROR(INDEX($A$2:$A$113,MATCH(ROWS($GP$2:GP42),$GP$2:$GP$113,0)),"")</f>
        <v>VIOLACION DE DOMICILIO AGRAVADO POR FUNCIONARIO PUBLICO</v>
      </c>
      <c r="KM42" s="207" t="str">
        <f>IFERROR(INDEX($A$2:$A$113,MATCH(ROWS($GQ$2:GQ42),$GQ$2:$GQ$113,0)),"")</f>
        <v>VIOLACION DE DOMICILIO AGRAVADO POR FUNCIONARIO PUBLICO</v>
      </c>
      <c r="KN42" s="207" t="str">
        <f>IFERROR(INDEX($A$2:$A$113,MATCH(ROWS($GR$2:GR42),$GR$2:$GR$113,0)),"")</f>
        <v>VIOLACION DE DOMICILIO AGRAVADO POR FUNCIONARIO PUBLICO</v>
      </c>
      <c r="KO42" s="207" t="str">
        <f>IFERROR(INDEX($A$2:$A$113,MATCH(ROWS($GS$2:GS42),$GS$2:$GS$113,0)),"")</f>
        <v>VIOLACION DE DOMICILIO AGRAVADO POR FUNCIONARIO PUBLICO</v>
      </c>
      <c r="KP42" s="207" t="str">
        <f>IFERROR(INDEX($A$2:$A$113,MATCH(ROWS($GT$2:GT42),$GT$2:$GT$113,0)),"")</f>
        <v>VIOLACION DE DOMICILIO AGRAVADO POR FUNCIONARIO PUBLICO</v>
      </c>
      <c r="KQ42" s="207" t="str">
        <f>IFERROR(INDEX($A$2:$A$113,MATCH(ROWS($GU$2:GU42),$GU$2:$GU$113,0)),"")</f>
        <v>VIOLACION DE DOMICILIO AGRAVADO POR FUNCIONARIO PUBLICO</v>
      </c>
      <c r="KR42" s="207" t="str">
        <f>IFERROR(INDEX($A$2:$A$113,MATCH(ROWS($GV$2:GV42),$GV$2:$GV$113,0)),"")</f>
        <v>VIOLACION DE DOMICILIO AGRAVADO POR FUNCIONARIO PUBLICO</v>
      </c>
      <c r="KS42" s="207" t="str">
        <f>IFERROR(INDEX($A$2:$A$113,MATCH(ROWS($GW$2:GW42),$GW$2:$GW$113,0)),"")</f>
        <v>VIOLACION DE DOMICILIO AGRAVADO POR FUNCIONARIO PUBLICO</v>
      </c>
    </row>
    <row r="43" spans="1:305" ht="14.45" customHeight="1" x14ac:dyDescent="0.25">
      <c r="A43" s="206" t="s">
        <v>898</v>
      </c>
      <c r="B43" s="206" t="s">
        <v>75</v>
      </c>
      <c r="D43" s="206" t="s">
        <v>793</v>
      </c>
      <c r="E43" s="206" t="s">
        <v>76</v>
      </c>
      <c r="F43" s="207">
        <f>--ISNUMBER(IFERROR(SEARCH('PLANILLA DJ'!$X$3,$A43,1),""))</f>
        <v>1</v>
      </c>
      <c r="G43" s="207">
        <f>--ISNUMBER(IFERROR(SEARCH('PLANILLA DJ'!$X$4,$A43,1),""))</f>
        <v>1</v>
      </c>
      <c r="H43" s="207">
        <f>--ISNUMBER(IFERROR(SEARCH('PLANILLA DJ'!$X$5,$A43,1),""))</f>
        <v>1</v>
      </c>
      <c r="I43" s="207">
        <f>--ISNUMBER(IFERROR(SEARCH('PLANILLA DJ'!$X$6,$A43,1),""))</f>
        <v>1</v>
      </c>
      <c r="J43" s="207">
        <f>--ISNUMBER(IFERROR(SEARCH('PLANILLA DJ'!$X$7,$A43,1),""))</f>
        <v>1</v>
      </c>
      <c r="K43" s="207">
        <f>--ISNUMBER(IFERROR(SEARCH('PLANILLA DJ'!$X$8,$A43,1),""))</f>
        <v>1</v>
      </c>
      <c r="L43" s="207">
        <f>--ISNUMBER(IFERROR(SEARCH('PLANILLA DJ'!$X$9,$A43,1),""))</f>
        <v>1</v>
      </c>
      <c r="M43" s="207">
        <f>--ISNUMBER(IFERROR(SEARCH('PLANILLA DJ'!$X$10,$A43,1),""))</f>
        <v>1</v>
      </c>
      <c r="N43" s="207">
        <f>--ISNUMBER(IFERROR(SEARCH('PLANILLA DJ'!$X$11,$A43,1),""))</f>
        <v>1</v>
      </c>
      <c r="O43" s="207">
        <f>--ISNUMBER(IFERROR(SEARCH('PLANILLA DJ'!$X$12,$A43,1),""))</f>
        <v>1</v>
      </c>
      <c r="P43" s="207">
        <f>--ISNUMBER(IFERROR(SEARCH('PLANILLA DJ'!$X$13,$A43,1),""))</f>
        <v>1</v>
      </c>
      <c r="Q43" s="207">
        <f>--ISNUMBER(IFERROR(SEARCH('PLANILLA DJ'!$X$14,$A43,1),""))</f>
        <v>1</v>
      </c>
      <c r="R43" s="207">
        <f>--ISNUMBER(IFERROR(SEARCH('PLANILLA DJ'!$X$15,$A43,1),""))</f>
        <v>1</v>
      </c>
      <c r="S43" s="207">
        <f>--ISNUMBER(IFERROR(SEARCH('PLANILLA DJ'!$X$16,$A43,1),""))</f>
        <v>1</v>
      </c>
      <c r="T43" s="207">
        <f>--ISNUMBER(IFERROR(SEARCH('PLANILLA DJ'!$X$17,$A43,1),""))</f>
        <v>1</v>
      </c>
      <c r="U43" s="207">
        <f>--ISNUMBER(IFERROR(SEARCH('PLANILLA DJ'!$X$18,$A43,1),""))</f>
        <v>1</v>
      </c>
      <c r="V43" s="207">
        <f>--ISNUMBER(IFERROR(SEARCH('PLANILLA DJ'!$X$19,$A43,1),""))</f>
        <v>1</v>
      </c>
      <c r="W43" s="207">
        <f>--ISNUMBER(IFERROR(SEARCH('PLANILLA DJ'!$X$20,$A43,1),""))</f>
        <v>1</v>
      </c>
      <c r="X43" s="207">
        <f>--ISNUMBER(IFERROR(SEARCH('PLANILLA DJ'!$X$21,$A43,1),""))</f>
        <v>1</v>
      </c>
      <c r="Y43" s="207">
        <f>--ISNUMBER(IFERROR(SEARCH('PLANILLA DJ'!$X$22,$A43,1),""))</f>
        <v>1</v>
      </c>
      <c r="Z43" s="207">
        <f>--ISNUMBER(IFERROR(SEARCH('PLANILLA DJ'!$X$23,$A43,1),""))</f>
        <v>1</v>
      </c>
      <c r="AA43" s="207">
        <f>--ISNUMBER(IFERROR(SEARCH('PLANILLA DJ'!$X$24,$A43,1),""))</f>
        <v>1</v>
      </c>
      <c r="AB43" s="207">
        <f>--ISNUMBER(IFERROR(SEARCH('PLANILLA DJ'!$X$25,$A43,1),""))</f>
        <v>1</v>
      </c>
      <c r="AC43" s="207">
        <f>--ISNUMBER(IFERROR(SEARCH('PLANILLA DJ'!$X$26,$A43,1),""))</f>
        <v>1</v>
      </c>
      <c r="AD43" s="207">
        <f>--ISNUMBER(IFERROR(SEARCH('PLANILLA DJ'!$X$27,$A43,1),""))</f>
        <v>1</v>
      </c>
      <c r="AE43" s="207">
        <f>--ISNUMBER(IFERROR(SEARCH('PLANILLA DJ'!$X$28,$A43,1),""))</f>
        <v>1</v>
      </c>
      <c r="AF43" s="207">
        <f>--ISNUMBER(IFERROR(SEARCH('PLANILLA DJ'!$X$29,$A43,1),""))</f>
        <v>1</v>
      </c>
      <c r="AG43" s="207">
        <f>--ISNUMBER(IFERROR(SEARCH('PLANILLA DJ'!$X$30,$A43,1),""))</f>
        <v>1</v>
      </c>
      <c r="AH43" s="207">
        <f>--ISNUMBER(IFERROR(SEARCH('PLANILLA DJ'!$X$31,$A43,1),""))</f>
        <v>1</v>
      </c>
      <c r="AI43" s="207">
        <f>--ISNUMBER(IFERROR(SEARCH('PLANILLA DJ'!$X$32,$A43,1),""))</f>
        <v>1</v>
      </c>
      <c r="AJ43" s="207">
        <f>--ISNUMBER(IFERROR(SEARCH('PLANILLA DJ'!$X$33,$A43,1),""))</f>
        <v>1</v>
      </c>
      <c r="AK43" s="207">
        <f>--ISNUMBER(IFERROR(SEARCH('PLANILLA DJ'!$X$34,$A43,1),""))</f>
        <v>1</v>
      </c>
      <c r="AL43" s="207">
        <f>--ISNUMBER(IFERROR(SEARCH('PLANILLA DJ'!$X$35,$A43,1),""))</f>
        <v>1</v>
      </c>
      <c r="AM43" s="207">
        <f>--ISNUMBER(IFERROR(SEARCH('PLANILLA DJ'!$X$36,$A43,1),""))</f>
        <v>1</v>
      </c>
      <c r="AN43" s="207">
        <f>--ISNUMBER(IFERROR(SEARCH('PLANILLA DJ'!$X$37,$A43,1),""))</f>
        <v>1</v>
      </c>
      <c r="AO43" s="207">
        <f>--ISNUMBER(IFERROR(SEARCH('PLANILLA DJ'!$X$38,$A43,1),""))</f>
        <v>1</v>
      </c>
      <c r="AP43" s="207">
        <f>--ISNUMBER(IFERROR(SEARCH('PLANILLA DJ'!$X$39,$A43,1),""))</f>
        <v>1</v>
      </c>
      <c r="AQ43" s="207">
        <f>--ISNUMBER(IFERROR(SEARCH('PLANILLA DJ'!$X$40,$A43,1),""))</f>
        <v>1</v>
      </c>
      <c r="AR43" s="207">
        <f>--ISNUMBER(IFERROR(SEARCH('PLANILLA DJ'!$X$41,$A43,1),""))</f>
        <v>1</v>
      </c>
      <c r="AS43" s="207">
        <f>--ISNUMBER(IFERROR(SEARCH('PLANILLA DJ'!$X$42,$A43,1),""))</f>
        <v>1</v>
      </c>
      <c r="AT43" s="207">
        <f>--ISNUMBER(IFERROR(SEARCH('PLANILLA DJ'!$X$43,$A43,1),""))</f>
        <v>1</v>
      </c>
      <c r="AU43" s="207">
        <f>--ISNUMBER(IFERROR(SEARCH('PLANILLA DJ'!$X$44,$A43,1),""))</f>
        <v>1</v>
      </c>
      <c r="AV43" s="207">
        <f>--ISNUMBER(IFERROR(SEARCH('PLANILLA DJ'!$X$45,$A43,1),""))</f>
        <v>1</v>
      </c>
      <c r="AW43" s="207">
        <f>--ISNUMBER(IFERROR(SEARCH('PLANILLA DJ'!$X$46,$A43,1),""))</f>
        <v>1</v>
      </c>
      <c r="AX43" s="207">
        <f>--ISNUMBER(IFERROR(SEARCH('PLANILLA DJ'!$X$47,$A43,1),""))</f>
        <v>1</v>
      </c>
      <c r="AY43" s="207">
        <f>--ISNUMBER(IFERROR(SEARCH('PLANILLA DJ'!$X$48,$A43,1),""))</f>
        <v>1</v>
      </c>
      <c r="AZ43" s="207">
        <f>--ISNUMBER(IFERROR(SEARCH('PLANILLA DJ'!$X$49,$A43,1),""))</f>
        <v>1</v>
      </c>
      <c r="BA43" s="207">
        <f>--ISNUMBER(IFERROR(SEARCH('PLANILLA DJ'!$X$50,$A43,1),""))</f>
        <v>1</v>
      </c>
      <c r="BB43" s="207">
        <f>--ISNUMBER(IFERROR(SEARCH('PLANILLA DJ'!$X$51,$A43,1),""))</f>
        <v>1</v>
      </c>
      <c r="BC43" s="207">
        <f>--ISNUMBER(IFERROR(SEARCH('PLANILLA DJ'!$X$52,$A43,1),""))</f>
        <v>1</v>
      </c>
      <c r="BD43" s="207">
        <f>--ISNUMBER(IFERROR(SEARCH('PLANILLA DJ'!$X$53,$A43,1),""))</f>
        <v>1</v>
      </c>
      <c r="BE43" s="207">
        <f>--ISNUMBER(IFERROR(SEARCH('PLANILLA DJ'!$X$54,$A43,1),""))</f>
        <v>1</v>
      </c>
      <c r="BF43" s="207">
        <f>--ISNUMBER(IFERROR(SEARCH('PLANILLA DJ'!$X$55,$A43,1),""))</f>
        <v>1</v>
      </c>
      <c r="BG43" s="207">
        <f>--ISNUMBER(IFERROR(SEARCH('PLANILLA DJ'!$X$56,$A43,1),""))</f>
        <v>1</v>
      </c>
      <c r="BH43" s="207">
        <f>--ISNUMBER(IFERROR(SEARCH('PLANILLA DJ'!$X$57,$A43,1),""))</f>
        <v>1</v>
      </c>
      <c r="BI43" s="207">
        <f>--ISNUMBER(IFERROR(SEARCH('PLANILLA DJ'!$X$58,$A43,1),""))</f>
        <v>1</v>
      </c>
      <c r="BJ43" s="207">
        <f>--ISNUMBER(IFERROR(SEARCH('PLANILLA DJ'!$X$59,$A43,1),""))</f>
        <v>1</v>
      </c>
      <c r="BK43" s="207">
        <f>--ISNUMBER(IFERROR(SEARCH('PLANILLA DJ'!$X$60,$A43,1),""))</f>
        <v>1</v>
      </c>
      <c r="BL43" s="207">
        <f>--ISNUMBER(IFERROR(SEARCH('PLANILLA DJ'!$X$61,$A43,1),""))</f>
        <v>1</v>
      </c>
      <c r="BM43" s="207">
        <f>--ISNUMBER(IFERROR(SEARCH('PLANILLA DJ'!$X$62,$A43,1),""))</f>
        <v>1</v>
      </c>
      <c r="BN43" s="207">
        <f>--ISNUMBER(IFERROR(SEARCH('PLANILLA DJ'!$X$63,$A43,1),""))</f>
        <v>1</v>
      </c>
      <c r="BO43" s="207">
        <f>--ISNUMBER(IFERROR(SEARCH('PLANILLA DJ'!$X$64,$A43,1),""))</f>
        <v>1</v>
      </c>
      <c r="BP43" s="207">
        <f>--ISNUMBER(IFERROR(SEARCH('PLANILLA DJ'!$X$65,$A43,1),""))</f>
        <v>1</v>
      </c>
      <c r="BQ43" s="207">
        <f>--ISNUMBER(IFERROR(SEARCH('PLANILLA DJ'!$X$66,$A43,1),""))</f>
        <v>1</v>
      </c>
      <c r="BR43" s="207">
        <f>--ISNUMBER(IFERROR(SEARCH('PLANILLA DJ'!$X$67,$A43,1),""))</f>
        <v>1</v>
      </c>
      <c r="BS43" s="207">
        <f>--ISNUMBER(IFERROR(SEARCH('PLANILLA DJ'!$X$68,$A43,1),""))</f>
        <v>1</v>
      </c>
      <c r="BT43" s="207">
        <f>--ISNUMBER(IFERROR(SEARCH('PLANILLA DJ'!$X$69,$A43,1),""))</f>
        <v>1</v>
      </c>
      <c r="BU43" s="207">
        <f>--ISNUMBER(IFERROR(SEARCH('PLANILLA DJ'!$X$70,$A43,1),""))</f>
        <v>1</v>
      </c>
      <c r="BV43" s="207">
        <f>--ISNUMBER(IFERROR(SEARCH('PLANILLA DJ'!$X$71,$A43,1),""))</f>
        <v>1</v>
      </c>
      <c r="BW43" s="207">
        <f>--ISNUMBER(IFERROR(SEARCH('PLANILLA DJ'!$X$72,$A43,1),""))</f>
        <v>1</v>
      </c>
      <c r="BX43" s="207">
        <f>--ISNUMBER(IFERROR(SEARCH('PLANILLA DJ'!$X$73,$A43,1),""))</f>
        <v>1</v>
      </c>
      <c r="BY43" s="207">
        <f>--ISNUMBER(IFERROR(SEARCH('PLANILLA DJ'!$X$74,$A43,1),""))</f>
        <v>1</v>
      </c>
      <c r="BZ43" s="207">
        <f>--ISNUMBER(IFERROR(SEARCH('PLANILLA DJ'!$X$75,$A43,1),""))</f>
        <v>1</v>
      </c>
      <c r="CA43" s="207">
        <f>--ISNUMBER(IFERROR(SEARCH('PLANILLA DJ'!$X$76,$A43,1),""))</f>
        <v>1</v>
      </c>
      <c r="CB43" s="207">
        <f>--ISNUMBER(IFERROR(SEARCH('PLANILLA DJ'!$X$77,$A43,1),""))</f>
        <v>1</v>
      </c>
      <c r="CC43" s="207">
        <f>--ISNUMBER(IFERROR(SEARCH('PLANILLA DJ'!$X$78,$A43,1),""))</f>
        <v>1</v>
      </c>
      <c r="CD43" s="207">
        <f>--ISNUMBER(IFERROR(SEARCH('PLANILLA DJ'!$X$79,$A43,1),""))</f>
        <v>1</v>
      </c>
      <c r="CE43" s="207">
        <f>--ISNUMBER(IFERROR(SEARCH('PLANILLA DJ'!$X$80,$A43,1),""))</f>
        <v>1</v>
      </c>
      <c r="CF43" s="207">
        <f>--ISNUMBER(IFERROR(SEARCH('PLANILLA DJ'!$X$81,$A43,1),""))</f>
        <v>1</v>
      </c>
      <c r="CG43" s="207">
        <f>--ISNUMBER(IFERROR(SEARCH('PLANILLA DJ'!$X$82,$A43,1),""))</f>
        <v>1</v>
      </c>
      <c r="CH43" s="207">
        <f>--ISNUMBER(IFERROR(SEARCH('PLANILLA DJ'!$X$83,$A43,1),""))</f>
        <v>1</v>
      </c>
      <c r="CI43" s="207">
        <f>--ISNUMBER(IFERROR(SEARCH('PLANILLA DJ'!$X$84,$A43,1),""))</f>
        <v>1</v>
      </c>
      <c r="CJ43" s="207">
        <f>--ISNUMBER(IFERROR(SEARCH('PLANILLA DJ'!$X$85,$A43,1),""))</f>
        <v>1</v>
      </c>
      <c r="CK43" s="207">
        <f>--ISNUMBER(IFERROR(SEARCH('PLANILLA DJ'!$X$86,$A43,1),""))</f>
        <v>1</v>
      </c>
      <c r="CL43" s="207">
        <f>--ISNUMBER(IFERROR(SEARCH('PLANILLA DJ'!$X$87,$A43,1),""))</f>
        <v>1</v>
      </c>
      <c r="CM43" s="207">
        <f>--ISNUMBER(IFERROR(SEARCH('PLANILLA DJ'!$X$88,$A43,1),""))</f>
        <v>1</v>
      </c>
      <c r="CN43" s="207">
        <f>--ISNUMBER(IFERROR(SEARCH('PLANILLA DJ'!$X$89,$A43,1),""))</f>
        <v>1</v>
      </c>
      <c r="CO43" s="207">
        <f>--ISNUMBER(IFERROR(SEARCH('PLANILLA DJ'!$X$90,$A43,1),""))</f>
        <v>1</v>
      </c>
      <c r="CP43" s="207">
        <f>--ISNUMBER(IFERROR(SEARCH('PLANILLA DJ'!$X$91,$A43,1),""))</f>
        <v>1</v>
      </c>
      <c r="CQ43" s="207">
        <f>--ISNUMBER(IFERROR(SEARCH('PLANILLA DJ'!$X$92,$A43,1),""))</f>
        <v>1</v>
      </c>
      <c r="CR43" s="207">
        <f>--ISNUMBER(IFERROR(SEARCH('PLANILLA DJ'!$X$93,$A43,1),""))</f>
        <v>1</v>
      </c>
      <c r="CS43" s="207">
        <f>--ISNUMBER(IFERROR(SEARCH('PLANILLA DJ'!$X$94,$A43,1),""))</f>
        <v>1</v>
      </c>
      <c r="CT43" s="207">
        <f>--ISNUMBER(IFERROR(SEARCH('PLANILLA DJ'!$X$95,$A43,1),""))</f>
        <v>1</v>
      </c>
      <c r="CU43" s="207">
        <f>--ISNUMBER(IFERROR(SEARCH('PLANILLA DJ'!$X$96,$A43,1),""))</f>
        <v>1</v>
      </c>
      <c r="CV43" s="207">
        <f>--ISNUMBER(IFERROR(SEARCH('PLANILLA DJ'!$X$97,$A43,1),""))</f>
        <v>1</v>
      </c>
      <c r="CW43" s="207">
        <f>--ISNUMBER(IFERROR(SEARCH('PLANILLA DJ'!$X$98,$A43,1),""))</f>
        <v>1</v>
      </c>
      <c r="CX43" s="207">
        <f>--ISNUMBER(IFERROR(SEARCH('PLANILLA DJ'!$X$99,$A43,1),""))</f>
        <v>1</v>
      </c>
      <c r="CY43" s="207">
        <f>--ISNUMBER(IFERROR(SEARCH('PLANILLA DJ'!$X$100,$A43,1),""))</f>
        <v>1</v>
      </c>
      <c r="CZ43" s="207">
        <f>--ISNUMBER(IFERROR(SEARCH('PLANILLA DJ'!$X$101,$A43,1),""))</f>
        <v>1</v>
      </c>
      <c r="DA43" s="207">
        <f>--ISNUMBER(IFERROR(SEARCH('PLANILLA DJ'!$X$102,$A43,1),""))</f>
        <v>1</v>
      </c>
      <c r="DB43" s="206">
        <f>IF(F43=1,COUNTIF($F$2:F43,1),"")</f>
        <v>42</v>
      </c>
      <c r="DC43" s="206">
        <f>IF(G43=1,COUNTIF($G$2:G43,1),"")</f>
        <v>42</v>
      </c>
      <c r="DD43" s="206">
        <f>IF(H43=1,COUNTIF($H$2:H43,1),"")</f>
        <v>42</v>
      </c>
      <c r="DE43" s="206">
        <f>IF(I43=1,COUNTIF($I$2:I43,1),"")</f>
        <v>42</v>
      </c>
      <c r="DF43" s="206">
        <f>IF(J43=1,COUNTIF($J$2:J43,1),"")</f>
        <v>42</v>
      </c>
      <c r="DG43" s="206">
        <f>IF(K43=1,COUNTIF($K$2:K43,1),"")</f>
        <v>42</v>
      </c>
      <c r="DH43" s="206">
        <f>IF(L43=1,COUNTIF($L$2:L43,1),"")</f>
        <v>42</v>
      </c>
      <c r="DI43" s="206">
        <f>IF(M43=1,COUNTIF($M$2:M43,1),"")</f>
        <v>42</v>
      </c>
      <c r="DJ43" s="206">
        <f>IF(N43=1,COUNTIF($N$2:N43,1),"")</f>
        <v>42</v>
      </c>
      <c r="DK43" s="206">
        <f>IF(O43=1,COUNTIF($O$2:O43,1),"")</f>
        <v>42</v>
      </c>
      <c r="DL43" s="206">
        <f>IF(P43=1,COUNTIF($P$2:P43,1),"")</f>
        <v>42</v>
      </c>
      <c r="DM43" s="206">
        <f>IF(Q43=1,COUNTIF($Q$2:Q43,1),"")</f>
        <v>42</v>
      </c>
      <c r="DN43" s="207">
        <f>IF(R43=1,COUNTIF($R$2:R43,1),"")</f>
        <v>42</v>
      </c>
      <c r="DO43" s="207">
        <f>IF(S43=1,COUNTIF($S$2:S43,1),"")</f>
        <v>42</v>
      </c>
      <c r="DP43" s="207">
        <f>IF(T43=1,COUNTIF($T$2:T43,1),"")</f>
        <v>42</v>
      </c>
      <c r="DQ43" s="207">
        <f>IF(U43=1,COUNTIF($U$2:U43,1),"")</f>
        <v>42</v>
      </c>
      <c r="DR43" s="207">
        <f>IF(V43=1,COUNTIF($V$2:V43,1),"")</f>
        <v>42</v>
      </c>
      <c r="DS43" s="207">
        <f>IF(W43=1,COUNTIF($W$2:W43,1),"")</f>
        <v>42</v>
      </c>
      <c r="DT43" s="207">
        <f>IF(X43=1,COUNTIF($X$2:X43,1),"")</f>
        <v>42</v>
      </c>
      <c r="DU43" s="207">
        <f>IF(Y43=1,COUNTIF($Y$2:Y43,1),"")</f>
        <v>42</v>
      </c>
      <c r="DV43" s="207">
        <f>IF(Z43=1,COUNTIF(Z$2:Z43,1),"")</f>
        <v>42</v>
      </c>
      <c r="DW43" s="207">
        <f>IF(AA43=1,COUNTIF($AA$2:AA43,1),"")</f>
        <v>42</v>
      </c>
      <c r="DX43" s="207">
        <f>IF(AB43=1,COUNTIF($AB$2:AB43,1),"")</f>
        <v>42</v>
      </c>
      <c r="DY43" s="207">
        <f>IF(AC43=1,COUNTIF($AC$2:AC43,1),"")</f>
        <v>42</v>
      </c>
      <c r="DZ43" s="207">
        <f>IF(AD43=1,COUNTIF($AD$2:AD43,1),"")</f>
        <v>42</v>
      </c>
      <c r="EA43" s="207">
        <f>IF(AE43=1,COUNTIF($AE$2:AE43,1),"")</f>
        <v>42</v>
      </c>
      <c r="EB43" s="207">
        <f>IF(AF43=1,COUNTIF($AF$2:AF43,1),"")</f>
        <v>42</v>
      </c>
      <c r="EC43" s="207">
        <f>IF(AG43=1,COUNTIF($AG$2:AG43,1),"")</f>
        <v>42</v>
      </c>
      <c r="ED43" s="207">
        <f>IF(AH43=1,COUNTIF($AH$2:AH43,1),"")</f>
        <v>42</v>
      </c>
      <c r="EE43" s="207">
        <f>IF(AI43=1,COUNTIF($AI$2:AI43,1),"")</f>
        <v>42</v>
      </c>
      <c r="EF43" s="207">
        <f>IF(AJ43=1,COUNTIF($AJ$2:AJ43,1),"")</f>
        <v>42</v>
      </c>
      <c r="EG43" s="207">
        <f>IF(AK43=1,COUNTIF($AK$2:AK43,1),"")</f>
        <v>42</v>
      </c>
      <c r="EH43" s="207">
        <f>IF(AL43=1,COUNTIF($AL$2:AL43,1),"")</f>
        <v>42</v>
      </c>
      <c r="EI43" s="207">
        <f>IF(AM43=1,COUNTIF($AM$2:AM43,1),"")</f>
        <v>42</v>
      </c>
      <c r="EJ43" s="207">
        <f>IF(AN43=1,COUNTIF($AN$2:AN43,1),"")</f>
        <v>42</v>
      </c>
      <c r="EK43" s="207">
        <f>IF(AO43=1,COUNTIF($AO$2:AO43,1),"")</f>
        <v>42</v>
      </c>
      <c r="EL43" s="207">
        <f>IF(AP43=1,COUNTIF($AP$2:AP43,1),"")</f>
        <v>42</v>
      </c>
      <c r="EM43" s="207">
        <f>IF(AQ43=1,COUNTIF($AQ$2:AQ43,1),"")</f>
        <v>42</v>
      </c>
      <c r="EN43" s="207">
        <f>IF(AR43=1,COUNTIF($AR$2:AR43,1),"")</f>
        <v>42</v>
      </c>
      <c r="EO43" s="207">
        <f>IF(AS43=1,COUNTIF($AS$2:AS43,1),"")</f>
        <v>42</v>
      </c>
      <c r="EP43" s="207">
        <f>IF(AT43=1,COUNTIF($AT$2:AT43,1),"")</f>
        <v>42</v>
      </c>
      <c r="EQ43" s="207">
        <f>IF(AU43=1,COUNTIF($AU$2:AU43,1),"")</f>
        <v>42</v>
      </c>
      <c r="ER43" s="207">
        <f>IF(AV43=1,COUNTIF($AV$2:AV43,1),"")</f>
        <v>42</v>
      </c>
      <c r="ES43" s="207">
        <f>IF(AW43=1,COUNTIF($AW$2:AW43,1),"")</f>
        <v>42</v>
      </c>
      <c r="ET43" s="207">
        <f>IF(AX43=1,COUNTIF($AX$2:AX43,1),"")</f>
        <v>42</v>
      </c>
      <c r="EU43" s="207">
        <f>IF(AY43=1,COUNTIF($AY$2:AY43,1),"")</f>
        <v>42</v>
      </c>
      <c r="EV43" s="207">
        <f>IF(AZ43=1,COUNTIF($AZ$2:AZ43,1),"")</f>
        <v>42</v>
      </c>
      <c r="EW43" s="207">
        <f>IF(BA43=1,COUNTIF($BA$2:BA43,1),"")</f>
        <v>42</v>
      </c>
      <c r="EX43" s="207">
        <f>IF(BB43=1,COUNTIF($BB$2:BB43,1),"")</f>
        <v>42</v>
      </c>
      <c r="EY43" s="207">
        <f>IF(BC43=1,COUNTIF($BC$2:BC43,1),"")</f>
        <v>42</v>
      </c>
      <c r="EZ43" s="207">
        <f>IF(BD43=1,COUNTIF($BD$2:BD43,1),"")</f>
        <v>42</v>
      </c>
      <c r="FA43" s="207">
        <f>IF(BE43=1,COUNTIF($BE$2:BE43,1),"")</f>
        <v>42</v>
      </c>
      <c r="FB43" s="207">
        <f>IF(BF43=1,COUNTIF($BF$2:BF43,1),"")</f>
        <v>42</v>
      </c>
      <c r="FC43" s="207">
        <f>IF(BG43=1,COUNTIF($BG$2:BG43,1),"")</f>
        <v>42</v>
      </c>
      <c r="FD43" s="207">
        <f>IF(BH43=1,COUNTIF($BH$2:BH43,1),"")</f>
        <v>42</v>
      </c>
      <c r="FE43" s="207">
        <f>IF(BI43=1,COUNTIF($BI$2:BI43,1),"")</f>
        <v>42</v>
      </c>
      <c r="FF43" s="207">
        <f>IF(BJ43=1,COUNTIF($BJ$2:BJ43,1),"")</f>
        <v>42</v>
      </c>
      <c r="FG43" s="207">
        <f>IF(BK43=1,COUNTIF($BK$2:BK43,1),"")</f>
        <v>42</v>
      </c>
      <c r="FH43" s="207">
        <f>IF(BL43=1,COUNTIF($BL$2:BL43,1),"")</f>
        <v>42</v>
      </c>
      <c r="FI43" s="207">
        <f>IF(BM43=1,COUNTIF($BM$2:BM43,1),"")</f>
        <v>42</v>
      </c>
      <c r="FJ43" s="207">
        <f>IF(BN43=1,COUNTIF($BN$2:BN43,1),"")</f>
        <v>42</v>
      </c>
      <c r="FK43" s="207">
        <f>IF(BO43=1,COUNTIF($BO$2:BO43,1),"")</f>
        <v>42</v>
      </c>
      <c r="FL43" s="207">
        <f>IF(BP43=1,COUNTIF($BP$2:BP43,1),"")</f>
        <v>42</v>
      </c>
      <c r="FM43" s="207">
        <f>IF(BQ43=1,COUNTIF($BQ$2:BQ43,1),"")</f>
        <v>42</v>
      </c>
      <c r="FN43" s="207">
        <f>IF(BR43=1,COUNTIF($BR$2:BR43,1),"")</f>
        <v>42</v>
      </c>
      <c r="FO43" s="207">
        <f>IF(BS43=1,COUNTIF($BS$2:BS43,1),"")</f>
        <v>42</v>
      </c>
      <c r="FP43" s="207">
        <f>IF(BT43=1,COUNTIF($BT$2:BT43,1),"")</f>
        <v>42</v>
      </c>
      <c r="FQ43" s="207">
        <f>IF(BU43=1,COUNTIF($BU$2:BU43,1),"")</f>
        <v>42</v>
      </c>
      <c r="FR43" s="207">
        <f>IF(BV43=1,COUNTIF($BV$2:BV43,1),"")</f>
        <v>42</v>
      </c>
      <c r="FS43" s="207">
        <f>IF(BW43=1,COUNTIF($BW$2:BW43,1),"")</f>
        <v>42</v>
      </c>
      <c r="FT43" s="207">
        <f>IF(BX43=1,COUNTIF($BX$2:BX43,1),"")</f>
        <v>42</v>
      </c>
      <c r="FU43" s="207">
        <f>IF(BY43=1,COUNTIF($BY$2:BY43,1),"")</f>
        <v>42</v>
      </c>
      <c r="FV43" s="207">
        <f>IF(BZ43=1,COUNTIF($BZ$2:BZ43,1),"")</f>
        <v>42</v>
      </c>
      <c r="FW43" s="207">
        <f>IF(CA43=1,COUNTIF($CA$2:CA43,1),"")</f>
        <v>42</v>
      </c>
      <c r="FX43" s="207">
        <f>IF(CB43=1,COUNTIF($CB$2:CB43,1),"")</f>
        <v>42</v>
      </c>
      <c r="FY43" s="207">
        <f>IF(CC43=1,COUNTIF($CC$2:CC43,1),"")</f>
        <v>42</v>
      </c>
      <c r="FZ43" s="207">
        <f>IF(CD43=1,COUNTIF($CD$2:CD43,1),"")</f>
        <v>42</v>
      </c>
      <c r="GA43" s="207">
        <f>IF(CE43=1,COUNTIF($CE$2:CE43,1),"")</f>
        <v>42</v>
      </c>
      <c r="GB43" s="207">
        <f>IF(CF43=1,COUNTIF($CF$2:CF43,1),"")</f>
        <v>42</v>
      </c>
      <c r="GC43" s="207">
        <f>IF(CG43=1,COUNTIF($CG$2:CG43,1),"")</f>
        <v>42</v>
      </c>
      <c r="GD43" s="207">
        <f>IF(CH43=1,COUNTIF($CH$2:CH43,1),"")</f>
        <v>42</v>
      </c>
      <c r="GE43" s="207">
        <f>IF(CI43=1,COUNTIF($CI$2:CI43,1),"")</f>
        <v>42</v>
      </c>
      <c r="GF43" s="207">
        <f>IF(CJ43=1,COUNTIF($CJ$2:CJ43,1),"")</f>
        <v>42</v>
      </c>
      <c r="GG43" s="207">
        <f>IF(CK43=1,COUNTIF($CK$2:CK43,1),"")</f>
        <v>42</v>
      </c>
      <c r="GH43" s="207">
        <f>IF(CL43=1,COUNTIF($CL$2:CL43,1),"")</f>
        <v>42</v>
      </c>
      <c r="GI43" s="207">
        <f>IF(CM43=1,COUNTIF($CM$2:CM43,1),"")</f>
        <v>42</v>
      </c>
      <c r="GJ43" s="207">
        <f>IF(CN43=1,COUNTIF($CN$2:CN43,1),"")</f>
        <v>42</v>
      </c>
      <c r="GK43" s="207">
        <f>IF(CO43=1,COUNTIF($CO$2:CO43,1),"")</f>
        <v>42</v>
      </c>
      <c r="GL43" s="207">
        <f>IF(CP43=1,COUNTIF($CP$2:CP43,1),"")</f>
        <v>42</v>
      </c>
      <c r="GM43" s="207">
        <f>IF(CQ43=1,COUNTIF($CQ$2:CQ43,1),"")</f>
        <v>42</v>
      </c>
      <c r="GN43" s="207">
        <f>IF(CR43=1,COUNTIF($CR$2:CR43,1),"")</f>
        <v>42</v>
      </c>
      <c r="GO43" s="207">
        <f>IF(CS43=1,COUNTIF($CS$2:CS43,1),"")</f>
        <v>42</v>
      </c>
      <c r="GP43" s="207">
        <f>IF(CT43=1,COUNTIF($CT$2:CT43,1),"")</f>
        <v>42</v>
      </c>
      <c r="GQ43" s="207">
        <f>IF(CU43=1,COUNTIF($CU$2:CU43,1),"")</f>
        <v>42</v>
      </c>
      <c r="GR43" s="207">
        <f>IF(CV43=1,COUNTIF($CV$2:CV43,1),"")</f>
        <v>42</v>
      </c>
      <c r="GS43" s="207">
        <f>IF(CW43=1,COUNTIF($CW$2:CW43,1),"")</f>
        <v>42</v>
      </c>
      <c r="GT43" s="207">
        <f>IF(CX43=1,COUNTIF($CX$2:CX43,1),"")</f>
        <v>42</v>
      </c>
      <c r="GU43" s="207">
        <f>IF(CY43=1,COUNTIF($CY$2:CY43,1),"")</f>
        <v>42</v>
      </c>
      <c r="GV43" s="207">
        <f>IF(CZ43=1,COUNTIF($CZ$2:CZ43,1),"")</f>
        <v>42</v>
      </c>
      <c r="GW43" s="207">
        <f>IF(DA43=1,COUNTIF($DA$2:DA43,1),"")</f>
        <v>42</v>
      </c>
      <c r="GX43" s="206" t="str">
        <f>IFERROR(INDEX($A$2:$A$113,MATCH(ROWS($DB$2:DB43),$DB$2:$DB$113,0)),"")</f>
        <v>DELITO CONTRA LA LIBERTAD DE TRABAJO Y ASOCIACION</v>
      </c>
      <c r="GY43" s="206" t="str">
        <f>IFERROR(INDEX($A$2:$A$113,MATCH(ROWS($DC$2:DC43),$DC$2:$DC$113,0)),"")</f>
        <v>DELITO CONTRA LA LIBERTAD DE TRABAJO Y ASOCIACION</v>
      </c>
      <c r="GZ43" s="206" t="str">
        <f>IFERROR(INDEX($A$2:$A$113,MATCH(ROWS($DD$2:DD43),$DD$2:$DD$113,0)),"")</f>
        <v>DELITO CONTRA LA LIBERTAD DE TRABAJO Y ASOCIACION</v>
      </c>
      <c r="HA43" s="206" t="str">
        <f>IFERROR(INDEX($A$2:$A$113,MATCH(ROWS($DE$2:DE43),$DE$2:$DE$113,0)),"")</f>
        <v>DELITO CONTRA LA LIBERTAD DE TRABAJO Y ASOCIACION</v>
      </c>
      <c r="HB43" s="206" t="str">
        <f>IFERROR(INDEX($A$2:$A$113,MATCH(ROWS($DF$2:DF43),$DF$2:$DF$113,0)),"")</f>
        <v>DELITO CONTRA LA LIBERTAD DE TRABAJO Y ASOCIACION</v>
      </c>
      <c r="HC43" s="206" t="str">
        <f>IFERROR(INDEX($A$2:$A$113,MATCH(ROWS($DG$2:DG43),$DG$2:$DG$113,0)),"")</f>
        <v>DELITO CONTRA LA LIBERTAD DE TRABAJO Y ASOCIACION</v>
      </c>
      <c r="HD43" s="206" t="str">
        <f>IFERROR(INDEX($A$2:$A$113,MATCH(ROWS($DH$2:DH43),$DH$2:$DH$113,0)),"")</f>
        <v>DELITO CONTRA LA LIBERTAD DE TRABAJO Y ASOCIACION</v>
      </c>
      <c r="HE43" s="206" t="str">
        <f>IFERROR(INDEX($A$2:$A$113,MATCH(ROWS($DI$2:DI43),$DI$2:$DI$113,0)),"")</f>
        <v>DELITO CONTRA LA LIBERTAD DE TRABAJO Y ASOCIACION</v>
      </c>
      <c r="HF43" s="206" t="str">
        <f>IFERROR(INDEX($A$2:$A$113,MATCH(ROWS($DJ$2:DJ43),$DJ$2:$DJ$113,0)),"")</f>
        <v>DELITO CONTRA LA LIBERTAD DE TRABAJO Y ASOCIACION</v>
      </c>
      <c r="HG43" s="206" t="str">
        <f>IFERROR(INDEX($A$2:$A$113,MATCH(ROWS($DK$2:DK43),$DK$2:$DK$113,0)),"")</f>
        <v>DELITO CONTRA LA LIBERTAD DE TRABAJO Y ASOCIACION</v>
      </c>
      <c r="HH43" s="206" t="str">
        <f>IFERROR(INDEX($A$2:$A$113,MATCH(ROWS($DL$2:DL43),$DL$2:$DL$113,0)),"")</f>
        <v>DELITO CONTRA LA LIBERTAD DE TRABAJO Y ASOCIACION</v>
      </c>
      <c r="HI43" s="206" t="str">
        <f>IFERROR(INDEX($A$2:$A$113,MATCH(ROWS($DM$2:DM43),$DM$2:$DM$113,0)),"")</f>
        <v>DELITO CONTRA LA LIBERTAD DE TRABAJO Y ASOCIACION</v>
      </c>
      <c r="HJ43" s="206" t="str">
        <f>IFERROR(INDEX($A$2:$A$113,MATCH(ROWS($DN$2:DN43),$DN$2:$DN$113,0)),"")</f>
        <v>DELITO CONTRA LA LIBERTAD DE TRABAJO Y ASOCIACION</v>
      </c>
      <c r="HK43" s="206" t="str">
        <f>IFERROR(INDEX($A$2:$A$113,MATCH(ROWS($DO$2:DO43),$DO$2:$DO$113,0)),"")</f>
        <v>DELITO CONTRA LA LIBERTAD DE TRABAJO Y ASOCIACION</v>
      </c>
      <c r="HL43" s="206" t="str">
        <f>IFERROR(INDEX($A$2:$A$113,MATCH(ROWS($DP$2:DP43),$DP$2:$DP$113,0)),"")</f>
        <v>DELITO CONTRA LA LIBERTAD DE TRABAJO Y ASOCIACION</v>
      </c>
      <c r="HM43" s="206" t="str">
        <f>IFERROR(INDEX($A$2:$A$113,MATCH(ROWS($DQ$2:DQ43),$DQ$2:$DQ$113,0)),"")</f>
        <v>DELITO CONTRA LA LIBERTAD DE TRABAJO Y ASOCIACION</v>
      </c>
      <c r="HN43" s="206" t="str">
        <f>IFERROR(INDEX($A$2:$A$113,MATCH(ROWS($DR$2:DR43),$DR$2:$DR$113,0)),"")</f>
        <v>DELITO CONTRA LA LIBERTAD DE TRABAJO Y ASOCIACION</v>
      </c>
      <c r="HO43" s="206" t="str">
        <f>IFERROR(INDEX($A$2:$A$113,MATCH(ROWS($DS$2:DS43),$DS$2:$DS$113,0)),"")</f>
        <v>DELITO CONTRA LA LIBERTAD DE TRABAJO Y ASOCIACION</v>
      </c>
      <c r="HP43" s="206" t="str">
        <f>IFERROR(INDEX($A$2:$A$113,MATCH(ROWS($DT$2:DT43),$DT$2:$DT$113,0)),"")</f>
        <v>DELITO CONTRA LA LIBERTAD DE TRABAJO Y ASOCIACION</v>
      </c>
      <c r="HQ43" s="206" t="str">
        <f>IFERROR(INDEX($A$2:$A$113,MATCH(ROWS($DU$2:DU43),$DU$2:$DU$113,0)),"")</f>
        <v>DELITO CONTRA LA LIBERTAD DE TRABAJO Y ASOCIACION</v>
      </c>
      <c r="HR43" s="206" t="str">
        <f>IFERROR(INDEX($A$2:$A$113,MATCH(ROWS($DV$2:DV43),$DV$2:$DV$113,0)),"")</f>
        <v>DELITO CONTRA LA LIBERTAD DE TRABAJO Y ASOCIACION</v>
      </c>
      <c r="HS43" s="206" t="str">
        <f>IFERROR(INDEX($A$2:$A$113,MATCH(ROWS($DW$2:DW43),$DW$2:$DW$113,0)),"")</f>
        <v>DELITO CONTRA LA LIBERTAD DE TRABAJO Y ASOCIACION</v>
      </c>
      <c r="HT43" s="206" t="str">
        <f>IFERROR(INDEX($A$2:$A$113,MATCH(ROWS($DX$2:DX43),$DX$2:$DX$113,0)),"")</f>
        <v>DELITO CONTRA LA LIBERTAD DE TRABAJO Y ASOCIACION</v>
      </c>
      <c r="HU43" s="206" t="str">
        <f>IFERROR(INDEX($A$2:$A$113,MATCH(ROWS($DY$2:DY43),$DY$2:$DY$113,0)),"")</f>
        <v>DELITO CONTRA LA LIBERTAD DE TRABAJO Y ASOCIACION</v>
      </c>
      <c r="HV43" s="206" t="str">
        <f>IFERROR(INDEX($A$2:$A$113,MATCH(ROWS($DZ$2:DZ43),$DZ$2:$DZ$113,0)),"")</f>
        <v>DELITO CONTRA LA LIBERTAD DE TRABAJO Y ASOCIACION</v>
      </c>
      <c r="HW43" s="206" t="str">
        <f>IFERROR(INDEX($A$2:$A$113,MATCH(ROWS($EA$2:EA43),$EA$2:$EA$113,0)),"")</f>
        <v>DELITO CONTRA LA LIBERTAD DE TRABAJO Y ASOCIACION</v>
      </c>
      <c r="HX43" s="206" t="str">
        <f>IFERROR(INDEX($A$2:$A$113,MATCH(ROWS($EB$2:EB43),$EB$2:$EB$113,0)),"")</f>
        <v>DELITO CONTRA LA LIBERTAD DE TRABAJO Y ASOCIACION</v>
      </c>
      <c r="HY43" s="206" t="str">
        <f>IFERROR(INDEX($A$2:$A$113,MATCH(ROWS($EC$2:EC43),$EC$2:$EC$113,0)),"")</f>
        <v>DELITO CONTRA LA LIBERTAD DE TRABAJO Y ASOCIACION</v>
      </c>
      <c r="HZ43" s="206" t="str">
        <f>IFERROR(INDEX($A$2:$A$113,MATCH(ROWS($ED$2:ED43),$ED$2:$ED$113,0)),"")</f>
        <v>DELITO CONTRA LA LIBERTAD DE TRABAJO Y ASOCIACION</v>
      </c>
      <c r="IA43" s="206" t="str">
        <f>IFERROR(INDEX($A$2:$A$113,MATCH(ROWS($EE$2:EE43),$EE$2:$EE$113,0)),"")</f>
        <v>DELITO CONTRA LA LIBERTAD DE TRABAJO Y ASOCIACION</v>
      </c>
      <c r="IB43" s="206" t="str">
        <f>IFERROR(INDEX($A$2:$A$113,MATCH(ROWS($EF$2:EF43),$EF$2:$EF$113,0)),"")</f>
        <v>DELITO CONTRA LA LIBERTAD DE TRABAJO Y ASOCIACION</v>
      </c>
      <c r="IC43" s="206" t="str">
        <f>IFERROR(INDEX($A$2:$A$113,MATCH(ROWS($EG$2:EG43),$EG$2:$EG$113,0)),"")</f>
        <v>DELITO CONTRA LA LIBERTAD DE TRABAJO Y ASOCIACION</v>
      </c>
      <c r="ID43" s="206" t="str">
        <f>IFERROR(INDEX($A$2:$A$113,MATCH(ROWS($EH$2:EH43),$EH$2:$EH$113,0)),"")</f>
        <v>DELITO CONTRA LA LIBERTAD DE TRABAJO Y ASOCIACION</v>
      </c>
      <c r="IE43" s="206" t="str">
        <f>IFERROR(INDEX($A$2:$A$113,MATCH(ROWS($EI$2:EI43),$EI$2:$EI$113,0)),"")</f>
        <v>DELITO CONTRA LA LIBERTAD DE TRABAJO Y ASOCIACION</v>
      </c>
      <c r="IF43" s="206" t="str">
        <f>IFERROR(INDEX($A$2:$A$113,MATCH(ROWS($EJ$2:EJ43),$EJ$2:$EJ$113,0)),"")</f>
        <v>DELITO CONTRA LA LIBERTAD DE TRABAJO Y ASOCIACION</v>
      </c>
      <c r="IG43" s="206" t="str">
        <f>IFERROR(INDEX($A$2:$A$113,MATCH(ROWS($EK$2:EK43),$EK$2:$EK$113,0)),"")</f>
        <v>DELITO CONTRA LA LIBERTAD DE TRABAJO Y ASOCIACION</v>
      </c>
      <c r="IH43" s="206" t="str">
        <f>IFERROR(INDEX($A$2:$A$113,MATCH(ROWS($EL$2:EL43),$EL$2:$EL$113,0)),"")</f>
        <v>DELITO CONTRA LA LIBERTAD DE TRABAJO Y ASOCIACION</v>
      </c>
      <c r="II43" s="206" t="str">
        <f>IFERROR(INDEX($A$2:$A$113,MATCH(ROWS($EM$2:EM43),$EM$2:$EM$113,0)),"")</f>
        <v>DELITO CONTRA LA LIBERTAD DE TRABAJO Y ASOCIACION</v>
      </c>
      <c r="IJ43" s="206" t="str">
        <f>IFERROR(INDEX($A$2:$A$113,MATCH(ROWS($EN$2:EN43),$EN$2:$EN$113,0)),"")</f>
        <v>DELITO CONTRA LA LIBERTAD DE TRABAJO Y ASOCIACION</v>
      </c>
      <c r="IK43" s="207" t="str">
        <f>IFERROR(INDEX($A$2:$A$113,MATCH(ROWS($EO$2:EO43),$EO$2:$EO$113,0)),"")</f>
        <v>DELITO CONTRA LA LIBERTAD DE TRABAJO Y ASOCIACION</v>
      </c>
      <c r="IL43" s="207" t="str">
        <f>IFERROR(INDEX($A$2:$A$113,MATCH(ROWS($EP$2:EP43),$EP$2:$EP$113,0)),"")</f>
        <v>DELITO CONTRA LA LIBERTAD DE TRABAJO Y ASOCIACION</v>
      </c>
      <c r="IM43" s="207" t="str">
        <f>IFERROR(INDEX($A$2:$A$113,MATCH(ROWS($EQ$2:EQ43),$EQ$2:$EQ$113,0)),"")</f>
        <v>DELITO CONTRA LA LIBERTAD DE TRABAJO Y ASOCIACION</v>
      </c>
      <c r="IN43" s="207" t="str">
        <f>IFERROR(INDEX($A$2:$A$113,MATCH(ROWS($ER$2:ER43),$ER$2:$ER$113,0)),"")</f>
        <v>DELITO CONTRA LA LIBERTAD DE TRABAJO Y ASOCIACION</v>
      </c>
      <c r="IO43" s="207" t="str">
        <f>IFERROR(INDEX($A$2:$A$113,MATCH(ROWS($ES$2:ES43),$ES$2:$ES$113,0)),"")</f>
        <v>DELITO CONTRA LA LIBERTAD DE TRABAJO Y ASOCIACION</v>
      </c>
      <c r="IP43" s="207" t="str">
        <f>IFERROR(INDEX($A$2:$A$113,MATCH(ROWS($ET$2:ET43),$ET$2:$ET$113,0)),"")</f>
        <v>DELITO CONTRA LA LIBERTAD DE TRABAJO Y ASOCIACION</v>
      </c>
      <c r="IQ43" s="207" t="str">
        <f>IFERROR(INDEX($A$2:$A$113,MATCH(ROWS($EU$2:EU43),$EU$2:$EU$113,0)),"")</f>
        <v>DELITO CONTRA LA LIBERTAD DE TRABAJO Y ASOCIACION</v>
      </c>
      <c r="IR43" s="207" t="str">
        <f>IFERROR(INDEX($A$2:$A$113,MATCH(ROWS($EV$2:EV43),$EV$2:$EV$113,0)),"")</f>
        <v>DELITO CONTRA LA LIBERTAD DE TRABAJO Y ASOCIACION</v>
      </c>
      <c r="IS43" s="207" t="str">
        <f>IFERROR(INDEX($A$2:$A$113,MATCH(ROWS($EW$2:EW43),$EW$2:$EW$113,0)),"")</f>
        <v>DELITO CONTRA LA LIBERTAD DE TRABAJO Y ASOCIACION</v>
      </c>
      <c r="IT43" s="207" t="str">
        <f>IFERROR(INDEX($A$2:$A$113,MATCH(ROWS($EX$2:EX43),$EX$2:$EX$113,0)),"")</f>
        <v>DELITO CONTRA LA LIBERTAD DE TRABAJO Y ASOCIACION</v>
      </c>
      <c r="IU43" s="207" t="str">
        <f>IFERROR(INDEX($A$2:$A$113,MATCH(ROWS($EY$2:EY43),$EY$2:$EY$113,0)),"")</f>
        <v>DELITO CONTRA LA LIBERTAD DE TRABAJO Y ASOCIACION</v>
      </c>
      <c r="IV43" s="207" t="str">
        <f>IFERROR(INDEX($A$2:$A$113,MATCH(ROWS($EZ$2:EZ43),$EZ$2:$EZ$113,0)),"")</f>
        <v>DELITO CONTRA LA LIBERTAD DE TRABAJO Y ASOCIACION</v>
      </c>
      <c r="IW43" s="207" t="str">
        <f>IFERROR(INDEX($A$2:$A$113,MATCH(ROWS($FA$2:FA43),$FA$2:$FA$113,0)),"")</f>
        <v>DELITO CONTRA LA LIBERTAD DE TRABAJO Y ASOCIACION</v>
      </c>
      <c r="IX43" s="207" t="str">
        <f>IFERROR(INDEX($A$2:$A$113,MATCH(ROWS($FB$2:FB43),$FB$2:$FB$113,0)),"")</f>
        <v>DELITO CONTRA LA LIBERTAD DE TRABAJO Y ASOCIACION</v>
      </c>
      <c r="IY43" s="207" t="str">
        <f>IFERROR(INDEX($A$2:$A$113,MATCH(ROWS($FC$2:FC43),$FC$2:$FC$113,0)),"")</f>
        <v>DELITO CONTRA LA LIBERTAD DE TRABAJO Y ASOCIACION</v>
      </c>
      <c r="IZ43" s="207" t="str">
        <f>IFERROR(INDEX($A$2:$A$113,MATCH(ROWS($FD$2:FD43),$FD$2:$FD$113,0)),"")</f>
        <v>DELITO CONTRA LA LIBERTAD DE TRABAJO Y ASOCIACION</v>
      </c>
      <c r="JA43" s="207" t="str">
        <f>IFERROR(INDEX($A$2:$A$113,MATCH(ROWS($FE$2:FE43),$FE$2:$FE$113,0)),"")</f>
        <v>DELITO CONTRA LA LIBERTAD DE TRABAJO Y ASOCIACION</v>
      </c>
      <c r="JB43" s="207" t="str">
        <f>IFERROR(INDEX($A$2:$A$113,MATCH(ROWS($FF$2:FF43),$FF$2:$FF$113,0)),"")</f>
        <v>DELITO CONTRA LA LIBERTAD DE TRABAJO Y ASOCIACION</v>
      </c>
      <c r="JC43" s="207" t="str">
        <f>IFERROR(INDEX($A$2:$A$113,MATCH(ROWS($FG$2:FG43),$FG$2:$FG$113,0)),"")</f>
        <v>DELITO CONTRA LA LIBERTAD DE TRABAJO Y ASOCIACION</v>
      </c>
      <c r="JD43" s="207" t="str">
        <f>IFERROR(INDEX($A$2:$A$113,MATCH(ROWS($FH$2:FH43),$FH$2:$FH$113,0)),"")</f>
        <v>DELITO CONTRA LA LIBERTAD DE TRABAJO Y ASOCIACION</v>
      </c>
      <c r="JE43" s="207" t="str">
        <f>IFERROR(INDEX($A$2:$A$113,MATCH(ROWS($FI$2:FI43),$FI$2:$FI$113,0)),"")</f>
        <v>DELITO CONTRA LA LIBERTAD DE TRABAJO Y ASOCIACION</v>
      </c>
      <c r="JF43" s="207" t="str">
        <f>IFERROR(INDEX($A$2:$A$113,MATCH(ROWS($FJ$2:FJ43),$FJ$2:$FJ$113,0)),"")</f>
        <v>DELITO CONTRA LA LIBERTAD DE TRABAJO Y ASOCIACION</v>
      </c>
      <c r="JG43" s="207" t="str">
        <f>IFERROR(INDEX($A$2:$A$113,MATCH(ROWS($FK$2:FK43),$FK$2:$FK$113,0)),"")</f>
        <v>DELITO CONTRA LA LIBERTAD DE TRABAJO Y ASOCIACION</v>
      </c>
      <c r="JH43" s="207" t="str">
        <f>IFERROR(INDEX($A$2:$A$113,MATCH(ROWS($FL$2:FL43),$FL$2:$FL$113,0)),"")</f>
        <v>DELITO CONTRA LA LIBERTAD DE TRABAJO Y ASOCIACION</v>
      </c>
      <c r="JI43" s="207" t="str">
        <f>IFERROR(INDEX($A$2:$A$113,MATCH(ROWS($FM$2:FM43),$FM$2:$FM$113,0)),"")</f>
        <v>DELITO CONTRA LA LIBERTAD DE TRABAJO Y ASOCIACION</v>
      </c>
      <c r="JJ43" s="207" t="str">
        <f>IFERROR(INDEX($A$2:$A$113,MATCH(ROWS($FN$2:FN43),$FN$2:$FN$113,0)),"")</f>
        <v>DELITO CONTRA LA LIBERTAD DE TRABAJO Y ASOCIACION</v>
      </c>
      <c r="JK43" s="207" t="str">
        <f>IFERROR(INDEX($A$2:$A$113,MATCH(ROWS($FO$2:FO43),$FO$2:$FO$113,0)),"")</f>
        <v>DELITO CONTRA LA LIBERTAD DE TRABAJO Y ASOCIACION</v>
      </c>
      <c r="JL43" s="207" t="str">
        <f>IFERROR(INDEX($A$2:$A$113,MATCH(ROWS($FP$2:FP43),$FP$2:$FP$113,0)),"")</f>
        <v>DELITO CONTRA LA LIBERTAD DE TRABAJO Y ASOCIACION</v>
      </c>
      <c r="JM43" s="207" t="str">
        <f>IFERROR(INDEX($A$2:$A$113,MATCH(ROWS($FQ$2:FQ43),$FQ$2:$FQ$113,0)),"")</f>
        <v>DELITO CONTRA LA LIBERTAD DE TRABAJO Y ASOCIACION</v>
      </c>
      <c r="JN43" s="207" t="str">
        <f>IFERROR(INDEX($A$2:$A$113,MATCH(ROWS($FR$2:FR43),$FR$2:$FR$113,0)),"")</f>
        <v>DELITO CONTRA LA LIBERTAD DE TRABAJO Y ASOCIACION</v>
      </c>
      <c r="JO43" s="207" t="str">
        <f>IFERROR(INDEX($A$2:$A$113,MATCH(ROWS($FS$2:FS43),$FS$2:$FS$113,0)),"")</f>
        <v>DELITO CONTRA LA LIBERTAD DE TRABAJO Y ASOCIACION</v>
      </c>
      <c r="JP43" s="207" t="str">
        <f>IFERROR(INDEX($A$2:$A$113,MATCH(ROWS($FT$2:FT43),$FT$2:$FT$113,0)),"")</f>
        <v>DELITO CONTRA LA LIBERTAD DE TRABAJO Y ASOCIACION</v>
      </c>
      <c r="JQ43" s="207" t="str">
        <f>IFERROR(INDEX($A$2:$A$113,MATCH(ROWS($FU$2:FU43),$FU$2:$FU$113,0)),"")</f>
        <v>DELITO CONTRA LA LIBERTAD DE TRABAJO Y ASOCIACION</v>
      </c>
      <c r="JR43" s="207" t="str">
        <f>IFERROR(INDEX($A$2:$A$113,MATCH(ROWS($FV$2:FV43),$FV$2:$FV$113,0)),"")</f>
        <v>DELITO CONTRA LA LIBERTAD DE TRABAJO Y ASOCIACION</v>
      </c>
      <c r="JS43" s="207" t="str">
        <f>IFERROR(INDEX($A$2:$A$113,MATCH(ROWS($FW$2:FW43),$FW$2:$FW$113,0)),"")</f>
        <v>DELITO CONTRA LA LIBERTAD DE TRABAJO Y ASOCIACION</v>
      </c>
      <c r="JT43" s="207" t="str">
        <f>IFERROR(INDEX($A$2:$A$113,MATCH(ROWS($FX$2:FX43),$FX$2:$FX$113,0)),"")</f>
        <v>DELITO CONTRA LA LIBERTAD DE TRABAJO Y ASOCIACION</v>
      </c>
      <c r="JU43" s="207" t="str">
        <f>IFERROR(INDEX($A$2:$A$113,MATCH(ROWS($FY$2:FY43),$FY$2:$FY$113,0)),"")</f>
        <v>DELITO CONTRA LA LIBERTAD DE TRABAJO Y ASOCIACION</v>
      </c>
      <c r="JV43" s="207" t="str">
        <f>IFERROR(INDEX($A$2:$A$113,MATCH(ROWS($FZ$2:FZ43),$FZ$2:$FZ$113,0)),"")</f>
        <v>DELITO CONTRA LA LIBERTAD DE TRABAJO Y ASOCIACION</v>
      </c>
      <c r="JW43" s="207" t="str">
        <f>IFERROR(INDEX($A$2:$A$113,MATCH(ROWS($GA$2:GA43),$GA$2:$GA$113,0)),"")</f>
        <v>DELITO CONTRA LA LIBERTAD DE TRABAJO Y ASOCIACION</v>
      </c>
      <c r="JX43" s="207" t="str">
        <f>IFERROR(INDEX($A$2:$A$113,MATCH(ROWS($GB$2:GB43),$GB$2:$GB$113,0)),"")</f>
        <v>DELITO CONTRA LA LIBERTAD DE TRABAJO Y ASOCIACION</v>
      </c>
      <c r="JY43" s="207" t="str">
        <f>IFERROR(INDEX($A$2:$A$113,MATCH(ROWS($GC$2:GC43),$GC$2:$GC$113,0)),"")</f>
        <v>DELITO CONTRA LA LIBERTAD DE TRABAJO Y ASOCIACION</v>
      </c>
      <c r="JZ43" s="207" t="str">
        <f>IFERROR(INDEX($A$2:$A$113,MATCH(ROWS($GD$2:GD43),$GD$2:$GD$113,0)),"")</f>
        <v>DELITO CONTRA LA LIBERTAD DE TRABAJO Y ASOCIACION</v>
      </c>
      <c r="KA43" s="207" t="str">
        <f>IFERROR(INDEX($A$2:$A$113,MATCH(ROWS($GE$2:GE43),$GE$2:$GE$113,0)),"")</f>
        <v>DELITO CONTRA LA LIBERTAD DE TRABAJO Y ASOCIACION</v>
      </c>
      <c r="KB43" s="207" t="str">
        <f>IFERROR(INDEX($A$2:$A$113,MATCH(ROWS($GF$2:GF43),$GF$2:$GF$113,0)),"")</f>
        <v>DELITO CONTRA LA LIBERTAD DE TRABAJO Y ASOCIACION</v>
      </c>
      <c r="KC43" s="207" t="str">
        <f>IFERROR(INDEX($A$2:$A$113,MATCH(ROWS($GG$2:GG43),$GG$2:$GG$113,0)),"")</f>
        <v>DELITO CONTRA LA LIBERTAD DE TRABAJO Y ASOCIACION</v>
      </c>
      <c r="KD43" s="207" t="str">
        <f>IFERROR(INDEX($A$2:$A$113,MATCH(ROWS($GH$2:GH43),$GH$2:$GH$113,0)),"")</f>
        <v>DELITO CONTRA LA LIBERTAD DE TRABAJO Y ASOCIACION</v>
      </c>
      <c r="KE43" s="207" t="str">
        <f>IFERROR(INDEX($A$2:$A$113,MATCH(ROWS($GI$2:GI43),$GI$2:$GI$113,0)),"")</f>
        <v>DELITO CONTRA LA LIBERTAD DE TRABAJO Y ASOCIACION</v>
      </c>
      <c r="KF43" s="207" t="str">
        <f>IFERROR(INDEX($A$2:$A$113,MATCH(ROWS($GJ$2:GJ43),$GJ$2:$GJ$113,0)),"")</f>
        <v>DELITO CONTRA LA LIBERTAD DE TRABAJO Y ASOCIACION</v>
      </c>
      <c r="KG43" s="207" t="str">
        <f>IFERROR(INDEX($A$2:$A$113,MATCH(ROWS($GK$2:GK43),$GK$2:$GK$113,0)),"")</f>
        <v>DELITO CONTRA LA LIBERTAD DE TRABAJO Y ASOCIACION</v>
      </c>
      <c r="KH43" s="207" t="str">
        <f>IFERROR(INDEX($A$2:$A$113,MATCH(ROWS($GL$2:GL43),$GL$2:$GL$113,0)),"")</f>
        <v>DELITO CONTRA LA LIBERTAD DE TRABAJO Y ASOCIACION</v>
      </c>
      <c r="KI43" s="207" t="str">
        <f>IFERROR(INDEX($A$2:$A$113,MATCH(ROWS($GM$2:GM43),$GM$2:$GM$113,0)),"")</f>
        <v>DELITO CONTRA LA LIBERTAD DE TRABAJO Y ASOCIACION</v>
      </c>
      <c r="KJ43" s="207" t="str">
        <f>IFERROR(INDEX($A$2:$A$113,MATCH(ROWS($GN$2:GN43),$GN$2:$GN$113,0)),"")</f>
        <v>DELITO CONTRA LA LIBERTAD DE TRABAJO Y ASOCIACION</v>
      </c>
      <c r="KK43" s="207" t="str">
        <f>IFERROR(INDEX($A$2:$A$113,MATCH(ROWS($GO$2:GO43),$GO$2:$GO$113,0)),"")</f>
        <v>DELITO CONTRA LA LIBERTAD DE TRABAJO Y ASOCIACION</v>
      </c>
      <c r="KL43" s="207" t="str">
        <f>IFERROR(INDEX($A$2:$A$113,MATCH(ROWS($GP$2:GP43),$GP$2:$GP$113,0)),"")</f>
        <v>DELITO CONTRA LA LIBERTAD DE TRABAJO Y ASOCIACION</v>
      </c>
      <c r="KM43" s="207" t="str">
        <f>IFERROR(INDEX($A$2:$A$113,MATCH(ROWS($GQ$2:GQ43),$GQ$2:$GQ$113,0)),"")</f>
        <v>DELITO CONTRA LA LIBERTAD DE TRABAJO Y ASOCIACION</v>
      </c>
      <c r="KN43" s="207" t="str">
        <f>IFERROR(INDEX($A$2:$A$113,MATCH(ROWS($GR$2:GR43),$GR$2:$GR$113,0)),"")</f>
        <v>DELITO CONTRA LA LIBERTAD DE TRABAJO Y ASOCIACION</v>
      </c>
      <c r="KO43" s="207" t="str">
        <f>IFERROR(INDEX($A$2:$A$113,MATCH(ROWS($GS$2:GS43),$GS$2:$GS$113,0)),"")</f>
        <v>DELITO CONTRA LA LIBERTAD DE TRABAJO Y ASOCIACION</v>
      </c>
      <c r="KP43" s="207" t="str">
        <f>IFERROR(INDEX($A$2:$A$113,MATCH(ROWS($GT$2:GT43),$GT$2:$GT$113,0)),"")</f>
        <v>DELITO CONTRA LA LIBERTAD DE TRABAJO Y ASOCIACION</v>
      </c>
      <c r="KQ43" s="207" t="str">
        <f>IFERROR(INDEX($A$2:$A$113,MATCH(ROWS($GU$2:GU43),$GU$2:$GU$113,0)),"")</f>
        <v>DELITO CONTRA LA LIBERTAD DE TRABAJO Y ASOCIACION</v>
      </c>
      <c r="KR43" s="207" t="str">
        <f>IFERROR(INDEX($A$2:$A$113,MATCH(ROWS($GV$2:GV43),$GV$2:$GV$113,0)),"")</f>
        <v>DELITO CONTRA LA LIBERTAD DE TRABAJO Y ASOCIACION</v>
      </c>
      <c r="KS43" s="207" t="str">
        <f>IFERROR(INDEX($A$2:$A$113,MATCH(ROWS($GW$2:GW43),$GW$2:$GW$113,0)),"")</f>
        <v>DELITO CONTRA LA LIBERTAD DE TRABAJO Y ASOCIACION</v>
      </c>
    </row>
    <row r="44" spans="1:305" ht="14.45" customHeight="1" x14ac:dyDescent="0.25">
      <c r="A44" s="206" t="s">
        <v>899</v>
      </c>
      <c r="B44" s="206" t="s">
        <v>75</v>
      </c>
      <c r="D44" s="206" t="s">
        <v>794</v>
      </c>
      <c r="E44" s="206" t="s">
        <v>76</v>
      </c>
      <c r="F44" s="207">
        <f>--ISNUMBER(IFERROR(SEARCH('PLANILLA DJ'!$X$3,$A44,1),""))</f>
        <v>1</v>
      </c>
      <c r="G44" s="207">
        <f>--ISNUMBER(IFERROR(SEARCH('PLANILLA DJ'!$X$4,$A44,1),""))</f>
        <v>1</v>
      </c>
      <c r="H44" s="207">
        <f>--ISNUMBER(IFERROR(SEARCH('PLANILLA DJ'!$X$5,$A44,1),""))</f>
        <v>1</v>
      </c>
      <c r="I44" s="207">
        <f>--ISNUMBER(IFERROR(SEARCH('PLANILLA DJ'!$X$6,$A44,1),""))</f>
        <v>1</v>
      </c>
      <c r="J44" s="207">
        <f>--ISNUMBER(IFERROR(SEARCH('PLANILLA DJ'!$X$7,$A44,1),""))</f>
        <v>1</v>
      </c>
      <c r="K44" s="207">
        <f>--ISNUMBER(IFERROR(SEARCH('PLANILLA DJ'!$X$8,$A44,1),""))</f>
        <v>1</v>
      </c>
      <c r="L44" s="207">
        <f>--ISNUMBER(IFERROR(SEARCH('PLANILLA DJ'!$X$9,$A44,1),""))</f>
        <v>1</v>
      </c>
      <c r="M44" s="207">
        <f>--ISNUMBER(IFERROR(SEARCH('PLANILLA DJ'!$X$10,$A44,1),""))</f>
        <v>1</v>
      </c>
      <c r="N44" s="207">
        <f>--ISNUMBER(IFERROR(SEARCH('PLANILLA DJ'!$X$11,$A44,1),""))</f>
        <v>1</v>
      </c>
      <c r="O44" s="207">
        <f>--ISNUMBER(IFERROR(SEARCH('PLANILLA DJ'!$X$12,$A44,1),""))</f>
        <v>1</v>
      </c>
      <c r="P44" s="207">
        <f>--ISNUMBER(IFERROR(SEARCH('PLANILLA DJ'!$X$13,$A44,1),""))</f>
        <v>1</v>
      </c>
      <c r="Q44" s="207">
        <f>--ISNUMBER(IFERROR(SEARCH('PLANILLA DJ'!$X$14,$A44,1),""))</f>
        <v>1</v>
      </c>
      <c r="R44" s="207">
        <f>--ISNUMBER(IFERROR(SEARCH('PLANILLA DJ'!$X$15,$A44,1),""))</f>
        <v>1</v>
      </c>
      <c r="S44" s="207">
        <f>--ISNUMBER(IFERROR(SEARCH('PLANILLA DJ'!$X$16,$A44,1),""))</f>
        <v>1</v>
      </c>
      <c r="T44" s="207">
        <f>--ISNUMBER(IFERROR(SEARCH('PLANILLA DJ'!$X$17,$A44,1),""))</f>
        <v>1</v>
      </c>
      <c r="U44" s="207">
        <f>--ISNUMBER(IFERROR(SEARCH('PLANILLA DJ'!$X$18,$A44,1),""))</f>
        <v>1</v>
      </c>
      <c r="V44" s="207">
        <f>--ISNUMBER(IFERROR(SEARCH('PLANILLA DJ'!$X$19,$A44,1),""))</f>
        <v>1</v>
      </c>
      <c r="W44" s="207">
        <f>--ISNUMBER(IFERROR(SEARCH('PLANILLA DJ'!$X$20,$A44,1),""))</f>
        <v>1</v>
      </c>
      <c r="X44" s="207">
        <f>--ISNUMBER(IFERROR(SEARCH('PLANILLA DJ'!$X$21,$A44,1),""))</f>
        <v>1</v>
      </c>
      <c r="Y44" s="207">
        <f>--ISNUMBER(IFERROR(SEARCH('PLANILLA DJ'!$X$22,$A44,1),""))</f>
        <v>1</v>
      </c>
      <c r="Z44" s="207">
        <f>--ISNUMBER(IFERROR(SEARCH('PLANILLA DJ'!$X$23,$A44,1),""))</f>
        <v>1</v>
      </c>
      <c r="AA44" s="207">
        <f>--ISNUMBER(IFERROR(SEARCH('PLANILLA DJ'!$X$24,$A44,1),""))</f>
        <v>1</v>
      </c>
      <c r="AB44" s="207">
        <f>--ISNUMBER(IFERROR(SEARCH('PLANILLA DJ'!$X$25,$A44,1),""))</f>
        <v>1</v>
      </c>
      <c r="AC44" s="207">
        <f>--ISNUMBER(IFERROR(SEARCH('PLANILLA DJ'!$X$26,$A44,1),""))</f>
        <v>1</v>
      </c>
      <c r="AD44" s="207">
        <f>--ISNUMBER(IFERROR(SEARCH('PLANILLA DJ'!$X$27,$A44,1),""))</f>
        <v>1</v>
      </c>
      <c r="AE44" s="207">
        <f>--ISNUMBER(IFERROR(SEARCH('PLANILLA DJ'!$X$28,$A44,1),""))</f>
        <v>1</v>
      </c>
      <c r="AF44" s="207">
        <f>--ISNUMBER(IFERROR(SEARCH('PLANILLA DJ'!$X$29,$A44,1),""))</f>
        <v>1</v>
      </c>
      <c r="AG44" s="207">
        <f>--ISNUMBER(IFERROR(SEARCH('PLANILLA DJ'!$X$30,$A44,1),""))</f>
        <v>1</v>
      </c>
      <c r="AH44" s="207">
        <f>--ISNUMBER(IFERROR(SEARCH('PLANILLA DJ'!$X$31,$A44,1),""))</f>
        <v>1</v>
      </c>
      <c r="AI44" s="207">
        <f>--ISNUMBER(IFERROR(SEARCH('PLANILLA DJ'!$X$32,$A44,1),""))</f>
        <v>1</v>
      </c>
      <c r="AJ44" s="207">
        <f>--ISNUMBER(IFERROR(SEARCH('PLANILLA DJ'!$X$33,$A44,1),""))</f>
        <v>1</v>
      </c>
      <c r="AK44" s="207">
        <f>--ISNUMBER(IFERROR(SEARCH('PLANILLA DJ'!$X$34,$A44,1),""))</f>
        <v>1</v>
      </c>
      <c r="AL44" s="207">
        <f>--ISNUMBER(IFERROR(SEARCH('PLANILLA DJ'!$X$35,$A44,1),""))</f>
        <v>1</v>
      </c>
      <c r="AM44" s="207">
        <f>--ISNUMBER(IFERROR(SEARCH('PLANILLA DJ'!$X$36,$A44,1),""))</f>
        <v>1</v>
      </c>
      <c r="AN44" s="207">
        <f>--ISNUMBER(IFERROR(SEARCH('PLANILLA DJ'!$X$37,$A44,1),""))</f>
        <v>1</v>
      </c>
      <c r="AO44" s="207">
        <f>--ISNUMBER(IFERROR(SEARCH('PLANILLA DJ'!$X$38,$A44,1),""))</f>
        <v>1</v>
      </c>
      <c r="AP44" s="207">
        <f>--ISNUMBER(IFERROR(SEARCH('PLANILLA DJ'!$X$39,$A44,1),""))</f>
        <v>1</v>
      </c>
      <c r="AQ44" s="207">
        <f>--ISNUMBER(IFERROR(SEARCH('PLANILLA DJ'!$X$40,$A44,1),""))</f>
        <v>1</v>
      </c>
      <c r="AR44" s="207">
        <f>--ISNUMBER(IFERROR(SEARCH('PLANILLA DJ'!$X$41,$A44,1),""))</f>
        <v>1</v>
      </c>
      <c r="AS44" s="207">
        <f>--ISNUMBER(IFERROR(SEARCH('PLANILLA DJ'!$X$42,$A44,1),""))</f>
        <v>1</v>
      </c>
      <c r="AT44" s="207">
        <f>--ISNUMBER(IFERROR(SEARCH('PLANILLA DJ'!$X$43,$A44,1),""))</f>
        <v>1</v>
      </c>
      <c r="AU44" s="207">
        <f>--ISNUMBER(IFERROR(SEARCH('PLANILLA DJ'!$X$44,$A44,1),""))</f>
        <v>1</v>
      </c>
      <c r="AV44" s="207">
        <f>--ISNUMBER(IFERROR(SEARCH('PLANILLA DJ'!$X$45,$A44,1),""))</f>
        <v>1</v>
      </c>
      <c r="AW44" s="207">
        <f>--ISNUMBER(IFERROR(SEARCH('PLANILLA DJ'!$X$46,$A44,1),""))</f>
        <v>1</v>
      </c>
      <c r="AX44" s="207">
        <f>--ISNUMBER(IFERROR(SEARCH('PLANILLA DJ'!$X$47,$A44,1),""))</f>
        <v>1</v>
      </c>
      <c r="AY44" s="207">
        <f>--ISNUMBER(IFERROR(SEARCH('PLANILLA DJ'!$X$48,$A44,1),""))</f>
        <v>1</v>
      </c>
      <c r="AZ44" s="207">
        <f>--ISNUMBER(IFERROR(SEARCH('PLANILLA DJ'!$X$49,$A44,1),""))</f>
        <v>1</v>
      </c>
      <c r="BA44" s="207">
        <f>--ISNUMBER(IFERROR(SEARCH('PLANILLA DJ'!$X$50,$A44,1),""))</f>
        <v>1</v>
      </c>
      <c r="BB44" s="207">
        <f>--ISNUMBER(IFERROR(SEARCH('PLANILLA DJ'!$X$51,$A44,1),""))</f>
        <v>1</v>
      </c>
      <c r="BC44" s="207">
        <f>--ISNUMBER(IFERROR(SEARCH('PLANILLA DJ'!$X$52,$A44,1),""))</f>
        <v>1</v>
      </c>
      <c r="BD44" s="207">
        <f>--ISNUMBER(IFERROR(SEARCH('PLANILLA DJ'!$X$53,$A44,1),""))</f>
        <v>1</v>
      </c>
      <c r="BE44" s="207">
        <f>--ISNUMBER(IFERROR(SEARCH('PLANILLA DJ'!$X$54,$A44,1),""))</f>
        <v>1</v>
      </c>
      <c r="BF44" s="207">
        <f>--ISNUMBER(IFERROR(SEARCH('PLANILLA DJ'!$X$55,$A44,1),""))</f>
        <v>1</v>
      </c>
      <c r="BG44" s="207">
        <f>--ISNUMBER(IFERROR(SEARCH('PLANILLA DJ'!$X$56,$A44,1),""))</f>
        <v>1</v>
      </c>
      <c r="BH44" s="207">
        <f>--ISNUMBER(IFERROR(SEARCH('PLANILLA DJ'!$X$57,$A44,1),""))</f>
        <v>1</v>
      </c>
      <c r="BI44" s="207">
        <f>--ISNUMBER(IFERROR(SEARCH('PLANILLA DJ'!$X$58,$A44,1),""))</f>
        <v>1</v>
      </c>
      <c r="BJ44" s="207">
        <f>--ISNUMBER(IFERROR(SEARCH('PLANILLA DJ'!$X$59,$A44,1),""))</f>
        <v>1</v>
      </c>
      <c r="BK44" s="207">
        <f>--ISNUMBER(IFERROR(SEARCH('PLANILLA DJ'!$X$60,$A44,1),""))</f>
        <v>1</v>
      </c>
      <c r="BL44" s="207">
        <f>--ISNUMBER(IFERROR(SEARCH('PLANILLA DJ'!$X$61,$A44,1),""))</f>
        <v>1</v>
      </c>
      <c r="BM44" s="207">
        <f>--ISNUMBER(IFERROR(SEARCH('PLANILLA DJ'!$X$62,$A44,1),""))</f>
        <v>1</v>
      </c>
      <c r="BN44" s="207">
        <f>--ISNUMBER(IFERROR(SEARCH('PLANILLA DJ'!$X$63,$A44,1),""))</f>
        <v>1</v>
      </c>
      <c r="BO44" s="207">
        <f>--ISNUMBER(IFERROR(SEARCH('PLANILLA DJ'!$X$64,$A44,1),""))</f>
        <v>1</v>
      </c>
      <c r="BP44" s="207">
        <f>--ISNUMBER(IFERROR(SEARCH('PLANILLA DJ'!$X$65,$A44,1),""))</f>
        <v>1</v>
      </c>
      <c r="BQ44" s="207">
        <f>--ISNUMBER(IFERROR(SEARCH('PLANILLA DJ'!$X$66,$A44,1),""))</f>
        <v>1</v>
      </c>
      <c r="BR44" s="207">
        <f>--ISNUMBER(IFERROR(SEARCH('PLANILLA DJ'!$X$67,$A44,1),""))</f>
        <v>1</v>
      </c>
      <c r="BS44" s="207">
        <f>--ISNUMBER(IFERROR(SEARCH('PLANILLA DJ'!$X$68,$A44,1),""))</f>
        <v>1</v>
      </c>
      <c r="BT44" s="207">
        <f>--ISNUMBER(IFERROR(SEARCH('PLANILLA DJ'!$X$69,$A44,1),""))</f>
        <v>1</v>
      </c>
      <c r="BU44" s="207">
        <f>--ISNUMBER(IFERROR(SEARCH('PLANILLA DJ'!$X$70,$A44,1),""))</f>
        <v>1</v>
      </c>
      <c r="BV44" s="207">
        <f>--ISNUMBER(IFERROR(SEARCH('PLANILLA DJ'!$X$71,$A44,1),""))</f>
        <v>1</v>
      </c>
      <c r="BW44" s="207">
        <f>--ISNUMBER(IFERROR(SEARCH('PLANILLA DJ'!$X$72,$A44,1),""))</f>
        <v>1</v>
      </c>
      <c r="BX44" s="207">
        <f>--ISNUMBER(IFERROR(SEARCH('PLANILLA DJ'!$X$73,$A44,1),""))</f>
        <v>1</v>
      </c>
      <c r="BY44" s="207">
        <f>--ISNUMBER(IFERROR(SEARCH('PLANILLA DJ'!$X$74,$A44,1),""))</f>
        <v>1</v>
      </c>
      <c r="BZ44" s="207">
        <f>--ISNUMBER(IFERROR(SEARCH('PLANILLA DJ'!$X$75,$A44,1),""))</f>
        <v>1</v>
      </c>
      <c r="CA44" s="207">
        <f>--ISNUMBER(IFERROR(SEARCH('PLANILLA DJ'!$X$76,$A44,1),""))</f>
        <v>1</v>
      </c>
      <c r="CB44" s="207">
        <f>--ISNUMBER(IFERROR(SEARCH('PLANILLA DJ'!$X$77,$A44,1),""))</f>
        <v>1</v>
      </c>
      <c r="CC44" s="207">
        <f>--ISNUMBER(IFERROR(SEARCH('PLANILLA DJ'!$X$78,$A44,1),""))</f>
        <v>1</v>
      </c>
      <c r="CD44" s="207">
        <f>--ISNUMBER(IFERROR(SEARCH('PLANILLA DJ'!$X$79,$A44,1),""))</f>
        <v>1</v>
      </c>
      <c r="CE44" s="207">
        <f>--ISNUMBER(IFERROR(SEARCH('PLANILLA DJ'!$X$80,$A44,1),""))</f>
        <v>1</v>
      </c>
      <c r="CF44" s="207">
        <f>--ISNUMBER(IFERROR(SEARCH('PLANILLA DJ'!$X$81,$A44,1),""))</f>
        <v>1</v>
      </c>
      <c r="CG44" s="207">
        <f>--ISNUMBER(IFERROR(SEARCH('PLANILLA DJ'!$X$82,$A44,1),""))</f>
        <v>1</v>
      </c>
      <c r="CH44" s="207">
        <f>--ISNUMBER(IFERROR(SEARCH('PLANILLA DJ'!$X$83,$A44,1),""))</f>
        <v>1</v>
      </c>
      <c r="CI44" s="207">
        <f>--ISNUMBER(IFERROR(SEARCH('PLANILLA DJ'!$X$84,$A44,1),""))</f>
        <v>1</v>
      </c>
      <c r="CJ44" s="207">
        <f>--ISNUMBER(IFERROR(SEARCH('PLANILLA DJ'!$X$85,$A44,1),""))</f>
        <v>1</v>
      </c>
      <c r="CK44" s="207">
        <f>--ISNUMBER(IFERROR(SEARCH('PLANILLA DJ'!$X$86,$A44,1),""))</f>
        <v>1</v>
      </c>
      <c r="CL44" s="207">
        <f>--ISNUMBER(IFERROR(SEARCH('PLANILLA DJ'!$X$87,$A44,1),""))</f>
        <v>1</v>
      </c>
      <c r="CM44" s="207">
        <f>--ISNUMBER(IFERROR(SEARCH('PLANILLA DJ'!$X$88,$A44,1),""))</f>
        <v>1</v>
      </c>
      <c r="CN44" s="207">
        <f>--ISNUMBER(IFERROR(SEARCH('PLANILLA DJ'!$X$89,$A44,1),""))</f>
        <v>1</v>
      </c>
      <c r="CO44" s="207">
        <f>--ISNUMBER(IFERROR(SEARCH('PLANILLA DJ'!$X$90,$A44,1),""))</f>
        <v>1</v>
      </c>
      <c r="CP44" s="207">
        <f>--ISNUMBER(IFERROR(SEARCH('PLANILLA DJ'!$X$91,$A44,1),""))</f>
        <v>1</v>
      </c>
      <c r="CQ44" s="207">
        <f>--ISNUMBER(IFERROR(SEARCH('PLANILLA DJ'!$X$92,$A44,1),""))</f>
        <v>1</v>
      </c>
      <c r="CR44" s="207">
        <f>--ISNUMBER(IFERROR(SEARCH('PLANILLA DJ'!$X$93,$A44,1),""))</f>
        <v>1</v>
      </c>
      <c r="CS44" s="207">
        <f>--ISNUMBER(IFERROR(SEARCH('PLANILLA DJ'!$X$94,$A44,1),""))</f>
        <v>1</v>
      </c>
      <c r="CT44" s="207">
        <f>--ISNUMBER(IFERROR(SEARCH('PLANILLA DJ'!$X$95,$A44,1),""))</f>
        <v>1</v>
      </c>
      <c r="CU44" s="207">
        <f>--ISNUMBER(IFERROR(SEARCH('PLANILLA DJ'!$X$96,$A44,1),""))</f>
        <v>1</v>
      </c>
      <c r="CV44" s="207">
        <f>--ISNUMBER(IFERROR(SEARCH('PLANILLA DJ'!$X$97,$A44,1),""))</f>
        <v>1</v>
      </c>
      <c r="CW44" s="207">
        <f>--ISNUMBER(IFERROR(SEARCH('PLANILLA DJ'!$X$98,$A44,1),""))</f>
        <v>1</v>
      </c>
      <c r="CX44" s="207">
        <f>--ISNUMBER(IFERROR(SEARCH('PLANILLA DJ'!$X$99,$A44,1),""))</f>
        <v>1</v>
      </c>
      <c r="CY44" s="207">
        <f>--ISNUMBER(IFERROR(SEARCH('PLANILLA DJ'!$X$100,$A44,1),""))</f>
        <v>1</v>
      </c>
      <c r="CZ44" s="207">
        <f>--ISNUMBER(IFERROR(SEARCH('PLANILLA DJ'!$X$101,$A44,1),""))</f>
        <v>1</v>
      </c>
      <c r="DA44" s="207">
        <f>--ISNUMBER(IFERROR(SEARCH('PLANILLA DJ'!$X$102,$A44,1),""))</f>
        <v>1</v>
      </c>
      <c r="DB44" s="206">
        <f>IF(F44=1,COUNTIF($F$2:F44,1),"")</f>
        <v>43</v>
      </c>
      <c r="DC44" s="206">
        <f>IF(G44=1,COUNTIF($G$2:G44,1),"")</f>
        <v>43</v>
      </c>
      <c r="DD44" s="206">
        <f>IF(H44=1,COUNTIF($H$2:H44,1),"")</f>
        <v>43</v>
      </c>
      <c r="DE44" s="206">
        <f>IF(I44=1,COUNTIF($I$2:I44,1),"")</f>
        <v>43</v>
      </c>
      <c r="DF44" s="206">
        <f>IF(J44=1,COUNTIF($J$2:J44,1),"")</f>
        <v>43</v>
      </c>
      <c r="DG44" s="206">
        <f>IF(K44=1,COUNTIF($K$2:K44,1),"")</f>
        <v>43</v>
      </c>
      <c r="DH44" s="206">
        <f>IF(L44=1,COUNTIF($L$2:L44,1),"")</f>
        <v>43</v>
      </c>
      <c r="DI44" s="206">
        <f>IF(M44=1,COUNTIF($M$2:M44,1),"")</f>
        <v>43</v>
      </c>
      <c r="DJ44" s="206">
        <f>IF(N44=1,COUNTIF($N$2:N44,1),"")</f>
        <v>43</v>
      </c>
      <c r="DK44" s="206">
        <f>IF(O44=1,COUNTIF($O$2:O44,1),"")</f>
        <v>43</v>
      </c>
      <c r="DL44" s="206">
        <f>IF(P44=1,COUNTIF($P$2:P44,1),"")</f>
        <v>43</v>
      </c>
      <c r="DM44" s="206">
        <f>IF(Q44=1,COUNTIF($Q$2:Q44,1),"")</f>
        <v>43</v>
      </c>
      <c r="DN44" s="207">
        <f>IF(R44=1,COUNTIF($R$2:R44,1),"")</f>
        <v>43</v>
      </c>
      <c r="DO44" s="207">
        <f>IF(S44=1,COUNTIF($S$2:S44,1),"")</f>
        <v>43</v>
      </c>
      <c r="DP44" s="207">
        <f>IF(T44=1,COUNTIF($T$2:T44,1),"")</f>
        <v>43</v>
      </c>
      <c r="DQ44" s="207">
        <f>IF(U44=1,COUNTIF($U$2:U44,1),"")</f>
        <v>43</v>
      </c>
      <c r="DR44" s="207">
        <f>IF(V44=1,COUNTIF($V$2:V44,1),"")</f>
        <v>43</v>
      </c>
      <c r="DS44" s="207">
        <f>IF(W44=1,COUNTIF($W$2:W44,1),"")</f>
        <v>43</v>
      </c>
      <c r="DT44" s="207">
        <f>IF(X44=1,COUNTIF($X$2:X44,1),"")</f>
        <v>43</v>
      </c>
      <c r="DU44" s="207">
        <f>IF(Y44=1,COUNTIF($Y$2:Y44,1),"")</f>
        <v>43</v>
      </c>
      <c r="DV44" s="207">
        <f>IF(Z44=1,COUNTIF(Z$2:Z44,1),"")</f>
        <v>43</v>
      </c>
      <c r="DW44" s="207">
        <f>IF(AA44=1,COUNTIF($AA$2:AA44,1),"")</f>
        <v>43</v>
      </c>
      <c r="DX44" s="207">
        <f>IF(AB44=1,COUNTIF($AB$2:AB44,1),"")</f>
        <v>43</v>
      </c>
      <c r="DY44" s="207">
        <f>IF(AC44=1,COUNTIF($AC$2:AC44,1),"")</f>
        <v>43</v>
      </c>
      <c r="DZ44" s="207">
        <f>IF(AD44=1,COUNTIF($AD$2:AD44,1),"")</f>
        <v>43</v>
      </c>
      <c r="EA44" s="207">
        <f>IF(AE44=1,COUNTIF($AE$2:AE44,1),"")</f>
        <v>43</v>
      </c>
      <c r="EB44" s="207">
        <f>IF(AF44=1,COUNTIF($AF$2:AF44,1),"")</f>
        <v>43</v>
      </c>
      <c r="EC44" s="207">
        <f>IF(AG44=1,COUNTIF($AG$2:AG44,1),"")</f>
        <v>43</v>
      </c>
      <c r="ED44" s="207">
        <f>IF(AH44=1,COUNTIF($AH$2:AH44,1),"")</f>
        <v>43</v>
      </c>
      <c r="EE44" s="207">
        <f>IF(AI44=1,COUNTIF($AI$2:AI44,1),"")</f>
        <v>43</v>
      </c>
      <c r="EF44" s="207">
        <f>IF(AJ44=1,COUNTIF($AJ$2:AJ44,1),"")</f>
        <v>43</v>
      </c>
      <c r="EG44" s="207">
        <f>IF(AK44=1,COUNTIF($AK$2:AK44,1),"")</f>
        <v>43</v>
      </c>
      <c r="EH44" s="207">
        <f>IF(AL44=1,COUNTIF($AL$2:AL44,1),"")</f>
        <v>43</v>
      </c>
      <c r="EI44" s="207">
        <f>IF(AM44=1,COUNTIF($AM$2:AM44,1),"")</f>
        <v>43</v>
      </c>
      <c r="EJ44" s="207">
        <f>IF(AN44=1,COUNTIF($AN$2:AN44,1),"")</f>
        <v>43</v>
      </c>
      <c r="EK44" s="207">
        <f>IF(AO44=1,COUNTIF($AO$2:AO44,1),"")</f>
        <v>43</v>
      </c>
      <c r="EL44" s="207">
        <f>IF(AP44=1,COUNTIF($AP$2:AP44,1),"")</f>
        <v>43</v>
      </c>
      <c r="EM44" s="207">
        <f>IF(AQ44=1,COUNTIF($AQ$2:AQ44,1),"")</f>
        <v>43</v>
      </c>
      <c r="EN44" s="207">
        <f>IF(AR44=1,COUNTIF($AR$2:AR44,1),"")</f>
        <v>43</v>
      </c>
      <c r="EO44" s="207">
        <f>IF(AS44=1,COUNTIF($AS$2:AS44,1),"")</f>
        <v>43</v>
      </c>
      <c r="EP44" s="207">
        <f>IF(AT44=1,COUNTIF($AT$2:AT44,1),"")</f>
        <v>43</v>
      </c>
      <c r="EQ44" s="207">
        <f>IF(AU44=1,COUNTIF($AU$2:AU44,1),"")</f>
        <v>43</v>
      </c>
      <c r="ER44" s="207">
        <f>IF(AV44=1,COUNTIF($AV$2:AV44,1),"")</f>
        <v>43</v>
      </c>
      <c r="ES44" s="207">
        <f>IF(AW44=1,COUNTIF($AW$2:AW44,1),"")</f>
        <v>43</v>
      </c>
      <c r="ET44" s="207">
        <f>IF(AX44=1,COUNTIF($AX$2:AX44,1),"")</f>
        <v>43</v>
      </c>
      <c r="EU44" s="207">
        <f>IF(AY44=1,COUNTIF($AY$2:AY44,1),"")</f>
        <v>43</v>
      </c>
      <c r="EV44" s="207">
        <f>IF(AZ44=1,COUNTIF($AZ$2:AZ44,1),"")</f>
        <v>43</v>
      </c>
      <c r="EW44" s="207">
        <f>IF(BA44=1,COUNTIF($BA$2:BA44,1),"")</f>
        <v>43</v>
      </c>
      <c r="EX44" s="207">
        <f>IF(BB44=1,COUNTIF($BB$2:BB44,1),"")</f>
        <v>43</v>
      </c>
      <c r="EY44" s="207">
        <f>IF(BC44=1,COUNTIF($BC$2:BC44,1),"")</f>
        <v>43</v>
      </c>
      <c r="EZ44" s="207">
        <f>IF(BD44=1,COUNTIF($BD$2:BD44,1),"")</f>
        <v>43</v>
      </c>
      <c r="FA44" s="207">
        <f>IF(BE44=1,COUNTIF($BE$2:BE44,1),"")</f>
        <v>43</v>
      </c>
      <c r="FB44" s="207">
        <f>IF(BF44=1,COUNTIF($BF$2:BF44,1),"")</f>
        <v>43</v>
      </c>
      <c r="FC44" s="207">
        <f>IF(BG44=1,COUNTIF($BG$2:BG44,1),"")</f>
        <v>43</v>
      </c>
      <c r="FD44" s="207">
        <f>IF(BH44=1,COUNTIF($BH$2:BH44,1),"")</f>
        <v>43</v>
      </c>
      <c r="FE44" s="207">
        <f>IF(BI44=1,COUNTIF($BI$2:BI44,1),"")</f>
        <v>43</v>
      </c>
      <c r="FF44" s="207">
        <f>IF(BJ44=1,COUNTIF($BJ$2:BJ44,1),"")</f>
        <v>43</v>
      </c>
      <c r="FG44" s="207">
        <f>IF(BK44=1,COUNTIF($BK$2:BK44,1),"")</f>
        <v>43</v>
      </c>
      <c r="FH44" s="207">
        <f>IF(BL44=1,COUNTIF($BL$2:BL44,1),"")</f>
        <v>43</v>
      </c>
      <c r="FI44" s="207">
        <f>IF(BM44=1,COUNTIF($BM$2:BM44,1),"")</f>
        <v>43</v>
      </c>
      <c r="FJ44" s="207">
        <f>IF(BN44=1,COUNTIF($BN$2:BN44,1),"")</f>
        <v>43</v>
      </c>
      <c r="FK44" s="207">
        <f>IF(BO44=1,COUNTIF($BO$2:BO44,1),"")</f>
        <v>43</v>
      </c>
      <c r="FL44" s="207">
        <f>IF(BP44=1,COUNTIF($BP$2:BP44,1),"")</f>
        <v>43</v>
      </c>
      <c r="FM44" s="207">
        <f>IF(BQ44=1,COUNTIF($BQ$2:BQ44,1),"")</f>
        <v>43</v>
      </c>
      <c r="FN44" s="207">
        <f>IF(BR44=1,COUNTIF($BR$2:BR44,1),"")</f>
        <v>43</v>
      </c>
      <c r="FO44" s="207">
        <f>IF(BS44=1,COUNTIF($BS$2:BS44,1),"")</f>
        <v>43</v>
      </c>
      <c r="FP44" s="207">
        <f>IF(BT44=1,COUNTIF($BT$2:BT44,1),"")</f>
        <v>43</v>
      </c>
      <c r="FQ44" s="207">
        <f>IF(BU44=1,COUNTIF($BU$2:BU44,1),"")</f>
        <v>43</v>
      </c>
      <c r="FR44" s="207">
        <f>IF(BV44=1,COUNTIF($BV$2:BV44,1),"")</f>
        <v>43</v>
      </c>
      <c r="FS44" s="207">
        <f>IF(BW44=1,COUNTIF($BW$2:BW44,1),"")</f>
        <v>43</v>
      </c>
      <c r="FT44" s="207">
        <f>IF(BX44=1,COUNTIF($BX$2:BX44,1),"")</f>
        <v>43</v>
      </c>
      <c r="FU44" s="207">
        <f>IF(BY44=1,COUNTIF($BY$2:BY44,1),"")</f>
        <v>43</v>
      </c>
      <c r="FV44" s="207">
        <f>IF(BZ44=1,COUNTIF($BZ$2:BZ44,1),"")</f>
        <v>43</v>
      </c>
      <c r="FW44" s="207">
        <f>IF(CA44=1,COUNTIF($CA$2:CA44,1),"")</f>
        <v>43</v>
      </c>
      <c r="FX44" s="207">
        <f>IF(CB44=1,COUNTIF($CB$2:CB44,1),"")</f>
        <v>43</v>
      </c>
      <c r="FY44" s="207">
        <f>IF(CC44=1,COUNTIF($CC$2:CC44,1),"")</f>
        <v>43</v>
      </c>
      <c r="FZ44" s="207">
        <f>IF(CD44=1,COUNTIF($CD$2:CD44,1),"")</f>
        <v>43</v>
      </c>
      <c r="GA44" s="207">
        <f>IF(CE44=1,COUNTIF($CE$2:CE44,1),"")</f>
        <v>43</v>
      </c>
      <c r="GB44" s="207">
        <f>IF(CF44=1,COUNTIF($CF$2:CF44,1),"")</f>
        <v>43</v>
      </c>
      <c r="GC44" s="207">
        <f>IF(CG44=1,COUNTIF($CG$2:CG44,1),"")</f>
        <v>43</v>
      </c>
      <c r="GD44" s="207">
        <f>IF(CH44=1,COUNTIF($CH$2:CH44,1),"")</f>
        <v>43</v>
      </c>
      <c r="GE44" s="207">
        <f>IF(CI44=1,COUNTIF($CI$2:CI44,1),"")</f>
        <v>43</v>
      </c>
      <c r="GF44" s="207">
        <f>IF(CJ44=1,COUNTIF($CJ$2:CJ44,1),"")</f>
        <v>43</v>
      </c>
      <c r="GG44" s="207">
        <f>IF(CK44=1,COUNTIF($CK$2:CK44,1),"")</f>
        <v>43</v>
      </c>
      <c r="GH44" s="207">
        <f>IF(CL44=1,COUNTIF($CL$2:CL44,1),"")</f>
        <v>43</v>
      </c>
      <c r="GI44" s="207">
        <f>IF(CM44=1,COUNTIF($CM$2:CM44,1),"")</f>
        <v>43</v>
      </c>
      <c r="GJ44" s="207">
        <f>IF(CN44=1,COUNTIF($CN$2:CN44,1),"")</f>
        <v>43</v>
      </c>
      <c r="GK44" s="207">
        <f>IF(CO44=1,COUNTIF($CO$2:CO44,1),"")</f>
        <v>43</v>
      </c>
      <c r="GL44" s="207">
        <f>IF(CP44=1,COUNTIF($CP$2:CP44,1),"")</f>
        <v>43</v>
      </c>
      <c r="GM44" s="207">
        <f>IF(CQ44=1,COUNTIF($CQ$2:CQ44,1),"")</f>
        <v>43</v>
      </c>
      <c r="GN44" s="207">
        <f>IF(CR44=1,COUNTIF($CR$2:CR44,1),"")</f>
        <v>43</v>
      </c>
      <c r="GO44" s="207">
        <f>IF(CS44=1,COUNTIF($CS$2:CS44,1),"")</f>
        <v>43</v>
      </c>
      <c r="GP44" s="207">
        <f>IF(CT44=1,COUNTIF($CT$2:CT44,1),"")</f>
        <v>43</v>
      </c>
      <c r="GQ44" s="207">
        <f>IF(CU44=1,COUNTIF($CU$2:CU44,1),"")</f>
        <v>43</v>
      </c>
      <c r="GR44" s="207">
        <f>IF(CV44=1,COUNTIF($CV$2:CV44,1),"")</f>
        <v>43</v>
      </c>
      <c r="GS44" s="207">
        <f>IF(CW44=1,COUNTIF($CW$2:CW44,1),"")</f>
        <v>43</v>
      </c>
      <c r="GT44" s="207">
        <f>IF(CX44=1,COUNTIF($CX$2:CX44,1),"")</f>
        <v>43</v>
      </c>
      <c r="GU44" s="207">
        <f>IF(CY44=1,COUNTIF($CY$2:CY44,1),"")</f>
        <v>43</v>
      </c>
      <c r="GV44" s="207">
        <f>IF(CZ44=1,COUNTIF($CZ$2:CZ44,1),"")</f>
        <v>43</v>
      </c>
      <c r="GW44" s="207">
        <f>IF(DA44=1,COUNTIF($DA$2:DA44,1),"")</f>
        <v>43</v>
      </c>
      <c r="GX44" s="206" t="str">
        <f>IFERROR(INDEX($A$2:$A$113,MATCH(ROWS($DB$2:DB44),$DB$2:$DB$113,0)),"")</f>
        <v xml:space="preserve">DELITO CONTRA LA LIBERTAD DE REUNION </v>
      </c>
      <c r="GY44" s="206" t="str">
        <f>IFERROR(INDEX($A$2:$A$113,MATCH(ROWS($DC$2:DC44),$DC$2:$DC$113,0)),"")</f>
        <v xml:space="preserve">DELITO CONTRA LA LIBERTAD DE REUNION </v>
      </c>
      <c r="GZ44" s="206" t="str">
        <f>IFERROR(INDEX($A$2:$A$113,MATCH(ROWS($DD$2:DD44),$DD$2:$DD$113,0)),"")</f>
        <v xml:space="preserve">DELITO CONTRA LA LIBERTAD DE REUNION </v>
      </c>
      <c r="HA44" s="206" t="str">
        <f>IFERROR(INDEX($A$2:$A$113,MATCH(ROWS($DE$2:DE44),$DE$2:$DE$113,0)),"")</f>
        <v xml:space="preserve">DELITO CONTRA LA LIBERTAD DE REUNION </v>
      </c>
      <c r="HB44" s="206" t="str">
        <f>IFERROR(INDEX($A$2:$A$113,MATCH(ROWS($DF$2:DF44),$DF$2:$DF$113,0)),"")</f>
        <v xml:space="preserve">DELITO CONTRA LA LIBERTAD DE REUNION </v>
      </c>
      <c r="HC44" s="206" t="str">
        <f>IFERROR(INDEX($A$2:$A$113,MATCH(ROWS($DG$2:DG44),$DG$2:$DG$113,0)),"")</f>
        <v xml:space="preserve">DELITO CONTRA LA LIBERTAD DE REUNION </v>
      </c>
      <c r="HD44" s="206" t="str">
        <f>IFERROR(INDEX($A$2:$A$113,MATCH(ROWS($DH$2:DH44),$DH$2:$DH$113,0)),"")</f>
        <v xml:space="preserve">DELITO CONTRA LA LIBERTAD DE REUNION </v>
      </c>
      <c r="HE44" s="206" t="str">
        <f>IFERROR(INDEX($A$2:$A$113,MATCH(ROWS($DI$2:DI44),$DI$2:$DI$113,0)),"")</f>
        <v xml:space="preserve">DELITO CONTRA LA LIBERTAD DE REUNION </v>
      </c>
      <c r="HF44" s="206" t="str">
        <f>IFERROR(INDEX($A$2:$A$113,MATCH(ROWS($DJ$2:DJ44),$DJ$2:$DJ$113,0)),"")</f>
        <v xml:space="preserve">DELITO CONTRA LA LIBERTAD DE REUNION </v>
      </c>
      <c r="HG44" s="206" t="str">
        <f>IFERROR(INDEX($A$2:$A$113,MATCH(ROWS($DK$2:DK44),$DK$2:$DK$113,0)),"")</f>
        <v xml:space="preserve">DELITO CONTRA LA LIBERTAD DE REUNION </v>
      </c>
      <c r="HH44" s="206" t="str">
        <f>IFERROR(INDEX($A$2:$A$113,MATCH(ROWS($DL$2:DL44),$DL$2:$DL$113,0)),"")</f>
        <v xml:space="preserve">DELITO CONTRA LA LIBERTAD DE REUNION </v>
      </c>
      <c r="HI44" s="206" t="str">
        <f>IFERROR(INDEX($A$2:$A$113,MATCH(ROWS($DM$2:DM44),$DM$2:$DM$113,0)),"")</f>
        <v xml:space="preserve">DELITO CONTRA LA LIBERTAD DE REUNION </v>
      </c>
      <c r="HJ44" s="206" t="str">
        <f>IFERROR(INDEX($A$2:$A$113,MATCH(ROWS($DN$2:DN44),$DN$2:$DN$113,0)),"")</f>
        <v xml:space="preserve">DELITO CONTRA LA LIBERTAD DE REUNION </v>
      </c>
      <c r="HK44" s="206" t="str">
        <f>IFERROR(INDEX($A$2:$A$113,MATCH(ROWS($DO$2:DO44),$DO$2:$DO$113,0)),"")</f>
        <v xml:space="preserve">DELITO CONTRA LA LIBERTAD DE REUNION </v>
      </c>
      <c r="HL44" s="206" t="str">
        <f>IFERROR(INDEX($A$2:$A$113,MATCH(ROWS($DP$2:DP44),$DP$2:$DP$113,0)),"")</f>
        <v xml:space="preserve">DELITO CONTRA LA LIBERTAD DE REUNION </v>
      </c>
      <c r="HM44" s="206" t="str">
        <f>IFERROR(INDEX($A$2:$A$113,MATCH(ROWS($DQ$2:DQ44),$DQ$2:$DQ$113,0)),"")</f>
        <v xml:space="preserve">DELITO CONTRA LA LIBERTAD DE REUNION </v>
      </c>
      <c r="HN44" s="206" t="str">
        <f>IFERROR(INDEX($A$2:$A$113,MATCH(ROWS($DR$2:DR44),$DR$2:$DR$113,0)),"")</f>
        <v xml:space="preserve">DELITO CONTRA LA LIBERTAD DE REUNION </v>
      </c>
      <c r="HO44" s="206" t="str">
        <f>IFERROR(INDEX($A$2:$A$113,MATCH(ROWS($DS$2:DS44),$DS$2:$DS$113,0)),"")</f>
        <v xml:space="preserve">DELITO CONTRA LA LIBERTAD DE REUNION </v>
      </c>
      <c r="HP44" s="206" t="str">
        <f>IFERROR(INDEX($A$2:$A$113,MATCH(ROWS($DT$2:DT44),$DT$2:$DT$113,0)),"")</f>
        <v xml:space="preserve">DELITO CONTRA LA LIBERTAD DE REUNION </v>
      </c>
      <c r="HQ44" s="206" t="str">
        <f>IFERROR(INDEX($A$2:$A$113,MATCH(ROWS($DU$2:DU44),$DU$2:$DU$113,0)),"")</f>
        <v xml:space="preserve">DELITO CONTRA LA LIBERTAD DE REUNION </v>
      </c>
      <c r="HR44" s="206" t="str">
        <f>IFERROR(INDEX($A$2:$A$113,MATCH(ROWS($DV$2:DV44),$DV$2:$DV$113,0)),"")</f>
        <v xml:space="preserve">DELITO CONTRA LA LIBERTAD DE REUNION </v>
      </c>
      <c r="HS44" s="206" t="str">
        <f>IFERROR(INDEX($A$2:$A$113,MATCH(ROWS($DW$2:DW44),$DW$2:$DW$113,0)),"")</f>
        <v xml:space="preserve">DELITO CONTRA LA LIBERTAD DE REUNION </v>
      </c>
      <c r="HT44" s="206" t="str">
        <f>IFERROR(INDEX($A$2:$A$113,MATCH(ROWS($DX$2:DX44),$DX$2:$DX$113,0)),"")</f>
        <v xml:space="preserve">DELITO CONTRA LA LIBERTAD DE REUNION </v>
      </c>
      <c r="HU44" s="206" t="str">
        <f>IFERROR(INDEX($A$2:$A$113,MATCH(ROWS($DY$2:DY44),$DY$2:$DY$113,0)),"")</f>
        <v xml:space="preserve">DELITO CONTRA LA LIBERTAD DE REUNION </v>
      </c>
      <c r="HV44" s="206" t="str">
        <f>IFERROR(INDEX($A$2:$A$113,MATCH(ROWS($DZ$2:DZ44),$DZ$2:$DZ$113,0)),"")</f>
        <v xml:space="preserve">DELITO CONTRA LA LIBERTAD DE REUNION </v>
      </c>
      <c r="HW44" s="206" t="str">
        <f>IFERROR(INDEX($A$2:$A$113,MATCH(ROWS($EA$2:EA44),$EA$2:$EA$113,0)),"")</f>
        <v xml:space="preserve">DELITO CONTRA LA LIBERTAD DE REUNION </v>
      </c>
      <c r="HX44" s="206" t="str">
        <f>IFERROR(INDEX($A$2:$A$113,MATCH(ROWS($EB$2:EB44),$EB$2:$EB$113,0)),"")</f>
        <v xml:space="preserve">DELITO CONTRA LA LIBERTAD DE REUNION </v>
      </c>
      <c r="HY44" s="206" t="str">
        <f>IFERROR(INDEX($A$2:$A$113,MATCH(ROWS($EC$2:EC44),$EC$2:$EC$113,0)),"")</f>
        <v xml:space="preserve">DELITO CONTRA LA LIBERTAD DE REUNION </v>
      </c>
      <c r="HZ44" s="206" t="str">
        <f>IFERROR(INDEX($A$2:$A$113,MATCH(ROWS($ED$2:ED44),$ED$2:$ED$113,0)),"")</f>
        <v xml:space="preserve">DELITO CONTRA LA LIBERTAD DE REUNION </v>
      </c>
      <c r="IA44" s="206" t="str">
        <f>IFERROR(INDEX($A$2:$A$113,MATCH(ROWS($EE$2:EE44),$EE$2:$EE$113,0)),"")</f>
        <v xml:space="preserve">DELITO CONTRA LA LIBERTAD DE REUNION </v>
      </c>
      <c r="IB44" s="206" t="str">
        <f>IFERROR(INDEX($A$2:$A$113,MATCH(ROWS($EF$2:EF44),$EF$2:$EF$113,0)),"")</f>
        <v xml:space="preserve">DELITO CONTRA LA LIBERTAD DE REUNION </v>
      </c>
      <c r="IC44" s="206" t="str">
        <f>IFERROR(INDEX($A$2:$A$113,MATCH(ROWS($EG$2:EG44),$EG$2:$EG$113,0)),"")</f>
        <v xml:space="preserve">DELITO CONTRA LA LIBERTAD DE REUNION </v>
      </c>
      <c r="ID44" s="206" t="str">
        <f>IFERROR(INDEX($A$2:$A$113,MATCH(ROWS($EH$2:EH44),$EH$2:$EH$113,0)),"")</f>
        <v xml:space="preserve">DELITO CONTRA LA LIBERTAD DE REUNION </v>
      </c>
      <c r="IE44" s="206" t="str">
        <f>IFERROR(INDEX($A$2:$A$113,MATCH(ROWS($EI$2:EI44),$EI$2:$EI$113,0)),"")</f>
        <v xml:space="preserve">DELITO CONTRA LA LIBERTAD DE REUNION </v>
      </c>
      <c r="IF44" s="206" t="str">
        <f>IFERROR(INDEX($A$2:$A$113,MATCH(ROWS($EJ$2:EJ44),$EJ$2:$EJ$113,0)),"")</f>
        <v xml:space="preserve">DELITO CONTRA LA LIBERTAD DE REUNION </v>
      </c>
      <c r="IG44" s="206" t="str">
        <f>IFERROR(INDEX($A$2:$A$113,MATCH(ROWS($EK$2:EK44),$EK$2:$EK$113,0)),"")</f>
        <v xml:space="preserve">DELITO CONTRA LA LIBERTAD DE REUNION </v>
      </c>
      <c r="IH44" s="206" t="str">
        <f>IFERROR(INDEX($A$2:$A$113,MATCH(ROWS($EL$2:EL44),$EL$2:$EL$113,0)),"")</f>
        <v xml:space="preserve">DELITO CONTRA LA LIBERTAD DE REUNION </v>
      </c>
      <c r="II44" s="206" t="str">
        <f>IFERROR(INDEX($A$2:$A$113,MATCH(ROWS($EM$2:EM44),$EM$2:$EM$113,0)),"")</f>
        <v xml:space="preserve">DELITO CONTRA LA LIBERTAD DE REUNION </v>
      </c>
      <c r="IJ44" s="206" t="str">
        <f>IFERROR(INDEX($A$2:$A$113,MATCH(ROWS($EN$2:EN44),$EN$2:$EN$113,0)),"")</f>
        <v xml:space="preserve">DELITO CONTRA LA LIBERTAD DE REUNION </v>
      </c>
      <c r="IK44" s="207" t="str">
        <f>IFERROR(INDEX($A$2:$A$113,MATCH(ROWS($EO$2:EO44),$EO$2:$EO$113,0)),"")</f>
        <v xml:space="preserve">DELITO CONTRA LA LIBERTAD DE REUNION </v>
      </c>
      <c r="IL44" s="207" t="str">
        <f>IFERROR(INDEX($A$2:$A$113,MATCH(ROWS($EP$2:EP44),$EP$2:$EP$113,0)),"")</f>
        <v xml:space="preserve">DELITO CONTRA LA LIBERTAD DE REUNION </v>
      </c>
      <c r="IM44" s="207" t="str">
        <f>IFERROR(INDEX($A$2:$A$113,MATCH(ROWS($EQ$2:EQ44),$EQ$2:$EQ$113,0)),"")</f>
        <v xml:space="preserve">DELITO CONTRA LA LIBERTAD DE REUNION </v>
      </c>
      <c r="IN44" s="207" t="str">
        <f>IFERROR(INDEX($A$2:$A$113,MATCH(ROWS($ER$2:ER44),$ER$2:$ER$113,0)),"")</f>
        <v xml:space="preserve">DELITO CONTRA LA LIBERTAD DE REUNION </v>
      </c>
      <c r="IO44" s="207" t="str">
        <f>IFERROR(INDEX($A$2:$A$113,MATCH(ROWS($ES$2:ES44),$ES$2:$ES$113,0)),"")</f>
        <v xml:space="preserve">DELITO CONTRA LA LIBERTAD DE REUNION </v>
      </c>
      <c r="IP44" s="207" t="str">
        <f>IFERROR(INDEX($A$2:$A$113,MATCH(ROWS($ET$2:ET44),$ET$2:$ET$113,0)),"")</f>
        <v xml:space="preserve">DELITO CONTRA LA LIBERTAD DE REUNION </v>
      </c>
      <c r="IQ44" s="207" t="str">
        <f>IFERROR(INDEX($A$2:$A$113,MATCH(ROWS($EU$2:EU44),$EU$2:$EU$113,0)),"")</f>
        <v xml:space="preserve">DELITO CONTRA LA LIBERTAD DE REUNION </v>
      </c>
      <c r="IR44" s="207" t="str">
        <f>IFERROR(INDEX($A$2:$A$113,MATCH(ROWS($EV$2:EV44),$EV$2:$EV$113,0)),"")</f>
        <v xml:space="preserve">DELITO CONTRA LA LIBERTAD DE REUNION </v>
      </c>
      <c r="IS44" s="207" t="str">
        <f>IFERROR(INDEX($A$2:$A$113,MATCH(ROWS($EW$2:EW44),$EW$2:$EW$113,0)),"")</f>
        <v xml:space="preserve">DELITO CONTRA LA LIBERTAD DE REUNION </v>
      </c>
      <c r="IT44" s="207" t="str">
        <f>IFERROR(INDEX($A$2:$A$113,MATCH(ROWS($EX$2:EX44),$EX$2:$EX$113,0)),"")</f>
        <v xml:space="preserve">DELITO CONTRA LA LIBERTAD DE REUNION </v>
      </c>
      <c r="IU44" s="207" t="str">
        <f>IFERROR(INDEX($A$2:$A$113,MATCH(ROWS($EY$2:EY44),$EY$2:$EY$113,0)),"")</f>
        <v xml:space="preserve">DELITO CONTRA LA LIBERTAD DE REUNION </v>
      </c>
      <c r="IV44" s="207" t="str">
        <f>IFERROR(INDEX($A$2:$A$113,MATCH(ROWS($EZ$2:EZ44),$EZ$2:$EZ$113,0)),"")</f>
        <v xml:space="preserve">DELITO CONTRA LA LIBERTAD DE REUNION </v>
      </c>
      <c r="IW44" s="207" t="str">
        <f>IFERROR(INDEX($A$2:$A$113,MATCH(ROWS($FA$2:FA44),$FA$2:$FA$113,0)),"")</f>
        <v xml:space="preserve">DELITO CONTRA LA LIBERTAD DE REUNION </v>
      </c>
      <c r="IX44" s="207" t="str">
        <f>IFERROR(INDEX($A$2:$A$113,MATCH(ROWS($FB$2:FB44),$FB$2:$FB$113,0)),"")</f>
        <v xml:space="preserve">DELITO CONTRA LA LIBERTAD DE REUNION </v>
      </c>
      <c r="IY44" s="207" t="str">
        <f>IFERROR(INDEX($A$2:$A$113,MATCH(ROWS($FC$2:FC44),$FC$2:$FC$113,0)),"")</f>
        <v xml:space="preserve">DELITO CONTRA LA LIBERTAD DE REUNION </v>
      </c>
      <c r="IZ44" s="207" t="str">
        <f>IFERROR(INDEX($A$2:$A$113,MATCH(ROWS($FD$2:FD44),$FD$2:$FD$113,0)),"")</f>
        <v xml:space="preserve">DELITO CONTRA LA LIBERTAD DE REUNION </v>
      </c>
      <c r="JA44" s="207" t="str">
        <f>IFERROR(INDEX($A$2:$A$113,MATCH(ROWS($FE$2:FE44),$FE$2:$FE$113,0)),"")</f>
        <v xml:space="preserve">DELITO CONTRA LA LIBERTAD DE REUNION </v>
      </c>
      <c r="JB44" s="207" t="str">
        <f>IFERROR(INDEX($A$2:$A$113,MATCH(ROWS($FF$2:FF44),$FF$2:$FF$113,0)),"")</f>
        <v xml:space="preserve">DELITO CONTRA LA LIBERTAD DE REUNION </v>
      </c>
      <c r="JC44" s="207" t="str">
        <f>IFERROR(INDEX($A$2:$A$113,MATCH(ROWS($FG$2:FG44),$FG$2:$FG$113,0)),"")</f>
        <v xml:space="preserve">DELITO CONTRA LA LIBERTAD DE REUNION </v>
      </c>
      <c r="JD44" s="207" t="str">
        <f>IFERROR(INDEX($A$2:$A$113,MATCH(ROWS($FH$2:FH44),$FH$2:$FH$113,0)),"")</f>
        <v xml:space="preserve">DELITO CONTRA LA LIBERTAD DE REUNION </v>
      </c>
      <c r="JE44" s="207" t="str">
        <f>IFERROR(INDEX($A$2:$A$113,MATCH(ROWS($FI$2:FI44),$FI$2:$FI$113,0)),"")</f>
        <v xml:space="preserve">DELITO CONTRA LA LIBERTAD DE REUNION </v>
      </c>
      <c r="JF44" s="207" t="str">
        <f>IFERROR(INDEX($A$2:$A$113,MATCH(ROWS($FJ$2:FJ44),$FJ$2:$FJ$113,0)),"")</f>
        <v xml:space="preserve">DELITO CONTRA LA LIBERTAD DE REUNION </v>
      </c>
      <c r="JG44" s="207" t="str">
        <f>IFERROR(INDEX($A$2:$A$113,MATCH(ROWS($FK$2:FK44),$FK$2:$FK$113,0)),"")</f>
        <v xml:space="preserve">DELITO CONTRA LA LIBERTAD DE REUNION </v>
      </c>
      <c r="JH44" s="207" t="str">
        <f>IFERROR(INDEX($A$2:$A$113,MATCH(ROWS($FL$2:FL44),$FL$2:$FL$113,0)),"")</f>
        <v xml:space="preserve">DELITO CONTRA LA LIBERTAD DE REUNION </v>
      </c>
      <c r="JI44" s="207" t="str">
        <f>IFERROR(INDEX($A$2:$A$113,MATCH(ROWS($FM$2:FM44),$FM$2:$FM$113,0)),"")</f>
        <v xml:space="preserve">DELITO CONTRA LA LIBERTAD DE REUNION </v>
      </c>
      <c r="JJ44" s="207" t="str">
        <f>IFERROR(INDEX($A$2:$A$113,MATCH(ROWS($FN$2:FN44),$FN$2:$FN$113,0)),"")</f>
        <v xml:space="preserve">DELITO CONTRA LA LIBERTAD DE REUNION </v>
      </c>
      <c r="JK44" s="207" t="str">
        <f>IFERROR(INDEX($A$2:$A$113,MATCH(ROWS($FO$2:FO44),$FO$2:$FO$113,0)),"")</f>
        <v xml:space="preserve">DELITO CONTRA LA LIBERTAD DE REUNION </v>
      </c>
      <c r="JL44" s="207" t="str">
        <f>IFERROR(INDEX($A$2:$A$113,MATCH(ROWS($FP$2:FP44),$FP$2:$FP$113,0)),"")</f>
        <v xml:space="preserve">DELITO CONTRA LA LIBERTAD DE REUNION </v>
      </c>
      <c r="JM44" s="207" t="str">
        <f>IFERROR(INDEX($A$2:$A$113,MATCH(ROWS($FQ$2:FQ44),$FQ$2:$FQ$113,0)),"")</f>
        <v xml:space="preserve">DELITO CONTRA LA LIBERTAD DE REUNION </v>
      </c>
      <c r="JN44" s="207" t="str">
        <f>IFERROR(INDEX($A$2:$A$113,MATCH(ROWS($FR$2:FR44),$FR$2:$FR$113,0)),"")</f>
        <v xml:space="preserve">DELITO CONTRA LA LIBERTAD DE REUNION </v>
      </c>
      <c r="JO44" s="207" t="str">
        <f>IFERROR(INDEX($A$2:$A$113,MATCH(ROWS($FS$2:FS44),$FS$2:$FS$113,0)),"")</f>
        <v xml:space="preserve">DELITO CONTRA LA LIBERTAD DE REUNION </v>
      </c>
      <c r="JP44" s="207" t="str">
        <f>IFERROR(INDEX($A$2:$A$113,MATCH(ROWS($FT$2:FT44),$FT$2:$FT$113,0)),"")</f>
        <v xml:space="preserve">DELITO CONTRA LA LIBERTAD DE REUNION </v>
      </c>
      <c r="JQ44" s="207" t="str">
        <f>IFERROR(INDEX($A$2:$A$113,MATCH(ROWS($FU$2:FU44),$FU$2:$FU$113,0)),"")</f>
        <v xml:space="preserve">DELITO CONTRA LA LIBERTAD DE REUNION </v>
      </c>
      <c r="JR44" s="207" t="str">
        <f>IFERROR(INDEX($A$2:$A$113,MATCH(ROWS($FV$2:FV44),$FV$2:$FV$113,0)),"")</f>
        <v xml:space="preserve">DELITO CONTRA LA LIBERTAD DE REUNION </v>
      </c>
      <c r="JS44" s="207" t="str">
        <f>IFERROR(INDEX($A$2:$A$113,MATCH(ROWS($FW$2:FW44),$FW$2:$FW$113,0)),"")</f>
        <v xml:space="preserve">DELITO CONTRA LA LIBERTAD DE REUNION </v>
      </c>
      <c r="JT44" s="207" t="str">
        <f>IFERROR(INDEX($A$2:$A$113,MATCH(ROWS($FX$2:FX44),$FX$2:$FX$113,0)),"")</f>
        <v xml:space="preserve">DELITO CONTRA LA LIBERTAD DE REUNION </v>
      </c>
      <c r="JU44" s="207" t="str">
        <f>IFERROR(INDEX($A$2:$A$113,MATCH(ROWS($FY$2:FY44),$FY$2:$FY$113,0)),"")</f>
        <v xml:space="preserve">DELITO CONTRA LA LIBERTAD DE REUNION </v>
      </c>
      <c r="JV44" s="207" t="str">
        <f>IFERROR(INDEX($A$2:$A$113,MATCH(ROWS($FZ$2:FZ44),$FZ$2:$FZ$113,0)),"")</f>
        <v xml:space="preserve">DELITO CONTRA LA LIBERTAD DE REUNION </v>
      </c>
      <c r="JW44" s="207" t="str">
        <f>IFERROR(INDEX($A$2:$A$113,MATCH(ROWS($GA$2:GA44),$GA$2:$GA$113,0)),"")</f>
        <v xml:space="preserve">DELITO CONTRA LA LIBERTAD DE REUNION </v>
      </c>
      <c r="JX44" s="207" t="str">
        <f>IFERROR(INDEX($A$2:$A$113,MATCH(ROWS($GB$2:GB44),$GB$2:$GB$113,0)),"")</f>
        <v xml:space="preserve">DELITO CONTRA LA LIBERTAD DE REUNION </v>
      </c>
      <c r="JY44" s="207" t="str">
        <f>IFERROR(INDEX($A$2:$A$113,MATCH(ROWS($GC$2:GC44),$GC$2:$GC$113,0)),"")</f>
        <v xml:space="preserve">DELITO CONTRA LA LIBERTAD DE REUNION </v>
      </c>
      <c r="JZ44" s="207" t="str">
        <f>IFERROR(INDEX($A$2:$A$113,MATCH(ROWS($GD$2:GD44),$GD$2:$GD$113,0)),"")</f>
        <v xml:space="preserve">DELITO CONTRA LA LIBERTAD DE REUNION </v>
      </c>
      <c r="KA44" s="207" t="str">
        <f>IFERROR(INDEX($A$2:$A$113,MATCH(ROWS($GE$2:GE44),$GE$2:$GE$113,0)),"")</f>
        <v xml:space="preserve">DELITO CONTRA LA LIBERTAD DE REUNION </v>
      </c>
      <c r="KB44" s="207" t="str">
        <f>IFERROR(INDEX($A$2:$A$113,MATCH(ROWS($GF$2:GF44),$GF$2:$GF$113,0)),"")</f>
        <v xml:space="preserve">DELITO CONTRA LA LIBERTAD DE REUNION </v>
      </c>
      <c r="KC44" s="207" t="str">
        <f>IFERROR(INDEX($A$2:$A$113,MATCH(ROWS($GG$2:GG44),$GG$2:$GG$113,0)),"")</f>
        <v xml:space="preserve">DELITO CONTRA LA LIBERTAD DE REUNION </v>
      </c>
      <c r="KD44" s="207" t="str">
        <f>IFERROR(INDEX($A$2:$A$113,MATCH(ROWS($GH$2:GH44),$GH$2:$GH$113,0)),"")</f>
        <v xml:space="preserve">DELITO CONTRA LA LIBERTAD DE REUNION </v>
      </c>
      <c r="KE44" s="207" t="str">
        <f>IFERROR(INDEX($A$2:$A$113,MATCH(ROWS($GI$2:GI44),$GI$2:$GI$113,0)),"")</f>
        <v xml:space="preserve">DELITO CONTRA LA LIBERTAD DE REUNION </v>
      </c>
      <c r="KF44" s="207" t="str">
        <f>IFERROR(INDEX($A$2:$A$113,MATCH(ROWS($GJ$2:GJ44),$GJ$2:$GJ$113,0)),"")</f>
        <v xml:space="preserve">DELITO CONTRA LA LIBERTAD DE REUNION </v>
      </c>
      <c r="KG44" s="207" t="str">
        <f>IFERROR(INDEX($A$2:$A$113,MATCH(ROWS($GK$2:GK44),$GK$2:$GK$113,0)),"")</f>
        <v xml:space="preserve">DELITO CONTRA LA LIBERTAD DE REUNION </v>
      </c>
      <c r="KH44" s="207" t="str">
        <f>IFERROR(INDEX($A$2:$A$113,MATCH(ROWS($GL$2:GL44),$GL$2:$GL$113,0)),"")</f>
        <v xml:space="preserve">DELITO CONTRA LA LIBERTAD DE REUNION </v>
      </c>
      <c r="KI44" s="207" t="str">
        <f>IFERROR(INDEX($A$2:$A$113,MATCH(ROWS($GM$2:GM44),$GM$2:$GM$113,0)),"")</f>
        <v xml:space="preserve">DELITO CONTRA LA LIBERTAD DE REUNION </v>
      </c>
      <c r="KJ44" s="207" t="str">
        <f>IFERROR(INDEX($A$2:$A$113,MATCH(ROWS($GN$2:GN44),$GN$2:$GN$113,0)),"")</f>
        <v xml:space="preserve">DELITO CONTRA LA LIBERTAD DE REUNION </v>
      </c>
      <c r="KK44" s="207" t="str">
        <f>IFERROR(INDEX($A$2:$A$113,MATCH(ROWS($GO$2:GO44),$GO$2:$GO$113,0)),"")</f>
        <v xml:space="preserve">DELITO CONTRA LA LIBERTAD DE REUNION </v>
      </c>
      <c r="KL44" s="207" t="str">
        <f>IFERROR(INDEX($A$2:$A$113,MATCH(ROWS($GP$2:GP44),$GP$2:$GP$113,0)),"")</f>
        <v xml:space="preserve">DELITO CONTRA LA LIBERTAD DE REUNION </v>
      </c>
      <c r="KM44" s="207" t="str">
        <f>IFERROR(INDEX($A$2:$A$113,MATCH(ROWS($GQ$2:GQ44),$GQ$2:$GQ$113,0)),"")</f>
        <v xml:space="preserve">DELITO CONTRA LA LIBERTAD DE REUNION </v>
      </c>
      <c r="KN44" s="207" t="str">
        <f>IFERROR(INDEX($A$2:$A$113,MATCH(ROWS($GR$2:GR44),$GR$2:$GR$113,0)),"")</f>
        <v xml:space="preserve">DELITO CONTRA LA LIBERTAD DE REUNION </v>
      </c>
      <c r="KO44" s="207" t="str">
        <f>IFERROR(INDEX($A$2:$A$113,MATCH(ROWS($GS$2:GS44),$GS$2:$GS$113,0)),"")</f>
        <v xml:space="preserve">DELITO CONTRA LA LIBERTAD DE REUNION </v>
      </c>
      <c r="KP44" s="207" t="str">
        <f>IFERROR(INDEX($A$2:$A$113,MATCH(ROWS($GT$2:GT44),$GT$2:$GT$113,0)),"")</f>
        <v xml:space="preserve">DELITO CONTRA LA LIBERTAD DE REUNION </v>
      </c>
      <c r="KQ44" s="207" t="str">
        <f>IFERROR(INDEX($A$2:$A$113,MATCH(ROWS($GU$2:GU44),$GU$2:$GU$113,0)),"")</f>
        <v xml:space="preserve">DELITO CONTRA LA LIBERTAD DE REUNION </v>
      </c>
      <c r="KR44" s="207" t="str">
        <f>IFERROR(INDEX($A$2:$A$113,MATCH(ROWS($GV$2:GV44),$GV$2:$GV$113,0)),"")</f>
        <v xml:space="preserve">DELITO CONTRA LA LIBERTAD DE REUNION </v>
      </c>
      <c r="KS44" s="207" t="str">
        <f>IFERROR(INDEX($A$2:$A$113,MATCH(ROWS($GW$2:GW44),$GW$2:$GW$113,0)),"")</f>
        <v xml:space="preserve">DELITO CONTRA LA LIBERTAD DE REUNION </v>
      </c>
    </row>
    <row r="45" spans="1:305" ht="14.45" customHeight="1" x14ac:dyDescent="0.25">
      <c r="A45" s="206" t="s">
        <v>84</v>
      </c>
      <c r="B45" s="206" t="s">
        <v>75</v>
      </c>
      <c r="D45" s="206" t="s">
        <v>795</v>
      </c>
      <c r="E45" s="206" t="s">
        <v>76</v>
      </c>
      <c r="F45" s="207">
        <f>--ISNUMBER(IFERROR(SEARCH('PLANILLA DJ'!$X$3,$A45,1),""))</f>
        <v>1</v>
      </c>
      <c r="G45" s="207">
        <f>--ISNUMBER(IFERROR(SEARCH('PLANILLA DJ'!$X$4,$A45,1),""))</f>
        <v>1</v>
      </c>
      <c r="H45" s="207">
        <f>--ISNUMBER(IFERROR(SEARCH('PLANILLA DJ'!$X$5,$A45,1),""))</f>
        <v>1</v>
      </c>
      <c r="I45" s="207">
        <f>--ISNUMBER(IFERROR(SEARCH('PLANILLA DJ'!$X$6,$A45,1),""))</f>
        <v>1</v>
      </c>
      <c r="J45" s="207">
        <f>--ISNUMBER(IFERROR(SEARCH('PLANILLA DJ'!$X$7,$A45,1),""))</f>
        <v>1</v>
      </c>
      <c r="K45" s="207">
        <f>--ISNUMBER(IFERROR(SEARCH('PLANILLA DJ'!$X$8,$A45,1),""))</f>
        <v>1</v>
      </c>
      <c r="L45" s="207">
        <f>--ISNUMBER(IFERROR(SEARCH('PLANILLA DJ'!$X$9,$A45,1),""))</f>
        <v>1</v>
      </c>
      <c r="M45" s="207">
        <f>--ISNUMBER(IFERROR(SEARCH('PLANILLA DJ'!$X$10,$A45,1),""))</f>
        <v>1</v>
      </c>
      <c r="N45" s="207">
        <f>--ISNUMBER(IFERROR(SEARCH('PLANILLA DJ'!$X$11,$A45,1),""))</f>
        <v>1</v>
      </c>
      <c r="O45" s="207">
        <f>--ISNUMBER(IFERROR(SEARCH('PLANILLA DJ'!$X$12,$A45,1),""))</f>
        <v>1</v>
      </c>
      <c r="P45" s="207">
        <f>--ISNUMBER(IFERROR(SEARCH('PLANILLA DJ'!$X$13,$A45,1),""))</f>
        <v>1</v>
      </c>
      <c r="Q45" s="207">
        <f>--ISNUMBER(IFERROR(SEARCH('PLANILLA DJ'!$X$14,$A45,1),""))</f>
        <v>1</v>
      </c>
      <c r="R45" s="207">
        <f>--ISNUMBER(IFERROR(SEARCH('PLANILLA DJ'!$X$15,$A45,1),""))</f>
        <v>1</v>
      </c>
      <c r="S45" s="207">
        <f>--ISNUMBER(IFERROR(SEARCH('PLANILLA DJ'!$X$16,$A45,1),""))</f>
        <v>1</v>
      </c>
      <c r="T45" s="207">
        <f>--ISNUMBER(IFERROR(SEARCH('PLANILLA DJ'!$X$17,$A45,1),""))</f>
        <v>1</v>
      </c>
      <c r="U45" s="207">
        <f>--ISNUMBER(IFERROR(SEARCH('PLANILLA DJ'!$X$18,$A45,1),""))</f>
        <v>1</v>
      </c>
      <c r="V45" s="207">
        <f>--ISNUMBER(IFERROR(SEARCH('PLANILLA DJ'!$X$19,$A45,1),""))</f>
        <v>1</v>
      </c>
      <c r="W45" s="207">
        <f>--ISNUMBER(IFERROR(SEARCH('PLANILLA DJ'!$X$20,$A45,1),""))</f>
        <v>1</v>
      </c>
      <c r="X45" s="207">
        <f>--ISNUMBER(IFERROR(SEARCH('PLANILLA DJ'!$X$21,$A45,1),""))</f>
        <v>1</v>
      </c>
      <c r="Y45" s="207">
        <f>--ISNUMBER(IFERROR(SEARCH('PLANILLA DJ'!$X$22,$A45,1),""))</f>
        <v>1</v>
      </c>
      <c r="Z45" s="207">
        <f>--ISNUMBER(IFERROR(SEARCH('PLANILLA DJ'!$X$23,$A45,1),""))</f>
        <v>1</v>
      </c>
      <c r="AA45" s="207">
        <f>--ISNUMBER(IFERROR(SEARCH('PLANILLA DJ'!$X$24,$A45,1),""))</f>
        <v>1</v>
      </c>
      <c r="AB45" s="207">
        <f>--ISNUMBER(IFERROR(SEARCH('PLANILLA DJ'!$X$25,$A45,1),""))</f>
        <v>1</v>
      </c>
      <c r="AC45" s="207">
        <f>--ISNUMBER(IFERROR(SEARCH('PLANILLA DJ'!$X$26,$A45,1),""))</f>
        <v>1</v>
      </c>
      <c r="AD45" s="207">
        <f>--ISNUMBER(IFERROR(SEARCH('PLANILLA DJ'!$X$27,$A45,1),""))</f>
        <v>1</v>
      </c>
      <c r="AE45" s="207">
        <f>--ISNUMBER(IFERROR(SEARCH('PLANILLA DJ'!$X$28,$A45,1),""))</f>
        <v>1</v>
      </c>
      <c r="AF45" s="207">
        <f>--ISNUMBER(IFERROR(SEARCH('PLANILLA DJ'!$X$29,$A45,1),""))</f>
        <v>1</v>
      </c>
      <c r="AG45" s="207">
        <f>--ISNUMBER(IFERROR(SEARCH('PLANILLA DJ'!$X$30,$A45,1),""))</f>
        <v>1</v>
      </c>
      <c r="AH45" s="207">
        <f>--ISNUMBER(IFERROR(SEARCH('PLANILLA DJ'!$X$31,$A45,1),""))</f>
        <v>1</v>
      </c>
      <c r="AI45" s="207">
        <f>--ISNUMBER(IFERROR(SEARCH('PLANILLA DJ'!$X$32,$A45,1),""))</f>
        <v>1</v>
      </c>
      <c r="AJ45" s="207">
        <f>--ISNUMBER(IFERROR(SEARCH('PLANILLA DJ'!$X$33,$A45,1),""))</f>
        <v>1</v>
      </c>
      <c r="AK45" s="207">
        <f>--ISNUMBER(IFERROR(SEARCH('PLANILLA DJ'!$X$34,$A45,1),""))</f>
        <v>1</v>
      </c>
      <c r="AL45" s="207">
        <f>--ISNUMBER(IFERROR(SEARCH('PLANILLA DJ'!$X$35,$A45,1),""))</f>
        <v>1</v>
      </c>
      <c r="AM45" s="207">
        <f>--ISNUMBER(IFERROR(SEARCH('PLANILLA DJ'!$X$36,$A45,1),""))</f>
        <v>1</v>
      </c>
      <c r="AN45" s="207">
        <f>--ISNUMBER(IFERROR(SEARCH('PLANILLA DJ'!$X$37,$A45,1),""))</f>
        <v>1</v>
      </c>
      <c r="AO45" s="207">
        <f>--ISNUMBER(IFERROR(SEARCH('PLANILLA DJ'!$X$38,$A45,1),""))</f>
        <v>1</v>
      </c>
      <c r="AP45" s="207">
        <f>--ISNUMBER(IFERROR(SEARCH('PLANILLA DJ'!$X$39,$A45,1),""))</f>
        <v>1</v>
      </c>
      <c r="AQ45" s="207">
        <f>--ISNUMBER(IFERROR(SEARCH('PLANILLA DJ'!$X$40,$A45,1),""))</f>
        <v>1</v>
      </c>
      <c r="AR45" s="207">
        <f>--ISNUMBER(IFERROR(SEARCH('PLANILLA DJ'!$X$41,$A45,1),""))</f>
        <v>1</v>
      </c>
      <c r="AS45" s="207">
        <f>--ISNUMBER(IFERROR(SEARCH('PLANILLA DJ'!$X$42,$A45,1),""))</f>
        <v>1</v>
      </c>
      <c r="AT45" s="207">
        <f>--ISNUMBER(IFERROR(SEARCH('PLANILLA DJ'!$X$43,$A45,1),""))</f>
        <v>1</v>
      </c>
      <c r="AU45" s="207">
        <f>--ISNUMBER(IFERROR(SEARCH('PLANILLA DJ'!$X$44,$A45,1),""))</f>
        <v>1</v>
      </c>
      <c r="AV45" s="207">
        <f>--ISNUMBER(IFERROR(SEARCH('PLANILLA DJ'!$X$45,$A45,1),""))</f>
        <v>1</v>
      </c>
      <c r="AW45" s="207">
        <f>--ISNUMBER(IFERROR(SEARCH('PLANILLA DJ'!$X$46,$A45,1),""))</f>
        <v>1</v>
      </c>
      <c r="AX45" s="207">
        <f>--ISNUMBER(IFERROR(SEARCH('PLANILLA DJ'!$X$47,$A45,1),""))</f>
        <v>1</v>
      </c>
      <c r="AY45" s="207">
        <f>--ISNUMBER(IFERROR(SEARCH('PLANILLA DJ'!$X$48,$A45,1),""))</f>
        <v>1</v>
      </c>
      <c r="AZ45" s="207">
        <f>--ISNUMBER(IFERROR(SEARCH('PLANILLA DJ'!$X$49,$A45,1),""))</f>
        <v>1</v>
      </c>
      <c r="BA45" s="207">
        <f>--ISNUMBER(IFERROR(SEARCH('PLANILLA DJ'!$X$50,$A45,1),""))</f>
        <v>1</v>
      </c>
      <c r="BB45" s="207">
        <f>--ISNUMBER(IFERROR(SEARCH('PLANILLA DJ'!$X$51,$A45,1),""))</f>
        <v>1</v>
      </c>
      <c r="BC45" s="207">
        <f>--ISNUMBER(IFERROR(SEARCH('PLANILLA DJ'!$X$52,$A45,1),""))</f>
        <v>1</v>
      </c>
      <c r="BD45" s="207">
        <f>--ISNUMBER(IFERROR(SEARCH('PLANILLA DJ'!$X$53,$A45,1),""))</f>
        <v>1</v>
      </c>
      <c r="BE45" s="207">
        <f>--ISNUMBER(IFERROR(SEARCH('PLANILLA DJ'!$X$54,$A45,1),""))</f>
        <v>1</v>
      </c>
      <c r="BF45" s="207">
        <f>--ISNUMBER(IFERROR(SEARCH('PLANILLA DJ'!$X$55,$A45,1),""))</f>
        <v>1</v>
      </c>
      <c r="BG45" s="207">
        <f>--ISNUMBER(IFERROR(SEARCH('PLANILLA DJ'!$X$56,$A45,1),""))</f>
        <v>1</v>
      </c>
      <c r="BH45" s="207">
        <f>--ISNUMBER(IFERROR(SEARCH('PLANILLA DJ'!$X$57,$A45,1),""))</f>
        <v>1</v>
      </c>
      <c r="BI45" s="207">
        <f>--ISNUMBER(IFERROR(SEARCH('PLANILLA DJ'!$X$58,$A45,1),""))</f>
        <v>1</v>
      </c>
      <c r="BJ45" s="207">
        <f>--ISNUMBER(IFERROR(SEARCH('PLANILLA DJ'!$X$59,$A45,1),""))</f>
        <v>1</v>
      </c>
      <c r="BK45" s="207">
        <f>--ISNUMBER(IFERROR(SEARCH('PLANILLA DJ'!$X$60,$A45,1),""))</f>
        <v>1</v>
      </c>
      <c r="BL45" s="207">
        <f>--ISNUMBER(IFERROR(SEARCH('PLANILLA DJ'!$X$61,$A45,1),""))</f>
        <v>1</v>
      </c>
      <c r="BM45" s="207">
        <f>--ISNUMBER(IFERROR(SEARCH('PLANILLA DJ'!$X$62,$A45,1),""))</f>
        <v>1</v>
      </c>
      <c r="BN45" s="207">
        <f>--ISNUMBER(IFERROR(SEARCH('PLANILLA DJ'!$X$63,$A45,1),""))</f>
        <v>1</v>
      </c>
      <c r="BO45" s="207">
        <f>--ISNUMBER(IFERROR(SEARCH('PLANILLA DJ'!$X$64,$A45,1),""))</f>
        <v>1</v>
      </c>
      <c r="BP45" s="207">
        <f>--ISNUMBER(IFERROR(SEARCH('PLANILLA DJ'!$X$65,$A45,1),""))</f>
        <v>1</v>
      </c>
      <c r="BQ45" s="207">
        <f>--ISNUMBER(IFERROR(SEARCH('PLANILLA DJ'!$X$66,$A45,1),""))</f>
        <v>1</v>
      </c>
      <c r="BR45" s="207">
        <f>--ISNUMBER(IFERROR(SEARCH('PLANILLA DJ'!$X$67,$A45,1),""))</f>
        <v>1</v>
      </c>
      <c r="BS45" s="207">
        <f>--ISNUMBER(IFERROR(SEARCH('PLANILLA DJ'!$X$68,$A45,1),""))</f>
        <v>1</v>
      </c>
      <c r="BT45" s="207">
        <f>--ISNUMBER(IFERROR(SEARCH('PLANILLA DJ'!$X$69,$A45,1),""))</f>
        <v>1</v>
      </c>
      <c r="BU45" s="207">
        <f>--ISNUMBER(IFERROR(SEARCH('PLANILLA DJ'!$X$70,$A45,1),""))</f>
        <v>1</v>
      </c>
      <c r="BV45" s="207">
        <f>--ISNUMBER(IFERROR(SEARCH('PLANILLA DJ'!$X$71,$A45,1),""))</f>
        <v>1</v>
      </c>
      <c r="BW45" s="207">
        <f>--ISNUMBER(IFERROR(SEARCH('PLANILLA DJ'!$X$72,$A45,1),""))</f>
        <v>1</v>
      </c>
      <c r="BX45" s="207">
        <f>--ISNUMBER(IFERROR(SEARCH('PLANILLA DJ'!$X$73,$A45,1),""))</f>
        <v>1</v>
      </c>
      <c r="BY45" s="207">
        <f>--ISNUMBER(IFERROR(SEARCH('PLANILLA DJ'!$X$74,$A45,1),""))</f>
        <v>1</v>
      </c>
      <c r="BZ45" s="207">
        <f>--ISNUMBER(IFERROR(SEARCH('PLANILLA DJ'!$X$75,$A45,1),""))</f>
        <v>1</v>
      </c>
      <c r="CA45" s="207">
        <f>--ISNUMBER(IFERROR(SEARCH('PLANILLA DJ'!$X$76,$A45,1),""))</f>
        <v>1</v>
      </c>
      <c r="CB45" s="207">
        <f>--ISNUMBER(IFERROR(SEARCH('PLANILLA DJ'!$X$77,$A45,1),""))</f>
        <v>1</v>
      </c>
      <c r="CC45" s="207">
        <f>--ISNUMBER(IFERROR(SEARCH('PLANILLA DJ'!$X$78,$A45,1),""))</f>
        <v>1</v>
      </c>
      <c r="CD45" s="207">
        <f>--ISNUMBER(IFERROR(SEARCH('PLANILLA DJ'!$X$79,$A45,1),""))</f>
        <v>1</v>
      </c>
      <c r="CE45" s="207">
        <f>--ISNUMBER(IFERROR(SEARCH('PLANILLA DJ'!$X$80,$A45,1),""))</f>
        <v>1</v>
      </c>
      <c r="CF45" s="207">
        <f>--ISNUMBER(IFERROR(SEARCH('PLANILLA DJ'!$X$81,$A45,1),""))</f>
        <v>1</v>
      </c>
      <c r="CG45" s="207">
        <f>--ISNUMBER(IFERROR(SEARCH('PLANILLA DJ'!$X$82,$A45,1),""))</f>
        <v>1</v>
      </c>
      <c r="CH45" s="207">
        <f>--ISNUMBER(IFERROR(SEARCH('PLANILLA DJ'!$X$83,$A45,1),""))</f>
        <v>1</v>
      </c>
      <c r="CI45" s="207">
        <f>--ISNUMBER(IFERROR(SEARCH('PLANILLA DJ'!$X$84,$A45,1),""))</f>
        <v>1</v>
      </c>
      <c r="CJ45" s="207">
        <f>--ISNUMBER(IFERROR(SEARCH('PLANILLA DJ'!$X$85,$A45,1),""))</f>
        <v>1</v>
      </c>
      <c r="CK45" s="207">
        <f>--ISNUMBER(IFERROR(SEARCH('PLANILLA DJ'!$X$86,$A45,1),""))</f>
        <v>1</v>
      </c>
      <c r="CL45" s="207">
        <f>--ISNUMBER(IFERROR(SEARCH('PLANILLA DJ'!$X$87,$A45,1),""))</f>
        <v>1</v>
      </c>
      <c r="CM45" s="207">
        <f>--ISNUMBER(IFERROR(SEARCH('PLANILLA DJ'!$X$88,$A45,1),""))</f>
        <v>1</v>
      </c>
      <c r="CN45" s="207">
        <f>--ISNUMBER(IFERROR(SEARCH('PLANILLA DJ'!$X$89,$A45,1),""))</f>
        <v>1</v>
      </c>
      <c r="CO45" s="207">
        <f>--ISNUMBER(IFERROR(SEARCH('PLANILLA DJ'!$X$90,$A45,1),""))</f>
        <v>1</v>
      </c>
      <c r="CP45" s="207">
        <f>--ISNUMBER(IFERROR(SEARCH('PLANILLA DJ'!$X$91,$A45,1),""))</f>
        <v>1</v>
      </c>
      <c r="CQ45" s="207">
        <f>--ISNUMBER(IFERROR(SEARCH('PLANILLA DJ'!$X$92,$A45,1),""))</f>
        <v>1</v>
      </c>
      <c r="CR45" s="207">
        <f>--ISNUMBER(IFERROR(SEARCH('PLANILLA DJ'!$X$93,$A45,1),""))</f>
        <v>1</v>
      </c>
      <c r="CS45" s="207">
        <f>--ISNUMBER(IFERROR(SEARCH('PLANILLA DJ'!$X$94,$A45,1),""))</f>
        <v>1</v>
      </c>
      <c r="CT45" s="207">
        <f>--ISNUMBER(IFERROR(SEARCH('PLANILLA DJ'!$X$95,$A45,1),""))</f>
        <v>1</v>
      </c>
      <c r="CU45" s="207">
        <f>--ISNUMBER(IFERROR(SEARCH('PLANILLA DJ'!$X$96,$A45,1),""))</f>
        <v>1</v>
      </c>
      <c r="CV45" s="207">
        <f>--ISNUMBER(IFERROR(SEARCH('PLANILLA DJ'!$X$97,$A45,1),""))</f>
        <v>1</v>
      </c>
      <c r="CW45" s="207">
        <f>--ISNUMBER(IFERROR(SEARCH('PLANILLA DJ'!$X$98,$A45,1),""))</f>
        <v>1</v>
      </c>
      <c r="CX45" s="207">
        <f>--ISNUMBER(IFERROR(SEARCH('PLANILLA DJ'!$X$99,$A45,1),""))</f>
        <v>1</v>
      </c>
      <c r="CY45" s="207">
        <f>--ISNUMBER(IFERROR(SEARCH('PLANILLA DJ'!$X$100,$A45,1),""))</f>
        <v>1</v>
      </c>
      <c r="CZ45" s="207">
        <f>--ISNUMBER(IFERROR(SEARCH('PLANILLA DJ'!$X$101,$A45,1),""))</f>
        <v>1</v>
      </c>
      <c r="DA45" s="207">
        <f>--ISNUMBER(IFERROR(SEARCH('PLANILLA DJ'!$X$102,$A45,1),""))</f>
        <v>1</v>
      </c>
      <c r="DB45" s="206">
        <f>IF(F45=1,COUNTIF($F$2:F45,1),"")</f>
        <v>44</v>
      </c>
      <c r="DC45" s="206">
        <f>IF(G45=1,COUNTIF($G$2:G45,1),"")</f>
        <v>44</v>
      </c>
      <c r="DD45" s="206">
        <f>IF(H45=1,COUNTIF($H$2:H45,1),"")</f>
        <v>44</v>
      </c>
      <c r="DE45" s="206">
        <f>IF(I45=1,COUNTIF($I$2:I45,1),"")</f>
        <v>44</v>
      </c>
      <c r="DF45" s="206">
        <f>IF(J45=1,COUNTIF($J$2:J45,1),"")</f>
        <v>44</v>
      </c>
      <c r="DG45" s="206">
        <f>IF(K45=1,COUNTIF($K$2:K45,1),"")</f>
        <v>44</v>
      </c>
      <c r="DH45" s="206">
        <f>IF(L45=1,COUNTIF($L$2:L45,1),"")</f>
        <v>44</v>
      </c>
      <c r="DI45" s="206">
        <f>IF(M45=1,COUNTIF($M$2:M45,1),"")</f>
        <v>44</v>
      </c>
      <c r="DJ45" s="206">
        <f>IF(N45=1,COUNTIF($N$2:N45,1),"")</f>
        <v>44</v>
      </c>
      <c r="DK45" s="206">
        <f>IF(O45=1,COUNTIF($O$2:O45,1),"")</f>
        <v>44</v>
      </c>
      <c r="DL45" s="206">
        <f>IF(P45=1,COUNTIF($P$2:P45,1),"")</f>
        <v>44</v>
      </c>
      <c r="DM45" s="206">
        <f>IF(Q45=1,COUNTIF($Q$2:Q45,1),"")</f>
        <v>44</v>
      </c>
      <c r="DN45" s="207">
        <f>IF(R45=1,COUNTIF($R$2:R45,1),"")</f>
        <v>44</v>
      </c>
      <c r="DO45" s="207">
        <f>IF(S45=1,COUNTIF($S$2:S45,1),"")</f>
        <v>44</v>
      </c>
      <c r="DP45" s="207">
        <f>IF(T45=1,COUNTIF($T$2:T45,1),"")</f>
        <v>44</v>
      </c>
      <c r="DQ45" s="207">
        <f>IF(U45=1,COUNTIF($U$2:U45,1),"")</f>
        <v>44</v>
      </c>
      <c r="DR45" s="207">
        <f>IF(V45=1,COUNTIF($V$2:V45,1),"")</f>
        <v>44</v>
      </c>
      <c r="DS45" s="207">
        <f>IF(W45=1,COUNTIF($W$2:W45,1),"")</f>
        <v>44</v>
      </c>
      <c r="DT45" s="207">
        <f>IF(X45=1,COUNTIF($X$2:X45,1),"")</f>
        <v>44</v>
      </c>
      <c r="DU45" s="207">
        <f>IF(Y45=1,COUNTIF($Y$2:Y45,1),"")</f>
        <v>44</v>
      </c>
      <c r="DV45" s="207">
        <f>IF(Z45=1,COUNTIF(Z$2:Z45,1),"")</f>
        <v>44</v>
      </c>
      <c r="DW45" s="207">
        <f>IF(AA45=1,COUNTIF($AA$2:AA45,1),"")</f>
        <v>44</v>
      </c>
      <c r="DX45" s="207">
        <f>IF(AB45=1,COUNTIF($AB$2:AB45,1),"")</f>
        <v>44</v>
      </c>
      <c r="DY45" s="207">
        <f>IF(AC45=1,COUNTIF($AC$2:AC45,1),"")</f>
        <v>44</v>
      </c>
      <c r="DZ45" s="207">
        <f>IF(AD45=1,COUNTIF($AD$2:AD45,1),"")</f>
        <v>44</v>
      </c>
      <c r="EA45" s="207">
        <f>IF(AE45=1,COUNTIF($AE$2:AE45,1),"")</f>
        <v>44</v>
      </c>
      <c r="EB45" s="207">
        <f>IF(AF45=1,COUNTIF($AF$2:AF45,1),"")</f>
        <v>44</v>
      </c>
      <c r="EC45" s="207">
        <f>IF(AG45=1,COUNTIF($AG$2:AG45,1),"")</f>
        <v>44</v>
      </c>
      <c r="ED45" s="207">
        <f>IF(AH45=1,COUNTIF($AH$2:AH45,1),"")</f>
        <v>44</v>
      </c>
      <c r="EE45" s="207">
        <f>IF(AI45=1,COUNTIF($AI$2:AI45,1),"")</f>
        <v>44</v>
      </c>
      <c r="EF45" s="207">
        <f>IF(AJ45=1,COUNTIF($AJ$2:AJ45,1),"")</f>
        <v>44</v>
      </c>
      <c r="EG45" s="207">
        <f>IF(AK45=1,COUNTIF($AK$2:AK45,1),"")</f>
        <v>44</v>
      </c>
      <c r="EH45" s="207">
        <f>IF(AL45=1,COUNTIF($AL$2:AL45,1),"")</f>
        <v>44</v>
      </c>
      <c r="EI45" s="207">
        <f>IF(AM45=1,COUNTIF($AM$2:AM45,1),"")</f>
        <v>44</v>
      </c>
      <c r="EJ45" s="207">
        <f>IF(AN45=1,COUNTIF($AN$2:AN45,1),"")</f>
        <v>44</v>
      </c>
      <c r="EK45" s="207">
        <f>IF(AO45=1,COUNTIF($AO$2:AO45,1),"")</f>
        <v>44</v>
      </c>
      <c r="EL45" s="207">
        <f>IF(AP45=1,COUNTIF($AP$2:AP45,1),"")</f>
        <v>44</v>
      </c>
      <c r="EM45" s="207">
        <f>IF(AQ45=1,COUNTIF($AQ$2:AQ45,1),"")</f>
        <v>44</v>
      </c>
      <c r="EN45" s="207">
        <f>IF(AR45=1,COUNTIF($AR$2:AR45,1),"")</f>
        <v>44</v>
      </c>
      <c r="EO45" s="207">
        <f>IF(AS45=1,COUNTIF($AS$2:AS45,1),"")</f>
        <v>44</v>
      </c>
      <c r="EP45" s="207">
        <f>IF(AT45=1,COUNTIF($AT$2:AT45,1),"")</f>
        <v>44</v>
      </c>
      <c r="EQ45" s="207">
        <f>IF(AU45=1,COUNTIF($AU$2:AU45,1),"")</f>
        <v>44</v>
      </c>
      <c r="ER45" s="207">
        <f>IF(AV45=1,COUNTIF($AV$2:AV45,1),"")</f>
        <v>44</v>
      </c>
      <c r="ES45" s="207">
        <f>IF(AW45=1,COUNTIF($AW$2:AW45,1),"")</f>
        <v>44</v>
      </c>
      <c r="ET45" s="207">
        <f>IF(AX45=1,COUNTIF($AX$2:AX45,1),"")</f>
        <v>44</v>
      </c>
      <c r="EU45" s="207">
        <f>IF(AY45=1,COUNTIF($AY$2:AY45,1),"")</f>
        <v>44</v>
      </c>
      <c r="EV45" s="207">
        <f>IF(AZ45=1,COUNTIF($AZ$2:AZ45,1),"")</f>
        <v>44</v>
      </c>
      <c r="EW45" s="207">
        <f>IF(BA45=1,COUNTIF($BA$2:BA45,1),"")</f>
        <v>44</v>
      </c>
      <c r="EX45" s="207">
        <f>IF(BB45=1,COUNTIF($BB$2:BB45,1),"")</f>
        <v>44</v>
      </c>
      <c r="EY45" s="207">
        <f>IF(BC45=1,COUNTIF($BC$2:BC45,1),"")</f>
        <v>44</v>
      </c>
      <c r="EZ45" s="207">
        <f>IF(BD45=1,COUNTIF($BD$2:BD45,1),"")</f>
        <v>44</v>
      </c>
      <c r="FA45" s="207">
        <f>IF(BE45=1,COUNTIF($BE$2:BE45,1),"")</f>
        <v>44</v>
      </c>
      <c r="FB45" s="207">
        <f>IF(BF45=1,COUNTIF($BF$2:BF45,1),"")</f>
        <v>44</v>
      </c>
      <c r="FC45" s="207">
        <f>IF(BG45=1,COUNTIF($BG$2:BG45,1),"")</f>
        <v>44</v>
      </c>
      <c r="FD45" s="207">
        <f>IF(BH45=1,COUNTIF($BH$2:BH45,1),"")</f>
        <v>44</v>
      </c>
      <c r="FE45" s="207">
        <f>IF(BI45=1,COUNTIF($BI$2:BI45,1),"")</f>
        <v>44</v>
      </c>
      <c r="FF45" s="207">
        <f>IF(BJ45=1,COUNTIF($BJ$2:BJ45,1),"")</f>
        <v>44</v>
      </c>
      <c r="FG45" s="207">
        <f>IF(BK45=1,COUNTIF($BK$2:BK45,1),"")</f>
        <v>44</v>
      </c>
      <c r="FH45" s="207">
        <f>IF(BL45=1,COUNTIF($BL$2:BL45,1),"")</f>
        <v>44</v>
      </c>
      <c r="FI45" s="207">
        <f>IF(BM45=1,COUNTIF($BM$2:BM45,1),"")</f>
        <v>44</v>
      </c>
      <c r="FJ45" s="207">
        <f>IF(BN45=1,COUNTIF($BN$2:BN45,1),"")</f>
        <v>44</v>
      </c>
      <c r="FK45" s="207">
        <f>IF(BO45=1,COUNTIF($BO$2:BO45,1),"")</f>
        <v>44</v>
      </c>
      <c r="FL45" s="207">
        <f>IF(BP45=1,COUNTIF($BP$2:BP45,1),"")</f>
        <v>44</v>
      </c>
      <c r="FM45" s="207">
        <f>IF(BQ45=1,COUNTIF($BQ$2:BQ45,1),"")</f>
        <v>44</v>
      </c>
      <c r="FN45" s="207">
        <f>IF(BR45=1,COUNTIF($BR$2:BR45,1),"")</f>
        <v>44</v>
      </c>
      <c r="FO45" s="207">
        <f>IF(BS45=1,COUNTIF($BS$2:BS45,1),"")</f>
        <v>44</v>
      </c>
      <c r="FP45" s="207">
        <f>IF(BT45=1,COUNTIF($BT$2:BT45,1),"")</f>
        <v>44</v>
      </c>
      <c r="FQ45" s="207">
        <f>IF(BU45=1,COUNTIF($BU$2:BU45,1),"")</f>
        <v>44</v>
      </c>
      <c r="FR45" s="207">
        <f>IF(BV45=1,COUNTIF($BV$2:BV45,1),"")</f>
        <v>44</v>
      </c>
      <c r="FS45" s="207">
        <f>IF(BW45=1,COUNTIF($BW$2:BW45,1),"")</f>
        <v>44</v>
      </c>
      <c r="FT45" s="207">
        <f>IF(BX45=1,COUNTIF($BX$2:BX45,1),"")</f>
        <v>44</v>
      </c>
      <c r="FU45" s="207">
        <f>IF(BY45=1,COUNTIF($BY$2:BY45,1),"")</f>
        <v>44</v>
      </c>
      <c r="FV45" s="207">
        <f>IF(BZ45=1,COUNTIF($BZ$2:BZ45,1),"")</f>
        <v>44</v>
      </c>
      <c r="FW45" s="207">
        <f>IF(CA45=1,COUNTIF($CA$2:CA45,1),"")</f>
        <v>44</v>
      </c>
      <c r="FX45" s="207">
        <f>IF(CB45=1,COUNTIF($CB$2:CB45,1),"")</f>
        <v>44</v>
      </c>
      <c r="FY45" s="207">
        <f>IF(CC45=1,COUNTIF($CC$2:CC45,1),"")</f>
        <v>44</v>
      </c>
      <c r="FZ45" s="207">
        <f>IF(CD45=1,COUNTIF($CD$2:CD45,1),"")</f>
        <v>44</v>
      </c>
      <c r="GA45" s="207">
        <f>IF(CE45=1,COUNTIF($CE$2:CE45,1),"")</f>
        <v>44</v>
      </c>
      <c r="GB45" s="207">
        <f>IF(CF45=1,COUNTIF($CF$2:CF45,1),"")</f>
        <v>44</v>
      </c>
      <c r="GC45" s="207">
        <f>IF(CG45=1,COUNTIF($CG$2:CG45,1),"")</f>
        <v>44</v>
      </c>
      <c r="GD45" s="207">
        <f>IF(CH45=1,COUNTIF($CH$2:CH45,1),"")</f>
        <v>44</v>
      </c>
      <c r="GE45" s="207">
        <f>IF(CI45=1,COUNTIF($CI$2:CI45,1),"")</f>
        <v>44</v>
      </c>
      <c r="GF45" s="207">
        <f>IF(CJ45=1,COUNTIF($CJ$2:CJ45,1),"")</f>
        <v>44</v>
      </c>
      <c r="GG45" s="207">
        <f>IF(CK45=1,COUNTIF($CK$2:CK45,1),"")</f>
        <v>44</v>
      </c>
      <c r="GH45" s="207">
        <f>IF(CL45=1,COUNTIF($CL$2:CL45,1),"")</f>
        <v>44</v>
      </c>
      <c r="GI45" s="207">
        <f>IF(CM45=1,COUNTIF($CM$2:CM45,1),"")</f>
        <v>44</v>
      </c>
      <c r="GJ45" s="207">
        <f>IF(CN45=1,COUNTIF($CN$2:CN45,1),"")</f>
        <v>44</v>
      </c>
      <c r="GK45" s="207">
        <f>IF(CO45=1,COUNTIF($CO$2:CO45,1),"")</f>
        <v>44</v>
      </c>
      <c r="GL45" s="207">
        <f>IF(CP45=1,COUNTIF($CP$2:CP45,1),"")</f>
        <v>44</v>
      </c>
      <c r="GM45" s="207">
        <f>IF(CQ45=1,COUNTIF($CQ$2:CQ45,1),"")</f>
        <v>44</v>
      </c>
      <c r="GN45" s="207">
        <f>IF(CR45=1,COUNTIF($CR$2:CR45,1),"")</f>
        <v>44</v>
      </c>
      <c r="GO45" s="207">
        <f>IF(CS45=1,COUNTIF($CS$2:CS45,1),"")</f>
        <v>44</v>
      </c>
      <c r="GP45" s="207">
        <f>IF(CT45=1,COUNTIF($CT$2:CT45,1),"")</f>
        <v>44</v>
      </c>
      <c r="GQ45" s="207">
        <f>IF(CU45=1,COUNTIF($CU$2:CU45,1),"")</f>
        <v>44</v>
      </c>
      <c r="GR45" s="207">
        <f>IF(CV45=1,COUNTIF($CV$2:CV45,1),"")</f>
        <v>44</v>
      </c>
      <c r="GS45" s="207">
        <f>IF(CW45=1,COUNTIF($CW$2:CW45,1),"")</f>
        <v>44</v>
      </c>
      <c r="GT45" s="207">
        <f>IF(CX45=1,COUNTIF($CX$2:CX45,1),"")</f>
        <v>44</v>
      </c>
      <c r="GU45" s="207">
        <f>IF(CY45=1,COUNTIF($CY$2:CY45,1),"")</f>
        <v>44</v>
      </c>
      <c r="GV45" s="207">
        <f>IF(CZ45=1,COUNTIF($CZ$2:CZ45,1),"")</f>
        <v>44</v>
      </c>
      <c r="GW45" s="207">
        <f>IF(DA45=1,COUNTIF($DA$2:DA45,1),"")</f>
        <v>44</v>
      </c>
      <c r="GX45" s="206" t="str">
        <f>IFERROR(INDEX($A$2:$A$113,MATCH(ROWS($DB$2:DB45),$DB$2:$DB$113,0)),"")</f>
        <v xml:space="preserve">DELITO CONTRA LA LIBERTAD DE PRENSA </v>
      </c>
      <c r="GY45" s="206" t="str">
        <f>IFERROR(INDEX($A$2:$A$113,MATCH(ROWS($DC$2:DC45),$DC$2:$DC$113,0)),"")</f>
        <v xml:space="preserve">DELITO CONTRA LA LIBERTAD DE PRENSA </v>
      </c>
      <c r="GZ45" s="206" t="str">
        <f>IFERROR(INDEX($A$2:$A$113,MATCH(ROWS($DD$2:DD45),$DD$2:$DD$113,0)),"")</f>
        <v xml:space="preserve">DELITO CONTRA LA LIBERTAD DE PRENSA </v>
      </c>
      <c r="HA45" s="206" t="str">
        <f>IFERROR(INDEX($A$2:$A$113,MATCH(ROWS($DE$2:DE45),$DE$2:$DE$113,0)),"")</f>
        <v xml:space="preserve">DELITO CONTRA LA LIBERTAD DE PRENSA </v>
      </c>
      <c r="HB45" s="206" t="str">
        <f>IFERROR(INDEX($A$2:$A$113,MATCH(ROWS($DF$2:DF45),$DF$2:$DF$113,0)),"")</f>
        <v xml:space="preserve">DELITO CONTRA LA LIBERTAD DE PRENSA </v>
      </c>
      <c r="HC45" s="206" t="str">
        <f>IFERROR(INDEX($A$2:$A$113,MATCH(ROWS($DG$2:DG45),$DG$2:$DG$113,0)),"")</f>
        <v xml:space="preserve">DELITO CONTRA LA LIBERTAD DE PRENSA </v>
      </c>
      <c r="HD45" s="206" t="str">
        <f>IFERROR(INDEX($A$2:$A$113,MATCH(ROWS($DH$2:DH45),$DH$2:$DH$113,0)),"")</f>
        <v xml:space="preserve">DELITO CONTRA LA LIBERTAD DE PRENSA </v>
      </c>
      <c r="HE45" s="206" t="str">
        <f>IFERROR(INDEX($A$2:$A$113,MATCH(ROWS($DI$2:DI45),$DI$2:$DI$113,0)),"")</f>
        <v xml:space="preserve">DELITO CONTRA LA LIBERTAD DE PRENSA </v>
      </c>
      <c r="HF45" s="206" t="str">
        <f>IFERROR(INDEX($A$2:$A$113,MATCH(ROWS($DJ$2:DJ45),$DJ$2:$DJ$113,0)),"")</f>
        <v xml:space="preserve">DELITO CONTRA LA LIBERTAD DE PRENSA </v>
      </c>
      <c r="HG45" s="206" t="str">
        <f>IFERROR(INDEX($A$2:$A$113,MATCH(ROWS($DK$2:DK45),$DK$2:$DK$113,0)),"")</f>
        <v xml:space="preserve">DELITO CONTRA LA LIBERTAD DE PRENSA </v>
      </c>
      <c r="HH45" s="206" t="str">
        <f>IFERROR(INDEX($A$2:$A$113,MATCH(ROWS($DL$2:DL45),$DL$2:$DL$113,0)),"")</f>
        <v xml:space="preserve">DELITO CONTRA LA LIBERTAD DE PRENSA </v>
      </c>
      <c r="HI45" s="206" t="str">
        <f>IFERROR(INDEX($A$2:$A$113,MATCH(ROWS($DM$2:DM45),$DM$2:$DM$113,0)),"")</f>
        <v xml:space="preserve">DELITO CONTRA LA LIBERTAD DE PRENSA </v>
      </c>
      <c r="HJ45" s="206" t="str">
        <f>IFERROR(INDEX($A$2:$A$113,MATCH(ROWS($DN$2:DN45),$DN$2:$DN$113,0)),"")</f>
        <v xml:space="preserve">DELITO CONTRA LA LIBERTAD DE PRENSA </v>
      </c>
      <c r="HK45" s="206" t="str">
        <f>IFERROR(INDEX($A$2:$A$113,MATCH(ROWS($DO$2:DO45),$DO$2:$DO$113,0)),"")</f>
        <v xml:space="preserve">DELITO CONTRA LA LIBERTAD DE PRENSA </v>
      </c>
      <c r="HL45" s="206" t="str">
        <f>IFERROR(INDEX($A$2:$A$113,MATCH(ROWS($DP$2:DP45),$DP$2:$DP$113,0)),"")</f>
        <v xml:space="preserve">DELITO CONTRA LA LIBERTAD DE PRENSA </v>
      </c>
      <c r="HM45" s="206" t="str">
        <f>IFERROR(INDEX($A$2:$A$113,MATCH(ROWS($DQ$2:DQ45),$DQ$2:$DQ$113,0)),"")</f>
        <v xml:space="preserve">DELITO CONTRA LA LIBERTAD DE PRENSA </v>
      </c>
      <c r="HN45" s="206" t="str">
        <f>IFERROR(INDEX($A$2:$A$113,MATCH(ROWS($DR$2:DR45),$DR$2:$DR$113,0)),"")</f>
        <v xml:space="preserve">DELITO CONTRA LA LIBERTAD DE PRENSA </v>
      </c>
      <c r="HO45" s="206" t="str">
        <f>IFERROR(INDEX($A$2:$A$113,MATCH(ROWS($DS$2:DS45),$DS$2:$DS$113,0)),"")</f>
        <v xml:space="preserve">DELITO CONTRA LA LIBERTAD DE PRENSA </v>
      </c>
      <c r="HP45" s="206" t="str">
        <f>IFERROR(INDEX($A$2:$A$113,MATCH(ROWS($DT$2:DT45),$DT$2:$DT$113,0)),"")</f>
        <v xml:space="preserve">DELITO CONTRA LA LIBERTAD DE PRENSA </v>
      </c>
      <c r="HQ45" s="206" t="str">
        <f>IFERROR(INDEX($A$2:$A$113,MATCH(ROWS($DU$2:DU45),$DU$2:$DU$113,0)),"")</f>
        <v xml:space="preserve">DELITO CONTRA LA LIBERTAD DE PRENSA </v>
      </c>
      <c r="HR45" s="206" t="str">
        <f>IFERROR(INDEX($A$2:$A$113,MATCH(ROWS($DV$2:DV45),$DV$2:$DV$113,0)),"")</f>
        <v xml:space="preserve">DELITO CONTRA LA LIBERTAD DE PRENSA </v>
      </c>
      <c r="HS45" s="206" t="str">
        <f>IFERROR(INDEX($A$2:$A$113,MATCH(ROWS($DW$2:DW45),$DW$2:$DW$113,0)),"")</f>
        <v xml:space="preserve">DELITO CONTRA LA LIBERTAD DE PRENSA </v>
      </c>
      <c r="HT45" s="206" t="str">
        <f>IFERROR(INDEX($A$2:$A$113,MATCH(ROWS($DX$2:DX45),$DX$2:$DX$113,0)),"")</f>
        <v xml:space="preserve">DELITO CONTRA LA LIBERTAD DE PRENSA </v>
      </c>
      <c r="HU45" s="206" t="str">
        <f>IFERROR(INDEX($A$2:$A$113,MATCH(ROWS($DY$2:DY45),$DY$2:$DY$113,0)),"")</f>
        <v xml:space="preserve">DELITO CONTRA LA LIBERTAD DE PRENSA </v>
      </c>
      <c r="HV45" s="206" t="str">
        <f>IFERROR(INDEX($A$2:$A$113,MATCH(ROWS($DZ$2:DZ45),$DZ$2:$DZ$113,0)),"")</f>
        <v xml:space="preserve">DELITO CONTRA LA LIBERTAD DE PRENSA </v>
      </c>
      <c r="HW45" s="206" t="str">
        <f>IFERROR(INDEX($A$2:$A$113,MATCH(ROWS($EA$2:EA45),$EA$2:$EA$113,0)),"")</f>
        <v xml:space="preserve">DELITO CONTRA LA LIBERTAD DE PRENSA </v>
      </c>
      <c r="HX45" s="206" t="str">
        <f>IFERROR(INDEX($A$2:$A$113,MATCH(ROWS($EB$2:EB45),$EB$2:$EB$113,0)),"")</f>
        <v xml:space="preserve">DELITO CONTRA LA LIBERTAD DE PRENSA </v>
      </c>
      <c r="HY45" s="206" t="str">
        <f>IFERROR(INDEX($A$2:$A$113,MATCH(ROWS($EC$2:EC45),$EC$2:$EC$113,0)),"")</f>
        <v xml:space="preserve">DELITO CONTRA LA LIBERTAD DE PRENSA </v>
      </c>
      <c r="HZ45" s="206" t="str">
        <f>IFERROR(INDEX($A$2:$A$113,MATCH(ROWS($ED$2:ED45),$ED$2:$ED$113,0)),"")</f>
        <v xml:space="preserve">DELITO CONTRA LA LIBERTAD DE PRENSA </v>
      </c>
      <c r="IA45" s="206" t="str">
        <f>IFERROR(INDEX($A$2:$A$113,MATCH(ROWS($EE$2:EE45),$EE$2:$EE$113,0)),"")</f>
        <v xml:space="preserve">DELITO CONTRA LA LIBERTAD DE PRENSA </v>
      </c>
      <c r="IB45" s="206" t="str">
        <f>IFERROR(INDEX($A$2:$A$113,MATCH(ROWS($EF$2:EF45),$EF$2:$EF$113,0)),"")</f>
        <v xml:space="preserve">DELITO CONTRA LA LIBERTAD DE PRENSA </v>
      </c>
      <c r="IC45" s="206" t="str">
        <f>IFERROR(INDEX($A$2:$A$113,MATCH(ROWS($EG$2:EG45),$EG$2:$EG$113,0)),"")</f>
        <v xml:space="preserve">DELITO CONTRA LA LIBERTAD DE PRENSA </v>
      </c>
      <c r="ID45" s="206" t="str">
        <f>IFERROR(INDEX($A$2:$A$113,MATCH(ROWS($EH$2:EH45),$EH$2:$EH$113,0)),"")</f>
        <v xml:space="preserve">DELITO CONTRA LA LIBERTAD DE PRENSA </v>
      </c>
      <c r="IE45" s="206" t="str">
        <f>IFERROR(INDEX($A$2:$A$113,MATCH(ROWS($EI$2:EI45),$EI$2:$EI$113,0)),"")</f>
        <v xml:space="preserve">DELITO CONTRA LA LIBERTAD DE PRENSA </v>
      </c>
      <c r="IF45" s="206" t="str">
        <f>IFERROR(INDEX($A$2:$A$113,MATCH(ROWS($EJ$2:EJ45),$EJ$2:$EJ$113,0)),"")</f>
        <v xml:space="preserve">DELITO CONTRA LA LIBERTAD DE PRENSA </v>
      </c>
      <c r="IG45" s="206" t="str">
        <f>IFERROR(INDEX($A$2:$A$113,MATCH(ROWS($EK$2:EK45),$EK$2:$EK$113,0)),"")</f>
        <v xml:space="preserve">DELITO CONTRA LA LIBERTAD DE PRENSA </v>
      </c>
      <c r="IH45" s="206" t="str">
        <f>IFERROR(INDEX($A$2:$A$113,MATCH(ROWS($EL$2:EL45),$EL$2:$EL$113,0)),"")</f>
        <v xml:space="preserve">DELITO CONTRA LA LIBERTAD DE PRENSA </v>
      </c>
      <c r="II45" s="206" t="str">
        <f>IFERROR(INDEX($A$2:$A$113,MATCH(ROWS($EM$2:EM45),$EM$2:$EM$113,0)),"")</f>
        <v xml:space="preserve">DELITO CONTRA LA LIBERTAD DE PRENSA </v>
      </c>
      <c r="IJ45" s="206" t="str">
        <f>IFERROR(INDEX($A$2:$A$113,MATCH(ROWS($EN$2:EN45),$EN$2:$EN$113,0)),"")</f>
        <v xml:space="preserve">DELITO CONTRA LA LIBERTAD DE PRENSA </v>
      </c>
      <c r="IK45" s="207" t="str">
        <f>IFERROR(INDEX($A$2:$A$113,MATCH(ROWS($EO$2:EO45),$EO$2:$EO$113,0)),"")</f>
        <v xml:space="preserve">DELITO CONTRA LA LIBERTAD DE PRENSA </v>
      </c>
      <c r="IL45" s="207" t="str">
        <f>IFERROR(INDEX($A$2:$A$113,MATCH(ROWS($EP$2:EP45),$EP$2:$EP$113,0)),"")</f>
        <v xml:space="preserve">DELITO CONTRA LA LIBERTAD DE PRENSA </v>
      </c>
      <c r="IM45" s="207" t="str">
        <f>IFERROR(INDEX($A$2:$A$113,MATCH(ROWS($EQ$2:EQ45),$EQ$2:$EQ$113,0)),"")</f>
        <v xml:space="preserve">DELITO CONTRA LA LIBERTAD DE PRENSA </v>
      </c>
      <c r="IN45" s="207" t="str">
        <f>IFERROR(INDEX($A$2:$A$113,MATCH(ROWS($ER$2:ER45),$ER$2:$ER$113,0)),"")</f>
        <v xml:space="preserve">DELITO CONTRA LA LIBERTAD DE PRENSA </v>
      </c>
      <c r="IO45" s="207" t="str">
        <f>IFERROR(INDEX($A$2:$A$113,MATCH(ROWS($ES$2:ES45),$ES$2:$ES$113,0)),"")</f>
        <v xml:space="preserve">DELITO CONTRA LA LIBERTAD DE PRENSA </v>
      </c>
      <c r="IP45" s="207" t="str">
        <f>IFERROR(INDEX($A$2:$A$113,MATCH(ROWS($ET$2:ET45),$ET$2:$ET$113,0)),"")</f>
        <v xml:space="preserve">DELITO CONTRA LA LIBERTAD DE PRENSA </v>
      </c>
      <c r="IQ45" s="207" t="str">
        <f>IFERROR(INDEX($A$2:$A$113,MATCH(ROWS($EU$2:EU45),$EU$2:$EU$113,0)),"")</f>
        <v xml:space="preserve">DELITO CONTRA LA LIBERTAD DE PRENSA </v>
      </c>
      <c r="IR45" s="207" t="str">
        <f>IFERROR(INDEX($A$2:$A$113,MATCH(ROWS($EV$2:EV45),$EV$2:$EV$113,0)),"")</f>
        <v xml:space="preserve">DELITO CONTRA LA LIBERTAD DE PRENSA </v>
      </c>
      <c r="IS45" s="207" t="str">
        <f>IFERROR(INDEX($A$2:$A$113,MATCH(ROWS($EW$2:EW45),$EW$2:$EW$113,0)),"")</f>
        <v xml:space="preserve">DELITO CONTRA LA LIBERTAD DE PRENSA </v>
      </c>
      <c r="IT45" s="207" t="str">
        <f>IFERROR(INDEX($A$2:$A$113,MATCH(ROWS($EX$2:EX45),$EX$2:$EX$113,0)),"")</f>
        <v xml:space="preserve">DELITO CONTRA LA LIBERTAD DE PRENSA </v>
      </c>
      <c r="IU45" s="207" t="str">
        <f>IFERROR(INDEX($A$2:$A$113,MATCH(ROWS($EY$2:EY45),$EY$2:$EY$113,0)),"")</f>
        <v xml:space="preserve">DELITO CONTRA LA LIBERTAD DE PRENSA </v>
      </c>
      <c r="IV45" s="207" t="str">
        <f>IFERROR(INDEX($A$2:$A$113,MATCH(ROWS($EZ$2:EZ45),$EZ$2:$EZ$113,0)),"")</f>
        <v xml:space="preserve">DELITO CONTRA LA LIBERTAD DE PRENSA </v>
      </c>
      <c r="IW45" s="207" t="str">
        <f>IFERROR(INDEX($A$2:$A$113,MATCH(ROWS($FA$2:FA45),$FA$2:$FA$113,0)),"")</f>
        <v xml:space="preserve">DELITO CONTRA LA LIBERTAD DE PRENSA </v>
      </c>
      <c r="IX45" s="207" t="str">
        <f>IFERROR(INDEX($A$2:$A$113,MATCH(ROWS($FB$2:FB45),$FB$2:$FB$113,0)),"")</f>
        <v xml:space="preserve">DELITO CONTRA LA LIBERTAD DE PRENSA </v>
      </c>
      <c r="IY45" s="207" t="str">
        <f>IFERROR(INDEX($A$2:$A$113,MATCH(ROWS($FC$2:FC45),$FC$2:$FC$113,0)),"")</f>
        <v xml:space="preserve">DELITO CONTRA LA LIBERTAD DE PRENSA </v>
      </c>
      <c r="IZ45" s="207" t="str">
        <f>IFERROR(INDEX($A$2:$A$113,MATCH(ROWS($FD$2:FD45),$FD$2:$FD$113,0)),"")</f>
        <v xml:space="preserve">DELITO CONTRA LA LIBERTAD DE PRENSA </v>
      </c>
      <c r="JA45" s="207" t="str">
        <f>IFERROR(INDEX($A$2:$A$113,MATCH(ROWS($FE$2:FE45),$FE$2:$FE$113,0)),"")</f>
        <v xml:space="preserve">DELITO CONTRA LA LIBERTAD DE PRENSA </v>
      </c>
      <c r="JB45" s="207" t="str">
        <f>IFERROR(INDEX($A$2:$A$113,MATCH(ROWS($FF$2:FF45),$FF$2:$FF$113,0)),"")</f>
        <v xml:space="preserve">DELITO CONTRA LA LIBERTAD DE PRENSA </v>
      </c>
      <c r="JC45" s="207" t="str">
        <f>IFERROR(INDEX($A$2:$A$113,MATCH(ROWS($FG$2:FG45),$FG$2:$FG$113,0)),"")</f>
        <v xml:space="preserve">DELITO CONTRA LA LIBERTAD DE PRENSA </v>
      </c>
      <c r="JD45" s="207" t="str">
        <f>IFERROR(INDEX($A$2:$A$113,MATCH(ROWS($FH$2:FH45),$FH$2:$FH$113,0)),"")</f>
        <v xml:space="preserve">DELITO CONTRA LA LIBERTAD DE PRENSA </v>
      </c>
      <c r="JE45" s="207" t="str">
        <f>IFERROR(INDEX($A$2:$A$113,MATCH(ROWS($FI$2:FI45),$FI$2:$FI$113,0)),"")</f>
        <v xml:space="preserve">DELITO CONTRA LA LIBERTAD DE PRENSA </v>
      </c>
      <c r="JF45" s="207" t="str">
        <f>IFERROR(INDEX($A$2:$A$113,MATCH(ROWS($FJ$2:FJ45),$FJ$2:$FJ$113,0)),"")</f>
        <v xml:space="preserve">DELITO CONTRA LA LIBERTAD DE PRENSA </v>
      </c>
      <c r="JG45" s="207" t="str">
        <f>IFERROR(INDEX($A$2:$A$113,MATCH(ROWS($FK$2:FK45),$FK$2:$FK$113,0)),"")</f>
        <v xml:space="preserve">DELITO CONTRA LA LIBERTAD DE PRENSA </v>
      </c>
      <c r="JH45" s="207" t="str">
        <f>IFERROR(INDEX($A$2:$A$113,MATCH(ROWS($FL$2:FL45),$FL$2:$FL$113,0)),"")</f>
        <v xml:space="preserve">DELITO CONTRA LA LIBERTAD DE PRENSA </v>
      </c>
      <c r="JI45" s="207" t="str">
        <f>IFERROR(INDEX($A$2:$A$113,MATCH(ROWS($FM$2:FM45),$FM$2:$FM$113,0)),"")</f>
        <v xml:space="preserve">DELITO CONTRA LA LIBERTAD DE PRENSA </v>
      </c>
      <c r="JJ45" s="207" t="str">
        <f>IFERROR(INDEX($A$2:$A$113,MATCH(ROWS($FN$2:FN45),$FN$2:$FN$113,0)),"")</f>
        <v xml:space="preserve">DELITO CONTRA LA LIBERTAD DE PRENSA </v>
      </c>
      <c r="JK45" s="207" t="str">
        <f>IFERROR(INDEX($A$2:$A$113,MATCH(ROWS($FO$2:FO45),$FO$2:$FO$113,0)),"")</f>
        <v xml:space="preserve">DELITO CONTRA LA LIBERTAD DE PRENSA </v>
      </c>
      <c r="JL45" s="207" t="str">
        <f>IFERROR(INDEX($A$2:$A$113,MATCH(ROWS($FP$2:FP45),$FP$2:$FP$113,0)),"")</f>
        <v xml:space="preserve">DELITO CONTRA LA LIBERTAD DE PRENSA </v>
      </c>
      <c r="JM45" s="207" t="str">
        <f>IFERROR(INDEX($A$2:$A$113,MATCH(ROWS($FQ$2:FQ45),$FQ$2:$FQ$113,0)),"")</f>
        <v xml:space="preserve">DELITO CONTRA LA LIBERTAD DE PRENSA </v>
      </c>
      <c r="JN45" s="207" t="str">
        <f>IFERROR(INDEX($A$2:$A$113,MATCH(ROWS($FR$2:FR45),$FR$2:$FR$113,0)),"")</f>
        <v xml:space="preserve">DELITO CONTRA LA LIBERTAD DE PRENSA </v>
      </c>
      <c r="JO45" s="207" t="str">
        <f>IFERROR(INDEX($A$2:$A$113,MATCH(ROWS($FS$2:FS45),$FS$2:$FS$113,0)),"")</f>
        <v xml:space="preserve">DELITO CONTRA LA LIBERTAD DE PRENSA </v>
      </c>
      <c r="JP45" s="207" t="str">
        <f>IFERROR(INDEX($A$2:$A$113,MATCH(ROWS($FT$2:FT45),$FT$2:$FT$113,0)),"")</f>
        <v xml:space="preserve">DELITO CONTRA LA LIBERTAD DE PRENSA </v>
      </c>
      <c r="JQ45" s="207" t="str">
        <f>IFERROR(INDEX($A$2:$A$113,MATCH(ROWS($FU$2:FU45),$FU$2:$FU$113,0)),"")</f>
        <v xml:space="preserve">DELITO CONTRA LA LIBERTAD DE PRENSA </v>
      </c>
      <c r="JR45" s="207" t="str">
        <f>IFERROR(INDEX($A$2:$A$113,MATCH(ROWS($FV$2:FV45),$FV$2:$FV$113,0)),"")</f>
        <v xml:space="preserve">DELITO CONTRA LA LIBERTAD DE PRENSA </v>
      </c>
      <c r="JS45" s="207" t="str">
        <f>IFERROR(INDEX($A$2:$A$113,MATCH(ROWS($FW$2:FW45),$FW$2:$FW$113,0)),"")</f>
        <v xml:space="preserve">DELITO CONTRA LA LIBERTAD DE PRENSA </v>
      </c>
      <c r="JT45" s="207" t="str">
        <f>IFERROR(INDEX($A$2:$A$113,MATCH(ROWS($FX$2:FX45),$FX$2:$FX$113,0)),"")</f>
        <v xml:space="preserve">DELITO CONTRA LA LIBERTAD DE PRENSA </v>
      </c>
      <c r="JU45" s="207" t="str">
        <f>IFERROR(INDEX($A$2:$A$113,MATCH(ROWS($FY$2:FY45),$FY$2:$FY$113,0)),"")</f>
        <v xml:space="preserve">DELITO CONTRA LA LIBERTAD DE PRENSA </v>
      </c>
      <c r="JV45" s="207" t="str">
        <f>IFERROR(INDEX($A$2:$A$113,MATCH(ROWS($FZ$2:FZ45),$FZ$2:$FZ$113,0)),"")</f>
        <v xml:space="preserve">DELITO CONTRA LA LIBERTAD DE PRENSA </v>
      </c>
      <c r="JW45" s="207" t="str">
        <f>IFERROR(INDEX($A$2:$A$113,MATCH(ROWS($GA$2:GA45),$GA$2:$GA$113,0)),"")</f>
        <v xml:space="preserve">DELITO CONTRA LA LIBERTAD DE PRENSA </v>
      </c>
      <c r="JX45" s="207" t="str">
        <f>IFERROR(INDEX($A$2:$A$113,MATCH(ROWS($GB$2:GB45),$GB$2:$GB$113,0)),"")</f>
        <v xml:space="preserve">DELITO CONTRA LA LIBERTAD DE PRENSA </v>
      </c>
      <c r="JY45" s="207" t="str">
        <f>IFERROR(INDEX($A$2:$A$113,MATCH(ROWS($GC$2:GC45),$GC$2:$GC$113,0)),"")</f>
        <v xml:space="preserve">DELITO CONTRA LA LIBERTAD DE PRENSA </v>
      </c>
      <c r="JZ45" s="207" t="str">
        <f>IFERROR(INDEX($A$2:$A$113,MATCH(ROWS($GD$2:GD45),$GD$2:$GD$113,0)),"")</f>
        <v xml:space="preserve">DELITO CONTRA LA LIBERTAD DE PRENSA </v>
      </c>
      <c r="KA45" s="207" t="str">
        <f>IFERROR(INDEX($A$2:$A$113,MATCH(ROWS($GE$2:GE45),$GE$2:$GE$113,0)),"")</f>
        <v xml:space="preserve">DELITO CONTRA LA LIBERTAD DE PRENSA </v>
      </c>
      <c r="KB45" s="207" t="str">
        <f>IFERROR(INDEX($A$2:$A$113,MATCH(ROWS($GF$2:GF45),$GF$2:$GF$113,0)),"")</f>
        <v xml:space="preserve">DELITO CONTRA LA LIBERTAD DE PRENSA </v>
      </c>
      <c r="KC45" s="207" t="str">
        <f>IFERROR(INDEX($A$2:$A$113,MATCH(ROWS($GG$2:GG45),$GG$2:$GG$113,0)),"")</f>
        <v xml:space="preserve">DELITO CONTRA LA LIBERTAD DE PRENSA </v>
      </c>
      <c r="KD45" s="207" t="str">
        <f>IFERROR(INDEX($A$2:$A$113,MATCH(ROWS($GH$2:GH45),$GH$2:$GH$113,0)),"")</f>
        <v xml:space="preserve">DELITO CONTRA LA LIBERTAD DE PRENSA </v>
      </c>
      <c r="KE45" s="207" t="str">
        <f>IFERROR(INDEX($A$2:$A$113,MATCH(ROWS($GI$2:GI45),$GI$2:$GI$113,0)),"")</f>
        <v xml:space="preserve">DELITO CONTRA LA LIBERTAD DE PRENSA </v>
      </c>
      <c r="KF45" s="207" t="str">
        <f>IFERROR(INDEX($A$2:$A$113,MATCH(ROWS($GJ$2:GJ45),$GJ$2:$GJ$113,0)),"")</f>
        <v xml:space="preserve">DELITO CONTRA LA LIBERTAD DE PRENSA </v>
      </c>
      <c r="KG45" s="207" t="str">
        <f>IFERROR(INDEX($A$2:$A$113,MATCH(ROWS($GK$2:GK45),$GK$2:$GK$113,0)),"")</f>
        <v xml:space="preserve">DELITO CONTRA LA LIBERTAD DE PRENSA </v>
      </c>
      <c r="KH45" s="207" t="str">
        <f>IFERROR(INDEX($A$2:$A$113,MATCH(ROWS($GL$2:GL45),$GL$2:$GL$113,0)),"")</f>
        <v xml:space="preserve">DELITO CONTRA LA LIBERTAD DE PRENSA </v>
      </c>
      <c r="KI45" s="207" t="str">
        <f>IFERROR(INDEX($A$2:$A$113,MATCH(ROWS($GM$2:GM45),$GM$2:$GM$113,0)),"")</f>
        <v xml:space="preserve">DELITO CONTRA LA LIBERTAD DE PRENSA </v>
      </c>
      <c r="KJ45" s="207" t="str">
        <f>IFERROR(INDEX($A$2:$A$113,MATCH(ROWS($GN$2:GN45),$GN$2:$GN$113,0)),"")</f>
        <v xml:space="preserve">DELITO CONTRA LA LIBERTAD DE PRENSA </v>
      </c>
      <c r="KK45" s="207" t="str">
        <f>IFERROR(INDEX($A$2:$A$113,MATCH(ROWS($GO$2:GO45),$GO$2:$GO$113,0)),"")</f>
        <v xml:space="preserve">DELITO CONTRA LA LIBERTAD DE PRENSA </v>
      </c>
      <c r="KL45" s="207" t="str">
        <f>IFERROR(INDEX($A$2:$A$113,MATCH(ROWS($GP$2:GP45),$GP$2:$GP$113,0)),"")</f>
        <v xml:space="preserve">DELITO CONTRA LA LIBERTAD DE PRENSA </v>
      </c>
      <c r="KM45" s="207" t="str">
        <f>IFERROR(INDEX($A$2:$A$113,MATCH(ROWS($GQ$2:GQ45),$GQ$2:$GQ$113,0)),"")</f>
        <v xml:space="preserve">DELITO CONTRA LA LIBERTAD DE PRENSA </v>
      </c>
      <c r="KN45" s="207" t="str">
        <f>IFERROR(INDEX($A$2:$A$113,MATCH(ROWS($GR$2:GR45),$GR$2:$GR$113,0)),"")</f>
        <v xml:space="preserve">DELITO CONTRA LA LIBERTAD DE PRENSA </v>
      </c>
      <c r="KO45" s="207" t="str">
        <f>IFERROR(INDEX($A$2:$A$113,MATCH(ROWS($GS$2:GS45),$GS$2:$GS$113,0)),"")</f>
        <v xml:space="preserve">DELITO CONTRA LA LIBERTAD DE PRENSA </v>
      </c>
      <c r="KP45" s="207" t="str">
        <f>IFERROR(INDEX($A$2:$A$113,MATCH(ROWS($GT$2:GT45),$GT$2:$GT$113,0)),"")</f>
        <v xml:space="preserve">DELITO CONTRA LA LIBERTAD DE PRENSA </v>
      </c>
      <c r="KQ45" s="207" t="str">
        <f>IFERROR(INDEX($A$2:$A$113,MATCH(ROWS($GU$2:GU45),$GU$2:$GU$113,0)),"")</f>
        <v xml:space="preserve">DELITO CONTRA LA LIBERTAD DE PRENSA </v>
      </c>
      <c r="KR45" s="207" t="str">
        <f>IFERROR(INDEX($A$2:$A$113,MATCH(ROWS($GV$2:GV45),$GV$2:$GV$113,0)),"")</f>
        <v xml:space="preserve">DELITO CONTRA LA LIBERTAD DE PRENSA </v>
      </c>
      <c r="KS45" s="207" t="str">
        <f>IFERROR(INDEX($A$2:$A$113,MATCH(ROWS($GW$2:GW45),$GW$2:$GW$113,0)),"")</f>
        <v xml:space="preserve">DELITO CONTRA LA LIBERTAD DE PRENSA </v>
      </c>
    </row>
    <row r="46" spans="1:305" x14ac:dyDescent="0.25">
      <c r="A46" s="206" t="s">
        <v>85</v>
      </c>
      <c r="B46" s="206">
        <v>19</v>
      </c>
      <c r="C46" s="206" t="s">
        <v>86</v>
      </c>
      <c r="D46" s="206" t="s">
        <v>46</v>
      </c>
      <c r="E46" s="206" t="s">
        <v>784</v>
      </c>
      <c r="F46" s="207">
        <f>--ISNUMBER(IFERROR(SEARCH('PLANILLA DJ'!$X$3,$A46,1),""))</f>
        <v>1</v>
      </c>
      <c r="G46" s="207">
        <f>--ISNUMBER(IFERROR(SEARCH('PLANILLA DJ'!$X$4,$A46,1),""))</f>
        <v>1</v>
      </c>
      <c r="H46" s="207">
        <f>--ISNUMBER(IFERROR(SEARCH('PLANILLA DJ'!$X$5,$A46,1),""))</f>
        <v>1</v>
      </c>
      <c r="I46" s="207">
        <f>--ISNUMBER(IFERROR(SEARCH('PLANILLA DJ'!$X$6,$A46,1),""))</f>
        <v>1</v>
      </c>
      <c r="J46" s="207">
        <f>--ISNUMBER(IFERROR(SEARCH('PLANILLA DJ'!$X$7,$A46,1),""))</f>
        <v>1</v>
      </c>
      <c r="K46" s="207">
        <f>--ISNUMBER(IFERROR(SEARCH('PLANILLA DJ'!$X$8,$A46,1),""))</f>
        <v>1</v>
      </c>
      <c r="L46" s="207">
        <f>--ISNUMBER(IFERROR(SEARCH('PLANILLA DJ'!$X$9,$A46,1),""))</f>
        <v>1</v>
      </c>
      <c r="M46" s="207">
        <f>--ISNUMBER(IFERROR(SEARCH('PLANILLA DJ'!$X$10,$A46,1),""))</f>
        <v>1</v>
      </c>
      <c r="N46" s="207">
        <f>--ISNUMBER(IFERROR(SEARCH('PLANILLA DJ'!$X$11,$A46,1),""))</f>
        <v>1</v>
      </c>
      <c r="O46" s="207">
        <f>--ISNUMBER(IFERROR(SEARCH('PLANILLA DJ'!$X$12,$A46,1),""))</f>
        <v>1</v>
      </c>
      <c r="P46" s="207">
        <f>--ISNUMBER(IFERROR(SEARCH('PLANILLA DJ'!$X$13,$A46,1),""))</f>
        <v>1</v>
      </c>
      <c r="Q46" s="207">
        <f>--ISNUMBER(IFERROR(SEARCH('PLANILLA DJ'!$X$14,$A46,1),""))</f>
        <v>1</v>
      </c>
      <c r="R46" s="207">
        <f>--ISNUMBER(IFERROR(SEARCH('PLANILLA DJ'!$X$15,$A46,1),""))</f>
        <v>1</v>
      </c>
      <c r="S46" s="207">
        <f>--ISNUMBER(IFERROR(SEARCH('PLANILLA DJ'!$X$16,$A46,1),""))</f>
        <v>1</v>
      </c>
      <c r="T46" s="207">
        <f>--ISNUMBER(IFERROR(SEARCH('PLANILLA DJ'!$X$17,$A46,1),""))</f>
        <v>1</v>
      </c>
      <c r="U46" s="207">
        <f>--ISNUMBER(IFERROR(SEARCH('PLANILLA DJ'!$X$18,$A46,1),""))</f>
        <v>1</v>
      </c>
      <c r="V46" s="207">
        <f>--ISNUMBER(IFERROR(SEARCH('PLANILLA DJ'!$X$19,$A46,1),""))</f>
        <v>1</v>
      </c>
      <c r="W46" s="207">
        <f>--ISNUMBER(IFERROR(SEARCH('PLANILLA DJ'!$X$20,$A46,1),""))</f>
        <v>1</v>
      </c>
      <c r="X46" s="207">
        <f>--ISNUMBER(IFERROR(SEARCH('PLANILLA DJ'!$X$21,$A46,1),""))</f>
        <v>1</v>
      </c>
      <c r="Y46" s="207">
        <f>--ISNUMBER(IFERROR(SEARCH('PLANILLA DJ'!$X$22,$A46,1),""))</f>
        <v>1</v>
      </c>
      <c r="Z46" s="207">
        <f>--ISNUMBER(IFERROR(SEARCH('PLANILLA DJ'!$X$23,$A46,1),""))</f>
        <v>1</v>
      </c>
      <c r="AA46" s="207">
        <f>--ISNUMBER(IFERROR(SEARCH('PLANILLA DJ'!$X$24,$A46,1),""))</f>
        <v>1</v>
      </c>
      <c r="AB46" s="207">
        <f>--ISNUMBER(IFERROR(SEARCH('PLANILLA DJ'!$X$25,$A46,1),""))</f>
        <v>1</v>
      </c>
      <c r="AC46" s="207">
        <f>--ISNUMBER(IFERROR(SEARCH('PLANILLA DJ'!$X$26,$A46,1),""))</f>
        <v>1</v>
      </c>
      <c r="AD46" s="207">
        <f>--ISNUMBER(IFERROR(SEARCH('PLANILLA DJ'!$X$27,$A46,1),""))</f>
        <v>1</v>
      </c>
      <c r="AE46" s="207">
        <f>--ISNUMBER(IFERROR(SEARCH('PLANILLA DJ'!$X$28,$A46,1),""))</f>
        <v>1</v>
      </c>
      <c r="AF46" s="207">
        <f>--ISNUMBER(IFERROR(SEARCH('PLANILLA DJ'!$X$29,$A46,1),""))</f>
        <v>1</v>
      </c>
      <c r="AG46" s="207">
        <f>--ISNUMBER(IFERROR(SEARCH('PLANILLA DJ'!$X$30,$A46,1),""))</f>
        <v>1</v>
      </c>
      <c r="AH46" s="207">
        <f>--ISNUMBER(IFERROR(SEARCH('PLANILLA DJ'!$X$31,$A46,1),""))</f>
        <v>1</v>
      </c>
      <c r="AI46" s="207">
        <f>--ISNUMBER(IFERROR(SEARCH('PLANILLA DJ'!$X$32,$A46,1),""))</f>
        <v>1</v>
      </c>
      <c r="AJ46" s="207">
        <f>--ISNUMBER(IFERROR(SEARCH('PLANILLA DJ'!$X$33,$A46,1),""))</f>
        <v>1</v>
      </c>
      <c r="AK46" s="207">
        <f>--ISNUMBER(IFERROR(SEARCH('PLANILLA DJ'!$X$34,$A46,1),""))</f>
        <v>1</v>
      </c>
      <c r="AL46" s="207">
        <f>--ISNUMBER(IFERROR(SEARCH('PLANILLA DJ'!$X$35,$A46,1),""))</f>
        <v>1</v>
      </c>
      <c r="AM46" s="207">
        <f>--ISNUMBER(IFERROR(SEARCH('PLANILLA DJ'!$X$36,$A46,1),""))</f>
        <v>1</v>
      </c>
      <c r="AN46" s="207">
        <f>--ISNUMBER(IFERROR(SEARCH('PLANILLA DJ'!$X$37,$A46,1),""))</f>
        <v>1</v>
      </c>
      <c r="AO46" s="207">
        <f>--ISNUMBER(IFERROR(SEARCH('PLANILLA DJ'!$X$38,$A46,1),""))</f>
        <v>1</v>
      </c>
      <c r="AP46" s="207">
        <f>--ISNUMBER(IFERROR(SEARCH('PLANILLA DJ'!$X$39,$A46,1),""))</f>
        <v>1</v>
      </c>
      <c r="AQ46" s="207">
        <f>--ISNUMBER(IFERROR(SEARCH('PLANILLA DJ'!$X$40,$A46,1),""))</f>
        <v>1</v>
      </c>
      <c r="AR46" s="207">
        <f>--ISNUMBER(IFERROR(SEARCH('PLANILLA DJ'!$X$41,$A46,1),""))</f>
        <v>1</v>
      </c>
      <c r="AS46" s="207">
        <f>--ISNUMBER(IFERROR(SEARCH('PLANILLA DJ'!$X$42,$A46,1),""))</f>
        <v>1</v>
      </c>
      <c r="AT46" s="207">
        <f>--ISNUMBER(IFERROR(SEARCH('PLANILLA DJ'!$X$43,$A46,1),""))</f>
        <v>1</v>
      </c>
      <c r="AU46" s="207">
        <f>--ISNUMBER(IFERROR(SEARCH('PLANILLA DJ'!$X$44,$A46,1),""))</f>
        <v>1</v>
      </c>
      <c r="AV46" s="207">
        <f>--ISNUMBER(IFERROR(SEARCH('PLANILLA DJ'!$X$45,$A46,1),""))</f>
        <v>1</v>
      </c>
      <c r="AW46" s="207">
        <f>--ISNUMBER(IFERROR(SEARCH('PLANILLA DJ'!$X$46,$A46,1),""))</f>
        <v>1</v>
      </c>
      <c r="AX46" s="207">
        <f>--ISNUMBER(IFERROR(SEARCH('PLANILLA DJ'!$X$47,$A46,1),""))</f>
        <v>1</v>
      </c>
      <c r="AY46" s="207">
        <f>--ISNUMBER(IFERROR(SEARCH('PLANILLA DJ'!$X$48,$A46,1),""))</f>
        <v>1</v>
      </c>
      <c r="AZ46" s="207">
        <f>--ISNUMBER(IFERROR(SEARCH('PLANILLA DJ'!$X$49,$A46,1),""))</f>
        <v>1</v>
      </c>
      <c r="BA46" s="207">
        <f>--ISNUMBER(IFERROR(SEARCH('PLANILLA DJ'!$X$50,$A46,1),""))</f>
        <v>1</v>
      </c>
      <c r="BB46" s="207">
        <f>--ISNUMBER(IFERROR(SEARCH('PLANILLA DJ'!$X$51,$A46,1),""))</f>
        <v>1</v>
      </c>
      <c r="BC46" s="207">
        <f>--ISNUMBER(IFERROR(SEARCH('PLANILLA DJ'!$X$52,$A46,1),""))</f>
        <v>1</v>
      </c>
      <c r="BD46" s="207">
        <f>--ISNUMBER(IFERROR(SEARCH('PLANILLA DJ'!$X$53,$A46,1),""))</f>
        <v>1</v>
      </c>
      <c r="BE46" s="207">
        <f>--ISNUMBER(IFERROR(SEARCH('PLANILLA DJ'!$X$54,$A46,1),""))</f>
        <v>1</v>
      </c>
      <c r="BF46" s="207">
        <f>--ISNUMBER(IFERROR(SEARCH('PLANILLA DJ'!$X$55,$A46,1),""))</f>
        <v>1</v>
      </c>
      <c r="BG46" s="207">
        <f>--ISNUMBER(IFERROR(SEARCH('PLANILLA DJ'!$X$56,$A46,1),""))</f>
        <v>1</v>
      </c>
      <c r="BH46" s="207">
        <f>--ISNUMBER(IFERROR(SEARCH('PLANILLA DJ'!$X$57,$A46,1),""))</f>
        <v>1</v>
      </c>
      <c r="BI46" s="207">
        <f>--ISNUMBER(IFERROR(SEARCH('PLANILLA DJ'!$X$58,$A46,1),""))</f>
        <v>1</v>
      </c>
      <c r="BJ46" s="207">
        <f>--ISNUMBER(IFERROR(SEARCH('PLANILLA DJ'!$X$59,$A46,1),""))</f>
        <v>1</v>
      </c>
      <c r="BK46" s="207">
        <f>--ISNUMBER(IFERROR(SEARCH('PLANILLA DJ'!$X$60,$A46,1),""))</f>
        <v>1</v>
      </c>
      <c r="BL46" s="207">
        <f>--ISNUMBER(IFERROR(SEARCH('PLANILLA DJ'!$X$61,$A46,1),""))</f>
        <v>1</v>
      </c>
      <c r="BM46" s="207">
        <f>--ISNUMBER(IFERROR(SEARCH('PLANILLA DJ'!$X$62,$A46,1),""))</f>
        <v>1</v>
      </c>
      <c r="BN46" s="207">
        <f>--ISNUMBER(IFERROR(SEARCH('PLANILLA DJ'!$X$63,$A46,1),""))</f>
        <v>1</v>
      </c>
      <c r="BO46" s="207">
        <f>--ISNUMBER(IFERROR(SEARCH('PLANILLA DJ'!$X$64,$A46,1),""))</f>
        <v>1</v>
      </c>
      <c r="BP46" s="207">
        <f>--ISNUMBER(IFERROR(SEARCH('PLANILLA DJ'!$X$65,$A46,1),""))</f>
        <v>1</v>
      </c>
      <c r="BQ46" s="207">
        <f>--ISNUMBER(IFERROR(SEARCH('PLANILLA DJ'!$X$66,$A46,1),""))</f>
        <v>1</v>
      </c>
      <c r="BR46" s="207">
        <f>--ISNUMBER(IFERROR(SEARCH('PLANILLA DJ'!$X$67,$A46,1),""))</f>
        <v>1</v>
      </c>
      <c r="BS46" s="207">
        <f>--ISNUMBER(IFERROR(SEARCH('PLANILLA DJ'!$X$68,$A46,1),""))</f>
        <v>1</v>
      </c>
      <c r="BT46" s="207">
        <f>--ISNUMBER(IFERROR(SEARCH('PLANILLA DJ'!$X$69,$A46,1),""))</f>
        <v>1</v>
      </c>
      <c r="BU46" s="207">
        <f>--ISNUMBER(IFERROR(SEARCH('PLANILLA DJ'!$X$70,$A46,1),""))</f>
        <v>1</v>
      </c>
      <c r="BV46" s="207">
        <f>--ISNUMBER(IFERROR(SEARCH('PLANILLA DJ'!$X$71,$A46,1),""))</f>
        <v>1</v>
      </c>
      <c r="BW46" s="207">
        <f>--ISNUMBER(IFERROR(SEARCH('PLANILLA DJ'!$X$72,$A46,1),""))</f>
        <v>1</v>
      </c>
      <c r="BX46" s="207">
        <f>--ISNUMBER(IFERROR(SEARCH('PLANILLA DJ'!$X$73,$A46,1),""))</f>
        <v>1</v>
      </c>
      <c r="BY46" s="207">
        <f>--ISNUMBER(IFERROR(SEARCH('PLANILLA DJ'!$X$74,$A46,1),""))</f>
        <v>1</v>
      </c>
      <c r="BZ46" s="207">
        <f>--ISNUMBER(IFERROR(SEARCH('PLANILLA DJ'!$X$75,$A46,1),""))</f>
        <v>1</v>
      </c>
      <c r="CA46" s="207">
        <f>--ISNUMBER(IFERROR(SEARCH('PLANILLA DJ'!$X$76,$A46,1),""))</f>
        <v>1</v>
      </c>
      <c r="CB46" s="207">
        <f>--ISNUMBER(IFERROR(SEARCH('PLANILLA DJ'!$X$77,$A46,1),""))</f>
        <v>1</v>
      </c>
      <c r="CC46" s="207">
        <f>--ISNUMBER(IFERROR(SEARCH('PLANILLA DJ'!$X$78,$A46,1),""))</f>
        <v>1</v>
      </c>
      <c r="CD46" s="207">
        <f>--ISNUMBER(IFERROR(SEARCH('PLANILLA DJ'!$X$79,$A46,1),""))</f>
        <v>1</v>
      </c>
      <c r="CE46" s="207">
        <f>--ISNUMBER(IFERROR(SEARCH('PLANILLA DJ'!$X$80,$A46,1),""))</f>
        <v>1</v>
      </c>
      <c r="CF46" s="207">
        <f>--ISNUMBER(IFERROR(SEARCH('PLANILLA DJ'!$X$81,$A46,1),""))</f>
        <v>1</v>
      </c>
      <c r="CG46" s="207">
        <f>--ISNUMBER(IFERROR(SEARCH('PLANILLA DJ'!$X$82,$A46,1),""))</f>
        <v>1</v>
      </c>
      <c r="CH46" s="207">
        <f>--ISNUMBER(IFERROR(SEARCH('PLANILLA DJ'!$X$83,$A46,1),""))</f>
        <v>1</v>
      </c>
      <c r="CI46" s="207">
        <f>--ISNUMBER(IFERROR(SEARCH('PLANILLA DJ'!$X$84,$A46,1),""))</f>
        <v>1</v>
      </c>
      <c r="CJ46" s="207">
        <f>--ISNUMBER(IFERROR(SEARCH('PLANILLA DJ'!$X$85,$A46,1),""))</f>
        <v>1</v>
      </c>
      <c r="CK46" s="207">
        <f>--ISNUMBER(IFERROR(SEARCH('PLANILLA DJ'!$X$86,$A46,1),""))</f>
        <v>1</v>
      </c>
      <c r="CL46" s="207">
        <f>--ISNUMBER(IFERROR(SEARCH('PLANILLA DJ'!$X$87,$A46,1),""))</f>
        <v>1</v>
      </c>
      <c r="CM46" s="207">
        <f>--ISNUMBER(IFERROR(SEARCH('PLANILLA DJ'!$X$88,$A46,1),""))</f>
        <v>1</v>
      </c>
      <c r="CN46" s="207">
        <f>--ISNUMBER(IFERROR(SEARCH('PLANILLA DJ'!$X$89,$A46,1),""))</f>
        <v>1</v>
      </c>
      <c r="CO46" s="207">
        <f>--ISNUMBER(IFERROR(SEARCH('PLANILLA DJ'!$X$90,$A46,1),""))</f>
        <v>1</v>
      </c>
      <c r="CP46" s="207">
        <f>--ISNUMBER(IFERROR(SEARCH('PLANILLA DJ'!$X$91,$A46,1),""))</f>
        <v>1</v>
      </c>
      <c r="CQ46" s="207">
        <f>--ISNUMBER(IFERROR(SEARCH('PLANILLA DJ'!$X$92,$A46,1),""))</f>
        <v>1</v>
      </c>
      <c r="CR46" s="207">
        <f>--ISNUMBER(IFERROR(SEARCH('PLANILLA DJ'!$X$93,$A46,1),""))</f>
        <v>1</v>
      </c>
      <c r="CS46" s="207">
        <f>--ISNUMBER(IFERROR(SEARCH('PLANILLA DJ'!$X$94,$A46,1),""))</f>
        <v>1</v>
      </c>
      <c r="CT46" s="207">
        <f>--ISNUMBER(IFERROR(SEARCH('PLANILLA DJ'!$X$95,$A46,1),""))</f>
        <v>1</v>
      </c>
      <c r="CU46" s="207">
        <f>--ISNUMBER(IFERROR(SEARCH('PLANILLA DJ'!$X$96,$A46,1),""))</f>
        <v>1</v>
      </c>
      <c r="CV46" s="207">
        <f>--ISNUMBER(IFERROR(SEARCH('PLANILLA DJ'!$X$97,$A46,1),""))</f>
        <v>1</v>
      </c>
      <c r="CW46" s="207">
        <f>--ISNUMBER(IFERROR(SEARCH('PLANILLA DJ'!$X$98,$A46,1),""))</f>
        <v>1</v>
      </c>
      <c r="CX46" s="207">
        <f>--ISNUMBER(IFERROR(SEARCH('PLANILLA DJ'!$X$99,$A46,1),""))</f>
        <v>1</v>
      </c>
      <c r="CY46" s="207">
        <f>--ISNUMBER(IFERROR(SEARCH('PLANILLA DJ'!$X$100,$A46,1),""))</f>
        <v>1</v>
      </c>
      <c r="CZ46" s="207">
        <f>--ISNUMBER(IFERROR(SEARCH('PLANILLA DJ'!$X$101,$A46,1),""))</f>
        <v>1</v>
      </c>
      <c r="DA46" s="207">
        <f>--ISNUMBER(IFERROR(SEARCH('PLANILLA DJ'!$X$102,$A46,1),""))</f>
        <v>1</v>
      </c>
      <c r="DB46" s="206">
        <f>IF(F46=1,COUNTIF($F$2:F46,1),"")</f>
        <v>45</v>
      </c>
      <c r="DC46" s="206">
        <f>IF(G46=1,COUNTIF($G$2:G46,1),"")</f>
        <v>45</v>
      </c>
      <c r="DD46" s="206">
        <f>IF(H46=1,COUNTIF($H$2:H46,1),"")</f>
        <v>45</v>
      </c>
      <c r="DE46" s="206">
        <f>IF(I46=1,COUNTIF($I$2:I46,1),"")</f>
        <v>45</v>
      </c>
      <c r="DF46" s="206">
        <f>IF(J46=1,COUNTIF($J$2:J46,1),"")</f>
        <v>45</v>
      </c>
      <c r="DG46" s="206">
        <f>IF(K46=1,COUNTIF($K$2:K46,1),"")</f>
        <v>45</v>
      </c>
      <c r="DH46" s="206">
        <f>IF(L46=1,COUNTIF($L$2:L46,1),"")</f>
        <v>45</v>
      </c>
      <c r="DI46" s="206">
        <f>IF(M46=1,COUNTIF($M$2:M46,1),"")</f>
        <v>45</v>
      </c>
      <c r="DJ46" s="206">
        <f>IF(N46=1,COUNTIF($N$2:N46,1),"")</f>
        <v>45</v>
      </c>
      <c r="DK46" s="206">
        <f>IF(O46=1,COUNTIF($O$2:O46,1),"")</f>
        <v>45</v>
      </c>
      <c r="DL46" s="206">
        <f>IF(P46=1,COUNTIF($P$2:P46,1),"")</f>
        <v>45</v>
      </c>
      <c r="DM46" s="206">
        <f>IF(Q46=1,COUNTIF($Q$2:Q46,1),"")</f>
        <v>45</v>
      </c>
      <c r="DN46" s="207">
        <f>IF(R46=1,COUNTIF($R$2:R46,1),"")</f>
        <v>45</v>
      </c>
      <c r="DO46" s="207">
        <f>IF(S46=1,COUNTIF($S$2:S46,1),"")</f>
        <v>45</v>
      </c>
      <c r="DP46" s="207">
        <f>IF(T46=1,COUNTIF($T$2:T46,1),"")</f>
        <v>45</v>
      </c>
      <c r="DQ46" s="207">
        <f>IF(U46=1,COUNTIF($U$2:U46,1),"")</f>
        <v>45</v>
      </c>
      <c r="DR46" s="207">
        <f>IF(V46=1,COUNTIF($V$2:V46,1),"")</f>
        <v>45</v>
      </c>
      <c r="DS46" s="207">
        <f>IF(W46=1,COUNTIF($W$2:W46,1),"")</f>
        <v>45</v>
      </c>
      <c r="DT46" s="207">
        <f>IF(X46=1,COUNTIF($X$2:X46,1),"")</f>
        <v>45</v>
      </c>
      <c r="DU46" s="207">
        <f>IF(Y46=1,COUNTIF($Y$2:Y46,1),"")</f>
        <v>45</v>
      </c>
      <c r="DV46" s="207">
        <f>IF(Z46=1,COUNTIF(Z$2:Z46,1),"")</f>
        <v>45</v>
      </c>
      <c r="DW46" s="207">
        <f>IF(AA46=1,COUNTIF($AA$2:AA46,1),"")</f>
        <v>45</v>
      </c>
      <c r="DX46" s="207">
        <f>IF(AB46=1,COUNTIF($AB$2:AB46,1),"")</f>
        <v>45</v>
      </c>
      <c r="DY46" s="207">
        <f>IF(AC46=1,COUNTIF($AC$2:AC46,1),"")</f>
        <v>45</v>
      </c>
      <c r="DZ46" s="207">
        <f>IF(AD46=1,COUNTIF($AD$2:AD46,1),"")</f>
        <v>45</v>
      </c>
      <c r="EA46" s="207">
        <f>IF(AE46=1,COUNTIF($AE$2:AE46,1),"")</f>
        <v>45</v>
      </c>
      <c r="EB46" s="207">
        <f>IF(AF46=1,COUNTIF($AF$2:AF46,1),"")</f>
        <v>45</v>
      </c>
      <c r="EC46" s="207">
        <f>IF(AG46=1,COUNTIF($AG$2:AG46,1),"")</f>
        <v>45</v>
      </c>
      <c r="ED46" s="207">
        <f>IF(AH46=1,COUNTIF($AH$2:AH46,1),"")</f>
        <v>45</v>
      </c>
      <c r="EE46" s="207">
        <f>IF(AI46=1,COUNTIF($AI$2:AI46,1),"")</f>
        <v>45</v>
      </c>
      <c r="EF46" s="207">
        <f>IF(AJ46=1,COUNTIF($AJ$2:AJ46,1),"")</f>
        <v>45</v>
      </c>
      <c r="EG46" s="207">
        <f>IF(AK46=1,COUNTIF($AK$2:AK46,1),"")</f>
        <v>45</v>
      </c>
      <c r="EH46" s="207">
        <f>IF(AL46=1,COUNTIF($AL$2:AL46,1),"")</f>
        <v>45</v>
      </c>
      <c r="EI46" s="207">
        <f>IF(AM46=1,COUNTIF($AM$2:AM46,1),"")</f>
        <v>45</v>
      </c>
      <c r="EJ46" s="207">
        <f>IF(AN46=1,COUNTIF($AN$2:AN46,1),"")</f>
        <v>45</v>
      </c>
      <c r="EK46" s="207">
        <f>IF(AO46=1,COUNTIF($AO$2:AO46,1),"")</f>
        <v>45</v>
      </c>
      <c r="EL46" s="207">
        <f>IF(AP46=1,COUNTIF($AP$2:AP46,1),"")</f>
        <v>45</v>
      </c>
      <c r="EM46" s="207">
        <f>IF(AQ46=1,COUNTIF($AQ$2:AQ46,1),"")</f>
        <v>45</v>
      </c>
      <c r="EN46" s="207">
        <f>IF(AR46=1,COUNTIF($AR$2:AR46,1),"")</f>
        <v>45</v>
      </c>
      <c r="EO46" s="207">
        <f>IF(AS46=1,COUNTIF($AS$2:AS46,1),"")</f>
        <v>45</v>
      </c>
      <c r="EP46" s="207">
        <f>IF(AT46=1,COUNTIF($AT$2:AT46,1),"")</f>
        <v>45</v>
      </c>
      <c r="EQ46" s="207">
        <f>IF(AU46=1,COUNTIF($AU$2:AU46,1),"")</f>
        <v>45</v>
      </c>
      <c r="ER46" s="207">
        <f>IF(AV46=1,COUNTIF($AV$2:AV46,1),"")</f>
        <v>45</v>
      </c>
      <c r="ES46" s="207">
        <f>IF(AW46=1,COUNTIF($AW$2:AW46,1),"")</f>
        <v>45</v>
      </c>
      <c r="ET46" s="207">
        <f>IF(AX46=1,COUNTIF($AX$2:AX46,1),"")</f>
        <v>45</v>
      </c>
      <c r="EU46" s="207">
        <f>IF(AY46=1,COUNTIF($AY$2:AY46,1),"")</f>
        <v>45</v>
      </c>
      <c r="EV46" s="207">
        <f>IF(AZ46=1,COUNTIF($AZ$2:AZ46,1),"")</f>
        <v>45</v>
      </c>
      <c r="EW46" s="207">
        <f>IF(BA46=1,COUNTIF($BA$2:BA46,1),"")</f>
        <v>45</v>
      </c>
      <c r="EX46" s="207">
        <f>IF(BB46=1,COUNTIF($BB$2:BB46,1),"")</f>
        <v>45</v>
      </c>
      <c r="EY46" s="207">
        <f>IF(BC46=1,COUNTIF($BC$2:BC46,1),"")</f>
        <v>45</v>
      </c>
      <c r="EZ46" s="207">
        <f>IF(BD46=1,COUNTIF($BD$2:BD46,1),"")</f>
        <v>45</v>
      </c>
      <c r="FA46" s="207">
        <f>IF(BE46=1,COUNTIF($BE$2:BE46,1),"")</f>
        <v>45</v>
      </c>
      <c r="FB46" s="207">
        <f>IF(BF46=1,COUNTIF($BF$2:BF46,1),"")</f>
        <v>45</v>
      </c>
      <c r="FC46" s="207">
        <f>IF(BG46=1,COUNTIF($BG$2:BG46,1),"")</f>
        <v>45</v>
      </c>
      <c r="FD46" s="207">
        <f>IF(BH46=1,COUNTIF($BH$2:BH46,1),"")</f>
        <v>45</v>
      </c>
      <c r="FE46" s="207">
        <f>IF(BI46=1,COUNTIF($BI$2:BI46,1),"")</f>
        <v>45</v>
      </c>
      <c r="FF46" s="207">
        <f>IF(BJ46=1,COUNTIF($BJ$2:BJ46,1),"")</f>
        <v>45</v>
      </c>
      <c r="FG46" s="207">
        <f>IF(BK46=1,COUNTIF($BK$2:BK46,1),"")</f>
        <v>45</v>
      </c>
      <c r="FH46" s="207">
        <f>IF(BL46=1,COUNTIF($BL$2:BL46,1),"")</f>
        <v>45</v>
      </c>
      <c r="FI46" s="207">
        <f>IF(BM46=1,COUNTIF($BM$2:BM46,1),"")</f>
        <v>45</v>
      </c>
      <c r="FJ46" s="207">
        <f>IF(BN46=1,COUNTIF($BN$2:BN46,1),"")</f>
        <v>45</v>
      </c>
      <c r="FK46" s="207">
        <f>IF(BO46=1,COUNTIF($BO$2:BO46,1),"")</f>
        <v>45</v>
      </c>
      <c r="FL46" s="207">
        <f>IF(BP46=1,COUNTIF($BP$2:BP46,1),"")</f>
        <v>45</v>
      </c>
      <c r="FM46" s="207">
        <f>IF(BQ46=1,COUNTIF($BQ$2:BQ46,1),"")</f>
        <v>45</v>
      </c>
      <c r="FN46" s="207">
        <f>IF(BR46=1,COUNTIF($BR$2:BR46,1),"")</f>
        <v>45</v>
      </c>
      <c r="FO46" s="207">
        <f>IF(BS46=1,COUNTIF($BS$2:BS46,1),"")</f>
        <v>45</v>
      </c>
      <c r="FP46" s="207">
        <f>IF(BT46=1,COUNTIF($BT$2:BT46,1),"")</f>
        <v>45</v>
      </c>
      <c r="FQ46" s="207">
        <f>IF(BU46=1,COUNTIF($BU$2:BU46,1),"")</f>
        <v>45</v>
      </c>
      <c r="FR46" s="207">
        <f>IF(BV46=1,COUNTIF($BV$2:BV46,1),"")</f>
        <v>45</v>
      </c>
      <c r="FS46" s="207">
        <f>IF(BW46=1,COUNTIF($BW$2:BW46,1),"")</f>
        <v>45</v>
      </c>
      <c r="FT46" s="207">
        <f>IF(BX46=1,COUNTIF($BX$2:BX46,1),"")</f>
        <v>45</v>
      </c>
      <c r="FU46" s="207">
        <f>IF(BY46=1,COUNTIF($BY$2:BY46,1),"")</f>
        <v>45</v>
      </c>
      <c r="FV46" s="207">
        <f>IF(BZ46=1,COUNTIF($BZ$2:BZ46,1),"")</f>
        <v>45</v>
      </c>
      <c r="FW46" s="207">
        <f>IF(CA46=1,COUNTIF($CA$2:CA46,1),"")</f>
        <v>45</v>
      </c>
      <c r="FX46" s="207">
        <f>IF(CB46=1,COUNTIF($CB$2:CB46,1),"")</f>
        <v>45</v>
      </c>
      <c r="FY46" s="207">
        <f>IF(CC46=1,COUNTIF($CC$2:CC46,1),"")</f>
        <v>45</v>
      </c>
      <c r="FZ46" s="207">
        <f>IF(CD46=1,COUNTIF($CD$2:CD46,1),"")</f>
        <v>45</v>
      </c>
      <c r="GA46" s="207">
        <f>IF(CE46=1,COUNTIF($CE$2:CE46,1),"")</f>
        <v>45</v>
      </c>
      <c r="GB46" s="207">
        <f>IF(CF46=1,COUNTIF($CF$2:CF46,1),"")</f>
        <v>45</v>
      </c>
      <c r="GC46" s="207">
        <f>IF(CG46=1,COUNTIF($CG$2:CG46,1),"")</f>
        <v>45</v>
      </c>
      <c r="GD46" s="207">
        <f>IF(CH46=1,COUNTIF($CH$2:CH46,1),"")</f>
        <v>45</v>
      </c>
      <c r="GE46" s="207">
        <f>IF(CI46=1,COUNTIF($CI$2:CI46,1),"")</f>
        <v>45</v>
      </c>
      <c r="GF46" s="207">
        <f>IF(CJ46=1,COUNTIF($CJ$2:CJ46,1),"")</f>
        <v>45</v>
      </c>
      <c r="GG46" s="207">
        <f>IF(CK46=1,COUNTIF($CK$2:CK46,1),"")</f>
        <v>45</v>
      </c>
      <c r="GH46" s="207">
        <f>IF(CL46=1,COUNTIF($CL$2:CL46,1),"")</f>
        <v>45</v>
      </c>
      <c r="GI46" s="207">
        <f>IF(CM46=1,COUNTIF($CM$2:CM46,1),"")</f>
        <v>45</v>
      </c>
      <c r="GJ46" s="207">
        <f>IF(CN46=1,COUNTIF($CN$2:CN46,1),"")</f>
        <v>45</v>
      </c>
      <c r="GK46" s="207">
        <f>IF(CO46=1,COUNTIF($CO$2:CO46,1),"")</f>
        <v>45</v>
      </c>
      <c r="GL46" s="207">
        <f>IF(CP46=1,COUNTIF($CP$2:CP46,1),"")</f>
        <v>45</v>
      </c>
      <c r="GM46" s="207">
        <f>IF(CQ46=1,COUNTIF($CQ$2:CQ46,1),"")</f>
        <v>45</v>
      </c>
      <c r="GN46" s="207">
        <f>IF(CR46=1,COUNTIF($CR$2:CR46,1),"")</f>
        <v>45</v>
      </c>
      <c r="GO46" s="207">
        <f>IF(CS46=1,COUNTIF($CS$2:CS46,1),"")</f>
        <v>45</v>
      </c>
      <c r="GP46" s="207">
        <f>IF(CT46=1,COUNTIF($CT$2:CT46,1),"")</f>
        <v>45</v>
      </c>
      <c r="GQ46" s="207">
        <f>IF(CU46=1,COUNTIF($CU$2:CU46,1),"")</f>
        <v>45</v>
      </c>
      <c r="GR46" s="207">
        <f>IF(CV46=1,COUNTIF($CV$2:CV46,1),"")</f>
        <v>45</v>
      </c>
      <c r="GS46" s="207">
        <f>IF(CW46=1,COUNTIF($CW$2:CW46,1),"")</f>
        <v>45</v>
      </c>
      <c r="GT46" s="207">
        <f>IF(CX46=1,COUNTIF($CX$2:CX46,1),"")</f>
        <v>45</v>
      </c>
      <c r="GU46" s="207">
        <f>IF(CY46=1,COUNTIF($CY$2:CY46,1),"")</f>
        <v>45</v>
      </c>
      <c r="GV46" s="207">
        <f>IF(CZ46=1,COUNTIF($CZ$2:CZ46,1),"")</f>
        <v>45</v>
      </c>
      <c r="GW46" s="207">
        <f>IF(DA46=1,COUNTIF($DA$2:DA46,1),"")</f>
        <v>45</v>
      </c>
      <c r="GX46" s="206" t="str">
        <f>IFERROR(INDEX($A$2:$A$113,MATCH(ROWS($DB$2:DB46),$DB$2:$DB$113,0)),"")</f>
        <v xml:space="preserve">HURTO SIMPLE </v>
      </c>
      <c r="GY46" s="206" t="str">
        <f>IFERROR(INDEX($A$2:$A$113,MATCH(ROWS($DC$2:DC46),$DC$2:$DC$113,0)),"")</f>
        <v xml:space="preserve">HURTO SIMPLE </v>
      </c>
      <c r="GZ46" s="206" t="str">
        <f>IFERROR(INDEX($A$2:$A$113,MATCH(ROWS($DD$2:DD46),$DD$2:$DD$113,0)),"")</f>
        <v xml:space="preserve">HURTO SIMPLE </v>
      </c>
      <c r="HA46" s="206" t="str">
        <f>IFERROR(INDEX($A$2:$A$113,MATCH(ROWS($DE$2:DE46),$DE$2:$DE$113,0)),"")</f>
        <v xml:space="preserve">HURTO SIMPLE </v>
      </c>
      <c r="HB46" s="206" t="str">
        <f>IFERROR(INDEX($A$2:$A$113,MATCH(ROWS($DF$2:DF46),$DF$2:$DF$113,0)),"")</f>
        <v xml:space="preserve">HURTO SIMPLE </v>
      </c>
      <c r="HC46" s="206" t="str">
        <f>IFERROR(INDEX($A$2:$A$113,MATCH(ROWS($DG$2:DG46),$DG$2:$DG$113,0)),"")</f>
        <v xml:space="preserve">HURTO SIMPLE </v>
      </c>
      <c r="HD46" s="206" t="str">
        <f>IFERROR(INDEX($A$2:$A$113,MATCH(ROWS($DH$2:DH46),$DH$2:$DH$113,0)),"")</f>
        <v xml:space="preserve">HURTO SIMPLE </v>
      </c>
      <c r="HE46" s="206" t="str">
        <f>IFERROR(INDEX($A$2:$A$113,MATCH(ROWS($DI$2:DI46),$DI$2:$DI$113,0)),"")</f>
        <v xml:space="preserve">HURTO SIMPLE </v>
      </c>
      <c r="HF46" s="206" t="str">
        <f>IFERROR(INDEX($A$2:$A$113,MATCH(ROWS($DJ$2:DJ46),$DJ$2:$DJ$113,0)),"")</f>
        <v xml:space="preserve">HURTO SIMPLE </v>
      </c>
      <c r="HG46" s="206" t="str">
        <f>IFERROR(INDEX($A$2:$A$113,MATCH(ROWS($DK$2:DK46),$DK$2:$DK$113,0)),"")</f>
        <v xml:space="preserve">HURTO SIMPLE </v>
      </c>
      <c r="HH46" s="206" t="str">
        <f>IFERROR(INDEX($A$2:$A$113,MATCH(ROWS($DL$2:DL46),$DL$2:$DL$113,0)),"")</f>
        <v xml:space="preserve">HURTO SIMPLE </v>
      </c>
      <c r="HI46" s="206" t="str">
        <f>IFERROR(INDEX($A$2:$A$113,MATCH(ROWS($DM$2:DM46),$DM$2:$DM$113,0)),"")</f>
        <v xml:space="preserve">HURTO SIMPLE </v>
      </c>
      <c r="HJ46" s="206" t="str">
        <f>IFERROR(INDEX($A$2:$A$113,MATCH(ROWS($DN$2:DN46),$DN$2:$DN$113,0)),"")</f>
        <v xml:space="preserve">HURTO SIMPLE </v>
      </c>
      <c r="HK46" s="206" t="str">
        <f>IFERROR(INDEX($A$2:$A$113,MATCH(ROWS($DO$2:DO46),$DO$2:$DO$113,0)),"")</f>
        <v xml:space="preserve">HURTO SIMPLE </v>
      </c>
      <c r="HL46" s="206" t="str">
        <f>IFERROR(INDEX($A$2:$A$113,MATCH(ROWS($DP$2:DP46),$DP$2:$DP$113,0)),"")</f>
        <v xml:space="preserve">HURTO SIMPLE </v>
      </c>
      <c r="HM46" s="206" t="str">
        <f>IFERROR(INDEX($A$2:$A$113,MATCH(ROWS($DQ$2:DQ46),$DQ$2:$DQ$113,0)),"")</f>
        <v xml:space="preserve">HURTO SIMPLE </v>
      </c>
      <c r="HN46" s="206" t="str">
        <f>IFERROR(INDEX($A$2:$A$113,MATCH(ROWS($DR$2:DR46),$DR$2:$DR$113,0)),"")</f>
        <v xml:space="preserve">HURTO SIMPLE </v>
      </c>
      <c r="HO46" s="206" t="str">
        <f>IFERROR(INDEX($A$2:$A$113,MATCH(ROWS($DS$2:DS46),$DS$2:$DS$113,0)),"")</f>
        <v xml:space="preserve">HURTO SIMPLE </v>
      </c>
      <c r="HP46" s="206" t="str">
        <f>IFERROR(INDEX($A$2:$A$113,MATCH(ROWS($DT$2:DT46),$DT$2:$DT$113,0)),"")</f>
        <v xml:space="preserve">HURTO SIMPLE </v>
      </c>
      <c r="HQ46" s="206" t="str">
        <f>IFERROR(INDEX($A$2:$A$113,MATCH(ROWS($DU$2:DU46),$DU$2:$DU$113,0)),"")</f>
        <v xml:space="preserve">HURTO SIMPLE </v>
      </c>
      <c r="HR46" s="206" t="str">
        <f>IFERROR(INDEX($A$2:$A$113,MATCH(ROWS($DV$2:DV46),$DV$2:$DV$113,0)),"")</f>
        <v xml:space="preserve">HURTO SIMPLE </v>
      </c>
      <c r="HS46" s="206" t="str">
        <f>IFERROR(INDEX($A$2:$A$113,MATCH(ROWS($DW$2:DW46),$DW$2:$DW$113,0)),"")</f>
        <v xml:space="preserve">HURTO SIMPLE </v>
      </c>
      <c r="HT46" s="206" t="str">
        <f>IFERROR(INDEX($A$2:$A$113,MATCH(ROWS($DX$2:DX46),$DX$2:$DX$113,0)),"")</f>
        <v xml:space="preserve">HURTO SIMPLE </v>
      </c>
      <c r="HU46" s="206" t="str">
        <f>IFERROR(INDEX($A$2:$A$113,MATCH(ROWS($DY$2:DY46),$DY$2:$DY$113,0)),"")</f>
        <v xml:space="preserve">HURTO SIMPLE </v>
      </c>
      <c r="HV46" s="206" t="str">
        <f>IFERROR(INDEX($A$2:$A$113,MATCH(ROWS($DZ$2:DZ46),$DZ$2:$DZ$113,0)),"")</f>
        <v xml:space="preserve">HURTO SIMPLE </v>
      </c>
      <c r="HW46" s="206" t="str">
        <f>IFERROR(INDEX($A$2:$A$113,MATCH(ROWS($EA$2:EA46),$EA$2:$EA$113,0)),"")</f>
        <v xml:space="preserve">HURTO SIMPLE </v>
      </c>
      <c r="HX46" s="206" t="str">
        <f>IFERROR(INDEX($A$2:$A$113,MATCH(ROWS($EB$2:EB46),$EB$2:$EB$113,0)),"")</f>
        <v xml:space="preserve">HURTO SIMPLE </v>
      </c>
      <c r="HY46" s="206" t="str">
        <f>IFERROR(INDEX($A$2:$A$113,MATCH(ROWS($EC$2:EC46),$EC$2:$EC$113,0)),"")</f>
        <v xml:space="preserve">HURTO SIMPLE </v>
      </c>
      <c r="HZ46" s="206" t="str">
        <f>IFERROR(INDEX($A$2:$A$113,MATCH(ROWS($ED$2:ED46),$ED$2:$ED$113,0)),"")</f>
        <v xml:space="preserve">HURTO SIMPLE </v>
      </c>
      <c r="IA46" s="206" t="str">
        <f>IFERROR(INDEX($A$2:$A$113,MATCH(ROWS($EE$2:EE46),$EE$2:$EE$113,0)),"")</f>
        <v xml:space="preserve">HURTO SIMPLE </v>
      </c>
      <c r="IB46" s="206" t="str">
        <f>IFERROR(INDEX($A$2:$A$113,MATCH(ROWS($EF$2:EF46),$EF$2:$EF$113,0)),"")</f>
        <v xml:space="preserve">HURTO SIMPLE </v>
      </c>
      <c r="IC46" s="206" t="str">
        <f>IFERROR(INDEX($A$2:$A$113,MATCH(ROWS($EG$2:EG46),$EG$2:$EG$113,0)),"")</f>
        <v xml:space="preserve">HURTO SIMPLE </v>
      </c>
      <c r="ID46" s="206" t="str">
        <f>IFERROR(INDEX($A$2:$A$113,MATCH(ROWS($EH$2:EH46),$EH$2:$EH$113,0)),"")</f>
        <v xml:space="preserve">HURTO SIMPLE </v>
      </c>
      <c r="IE46" s="206" t="str">
        <f>IFERROR(INDEX($A$2:$A$113,MATCH(ROWS($EI$2:EI46),$EI$2:$EI$113,0)),"")</f>
        <v xml:space="preserve">HURTO SIMPLE </v>
      </c>
      <c r="IF46" s="206" t="str">
        <f>IFERROR(INDEX($A$2:$A$113,MATCH(ROWS($EJ$2:EJ46),$EJ$2:$EJ$113,0)),"")</f>
        <v xml:space="preserve">HURTO SIMPLE </v>
      </c>
      <c r="IG46" s="206" t="str">
        <f>IFERROR(INDEX($A$2:$A$113,MATCH(ROWS($EK$2:EK46),$EK$2:$EK$113,0)),"")</f>
        <v xml:space="preserve">HURTO SIMPLE </v>
      </c>
      <c r="IH46" s="206" t="str">
        <f>IFERROR(INDEX($A$2:$A$113,MATCH(ROWS($EL$2:EL46),$EL$2:$EL$113,0)),"")</f>
        <v xml:space="preserve">HURTO SIMPLE </v>
      </c>
      <c r="II46" s="206" t="str">
        <f>IFERROR(INDEX($A$2:$A$113,MATCH(ROWS($EM$2:EM46),$EM$2:$EM$113,0)),"")</f>
        <v xml:space="preserve">HURTO SIMPLE </v>
      </c>
      <c r="IJ46" s="206" t="str">
        <f>IFERROR(INDEX($A$2:$A$113,MATCH(ROWS($EN$2:EN46),$EN$2:$EN$113,0)),"")</f>
        <v xml:space="preserve">HURTO SIMPLE </v>
      </c>
      <c r="IK46" s="207" t="str">
        <f>IFERROR(INDEX($A$2:$A$113,MATCH(ROWS($EO$2:EO46),$EO$2:$EO$113,0)),"")</f>
        <v xml:space="preserve">HURTO SIMPLE </v>
      </c>
      <c r="IL46" s="207" t="str">
        <f>IFERROR(INDEX($A$2:$A$113,MATCH(ROWS($EP$2:EP46),$EP$2:$EP$113,0)),"")</f>
        <v xml:space="preserve">HURTO SIMPLE </v>
      </c>
      <c r="IM46" s="207" t="str">
        <f>IFERROR(INDEX($A$2:$A$113,MATCH(ROWS($EQ$2:EQ46),$EQ$2:$EQ$113,0)),"")</f>
        <v xml:space="preserve">HURTO SIMPLE </v>
      </c>
      <c r="IN46" s="207" t="str">
        <f>IFERROR(INDEX($A$2:$A$113,MATCH(ROWS($ER$2:ER46),$ER$2:$ER$113,0)),"")</f>
        <v xml:space="preserve">HURTO SIMPLE </v>
      </c>
      <c r="IO46" s="207" t="str">
        <f>IFERROR(INDEX($A$2:$A$113,MATCH(ROWS($ES$2:ES46),$ES$2:$ES$113,0)),"")</f>
        <v xml:space="preserve">HURTO SIMPLE </v>
      </c>
      <c r="IP46" s="207" t="str">
        <f>IFERROR(INDEX($A$2:$A$113,MATCH(ROWS($ET$2:ET46),$ET$2:$ET$113,0)),"")</f>
        <v xml:space="preserve">HURTO SIMPLE </v>
      </c>
      <c r="IQ46" s="207" t="str">
        <f>IFERROR(INDEX($A$2:$A$113,MATCH(ROWS($EU$2:EU46),$EU$2:$EU$113,0)),"")</f>
        <v xml:space="preserve">HURTO SIMPLE </v>
      </c>
      <c r="IR46" s="207" t="str">
        <f>IFERROR(INDEX($A$2:$A$113,MATCH(ROWS($EV$2:EV46),$EV$2:$EV$113,0)),"")</f>
        <v xml:space="preserve">HURTO SIMPLE </v>
      </c>
      <c r="IS46" s="207" t="str">
        <f>IFERROR(INDEX($A$2:$A$113,MATCH(ROWS($EW$2:EW46),$EW$2:$EW$113,0)),"")</f>
        <v xml:space="preserve">HURTO SIMPLE </v>
      </c>
      <c r="IT46" s="207" t="str">
        <f>IFERROR(INDEX($A$2:$A$113,MATCH(ROWS($EX$2:EX46),$EX$2:$EX$113,0)),"")</f>
        <v xml:space="preserve">HURTO SIMPLE </v>
      </c>
      <c r="IU46" s="207" t="str">
        <f>IFERROR(INDEX($A$2:$A$113,MATCH(ROWS($EY$2:EY46),$EY$2:$EY$113,0)),"")</f>
        <v xml:space="preserve">HURTO SIMPLE </v>
      </c>
      <c r="IV46" s="207" t="str">
        <f>IFERROR(INDEX($A$2:$A$113,MATCH(ROWS($EZ$2:EZ46),$EZ$2:$EZ$113,0)),"")</f>
        <v xml:space="preserve">HURTO SIMPLE </v>
      </c>
      <c r="IW46" s="207" t="str">
        <f>IFERROR(INDEX($A$2:$A$113,MATCH(ROWS($FA$2:FA46),$FA$2:$FA$113,0)),"")</f>
        <v xml:space="preserve">HURTO SIMPLE </v>
      </c>
      <c r="IX46" s="207" t="str">
        <f>IFERROR(INDEX($A$2:$A$113,MATCH(ROWS($FB$2:FB46),$FB$2:$FB$113,0)),"")</f>
        <v xml:space="preserve">HURTO SIMPLE </v>
      </c>
      <c r="IY46" s="207" t="str">
        <f>IFERROR(INDEX($A$2:$A$113,MATCH(ROWS($FC$2:FC46),$FC$2:$FC$113,0)),"")</f>
        <v xml:space="preserve">HURTO SIMPLE </v>
      </c>
      <c r="IZ46" s="207" t="str">
        <f>IFERROR(INDEX($A$2:$A$113,MATCH(ROWS($FD$2:FD46),$FD$2:$FD$113,0)),"")</f>
        <v xml:space="preserve">HURTO SIMPLE </v>
      </c>
      <c r="JA46" s="207" t="str">
        <f>IFERROR(INDEX($A$2:$A$113,MATCH(ROWS($FE$2:FE46),$FE$2:$FE$113,0)),"")</f>
        <v xml:space="preserve">HURTO SIMPLE </v>
      </c>
      <c r="JB46" s="207" t="str">
        <f>IFERROR(INDEX($A$2:$A$113,MATCH(ROWS($FF$2:FF46),$FF$2:$FF$113,0)),"")</f>
        <v xml:space="preserve">HURTO SIMPLE </v>
      </c>
      <c r="JC46" s="207" t="str">
        <f>IFERROR(INDEX($A$2:$A$113,MATCH(ROWS($FG$2:FG46),$FG$2:$FG$113,0)),"")</f>
        <v xml:space="preserve">HURTO SIMPLE </v>
      </c>
      <c r="JD46" s="207" t="str">
        <f>IFERROR(INDEX($A$2:$A$113,MATCH(ROWS($FH$2:FH46),$FH$2:$FH$113,0)),"")</f>
        <v xml:space="preserve">HURTO SIMPLE </v>
      </c>
      <c r="JE46" s="207" t="str">
        <f>IFERROR(INDEX($A$2:$A$113,MATCH(ROWS($FI$2:FI46),$FI$2:$FI$113,0)),"")</f>
        <v xml:space="preserve">HURTO SIMPLE </v>
      </c>
      <c r="JF46" s="207" t="str">
        <f>IFERROR(INDEX($A$2:$A$113,MATCH(ROWS($FJ$2:FJ46),$FJ$2:$FJ$113,0)),"")</f>
        <v xml:space="preserve">HURTO SIMPLE </v>
      </c>
      <c r="JG46" s="207" t="str">
        <f>IFERROR(INDEX($A$2:$A$113,MATCH(ROWS($FK$2:FK46),$FK$2:$FK$113,0)),"")</f>
        <v xml:space="preserve">HURTO SIMPLE </v>
      </c>
      <c r="JH46" s="207" t="str">
        <f>IFERROR(INDEX($A$2:$A$113,MATCH(ROWS($FL$2:FL46),$FL$2:$FL$113,0)),"")</f>
        <v xml:space="preserve">HURTO SIMPLE </v>
      </c>
      <c r="JI46" s="207" t="str">
        <f>IFERROR(INDEX($A$2:$A$113,MATCH(ROWS($FM$2:FM46),$FM$2:$FM$113,0)),"")</f>
        <v xml:space="preserve">HURTO SIMPLE </v>
      </c>
      <c r="JJ46" s="207" t="str">
        <f>IFERROR(INDEX($A$2:$A$113,MATCH(ROWS($FN$2:FN46),$FN$2:$FN$113,0)),"")</f>
        <v xml:space="preserve">HURTO SIMPLE </v>
      </c>
      <c r="JK46" s="207" t="str">
        <f>IFERROR(INDEX($A$2:$A$113,MATCH(ROWS($FO$2:FO46),$FO$2:$FO$113,0)),"")</f>
        <v xml:space="preserve">HURTO SIMPLE </v>
      </c>
      <c r="JL46" s="207" t="str">
        <f>IFERROR(INDEX($A$2:$A$113,MATCH(ROWS($FP$2:FP46),$FP$2:$FP$113,0)),"")</f>
        <v xml:space="preserve">HURTO SIMPLE </v>
      </c>
      <c r="JM46" s="207" t="str">
        <f>IFERROR(INDEX($A$2:$A$113,MATCH(ROWS($FQ$2:FQ46),$FQ$2:$FQ$113,0)),"")</f>
        <v xml:space="preserve">HURTO SIMPLE </v>
      </c>
      <c r="JN46" s="207" t="str">
        <f>IFERROR(INDEX($A$2:$A$113,MATCH(ROWS($FR$2:FR46),$FR$2:$FR$113,0)),"")</f>
        <v xml:space="preserve">HURTO SIMPLE </v>
      </c>
      <c r="JO46" s="207" t="str">
        <f>IFERROR(INDEX($A$2:$A$113,MATCH(ROWS($FS$2:FS46),$FS$2:$FS$113,0)),"")</f>
        <v xml:space="preserve">HURTO SIMPLE </v>
      </c>
      <c r="JP46" s="207" t="str">
        <f>IFERROR(INDEX($A$2:$A$113,MATCH(ROWS($FT$2:FT46),$FT$2:$FT$113,0)),"")</f>
        <v xml:space="preserve">HURTO SIMPLE </v>
      </c>
      <c r="JQ46" s="207" t="str">
        <f>IFERROR(INDEX($A$2:$A$113,MATCH(ROWS($FU$2:FU46),$FU$2:$FU$113,0)),"")</f>
        <v xml:space="preserve">HURTO SIMPLE </v>
      </c>
      <c r="JR46" s="207" t="str">
        <f>IFERROR(INDEX($A$2:$A$113,MATCH(ROWS($FV$2:FV46),$FV$2:$FV$113,0)),"")</f>
        <v xml:space="preserve">HURTO SIMPLE </v>
      </c>
      <c r="JS46" s="207" t="str">
        <f>IFERROR(INDEX($A$2:$A$113,MATCH(ROWS($FW$2:FW46),$FW$2:$FW$113,0)),"")</f>
        <v xml:space="preserve">HURTO SIMPLE </v>
      </c>
      <c r="JT46" s="207" t="str">
        <f>IFERROR(INDEX($A$2:$A$113,MATCH(ROWS($FX$2:FX46),$FX$2:$FX$113,0)),"")</f>
        <v xml:space="preserve">HURTO SIMPLE </v>
      </c>
      <c r="JU46" s="207" t="str">
        <f>IFERROR(INDEX($A$2:$A$113,MATCH(ROWS($FY$2:FY46),$FY$2:$FY$113,0)),"")</f>
        <v xml:space="preserve">HURTO SIMPLE </v>
      </c>
      <c r="JV46" s="207" t="str">
        <f>IFERROR(INDEX($A$2:$A$113,MATCH(ROWS($FZ$2:FZ46),$FZ$2:$FZ$113,0)),"")</f>
        <v xml:space="preserve">HURTO SIMPLE </v>
      </c>
      <c r="JW46" s="207" t="str">
        <f>IFERROR(INDEX($A$2:$A$113,MATCH(ROWS($GA$2:GA46),$GA$2:$GA$113,0)),"")</f>
        <v xml:space="preserve">HURTO SIMPLE </v>
      </c>
      <c r="JX46" s="207" t="str">
        <f>IFERROR(INDEX($A$2:$A$113,MATCH(ROWS($GB$2:GB46),$GB$2:$GB$113,0)),"")</f>
        <v xml:space="preserve">HURTO SIMPLE </v>
      </c>
      <c r="JY46" s="207" t="str">
        <f>IFERROR(INDEX($A$2:$A$113,MATCH(ROWS($GC$2:GC46),$GC$2:$GC$113,0)),"")</f>
        <v xml:space="preserve">HURTO SIMPLE </v>
      </c>
      <c r="JZ46" s="207" t="str">
        <f>IFERROR(INDEX($A$2:$A$113,MATCH(ROWS($GD$2:GD46),$GD$2:$GD$113,0)),"")</f>
        <v xml:space="preserve">HURTO SIMPLE </v>
      </c>
      <c r="KA46" s="207" t="str">
        <f>IFERROR(INDEX($A$2:$A$113,MATCH(ROWS($GE$2:GE46),$GE$2:$GE$113,0)),"")</f>
        <v xml:space="preserve">HURTO SIMPLE </v>
      </c>
      <c r="KB46" s="207" t="str">
        <f>IFERROR(INDEX($A$2:$A$113,MATCH(ROWS($GF$2:GF46),$GF$2:$GF$113,0)),"")</f>
        <v xml:space="preserve">HURTO SIMPLE </v>
      </c>
      <c r="KC46" s="207" t="str">
        <f>IFERROR(INDEX($A$2:$A$113,MATCH(ROWS($GG$2:GG46),$GG$2:$GG$113,0)),"")</f>
        <v xml:space="preserve">HURTO SIMPLE </v>
      </c>
      <c r="KD46" s="207" t="str">
        <f>IFERROR(INDEX($A$2:$A$113,MATCH(ROWS($GH$2:GH46),$GH$2:$GH$113,0)),"")</f>
        <v xml:space="preserve">HURTO SIMPLE </v>
      </c>
      <c r="KE46" s="207" t="str">
        <f>IFERROR(INDEX($A$2:$A$113,MATCH(ROWS($GI$2:GI46),$GI$2:$GI$113,0)),"")</f>
        <v xml:space="preserve">HURTO SIMPLE </v>
      </c>
      <c r="KF46" s="207" t="str">
        <f>IFERROR(INDEX($A$2:$A$113,MATCH(ROWS($GJ$2:GJ46),$GJ$2:$GJ$113,0)),"")</f>
        <v xml:space="preserve">HURTO SIMPLE </v>
      </c>
      <c r="KG46" s="207" t="str">
        <f>IFERROR(INDEX($A$2:$A$113,MATCH(ROWS($GK$2:GK46),$GK$2:$GK$113,0)),"")</f>
        <v xml:space="preserve">HURTO SIMPLE </v>
      </c>
      <c r="KH46" s="207" t="str">
        <f>IFERROR(INDEX($A$2:$A$113,MATCH(ROWS($GL$2:GL46),$GL$2:$GL$113,0)),"")</f>
        <v xml:space="preserve">HURTO SIMPLE </v>
      </c>
      <c r="KI46" s="207" t="str">
        <f>IFERROR(INDEX($A$2:$A$113,MATCH(ROWS($GM$2:GM46),$GM$2:$GM$113,0)),"")</f>
        <v xml:space="preserve">HURTO SIMPLE </v>
      </c>
      <c r="KJ46" s="207" t="str">
        <f>IFERROR(INDEX($A$2:$A$113,MATCH(ROWS($GN$2:GN46),$GN$2:$GN$113,0)),"")</f>
        <v xml:space="preserve">HURTO SIMPLE </v>
      </c>
      <c r="KK46" s="207" t="str">
        <f>IFERROR(INDEX($A$2:$A$113,MATCH(ROWS($GO$2:GO46),$GO$2:$GO$113,0)),"")</f>
        <v xml:space="preserve">HURTO SIMPLE </v>
      </c>
      <c r="KL46" s="207" t="str">
        <f>IFERROR(INDEX($A$2:$A$113,MATCH(ROWS($GP$2:GP46),$GP$2:$GP$113,0)),"")</f>
        <v xml:space="preserve">HURTO SIMPLE </v>
      </c>
      <c r="KM46" s="207" t="str">
        <f>IFERROR(INDEX($A$2:$A$113,MATCH(ROWS($GQ$2:GQ46),$GQ$2:$GQ$113,0)),"")</f>
        <v xml:space="preserve">HURTO SIMPLE </v>
      </c>
      <c r="KN46" s="207" t="str">
        <f>IFERROR(INDEX($A$2:$A$113,MATCH(ROWS($GR$2:GR46),$GR$2:$GR$113,0)),"")</f>
        <v xml:space="preserve">HURTO SIMPLE </v>
      </c>
      <c r="KO46" s="207" t="str">
        <f>IFERROR(INDEX($A$2:$A$113,MATCH(ROWS($GS$2:GS46),$GS$2:$GS$113,0)),"")</f>
        <v xml:space="preserve">HURTO SIMPLE </v>
      </c>
      <c r="KP46" s="207" t="str">
        <f>IFERROR(INDEX($A$2:$A$113,MATCH(ROWS($GT$2:GT46),$GT$2:$GT$113,0)),"")</f>
        <v xml:space="preserve">HURTO SIMPLE </v>
      </c>
      <c r="KQ46" s="207" t="str">
        <f>IFERROR(INDEX($A$2:$A$113,MATCH(ROWS($GU$2:GU46),$GU$2:$GU$113,0)),"")</f>
        <v xml:space="preserve">HURTO SIMPLE </v>
      </c>
      <c r="KR46" s="207" t="str">
        <f>IFERROR(INDEX($A$2:$A$113,MATCH(ROWS($GV$2:GV46),$GV$2:$GV$113,0)),"")</f>
        <v xml:space="preserve">HURTO SIMPLE </v>
      </c>
      <c r="KS46" s="207" t="str">
        <f>IFERROR(INDEX($A$2:$A$113,MATCH(ROWS($GW$2:GW46),$GW$2:$GW$113,0)),"")</f>
        <v xml:space="preserve">HURTO SIMPLE </v>
      </c>
    </row>
    <row r="47" spans="1:305" x14ac:dyDescent="0.25">
      <c r="A47" s="206" t="s">
        <v>921</v>
      </c>
      <c r="B47" s="206">
        <v>19</v>
      </c>
      <c r="C47" s="206" t="s">
        <v>86</v>
      </c>
      <c r="D47" s="206" t="s">
        <v>46</v>
      </c>
      <c r="E47" s="206" t="s">
        <v>784</v>
      </c>
      <c r="F47" s="207">
        <f>--ISNUMBER(IFERROR(SEARCH('PLANILLA DJ'!$X$3,$A47,1),""))</f>
        <v>1</v>
      </c>
      <c r="G47" s="207">
        <f>--ISNUMBER(IFERROR(SEARCH('PLANILLA DJ'!$X$4,$A47,1),""))</f>
        <v>1</v>
      </c>
      <c r="H47" s="207">
        <f>--ISNUMBER(IFERROR(SEARCH('PLANILLA DJ'!$X$5,$A47,1),""))</f>
        <v>1</v>
      </c>
      <c r="I47" s="207">
        <f>--ISNUMBER(IFERROR(SEARCH('PLANILLA DJ'!$X$6,$A47,1),""))</f>
        <v>1</v>
      </c>
      <c r="J47" s="207">
        <f>--ISNUMBER(IFERROR(SEARCH('PLANILLA DJ'!$X$7,$A47,1),""))</f>
        <v>1</v>
      </c>
      <c r="K47" s="207">
        <f>--ISNUMBER(IFERROR(SEARCH('PLANILLA DJ'!$X$8,$A47,1),""))</f>
        <v>1</v>
      </c>
      <c r="L47" s="207">
        <f>--ISNUMBER(IFERROR(SEARCH('PLANILLA DJ'!$X$9,$A47,1),""))</f>
        <v>1</v>
      </c>
      <c r="M47" s="207">
        <f>--ISNUMBER(IFERROR(SEARCH('PLANILLA DJ'!$X$10,$A47,1),""))</f>
        <v>1</v>
      </c>
      <c r="N47" s="207">
        <f>--ISNUMBER(IFERROR(SEARCH('PLANILLA DJ'!$X$11,$A47,1),""))</f>
        <v>1</v>
      </c>
      <c r="O47" s="207">
        <f>--ISNUMBER(IFERROR(SEARCH('PLANILLA DJ'!$X$12,$A47,1),""))</f>
        <v>1</v>
      </c>
      <c r="P47" s="207">
        <f>--ISNUMBER(IFERROR(SEARCH('PLANILLA DJ'!$X$13,$A47,1),""))</f>
        <v>1</v>
      </c>
      <c r="Q47" s="207">
        <f>--ISNUMBER(IFERROR(SEARCH('PLANILLA DJ'!$X$14,$A47,1),""))</f>
        <v>1</v>
      </c>
      <c r="R47" s="207">
        <f>--ISNUMBER(IFERROR(SEARCH('PLANILLA DJ'!$X$15,$A47,1),""))</f>
        <v>1</v>
      </c>
      <c r="S47" s="207">
        <f>--ISNUMBER(IFERROR(SEARCH('PLANILLA DJ'!$X$16,$A47,1),""))</f>
        <v>1</v>
      </c>
      <c r="T47" s="207">
        <f>--ISNUMBER(IFERROR(SEARCH('PLANILLA DJ'!$X$17,$A47,1),""))</f>
        <v>1</v>
      </c>
      <c r="U47" s="207">
        <f>--ISNUMBER(IFERROR(SEARCH('PLANILLA DJ'!$X$18,$A47,1),""))</f>
        <v>1</v>
      </c>
      <c r="V47" s="207">
        <f>--ISNUMBER(IFERROR(SEARCH('PLANILLA DJ'!$X$19,$A47,1),""))</f>
        <v>1</v>
      </c>
      <c r="W47" s="207">
        <f>--ISNUMBER(IFERROR(SEARCH('PLANILLA DJ'!$X$20,$A47,1),""))</f>
        <v>1</v>
      </c>
      <c r="X47" s="207">
        <f>--ISNUMBER(IFERROR(SEARCH('PLANILLA DJ'!$X$21,$A47,1),""))</f>
        <v>1</v>
      </c>
      <c r="Y47" s="207">
        <f>--ISNUMBER(IFERROR(SEARCH('PLANILLA DJ'!$X$22,$A47,1),""))</f>
        <v>1</v>
      </c>
      <c r="Z47" s="207">
        <f>--ISNUMBER(IFERROR(SEARCH('PLANILLA DJ'!$X$23,$A47,1),""))</f>
        <v>1</v>
      </c>
      <c r="AA47" s="207">
        <f>--ISNUMBER(IFERROR(SEARCH('PLANILLA DJ'!$X$24,$A47,1),""))</f>
        <v>1</v>
      </c>
      <c r="AB47" s="207">
        <f>--ISNUMBER(IFERROR(SEARCH('PLANILLA DJ'!$X$25,$A47,1),""))</f>
        <v>1</v>
      </c>
      <c r="AC47" s="207">
        <f>--ISNUMBER(IFERROR(SEARCH('PLANILLA DJ'!$X$26,$A47,1),""))</f>
        <v>1</v>
      </c>
      <c r="AD47" s="207">
        <f>--ISNUMBER(IFERROR(SEARCH('PLANILLA DJ'!$X$27,$A47,1),""))</f>
        <v>1</v>
      </c>
      <c r="AE47" s="207">
        <f>--ISNUMBER(IFERROR(SEARCH('PLANILLA DJ'!$X$28,$A47,1),""))</f>
        <v>1</v>
      </c>
      <c r="AF47" s="207">
        <f>--ISNUMBER(IFERROR(SEARCH('PLANILLA DJ'!$X$29,$A47,1),""))</f>
        <v>1</v>
      </c>
      <c r="AG47" s="207">
        <f>--ISNUMBER(IFERROR(SEARCH('PLANILLA DJ'!$X$30,$A47,1),""))</f>
        <v>1</v>
      </c>
      <c r="AH47" s="207">
        <f>--ISNUMBER(IFERROR(SEARCH('PLANILLA DJ'!$X$31,$A47,1),""))</f>
        <v>1</v>
      </c>
      <c r="AI47" s="207">
        <f>--ISNUMBER(IFERROR(SEARCH('PLANILLA DJ'!$X$32,$A47,1),""))</f>
        <v>1</v>
      </c>
      <c r="AJ47" s="207">
        <f>--ISNUMBER(IFERROR(SEARCH('PLANILLA DJ'!$X$33,$A47,1),""))</f>
        <v>1</v>
      </c>
      <c r="AK47" s="207">
        <f>--ISNUMBER(IFERROR(SEARCH('PLANILLA DJ'!$X$34,$A47,1),""))</f>
        <v>1</v>
      </c>
      <c r="AL47" s="207">
        <f>--ISNUMBER(IFERROR(SEARCH('PLANILLA DJ'!$X$35,$A47,1),""))</f>
        <v>1</v>
      </c>
      <c r="AM47" s="207">
        <f>--ISNUMBER(IFERROR(SEARCH('PLANILLA DJ'!$X$36,$A47,1),""))</f>
        <v>1</v>
      </c>
      <c r="AN47" s="207">
        <f>--ISNUMBER(IFERROR(SEARCH('PLANILLA DJ'!$X$37,$A47,1),""))</f>
        <v>1</v>
      </c>
      <c r="AO47" s="207">
        <f>--ISNUMBER(IFERROR(SEARCH('PLANILLA DJ'!$X$38,$A47,1),""))</f>
        <v>1</v>
      </c>
      <c r="AP47" s="207">
        <f>--ISNUMBER(IFERROR(SEARCH('PLANILLA DJ'!$X$39,$A47,1),""))</f>
        <v>1</v>
      </c>
      <c r="AQ47" s="207">
        <f>--ISNUMBER(IFERROR(SEARCH('PLANILLA DJ'!$X$40,$A47,1),""))</f>
        <v>1</v>
      </c>
      <c r="AR47" s="207">
        <f>--ISNUMBER(IFERROR(SEARCH('PLANILLA DJ'!$X$41,$A47,1),""))</f>
        <v>1</v>
      </c>
      <c r="AS47" s="207">
        <f>--ISNUMBER(IFERROR(SEARCH('PLANILLA DJ'!$X$42,$A47,1),""))</f>
        <v>1</v>
      </c>
      <c r="AT47" s="207">
        <f>--ISNUMBER(IFERROR(SEARCH('PLANILLA DJ'!$X$43,$A47,1),""))</f>
        <v>1</v>
      </c>
      <c r="AU47" s="207">
        <f>--ISNUMBER(IFERROR(SEARCH('PLANILLA DJ'!$X$44,$A47,1),""))</f>
        <v>1</v>
      </c>
      <c r="AV47" s="207">
        <f>--ISNUMBER(IFERROR(SEARCH('PLANILLA DJ'!$X$45,$A47,1),""))</f>
        <v>1</v>
      </c>
      <c r="AW47" s="207">
        <f>--ISNUMBER(IFERROR(SEARCH('PLANILLA DJ'!$X$46,$A47,1),""))</f>
        <v>1</v>
      </c>
      <c r="AX47" s="207">
        <f>--ISNUMBER(IFERROR(SEARCH('PLANILLA DJ'!$X$47,$A47,1),""))</f>
        <v>1</v>
      </c>
      <c r="AY47" s="207">
        <f>--ISNUMBER(IFERROR(SEARCH('PLANILLA DJ'!$X$48,$A47,1),""))</f>
        <v>1</v>
      </c>
      <c r="AZ47" s="207">
        <f>--ISNUMBER(IFERROR(SEARCH('PLANILLA DJ'!$X$49,$A47,1),""))</f>
        <v>1</v>
      </c>
      <c r="BA47" s="207">
        <f>--ISNUMBER(IFERROR(SEARCH('PLANILLA DJ'!$X$50,$A47,1),""))</f>
        <v>1</v>
      </c>
      <c r="BB47" s="207">
        <f>--ISNUMBER(IFERROR(SEARCH('PLANILLA DJ'!$X$51,$A47,1),""))</f>
        <v>1</v>
      </c>
      <c r="BC47" s="207">
        <f>--ISNUMBER(IFERROR(SEARCH('PLANILLA DJ'!$X$52,$A47,1),""))</f>
        <v>1</v>
      </c>
      <c r="BD47" s="207">
        <f>--ISNUMBER(IFERROR(SEARCH('PLANILLA DJ'!$X$53,$A47,1),""))</f>
        <v>1</v>
      </c>
      <c r="BE47" s="207">
        <f>--ISNUMBER(IFERROR(SEARCH('PLANILLA DJ'!$X$54,$A47,1),""))</f>
        <v>1</v>
      </c>
      <c r="BF47" s="207">
        <f>--ISNUMBER(IFERROR(SEARCH('PLANILLA DJ'!$X$55,$A47,1),""))</f>
        <v>1</v>
      </c>
      <c r="BG47" s="207">
        <f>--ISNUMBER(IFERROR(SEARCH('PLANILLA DJ'!$X$56,$A47,1),""))</f>
        <v>1</v>
      </c>
      <c r="BH47" s="207">
        <f>--ISNUMBER(IFERROR(SEARCH('PLANILLA DJ'!$X$57,$A47,1),""))</f>
        <v>1</v>
      </c>
      <c r="BI47" s="207">
        <f>--ISNUMBER(IFERROR(SEARCH('PLANILLA DJ'!$X$58,$A47,1),""))</f>
        <v>1</v>
      </c>
      <c r="BJ47" s="207">
        <f>--ISNUMBER(IFERROR(SEARCH('PLANILLA DJ'!$X$59,$A47,1),""))</f>
        <v>1</v>
      </c>
      <c r="BK47" s="207">
        <f>--ISNUMBER(IFERROR(SEARCH('PLANILLA DJ'!$X$60,$A47,1),""))</f>
        <v>1</v>
      </c>
      <c r="BL47" s="207">
        <f>--ISNUMBER(IFERROR(SEARCH('PLANILLA DJ'!$X$61,$A47,1),""))</f>
        <v>1</v>
      </c>
      <c r="BM47" s="207">
        <f>--ISNUMBER(IFERROR(SEARCH('PLANILLA DJ'!$X$62,$A47,1),""))</f>
        <v>1</v>
      </c>
      <c r="BN47" s="207">
        <f>--ISNUMBER(IFERROR(SEARCH('PLANILLA DJ'!$X$63,$A47,1),""))</f>
        <v>1</v>
      </c>
      <c r="BO47" s="207">
        <f>--ISNUMBER(IFERROR(SEARCH('PLANILLA DJ'!$X$64,$A47,1),""))</f>
        <v>1</v>
      </c>
      <c r="BP47" s="207">
        <f>--ISNUMBER(IFERROR(SEARCH('PLANILLA DJ'!$X$65,$A47,1),""))</f>
        <v>1</v>
      </c>
      <c r="BQ47" s="207">
        <f>--ISNUMBER(IFERROR(SEARCH('PLANILLA DJ'!$X$66,$A47,1),""))</f>
        <v>1</v>
      </c>
      <c r="BR47" s="207">
        <f>--ISNUMBER(IFERROR(SEARCH('PLANILLA DJ'!$X$67,$A47,1),""))</f>
        <v>1</v>
      </c>
      <c r="BS47" s="207">
        <f>--ISNUMBER(IFERROR(SEARCH('PLANILLA DJ'!$X$68,$A47,1),""))</f>
        <v>1</v>
      </c>
      <c r="BT47" s="207">
        <f>--ISNUMBER(IFERROR(SEARCH('PLANILLA DJ'!$X$69,$A47,1),""))</f>
        <v>1</v>
      </c>
      <c r="BU47" s="207">
        <f>--ISNUMBER(IFERROR(SEARCH('PLANILLA DJ'!$X$70,$A47,1),""))</f>
        <v>1</v>
      </c>
      <c r="BV47" s="207">
        <f>--ISNUMBER(IFERROR(SEARCH('PLANILLA DJ'!$X$71,$A47,1),""))</f>
        <v>1</v>
      </c>
      <c r="BW47" s="207">
        <f>--ISNUMBER(IFERROR(SEARCH('PLANILLA DJ'!$X$72,$A47,1),""))</f>
        <v>1</v>
      </c>
      <c r="BX47" s="207">
        <f>--ISNUMBER(IFERROR(SEARCH('PLANILLA DJ'!$X$73,$A47,1),""))</f>
        <v>1</v>
      </c>
      <c r="BY47" s="207">
        <f>--ISNUMBER(IFERROR(SEARCH('PLANILLA DJ'!$X$74,$A47,1),""))</f>
        <v>1</v>
      </c>
      <c r="BZ47" s="207">
        <f>--ISNUMBER(IFERROR(SEARCH('PLANILLA DJ'!$X$75,$A47,1),""))</f>
        <v>1</v>
      </c>
      <c r="CA47" s="207">
        <f>--ISNUMBER(IFERROR(SEARCH('PLANILLA DJ'!$X$76,$A47,1),""))</f>
        <v>1</v>
      </c>
      <c r="CB47" s="207">
        <f>--ISNUMBER(IFERROR(SEARCH('PLANILLA DJ'!$X$77,$A47,1),""))</f>
        <v>1</v>
      </c>
      <c r="CC47" s="207">
        <f>--ISNUMBER(IFERROR(SEARCH('PLANILLA DJ'!$X$78,$A47,1),""))</f>
        <v>1</v>
      </c>
      <c r="CD47" s="207">
        <f>--ISNUMBER(IFERROR(SEARCH('PLANILLA DJ'!$X$79,$A47,1),""))</f>
        <v>1</v>
      </c>
      <c r="CE47" s="207">
        <f>--ISNUMBER(IFERROR(SEARCH('PLANILLA DJ'!$X$80,$A47,1),""))</f>
        <v>1</v>
      </c>
      <c r="CF47" s="207">
        <f>--ISNUMBER(IFERROR(SEARCH('PLANILLA DJ'!$X$81,$A47,1),""))</f>
        <v>1</v>
      </c>
      <c r="CG47" s="207">
        <f>--ISNUMBER(IFERROR(SEARCH('PLANILLA DJ'!$X$82,$A47,1),""))</f>
        <v>1</v>
      </c>
      <c r="CH47" s="207">
        <f>--ISNUMBER(IFERROR(SEARCH('PLANILLA DJ'!$X$83,$A47,1),""))</f>
        <v>1</v>
      </c>
      <c r="CI47" s="207">
        <f>--ISNUMBER(IFERROR(SEARCH('PLANILLA DJ'!$X$84,$A47,1),""))</f>
        <v>1</v>
      </c>
      <c r="CJ47" s="207">
        <f>--ISNUMBER(IFERROR(SEARCH('PLANILLA DJ'!$X$85,$A47,1),""))</f>
        <v>1</v>
      </c>
      <c r="CK47" s="207">
        <f>--ISNUMBER(IFERROR(SEARCH('PLANILLA DJ'!$X$86,$A47,1),""))</f>
        <v>1</v>
      </c>
      <c r="CL47" s="207">
        <f>--ISNUMBER(IFERROR(SEARCH('PLANILLA DJ'!$X$87,$A47,1),""))</f>
        <v>1</v>
      </c>
      <c r="CM47" s="207">
        <f>--ISNUMBER(IFERROR(SEARCH('PLANILLA DJ'!$X$88,$A47,1),""))</f>
        <v>1</v>
      </c>
      <c r="CN47" s="207">
        <f>--ISNUMBER(IFERROR(SEARCH('PLANILLA DJ'!$X$89,$A47,1),""))</f>
        <v>1</v>
      </c>
      <c r="CO47" s="207">
        <f>--ISNUMBER(IFERROR(SEARCH('PLANILLA DJ'!$X$90,$A47,1),""))</f>
        <v>1</v>
      </c>
      <c r="CP47" s="207">
        <f>--ISNUMBER(IFERROR(SEARCH('PLANILLA DJ'!$X$91,$A47,1),""))</f>
        <v>1</v>
      </c>
      <c r="CQ47" s="207">
        <f>--ISNUMBER(IFERROR(SEARCH('PLANILLA DJ'!$X$92,$A47,1),""))</f>
        <v>1</v>
      </c>
      <c r="CR47" s="207">
        <f>--ISNUMBER(IFERROR(SEARCH('PLANILLA DJ'!$X$93,$A47,1),""))</f>
        <v>1</v>
      </c>
      <c r="CS47" s="207">
        <f>--ISNUMBER(IFERROR(SEARCH('PLANILLA DJ'!$X$94,$A47,1),""))</f>
        <v>1</v>
      </c>
      <c r="CT47" s="207">
        <f>--ISNUMBER(IFERROR(SEARCH('PLANILLA DJ'!$X$95,$A47,1),""))</f>
        <v>1</v>
      </c>
      <c r="CU47" s="207">
        <f>--ISNUMBER(IFERROR(SEARCH('PLANILLA DJ'!$X$96,$A47,1),""))</f>
        <v>1</v>
      </c>
      <c r="CV47" s="207">
        <f>--ISNUMBER(IFERROR(SEARCH('PLANILLA DJ'!$X$97,$A47,1),""))</f>
        <v>1</v>
      </c>
      <c r="CW47" s="207">
        <f>--ISNUMBER(IFERROR(SEARCH('PLANILLA DJ'!$X$98,$A47,1),""))</f>
        <v>1</v>
      </c>
      <c r="CX47" s="207">
        <f>--ISNUMBER(IFERROR(SEARCH('PLANILLA DJ'!$X$99,$A47,1),""))</f>
        <v>1</v>
      </c>
      <c r="CY47" s="207">
        <f>--ISNUMBER(IFERROR(SEARCH('PLANILLA DJ'!$X$100,$A47,1),""))</f>
        <v>1</v>
      </c>
      <c r="CZ47" s="207">
        <f>--ISNUMBER(IFERROR(SEARCH('PLANILLA DJ'!$X$101,$A47,1),""))</f>
        <v>1</v>
      </c>
      <c r="DA47" s="207">
        <f>--ISNUMBER(IFERROR(SEARCH('PLANILLA DJ'!$X$102,$A47,1),""))</f>
        <v>1</v>
      </c>
      <c r="DB47" s="206">
        <f>IF(F47=1,COUNTIF($F$2:F47,1),"")</f>
        <v>46</v>
      </c>
      <c r="DC47" s="206">
        <f>IF(G47=1,COUNTIF($G$2:G47,1),"")</f>
        <v>46</v>
      </c>
      <c r="DD47" s="206">
        <f>IF(H47=1,COUNTIF($H$2:H47,1),"")</f>
        <v>46</v>
      </c>
      <c r="DE47" s="206">
        <f>IF(I47=1,COUNTIF($I$2:I47,1),"")</f>
        <v>46</v>
      </c>
      <c r="DF47" s="206">
        <f>IF(J47=1,COUNTIF($J$2:J47,1),"")</f>
        <v>46</v>
      </c>
      <c r="DG47" s="206">
        <f>IF(K47=1,COUNTIF($K$2:K47,1),"")</f>
        <v>46</v>
      </c>
      <c r="DH47" s="206">
        <f>IF(L47=1,COUNTIF($L$2:L47,1),"")</f>
        <v>46</v>
      </c>
      <c r="DI47" s="206">
        <f>IF(M47=1,COUNTIF($M$2:M47,1),"")</f>
        <v>46</v>
      </c>
      <c r="DJ47" s="206">
        <f>IF(N47=1,COUNTIF($N$2:N47,1),"")</f>
        <v>46</v>
      </c>
      <c r="DK47" s="206">
        <f>IF(O47=1,COUNTIF($O$2:O47,1),"")</f>
        <v>46</v>
      </c>
      <c r="DL47" s="206">
        <f>IF(P47=1,COUNTIF($P$2:P47,1),"")</f>
        <v>46</v>
      </c>
      <c r="DM47" s="206">
        <f>IF(Q47=1,COUNTIF($Q$2:Q47,1),"")</f>
        <v>46</v>
      </c>
      <c r="DN47" s="207">
        <f>IF(R47=1,COUNTIF($R$2:R47,1),"")</f>
        <v>46</v>
      </c>
      <c r="DO47" s="207">
        <f>IF(S47=1,COUNTIF($S$2:S47,1),"")</f>
        <v>46</v>
      </c>
      <c r="DP47" s="207">
        <f>IF(T47=1,COUNTIF($T$2:T47,1),"")</f>
        <v>46</v>
      </c>
      <c r="DQ47" s="207">
        <f>IF(U47=1,COUNTIF($U$2:U47,1),"")</f>
        <v>46</v>
      </c>
      <c r="DR47" s="207">
        <f>IF(V47=1,COUNTIF($V$2:V47,1),"")</f>
        <v>46</v>
      </c>
      <c r="DS47" s="207">
        <f>IF(W47=1,COUNTIF($W$2:W47,1),"")</f>
        <v>46</v>
      </c>
      <c r="DT47" s="207">
        <f>IF(X47=1,COUNTIF($X$2:X47,1),"")</f>
        <v>46</v>
      </c>
      <c r="DU47" s="207">
        <f>IF(Y47=1,COUNTIF($Y$2:Y47,1),"")</f>
        <v>46</v>
      </c>
      <c r="DV47" s="207">
        <f>IF(Z47=1,COUNTIF(Z$2:Z47,1),"")</f>
        <v>46</v>
      </c>
      <c r="DW47" s="207">
        <f>IF(AA47=1,COUNTIF($AA$2:AA47,1),"")</f>
        <v>46</v>
      </c>
      <c r="DX47" s="207">
        <f>IF(AB47=1,COUNTIF($AB$2:AB47,1),"")</f>
        <v>46</v>
      </c>
      <c r="DY47" s="207">
        <f>IF(AC47=1,COUNTIF($AC$2:AC47,1),"")</f>
        <v>46</v>
      </c>
      <c r="DZ47" s="207">
        <f>IF(AD47=1,COUNTIF($AD$2:AD47,1),"")</f>
        <v>46</v>
      </c>
      <c r="EA47" s="207">
        <f>IF(AE47=1,COUNTIF($AE$2:AE47,1),"")</f>
        <v>46</v>
      </c>
      <c r="EB47" s="207">
        <f>IF(AF47=1,COUNTIF($AF$2:AF47,1),"")</f>
        <v>46</v>
      </c>
      <c r="EC47" s="207">
        <f>IF(AG47=1,COUNTIF($AG$2:AG47,1),"")</f>
        <v>46</v>
      </c>
      <c r="ED47" s="207">
        <f>IF(AH47=1,COUNTIF($AH$2:AH47,1),"")</f>
        <v>46</v>
      </c>
      <c r="EE47" s="207">
        <f>IF(AI47=1,COUNTIF($AI$2:AI47,1),"")</f>
        <v>46</v>
      </c>
      <c r="EF47" s="207">
        <f>IF(AJ47=1,COUNTIF($AJ$2:AJ47,1),"")</f>
        <v>46</v>
      </c>
      <c r="EG47" s="207">
        <f>IF(AK47=1,COUNTIF($AK$2:AK47,1),"")</f>
        <v>46</v>
      </c>
      <c r="EH47" s="207">
        <f>IF(AL47=1,COUNTIF($AL$2:AL47,1),"")</f>
        <v>46</v>
      </c>
      <c r="EI47" s="207">
        <f>IF(AM47=1,COUNTIF($AM$2:AM47,1),"")</f>
        <v>46</v>
      </c>
      <c r="EJ47" s="207">
        <f>IF(AN47=1,COUNTIF($AN$2:AN47,1),"")</f>
        <v>46</v>
      </c>
      <c r="EK47" s="207">
        <f>IF(AO47=1,COUNTIF($AO$2:AO47,1),"")</f>
        <v>46</v>
      </c>
      <c r="EL47" s="207">
        <f>IF(AP47=1,COUNTIF($AP$2:AP47,1),"")</f>
        <v>46</v>
      </c>
      <c r="EM47" s="207">
        <f>IF(AQ47=1,COUNTIF($AQ$2:AQ47,1),"")</f>
        <v>46</v>
      </c>
      <c r="EN47" s="207">
        <f>IF(AR47=1,COUNTIF($AR$2:AR47,1),"")</f>
        <v>46</v>
      </c>
      <c r="EO47" s="207">
        <f>IF(AS47=1,COUNTIF($AS$2:AS47,1),"")</f>
        <v>46</v>
      </c>
      <c r="EP47" s="207">
        <f>IF(AT47=1,COUNTIF($AT$2:AT47,1),"")</f>
        <v>46</v>
      </c>
      <c r="EQ47" s="207">
        <f>IF(AU47=1,COUNTIF($AU$2:AU47,1),"")</f>
        <v>46</v>
      </c>
      <c r="ER47" s="207">
        <f>IF(AV47=1,COUNTIF($AV$2:AV47,1),"")</f>
        <v>46</v>
      </c>
      <c r="ES47" s="207">
        <f>IF(AW47=1,COUNTIF($AW$2:AW47,1),"")</f>
        <v>46</v>
      </c>
      <c r="ET47" s="207">
        <f>IF(AX47=1,COUNTIF($AX$2:AX47,1),"")</f>
        <v>46</v>
      </c>
      <c r="EU47" s="207">
        <f>IF(AY47=1,COUNTIF($AY$2:AY47,1),"")</f>
        <v>46</v>
      </c>
      <c r="EV47" s="207">
        <f>IF(AZ47=1,COUNTIF($AZ$2:AZ47,1),"")</f>
        <v>46</v>
      </c>
      <c r="EW47" s="207">
        <f>IF(BA47=1,COUNTIF($BA$2:BA47,1),"")</f>
        <v>46</v>
      </c>
      <c r="EX47" s="207">
        <f>IF(BB47=1,COUNTIF($BB$2:BB47,1),"")</f>
        <v>46</v>
      </c>
      <c r="EY47" s="207">
        <f>IF(BC47=1,COUNTIF($BC$2:BC47,1),"")</f>
        <v>46</v>
      </c>
      <c r="EZ47" s="207">
        <f>IF(BD47=1,COUNTIF($BD$2:BD47,1),"")</f>
        <v>46</v>
      </c>
      <c r="FA47" s="207">
        <f>IF(BE47=1,COUNTIF($BE$2:BE47,1),"")</f>
        <v>46</v>
      </c>
      <c r="FB47" s="207">
        <f>IF(BF47=1,COUNTIF($BF$2:BF47,1),"")</f>
        <v>46</v>
      </c>
      <c r="FC47" s="207">
        <f>IF(BG47=1,COUNTIF($BG$2:BG47,1),"")</f>
        <v>46</v>
      </c>
      <c r="FD47" s="207">
        <f>IF(BH47=1,COUNTIF($BH$2:BH47,1),"")</f>
        <v>46</v>
      </c>
      <c r="FE47" s="207">
        <f>IF(BI47=1,COUNTIF($BI$2:BI47,1),"")</f>
        <v>46</v>
      </c>
      <c r="FF47" s="207">
        <f>IF(BJ47=1,COUNTIF($BJ$2:BJ47,1),"")</f>
        <v>46</v>
      </c>
      <c r="FG47" s="207">
        <f>IF(BK47=1,COUNTIF($BK$2:BK47,1),"")</f>
        <v>46</v>
      </c>
      <c r="FH47" s="207">
        <f>IF(BL47=1,COUNTIF($BL$2:BL47,1),"")</f>
        <v>46</v>
      </c>
      <c r="FI47" s="207">
        <f>IF(BM47=1,COUNTIF($BM$2:BM47,1),"")</f>
        <v>46</v>
      </c>
      <c r="FJ47" s="207">
        <f>IF(BN47=1,COUNTIF($BN$2:BN47,1),"")</f>
        <v>46</v>
      </c>
      <c r="FK47" s="207">
        <f>IF(BO47=1,COUNTIF($BO$2:BO47,1),"")</f>
        <v>46</v>
      </c>
      <c r="FL47" s="207">
        <f>IF(BP47=1,COUNTIF($BP$2:BP47,1),"")</f>
        <v>46</v>
      </c>
      <c r="FM47" s="207">
        <f>IF(BQ47=1,COUNTIF($BQ$2:BQ47,1),"")</f>
        <v>46</v>
      </c>
      <c r="FN47" s="207">
        <f>IF(BR47=1,COUNTIF($BR$2:BR47,1),"")</f>
        <v>46</v>
      </c>
      <c r="FO47" s="207">
        <f>IF(BS47=1,COUNTIF($BS$2:BS47,1),"")</f>
        <v>46</v>
      </c>
      <c r="FP47" s="207">
        <f>IF(BT47=1,COUNTIF($BT$2:BT47,1),"")</f>
        <v>46</v>
      </c>
      <c r="FQ47" s="207">
        <f>IF(BU47=1,COUNTIF($BU$2:BU47,1),"")</f>
        <v>46</v>
      </c>
      <c r="FR47" s="207">
        <f>IF(BV47=1,COUNTIF($BV$2:BV47,1),"")</f>
        <v>46</v>
      </c>
      <c r="FS47" s="207">
        <f>IF(BW47=1,COUNTIF($BW$2:BW47,1),"")</f>
        <v>46</v>
      </c>
      <c r="FT47" s="207">
        <f>IF(BX47=1,COUNTIF($BX$2:BX47,1),"")</f>
        <v>46</v>
      </c>
      <c r="FU47" s="207">
        <f>IF(BY47=1,COUNTIF($BY$2:BY47,1),"")</f>
        <v>46</v>
      </c>
      <c r="FV47" s="207">
        <f>IF(BZ47=1,COUNTIF($BZ$2:BZ47,1),"")</f>
        <v>46</v>
      </c>
      <c r="FW47" s="207">
        <f>IF(CA47=1,COUNTIF($CA$2:CA47,1),"")</f>
        <v>46</v>
      </c>
      <c r="FX47" s="207">
        <f>IF(CB47=1,COUNTIF($CB$2:CB47,1),"")</f>
        <v>46</v>
      </c>
      <c r="FY47" s="207">
        <f>IF(CC47=1,COUNTIF($CC$2:CC47,1),"")</f>
        <v>46</v>
      </c>
      <c r="FZ47" s="207">
        <f>IF(CD47=1,COUNTIF($CD$2:CD47,1),"")</f>
        <v>46</v>
      </c>
      <c r="GA47" s="207">
        <f>IF(CE47=1,COUNTIF($CE$2:CE47,1),"")</f>
        <v>46</v>
      </c>
      <c r="GB47" s="207">
        <f>IF(CF47=1,COUNTIF($CF$2:CF47,1),"")</f>
        <v>46</v>
      </c>
      <c r="GC47" s="207">
        <f>IF(CG47=1,COUNTIF($CG$2:CG47,1),"")</f>
        <v>46</v>
      </c>
      <c r="GD47" s="207">
        <f>IF(CH47=1,COUNTIF($CH$2:CH47,1),"")</f>
        <v>46</v>
      </c>
      <c r="GE47" s="207">
        <f>IF(CI47=1,COUNTIF($CI$2:CI47,1),"")</f>
        <v>46</v>
      </c>
      <c r="GF47" s="207">
        <f>IF(CJ47=1,COUNTIF($CJ$2:CJ47,1),"")</f>
        <v>46</v>
      </c>
      <c r="GG47" s="207">
        <f>IF(CK47=1,COUNTIF($CK$2:CK47,1),"")</f>
        <v>46</v>
      </c>
      <c r="GH47" s="207">
        <f>IF(CL47=1,COUNTIF($CL$2:CL47,1),"")</f>
        <v>46</v>
      </c>
      <c r="GI47" s="207">
        <f>IF(CM47=1,COUNTIF($CM$2:CM47,1),"")</f>
        <v>46</v>
      </c>
      <c r="GJ47" s="207">
        <f>IF(CN47=1,COUNTIF($CN$2:CN47,1),"")</f>
        <v>46</v>
      </c>
      <c r="GK47" s="207">
        <f>IF(CO47=1,COUNTIF($CO$2:CO47,1),"")</f>
        <v>46</v>
      </c>
      <c r="GL47" s="207">
        <f>IF(CP47=1,COUNTIF($CP$2:CP47,1),"")</f>
        <v>46</v>
      </c>
      <c r="GM47" s="207">
        <f>IF(CQ47=1,COUNTIF($CQ$2:CQ47,1),"")</f>
        <v>46</v>
      </c>
      <c r="GN47" s="207">
        <f>IF(CR47=1,COUNTIF($CR$2:CR47,1),"")</f>
        <v>46</v>
      </c>
      <c r="GO47" s="207">
        <f>IF(CS47=1,COUNTIF($CS$2:CS47,1),"")</f>
        <v>46</v>
      </c>
      <c r="GP47" s="207">
        <f>IF(CT47=1,COUNTIF($CT$2:CT47,1),"")</f>
        <v>46</v>
      </c>
      <c r="GQ47" s="207">
        <f>IF(CU47=1,COUNTIF($CU$2:CU47,1),"")</f>
        <v>46</v>
      </c>
      <c r="GR47" s="207">
        <f>IF(CV47=1,COUNTIF($CV$2:CV47,1),"")</f>
        <v>46</v>
      </c>
      <c r="GS47" s="207">
        <f>IF(CW47=1,COUNTIF($CW$2:CW47,1),"")</f>
        <v>46</v>
      </c>
      <c r="GT47" s="207">
        <f>IF(CX47=1,COUNTIF($CX$2:CX47,1),"")</f>
        <v>46</v>
      </c>
      <c r="GU47" s="207">
        <f>IF(CY47=1,COUNTIF($CY$2:CY47,1),"")</f>
        <v>46</v>
      </c>
      <c r="GV47" s="207">
        <f>IF(CZ47=1,COUNTIF($CZ$2:CZ47,1),"")</f>
        <v>46</v>
      </c>
      <c r="GW47" s="207">
        <f>IF(DA47=1,COUNTIF($DA$2:DA47,1),"")</f>
        <v>46</v>
      </c>
      <c r="GX47" s="206" t="str">
        <f>IFERROR(INDEX($A$2:$A$113,MATCH(ROWS($DB$2:DB47),$DB$2:$DB$113,0)),"")</f>
        <v>HURTO COMETIDO POR FUNCIONARIO PUBLICO</v>
      </c>
      <c r="GY47" s="206" t="str">
        <f>IFERROR(INDEX($A$2:$A$113,MATCH(ROWS($DC$2:DC47),$DC$2:$DC$113,0)),"")</f>
        <v>HURTO COMETIDO POR FUNCIONARIO PUBLICO</v>
      </c>
      <c r="GZ47" s="206" t="str">
        <f>IFERROR(INDEX($A$2:$A$113,MATCH(ROWS($DD$2:DD47),$DD$2:$DD$113,0)),"")</f>
        <v>HURTO COMETIDO POR FUNCIONARIO PUBLICO</v>
      </c>
      <c r="HA47" s="206" t="str">
        <f>IFERROR(INDEX($A$2:$A$113,MATCH(ROWS($DE$2:DE47),$DE$2:$DE$113,0)),"")</f>
        <v>HURTO COMETIDO POR FUNCIONARIO PUBLICO</v>
      </c>
      <c r="HB47" s="206" t="str">
        <f>IFERROR(INDEX($A$2:$A$113,MATCH(ROWS($DF$2:DF47),$DF$2:$DF$113,0)),"")</f>
        <v>HURTO COMETIDO POR FUNCIONARIO PUBLICO</v>
      </c>
      <c r="HC47" s="206" t="str">
        <f>IFERROR(INDEX($A$2:$A$113,MATCH(ROWS($DG$2:DG47),$DG$2:$DG$113,0)),"")</f>
        <v>HURTO COMETIDO POR FUNCIONARIO PUBLICO</v>
      </c>
      <c r="HD47" s="206" t="str">
        <f>IFERROR(INDEX($A$2:$A$113,MATCH(ROWS($DH$2:DH47),$DH$2:$DH$113,0)),"")</f>
        <v>HURTO COMETIDO POR FUNCIONARIO PUBLICO</v>
      </c>
      <c r="HE47" s="206" t="str">
        <f>IFERROR(INDEX($A$2:$A$113,MATCH(ROWS($DI$2:DI47),$DI$2:$DI$113,0)),"")</f>
        <v>HURTO COMETIDO POR FUNCIONARIO PUBLICO</v>
      </c>
      <c r="HF47" s="206" t="str">
        <f>IFERROR(INDEX($A$2:$A$113,MATCH(ROWS($DJ$2:DJ47),$DJ$2:$DJ$113,0)),"")</f>
        <v>HURTO COMETIDO POR FUNCIONARIO PUBLICO</v>
      </c>
      <c r="HG47" s="206" t="str">
        <f>IFERROR(INDEX($A$2:$A$113,MATCH(ROWS($DK$2:DK47),$DK$2:$DK$113,0)),"")</f>
        <v>HURTO COMETIDO POR FUNCIONARIO PUBLICO</v>
      </c>
      <c r="HH47" s="206" t="str">
        <f>IFERROR(INDEX($A$2:$A$113,MATCH(ROWS($DL$2:DL47),$DL$2:$DL$113,0)),"")</f>
        <v>HURTO COMETIDO POR FUNCIONARIO PUBLICO</v>
      </c>
      <c r="HI47" s="206" t="str">
        <f>IFERROR(INDEX($A$2:$A$113,MATCH(ROWS($DM$2:DM47),$DM$2:$DM$113,0)),"")</f>
        <v>HURTO COMETIDO POR FUNCIONARIO PUBLICO</v>
      </c>
      <c r="HJ47" s="206" t="str">
        <f>IFERROR(INDEX($A$2:$A$113,MATCH(ROWS($DN$2:DN47),$DN$2:$DN$113,0)),"")</f>
        <v>HURTO COMETIDO POR FUNCIONARIO PUBLICO</v>
      </c>
      <c r="HK47" s="206" t="str">
        <f>IFERROR(INDEX($A$2:$A$113,MATCH(ROWS($DO$2:DO47),$DO$2:$DO$113,0)),"")</f>
        <v>HURTO COMETIDO POR FUNCIONARIO PUBLICO</v>
      </c>
      <c r="HL47" s="206" t="str">
        <f>IFERROR(INDEX($A$2:$A$113,MATCH(ROWS($DP$2:DP47),$DP$2:$DP$113,0)),"")</f>
        <v>HURTO COMETIDO POR FUNCIONARIO PUBLICO</v>
      </c>
      <c r="HM47" s="206" t="str">
        <f>IFERROR(INDEX($A$2:$A$113,MATCH(ROWS($DQ$2:DQ47),$DQ$2:$DQ$113,0)),"")</f>
        <v>HURTO COMETIDO POR FUNCIONARIO PUBLICO</v>
      </c>
      <c r="HN47" s="206" t="str">
        <f>IFERROR(INDEX($A$2:$A$113,MATCH(ROWS($DR$2:DR47),$DR$2:$DR$113,0)),"")</f>
        <v>HURTO COMETIDO POR FUNCIONARIO PUBLICO</v>
      </c>
      <c r="HO47" s="206" t="str">
        <f>IFERROR(INDEX($A$2:$A$113,MATCH(ROWS($DS$2:DS47),$DS$2:$DS$113,0)),"")</f>
        <v>HURTO COMETIDO POR FUNCIONARIO PUBLICO</v>
      </c>
      <c r="HP47" s="206" t="str">
        <f>IFERROR(INDEX($A$2:$A$113,MATCH(ROWS($DT$2:DT47),$DT$2:$DT$113,0)),"")</f>
        <v>HURTO COMETIDO POR FUNCIONARIO PUBLICO</v>
      </c>
      <c r="HQ47" s="206" t="str">
        <f>IFERROR(INDEX($A$2:$A$113,MATCH(ROWS($DU$2:DU47),$DU$2:$DU$113,0)),"")</f>
        <v>HURTO COMETIDO POR FUNCIONARIO PUBLICO</v>
      </c>
      <c r="HR47" s="206" t="str">
        <f>IFERROR(INDEX($A$2:$A$113,MATCH(ROWS($DV$2:DV47),$DV$2:$DV$113,0)),"")</f>
        <v>HURTO COMETIDO POR FUNCIONARIO PUBLICO</v>
      </c>
      <c r="HS47" s="206" t="str">
        <f>IFERROR(INDEX($A$2:$A$113,MATCH(ROWS($DW$2:DW47),$DW$2:$DW$113,0)),"")</f>
        <v>HURTO COMETIDO POR FUNCIONARIO PUBLICO</v>
      </c>
      <c r="HT47" s="206" t="str">
        <f>IFERROR(INDEX($A$2:$A$113,MATCH(ROWS($DX$2:DX47),$DX$2:$DX$113,0)),"")</f>
        <v>HURTO COMETIDO POR FUNCIONARIO PUBLICO</v>
      </c>
      <c r="HU47" s="206" t="str">
        <f>IFERROR(INDEX($A$2:$A$113,MATCH(ROWS($DY$2:DY47),$DY$2:$DY$113,0)),"")</f>
        <v>HURTO COMETIDO POR FUNCIONARIO PUBLICO</v>
      </c>
      <c r="HV47" s="206" t="str">
        <f>IFERROR(INDEX($A$2:$A$113,MATCH(ROWS($DZ$2:DZ47),$DZ$2:$DZ$113,0)),"")</f>
        <v>HURTO COMETIDO POR FUNCIONARIO PUBLICO</v>
      </c>
      <c r="HW47" s="206" t="str">
        <f>IFERROR(INDEX($A$2:$A$113,MATCH(ROWS($EA$2:EA47),$EA$2:$EA$113,0)),"")</f>
        <v>HURTO COMETIDO POR FUNCIONARIO PUBLICO</v>
      </c>
      <c r="HX47" s="206" t="str">
        <f>IFERROR(INDEX($A$2:$A$113,MATCH(ROWS($EB$2:EB47),$EB$2:$EB$113,0)),"")</f>
        <v>HURTO COMETIDO POR FUNCIONARIO PUBLICO</v>
      </c>
      <c r="HY47" s="206" t="str">
        <f>IFERROR(INDEX($A$2:$A$113,MATCH(ROWS($EC$2:EC47),$EC$2:$EC$113,0)),"")</f>
        <v>HURTO COMETIDO POR FUNCIONARIO PUBLICO</v>
      </c>
      <c r="HZ47" s="206" t="str">
        <f>IFERROR(INDEX($A$2:$A$113,MATCH(ROWS($ED$2:ED47),$ED$2:$ED$113,0)),"")</f>
        <v>HURTO COMETIDO POR FUNCIONARIO PUBLICO</v>
      </c>
      <c r="IA47" s="206" t="str">
        <f>IFERROR(INDEX($A$2:$A$113,MATCH(ROWS($EE$2:EE47),$EE$2:$EE$113,0)),"")</f>
        <v>HURTO COMETIDO POR FUNCIONARIO PUBLICO</v>
      </c>
      <c r="IB47" s="206" t="str">
        <f>IFERROR(INDEX($A$2:$A$113,MATCH(ROWS($EF$2:EF47),$EF$2:$EF$113,0)),"")</f>
        <v>HURTO COMETIDO POR FUNCIONARIO PUBLICO</v>
      </c>
      <c r="IC47" s="206" t="str">
        <f>IFERROR(INDEX($A$2:$A$113,MATCH(ROWS($EG$2:EG47),$EG$2:$EG$113,0)),"")</f>
        <v>HURTO COMETIDO POR FUNCIONARIO PUBLICO</v>
      </c>
      <c r="ID47" s="206" t="str">
        <f>IFERROR(INDEX($A$2:$A$113,MATCH(ROWS($EH$2:EH47),$EH$2:$EH$113,0)),"")</f>
        <v>HURTO COMETIDO POR FUNCIONARIO PUBLICO</v>
      </c>
      <c r="IE47" s="206" t="str">
        <f>IFERROR(INDEX($A$2:$A$113,MATCH(ROWS($EI$2:EI47),$EI$2:$EI$113,0)),"")</f>
        <v>HURTO COMETIDO POR FUNCIONARIO PUBLICO</v>
      </c>
      <c r="IF47" s="206" t="str">
        <f>IFERROR(INDEX($A$2:$A$113,MATCH(ROWS($EJ$2:EJ47),$EJ$2:$EJ$113,0)),"")</f>
        <v>HURTO COMETIDO POR FUNCIONARIO PUBLICO</v>
      </c>
      <c r="IG47" s="206" t="str">
        <f>IFERROR(INDEX($A$2:$A$113,MATCH(ROWS($EK$2:EK47),$EK$2:$EK$113,0)),"")</f>
        <v>HURTO COMETIDO POR FUNCIONARIO PUBLICO</v>
      </c>
      <c r="IH47" s="206" t="str">
        <f>IFERROR(INDEX($A$2:$A$113,MATCH(ROWS($EL$2:EL47),$EL$2:$EL$113,0)),"")</f>
        <v>HURTO COMETIDO POR FUNCIONARIO PUBLICO</v>
      </c>
      <c r="II47" s="206" t="str">
        <f>IFERROR(INDEX($A$2:$A$113,MATCH(ROWS($EM$2:EM47),$EM$2:$EM$113,0)),"")</f>
        <v>HURTO COMETIDO POR FUNCIONARIO PUBLICO</v>
      </c>
      <c r="IJ47" s="206" t="str">
        <f>IFERROR(INDEX($A$2:$A$113,MATCH(ROWS($EN$2:EN47),$EN$2:$EN$113,0)),"")</f>
        <v>HURTO COMETIDO POR FUNCIONARIO PUBLICO</v>
      </c>
      <c r="IK47" s="207" t="str">
        <f>IFERROR(INDEX($A$2:$A$113,MATCH(ROWS($EO$2:EO47),$EO$2:$EO$113,0)),"")</f>
        <v>HURTO COMETIDO POR FUNCIONARIO PUBLICO</v>
      </c>
      <c r="IL47" s="207" t="str">
        <f>IFERROR(INDEX($A$2:$A$113,MATCH(ROWS($EP$2:EP47),$EP$2:$EP$113,0)),"")</f>
        <v>HURTO COMETIDO POR FUNCIONARIO PUBLICO</v>
      </c>
      <c r="IM47" s="207" t="str">
        <f>IFERROR(INDEX($A$2:$A$113,MATCH(ROWS($EQ$2:EQ47),$EQ$2:$EQ$113,0)),"")</f>
        <v>HURTO COMETIDO POR FUNCIONARIO PUBLICO</v>
      </c>
      <c r="IN47" s="207" t="str">
        <f>IFERROR(INDEX($A$2:$A$113,MATCH(ROWS($ER$2:ER47),$ER$2:$ER$113,0)),"")</f>
        <v>HURTO COMETIDO POR FUNCIONARIO PUBLICO</v>
      </c>
      <c r="IO47" s="207" t="str">
        <f>IFERROR(INDEX($A$2:$A$113,MATCH(ROWS($ES$2:ES47),$ES$2:$ES$113,0)),"")</f>
        <v>HURTO COMETIDO POR FUNCIONARIO PUBLICO</v>
      </c>
      <c r="IP47" s="207" t="str">
        <f>IFERROR(INDEX($A$2:$A$113,MATCH(ROWS($ET$2:ET47),$ET$2:$ET$113,0)),"")</f>
        <v>HURTO COMETIDO POR FUNCIONARIO PUBLICO</v>
      </c>
      <c r="IQ47" s="207" t="str">
        <f>IFERROR(INDEX($A$2:$A$113,MATCH(ROWS($EU$2:EU47),$EU$2:$EU$113,0)),"")</f>
        <v>HURTO COMETIDO POR FUNCIONARIO PUBLICO</v>
      </c>
      <c r="IR47" s="207" t="str">
        <f>IFERROR(INDEX($A$2:$A$113,MATCH(ROWS($EV$2:EV47),$EV$2:$EV$113,0)),"")</f>
        <v>HURTO COMETIDO POR FUNCIONARIO PUBLICO</v>
      </c>
      <c r="IS47" s="207" t="str">
        <f>IFERROR(INDEX($A$2:$A$113,MATCH(ROWS($EW$2:EW47),$EW$2:$EW$113,0)),"")</f>
        <v>HURTO COMETIDO POR FUNCIONARIO PUBLICO</v>
      </c>
      <c r="IT47" s="207" t="str">
        <f>IFERROR(INDEX($A$2:$A$113,MATCH(ROWS($EX$2:EX47),$EX$2:$EX$113,0)),"")</f>
        <v>HURTO COMETIDO POR FUNCIONARIO PUBLICO</v>
      </c>
      <c r="IU47" s="207" t="str">
        <f>IFERROR(INDEX($A$2:$A$113,MATCH(ROWS($EY$2:EY47),$EY$2:$EY$113,0)),"")</f>
        <v>HURTO COMETIDO POR FUNCIONARIO PUBLICO</v>
      </c>
      <c r="IV47" s="207" t="str">
        <f>IFERROR(INDEX($A$2:$A$113,MATCH(ROWS($EZ$2:EZ47),$EZ$2:$EZ$113,0)),"")</f>
        <v>HURTO COMETIDO POR FUNCIONARIO PUBLICO</v>
      </c>
      <c r="IW47" s="207" t="str">
        <f>IFERROR(INDEX($A$2:$A$113,MATCH(ROWS($FA$2:FA47),$FA$2:$FA$113,0)),"")</f>
        <v>HURTO COMETIDO POR FUNCIONARIO PUBLICO</v>
      </c>
      <c r="IX47" s="207" t="str">
        <f>IFERROR(INDEX($A$2:$A$113,MATCH(ROWS($FB$2:FB47),$FB$2:$FB$113,0)),"")</f>
        <v>HURTO COMETIDO POR FUNCIONARIO PUBLICO</v>
      </c>
      <c r="IY47" s="207" t="str">
        <f>IFERROR(INDEX($A$2:$A$113,MATCH(ROWS($FC$2:FC47),$FC$2:$FC$113,0)),"")</f>
        <v>HURTO COMETIDO POR FUNCIONARIO PUBLICO</v>
      </c>
      <c r="IZ47" s="207" t="str">
        <f>IFERROR(INDEX($A$2:$A$113,MATCH(ROWS($FD$2:FD47),$FD$2:$FD$113,0)),"")</f>
        <v>HURTO COMETIDO POR FUNCIONARIO PUBLICO</v>
      </c>
      <c r="JA47" s="207" t="str">
        <f>IFERROR(INDEX($A$2:$A$113,MATCH(ROWS($FE$2:FE47),$FE$2:$FE$113,0)),"")</f>
        <v>HURTO COMETIDO POR FUNCIONARIO PUBLICO</v>
      </c>
      <c r="JB47" s="207" t="str">
        <f>IFERROR(INDEX($A$2:$A$113,MATCH(ROWS($FF$2:FF47),$FF$2:$FF$113,0)),"")</f>
        <v>HURTO COMETIDO POR FUNCIONARIO PUBLICO</v>
      </c>
      <c r="JC47" s="207" t="str">
        <f>IFERROR(INDEX($A$2:$A$113,MATCH(ROWS($FG$2:FG47),$FG$2:$FG$113,0)),"")</f>
        <v>HURTO COMETIDO POR FUNCIONARIO PUBLICO</v>
      </c>
      <c r="JD47" s="207" t="str">
        <f>IFERROR(INDEX($A$2:$A$113,MATCH(ROWS($FH$2:FH47),$FH$2:$FH$113,0)),"")</f>
        <v>HURTO COMETIDO POR FUNCIONARIO PUBLICO</v>
      </c>
      <c r="JE47" s="207" t="str">
        <f>IFERROR(INDEX($A$2:$A$113,MATCH(ROWS($FI$2:FI47),$FI$2:$FI$113,0)),"")</f>
        <v>HURTO COMETIDO POR FUNCIONARIO PUBLICO</v>
      </c>
      <c r="JF47" s="207" t="str">
        <f>IFERROR(INDEX($A$2:$A$113,MATCH(ROWS($FJ$2:FJ47),$FJ$2:$FJ$113,0)),"")</f>
        <v>HURTO COMETIDO POR FUNCIONARIO PUBLICO</v>
      </c>
      <c r="JG47" s="207" t="str">
        <f>IFERROR(INDEX($A$2:$A$113,MATCH(ROWS($FK$2:FK47),$FK$2:$FK$113,0)),"")</f>
        <v>HURTO COMETIDO POR FUNCIONARIO PUBLICO</v>
      </c>
      <c r="JH47" s="207" t="str">
        <f>IFERROR(INDEX($A$2:$A$113,MATCH(ROWS($FL$2:FL47),$FL$2:$FL$113,0)),"")</f>
        <v>HURTO COMETIDO POR FUNCIONARIO PUBLICO</v>
      </c>
      <c r="JI47" s="207" t="str">
        <f>IFERROR(INDEX($A$2:$A$113,MATCH(ROWS($FM$2:FM47),$FM$2:$FM$113,0)),"")</f>
        <v>HURTO COMETIDO POR FUNCIONARIO PUBLICO</v>
      </c>
      <c r="JJ47" s="207" t="str">
        <f>IFERROR(INDEX($A$2:$A$113,MATCH(ROWS($FN$2:FN47),$FN$2:$FN$113,0)),"")</f>
        <v>HURTO COMETIDO POR FUNCIONARIO PUBLICO</v>
      </c>
      <c r="JK47" s="207" t="str">
        <f>IFERROR(INDEX($A$2:$A$113,MATCH(ROWS($FO$2:FO47),$FO$2:$FO$113,0)),"")</f>
        <v>HURTO COMETIDO POR FUNCIONARIO PUBLICO</v>
      </c>
      <c r="JL47" s="207" t="str">
        <f>IFERROR(INDEX($A$2:$A$113,MATCH(ROWS($FP$2:FP47),$FP$2:$FP$113,0)),"")</f>
        <v>HURTO COMETIDO POR FUNCIONARIO PUBLICO</v>
      </c>
      <c r="JM47" s="207" t="str">
        <f>IFERROR(INDEX($A$2:$A$113,MATCH(ROWS($FQ$2:FQ47),$FQ$2:$FQ$113,0)),"")</f>
        <v>HURTO COMETIDO POR FUNCIONARIO PUBLICO</v>
      </c>
      <c r="JN47" s="207" t="str">
        <f>IFERROR(INDEX($A$2:$A$113,MATCH(ROWS($FR$2:FR47),$FR$2:$FR$113,0)),"")</f>
        <v>HURTO COMETIDO POR FUNCIONARIO PUBLICO</v>
      </c>
      <c r="JO47" s="207" t="str">
        <f>IFERROR(INDEX($A$2:$A$113,MATCH(ROWS($FS$2:FS47),$FS$2:$FS$113,0)),"")</f>
        <v>HURTO COMETIDO POR FUNCIONARIO PUBLICO</v>
      </c>
      <c r="JP47" s="207" t="str">
        <f>IFERROR(INDEX($A$2:$A$113,MATCH(ROWS($FT$2:FT47),$FT$2:$FT$113,0)),"")</f>
        <v>HURTO COMETIDO POR FUNCIONARIO PUBLICO</v>
      </c>
      <c r="JQ47" s="207" t="str">
        <f>IFERROR(INDEX($A$2:$A$113,MATCH(ROWS($FU$2:FU47),$FU$2:$FU$113,0)),"")</f>
        <v>HURTO COMETIDO POR FUNCIONARIO PUBLICO</v>
      </c>
      <c r="JR47" s="207" t="str">
        <f>IFERROR(INDEX($A$2:$A$113,MATCH(ROWS($FV$2:FV47),$FV$2:$FV$113,0)),"")</f>
        <v>HURTO COMETIDO POR FUNCIONARIO PUBLICO</v>
      </c>
      <c r="JS47" s="207" t="str">
        <f>IFERROR(INDEX($A$2:$A$113,MATCH(ROWS($FW$2:FW47),$FW$2:$FW$113,0)),"")</f>
        <v>HURTO COMETIDO POR FUNCIONARIO PUBLICO</v>
      </c>
      <c r="JT47" s="207" t="str">
        <f>IFERROR(INDEX($A$2:$A$113,MATCH(ROWS($FX$2:FX47),$FX$2:$FX$113,0)),"")</f>
        <v>HURTO COMETIDO POR FUNCIONARIO PUBLICO</v>
      </c>
      <c r="JU47" s="207" t="str">
        <f>IFERROR(INDEX($A$2:$A$113,MATCH(ROWS($FY$2:FY47),$FY$2:$FY$113,0)),"")</f>
        <v>HURTO COMETIDO POR FUNCIONARIO PUBLICO</v>
      </c>
      <c r="JV47" s="207" t="str">
        <f>IFERROR(INDEX($A$2:$A$113,MATCH(ROWS($FZ$2:FZ47),$FZ$2:$FZ$113,0)),"")</f>
        <v>HURTO COMETIDO POR FUNCIONARIO PUBLICO</v>
      </c>
      <c r="JW47" s="207" t="str">
        <f>IFERROR(INDEX($A$2:$A$113,MATCH(ROWS($GA$2:GA47),$GA$2:$GA$113,0)),"")</f>
        <v>HURTO COMETIDO POR FUNCIONARIO PUBLICO</v>
      </c>
      <c r="JX47" s="207" t="str">
        <f>IFERROR(INDEX($A$2:$A$113,MATCH(ROWS($GB$2:GB47),$GB$2:$GB$113,0)),"")</f>
        <v>HURTO COMETIDO POR FUNCIONARIO PUBLICO</v>
      </c>
      <c r="JY47" s="207" t="str">
        <f>IFERROR(INDEX($A$2:$A$113,MATCH(ROWS($GC$2:GC47),$GC$2:$GC$113,0)),"")</f>
        <v>HURTO COMETIDO POR FUNCIONARIO PUBLICO</v>
      </c>
      <c r="JZ47" s="207" t="str">
        <f>IFERROR(INDEX($A$2:$A$113,MATCH(ROWS($GD$2:GD47),$GD$2:$GD$113,0)),"")</f>
        <v>HURTO COMETIDO POR FUNCIONARIO PUBLICO</v>
      </c>
      <c r="KA47" s="207" t="str">
        <f>IFERROR(INDEX($A$2:$A$113,MATCH(ROWS($GE$2:GE47),$GE$2:$GE$113,0)),"")</f>
        <v>HURTO COMETIDO POR FUNCIONARIO PUBLICO</v>
      </c>
      <c r="KB47" s="207" t="str">
        <f>IFERROR(INDEX($A$2:$A$113,MATCH(ROWS($GF$2:GF47),$GF$2:$GF$113,0)),"")</f>
        <v>HURTO COMETIDO POR FUNCIONARIO PUBLICO</v>
      </c>
      <c r="KC47" s="207" t="str">
        <f>IFERROR(INDEX($A$2:$A$113,MATCH(ROWS($GG$2:GG47),$GG$2:$GG$113,0)),"")</f>
        <v>HURTO COMETIDO POR FUNCIONARIO PUBLICO</v>
      </c>
      <c r="KD47" s="207" t="str">
        <f>IFERROR(INDEX($A$2:$A$113,MATCH(ROWS($GH$2:GH47),$GH$2:$GH$113,0)),"")</f>
        <v>HURTO COMETIDO POR FUNCIONARIO PUBLICO</v>
      </c>
      <c r="KE47" s="207" t="str">
        <f>IFERROR(INDEX($A$2:$A$113,MATCH(ROWS($GI$2:GI47),$GI$2:$GI$113,0)),"")</f>
        <v>HURTO COMETIDO POR FUNCIONARIO PUBLICO</v>
      </c>
      <c r="KF47" s="207" t="str">
        <f>IFERROR(INDEX($A$2:$A$113,MATCH(ROWS($GJ$2:GJ47),$GJ$2:$GJ$113,0)),"")</f>
        <v>HURTO COMETIDO POR FUNCIONARIO PUBLICO</v>
      </c>
      <c r="KG47" s="207" t="str">
        <f>IFERROR(INDEX($A$2:$A$113,MATCH(ROWS($GK$2:GK47),$GK$2:$GK$113,0)),"")</f>
        <v>HURTO COMETIDO POR FUNCIONARIO PUBLICO</v>
      </c>
      <c r="KH47" s="207" t="str">
        <f>IFERROR(INDEX($A$2:$A$113,MATCH(ROWS($GL$2:GL47),$GL$2:$GL$113,0)),"")</f>
        <v>HURTO COMETIDO POR FUNCIONARIO PUBLICO</v>
      </c>
      <c r="KI47" s="207" t="str">
        <f>IFERROR(INDEX($A$2:$A$113,MATCH(ROWS($GM$2:GM47),$GM$2:$GM$113,0)),"")</f>
        <v>HURTO COMETIDO POR FUNCIONARIO PUBLICO</v>
      </c>
      <c r="KJ47" s="207" t="str">
        <f>IFERROR(INDEX($A$2:$A$113,MATCH(ROWS($GN$2:GN47),$GN$2:$GN$113,0)),"")</f>
        <v>HURTO COMETIDO POR FUNCIONARIO PUBLICO</v>
      </c>
      <c r="KK47" s="207" t="str">
        <f>IFERROR(INDEX($A$2:$A$113,MATCH(ROWS($GO$2:GO47),$GO$2:$GO$113,0)),"")</f>
        <v>HURTO COMETIDO POR FUNCIONARIO PUBLICO</v>
      </c>
      <c r="KL47" s="207" t="str">
        <f>IFERROR(INDEX($A$2:$A$113,MATCH(ROWS($GP$2:GP47),$GP$2:$GP$113,0)),"")</f>
        <v>HURTO COMETIDO POR FUNCIONARIO PUBLICO</v>
      </c>
      <c r="KM47" s="207" t="str">
        <f>IFERROR(INDEX($A$2:$A$113,MATCH(ROWS($GQ$2:GQ47),$GQ$2:$GQ$113,0)),"")</f>
        <v>HURTO COMETIDO POR FUNCIONARIO PUBLICO</v>
      </c>
      <c r="KN47" s="207" t="str">
        <f>IFERROR(INDEX($A$2:$A$113,MATCH(ROWS($GR$2:GR47),$GR$2:$GR$113,0)),"")</f>
        <v>HURTO COMETIDO POR FUNCIONARIO PUBLICO</v>
      </c>
      <c r="KO47" s="207" t="str">
        <f>IFERROR(INDEX($A$2:$A$113,MATCH(ROWS($GS$2:GS47),$GS$2:$GS$113,0)),"")</f>
        <v>HURTO COMETIDO POR FUNCIONARIO PUBLICO</v>
      </c>
      <c r="KP47" s="207" t="str">
        <f>IFERROR(INDEX($A$2:$A$113,MATCH(ROWS($GT$2:GT47),$GT$2:$GT$113,0)),"")</f>
        <v>HURTO COMETIDO POR FUNCIONARIO PUBLICO</v>
      </c>
      <c r="KQ47" s="207" t="str">
        <f>IFERROR(INDEX($A$2:$A$113,MATCH(ROWS($GU$2:GU47),$GU$2:$GU$113,0)),"")</f>
        <v>HURTO COMETIDO POR FUNCIONARIO PUBLICO</v>
      </c>
      <c r="KR47" s="207" t="str">
        <f>IFERROR(INDEX($A$2:$A$113,MATCH(ROWS($GV$2:GV47),$GV$2:$GV$113,0)),"")</f>
        <v>HURTO COMETIDO POR FUNCIONARIO PUBLICO</v>
      </c>
      <c r="KS47" s="207" t="str">
        <f>IFERROR(INDEX($A$2:$A$113,MATCH(ROWS($GW$2:GW47),$GW$2:$GW$113,0)),"")</f>
        <v>HURTO COMETIDO POR FUNCIONARIO PUBLICO</v>
      </c>
    </row>
    <row r="48" spans="1:305" x14ac:dyDescent="0.25">
      <c r="A48" s="206" t="s">
        <v>87</v>
      </c>
      <c r="B48" s="206">
        <v>20</v>
      </c>
      <c r="D48" s="206" t="s">
        <v>46</v>
      </c>
      <c r="E48" s="206" t="s">
        <v>784</v>
      </c>
      <c r="F48" s="207">
        <f>--ISNUMBER(IFERROR(SEARCH('PLANILLA DJ'!$X$3,$A48,1),""))</f>
        <v>1</v>
      </c>
      <c r="G48" s="207">
        <f>--ISNUMBER(IFERROR(SEARCH('PLANILLA DJ'!$X$4,$A48,1),""))</f>
        <v>1</v>
      </c>
      <c r="H48" s="207">
        <f>--ISNUMBER(IFERROR(SEARCH('PLANILLA DJ'!$X$5,$A48,1),""))</f>
        <v>1</v>
      </c>
      <c r="I48" s="207">
        <f>--ISNUMBER(IFERROR(SEARCH('PLANILLA DJ'!$X$6,$A48,1),""))</f>
        <v>1</v>
      </c>
      <c r="J48" s="207">
        <f>--ISNUMBER(IFERROR(SEARCH('PLANILLA DJ'!$X$7,$A48,1),""))</f>
        <v>1</v>
      </c>
      <c r="K48" s="207">
        <f>--ISNUMBER(IFERROR(SEARCH('PLANILLA DJ'!$X$8,$A48,1),""))</f>
        <v>1</v>
      </c>
      <c r="L48" s="207">
        <f>--ISNUMBER(IFERROR(SEARCH('PLANILLA DJ'!$X$9,$A48,1),""))</f>
        <v>1</v>
      </c>
      <c r="M48" s="207">
        <f>--ISNUMBER(IFERROR(SEARCH('PLANILLA DJ'!$X$10,$A48,1),""))</f>
        <v>1</v>
      </c>
      <c r="N48" s="207">
        <f>--ISNUMBER(IFERROR(SEARCH('PLANILLA DJ'!$X$11,$A48,1),""))</f>
        <v>1</v>
      </c>
      <c r="O48" s="207">
        <f>--ISNUMBER(IFERROR(SEARCH('PLANILLA DJ'!$X$12,$A48,1),""))</f>
        <v>1</v>
      </c>
      <c r="P48" s="207">
        <f>--ISNUMBER(IFERROR(SEARCH('PLANILLA DJ'!$X$13,$A48,1),""))</f>
        <v>1</v>
      </c>
      <c r="Q48" s="207">
        <f>--ISNUMBER(IFERROR(SEARCH('PLANILLA DJ'!$X$14,$A48,1),""))</f>
        <v>1</v>
      </c>
      <c r="R48" s="207">
        <f>--ISNUMBER(IFERROR(SEARCH('PLANILLA DJ'!$X$15,$A48,1),""))</f>
        <v>1</v>
      </c>
      <c r="S48" s="207">
        <f>--ISNUMBER(IFERROR(SEARCH('PLANILLA DJ'!$X$16,$A48,1),""))</f>
        <v>1</v>
      </c>
      <c r="T48" s="207">
        <f>--ISNUMBER(IFERROR(SEARCH('PLANILLA DJ'!$X$17,$A48,1),""))</f>
        <v>1</v>
      </c>
      <c r="U48" s="207">
        <f>--ISNUMBER(IFERROR(SEARCH('PLANILLA DJ'!$X$18,$A48,1),""))</f>
        <v>1</v>
      </c>
      <c r="V48" s="207">
        <f>--ISNUMBER(IFERROR(SEARCH('PLANILLA DJ'!$X$19,$A48,1),""))</f>
        <v>1</v>
      </c>
      <c r="W48" s="207">
        <f>--ISNUMBER(IFERROR(SEARCH('PLANILLA DJ'!$X$20,$A48,1),""))</f>
        <v>1</v>
      </c>
      <c r="X48" s="207">
        <f>--ISNUMBER(IFERROR(SEARCH('PLANILLA DJ'!$X$21,$A48,1),""))</f>
        <v>1</v>
      </c>
      <c r="Y48" s="207">
        <f>--ISNUMBER(IFERROR(SEARCH('PLANILLA DJ'!$X$22,$A48,1),""))</f>
        <v>1</v>
      </c>
      <c r="Z48" s="207">
        <f>--ISNUMBER(IFERROR(SEARCH('PLANILLA DJ'!$X$23,$A48,1),""))</f>
        <v>1</v>
      </c>
      <c r="AA48" s="207">
        <f>--ISNUMBER(IFERROR(SEARCH('PLANILLA DJ'!$X$24,$A48,1),""))</f>
        <v>1</v>
      </c>
      <c r="AB48" s="207">
        <f>--ISNUMBER(IFERROR(SEARCH('PLANILLA DJ'!$X$25,$A48,1),""))</f>
        <v>1</v>
      </c>
      <c r="AC48" s="207">
        <f>--ISNUMBER(IFERROR(SEARCH('PLANILLA DJ'!$X$26,$A48,1),""))</f>
        <v>1</v>
      </c>
      <c r="AD48" s="207">
        <f>--ISNUMBER(IFERROR(SEARCH('PLANILLA DJ'!$X$27,$A48,1),""))</f>
        <v>1</v>
      </c>
      <c r="AE48" s="207">
        <f>--ISNUMBER(IFERROR(SEARCH('PLANILLA DJ'!$X$28,$A48,1),""))</f>
        <v>1</v>
      </c>
      <c r="AF48" s="207">
        <f>--ISNUMBER(IFERROR(SEARCH('PLANILLA DJ'!$X$29,$A48,1),""))</f>
        <v>1</v>
      </c>
      <c r="AG48" s="207">
        <f>--ISNUMBER(IFERROR(SEARCH('PLANILLA DJ'!$X$30,$A48,1),""))</f>
        <v>1</v>
      </c>
      <c r="AH48" s="207">
        <f>--ISNUMBER(IFERROR(SEARCH('PLANILLA DJ'!$X$31,$A48,1),""))</f>
        <v>1</v>
      </c>
      <c r="AI48" s="207">
        <f>--ISNUMBER(IFERROR(SEARCH('PLANILLA DJ'!$X$32,$A48,1),""))</f>
        <v>1</v>
      </c>
      <c r="AJ48" s="207">
        <f>--ISNUMBER(IFERROR(SEARCH('PLANILLA DJ'!$X$33,$A48,1),""))</f>
        <v>1</v>
      </c>
      <c r="AK48" s="207">
        <f>--ISNUMBER(IFERROR(SEARCH('PLANILLA DJ'!$X$34,$A48,1),""))</f>
        <v>1</v>
      </c>
      <c r="AL48" s="207">
        <f>--ISNUMBER(IFERROR(SEARCH('PLANILLA DJ'!$X$35,$A48,1),""))</f>
        <v>1</v>
      </c>
      <c r="AM48" s="207">
        <f>--ISNUMBER(IFERROR(SEARCH('PLANILLA DJ'!$X$36,$A48,1),""))</f>
        <v>1</v>
      </c>
      <c r="AN48" s="207">
        <f>--ISNUMBER(IFERROR(SEARCH('PLANILLA DJ'!$X$37,$A48,1),""))</f>
        <v>1</v>
      </c>
      <c r="AO48" s="207">
        <f>--ISNUMBER(IFERROR(SEARCH('PLANILLA DJ'!$X$38,$A48,1),""))</f>
        <v>1</v>
      </c>
      <c r="AP48" s="207">
        <f>--ISNUMBER(IFERROR(SEARCH('PLANILLA DJ'!$X$39,$A48,1),""))</f>
        <v>1</v>
      </c>
      <c r="AQ48" s="207">
        <f>--ISNUMBER(IFERROR(SEARCH('PLANILLA DJ'!$X$40,$A48,1),""))</f>
        <v>1</v>
      </c>
      <c r="AR48" s="207">
        <f>--ISNUMBER(IFERROR(SEARCH('PLANILLA DJ'!$X$41,$A48,1),""))</f>
        <v>1</v>
      </c>
      <c r="AS48" s="207">
        <f>--ISNUMBER(IFERROR(SEARCH('PLANILLA DJ'!$X$42,$A48,1),""))</f>
        <v>1</v>
      </c>
      <c r="AT48" s="207">
        <f>--ISNUMBER(IFERROR(SEARCH('PLANILLA DJ'!$X$43,$A48,1),""))</f>
        <v>1</v>
      </c>
      <c r="AU48" s="207">
        <f>--ISNUMBER(IFERROR(SEARCH('PLANILLA DJ'!$X$44,$A48,1),""))</f>
        <v>1</v>
      </c>
      <c r="AV48" s="207">
        <f>--ISNUMBER(IFERROR(SEARCH('PLANILLA DJ'!$X$45,$A48,1),""))</f>
        <v>1</v>
      </c>
      <c r="AW48" s="207">
        <f>--ISNUMBER(IFERROR(SEARCH('PLANILLA DJ'!$X$46,$A48,1),""))</f>
        <v>1</v>
      </c>
      <c r="AX48" s="207">
        <f>--ISNUMBER(IFERROR(SEARCH('PLANILLA DJ'!$X$47,$A48,1),""))</f>
        <v>1</v>
      </c>
      <c r="AY48" s="207">
        <f>--ISNUMBER(IFERROR(SEARCH('PLANILLA DJ'!$X$48,$A48,1),""))</f>
        <v>1</v>
      </c>
      <c r="AZ48" s="207">
        <f>--ISNUMBER(IFERROR(SEARCH('PLANILLA DJ'!$X$49,$A48,1),""))</f>
        <v>1</v>
      </c>
      <c r="BA48" s="207">
        <f>--ISNUMBER(IFERROR(SEARCH('PLANILLA DJ'!$X$50,$A48,1),""))</f>
        <v>1</v>
      </c>
      <c r="BB48" s="207">
        <f>--ISNUMBER(IFERROR(SEARCH('PLANILLA DJ'!$X$51,$A48,1),""))</f>
        <v>1</v>
      </c>
      <c r="BC48" s="207">
        <f>--ISNUMBER(IFERROR(SEARCH('PLANILLA DJ'!$X$52,$A48,1),""))</f>
        <v>1</v>
      </c>
      <c r="BD48" s="207">
        <f>--ISNUMBER(IFERROR(SEARCH('PLANILLA DJ'!$X$53,$A48,1),""))</f>
        <v>1</v>
      </c>
      <c r="BE48" s="207">
        <f>--ISNUMBER(IFERROR(SEARCH('PLANILLA DJ'!$X$54,$A48,1),""))</f>
        <v>1</v>
      </c>
      <c r="BF48" s="207">
        <f>--ISNUMBER(IFERROR(SEARCH('PLANILLA DJ'!$X$55,$A48,1),""))</f>
        <v>1</v>
      </c>
      <c r="BG48" s="207">
        <f>--ISNUMBER(IFERROR(SEARCH('PLANILLA DJ'!$X$56,$A48,1),""))</f>
        <v>1</v>
      </c>
      <c r="BH48" s="207">
        <f>--ISNUMBER(IFERROR(SEARCH('PLANILLA DJ'!$X$57,$A48,1),""))</f>
        <v>1</v>
      </c>
      <c r="BI48" s="207">
        <f>--ISNUMBER(IFERROR(SEARCH('PLANILLA DJ'!$X$58,$A48,1),""))</f>
        <v>1</v>
      </c>
      <c r="BJ48" s="207">
        <f>--ISNUMBER(IFERROR(SEARCH('PLANILLA DJ'!$X$59,$A48,1),""))</f>
        <v>1</v>
      </c>
      <c r="BK48" s="207">
        <f>--ISNUMBER(IFERROR(SEARCH('PLANILLA DJ'!$X$60,$A48,1),""))</f>
        <v>1</v>
      </c>
      <c r="BL48" s="207">
        <f>--ISNUMBER(IFERROR(SEARCH('PLANILLA DJ'!$X$61,$A48,1),""))</f>
        <v>1</v>
      </c>
      <c r="BM48" s="207">
        <f>--ISNUMBER(IFERROR(SEARCH('PLANILLA DJ'!$X$62,$A48,1),""))</f>
        <v>1</v>
      </c>
      <c r="BN48" s="207">
        <f>--ISNUMBER(IFERROR(SEARCH('PLANILLA DJ'!$X$63,$A48,1),""))</f>
        <v>1</v>
      </c>
      <c r="BO48" s="207">
        <f>--ISNUMBER(IFERROR(SEARCH('PLANILLA DJ'!$X$64,$A48,1),""))</f>
        <v>1</v>
      </c>
      <c r="BP48" s="207">
        <f>--ISNUMBER(IFERROR(SEARCH('PLANILLA DJ'!$X$65,$A48,1),""))</f>
        <v>1</v>
      </c>
      <c r="BQ48" s="207">
        <f>--ISNUMBER(IFERROR(SEARCH('PLANILLA DJ'!$X$66,$A48,1),""))</f>
        <v>1</v>
      </c>
      <c r="BR48" s="207">
        <f>--ISNUMBER(IFERROR(SEARCH('PLANILLA DJ'!$X$67,$A48,1),""))</f>
        <v>1</v>
      </c>
      <c r="BS48" s="207">
        <f>--ISNUMBER(IFERROR(SEARCH('PLANILLA DJ'!$X$68,$A48,1),""))</f>
        <v>1</v>
      </c>
      <c r="BT48" s="207">
        <f>--ISNUMBER(IFERROR(SEARCH('PLANILLA DJ'!$X$69,$A48,1),""))</f>
        <v>1</v>
      </c>
      <c r="BU48" s="207">
        <f>--ISNUMBER(IFERROR(SEARCH('PLANILLA DJ'!$X$70,$A48,1),""))</f>
        <v>1</v>
      </c>
      <c r="BV48" s="207">
        <f>--ISNUMBER(IFERROR(SEARCH('PLANILLA DJ'!$X$71,$A48,1),""))</f>
        <v>1</v>
      </c>
      <c r="BW48" s="207">
        <f>--ISNUMBER(IFERROR(SEARCH('PLANILLA DJ'!$X$72,$A48,1),""))</f>
        <v>1</v>
      </c>
      <c r="BX48" s="207">
        <f>--ISNUMBER(IFERROR(SEARCH('PLANILLA DJ'!$X$73,$A48,1),""))</f>
        <v>1</v>
      </c>
      <c r="BY48" s="207">
        <f>--ISNUMBER(IFERROR(SEARCH('PLANILLA DJ'!$X$74,$A48,1),""))</f>
        <v>1</v>
      </c>
      <c r="BZ48" s="207">
        <f>--ISNUMBER(IFERROR(SEARCH('PLANILLA DJ'!$X$75,$A48,1),""))</f>
        <v>1</v>
      </c>
      <c r="CA48" s="207">
        <f>--ISNUMBER(IFERROR(SEARCH('PLANILLA DJ'!$X$76,$A48,1),""))</f>
        <v>1</v>
      </c>
      <c r="CB48" s="207">
        <f>--ISNUMBER(IFERROR(SEARCH('PLANILLA DJ'!$X$77,$A48,1),""))</f>
        <v>1</v>
      </c>
      <c r="CC48" s="207">
        <f>--ISNUMBER(IFERROR(SEARCH('PLANILLA DJ'!$X$78,$A48,1),""))</f>
        <v>1</v>
      </c>
      <c r="CD48" s="207">
        <f>--ISNUMBER(IFERROR(SEARCH('PLANILLA DJ'!$X$79,$A48,1),""))</f>
        <v>1</v>
      </c>
      <c r="CE48" s="207">
        <f>--ISNUMBER(IFERROR(SEARCH('PLANILLA DJ'!$X$80,$A48,1),""))</f>
        <v>1</v>
      </c>
      <c r="CF48" s="207">
        <f>--ISNUMBER(IFERROR(SEARCH('PLANILLA DJ'!$X$81,$A48,1),""))</f>
        <v>1</v>
      </c>
      <c r="CG48" s="207">
        <f>--ISNUMBER(IFERROR(SEARCH('PLANILLA DJ'!$X$82,$A48,1),""))</f>
        <v>1</v>
      </c>
      <c r="CH48" s="207">
        <f>--ISNUMBER(IFERROR(SEARCH('PLANILLA DJ'!$X$83,$A48,1),""))</f>
        <v>1</v>
      </c>
      <c r="CI48" s="207">
        <f>--ISNUMBER(IFERROR(SEARCH('PLANILLA DJ'!$X$84,$A48,1),""))</f>
        <v>1</v>
      </c>
      <c r="CJ48" s="207">
        <f>--ISNUMBER(IFERROR(SEARCH('PLANILLA DJ'!$X$85,$A48,1),""))</f>
        <v>1</v>
      </c>
      <c r="CK48" s="207">
        <f>--ISNUMBER(IFERROR(SEARCH('PLANILLA DJ'!$X$86,$A48,1),""))</f>
        <v>1</v>
      </c>
      <c r="CL48" s="207">
        <f>--ISNUMBER(IFERROR(SEARCH('PLANILLA DJ'!$X$87,$A48,1),""))</f>
        <v>1</v>
      </c>
      <c r="CM48" s="207">
        <f>--ISNUMBER(IFERROR(SEARCH('PLANILLA DJ'!$X$88,$A48,1),""))</f>
        <v>1</v>
      </c>
      <c r="CN48" s="207">
        <f>--ISNUMBER(IFERROR(SEARCH('PLANILLA DJ'!$X$89,$A48,1),""))</f>
        <v>1</v>
      </c>
      <c r="CO48" s="207">
        <f>--ISNUMBER(IFERROR(SEARCH('PLANILLA DJ'!$X$90,$A48,1),""))</f>
        <v>1</v>
      </c>
      <c r="CP48" s="207">
        <f>--ISNUMBER(IFERROR(SEARCH('PLANILLA DJ'!$X$91,$A48,1),""))</f>
        <v>1</v>
      </c>
      <c r="CQ48" s="207">
        <f>--ISNUMBER(IFERROR(SEARCH('PLANILLA DJ'!$X$92,$A48,1),""))</f>
        <v>1</v>
      </c>
      <c r="CR48" s="207">
        <f>--ISNUMBER(IFERROR(SEARCH('PLANILLA DJ'!$X$93,$A48,1),""))</f>
        <v>1</v>
      </c>
      <c r="CS48" s="207">
        <f>--ISNUMBER(IFERROR(SEARCH('PLANILLA DJ'!$X$94,$A48,1),""))</f>
        <v>1</v>
      </c>
      <c r="CT48" s="207">
        <f>--ISNUMBER(IFERROR(SEARCH('PLANILLA DJ'!$X$95,$A48,1),""))</f>
        <v>1</v>
      </c>
      <c r="CU48" s="207">
        <f>--ISNUMBER(IFERROR(SEARCH('PLANILLA DJ'!$X$96,$A48,1),""))</f>
        <v>1</v>
      </c>
      <c r="CV48" s="207">
        <f>--ISNUMBER(IFERROR(SEARCH('PLANILLA DJ'!$X$97,$A48,1),""))</f>
        <v>1</v>
      </c>
      <c r="CW48" s="207">
        <f>--ISNUMBER(IFERROR(SEARCH('PLANILLA DJ'!$X$98,$A48,1),""))</f>
        <v>1</v>
      </c>
      <c r="CX48" s="207">
        <f>--ISNUMBER(IFERROR(SEARCH('PLANILLA DJ'!$X$99,$A48,1),""))</f>
        <v>1</v>
      </c>
      <c r="CY48" s="207">
        <f>--ISNUMBER(IFERROR(SEARCH('PLANILLA DJ'!$X$100,$A48,1),""))</f>
        <v>1</v>
      </c>
      <c r="CZ48" s="207">
        <f>--ISNUMBER(IFERROR(SEARCH('PLANILLA DJ'!$X$101,$A48,1),""))</f>
        <v>1</v>
      </c>
      <c r="DA48" s="207">
        <f>--ISNUMBER(IFERROR(SEARCH('PLANILLA DJ'!$X$102,$A48,1),""))</f>
        <v>1</v>
      </c>
      <c r="DB48" s="206">
        <f>IF(F48=1,COUNTIF($F$2:F48,1),"")</f>
        <v>47</v>
      </c>
      <c r="DC48" s="206">
        <f>IF(G48=1,COUNTIF($G$2:G48,1),"")</f>
        <v>47</v>
      </c>
      <c r="DD48" s="206">
        <f>IF(H48=1,COUNTIF($H$2:H48,1),"")</f>
        <v>47</v>
      </c>
      <c r="DE48" s="206">
        <f>IF(I48=1,COUNTIF($I$2:I48,1),"")</f>
        <v>47</v>
      </c>
      <c r="DF48" s="206">
        <f>IF(J48=1,COUNTIF($J$2:J48,1),"")</f>
        <v>47</v>
      </c>
      <c r="DG48" s="206">
        <f>IF(K48=1,COUNTIF($K$2:K48,1),"")</f>
        <v>47</v>
      </c>
      <c r="DH48" s="206">
        <f>IF(L48=1,COUNTIF($L$2:L48,1),"")</f>
        <v>47</v>
      </c>
      <c r="DI48" s="206">
        <f>IF(M48=1,COUNTIF($M$2:M48,1),"")</f>
        <v>47</v>
      </c>
      <c r="DJ48" s="206">
        <f>IF(N48=1,COUNTIF($N$2:N48,1),"")</f>
        <v>47</v>
      </c>
      <c r="DK48" s="206">
        <f>IF(O48=1,COUNTIF($O$2:O48,1),"")</f>
        <v>47</v>
      </c>
      <c r="DL48" s="206">
        <f>IF(P48=1,COUNTIF($P$2:P48,1),"")</f>
        <v>47</v>
      </c>
      <c r="DM48" s="206">
        <f>IF(Q48=1,COUNTIF($Q$2:Q48,1),"")</f>
        <v>47</v>
      </c>
      <c r="DN48" s="207">
        <f>IF(R48=1,COUNTIF($R$2:R48,1),"")</f>
        <v>47</v>
      </c>
      <c r="DO48" s="207">
        <f>IF(S48=1,COUNTIF($S$2:S48,1),"")</f>
        <v>47</v>
      </c>
      <c r="DP48" s="207">
        <f>IF(T48=1,COUNTIF($T$2:T48,1),"")</f>
        <v>47</v>
      </c>
      <c r="DQ48" s="207">
        <f>IF(U48=1,COUNTIF($U$2:U48,1),"")</f>
        <v>47</v>
      </c>
      <c r="DR48" s="207">
        <f>IF(V48=1,COUNTIF($V$2:V48,1),"")</f>
        <v>47</v>
      </c>
      <c r="DS48" s="207">
        <f>IF(W48=1,COUNTIF($W$2:W48,1),"")</f>
        <v>47</v>
      </c>
      <c r="DT48" s="207">
        <f>IF(X48=1,COUNTIF($X$2:X48,1),"")</f>
        <v>47</v>
      </c>
      <c r="DU48" s="207">
        <f>IF(Y48=1,COUNTIF($Y$2:Y48,1),"")</f>
        <v>47</v>
      </c>
      <c r="DV48" s="207">
        <f>IF(Z48=1,COUNTIF(Z$2:Z48,1),"")</f>
        <v>47</v>
      </c>
      <c r="DW48" s="207">
        <f>IF(AA48=1,COUNTIF($AA$2:AA48,1),"")</f>
        <v>47</v>
      </c>
      <c r="DX48" s="207">
        <f>IF(AB48=1,COUNTIF($AB$2:AB48,1),"")</f>
        <v>47</v>
      </c>
      <c r="DY48" s="207">
        <f>IF(AC48=1,COUNTIF($AC$2:AC48,1),"")</f>
        <v>47</v>
      </c>
      <c r="DZ48" s="207">
        <f>IF(AD48=1,COUNTIF($AD$2:AD48,1),"")</f>
        <v>47</v>
      </c>
      <c r="EA48" s="207">
        <f>IF(AE48=1,COUNTIF($AE$2:AE48,1),"")</f>
        <v>47</v>
      </c>
      <c r="EB48" s="207">
        <f>IF(AF48=1,COUNTIF($AF$2:AF48,1),"")</f>
        <v>47</v>
      </c>
      <c r="EC48" s="207">
        <f>IF(AG48=1,COUNTIF($AG$2:AG48,1),"")</f>
        <v>47</v>
      </c>
      <c r="ED48" s="207">
        <f>IF(AH48=1,COUNTIF($AH$2:AH48,1),"")</f>
        <v>47</v>
      </c>
      <c r="EE48" s="207">
        <f>IF(AI48=1,COUNTIF($AI$2:AI48,1),"")</f>
        <v>47</v>
      </c>
      <c r="EF48" s="207">
        <f>IF(AJ48=1,COUNTIF($AJ$2:AJ48,1),"")</f>
        <v>47</v>
      </c>
      <c r="EG48" s="207">
        <f>IF(AK48=1,COUNTIF($AK$2:AK48,1),"")</f>
        <v>47</v>
      </c>
      <c r="EH48" s="207">
        <f>IF(AL48=1,COUNTIF($AL$2:AL48,1),"")</f>
        <v>47</v>
      </c>
      <c r="EI48" s="207">
        <f>IF(AM48=1,COUNTIF($AM$2:AM48,1),"")</f>
        <v>47</v>
      </c>
      <c r="EJ48" s="207">
        <f>IF(AN48=1,COUNTIF($AN$2:AN48,1),"")</f>
        <v>47</v>
      </c>
      <c r="EK48" s="207">
        <f>IF(AO48=1,COUNTIF($AO$2:AO48,1),"")</f>
        <v>47</v>
      </c>
      <c r="EL48" s="207">
        <f>IF(AP48=1,COUNTIF($AP$2:AP48,1),"")</f>
        <v>47</v>
      </c>
      <c r="EM48" s="207">
        <f>IF(AQ48=1,COUNTIF($AQ$2:AQ48,1),"")</f>
        <v>47</v>
      </c>
      <c r="EN48" s="207">
        <f>IF(AR48=1,COUNTIF($AR$2:AR48,1),"")</f>
        <v>47</v>
      </c>
      <c r="EO48" s="207">
        <f>IF(AS48=1,COUNTIF($AS$2:AS48,1),"")</f>
        <v>47</v>
      </c>
      <c r="EP48" s="207">
        <f>IF(AT48=1,COUNTIF($AT$2:AT48,1),"")</f>
        <v>47</v>
      </c>
      <c r="EQ48" s="207">
        <f>IF(AU48=1,COUNTIF($AU$2:AU48,1),"")</f>
        <v>47</v>
      </c>
      <c r="ER48" s="207">
        <f>IF(AV48=1,COUNTIF($AV$2:AV48,1),"")</f>
        <v>47</v>
      </c>
      <c r="ES48" s="207">
        <f>IF(AW48=1,COUNTIF($AW$2:AW48,1),"")</f>
        <v>47</v>
      </c>
      <c r="ET48" s="207">
        <f>IF(AX48=1,COUNTIF($AX$2:AX48,1),"")</f>
        <v>47</v>
      </c>
      <c r="EU48" s="207">
        <f>IF(AY48=1,COUNTIF($AY$2:AY48,1),"")</f>
        <v>47</v>
      </c>
      <c r="EV48" s="207">
        <f>IF(AZ48=1,COUNTIF($AZ$2:AZ48,1),"")</f>
        <v>47</v>
      </c>
      <c r="EW48" s="207">
        <f>IF(BA48=1,COUNTIF($BA$2:BA48,1),"")</f>
        <v>47</v>
      </c>
      <c r="EX48" s="207">
        <f>IF(BB48=1,COUNTIF($BB$2:BB48,1),"")</f>
        <v>47</v>
      </c>
      <c r="EY48" s="207">
        <f>IF(BC48=1,COUNTIF($BC$2:BC48,1),"")</f>
        <v>47</v>
      </c>
      <c r="EZ48" s="207">
        <f>IF(BD48=1,COUNTIF($BD$2:BD48,1),"")</f>
        <v>47</v>
      </c>
      <c r="FA48" s="207">
        <f>IF(BE48=1,COUNTIF($BE$2:BE48,1),"")</f>
        <v>47</v>
      </c>
      <c r="FB48" s="207">
        <f>IF(BF48=1,COUNTIF($BF$2:BF48,1),"")</f>
        <v>47</v>
      </c>
      <c r="FC48" s="207">
        <f>IF(BG48=1,COUNTIF($BG$2:BG48,1),"")</f>
        <v>47</v>
      </c>
      <c r="FD48" s="207">
        <f>IF(BH48=1,COUNTIF($BH$2:BH48,1),"")</f>
        <v>47</v>
      </c>
      <c r="FE48" s="207">
        <f>IF(BI48=1,COUNTIF($BI$2:BI48,1),"")</f>
        <v>47</v>
      </c>
      <c r="FF48" s="207">
        <f>IF(BJ48=1,COUNTIF($BJ$2:BJ48,1),"")</f>
        <v>47</v>
      </c>
      <c r="FG48" s="207">
        <f>IF(BK48=1,COUNTIF($BK$2:BK48,1),"")</f>
        <v>47</v>
      </c>
      <c r="FH48" s="207">
        <f>IF(BL48=1,COUNTIF($BL$2:BL48,1),"")</f>
        <v>47</v>
      </c>
      <c r="FI48" s="207">
        <f>IF(BM48=1,COUNTIF($BM$2:BM48,1),"")</f>
        <v>47</v>
      </c>
      <c r="FJ48" s="207">
        <f>IF(BN48=1,COUNTIF($BN$2:BN48,1),"")</f>
        <v>47</v>
      </c>
      <c r="FK48" s="207">
        <f>IF(BO48=1,COUNTIF($BO$2:BO48,1),"")</f>
        <v>47</v>
      </c>
      <c r="FL48" s="207">
        <f>IF(BP48=1,COUNTIF($BP$2:BP48,1),"")</f>
        <v>47</v>
      </c>
      <c r="FM48" s="207">
        <f>IF(BQ48=1,COUNTIF($BQ$2:BQ48,1),"")</f>
        <v>47</v>
      </c>
      <c r="FN48" s="207">
        <f>IF(BR48=1,COUNTIF($BR$2:BR48,1),"")</f>
        <v>47</v>
      </c>
      <c r="FO48" s="207">
        <f>IF(BS48=1,COUNTIF($BS$2:BS48,1),"")</f>
        <v>47</v>
      </c>
      <c r="FP48" s="207">
        <f>IF(BT48=1,COUNTIF($BT$2:BT48,1),"")</f>
        <v>47</v>
      </c>
      <c r="FQ48" s="207">
        <f>IF(BU48=1,COUNTIF($BU$2:BU48,1),"")</f>
        <v>47</v>
      </c>
      <c r="FR48" s="207">
        <f>IF(BV48=1,COUNTIF($BV$2:BV48,1),"")</f>
        <v>47</v>
      </c>
      <c r="FS48" s="207">
        <f>IF(BW48=1,COUNTIF($BW$2:BW48,1),"")</f>
        <v>47</v>
      </c>
      <c r="FT48" s="207">
        <f>IF(BX48=1,COUNTIF($BX$2:BX48,1),"")</f>
        <v>47</v>
      </c>
      <c r="FU48" s="207">
        <f>IF(BY48=1,COUNTIF($BY$2:BY48,1),"")</f>
        <v>47</v>
      </c>
      <c r="FV48" s="207">
        <f>IF(BZ48=1,COUNTIF($BZ$2:BZ48,1),"")</f>
        <v>47</v>
      </c>
      <c r="FW48" s="207">
        <f>IF(CA48=1,COUNTIF($CA$2:CA48,1),"")</f>
        <v>47</v>
      </c>
      <c r="FX48" s="207">
        <f>IF(CB48=1,COUNTIF($CB$2:CB48,1),"")</f>
        <v>47</v>
      </c>
      <c r="FY48" s="207">
        <f>IF(CC48=1,COUNTIF($CC$2:CC48,1),"")</f>
        <v>47</v>
      </c>
      <c r="FZ48" s="207">
        <f>IF(CD48=1,COUNTIF($CD$2:CD48,1),"")</f>
        <v>47</v>
      </c>
      <c r="GA48" s="207">
        <f>IF(CE48=1,COUNTIF($CE$2:CE48,1),"")</f>
        <v>47</v>
      </c>
      <c r="GB48" s="207">
        <f>IF(CF48=1,COUNTIF($CF$2:CF48,1),"")</f>
        <v>47</v>
      </c>
      <c r="GC48" s="207">
        <f>IF(CG48=1,COUNTIF($CG$2:CG48,1),"")</f>
        <v>47</v>
      </c>
      <c r="GD48" s="207">
        <f>IF(CH48=1,COUNTIF($CH$2:CH48,1),"")</f>
        <v>47</v>
      </c>
      <c r="GE48" s="207">
        <f>IF(CI48=1,COUNTIF($CI$2:CI48,1),"")</f>
        <v>47</v>
      </c>
      <c r="GF48" s="207">
        <f>IF(CJ48=1,COUNTIF($CJ$2:CJ48,1),"")</f>
        <v>47</v>
      </c>
      <c r="GG48" s="207">
        <f>IF(CK48=1,COUNTIF($CK$2:CK48,1),"")</f>
        <v>47</v>
      </c>
      <c r="GH48" s="207">
        <f>IF(CL48=1,COUNTIF($CL$2:CL48,1),"")</f>
        <v>47</v>
      </c>
      <c r="GI48" s="207">
        <f>IF(CM48=1,COUNTIF($CM$2:CM48,1),"")</f>
        <v>47</v>
      </c>
      <c r="GJ48" s="207">
        <f>IF(CN48=1,COUNTIF($CN$2:CN48,1),"")</f>
        <v>47</v>
      </c>
      <c r="GK48" s="207">
        <f>IF(CO48=1,COUNTIF($CO$2:CO48,1),"")</f>
        <v>47</v>
      </c>
      <c r="GL48" s="207">
        <f>IF(CP48=1,COUNTIF($CP$2:CP48,1),"")</f>
        <v>47</v>
      </c>
      <c r="GM48" s="207">
        <f>IF(CQ48=1,COUNTIF($CQ$2:CQ48,1),"")</f>
        <v>47</v>
      </c>
      <c r="GN48" s="207">
        <f>IF(CR48=1,COUNTIF($CR$2:CR48,1),"")</f>
        <v>47</v>
      </c>
      <c r="GO48" s="207">
        <f>IF(CS48=1,COUNTIF($CS$2:CS48,1),"")</f>
        <v>47</v>
      </c>
      <c r="GP48" s="207">
        <f>IF(CT48=1,COUNTIF($CT$2:CT48,1),"")</f>
        <v>47</v>
      </c>
      <c r="GQ48" s="207">
        <f>IF(CU48=1,COUNTIF($CU$2:CU48,1),"")</f>
        <v>47</v>
      </c>
      <c r="GR48" s="207">
        <f>IF(CV48=1,COUNTIF($CV$2:CV48,1),"")</f>
        <v>47</v>
      </c>
      <c r="GS48" s="207">
        <f>IF(CW48=1,COUNTIF($CW$2:CW48,1),"")</f>
        <v>47</v>
      </c>
      <c r="GT48" s="207">
        <f>IF(CX48=1,COUNTIF($CX$2:CX48,1),"")</f>
        <v>47</v>
      </c>
      <c r="GU48" s="207">
        <f>IF(CY48=1,COUNTIF($CY$2:CY48,1),"")</f>
        <v>47</v>
      </c>
      <c r="GV48" s="207">
        <f>IF(CZ48=1,COUNTIF($CZ$2:CZ48,1),"")</f>
        <v>47</v>
      </c>
      <c r="GW48" s="207">
        <f>IF(DA48=1,COUNTIF($DA$2:DA48,1),"")</f>
        <v>47</v>
      </c>
      <c r="GX48" s="206" t="str">
        <f>IFERROR(INDEX($A$2:$A$113,MATCH(ROWS($DB$2:DB48),$DB$2:$DB$113,0)),"")</f>
        <v xml:space="preserve">HURTO EN GRADO DE TENTATIVA </v>
      </c>
      <c r="GY48" s="206" t="str">
        <f>IFERROR(INDEX($A$2:$A$113,MATCH(ROWS($DC$2:DC48),$DC$2:$DC$113,0)),"")</f>
        <v xml:space="preserve">HURTO EN GRADO DE TENTATIVA </v>
      </c>
      <c r="GZ48" s="206" t="str">
        <f>IFERROR(INDEX($A$2:$A$113,MATCH(ROWS($DD$2:DD48),$DD$2:$DD$113,0)),"")</f>
        <v xml:space="preserve">HURTO EN GRADO DE TENTATIVA </v>
      </c>
      <c r="HA48" s="206" t="str">
        <f>IFERROR(INDEX($A$2:$A$113,MATCH(ROWS($DE$2:DE48),$DE$2:$DE$113,0)),"")</f>
        <v xml:space="preserve">HURTO EN GRADO DE TENTATIVA </v>
      </c>
      <c r="HB48" s="206" t="str">
        <f>IFERROR(INDEX($A$2:$A$113,MATCH(ROWS($DF$2:DF48),$DF$2:$DF$113,0)),"")</f>
        <v xml:space="preserve">HURTO EN GRADO DE TENTATIVA </v>
      </c>
      <c r="HC48" s="206" t="str">
        <f>IFERROR(INDEX($A$2:$A$113,MATCH(ROWS($DG$2:DG48),$DG$2:$DG$113,0)),"")</f>
        <v xml:space="preserve">HURTO EN GRADO DE TENTATIVA </v>
      </c>
      <c r="HD48" s="206" t="str">
        <f>IFERROR(INDEX($A$2:$A$113,MATCH(ROWS($DH$2:DH48),$DH$2:$DH$113,0)),"")</f>
        <v xml:space="preserve">HURTO EN GRADO DE TENTATIVA </v>
      </c>
      <c r="HE48" s="206" t="str">
        <f>IFERROR(INDEX($A$2:$A$113,MATCH(ROWS($DI$2:DI48),$DI$2:$DI$113,0)),"")</f>
        <v xml:space="preserve">HURTO EN GRADO DE TENTATIVA </v>
      </c>
      <c r="HF48" s="206" t="str">
        <f>IFERROR(INDEX($A$2:$A$113,MATCH(ROWS($DJ$2:DJ48),$DJ$2:$DJ$113,0)),"")</f>
        <v xml:space="preserve">HURTO EN GRADO DE TENTATIVA </v>
      </c>
      <c r="HG48" s="206" t="str">
        <f>IFERROR(INDEX($A$2:$A$113,MATCH(ROWS($DK$2:DK48),$DK$2:$DK$113,0)),"")</f>
        <v xml:space="preserve">HURTO EN GRADO DE TENTATIVA </v>
      </c>
      <c r="HH48" s="206" t="str">
        <f>IFERROR(INDEX($A$2:$A$113,MATCH(ROWS($DL$2:DL48),$DL$2:$DL$113,0)),"")</f>
        <v xml:space="preserve">HURTO EN GRADO DE TENTATIVA </v>
      </c>
      <c r="HI48" s="206" t="str">
        <f>IFERROR(INDEX($A$2:$A$113,MATCH(ROWS($DM$2:DM48),$DM$2:$DM$113,0)),"")</f>
        <v xml:space="preserve">HURTO EN GRADO DE TENTATIVA </v>
      </c>
      <c r="HJ48" s="206" t="str">
        <f>IFERROR(INDEX($A$2:$A$113,MATCH(ROWS($DN$2:DN48),$DN$2:$DN$113,0)),"")</f>
        <v xml:space="preserve">HURTO EN GRADO DE TENTATIVA </v>
      </c>
      <c r="HK48" s="206" t="str">
        <f>IFERROR(INDEX($A$2:$A$113,MATCH(ROWS($DO$2:DO48),$DO$2:$DO$113,0)),"")</f>
        <v xml:space="preserve">HURTO EN GRADO DE TENTATIVA </v>
      </c>
      <c r="HL48" s="206" t="str">
        <f>IFERROR(INDEX($A$2:$A$113,MATCH(ROWS($DP$2:DP48),$DP$2:$DP$113,0)),"")</f>
        <v xml:space="preserve">HURTO EN GRADO DE TENTATIVA </v>
      </c>
      <c r="HM48" s="206" t="str">
        <f>IFERROR(INDEX($A$2:$A$113,MATCH(ROWS($DQ$2:DQ48),$DQ$2:$DQ$113,0)),"")</f>
        <v xml:space="preserve">HURTO EN GRADO DE TENTATIVA </v>
      </c>
      <c r="HN48" s="206" t="str">
        <f>IFERROR(INDEX($A$2:$A$113,MATCH(ROWS($DR$2:DR48),$DR$2:$DR$113,0)),"")</f>
        <v xml:space="preserve">HURTO EN GRADO DE TENTATIVA </v>
      </c>
      <c r="HO48" s="206" t="str">
        <f>IFERROR(INDEX($A$2:$A$113,MATCH(ROWS($DS$2:DS48),$DS$2:$DS$113,0)),"")</f>
        <v xml:space="preserve">HURTO EN GRADO DE TENTATIVA </v>
      </c>
      <c r="HP48" s="206" t="str">
        <f>IFERROR(INDEX($A$2:$A$113,MATCH(ROWS($DT$2:DT48),$DT$2:$DT$113,0)),"")</f>
        <v xml:space="preserve">HURTO EN GRADO DE TENTATIVA </v>
      </c>
      <c r="HQ48" s="206" t="str">
        <f>IFERROR(INDEX($A$2:$A$113,MATCH(ROWS($DU$2:DU48),$DU$2:$DU$113,0)),"")</f>
        <v xml:space="preserve">HURTO EN GRADO DE TENTATIVA </v>
      </c>
      <c r="HR48" s="206" t="str">
        <f>IFERROR(INDEX($A$2:$A$113,MATCH(ROWS($DV$2:DV48),$DV$2:$DV$113,0)),"")</f>
        <v xml:space="preserve">HURTO EN GRADO DE TENTATIVA </v>
      </c>
      <c r="HS48" s="206" t="str">
        <f>IFERROR(INDEX($A$2:$A$113,MATCH(ROWS($DW$2:DW48),$DW$2:$DW$113,0)),"")</f>
        <v xml:space="preserve">HURTO EN GRADO DE TENTATIVA </v>
      </c>
      <c r="HT48" s="206" t="str">
        <f>IFERROR(INDEX($A$2:$A$113,MATCH(ROWS($DX$2:DX48),$DX$2:$DX$113,0)),"")</f>
        <v xml:space="preserve">HURTO EN GRADO DE TENTATIVA </v>
      </c>
      <c r="HU48" s="206" t="str">
        <f>IFERROR(INDEX($A$2:$A$113,MATCH(ROWS($DY$2:DY48),$DY$2:$DY$113,0)),"")</f>
        <v xml:space="preserve">HURTO EN GRADO DE TENTATIVA </v>
      </c>
      <c r="HV48" s="206" t="str">
        <f>IFERROR(INDEX($A$2:$A$113,MATCH(ROWS($DZ$2:DZ48),$DZ$2:$DZ$113,0)),"")</f>
        <v xml:space="preserve">HURTO EN GRADO DE TENTATIVA </v>
      </c>
      <c r="HW48" s="206" t="str">
        <f>IFERROR(INDEX($A$2:$A$113,MATCH(ROWS($EA$2:EA48),$EA$2:$EA$113,0)),"")</f>
        <v xml:space="preserve">HURTO EN GRADO DE TENTATIVA </v>
      </c>
      <c r="HX48" s="206" t="str">
        <f>IFERROR(INDEX($A$2:$A$113,MATCH(ROWS($EB$2:EB48),$EB$2:$EB$113,0)),"")</f>
        <v xml:space="preserve">HURTO EN GRADO DE TENTATIVA </v>
      </c>
      <c r="HY48" s="206" t="str">
        <f>IFERROR(INDEX($A$2:$A$113,MATCH(ROWS($EC$2:EC48),$EC$2:$EC$113,0)),"")</f>
        <v xml:space="preserve">HURTO EN GRADO DE TENTATIVA </v>
      </c>
      <c r="HZ48" s="206" t="str">
        <f>IFERROR(INDEX($A$2:$A$113,MATCH(ROWS($ED$2:ED48),$ED$2:$ED$113,0)),"")</f>
        <v xml:space="preserve">HURTO EN GRADO DE TENTATIVA </v>
      </c>
      <c r="IA48" s="206" t="str">
        <f>IFERROR(INDEX($A$2:$A$113,MATCH(ROWS($EE$2:EE48),$EE$2:$EE$113,0)),"")</f>
        <v xml:space="preserve">HURTO EN GRADO DE TENTATIVA </v>
      </c>
      <c r="IB48" s="206" t="str">
        <f>IFERROR(INDEX($A$2:$A$113,MATCH(ROWS($EF$2:EF48),$EF$2:$EF$113,0)),"")</f>
        <v xml:space="preserve">HURTO EN GRADO DE TENTATIVA </v>
      </c>
      <c r="IC48" s="206" t="str">
        <f>IFERROR(INDEX($A$2:$A$113,MATCH(ROWS($EG$2:EG48),$EG$2:$EG$113,0)),"")</f>
        <v xml:space="preserve">HURTO EN GRADO DE TENTATIVA </v>
      </c>
      <c r="ID48" s="206" t="str">
        <f>IFERROR(INDEX($A$2:$A$113,MATCH(ROWS($EH$2:EH48),$EH$2:$EH$113,0)),"")</f>
        <v xml:space="preserve">HURTO EN GRADO DE TENTATIVA </v>
      </c>
      <c r="IE48" s="206" t="str">
        <f>IFERROR(INDEX($A$2:$A$113,MATCH(ROWS($EI$2:EI48),$EI$2:$EI$113,0)),"")</f>
        <v xml:space="preserve">HURTO EN GRADO DE TENTATIVA </v>
      </c>
      <c r="IF48" s="206" t="str">
        <f>IFERROR(INDEX($A$2:$A$113,MATCH(ROWS($EJ$2:EJ48),$EJ$2:$EJ$113,0)),"")</f>
        <v xml:space="preserve">HURTO EN GRADO DE TENTATIVA </v>
      </c>
      <c r="IG48" s="206" t="str">
        <f>IFERROR(INDEX($A$2:$A$113,MATCH(ROWS($EK$2:EK48),$EK$2:$EK$113,0)),"")</f>
        <v xml:space="preserve">HURTO EN GRADO DE TENTATIVA </v>
      </c>
      <c r="IH48" s="206" t="str">
        <f>IFERROR(INDEX($A$2:$A$113,MATCH(ROWS($EL$2:EL48),$EL$2:$EL$113,0)),"")</f>
        <v xml:space="preserve">HURTO EN GRADO DE TENTATIVA </v>
      </c>
      <c r="II48" s="206" t="str">
        <f>IFERROR(INDEX($A$2:$A$113,MATCH(ROWS($EM$2:EM48),$EM$2:$EM$113,0)),"")</f>
        <v xml:space="preserve">HURTO EN GRADO DE TENTATIVA </v>
      </c>
      <c r="IJ48" s="206" t="str">
        <f>IFERROR(INDEX($A$2:$A$113,MATCH(ROWS($EN$2:EN48),$EN$2:$EN$113,0)),"")</f>
        <v xml:space="preserve">HURTO EN GRADO DE TENTATIVA </v>
      </c>
      <c r="IK48" s="207" t="str">
        <f>IFERROR(INDEX($A$2:$A$113,MATCH(ROWS($EO$2:EO48),$EO$2:$EO$113,0)),"")</f>
        <v xml:space="preserve">HURTO EN GRADO DE TENTATIVA </v>
      </c>
      <c r="IL48" s="207" t="str">
        <f>IFERROR(INDEX($A$2:$A$113,MATCH(ROWS($EP$2:EP48),$EP$2:$EP$113,0)),"")</f>
        <v xml:space="preserve">HURTO EN GRADO DE TENTATIVA </v>
      </c>
      <c r="IM48" s="207" t="str">
        <f>IFERROR(INDEX($A$2:$A$113,MATCH(ROWS($EQ$2:EQ48),$EQ$2:$EQ$113,0)),"")</f>
        <v xml:space="preserve">HURTO EN GRADO DE TENTATIVA </v>
      </c>
      <c r="IN48" s="207" t="str">
        <f>IFERROR(INDEX($A$2:$A$113,MATCH(ROWS($ER$2:ER48),$ER$2:$ER$113,0)),"")</f>
        <v xml:space="preserve">HURTO EN GRADO DE TENTATIVA </v>
      </c>
      <c r="IO48" s="207" t="str">
        <f>IFERROR(INDEX($A$2:$A$113,MATCH(ROWS($ES$2:ES48),$ES$2:$ES$113,0)),"")</f>
        <v xml:space="preserve">HURTO EN GRADO DE TENTATIVA </v>
      </c>
      <c r="IP48" s="207" t="str">
        <f>IFERROR(INDEX($A$2:$A$113,MATCH(ROWS($ET$2:ET48),$ET$2:$ET$113,0)),"")</f>
        <v xml:space="preserve">HURTO EN GRADO DE TENTATIVA </v>
      </c>
      <c r="IQ48" s="207" t="str">
        <f>IFERROR(INDEX($A$2:$A$113,MATCH(ROWS($EU$2:EU48),$EU$2:$EU$113,0)),"")</f>
        <v xml:space="preserve">HURTO EN GRADO DE TENTATIVA </v>
      </c>
      <c r="IR48" s="207" t="str">
        <f>IFERROR(INDEX($A$2:$A$113,MATCH(ROWS($EV$2:EV48),$EV$2:$EV$113,0)),"")</f>
        <v xml:space="preserve">HURTO EN GRADO DE TENTATIVA </v>
      </c>
      <c r="IS48" s="207" t="str">
        <f>IFERROR(INDEX($A$2:$A$113,MATCH(ROWS($EW$2:EW48),$EW$2:$EW$113,0)),"")</f>
        <v xml:space="preserve">HURTO EN GRADO DE TENTATIVA </v>
      </c>
      <c r="IT48" s="207" t="str">
        <f>IFERROR(INDEX($A$2:$A$113,MATCH(ROWS($EX$2:EX48),$EX$2:$EX$113,0)),"")</f>
        <v xml:space="preserve">HURTO EN GRADO DE TENTATIVA </v>
      </c>
      <c r="IU48" s="207" t="str">
        <f>IFERROR(INDEX($A$2:$A$113,MATCH(ROWS($EY$2:EY48),$EY$2:$EY$113,0)),"")</f>
        <v xml:space="preserve">HURTO EN GRADO DE TENTATIVA </v>
      </c>
      <c r="IV48" s="207" t="str">
        <f>IFERROR(INDEX($A$2:$A$113,MATCH(ROWS($EZ$2:EZ48),$EZ$2:$EZ$113,0)),"")</f>
        <v xml:space="preserve">HURTO EN GRADO DE TENTATIVA </v>
      </c>
      <c r="IW48" s="207" t="str">
        <f>IFERROR(INDEX($A$2:$A$113,MATCH(ROWS($FA$2:FA48),$FA$2:$FA$113,0)),"")</f>
        <v xml:space="preserve">HURTO EN GRADO DE TENTATIVA </v>
      </c>
      <c r="IX48" s="207" t="str">
        <f>IFERROR(INDEX($A$2:$A$113,MATCH(ROWS($FB$2:FB48),$FB$2:$FB$113,0)),"")</f>
        <v xml:space="preserve">HURTO EN GRADO DE TENTATIVA </v>
      </c>
      <c r="IY48" s="207" t="str">
        <f>IFERROR(INDEX($A$2:$A$113,MATCH(ROWS($FC$2:FC48),$FC$2:$FC$113,0)),"")</f>
        <v xml:space="preserve">HURTO EN GRADO DE TENTATIVA </v>
      </c>
      <c r="IZ48" s="207" t="str">
        <f>IFERROR(INDEX($A$2:$A$113,MATCH(ROWS($FD$2:FD48),$FD$2:$FD$113,0)),"")</f>
        <v xml:space="preserve">HURTO EN GRADO DE TENTATIVA </v>
      </c>
      <c r="JA48" s="207" t="str">
        <f>IFERROR(INDEX($A$2:$A$113,MATCH(ROWS($FE$2:FE48),$FE$2:$FE$113,0)),"")</f>
        <v xml:space="preserve">HURTO EN GRADO DE TENTATIVA </v>
      </c>
      <c r="JB48" s="207" t="str">
        <f>IFERROR(INDEX($A$2:$A$113,MATCH(ROWS($FF$2:FF48),$FF$2:$FF$113,0)),"")</f>
        <v xml:space="preserve">HURTO EN GRADO DE TENTATIVA </v>
      </c>
      <c r="JC48" s="207" t="str">
        <f>IFERROR(INDEX($A$2:$A$113,MATCH(ROWS($FG$2:FG48),$FG$2:$FG$113,0)),"")</f>
        <v xml:space="preserve">HURTO EN GRADO DE TENTATIVA </v>
      </c>
      <c r="JD48" s="207" t="str">
        <f>IFERROR(INDEX($A$2:$A$113,MATCH(ROWS($FH$2:FH48),$FH$2:$FH$113,0)),"")</f>
        <v xml:space="preserve">HURTO EN GRADO DE TENTATIVA </v>
      </c>
      <c r="JE48" s="207" t="str">
        <f>IFERROR(INDEX($A$2:$A$113,MATCH(ROWS($FI$2:FI48),$FI$2:$FI$113,0)),"")</f>
        <v xml:space="preserve">HURTO EN GRADO DE TENTATIVA </v>
      </c>
      <c r="JF48" s="207" t="str">
        <f>IFERROR(INDEX($A$2:$A$113,MATCH(ROWS($FJ$2:FJ48),$FJ$2:$FJ$113,0)),"")</f>
        <v xml:space="preserve">HURTO EN GRADO DE TENTATIVA </v>
      </c>
      <c r="JG48" s="207" t="str">
        <f>IFERROR(INDEX($A$2:$A$113,MATCH(ROWS($FK$2:FK48),$FK$2:$FK$113,0)),"")</f>
        <v xml:space="preserve">HURTO EN GRADO DE TENTATIVA </v>
      </c>
      <c r="JH48" s="207" t="str">
        <f>IFERROR(INDEX($A$2:$A$113,MATCH(ROWS($FL$2:FL48),$FL$2:$FL$113,0)),"")</f>
        <v xml:space="preserve">HURTO EN GRADO DE TENTATIVA </v>
      </c>
      <c r="JI48" s="207" t="str">
        <f>IFERROR(INDEX($A$2:$A$113,MATCH(ROWS($FM$2:FM48),$FM$2:$FM$113,0)),"")</f>
        <v xml:space="preserve">HURTO EN GRADO DE TENTATIVA </v>
      </c>
      <c r="JJ48" s="207" t="str">
        <f>IFERROR(INDEX($A$2:$A$113,MATCH(ROWS($FN$2:FN48),$FN$2:$FN$113,0)),"")</f>
        <v xml:space="preserve">HURTO EN GRADO DE TENTATIVA </v>
      </c>
      <c r="JK48" s="207" t="str">
        <f>IFERROR(INDEX($A$2:$A$113,MATCH(ROWS($FO$2:FO48),$FO$2:$FO$113,0)),"")</f>
        <v xml:space="preserve">HURTO EN GRADO DE TENTATIVA </v>
      </c>
      <c r="JL48" s="207" t="str">
        <f>IFERROR(INDEX($A$2:$A$113,MATCH(ROWS($FP$2:FP48),$FP$2:$FP$113,0)),"")</f>
        <v xml:space="preserve">HURTO EN GRADO DE TENTATIVA </v>
      </c>
      <c r="JM48" s="207" t="str">
        <f>IFERROR(INDEX($A$2:$A$113,MATCH(ROWS($FQ$2:FQ48),$FQ$2:$FQ$113,0)),"")</f>
        <v xml:space="preserve">HURTO EN GRADO DE TENTATIVA </v>
      </c>
      <c r="JN48" s="207" t="str">
        <f>IFERROR(INDEX($A$2:$A$113,MATCH(ROWS($FR$2:FR48),$FR$2:$FR$113,0)),"")</f>
        <v xml:space="preserve">HURTO EN GRADO DE TENTATIVA </v>
      </c>
      <c r="JO48" s="207" t="str">
        <f>IFERROR(INDEX($A$2:$A$113,MATCH(ROWS($FS$2:FS48),$FS$2:$FS$113,0)),"")</f>
        <v xml:space="preserve">HURTO EN GRADO DE TENTATIVA </v>
      </c>
      <c r="JP48" s="207" t="str">
        <f>IFERROR(INDEX($A$2:$A$113,MATCH(ROWS($FT$2:FT48),$FT$2:$FT$113,0)),"")</f>
        <v xml:space="preserve">HURTO EN GRADO DE TENTATIVA </v>
      </c>
      <c r="JQ48" s="207" t="str">
        <f>IFERROR(INDEX($A$2:$A$113,MATCH(ROWS($FU$2:FU48),$FU$2:$FU$113,0)),"")</f>
        <v xml:space="preserve">HURTO EN GRADO DE TENTATIVA </v>
      </c>
      <c r="JR48" s="207" t="str">
        <f>IFERROR(INDEX($A$2:$A$113,MATCH(ROWS($FV$2:FV48),$FV$2:$FV$113,0)),"")</f>
        <v xml:space="preserve">HURTO EN GRADO DE TENTATIVA </v>
      </c>
      <c r="JS48" s="207" t="str">
        <f>IFERROR(INDEX($A$2:$A$113,MATCH(ROWS($FW$2:FW48),$FW$2:$FW$113,0)),"")</f>
        <v xml:space="preserve">HURTO EN GRADO DE TENTATIVA </v>
      </c>
      <c r="JT48" s="207" t="str">
        <f>IFERROR(INDEX($A$2:$A$113,MATCH(ROWS($FX$2:FX48),$FX$2:$FX$113,0)),"")</f>
        <v xml:space="preserve">HURTO EN GRADO DE TENTATIVA </v>
      </c>
      <c r="JU48" s="207" t="str">
        <f>IFERROR(INDEX($A$2:$A$113,MATCH(ROWS($FY$2:FY48),$FY$2:$FY$113,0)),"")</f>
        <v xml:space="preserve">HURTO EN GRADO DE TENTATIVA </v>
      </c>
      <c r="JV48" s="207" t="str">
        <f>IFERROR(INDEX($A$2:$A$113,MATCH(ROWS($FZ$2:FZ48),$FZ$2:$FZ$113,0)),"")</f>
        <v xml:space="preserve">HURTO EN GRADO DE TENTATIVA </v>
      </c>
      <c r="JW48" s="207" t="str">
        <f>IFERROR(INDEX($A$2:$A$113,MATCH(ROWS($GA$2:GA48),$GA$2:$GA$113,0)),"")</f>
        <v xml:space="preserve">HURTO EN GRADO DE TENTATIVA </v>
      </c>
      <c r="JX48" s="207" t="str">
        <f>IFERROR(INDEX($A$2:$A$113,MATCH(ROWS($GB$2:GB48),$GB$2:$GB$113,0)),"")</f>
        <v xml:space="preserve">HURTO EN GRADO DE TENTATIVA </v>
      </c>
      <c r="JY48" s="207" t="str">
        <f>IFERROR(INDEX($A$2:$A$113,MATCH(ROWS($GC$2:GC48),$GC$2:$GC$113,0)),"")</f>
        <v xml:space="preserve">HURTO EN GRADO DE TENTATIVA </v>
      </c>
      <c r="JZ48" s="207" t="str">
        <f>IFERROR(INDEX($A$2:$A$113,MATCH(ROWS($GD$2:GD48),$GD$2:$GD$113,0)),"")</f>
        <v xml:space="preserve">HURTO EN GRADO DE TENTATIVA </v>
      </c>
      <c r="KA48" s="207" t="str">
        <f>IFERROR(INDEX($A$2:$A$113,MATCH(ROWS($GE$2:GE48),$GE$2:$GE$113,0)),"")</f>
        <v xml:space="preserve">HURTO EN GRADO DE TENTATIVA </v>
      </c>
      <c r="KB48" s="207" t="str">
        <f>IFERROR(INDEX($A$2:$A$113,MATCH(ROWS($GF$2:GF48),$GF$2:$GF$113,0)),"")</f>
        <v xml:space="preserve">HURTO EN GRADO DE TENTATIVA </v>
      </c>
      <c r="KC48" s="207" t="str">
        <f>IFERROR(INDEX($A$2:$A$113,MATCH(ROWS($GG$2:GG48),$GG$2:$GG$113,0)),"")</f>
        <v xml:space="preserve">HURTO EN GRADO DE TENTATIVA </v>
      </c>
      <c r="KD48" s="207" t="str">
        <f>IFERROR(INDEX($A$2:$A$113,MATCH(ROWS($GH$2:GH48),$GH$2:$GH$113,0)),"")</f>
        <v xml:space="preserve">HURTO EN GRADO DE TENTATIVA </v>
      </c>
      <c r="KE48" s="207" t="str">
        <f>IFERROR(INDEX($A$2:$A$113,MATCH(ROWS($GI$2:GI48),$GI$2:$GI$113,0)),"")</f>
        <v xml:space="preserve">HURTO EN GRADO DE TENTATIVA </v>
      </c>
      <c r="KF48" s="207" t="str">
        <f>IFERROR(INDEX($A$2:$A$113,MATCH(ROWS($GJ$2:GJ48),$GJ$2:$GJ$113,0)),"")</f>
        <v xml:space="preserve">HURTO EN GRADO DE TENTATIVA </v>
      </c>
      <c r="KG48" s="207" t="str">
        <f>IFERROR(INDEX($A$2:$A$113,MATCH(ROWS($GK$2:GK48),$GK$2:$GK$113,0)),"")</f>
        <v xml:space="preserve">HURTO EN GRADO DE TENTATIVA </v>
      </c>
      <c r="KH48" s="207" t="str">
        <f>IFERROR(INDEX($A$2:$A$113,MATCH(ROWS($GL$2:GL48),$GL$2:$GL$113,0)),"")</f>
        <v xml:space="preserve">HURTO EN GRADO DE TENTATIVA </v>
      </c>
      <c r="KI48" s="207" t="str">
        <f>IFERROR(INDEX($A$2:$A$113,MATCH(ROWS($GM$2:GM48),$GM$2:$GM$113,0)),"")</f>
        <v xml:space="preserve">HURTO EN GRADO DE TENTATIVA </v>
      </c>
      <c r="KJ48" s="207" t="str">
        <f>IFERROR(INDEX($A$2:$A$113,MATCH(ROWS($GN$2:GN48),$GN$2:$GN$113,0)),"")</f>
        <v xml:space="preserve">HURTO EN GRADO DE TENTATIVA </v>
      </c>
      <c r="KK48" s="207" t="str">
        <f>IFERROR(INDEX($A$2:$A$113,MATCH(ROWS($GO$2:GO48),$GO$2:$GO$113,0)),"")</f>
        <v xml:space="preserve">HURTO EN GRADO DE TENTATIVA </v>
      </c>
      <c r="KL48" s="207" t="str">
        <f>IFERROR(INDEX($A$2:$A$113,MATCH(ROWS($GP$2:GP48),$GP$2:$GP$113,0)),"")</f>
        <v xml:space="preserve">HURTO EN GRADO DE TENTATIVA </v>
      </c>
      <c r="KM48" s="207" t="str">
        <f>IFERROR(INDEX($A$2:$A$113,MATCH(ROWS($GQ$2:GQ48),$GQ$2:$GQ$113,0)),"")</f>
        <v xml:space="preserve">HURTO EN GRADO DE TENTATIVA </v>
      </c>
      <c r="KN48" s="207" t="str">
        <f>IFERROR(INDEX($A$2:$A$113,MATCH(ROWS($GR$2:GR48),$GR$2:$GR$113,0)),"")</f>
        <v xml:space="preserve">HURTO EN GRADO DE TENTATIVA </v>
      </c>
      <c r="KO48" s="207" t="str">
        <f>IFERROR(INDEX($A$2:$A$113,MATCH(ROWS($GS$2:GS48),$GS$2:$GS$113,0)),"")</f>
        <v xml:space="preserve">HURTO EN GRADO DE TENTATIVA </v>
      </c>
      <c r="KP48" s="207" t="str">
        <f>IFERROR(INDEX($A$2:$A$113,MATCH(ROWS($GT$2:GT48),$GT$2:$GT$113,0)),"")</f>
        <v xml:space="preserve">HURTO EN GRADO DE TENTATIVA </v>
      </c>
      <c r="KQ48" s="207" t="str">
        <f>IFERROR(INDEX($A$2:$A$113,MATCH(ROWS($GU$2:GU48),$GU$2:$GU$113,0)),"")</f>
        <v xml:space="preserve">HURTO EN GRADO DE TENTATIVA </v>
      </c>
      <c r="KR48" s="207" t="str">
        <f>IFERROR(INDEX($A$2:$A$113,MATCH(ROWS($GV$2:GV48),$GV$2:$GV$113,0)),"")</f>
        <v xml:space="preserve">HURTO EN GRADO DE TENTATIVA </v>
      </c>
      <c r="KS48" s="207" t="str">
        <f>IFERROR(INDEX($A$2:$A$113,MATCH(ROWS($GW$2:GW48),$GW$2:$GW$113,0)),"")</f>
        <v xml:space="preserve">HURTO EN GRADO DE TENTATIVA </v>
      </c>
    </row>
    <row r="49" spans="1:305" x14ac:dyDescent="0.25">
      <c r="A49" s="206" t="s">
        <v>88</v>
      </c>
      <c r="B49" s="206">
        <v>15</v>
      </c>
      <c r="C49" s="206" t="s">
        <v>89</v>
      </c>
      <c r="D49" s="206" t="s">
        <v>47</v>
      </c>
      <c r="E49" s="206" t="s">
        <v>510</v>
      </c>
      <c r="F49" s="207">
        <f>--ISNUMBER(IFERROR(SEARCH('PLANILLA DJ'!$X$3,$A49,1),""))</f>
        <v>1</v>
      </c>
      <c r="G49" s="207">
        <f>--ISNUMBER(IFERROR(SEARCH('PLANILLA DJ'!$X$4,$A49,1),""))</f>
        <v>1</v>
      </c>
      <c r="H49" s="207">
        <f>--ISNUMBER(IFERROR(SEARCH('PLANILLA DJ'!$X$5,$A49,1),""))</f>
        <v>1</v>
      </c>
      <c r="I49" s="207">
        <f>--ISNUMBER(IFERROR(SEARCH('PLANILLA DJ'!$X$6,$A49,1),""))</f>
        <v>1</v>
      </c>
      <c r="J49" s="207">
        <f>--ISNUMBER(IFERROR(SEARCH('PLANILLA DJ'!$X$7,$A49,1),""))</f>
        <v>1</v>
      </c>
      <c r="K49" s="207">
        <f>--ISNUMBER(IFERROR(SEARCH('PLANILLA DJ'!$X$8,$A49,1),""))</f>
        <v>1</v>
      </c>
      <c r="L49" s="207">
        <f>--ISNUMBER(IFERROR(SEARCH('PLANILLA DJ'!$X$9,$A49,1),""))</f>
        <v>1</v>
      </c>
      <c r="M49" s="207">
        <f>--ISNUMBER(IFERROR(SEARCH('PLANILLA DJ'!$X$10,$A49,1),""))</f>
        <v>1</v>
      </c>
      <c r="N49" s="207">
        <f>--ISNUMBER(IFERROR(SEARCH('PLANILLA DJ'!$X$11,$A49,1),""))</f>
        <v>1</v>
      </c>
      <c r="O49" s="207">
        <f>--ISNUMBER(IFERROR(SEARCH('PLANILLA DJ'!$X$12,$A49,1),""))</f>
        <v>1</v>
      </c>
      <c r="P49" s="207">
        <f>--ISNUMBER(IFERROR(SEARCH('PLANILLA DJ'!$X$13,$A49,1),""))</f>
        <v>1</v>
      </c>
      <c r="Q49" s="207">
        <f>--ISNUMBER(IFERROR(SEARCH('PLANILLA DJ'!$X$14,$A49,1),""))</f>
        <v>1</v>
      </c>
      <c r="R49" s="207">
        <f>--ISNUMBER(IFERROR(SEARCH('PLANILLA DJ'!$X$15,$A49,1),""))</f>
        <v>1</v>
      </c>
      <c r="S49" s="207">
        <f>--ISNUMBER(IFERROR(SEARCH('PLANILLA DJ'!$X$16,$A49,1),""))</f>
        <v>1</v>
      </c>
      <c r="T49" s="207">
        <f>--ISNUMBER(IFERROR(SEARCH('PLANILLA DJ'!$X$17,$A49,1),""))</f>
        <v>1</v>
      </c>
      <c r="U49" s="207">
        <f>--ISNUMBER(IFERROR(SEARCH('PLANILLA DJ'!$X$18,$A49,1),""))</f>
        <v>1</v>
      </c>
      <c r="V49" s="207">
        <f>--ISNUMBER(IFERROR(SEARCH('PLANILLA DJ'!$X$19,$A49,1),""))</f>
        <v>1</v>
      </c>
      <c r="W49" s="207">
        <f>--ISNUMBER(IFERROR(SEARCH('PLANILLA DJ'!$X$20,$A49,1),""))</f>
        <v>1</v>
      </c>
      <c r="X49" s="207">
        <f>--ISNUMBER(IFERROR(SEARCH('PLANILLA DJ'!$X$21,$A49,1),""))</f>
        <v>1</v>
      </c>
      <c r="Y49" s="207">
        <f>--ISNUMBER(IFERROR(SEARCH('PLANILLA DJ'!$X$22,$A49,1),""))</f>
        <v>1</v>
      </c>
      <c r="Z49" s="207">
        <f>--ISNUMBER(IFERROR(SEARCH('PLANILLA DJ'!$X$23,$A49,1),""))</f>
        <v>1</v>
      </c>
      <c r="AA49" s="207">
        <f>--ISNUMBER(IFERROR(SEARCH('PLANILLA DJ'!$X$24,$A49,1),""))</f>
        <v>1</v>
      </c>
      <c r="AB49" s="207">
        <f>--ISNUMBER(IFERROR(SEARCH('PLANILLA DJ'!$X$25,$A49,1),""))</f>
        <v>1</v>
      </c>
      <c r="AC49" s="207">
        <f>--ISNUMBER(IFERROR(SEARCH('PLANILLA DJ'!$X$26,$A49,1),""))</f>
        <v>1</v>
      </c>
      <c r="AD49" s="207">
        <f>--ISNUMBER(IFERROR(SEARCH('PLANILLA DJ'!$X$27,$A49,1),""))</f>
        <v>1</v>
      </c>
      <c r="AE49" s="207">
        <f>--ISNUMBER(IFERROR(SEARCH('PLANILLA DJ'!$X$28,$A49,1),""))</f>
        <v>1</v>
      </c>
      <c r="AF49" s="207">
        <f>--ISNUMBER(IFERROR(SEARCH('PLANILLA DJ'!$X$29,$A49,1),""))</f>
        <v>1</v>
      </c>
      <c r="AG49" s="207">
        <f>--ISNUMBER(IFERROR(SEARCH('PLANILLA DJ'!$X$30,$A49,1),""))</f>
        <v>1</v>
      </c>
      <c r="AH49" s="207">
        <f>--ISNUMBER(IFERROR(SEARCH('PLANILLA DJ'!$X$31,$A49,1),""))</f>
        <v>1</v>
      </c>
      <c r="AI49" s="207">
        <f>--ISNUMBER(IFERROR(SEARCH('PLANILLA DJ'!$X$32,$A49,1),""))</f>
        <v>1</v>
      </c>
      <c r="AJ49" s="207">
        <f>--ISNUMBER(IFERROR(SEARCH('PLANILLA DJ'!$X$33,$A49,1),""))</f>
        <v>1</v>
      </c>
      <c r="AK49" s="207">
        <f>--ISNUMBER(IFERROR(SEARCH('PLANILLA DJ'!$X$34,$A49,1),""))</f>
        <v>1</v>
      </c>
      <c r="AL49" s="207">
        <f>--ISNUMBER(IFERROR(SEARCH('PLANILLA DJ'!$X$35,$A49,1),""))</f>
        <v>1</v>
      </c>
      <c r="AM49" s="207">
        <f>--ISNUMBER(IFERROR(SEARCH('PLANILLA DJ'!$X$36,$A49,1),""))</f>
        <v>1</v>
      </c>
      <c r="AN49" s="207">
        <f>--ISNUMBER(IFERROR(SEARCH('PLANILLA DJ'!$X$37,$A49,1),""))</f>
        <v>1</v>
      </c>
      <c r="AO49" s="207">
        <f>--ISNUMBER(IFERROR(SEARCH('PLANILLA DJ'!$X$38,$A49,1),""))</f>
        <v>1</v>
      </c>
      <c r="AP49" s="207">
        <f>--ISNUMBER(IFERROR(SEARCH('PLANILLA DJ'!$X$39,$A49,1),""))</f>
        <v>1</v>
      </c>
      <c r="AQ49" s="207">
        <f>--ISNUMBER(IFERROR(SEARCH('PLANILLA DJ'!$X$40,$A49,1),""))</f>
        <v>1</v>
      </c>
      <c r="AR49" s="207">
        <f>--ISNUMBER(IFERROR(SEARCH('PLANILLA DJ'!$X$41,$A49,1),""))</f>
        <v>1</v>
      </c>
      <c r="AS49" s="207">
        <f>--ISNUMBER(IFERROR(SEARCH('PLANILLA DJ'!$X$42,$A49,1),""))</f>
        <v>1</v>
      </c>
      <c r="AT49" s="207">
        <f>--ISNUMBER(IFERROR(SEARCH('PLANILLA DJ'!$X$43,$A49,1),""))</f>
        <v>1</v>
      </c>
      <c r="AU49" s="207">
        <f>--ISNUMBER(IFERROR(SEARCH('PLANILLA DJ'!$X$44,$A49,1),""))</f>
        <v>1</v>
      </c>
      <c r="AV49" s="207">
        <f>--ISNUMBER(IFERROR(SEARCH('PLANILLA DJ'!$X$45,$A49,1),""))</f>
        <v>1</v>
      </c>
      <c r="AW49" s="207">
        <f>--ISNUMBER(IFERROR(SEARCH('PLANILLA DJ'!$X$46,$A49,1),""))</f>
        <v>1</v>
      </c>
      <c r="AX49" s="207">
        <f>--ISNUMBER(IFERROR(SEARCH('PLANILLA DJ'!$X$47,$A49,1),""))</f>
        <v>1</v>
      </c>
      <c r="AY49" s="207">
        <f>--ISNUMBER(IFERROR(SEARCH('PLANILLA DJ'!$X$48,$A49,1),""))</f>
        <v>1</v>
      </c>
      <c r="AZ49" s="207">
        <f>--ISNUMBER(IFERROR(SEARCH('PLANILLA DJ'!$X$49,$A49,1),""))</f>
        <v>1</v>
      </c>
      <c r="BA49" s="207">
        <f>--ISNUMBER(IFERROR(SEARCH('PLANILLA DJ'!$X$50,$A49,1),""))</f>
        <v>1</v>
      </c>
      <c r="BB49" s="207">
        <f>--ISNUMBER(IFERROR(SEARCH('PLANILLA DJ'!$X$51,$A49,1),""))</f>
        <v>1</v>
      </c>
      <c r="BC49" s="207">
        <f>--ISNUMBER(IFERROR(SEARCH('PLANILLA DJ'!$X$52,$A49,1),""))</f>
        <v>1</v>
      </c>
      <c r="BD49" s="207">
        <f>--ISNUMBER(IFERROR(SEARCH('PLANILLA DJ'!$X$53,$A49,1),""))</f>
        <v>1</v>
      </c>
      <c r="BE49" s="207">
        <f>--ISNUMBER(IFERROR(SEARCH('PLANILLA DJ'!$X$54,$A49,1),""))</f>
        <v>1</v>
      </c>
      <c r="BF49" s="207">
        <f>--ISNUMBER(IFERROR(SEARCH('PLANILLA DJ'!$X$55,$A49,1),""))</f>
        <v>1</v>
      </c>
      <c r="BG49" s="207">
        <f>--ISNUMBER(IFERROR(SEARCH('PLANILLA DJ'!$X$56,$A49,1),""))</f>
        <v>1</v>
      </c>
      <c r="BH49" s="207">
        <f>--ISNUMBER(IFERROR(SEARCH('PLANILLA DJ'!$X$57,$A49,1),""))</f>
        <v>1</v>
      </c>
      <c r="BI49" s="207">
        <f>--ISNUMBER(IFERROR(SEARCH('PLANILLA DJ'!$X$58,$A49,1),""))</f>
        <v>1</v>
      </c>
      <c r="BJ49" s="207">
        <f>--ISNUMBER(IFERROR(SEARCH('PLANILLA DJ'!$X$59,$A49,1),""))</f>
        <v>1</v>
      </c>
      <c r="BK49" s="207">
        <f>--ISNUMBER(IFERROR(SEARCH('PLANILLA DJ'!$X$60,$A49,1),""))</f>
        <v>1</v>
      </c>
      <c r="BL49" s="207">
        <f>--ISNUMBER(IFERROR(SEARCH('PLANILLA DJ'!$X$61,$A49,1),""))</f>
        <v>1</v>
      </c>
      <c r="BM49" s="207">
        <f>--ISNUMBER(IFERROR(SEARCH('PLANILLA DJ'!$X$62,$A49,1),""))</f>
        <v>1</v>
      </c>
      <c r="BN49" s="207">
        <f>--ISNUMBER(IFERROR(SEARCH('PLANILLA DJ'!$X$63,$A49,1),""))</f>
        <v>1</v>
      </c>
      <c r="BO49" s="207">
        <f>--ISNUMBER(IFERROR(SEARCH('PLANILLA DJ'!$X$64,$A49,1),""))</f>
        <v>1</v>
      </c>
      <c r="BP49" s="207">
        <f>--ISNUMBER(IFERROR(SEARCH('PLANILLA DJ'!$X$65,$A49,1),""))</f>
        <v>1</v>
      </c>
      <c r="BQ49" s="207">
        <f>--ISNUMBER(IFERROR(SEARCH('PLANILLA DJ'!$X$66,$A49,1),""))</f>
        <v>1</v>
      </c>
      <c r="BR49" s="207">
        <f>--ISNUMBER(IFERROR(SEARCH('PLANILLA DJ'!$X$67,$A49,1),""))</f>
        <v>1</v>
      </c>
      <c r="BS49" s="207">
        <f>--ISNUMBER(IFERROR(SEARCH('PLANILLA DJ'!$X$68,$A49,1),""))</f>
        <v>1</v>
      </c>
      <c r="BT49" s="207">
        <f>--ISNUMBER(IFERROR(SEARCH('PLANILLA DJ'!$X$69,$A49,1),""))</f>
        <v>1</v>
      </c>
      <c r="BU49" s="207">
        <f>--ISNUMBER(IFERROR(SEARCH('PLANILLA DJ'!$X$70,$A49,1),""))</f>
        <v>1</v>
      </c>
      <c r="BV49" s="207">
        <f>--ISNUMBER(IFERROR(SEARCH('PLANILLA DJ'!$X$71,$A49,1),""))</f>
        <v>1</v>
      </c>
      <c r="BW49" s="207">
        <f>--ISNUMBER(IFERROR(SEARCH('PLANILLA DJ'!$X$72,$A49,1),""))</f>
        <v>1</v>
      </c>
      <c r="BX49" s="207">
        <f>--ISNUMBER(IFERROR(SEARCH('PLANILLA DJ'!$X$73,$A49,1),""))</f>
        <v>1</v>
      </c>
      <c r="BY49" s="207">
        <f>--ISNUMBER(IFERROR(SEARCH('PLANILLA DJ'!$X$74,$A49,1),""))</f>
        <v>1</v>
      </c>
      <c r="BZ49" s="207">
        <f>--ISNUMBER(IFERROR(SEARCH('PLANILLA DJ'!$X$75,$A49,1),""))</f>
        <v>1</v>
      </c>
      <c r="CA49" s="207">
        <f>--ISNUMBER(IFERROR(SEARCH('PLANILLA DJ'!$X$76,$A49,1),""))</f>
        <v>1</v>
      </c>
      <c r="CB49" s="207">
        <f>--ISNUMBER(IFERROR(SEARCH('PLANILLA DJ'!$X$77,$A49,1),""))</f>
        <v>1</v>
      </c>
      <c r="CC49" s="207">
        <f>--ISNUMBER(IFERROR(SEARCH('PLANILLA DJ'!$X$78,$A49,1),""))</f>
        <v>1</v>
      </c>
      <c r="CD49" s="207">
        <f>--ISNUMBER(IFERROR(SEARCH('PLANILLA DJ'!$X$79,$A49,1),""))</f>
        <v>1</v>
      </c>
      <c r="CE49" s="207">
        <f>--ISNUMBER(IFERROR(SEARCH('PLANILLA DJ'!$X$80,$A49,1),""))</f>
        <v>1</v>
      </c>
      <c r="CF49" s="207">
        <f>--ISNUMBER(IFERROR(SEARCH('PLANILLA DJ'!$X$81,$A49,1),""))</f>
        <v>1</v>
      </c>
      <c r="CG49" s="207">
        <f>--ISNUMBER(IFERROR(SEARCH('PLANILLA DJ'!$X$82,$A49,1),""))</f>
        <v>1</v>
      </c>
      <c r="CH49" s="207">
        <f>--ISNUMBER(IFERROR(SEARCH('PLANILLA DJ'!$X$83,$A49,1),""))</f>
        <v>1</v>
      </c>
      <c r="CI49" s="207">
        <f>--ISNUMBER(IFERROR(SEARCH('PLANILLA DJ'!$X$84,$A49,1),""))</f>
        <v>1</v>
      </c>
      <c r="CJ49" s="207">
        <f>--ISNUMBER(IFERROR(SEARCH('PLANILLA DJ'!$X$85,$A49,1),""))</f>
        <v>1</v>
      </c>
      <c r="CK49" s="207">
        <f>--ISNUMBER(IFERROR(SEARCH('PLANILLA DJ'!$X$86,$A49,1),""))</f>
        <v>1</v>
      </c>
      <c r="CL49" s="207">
        <f>--ISNUMBER(IFERROR(SEARCH('PLANILLA DJ'!$X$87,$A49,1),""))</f>
        <v>1</v>
      </c>
      <c r="CM49" s="207">
        <f>--ISNUMBER(IFERROR(SEARCH('PLANILLA DJ'!$X$88,$A49,1),""))</f>
        <v>1</v>
      </c>
      <c r="CN49" s="207">
        <f>--ISNUMBER(IFERROR(SEARCH('PLANILLA DJ'!$X$89,$A49,1),""))</f>
        <v>1</v>
      </c>
      <c r="CO49" s="207">
        <f>--ISNUMBER(IFERROR(SEARCH('PLANILLA DJ'!$X$90,$A49,1),""))</f>
        <v>1</v>
      </c>
      <c r="CP49" s="207">
        <f>--ISNUMBER(IFERROR(SEARCH('PLANILLA DJ'!$X$91,$A49,1),""))</f>
        <v>1</v>
      </c>
      <c r="CQ49" s="207">
        <f>--ISNUMBER(IFERROR(SEARCH('PLANILLA DJ'!$X$92,$A49,1),""))</f>
        <v>1</v>
      </c>
      <c r="CR49" s="207">
        <f>--ISNUMBER(IFERROR(SEARCH('PLANILLA DJ'!$X$93,$A49,1),""))</f>
        <v>1</v>
      </c>
      <c r="CS49" s="207">
        <f>--ISNUMBER(IFERROR(SEARCH('PLANILLA DJ'!$X$94,$A49,1),""))</f>
        <v>1</v>
      </c>
      <c r="CT49" s="207">
        <f>--ISNUMBER(IFERROR(SEARCH('PLANILLA DJ'!$X$95,$A49,1),""))</f>
        <v>1</v>
      </c>
      <c r="CU49" s="207">
        <f>--ISNUMBER(IFERROR(SEARCH('PLANILLA DJ'!$X$96,$A49,1),""))</f>
        <v>1</v>
      </c>
      <c r="CV49" s="207">
        <f>--ISNUMBER(IFERROR(SEARCH('PLANILLA DJ'!$X$97,$A49,1),""))</f>
        <v>1</v>
      </c>
      <c r="CW49" s="207">
        <f>--ISNUMBER(IFERROR(SEARCH('PLANILLA DJ'!$X$98,$A49,1),""))</f>
        <v>1</v>
      </c>
      <c r="CX49" s="207">
        <f>--ISNUMBER(IFERROR(SEARCH('PLANILLA DJ'!$X$99,$A49,1),""))</f>
        <v>1</v>
      </c>
      <c r="CY49" s="207">
        <f>--ISNUMBER(IFERROR(SEARCH('PLANILLA DJ'!$X$100,$A49,1),""))</f>
        <v>1</v>
      </c>
      <c r="CZ49" s="207">
        <f>--ISNUMBER(IFERROR(SEARCH('PLANILLA DJ'!$X$101,$A49,1),""))</f>
        <v>1</v>
      </c>
      <c r="DA49" s="207">
        <f>--ISNUMBER(IFERROR(SEARCH('PLANILLA DJ'!$X$102,$A49,1),""))</f>
        <v>1</v>
      </c>
      <c r="DB49" s="206">
        <f>IF(F49=1,COUNTIF($F$2:F49,1),"")</f>
        <v>48</v>
      </c>
      <c r="DC49" s="206">
        <f>IF(G49=1,COUNTIF($G$2:G49,1),"")</f>
        <v>48</v>
      </c>
      <c r="DD49" s="206">
        <f>IF(H49=1,COUNTIF($H$2:H49,1),"")</f>
        <v>48</v>
      </c>
      <c r="DE49" s="206">
        <f>IF(I49=1,COUNTIF($I$2:I49,1),"")</f>
        <v>48</v>
      </c>
      <c r="DF49" s="206">
        <f>IF(J49=1,COUNTIF($J$2:J49,1),"")</f>
        <v>48</v>
      </c>
      <c r="DG49" s="206">
        <f>IF(K49=1,COUNTIF($K$2:K49,1),"")</f>
        <v>48</v>
      </c>
      <c r="DH49" s="206">
        <f>IF(L49=1,COUNTIF($L$2:L49,1),"")</f>
        <v>48</v>
      </c>
      <c r="DI49" s="206">
        <f>IF(M49=1,COUNTIF($M$2:M49,1),"")</f>
        <v>48</v>
      </c>
      <c r="DJ49" s="206">
        <f>IF(N49=1,COUNTIF($N$2:N49,1),"")</f>
        <v>48</v>
      </c>
      <c r="DK49" s="206">
        <f>IF(O49=1,COUNTIF($O$2:O49,1),"")</f>
        <v>48</v>
      </c>
      <c r="DL49" s="206">
        <f>IF(P49=1,COUNTIF($P$2:P49,1),"")</f>
        <v>48</v>
      </c>
      <c r="DM49" s="206">
        <f>IF(Q49=1,COUNTIF($Q$2:Q49,1),"")</f>
        <v>48</v>
      </c>
      <c r="DN49" s="207">
        <f>IF(R49=1,COUNTIF($R$2:R49,1),"")</f>
        <v>48</v>
      </c>
      <c r="DO49" s="207">
        <f>IF(S49=1,COUNTIF($S$2:S49,1),"")</f>
        <v>48</v>
      </c>
      <c r="DP49" s="207">
        <f>IF(T49=1,COUNTIF($T$2:T49,1),"")</f>
        <v>48</v>
      </c>
      <c r="DQ49" s="207">
        <f>IF(U49=1,COUNTIF($U$2:U49,1),"")</f>
        <v>48</v>
      </c>
      <c r="DR49" s="207">
        <f>IF(V49=1,COUNTIF($V$2:V49,1),"")</f>
        <v>48</v>
      </c>
      <c r="DS49" s="207">
        <f>IF(W49=1,COUNTIF($W$2:W49,1),"")</f>
        <v>48</v>
      </c>
      <c r="DT49" s="207">
        <f>IF(X49=1,COUNTIF($X$2:X49,1),"")</f>
        <v>48</v>
      </c>
      <c r="DU49" s="207">
        <f>IF(Y49=1,COUNTIF($Y$2:Y49,1),"")</f>
        <v>48</v>
      </c>
      <c r="DV49" s="207">
        <f>IF(Z49=1,COUNTIF(Z$2:Z49,1),"")</f>
        <v>48</v>
      </c>
      <c r="DW49" s="207">
        <f>IF(AA49=1,COUNTIF($AA$2:AA49,1),"")</f>
        <v>48</v>
      </c>
      <c r="DX49" s="207">
        <f>IF(AB49=1,COUNTIF($AB$2:AB49,1),"")</f>
        <v>48</v>
      </c>
      <c r="DY49" s="207">
        <f>IF(AC49=1,COUNTIF($AC$2:AC49,1),"")</f>
        <v>48</v>
      </c>
      <c r="DZ49" s="207">
        <f>IF(AD49=1,COUNTIF($AD$2:AD49,1),"")</f>
        <v>48</v>
      </c>
      <c r="EA49" s="207">
        <f>IF(AE49=1,COUNTIF($AE$2:AE49,1),"")</f>
        <v>48</v>
      </c>
      <c r="EB49" s="207">
        <f>IF(AF49=1,COUNTIF($AF$2:AF49,1),"")</f>
        <v>48</v>
      </c>
      <c r="EC49" s="207">
        <f>IF(AG49=1,COUNTIF($AG$2:AG49,1),"")</f>
        <v>48</v>
      </c>
      <c r="ED49" s="207">
        <f>IF(AH49=1,COUNTIF($AH$2:AH49,1),"")</f>
        <v>48</v>
      </c>
      <c r="EE49" s="207">
        <f>IF(AI49=1,COUNTIF($AI$2:AI49,1),"")</f>
        <v>48</v>
      </c>
      <c r="EF49" s="207">
        <f>IF(AJ49=1,COUNTIF($AJ$2:AJ49,1),"")</f>
        <v>48</v>
      </c>
      <c r="EG49" s="207">
        <f>IF(AK49=1,COUNTIF($AK$2:AK49,1),"")</f>
        <v>48</v>
      </c>
      <c r="EH49" s="207">
        <f>IF(AL49=1,COUNTIF($AL$2:AL49,1),"")</f>
        <v>48</v>
      </c>
      <c r="EI49" s="207">
        <f>IF(AM49=1,COUNTIF($AM$2:AM49,1),"")</f>
        <v>48</v>
      </c>
      <c r="EJ49" s="207">
        <f>IF(AN49=1,COUNTIF($AN$2:AN49,1),"")</f>
        <v>48</v>
      </c>
      <c r="EK49" s="207">
        <f>IF(AO49=1,COUNTIF($AO$2:AO49,1),"")</f>
        <v>48</v>
      </c>
      <c r="EL49" s="207">
        <f>IF(AP49=1,COUNTIF($AP$2:AP49,1),"")</f>
        <v>48</v>
      </c>
      <c r="EM49" s="207">
        <f>IF(AQ49=1,COUNTIF($AQ$2:AQ49,1),"")</f>
        <v>48</v>
      </c>
      <c r="EN49" s="207">
        <f>IF(AR49=1,COUNTIF($AR$2:AR49,1),"")</f>
        <v>48</v>
      </c>
      <c r="EO49" s="207">
        <f>IF(AS49=1,COUNTIF($AS$2:AS49,1),"")</f>
        <v>48</v>
      </c>
      <c r="EP49" s="207">
        <f>IF(AT49=1,COUNTIF($AT$2:AT49,1),"")</f>
        <v>48</v>
      </c>
      <c r="EQ49" s="207">
        <f>IF(AU49=1,COUNTIF($AU$2:AU49,1),"")</f>
        <v>48</v>
      </c>
      <c r="ER49" s="207">
        <f>IF(AV49=1,COUNTIF($AV$2:AV49,1),"")</f>
        <v>48</v>
      </c>
      <c r="ES49" s="207">
        <f>IF(AW49=1,COUNTIF($AW$2:AW49,1),"")</f>
        <v>48</v>
      </c>
      <c r="ET49" s="207">
        <f>IF(AX49=1,COUNTIF($AX$2:AX49,1),"")</f>
        <v>48</v>
      </c>
      <c r="EU49" s="207">
        <f>IF(AY49=1,COUNTIF($AY$2:AY49,1),"")</f>
        <v>48</v>
      </c>
      <c r="EV49" s="207">
        <f>IF(AZ49=1,COUNTIF($AZ$2:AZ49,1),"")</f>
        <v>48</v>
      </c>
      <c r="EW49" s="207">
        <f>IF(BA49=1,COUNTIF($BA$2:BA49,1),"")</f>
        <v>48</v>
      </c>
      <c r="EX49" s="207">
        <f>IF(BB49=1,COUNTIF($BB$2:BB49,1),"")</f>
        <v>48</v>
      </c>
      <c r="EY49" s="207">
        <f>IF(BC49=1,COUNTIF($BC$2:BC49,1),"")</f>
        <v>48</v>
      </c>
      <c r="EZ49" s="207">
        <f>IF(BD49=1,COUNTIF($BD$2:BD49,1),"")</f>
        <v>48</v>
      </c>
      <c r="FA49" s="207">
        <f>IF(BE49=1,COUNTIF($BE$2:BE49,1),"")</f>
        <v>48</v>
      </c>
      <c r="FB49" s="207">
        <f>IF(BF49=1,COUNTIF($BF$2:BF49,1),"")</f>
        <v>48</v>
      </c>
      <c r="FC49" s="207">
        <f>IF(BG49=1,COUNTIF($BG$2:BG49,1),"")</f>
        <v>48</v>
      </c>
      <c r="FD49" s="207">
        <f>IF(BH49=1,COUNTIF($BH$2:BH49,1),"")</f>
        <v>48</v>
      </c>
      <c r="FE49" s="207">
        <f>IF(BI49=1,COUNTIF($BI$2:BI49,1),"")</f>
        <v>48</v>
      </c>
      <c r="FF49" s="207">
        <f>IF(BJ49=1,COUNTIF($BJ$2:BJ49,1),"")</f>
        <v>48</v>
      </c>
      <c r="FG49" s="207">
        <f>IF(BK49=1,COUNTIF($BK$2:BK49,1),"")</f>
        <v>48</v>
      </c>
      <c r="FH49" s="207">
        <f>IF(BL49=1,COUNTIF($BL$2:BL49,1),"")</f>
        <v>48</v>
      </c>
      <c r="FI49" s="207">
        <f>IF(BM49=1,COUNTIF($BM$2:BM49,1),"")</f>
        <v>48</v>
      </c>
      <c r="FJ49" s="207">
        <f>IF(BN49=1,COUNTIF($BN$2:BN49,1),"")</f>
        <v>48</v>
      </c>
      <c r="FK49" s="207">
        <f>IF(BO49=1,COUNTIF($BO$2:BO49,1),"")</f>
        <v>48</v>
      </c>
      <c r="FL49" s="207">
        <f>IF(BP49=1,COUNTIF($BP$2:BP49,1),"")</f>
        <v>48</v>
      </c>
      <c r="FM49" s="207">
        <f>IF(BQ49=1,COUNTIF($BQ$2:BQ49,1),"")</f>
        <v>48</v>
      </c>
      <c r="FN49" s="207">
        <f>IF(BR49=1,COUNTIF($BR$2:BR49,1),"")</f>
        <v>48</v>
      </c>
      <c r="FO49" s="207">
        <f>IF(BS49=1,COUNTIF($BS$2:BS49,1),"")</f>
        <v>48</v>
      </c>
      <c r="FP49" s="207">
        <f>IF(BT49=1,COUNTIF($BT$2:BT49,1),"")</f>
        <v>48</v>
      </c>
      <c r="FQ49" s="207">
        <f>IF(BU49=1,COUNTIF($BU$2:BU49,1),"")</f>
        <v>48</v>
      </c>
      <c r="FR49" s="207">
        <f>IF(BV49=1,COUNTIF($BV$2:BV49,1),"")</f>
        <v>48</v>
      </c>
      <c r="FS49" s="207">
        <f>IF(BW49=1,COUNTIF($BW$2:BW49,1),"")</f>
        <v>48</v>
      </c>
      <c r="FT49" s="207">
        <f>IF(BX49=1,COUNTIF($BX$2:BX49,1),"")</f>
        <v>48</v>
      </c>
      <c r="FU49" s="207">
        <f>IF(BY49=1,COUNTIF($BY$2:BY49,1),"")</f>
        <v>48</v>
      </c>
      <c r="FV49" s="207">
        <f>IF(BZ49=1,COUNTIF($BZ$2:BZ49,1),"")</f>
        <v>48</v>
      </c>
      <c r="FW49" s="207">
        <f>IF(CA49=1,COUNTIF($CA$2:CA49,1),"")</f>
        <v>48</v>
      </c>
      <c r="FX49" s="207">
        <f>IF(CB49=1,COUNTIF($CB$2:CB49,1),"")</f>
        <v>48</v>
      </c>
      <c r="FY49" s="207">
        <f>IF(CC49=1,COUNTIF($CC$2:CC49,1),"")</f>
        <v>48</v>
      </c>
      <c r="FZ49" s="207">
        <f>IF(CD49=1,COUNTIF($CD$2:CD49,1),"")</f>
        <v>48</v>
      </c>
      <c r="GA49" s="207">
        <f>IF(CE49=1,COUNTIF($CE$2:CE49,1),"")</f>
        <v>48</v>
      </c>
      <c r="GB49" s="207">
        <f>IF(CF49=1,COUNTIF($CF$2:CF49,1),"")</f>
        <v>48</v>
      </c>
      <c r="GC49" s="207">
        <f>IF(CG49=1,COUNTIF($CG$2:CG49,1),"")</f>
        <v>48</v>
      </c>
      <c r="GD49" s="207">
        <f>IF(CH49=1,COUNTIF($CH$2:CH49,1),"")</f>
        <v>48</v>
      </c>
      <c r="GE49" s="207">
        <f>IF(CI49=1,COUNTIF($CI$2:CI49,1),"")</f>
        <v>48</v>
      </c>
      <c r="GF49" s="207">
        <f>IF(CJ49=1,COUNTIF($CJ$2:CJ49,1),"")</f>
        <v>48</v>
      </c>
      <c r="GG49" s="207">
        <f>IF(CK49=1,COUNTIF($CK$2:CK49,1),"")</f>
        <v>48</v>
      </c>
      <c r="GH49" s="207">
        <f>IF(CL49=1,COUNTIF($CL$2:CL49,1),"")</f>
        <v>48</v>
      </c>
      <c r="GI49" s="207">
        <f>IF(CM49=1,COUNTIF($CM$2:CM49,1),"")</f>
        <v>48</v>
      </c>
      <c r="GJ49" s="207">
        <f>IF(CN49=1,COUNTIF($CN$2:CN49,1),"")</f>
        <v>48</v>
      </c>
      <c r="GK49" s="207">
        <f>IF(CO49=1,COUNTIF($CO$2:CO49,1),"")</f>
        <v>48</v>
      </c>
      <c r="GL49" s="207">
        <f>IF(CP49=1,COUNTIF($CP$2:CP49,1),"")</f>
        <v>48</v>
      </c>
      <c r="GM49" s="207">
        <f>IF(CQ49=1,COUNTIF($CQ$2:CQ49,1),"")</f>
        <v>48</v>
      </c>
      <c r="GN49" s="207">
        <f>IF(CR49=1,COUNTIF($CR$2:CR49,1),"")</f>
        <v>48</v>
      </c>
      <c r="GO49" s="207">
        <f>IF(CS49=1,COUNTIF($CS$2:CS49,1),"")</f>
        <v>48</v>
      </c>
      <c r="GP49" s="207">
        <f>IF(CT49=1,COUNTIF($CT$2:CT49,1),"")</f>
        <v>48</v>
      </c>
      <c r="GQ49" s="207">
        <f>IF(CU49=1,COUNTIF($CU$2:CU49,1),"")</f>
        <v>48</v>
      </c>
      <c r="GR49" s="207">
        <f>IF(CV49=1,COUNTIF($CV$2:CV49,1),"")</f>
        <v>48</v>
      </c>
      <c r="GS49" s="207">
        <f>IF(CW49=1,COUNTIF($CW$2:CW49,1),"")</f>
        <v>48</v>
      </c>
      <c r="GT49" s="207">
        <f>IF(CX49=1,COUNTIF($CX$2:CX49,1),"")</f>
        <v>48</v>
      </c>
      <c r="GU49" s="207">
        <f>IF(CY49=1,COUNTIF($CY$2:CY49,1),"")</f>
        <v>48</v>
      </c>
      <c r="GV49" s="207">
        <f>IF(CZ49=1,COUNTIF($CZ$2:CZ49,1),"")</f>
        <v>48</v>
      </c>
      <c r="GW49" s="207">
        <f>IF(DA49=1,COUNTIF($DA$2:DA49,1),"")</f>
        <v>48</v>
      </c>
      <c r="GX49" s="206" t="str">
        <f>IFERROR(INDEX($A$2:$A$113,MATCH(ROWS($DB$2:DB49),$DB$2:$DB$113,0)),"")</f>
        <v xml:space="preserve">ROBO SIMPLE </v>
      </c>
      <c r="GY49" s="206" t="str">
        <f>IFERROR(INDEX($A$2:$A$113,MATCH(ROWS($DC$2:DC49),$DC$2:$DC$113,0)),"")</f>
        <v xml:space="preserve">ROBO SIMPLE </v>
      </c>
      <c r="GZ49" s="206" t="str">
        <f>IFERROR(INDEX($A$2:$A$113,MATCH(ROWS($DD$2:DD49),$DD$2:$DD$113,0)),"")</f>
        <v xml:space="preserve">ROBO SIMPLE </v>
      </c>
      <c r="HA49" s="206" t="str">
        <f>IFERROR(INDEX($A$2:$A$113,MATCH(ROWS($DE$2:DE49),$DE$2:$DE$113,0)),"")</f>
        <v xml:space="preserve">ROBO SIMPLE </v>
      </c>
      <c r="HB49" s="206" t="str">
        <f>IFERROR(INDEX($A$2:$A$113,MATCH(ROWS($DF$2:DF49),$DF$2:$DF$113,0)),"")</f>
        <v xml:space="preserve">ROBO SIMPLE </v>
      </c>
      <c r="HC49" s="206" t="str">
        <f>IFERROR(INDEX($A$2:$A$113,MATCH(ROWS($DG$2:DG49),$DG$2:$DG$113,0)),"")</f>
        <v xml:space="preserve">ROBO SIMPLE </v>
      </c>
      <c r="HD49" s="206" t="str">
        <f>IFERROR(INDEX($A$2:$A$113,MATCH(ROWS($DH$2:DH49),$DH$2:$DH$113,0)),"")</f>
        <v xml:space="preserve">ROBO SIMPLE </v>
      </c>
      <c r="HE49" s="206" t="str">
        <f>IFERROR(INDEX($A$2:$A$113,MATCH(ROWS($DI$2:DI49),$DI$2:$DI$113,0)),"")</f>
        <v xml:space="preserve">ROBO SIMPLE </v>
      </c>
      <c r="HF49" s="206" t="str">
        <f>IFERROR(INDEX($A$2:$A$113,MATCH(ROWS($DJ$2:DJ49),$DJ$2:$DJ$113,0)),"")</f>
        <v xml:space="preserve">ROBO SIMPLE </v>
      </c>
      <c r="HG49" s="206" t="str">
        <f>IFERROR(INDEX($A$2:$A$113,MATCH(ROWS($DK$2:DK49),$DK$2:$DK$113,0)),"")</f>
        <v xml:space="preserve">ROBO SIMPLE </v>
      </c>
      <c r="HH49" s="206" t="str">
        <f>IFERROR(INDEX($A$2:$A$113,MATCH(ROWS($DL$2:DL49),$DL$2:$DL$113,0)),"")</f>
        <v xml:space="preserve">ROBO SIMPLE </v>
      </c>
      <c r="HI49" s="206" t="str">
        <f>IFERROR(INDEX($A$2:$A$113,MATCH(ROWS($DM$2:DM49),$DM$2:$DM$113,0)),"")</f>
        <v xml:space="preserve">ROBO SIMPLE </v>
      </c>
      <c r="HJ49" s="206" t="str">
        <f>IFERROR(INDEX($A$2:$A$113,MATCH(ROWS($DN$2:DN49),$DN$2:$DN$113,0)),"")</f>
        <v xml:space="preserve">ROBO SIMPLE </v>
      </c>
      <c r="HK49" s="206" t="str">
        <f>IFERROR(INDEX($A$2:$A$113,MATCH(ROWS($DO$2:DO49),$DO$2:$DO$113,0)),"")</f>
        <v xml:space="preserve">ROBO SIMPLE </v>
      </c>
      <c r="HL49" s="206" t="str">
        <f>IFERROR(INDEX($A$2:$A$113,MATCH(ROWS($DP$2:DP49),$DP$2:$DP$113,0)),"")</f>
        <v xml:space="preserve">ROBO SIMPLE </v>
      </c>
      <c r="HM49" s="206" t="str">
        <f>IFERROR(INDEX($A$2:$A$113,MATCH(ROWS($DQ$2:DQ49),$DQ$2:$DQ$113,0)),"")</f>
        <v xml:space="preserve">ROBO SIMPLE </v>
      </c>
      <c r="HN49" s="206" t="str">
        <f>IFERROR(INDEX($A$2:$A$113,MATCH(ROWS($DR$2:DR49),$DR$2:$DR$113,0)),"")</f>
        <v xml:space="preserve">ROBO SIMPLE </v>
      </c>
      <c r="HO49" s="206" t="str">
        <f>IFERROR(INDEX($A$2:$A$113,MATCH(ROWS($DS$2:DS49),$DS$2:$DS$113,0)),"")</f>
        <v xml:space="preserve">ROBO SIMPLE </v>
      </c>
      <c r="HP49" s="206" t="str">
        <f>IFERROR(INDEX($A$2:$A$113,MATCH(ROWS($DT$2:DT49),$DT$2:$DT$113,0)),"")</f>
        <v xml:space="preserve">ROBO SIMPLE </v>
      </c>
      <c r="HQ49" s="206" t="str">
        <f>IFERROR(INDEX($A$2:$A$113,MATCH(ROWS($DU$2:DU49),$DU$2:$DU$113,0)),"")</f>
        <v xml:space="preserve">ROBO SIMPLE </v>
      </c>
      <c r="HR49" s="206" t="str">
        <f>IFERROR(INDEX($A$2:$A$113,MATCH(ROWS($DV$2:DV49),$DV$2:$DV$113,0)),"")</f>
        <v xml:space="preserve">ROBO SIMPLE </v>
      </c>
      <c r="HS49" s="206" t="str">
        <f>IFERROR(INDEX($A$2:$A$113,MATCH(ROWS($DW$2:DW49),$DW$2:$DW$113,0)),"")</f>
        <v xml:space="preserve">ROBO SIMPLE </v>
      </c>
      <c r="HT49" s="206" t="str">
        <f>IFERROR(INDEX($A$2:$A$113,MATCH(ROWS($DX$2:DX49),$DX$2:$DX$113,0)),"")</f>
        <v xml:space="preserve">ROBO SIMPLE </v>
      </c>
      <c r="HU49" s="206" t="str">
        <f>IFERROR(INDEX($A$2:$A$113,MATCH(ROWS($DY$2:DY49),$DY$2:$DY$113,0)),"")</f>
        <v xml:space="preserve">ROBO SIMPLE </v>
      </c>
      <c r="HV49" s="206" t="str">
        <f>IFERROR(INDEX($A$2:$A$113,MATCH(ROWS($DZ$2:DZ49),$DZ$2:$DZ$113,0)),"")</f>
        <v xml:space="preserve">ROBO SIMPLE </v>
      </c>
      <c r="HW49" s="206" t="str">
        <f>IFERROR(INDEX($A$2:$A$113,MATCH(ROWS($EA$2:EA49),$EA$2:$EA$113,0)),"")</f>
        <v xml:space="preserve">ROBO SIMPLE </v>
      </c>
      <c r="HX49" s="206" t="str">
        <f>IFERROR(INDEX($A$2:$A$113,MATCH(ROWS($EB$2:EB49),$EB$2:$EB$113,0)),"")</f>
        <v xml:space="preserve">ROBO SIMPLE </v>
      </c>
      <c r="HY49" s="206" t="str">
        <f>IFERROR(INDEX($A$2:$A$113,MATCH(ROWS($EC$2:EC49),$EC$2:$EC$113,0)),"")</f>
        <v xml:space="preserve">ROBO SIMPLE </v>
      </c>
      <c r="HZ49" s="206" t="str">
        <f>IFERROR(INDEX($A$2:$A$113,MATCH(ROWS($ED$2:ED49),$ED$2:$ED$113,0)),"")</f>
        <v xml:space="preserve">ROBO SIMPLE </v>
      </c>
      <c r="IA49" s="206" t="str">
        <f>IFERROR(INDEX($A$2:$A$113,MATCH(ROWS($EE$2:EE49),$EE$2:$EE$113,0)),"")</f>
        <v xml:space="preserve">ROBO SIMPLE </v>
      </c>
      <c r="IB49" s="206" t="str">
        <f>IFERROR(INDEX($A$2:$A$113,MATCH(ROWS($EF$2:EF49),$EF$2:$EF$113,0)),"")</f>
        <v xml:space="preserve">ROBO SIMPLE </v>
      </c>
      <c r="IC49" s="206" t="str">
        <f>IFERROR(INDEX($A$2:$A$113,MATCH(ROWS($EG$2:EG49),$EG$2:$EG$113,0)),"")</f>
        <v xml:space="preserve">ROBO SIMPLE </v>
      </c>
      <c r="ID49" s="206" t="str">
        <f>IFERROR(INDEX($A$2:$A$113,MATCH(ROWS($EH$2:EH49),$EH$2:$EH$113,0)),"")</f>
        <v xml:space="preserve">ROBO SIMPLE </v>
      </c>
      <c r="IE49" s="206" t="str">
        <f>IFERROR(INDEX($A$2:$A$113,MATCH(ROWS($EI$2:EI49),$EI$2:$EI$113,0)),"")</f>
        <v xml:space="preserve">ROBO SIMPLE </v>
      </c>
      <c r="IF49" s="206" t="str">
        <f>IFERROR(INDEX($A$2:$A$113,MATCH(ROWS($EJ$2:EJ49),$EJ$2:$EJ$113,0)),"")</f>
        <v xml:space="preserve">ROBO SIMPLE </v>
      </c>
      <c r="IG49" s="206" t="str">
        <f>IFERROR(INDEX($A$2:$A$113,MATCH(ROWS($EK$2:EK49),$EK$2:$EK$113,0)),"")</f>
        <v xml:space="preserve">ROBO SIMPLE </v>
      </c>
      <c r="IH49" s="206" t="str">
        <f>IFERROR(INDEX($A$2:$A$113,MATCH(ROWS($EL$2:EL49),$EL$2:$EL$113,0)),"")</f>
        <v xml:space="preserve">ROBO SIMPLE </v>
      </c>
      <c r="II49" s="206" t="str">
        <f>IFERROR(INDEX($A$2:$A$113,MATCH(ROWS($EM$2:EM49),$EM$2:$EM$113,0)),"")</f>
        <v xml:space="preserve">ROBO SIMPLE </v>
      </c>
      <c r="IJ49" s="206" t="str">
        <f>IFERROR(INDEX($A$2:$A$113,MATCH(ROWS($EN$2:EN49),$EN$2:$EN$113,0)),"")</f>
        <v xml:space="preserve">ROBO SIMPLE </v>
      </c>
      <c r="IK49" s="207" t="str">
        <f>IFERROR(INDEX($A$2:$A$113,MATCH(ROWS($EO$2:EO49),$EO$2:$EO$113,0)),"")</f>
        <v xml:space="preserve">ROBO SIMPLE </v>
      </c>
      <c r="IL49" s="207" t="str">
        <f>IFERROR(INDEX($A$2:$A$113,MATCH(ROWS($EP$2:EP49),$EP$2:$EP$113,0)),"")</f>
        <v xml:space="preserve">ROBO SIMPLE </v>
      </c>
      <c r="IM49" s="207" t="str">
        <f>IFERROR(INDEX($A$2:$A$113,MATCH(ROWS($EQ$2:EQ49),$EQ$2:$EQ$113,0)),"")</f>
        <v xml:space="preserve">ROBO SIMPLE </v>
      </c>
      <c r="IN49" s="207" t="str">
        <f>IFERROR(INDEX($A$2:$A$113,MATCH(ROWS($ER$2:ER49),$ER$2:$ER$113,0)),"")</f>
        <v xml:space="preserve">ROBO SIMPLE </v>
      </c>
      <c r="IO49" s="207" t="str">
        <f>IFERROR(INDEX($A$2:$A$113,MATCH(ROWS($ES$2:ES49),$ES$2:$ES$113,0)),"")</f>
        <v xml:space="preserve">ROBO SIMPLE </v>
      </c>
      <c r="IP49" s="207" t="str">
        <f>IFERROR(INDEX($A$2:$A$113,MATCH(ROWS($ET$2:ET49),$ET$2:$ET$113,0)),"")</f>
        <v xml:space="preserve">ROBO SIMPLE </v>
      </c>
      <c r="IQ49" s="207" t="str">
        <f>IFERROR(INDEX($A$2:$A$113,MATCH(ROWS($EU$2:EU49),$EU$2:$EU$113,0)),"")</f>
        <v xml:space="preserve">ROBO SIMPLE </v>
      </c>
      <c r="IR49" s="207" t="str">
        <f>IFERROR(INDEX($A$2:$A$113,MATCH(ROWS($EV$2:EV49),$EV$2:$EV$113,0)),"")</f>
        <v xml:space="preserve">ROBO SIMPLE </v>
      </c>
      <c r="IS49" s="207" t="str">
        <f>IFERROR(INDEX($A$2:$A$113,MATCH(ROWS($EW$2:EW49),$EW$2:$EW$113,0)),"")</f>
        <v xml:space="preserve">ROBO SIMPLE </v>
      </c>
      <c r="IT49" s="207" t="str">
        <f>IFERROR(INDEX($A$2:$A$113,MATCH(ROWS($EX$2:EX49),$EX$2:$EX$113,0)),"")</f>
        <v xml:space="preserve">ROBO SIMPLE </v>
      </c>
      <c r="IU49" s="207" t="str">
        <f>IFERROR(INDEX($A$2:$A$113,MATCH(ROWS($EY$2:EY49),$EY$2:$EY$113,0)),"")</f>
        <v xml:space="preserve">ROBO SIMPLE </v>
      </c>
      <c r="IV49" s="207" t="str">
        <f>IFERROR(INDEX($A$2:$A$113,MATCH(ROWS($EZ$2:EZ49),$EZ$2:$EZ$113,0)),"")</f>
        <v xml:space="preserve">ROBO SIMPLE </v>
      </c>
      <c r="IW49" s="207" t="str">
        <f>IFERROR(INDEX($A$2:$A$113,MATCH(ROWS($FA$2:FA49),$FA$2:$FA$113,0)),"")</f>
        <v xml:space="preserve">ROBO SIMPLE </v>
      </c>
      <c r="IX49" s="207" t="str">
        <f>IFERROR(INDEX($A$2:$A$113,MATCH(ROWS($FB$2:FB49),$FB$2:$FB$113,0)),"")</f>
        <v xml:space="preserve">ROBO SIMPLE </v>
      </c>
      <c r="IY49" s="207" t="str">
        <f>IFERROR(INDEX($A$2:$A$113,MATCH(ROWS($FC$2:FC49),$FC$2:$FC$113,0)),"")</f>
        <v xml:space="preserve">ROBO SIMPLE </v>
      </c>
      <c r="IZ49" s="207" t="str">
        <f>IFERROR(INDEX($A$2:$A$113,MATCH(ROWS($FD$2:FD49),$FD$2:$FD$113,0)),"")</f>
        <v xml:space="preserve">ROBO SIMPLE </v>
      </c>
      <c r="JA49" s="207" t="str">
        <f>IFERROR(INDEX($A$2:$A$113,MATCH(ROWS($FE$2:FE49),$FE$2:$FE$113,0)),"")</f>
        <v xml:space="preserve">ROBO SIMPLE </v>
      </c>
      <c r="JB49" s="207" t="str">
        <f>IFERROR(INDEX($A$2:$A$113,MATCH(ROWS($FF$2:FF49),$FF$2:$FF$113,0)),"")</f>
        <v xml:space="preserve">ROBO SIMPLE </v>
      </c>
      <c r="JC49" s="207" t="str">
        <f>IFERROR(INDEX($A$2:$A$113,MATCH(ROWS($FG$2:FG49),$FG$2:$FG$113,0)),"")</f>
        <v xml:space="preserve">ROBO SIMPLE </v>
      </c>
      <c r="JD49" s="207" t="str">
        <f>IFERROR(INDEX($A$2:$A$113,MATCH(ROWS($FH$2:FH49),$FH$2:$FH$113,0)),"")</f>
        <v xml:space="preserve">ROBO SIMPLE </v>
      </c>
      <c r="JE49" s="207" t="str">
        <f>IFERROR(INDEX($A$2:$A$113,MATCH(ROWS($FI$2:FI49),$FI$2:$FI$113,0)),"")</f>
        <v xml:space="preserve">ROBO SIMPLE </v>
      </c>
      <c r="JF49" s="207" t="str">
        <f>IFERROR(INDEX($A$2:$A$113,MATCH(ROWS($FJ$2:FJ49),$FJ$2:$FJ$113,0)),"")</f>
        <v xml:space="preserve">ROBO SIMPLE </v>
      </c>
      <c r="JG49" s="207" t="str">
        <f>IFERROR(INDEX($A$2:$A$113,MATCH(ROWS($FK$2:FK49),$FK$2:$FK$113,0)),"")</f>
        <v xml:space="preserve">ROBO SIMPLE </v>
      </c>
      <c r="JH49" s="207" t="str">
        <f>IFERROR(INDEX($A$2:$A$113,MATCH(ROWS($FL$2:FL49),$FL$2:$FL$113,0)),"")</f>
        <v xml:space="preserve">ROBO SIMPLE </v>
      </c>
      <c r="JI49" s="207" t="str">
        <f>IFERROR(INDEX($A$2:$A$113,MATCH(ROWS($FM$2:FM49),$FM$2:$FM$113,0)),"")</f>
        <v xml:space="preserve">ROBO SIMPLE </v>
      </c>
      <c r="JJ49" s="207" t="str">
        <f>IFERROR(INDEX($A$2:$A$113,MATCH(ROWS($FN$2:FN49),$FN$2:$FN$113,0)),"")</f>
        <v xml:space="preserve">ROBO SIMPLE </v>
      </c>
      <c r="JK49" s="207" t="str">
        <f>IFERROR(INDEX($A$2:$A$113,MATCH(ROWS($FO$2:FO49),$FO$2:$FO$113,0)),"")</f>
        <v xml:space="preserve">ROBO SIMPLE </v>
      </c>
      <c r="JL49" s="207" t="str">
        <f>IFERROR(INDEX($A$2:$A$113,MATCH(ROWS($FP$2:FP49),$FP$2:$FP$113,0)),"")</f>
        <v xml:space="preserve">ROBO SIMPLE </v>
      </c>
      <c r="JM49" s="207" t="str">
        <f>IFERROR(INDEX($A$2:$A$113,MATCH(ROWS($FQ$2:FQ49),$FQ$2:$FQ$113,0)),"")</f>
        <v xml:space="preserve">ROBO SIMPLE </v>
      </c>
      <c r="JN49" s="207" t="str">
        <f>IFERROR(INDEX($A$2:$A$113,MATCH(ROWS($FR$2:FR49),$FR$2:$FR$113,0)),"")</f>
        <v xml:space="preserve">ROBO SIMPLE </v>
      </c>
      <c r="JO49" s="207" t="str">
        <f>IFERROR(INDEX($A$2:$A$113,MATCH(ROWS($FS$2:FS49),$FS$2:$FS$113,0)),"")</f>
        <v xml:space="preserve">ROBO SIMPLE </v>
      </c>
      <c r="JP49" s="207" t="str">
        <f>IFERROR(INDEX($A$2:$A$113,MATCH(ROWS($FT$2:FT49),$FT$2:$FT$113,0)),"")</f>
        <v xml:space="preserve">ROBO SIMPLE </v>
      </c>
      <c r="JQ49" s="207" t="str">
        <f>IFERROR(INDEX($A$2:$A$113,MATCH(ROWS($FU$2:FU49),$FU$2:$FU$113,0)),"")</f>
        <v xml:space="preserve">ROBO SIMPLE </v>
      </c>
      <c r="JR49" s="207" t="str">
        <f>IFERROR(INDEX($A$2:$A$113,MATCH(ROWS($FV$2:FV49),$FV$2:$FV$113,0)),"")</f>
        <v xml:space="preserve">ROBO SIMPLE </v>
      </c>
      <c r="JS49" s="207" t="str">
        <f>IFERROR(INDEX($A$2:$A$113,MATCH(ROWS($FW$2:FW49),$FW$2:$FW$113,0)),"")</f>
        <v xml:space="preserve">ROBO SIMPLE </v>
      </c>
      <c r="JT49" s="207" t="str">
        <f>IFERROR(INDEX($A$2:$A$113,MATCH(ROWS($FX$2:FX49),$FX$2:$FX$113,0)),"")</f>
        <v xml:space="preserve">ROBO SIMPLE </v>
      </c>
      <c r="JU49" s="207" t="str">
        <f>IFERROR(INDEX($A$2:$A$113,MATCH(ROWS($FY$2:FY49),$FY$2:$FY$113,0)),"")</f>
        <v xml:space="preserve">ROBO SIMPLE </v>
      </c>
      <c r="JV49" s="207" t="str">
        <f>IFERROR(INDEX($A$2:$A$113,MATCH(ROWS($FZ$2:FZ49),$FZ$2:$FZ$113,0)),"")</f>
        <v xml:space="preserve">ROBO SIMPLE </v>
      </c>
      <c r="JW49" s="207" t="str">
        <f>IFERROR(INDEX($A$2:$A$113,MATCH(ROWS($GA$2:GA49),$GA$2:$GA$113,0)),"")</f>
        <v xml:space="preserve">ROBO SIMPLE </v>
      </c>
      <c r="JX49" s="207" t="str">
        <f>IFERROR(INDEX($A$2:$A$113,MATCH(ROWS($GB$2:GB49),$GB$2:$GB$113,0)),"")</f>
        <v xml:space="preserve">ROBO SIMPLE </v>
      </c>
      <c r="JY49" s="207" t="str">
        <f>IFERROR(INDEX($A$2:$A$113,MATCH(ROWS($GC$2:GC49),$GC$2:$GC$113,0)),"")</f>
        <v xml:space="preserve">ROBO SIMPLE </v>
      </c>
      <c r="JZ49" s="207" t="str">
        <f>IFERROR(INDEX($A$2:$A$113,MATCH(ROWS($GD$2:GD49),$GD$2:$GD$113,0)),"")</f>
        <v xml:space="preserve">ROBO SIMPLE </v>
      </c>
      <c r="KA49" s="207" t="str">
        <f>IFERROR(INDEX($A$2:$A$113,MATCH(ROWS($GE$2:GE49),$GE$2:$GE$113,0)),"")</f>
        <v xml:space="preserve">ROBO SIMPLE </v>
      </c>
      <c r="KB49" s="207" t="str">
        <f>IFERROR(INDEX($A$2:$A$113,MATCH(ROWS($GF$2:GF49),$GF$2:$GF$113,0)),"")</f>
        <v xml:space="preserve">ROBO SIMPLE </v>
      </c>
      <c r="KC49" s="207" t="str">
        <f>IFERROR(INDEX($A$2:$A$113,MATCH(ROWS($GG$2:GG49),$GG$2:$GG$113,0)),"")</f>
        <v xml:space="preserve">ROBO SIMPLE </v>
      </c>
      <c r="KD49" s="207" t="str">
        <f>IFERROR(INDEX($A$2:$A$113,MATCH(ROWS($GH$2:GH49),$GH$2:$GH$113,0)),"")</f>
        <v xml:space="preserve">ROBO SIMPLE </v>
      </c>
      <c r="KE49" s="207" t="str">
        <f>IFERROR(INDEX($A$2:$A$113,MATCH(ROWS($GI$2:GI49),$GI$2:$GI$113,0)),"")</f>
        <v xml:space="preserve">ROBO SIMPLE </v>
      </c>
      <c r="KF49" s="207" t="str">
        <f>IFERROR(INDEX($A$2:$A$113,MATCH(ROWS($GJ$2:GJ49),$GJ$2:$GJ$113,0)),"")</f>
        <v xml:space="preserve">ROBO SIMPLE </v>
      </c>
      <c r="KG49" s="207" t="str">
        <f>IFERROR(INDEX($A$2:$A$113,MATCH(ROWS($GK$2:GK49),$GK$2:$GK$113,0)),"")</f>
        <v xml:space="preserve">ROBO SIMPLE </v>
      </c>
      <c r="KH49" s="207" t="str">
        <f>IFERROR(INDEX($A$2:$A$113,MATCH(ROWS($GL$2:GL49),$GL$2:$GL$113,0)),"")</f>
        <v xml:space="preserve">ROBO SIMPLE </v>
      </c>
      <c r="KI49" s="207" t="str">
        <f>IFERROR(INDEX($A$2:$A$113,MATCH(ROWS($GM$2:GM49),$GM$2:$GM$113,0)),"")</f>
        <v xml:space="preserve">ROBO SIMPLE </v>
      </c>
      <c r="KJ49" s="207" t="str">
        <f>IFERROR(INDEX($A$2:$A$113,MATCH(ROWS($GN$2:GN49),$GN$2:$GN$113,0)),"")</f>
        <v xml:space="preserve">ROBO SIMPLE </v>
      </c>
      <c r="KK49" s="207" t="str">
        <f>IFERROR(INDEX($A$2:$A$113,MATCH(ROWS($GO$2:GO49),$GO$2:$GO$113,0)),"")</f>
        <v xml:space="preserve">ROBO SIMPLE </v>
      </c>
      <c r="KL49" s="207" t="str">
        <f>IFERROR(INDEX($A$2:$A$113,MATCH(ROWS($GP$2:GP49),$GP$2:$GP$113,0)),"")</f>
        <v xml:space="preserve">ROBO SIMPLE </v>
      </c>
      <c r="KM49" s="207" t="str">
        <f>IFERROR(INDEX($A$2:$A$113,MATCH(ROWS($GQ$2:GQ49),$GQ$2:$GQ$113,0)),"")</f>
        <v xml:space="preserve">ROBO SIMPLE </v>
      </c>
      <c r="KN49" s="207" t="str">
        <f>IFERROR(INDEX($A$2:$A$113,MATCH(ROWS($GR$2:GR49),$GR$2:$GR$113,0)),"")</f>
        <v xml:space="preserve">ROBO SIMPLE </v>
      </c>
      <c r="KO49" s="207" t="str">
        <f>IFERROR(INDEX($A$2:$A$113,MATCH(ROWS($GS$2:GS49),$GS$2:$GS$113,0)),"")</f>
        <v xml:space="preserve">ROBO SIMPLE </v>
      </c>
      <c r="KP49" s="207" t="str">
        <f>IFERROR(INDEX($A$2:$A$113,MATCH(ROWS($GT$2:GT49),$GT$2:$GT$113,0)),"")</f>
        <v xml:space="preserve">ROBO SIMPLE </v>
      </c>
      <c r="KQ49" s="207" t="str">
        <f>IFERROR(INDEX($A$2:$A$113,MATCH(ROWS($GU$2:GU49),$GU$2:$GU$113,0)),"")</f>
        <v xml:space="preserve">ROBO SIMPLE </v>
      </c>
      <c r="KR49" s="207" t="str">
        <f>IFERROR(INDEX($A$2:$A$113,MATCH(ROWS($GV$2:GV49),$GV$2:$GV$113,0)),"")</f>
        <v xml:space="preserve">ROBO SIMPLE </v>
      </c>
      <c r="KS49" s="207" t="str">
        <f>IFERROR(INDEX($A$2:$A$113,MATCH(ROWS($GW$2:GW49),$GW$2:$GW$113,0)),"")</f>
        <v xml:space="preserve">ROBO SIMPLE </v>
      </c>
    </row>
    <row r="50" spans="1:305" x14ac:dyDescent="0.25">
      <c r="A50" s="206" t="s">
        <v>90</v>
      </c>
      <c r="B50" s="206">
        <v>17</v>
      </c>
      <c r="C50" s="206" t="s">
        <v>89</v>
      </c>
      <c r="D50" s="206" t="s">
        <v>47</v>
      </c>
      <c r="E50" s="206" t="s">
        <v>510</v>
      </c>
      <c r="F50" s="207">
        <f>--ISNUMBER(IFERROR(SEARCH('PLANILLA DJ'!$X$3,$A50,1),""))</f>
        <v>1</v>
      </c>
      <c r="G50" s="207">
        <f>--ISNUMBER(IFERROR(SEARCH('PLANILLA DJ'!$X$4,$A50,1),""))</f>
        <v>1</v>
      </c>
      <c r="H50" s="207">
        <f>--ISNUMBER(IFERROR(SEARCH('PLANILLA DJ'!$X$5,$A50,1),""))</f>
        <v>1</v>
      </c>
      <c r="I50" s="207">
        <f>--ISNUMBER(IFERROR(SEARCH('PLANILLA DJ'!$X$6,$A50,1),""))</f>
        <v>1</v>
      </c>
      <c r="J50" s="207">
        <f>--ISNUMBER(IFERROR(SEARCH('PLANILLA DJ'!$X$7,$A50,1),""))</f>
        <v>1</v>
      </c>
      <c r="K50" s="207">
        <f>--ISNUMBER(IFERROR(SEARCH('PLANILLA DJ'!$X$8,$A50,1),""))</f>
        <v>1</v>
      </c>
      <c r="L50" s="207">
        <f>--ISNUMBER(IFERROR(SEARCH('PLANILLA DJ'!$X$9,$A50,1),""))</f>
        <v>1</v>
      </c>
      <c r="M50" s="207">
        <f>--ISNUMBER(IFERROR(SEARCH('PLANILLA DJ'!$X$10,$A50,1),""))</f>
        <v>1</v>
      </c>
      <c r="N50" s="207">
        <f>--ISNUMBER(IFERROR(SEARCH('PLANILLA DJ'!$X$11,$A50,1),""))</f>
        <v>1</v>
      </c>
      <c r="O50" s="207">
        <f>--ISNUMBER(IFERROR(SEARCH('PLANILLA DJ'!$X$12,$A50,1),""))</f>
        <v>1</v>
      </c>
      <c r="P50" s="207">
        <f>--ISNUMBER(IFERROR(SEARCH('PLANILLA DJ'!$X$13,$A50,1),""))</f>
        <v>1</v>
      </c>
      <c r="Q50" s="207">
        <f>--ISNUMBER(IFERROR(SEARCH('PLANILLA DJ'!$X$14,$A50,1),""))</f>
        <v>1</v>
      </c>
      <c r="R50" s="207">
        <f>--ISNUMBER(IFERROR(SEARCH('PLANILLA DJ'!$X$15,$A50,1),""))</f>
        <v>1</v>
      </c>
      <c r="S50" s="207">
        <f>--ISNUMBER(IFERROR(SEARCH('PLANILLA DJ'!$X$16,$A50,1),""))</f>
        <v>1</v>
      </c>
      <c r="T50" s="207">
        <f>--ISNUMBER(IFERROR(SEARCH('PLANILLA DJ'!$X$17,$A50,1),""))</f>
        <v>1</v>
      </c>
      <c r="U50" s="207">
        <f>--ISNUMBER(IFERROR(SEARCH('PLANILLA DJ'!$X$18,$A50,1),""))</f>
        <v>1</v>
      </c>
      <c r="V50" s="207">
        <f>--ISNUMBER(IFERROR(SEARCH('PLANILLA DJ'!$X$19,$A50,1),""))</f>
        <v>1</v>
      </c>
      <c r="W50" s="207">
        <f>--ISNUMBER(IFERROR(SEARCH('PLANILLA DJ'!$X$20,$A50,1),""))</f>
        <v>1</v>
      </c>
      <c r="X50" s="207">
        <f>--ISNUMBER(IFERROR(SEARCH('PLANILLA DJ'!$X$21,$A50,1),""))</f>
        <v>1</v>
      </c>
      <c r="Y50" s="207">
        <f>--ISNUMBER(IFERROR(SEARCH('PLANILLA DJ'!$X$22,$A50,1),""))</f>
        <v>1</v>
      </c>
      <c r="Z50" s="207">
        <f>--ISNUMBER(IFERROR(SEARCH('PLANILLA DJ'!$X$23,$A50,1),""))</f>
        <v>1</v>
      </c>
      <c r="AA50" s="207">
        <f>--ISNUMBER(IFERROR(SEARCH('PLANILLA DJ'!$X$24,$A50,1),""))</f>
        <v>1</v>
      </c>
      <c r="AB50" s="207">
        <f>--ISNUMBER(IFERROR(SEARCH('PLANILLA DJ'!$X$25,$A50,1),""))</f>
        <v>1</v>
      </c>
      <c r="AC50" s="207">
        <f>--ISNUMBER(IFERROR(SEARCH('PLANILLA DJ'!$X$26,$A50,1),""))</f>
        <v>1</v>
      </c>
      <c r="AD50" s="207">
        <f>--ISNUMBER(IFERROR(SEARCH('PLANILLA DJ'!$X$27,$A50,1),""))</f>
        <v>1</v>
      </c>
      <c r="AE50" s="207">
        <f>--ISNUMBER(IFERROR(SEARCH('PLANILLA DJ'!$X$28,$A50,1),""))</f>
        <v>1</v>
      </c>
      <c r="AF50" s="207">
        <f>--ISNUMBER(IFERROR(SEARCH('PLANILLA DJ'!$X$29,$A50,1),""))</f>
        <v>1</v>
      </c>
      <c r="AG50" s="207">
        <f>--ISNUMBER(IFERROR(SEARCH('PLANILLA DJ'!$X$30,$A50,1),""))</f>
        <v>1</v>
      </c>
      <c r="AH50" s="207">
        <f>--ISNUMBER(IFERROR(SEARCH('PLANILLA DJ'!$X$31,$A50,1),""))</f>
        <v>1</v>
      </c>
      <c r="AI50" s="207">
        <f>--ISNUMBER(IFERROR(SEARCH('PLANILLA DJ'!$X$32,$A50,1),""))</f>
        <v>1</v>
      </c>
      <c r="AJ50" s="207">
        <f>--ISNUMBER(IFERROR(SEARCH('PLANILLA DJ'!$X$33,$A50,1),""))</f>
        <v>1</v>
      </c>
      <c r="AK50" s="207">
        <f>--ISNUMBER(IFERROR(SEARCH('PLANILLA DJ'!$X$34,$A50,1),""))</f>
        <v>1</v>
      </c>
      <c r="AL50" s="207">
        <f>--ISNUMBER(IFERROR(SEARCH('PLANILLA DJ'!$X$35,$A50,1),""))</f>
        <v>1</v>
      </c>
      <c r="AM50" s="207">
        <f>--ISNUMBER(IFERROR(SEARCH('PLANILLA DJ'!$X$36,$A50,1),""))</f>
        <v>1</v>
      </c>
      <c r="AN50" s="207">
        <f>--ISNUMBER(IFERROR(SEARCH('PLANILLA DJ'!$X$37,$A50,1),""))</f>
        <v>1</v>
      </c>
      <c r="AO50" s="207">
        <f>--ISNUMBER(IFERROR(SEARCH('PLANILLA DJ'!$X$38,$A50,1),""))</f>
        <v>1</v>
      </c>
      <c r="AP50" s="207">
        <f>--ISNUMBER(IFERROR(SEARCH('PLANILLA DJ'!$X$39,$A50,1),""))</f>
        <v>1</v>
      </c>
      <c r="AQ50" s="207">
        <f>--ISNUMBER(IFERROR(SEARCH('PLANILLA DJ'!$X$40,$A50,1),""))</f>
        <v>1</v>
      </c>
      <c r="AR50" s="207">
        <f>--ISNUMBER(IFERROR(SEARCH('PLANILLA DJ'!$X$41,$A50,1),""))</f>
        <v>1</v>
      </c>
      <c r="AS50" s="207">
        <f>--ISNUMBER(IFERROR(SEARCH('PLANILLA DJ'!$X$42,$A50,1),""))</f>
        <v>1</v>
      </c>
      <c r="AT50" s="207">
        <f>--ISNUMBER(IFERROR(SEARCH('PLANILLA DJ'!$X$43,$A50,1),""))</f>
        <v>1</v>
      </c>
      <c r="AU50" s="207">
        <f>--ISNUMBER(IFERROR(SEARCH('PLANILLA DJ'!$X$44,$A50,1),""))</f>
        <v>1</v>
      </c>
      <c r="AV50" s="207">
        <f>--ISNUMBER(IFERROR(SEARCH('PLANILLA DJ'!$X$45,$A50,1),""))</f>
        <v>1</v>
      </c>
      <c r="AW50" s="207">
        <f>--ISNUMBER(IFERROR(SEARCH('PLANILLA DJ'!$X$46,$A50,1),""))</f>
        <v>1</v>
      </c>
      <c r="AX50" s="207">
        <f>--ISNUMBER(IFERROR(SEARCH('PLANILLA DJ'!$X$47,$A50,1),""))</f>
        <v>1</v>
      </c>
      <c r="AY50" s="207">
        <f>--ISNUMBER(IFERROR(SEARCH('PLANILLA DJ'!$X$48,$A50,1),""))</f>
        <v>1</v>
      </c>
      <c r="AZ50" s="207">
        <f>--ISNUMBER(IFERROR(SEARCH('PLANILLA DJ'!$X$49,$A50,1),""))</f>
        <v>1</v>
      </c>
      <c r="BA50" s="207">
        <f>--ISNUMBER(IFERROR(SEARCH('PLANILLA DJ'!$X$50,$A50,1),""))</f>
        <v>1</v>
      </c>
      <c r="BB50" s="207">
        <f>--ISNUMBER(IFERROR(SEARCH('PLANILLA DJ'!$X$51,$A50,1),""))</f>
        <v>1</v>
      </c>
      <c r="BC50" s="207">
        <f>--ISNUMBER(IFERROR(SEARCH('PLANILLA DJ'!$X$52,$A50,1),""))</f>
        <v>1</v>
      </c>
      <c r="BD50" s="207">
        <f>--ISNUMBER(IFERROR(SEARCH('PLANILLA DJ'!$X$53,$A50,1),""))</f>
        <v>1</v>
      </c>
      <c r="BE50" s="207">
        <f>--ISNUMBER(IFERROR(SEARCH('PLANILLA DJ'!$X$54,$A50,1),""))</f>
        <v>1</v>
      </c>
      <c r="BF50" s="207">
        <f>--ISNUMBER(IFERROR(SEARCH('PLANILLA DJ'!$X$55,$A50,1),""))</f>
        <v>1</v>
      </c>
      <c r="BG50" s="207">
        <f>--ISNUMBER(IFERROR(SEARCH('PLANILLA DJ'!$X$56,$A50,1),""))</f>
        <v>1</v>
      </c>
      <c r="BH50" s="207">
        <f>--ISNUMBER(IFERROR(SEARCH('PLANILLA DJ'!$X$57,$A50,1),""))</f>
        <v>1</v>
      </c>
      <c r="BI50" s="207">
        <f>--ISNUMBER(IFERROR(SEARCH('PLANILLA DJ'!$X$58,$A50,1),""))</f>
        <v>1</v>
      </c>
      <c r="BJ50" s="207">
        <f>--ISNUMBER(IFERROR(SEARCH('PLANILLA DJ'!$X$59,$A50,1),""))</f>
        <v>1</v>
      </c>
      <c r="BK50" s="207">
        <f>--ISNUMBER(IFERROR(SEARCH('PLANILLA DJ'!$X$60,$A50,1),""))</f>
        <v>1</v>
      </c>
      <c r="BL50" s="207">
        <f>--ISNUMBER(IFERROR(SEARCH('PLANILLA DJ'!$X$61,$A50,1),""))</f>
        <v>1</v>
      </c>
      <c r="BM50" s="207">
        <f>--ISNUMBER(IFERROR(SEARCH('PLANILLA DJ'!$X$62,$A50,1),""))</f>
        <v>1</v>
      </c>
      <c r="BN50" s="207">
        <f>--ISNUMBER(IFERROR(SEARCH('PLANILLA DJ'!$X$63,$A50,1),""))</f>
        <v>1</v>
      </c>
      <c r="BO50" s="207">
        <f>--ISNUMBER(IFERROR(SEARCH('PLANILLA DJ'!$X$64,$A50,1),""))</f>
        <v>1</v>
      </c>
      <c r="BP50" s="207">
        <f>--ISNUMBER(IFERROR(SEARCH('PLANILLA DJ'!$X$65,$A50,1),""))</f>
        <v>1</v>
      </c>
      <c r="BQ50" s="207">
        <f>--ISNUMBER(IFERROR(SEARCH('PLANILLA DJ'!$X$66,$A50,1),""))</f>
        <v>1</v>
      </c>
      <c r="BR50" s="207">
        <f>--ISNUMBER(IFERROR(SEARCH('PLANILLA DJ'!$X$67,$A50,1),""))</f>
        <v>1</v>
      </c>
      <c r="BS50" s="207">
        <f>--ISNUMBER(IFERROR(SEARCH('PLANILLA DJ'!$X$68,$A50,1),""))</f>
        <v>1</v>
      </c>
      <c r="BT50" s="207">
        <f>--ISNUMBER(IFERROR(SEARCH('PLANILLA DJ'!$X$69,$A50,1),""))</f>
        <v>1</v>
      </c>
      <c r="BU50" s="207">
        <f>--ISNUMBER(IFERROR(SEARCH('PLANILLA DJ'!$X$70,$A50,1),""))</f>
        <v>1</v>
      </c>
      <c r="BV50" s="207">
        <f>--ISNUMBER(IFERROR(SEARCH('PLANILLA DJ'!$X$71,$A50,1),""))</f>
        <v>1</v>
      </c>
      <c r="BW50" s="207">
        <f>--ISNUMBER(IFERROR(SEARCH('PLANILLA DJ'!$X$72,$A50,1),""))</f>
        <v>1</v>
      </c>
      <c r="BX50" s="207">
        <f>--ISNUMBER(IFERROR(SEARCH('PLANILLA DJ'!$X$73,$A50,1),""))</f>
        <v>1</v>
      </c>
      <c r="BY50" s="207">
        <f>--ISNUMBER(IFERROR(SEARCH('PLANILLA DJ'!$X$74,$A50,1),""))</f>
        <v>1</v>
      </c>
      <c r="BZ50" s="207">
        <f>--ISNUMBER(IFERROR(SEARCH('PLANILLA DJ'!$X$75,$A50,1),""))</f>
        <v>1</v>
      </c>
      <c r="CA50" s="207">
        <f>--ISNUMBER(IFERROR(SEARCH('PLANILLA DJ'!$X$76,$A50,1),""))</f>
        <v>1</v>
      </c>
      <c r="CB50" s="207">
        <f>--ISNUMBER(IFERROR(SEARCH('PLANILLA DJ'!$X$77,$A50,1),""))</f>
        <v>1</v>
      </c>
      <c r="CC50" s="207">
        <f>--ISNUMBER(IFERROR(SEARCH('PLANILLA DJ'!$X$78,$A50,1),""))</f>
        <v>1</v>
      </c>
      <c r="CD50" s="207">
        <f>--ISNUMBER(IFERROR(SEARCH('PLANILLA DJ'!$X$79,$A50,1),""))</f>
        <v>1</v>
      </c>
      <c r="CE50" s="207">
        <f>--ISNUMBER(IFERROR(SEARCH('PLANILLA DJ'!$X$80,$A50,1),""))</f>
        <v>1</v>
      </c>
      <c r="CF50" s="207">
        <f>--ISNUMBER(IFERROR(SEARCH('PLANILLA DJ'!$X$81,$A50,1),""))</f>
        <v>1</v>
      </c>
      <c r="CG50" s="207">
        <f>--ISNUMBER(IFERROR(SEARCH('PLANILLA DJ'!$X$82,$A50,1),""))</f>
        <v>1</v>
      </c>
      <c r="CH50" s="207">
        <f>--ISNUMBER(IFERROR(SEARCH('PLANILLA DJ'!$X$83,$A50,1),""))</f>
        <v>1</v>
      </c>
      <c r="CI50" s="207">
        <f>--ISNUMBER(IFERROR(SEARCH('PLANILLA DJ'!$X$84,$A50,1),""))</f>
        <v>1</v>
      </c>
      <c r="CJ50" s="207">
        <f>--ISNUMBER(IFERROR(SEARCH('PLANILLA DJ'!$X$85,$A50,1),""))</f>
        <v>1</v>
      </c>
      <c r="CK50" s="207">
        <f>--ISNUMBER(IFERROR(SEARCH('PLANILLA DJ'!$X$86,$A50,1),""))</f>
        <v>1</v>
      </c>
      <c r="CL50" s="207">
        <f>--ISNUMBER(IFERROR(SEARCH('PLANILLA DJ'!$X$87,$A50,1),""))</f>
        <v>1</v>
      </c>
      <c r="CM50" s="207">
        <f>--ISNUMBER(IFERROR(SEARCH('PLANILLA DJ'!$X$88,$A50,1),""))</f>
        <v>1</v>
      </c>
      <c r="CN50" s="207">
        <f>--ISNUMBER(IFERROR(SEARCH('PLANILLA DJ'!$X$89,$A50,1),""))</f>
        <v>1</v>
      </c>
      <c r="CO50" s="207">
        <f>--ISNUMBER(IFERROR(SEARCH('PLANILLA DJ'!$X$90,$A50,1),""))</f>
        <v>1</v>
      </c>
      <c r="CP50" s="207">
        <f>--ISNUMBER(IFERROR(SEARCH('PLANILLA DJ'!$X$91,$A50,1),""))</f>
        <v>1</v>
      </c>
      <c r="CQ50" s="207">
        <f>--ISNUMBER(IFERROR(SEARCH('PLANILLA DJ'!$X$92,$A50,1),""))</f>
        <v>1</v>
      </c>
      <c r="CR50" s="207">
        <f>--ISNUMBER(IFERROR(SEARCH('PLANILLA DJ'!$X$93,$A50,1),""))</f>
        <v>1</v>
      </c>
      <c r="CS50" s="207">
        <f>--ISNUMBER(IFERROR(SEARCH('PLANILLA DJ'!$X$94,$A50,1),""))</f>
        <v>1</v>
      </c>
      <c r="CT50" s="207">
        <f>--ISNUMBER(IFERROR(SEARCH('PLANILLA DJ'!$X$95,$A50,1),""))</f>
        <v>1</v>
      </c>
      <c r="CU50" s="207">
        <f>--ISNUMBER(IFERROR(SEARCH('PLANILLA DJ'!$X$96,$A50,1),""))</f>
        <v>1</v>
      </c>
      <c r="CV50" s="207">
        <f>--ISNUMBER(IFERROR(SEARCH('PLANILLA DJ'!$X$97,$A50,1),""))</f>
        <v>1</v>
      </c>
      <c r="CW50" s="207">
        <f>--ISNUMBER(IFERROR(SEARCH('PLANILLA DJ'!$X$98,$A50,1),""))</f>
        <v>1</v>
      </c>
      <c r="CX50" s="207">
        <f>--ISNUMBER(IFERROR(SEARCH('PLANILLA DJ'!$X$99,$A50,1),""))</f>
        <v>1</v>
      </c>
      <c r="CY50" s="207">
        <f>--ISNUMBER(IFERROR(SEARCH('PLANILLA DJ'!$X$100,$A50,1),""))</f>
        <v>1</v>
      </c>
      <c r="CZ50" s="207">
        <f>--ISNUMBER(IFERROR(SEARCH('PLANILLA DJ'!$X$101,$A50,1),""))</f>
        <v>1</v>
      </c>
      <c r="DA50" s="207">
        <f>--ISNUMBER(IFERROR(SEARCH('PLANILLA DJ'!$X$102,$A50,1),""))</f>
        <v>1</v>
      </c>
      <c r="DB50" s="206">
        <f>IF(F50=1,COUNTIF($F$2:F50,1),"")</f>
        <v>49</v>
      </c>
      <c r="DC50" s="206">
        <f>IF(G50=1,COUNTIF($G$2:G50,1),"")</f>
        <v>49</v>
      </c>
      <c r="DD50" s="206">
        <f>IF(H50=1,COUNTIF($H$2:H50,1),"")</f>
        <v>49</v>
      </c>
      <c r="DE50" s="206">
        <f>IF(I50=1,COUNTIF($I$2:I50,1),"")</f>
        <v>49</v>
      </c>
      <c r="DF50" s="206">
        <f>IF(J50=1,COUNTIF($J$2:J50,1),"")</f>
        <v>49</v>
      </c>
      <c r="DG50" s="206">
        <f>IF(K50=1,COUNTIF($K$2:K50,1),"")</f>
        <v>49</v>
      </c>
      <c r="DH50" s="206">
        <f>IF(L50=1,COUNTIF($L$2:L50,1),"")</f>
        <v>49</v>
      </c>
      <c r="DI50" s="206">
        <f>IF(M50=1,COUNTIF($M$2:M50,1),"")</f>
        <v>49</v>
      </c>
      <c r="DJ50" s="206">
        <f>IF(N50=1,COUNTIF($N$2:N50,1),"")</f>
        <v>49</v>
      </c>
      <c r="DK50" s="206">
        <f>IF(O50=1,COUNTIF($O$2:O50,1),"")</f>
        <v>49</v>
      </c>
      <c r="DL50" s="206">
        <f>IF(P50=1,COUNTIF($P$2:P50,1),"")</f>
        <v>49</v>
      </c>
      <c r="DM50" s="206">
        <f>IF(Q50=1,COUNTIF($Q$2:Q50,1),"")</f>
        <v>49</v>
      </c>
      <c r="DN50" s="207">
        <f>IF(R50=1,COUNTIF($R$2:R50,1),"")</f>
        <v>49</v>
      </c>
      <c r="DO50" s="207">
        <f>IF(S50=1,COUNTIF($S$2:S50,1),"")</f>
        <v>49</v>
      </c>
      <c r="DP50" s="207">
        <f>IF(T50=1,COUNTIF($T$2:T50,1),"")</f>
        <v>49</v>
      </c>
      <c r="DQ50" s="207">
        <f>IF(U50=1,COUNTIF($U$2:U50,1),"")</f>
        <v>49</v>
      </c>
      <c r="DR50" s="207">
        <f>IF(V50=1,COUNTIF($V$2:V50,1),"")</f>
        <v>49</v>
      </c>
      <c r="DS50" s="207">
        <f>IF(W50=1,COUNTIF($W$2:W50,1),"")</f>
        <v>49</v>
      </c>
      <c r="DT50" s="207">
        <f>IF(X50=1,COUNTIF($X$2:X50,1),"")</f>
        <v>49</v>
      </c>
      <c r="DU50" s="207">
        <f>IF(Y50=1,COUNTIF($Y$2:Y50,1),"")</f>
        <v>49</v>
      </c>
      <c r="DV50" s="207">
        <f>IF(Z50=1,COUNTIF(Z$2:Z50,1),"")</f>
        <v>49</v>
      </c>
      <c r="DW50" s="207">
        <f>IF(AA50=1,COUNTIF($AA$2:AA50,1),"")</f>
        <v>49</v>
      </c>
      <c r="DX50" s="207">
        <f>IF(AB50=1,COUNTIF($AB$2:AB50,1),"")</f>
        <v>49</v>
      </c>
      <c r="DY50" s="207">
        <f>IF(AC50=1,COUNTIF($AC$2:AC50,1),"")</f>
        <v>49</v>
      </c>
      <c r="DZ50" s="207">
        <f>IF(AD50=1,COUNTIF($AD$2:AD50,1),"")</f>
        <v>49</v>
      </c>
      <c r="EA50" s="207">
        <f>IF(AE50=1,COUNTIF($AE$2:AE50,1),"")</f>
        <v>49</v>
      </c>
      <c r="EB50" s="207">
        <f>IF(AF50=1,COUNTIF($AF$2:AF50,1),"")</f>
        <v>49</v>
      </c>
      <c r="EC50" s="207">
        <f>IF(AG50=1,COUNTIF($AG$2:AG50,1),"")</f>
        <v>49</v>
      </c>
      <c r="ED50" s="207">
        <f>IF(AH50=1,COUNTIF($AH$2:AH50,1),"")</f>
        <v>49</v>
      </c>
      <c r="EE50" s="207">
        <f>IF(AI50=1,COUNTIF($AI$2:AI50,1),"")</f>
        <v>49</v>
      </c>
      <c r="EF50" s="207">
        <f>IF(AJ50=1,COUNTIF($AJ$2:AJ50,1),"")</f>
        <v>49</v>
      </c>
      <c r="EG50" s="207">
        <f>IF(AK50=1,COUNTIF($AK$2:AK50,1),"")</f>
        <v>49</v>
      </c>
      <c r="EH50" s="207">
        <f>IF(AL50=1,COUNTIF($AL$2:AL50,1),"")</f>
        <v>49</v>
      </c>
      <c r="EI50" s="207">
        <f>IF(AM50=1,COUNTIF($AM$2:AM50,1),"")</f>
        <v>49</v>
      </c>
      <c r="EJ50" s="207">
        <f>IF(AN50=1,COUNTIF($AN$2:AN50,1),"")</f>
        <v>49</v>
      </c>
      <c r="EK50" s="207">
        <f>IF(AO50=1,COUNTIF($AO$2:AO50,1),"")</f>
        <v>49</v>
      </c>
      <c r="EL50" s="207">
        <f>IF(AP50=1,COUNTIF($AP$2:AP50,1),"")</f>
        <v>49</v>
      </c>
      <c r="EM50" s="207">
        <f>IF(AQ50=1,COUNTIF($AQ$2:AQ50,1),"")</f>
        <v>49</v>
      </c>
      <c r="EN50" s="207">
        <f>IF(AR50=1,COUNTIF($AR$2:AR50,1),"")</f>
        <v>49</v>
      </c>
      <c r="EO50" s="207">
        <f>IF(AS50=1,COUNTIF($AS$2:AS50,1),"")</f>
        <v>49</v>
      </c>
      <c r="EP50" s="207">
        <f>IF(AT50=1,COUNTIF($AT$2:AT50,1),"")</f>
        <v>49</v>
      </c>
      <c r="EQ50" s="207">
        <f>IF(AU50=1,COUNTIF($AU$2:AU50,1),"")</f>
        <v>49</v>
      </c>
      <c r="ER50" s="207">
        <f>IF(AV50=1,COUNTIF($AV$2:AV50,1),"")</f>
        <v>49</v>
      </c>
      <c r="ES50" s="207">
        <f>IF(AW50=1,COUNTIF($AW$2:AW50,1),"")</f>
        <v>49</v>
      </c>
      <c r="ET50" s="207">
        <f>IF(AX50=1,COUNTIF($AX$2:AX50,1),"")</f>
        <v>49</v>
      </c>
      <c r="EU50" s="207">
        <f>IF(AY50=1,COUNTIF($AY$2:AY50,1),"")</f>
        <v>49</v>
      </c>
      <c r="EV50" s="207">
        <f>IF(AZ50=1,COUNTIF($AZ$2:AZ50,1),"")</f>
        <v>49</v>
      </c>
      <c r="EW50" s="207">
        <f>IF(BA50=1,COUNTIF($BA$2:BA50,1),"")</f>
        <v>49</v>
      </c>
      <c r="EX50" s="207">
        <f>IF(BB50=1,COUNTIF($BB$2:BB50,1),"")</f>
        <v>49</v>
      </c>
      <c r="EY50" s="207">
        <f>IF(BC50=1,COUNTIF($BC$2:BC50,1),"")</f>
        <v>49</v>
      </c>
      <c r="EZ50" s="207">
        <f>IF(BD50=1,COUNTIF($BD$2:BD50,1),"")</f>
        <v>49</v>
      </c>
      <c r="FA50" s="207">
        <f>IF(BE50=1,COUNTIF($BE$2:BE50,1),"")</f>
        <v>49</v>
      </c>
      <c r="FB50" s="207">
        <f>IF(BF50=1,COUNTIF($BF$2:BF50,1),"")</f>
        <v>49</v>
      </c>
      <c r="FC50" s="207">
        <f>IF(BG50=1,COUNTIF($BG$2:BG50,1),"")</f>
        <v>49</v>
      </c>
      <c r="FD50" s="207">
        <f>IF(BH50=1,COUNTIF($BH$2:BH50,1),"")</f>
        <v>49</v>
      </c>
      <c r="FE50" s="207">
        <f>IF(BI50=1,COUNTIF($BI$2:BI50,1),"")</f>
        <v>49</v>
      </c>
      <c r="FF50" s="207">
        <f>IF(BJ50=1,COUNTIF($BJ$2:BJ50,1),"")</f>
        <v>49</v>
      </c>
      <c r="FG50" s="207">
        <f>IF(BK50=1,COUNTIF($BK$2:BK50,1),"")</f>
        <v>49</v>
      </c>
      <c r="FH50" s="207">
        <f>IF(BL50=1,COUNTIF($BL$2:BL50,1),"")</f>
        <v>49</v>
      </c>
      <c r="FI50" s="207">
        <f>IF(BM50=1,COUNTIF($BM$2:BM50,1),"")</f>
        <v>49</v>
      </c>
      <c r="FJ50" s="207">
        <f>IF(BN50=1,COUNTIF($BN$2:BN50,1),"")</f>
        <v>49</v>
      </c>
      <c r="FK50" s="207">
        <f>IF(BO50=1,COUNTIF($BO$2:BO50,1),"")</f>
        <v>49</v>
      </c>
      <c r="FL50" s="207">
        <f>IF(BP50=1,COUNTIF($BP$2:BP50,1),"")</f>
        <v>49</v>
      </c>
      <c r="FM50" s="207">
        <f>IF(BQ50=1,COUNTIF($BQ$2:BQ50,1),"")</f>
        <v>49</v>
      </c>
      <c r="FN50" s="207">
        <f>IF(BR50=1,COUNTIF($BR$2:BR50,1),"")</f>
        <v>49</v>
      </c>
      <c r="FO50" s="207">
        <f>IF(BS50=1,COUNTIF($BS$2:BS50,1),"")</f>
        <v>49</v>
      </c>
      <c r="FP50" s="207">
        <f>IF(BT50=1,COUNTIF($BT$2:BT50,1),"")</f>
        <v>49</v>
      </c>
      <c r="FQ50" s="207">
        <f>IF(BU50=1,COUNTIF($BU$2:BU50,1),"")</f>
        <v>49</v>
      </c>
      <c r="FR50" s="207">
        <f>IF(BV50=1,COUNTIF($BV$2:BV50,1),"")</f>
        <v>49</v>
      </c>
      <c r="FS50" s="207">
        <f>IF(BW50=1,COUNTIF($BW$2:BW50,1),"")</f>
        <v>49</v>
      </c>
      <c r="FT50" s="207">
        <f>IF(BX50=1,COUNTIF($BX$2:BX50,1),"")</f>
        <v>49</v>
      </c>
      <c r="FU50" s="207">
        <f>IF(BY50=1,COUNTIF($BY$2:BY50,1),"")</f>
        <v>49</v>
      </c>
      <c r="FV50" s="207">
        <f>IF(BZ50=1,COUNTIF($BZ$2:BZ50,1),"")</f>
        <v>49</v>
      </c>
      <c r="FW50" s="207">
        <f>IF(CA50=1,COUNTIF($CA$2:CA50,1),"")</f>
        <v>49</v>
      </c>
      <c r="FX50" s="207">
        <f>IF(CB50=1,COUNTIF($CB$2:CB50,1),"")</f>
        <v>49</v>
      </c>
      <c r="FY50" s="207">
        <f>IF(CC50=1,COUNTIF($CC$2:CC50,1),"")</f>
        <v>49</v>
      </c>
      <c r="FZ50" s="207">
        <f>IF(CD50=1,COUNTIF($CD$2:CD50,1),"")</f>
        <v>49</v>
      </c>
      <c r="GA50" s="207">
        <f>IF(CE50=1,COUNTIF($CE$2:CE50,1),"")</f>
        <v>49</v>
      </c>
      <c r="GB50" s="207">
        <f>IF(CF50=1,COUNTIF($CF$2:CF50,1),"")</f>
        <v>49</v>
      </c>
      <c r="GC50" s="207">
        <f>IF(CG50=1,COUNTIF($CG$2:CG50,1),"")</f>
        <v>49</v>
      </c>
      <c r="GD50" s="207">
        <f>IF(CH50=1,COUNTIF($CH$2:CH50,1),"")</f>
        <v>49</v>
      </c>
      <c r="GE50" s="207">
        <f>IF(CI50=1,COUNTIF($CI$2:CI50,1),"")</f>
        <v>49</v>
      </c>
      <c r="GF50" s="207">
        <f>IF(CJ50=1,COUNTIF($CJ$2:CJ50,1),"")</f>
        <v>49</v>
      </c>
      <c r="GG50" s="207">
        <f>IF(CK50=1,COUNTIF($CK$2:CK50,1),"")</f>
        <v>49</v>
      </c>
      <c r="GH50" s="207">
        <f>IF(CL50=1,COUNTIF($CL$2:CL50,1),"")</f>
        <v>49</v>
      </c>
      <c r="GI50" s="207">
        <f>IF(CM50=1,COUNTIF($CM$2:CM50,1),"")</f>
        <v>49</v>
      </c>
      <c r="GJ50" s="207">
        <f>IF(CN50=1,COUNTIF($CN$2:CN50,1),"")</f>
        <v>49</v>
      </c>
      <c r="GK50" s="207">
        <f>IF(CO50=1,COUNTIF($CO$2:CO50,1),"")</f>
        <v>49</v>
      </c>
      <c r="GL50" s="207">
        <f>IF(CP50=1,COUNTIF($CP$2:CP50,1),"")</f>
        <v>49</v>
      </c>
      <c r="GM50" s="207">
        <f>IF(CQ50=1,COUNTIF($CQ$2:CQ50,1),"")</f>
        <v>49</v>
      </c>
      <c r="GN50" s="207">
        <f>IF(CR50=1,COUNTIF($CR$2:CR50,1),"")</f>
        <v>49</v>
      </c>
      <c r="GO50" s="207">
        <f>IF(CS50=1,COUNTIF($CS$2:CS50,1),"")</f>
        <v>49</v>
      </c>
      <c r="GP50" s="207">
        <f>IF(CT50=1,COUNTIF($CT$2:CT50,1),"")</f>
        <v>49</v>
      </c>
      <c r="GQ50" s="207">
        <f>IF(CU50=1,COUNTIF($CU$2:CU50,1),"")</f>
        <v>49</v>
      </c>
      <c r="GR50" s="207">
        <f>IF(CV50=1,COUNTIF($CV$2:CV50,1),"")</f>
        <v>49</v>
      </c>
      <c r="GS50" s="207">
        <f>IF(CW50=1,COUNTIF($CW$2:CW50,1),"")</f>
        <v>49</v>
      </c>
      <c r="GT50" s="207">
        <f>IF(CX50=1,COUNTIF($CX$2:CX50,1),"")</f>
        <v>49</v>
      </c>
      <c r="GU50" s="207">
        <f>IF(CY50=1,COUNTIF($CY$2:CY50,1),"")</f>
        <v>49</v>
      </c>
      <c r="GV50" s="207">
        <f>IF(CZ50=1,COUNTIF($CZ$2:CZ50,1),"")</f>
        <v>49</v>
      </c>
      <c r="GW50" s="207">
        <f>IF(DA50=1,COUNTIF($DA$2:DA50,1),"")</f>
        <v>49</v>
      </c>
      <c r="GX50" s="206" t="str">
        <f>IFERROR(INDEX($A$2:$A$113,MATCH(ROWS($DB$2:DB50),$DB$2:$DB$113,0)),"")</f>
        <v xml:space="preserve">ROBO AGRAVADO POR LESION </v>
      </c>
      <c r="GY50" s="206" t="str">
        <f>IFERROR(INDEX($A$2:$A$113,MATCH(ROWS($DC$2:DC50),$DC$2:$DC$113,0)),"")</f>
        <v xml:space="preserve">ROBO AGRAVADO POR LESION </v>
      </c>
      <c r="GZ50" s="206" t="str">
        <f>IFERROR(INDEX($A$2:$A$113,MATCH(ROWS($DD$2:DD50),$DD$2:$DD$113,0)),"")</f>
        <v xml:space="preserve">ROBO AGRAVADO POR LESION </v>
      </c>
      <c r="HA50" s="206" t="str">
        <f>IFERROR(INDEX($A$2:$A$113,MATCH(ROWS($DE$2:DE50),$DE$2:$DE$113,0)),"")</f>
        <v xml:space="preserve">ROBO AGRAVADO POR LESION </v>
      </c>
      <c r="HB50" s="206" t="str">
        <f>IFERROR(INDEX($A$2:$A$113,MATCH(ROWS($DF$2:DF50),$DF$2:$DF$113,0)),"")</f>
        <v xml:space="preserve">ROBO AGRAVADO POR LESION </v>
      </c>
      <c r="HC50" s="206" t="str">
        <f>IFERROR(INDEX($A$2:$A$113,MATCH(ROWS($DG$2:DG50),$DG$2:$DG$113,0)),"")</f>
        <v xml:space="preserve">ROBO AGRAVADO POR LESION </v>
      </c>
      <c r="HD50" s="206" t="str">
        <f>IFERROR(INDEX($A$2:$A$113,MATCH(ROWS($DH$2:DH50),$DH$2:$DH$113,0)),"")</f>
        <v xml:space="preserve">ROBO AGRAVADO POR LESION </v>
      </c>
      <c r="HE50" s="206" t="str">
        <f>IFERROR(INDEX($A$2:$A$113,MATCH(ROWS($DI$2:DI50),$DI$2:$DI$113,0)),"")</f>
        <v xml:space="preserve">ROBO AGRAVADO POR LESION </v>
      </c>
      <c r="HF50" s="206" t="str">
        <f>IFERROR(INDEX($A$2:$A$113,MATCH(ROWS($DJ$2:DJ50),$DJ$2:$DJ$113,0)),"")</f>
        <v xml:space="preserve">ROBO AGRAVADO POR LESION </v>
      </c>
      <c r="HG50" s="206" t="str">
        <f>IFERROR(INDEX($A$2:$A$113,MATCH(ROWS($DK$2:DK50),$DK$2:$DK$113,0)),"")</f>
        <v xml:space="preserve">ROBO AGRAVADO POR LESION </v>
      </c>
      <c r="HH50" s="206" t="str">
        <f>IFERROR(INDEX($A$2:$A$113,MATCH(ROWS($DL$2:DL50),$DL$2:$DL$113,0)),"")</f>
        <v xml:space="preserve">ROBO AGRAVADO POR LESION </v>
      </c>
      <c r="HI50" s="206" t="str">
        <f>IFERROR(INDEX($A$2:$A$113,MATCH(ROWS($DM$2:DM50),$DM$2:$DM$113,0)),"")</f>
        <v xml:space="preserve">ROBO AGRAVADO POR LESION </v>
      </c>
      <c r="HJ50" s="206" t="str">
        <f>IFERROR(INDEX($A$2:$A$113,MATCH(ROWS($DN$2:DN50),$DN$2:$DN$113,0)),"")</f>
        <v xml:space="preserve">ROBO AGRAVADO POR LESION </v>
      </c>
      <c r="HK50" s="206" t="str">
        <f>IFERROR(INDEX($A$2:$A$113,MATCH(ROWS($DO$2:DO50),$DO$2:$DO$113,0)),"")</f>
        <v xml:space="preserve">ROBO AGRAVADO POR LESION </v>
      </c>
      <c r="HL50" s="206" t="str">
        <f>IFERROR(INDEX($A$2:$A$113,MATCH(ROWS($DP$2:DP50),$DP$2:$DP$113,0)),"")</f>
        <v xml:space="preserve">ROBO AGRAVADO POR LESION </v>
      </c>
      <c r="HM50" s="206" t="str">
        <f>IFERROR(INDEX($A$2:$A$113,MATCH(ROWS($DQ$2:DQ50),$DQ$2:$DQ$113,0)),"")</f>
        <v xml:space="preserve">ROBO AGRAVADO POR LESION </v>
      </c>
      <c r="HN50" s="206" t="str">
        <f>IFERROR(INDEX($A$2:$A$113,MATCH(ROWS($DR$2:DR50),$DR$2:$DR$113,0)),"")</f>
        <v xml:space="preserve">ROBO AGRAVADO POR LESION </v>
      </c>
      <c r="HO50" s="206" t="str">
        <f>IFERROR(INDEX($A$2:$A$113,MATCH(ROWS($DS$2:DS50),$DS$2:$DS$113,0)),"")</f>
        <v xml:space="preserve">ROBO AGRAVADO POR LESION </v>
      </c>
      <c r="HP50" s="206" t="str">
        <f>IFERROR(INDEX($A$2:$A$113,MATCH(ROWS($DT$2:DT50),$DT$2:$DT$113,0)),"")</f>
        <v xml:space="preserve">ROBO AGRAVADO POR LESION </v>
      </c>
      <c r="HQ50" s="206" t="str">
        <f>IFERROR(INDEX($A$2:$A$113,MATCH(ROWS($DU$2:DU50),$DU$2:$DU$113,0)),"")</f>
        <v xml:space="preserve">ROBO AGRAVADO POR LESION </v>
      </c>
      <c r="HR50" s="206" t="str">
        <f>IFERROR(INDEX($A$2:$A$113,MATCH(ROWS($DV$2:DV50),$DV$2:$DV$113,0)),"")</f>
        <v xml:space="preserve">ROBO AGRAVADO POR LESION </v>
      </c>
      <c r="HS50" s="206" t="str">
        <f>IFERROR(INDEX($A$2:$A$113,MATCH(ROWS($DW$2:DW50),$DW$2:$DW$113,0)),"")</f>
        <v xml:space="preserve">ROBO AGRAVADO POR LESION </v>
      </c>
      <c r="HT50" s="206" t="str">
        <f>IFERROR(INDEX($A$2:$A$113,MATCH(ROWS($DX$2:DX50),$DX$2:$DX$113,0)),"")</f>
        <v xml:space="preserve">ROBO AGRAVADO POR LESION </v>
      </c>
      <c r="HU50" s="206" t="str">
        <f>IFERROR(INDEX($A$2:$A$113,MATCH(ROWS($DY$2:DY50),$DY$2:$DY$113,0)),"")</f>
        <v xml:space="preserve">ROBO AGRAVADO POR LESION </v>
      </c>
      <c r="HV50" s="206" t="str">
        <f>IFERROR(INDEX($A$2:$A$113,MATCH(ROWS($DZ$2:DZ50),$DZ$2:$DZ$113,0)),"")</f>
        <v xml:space="preserve">ROBO AGRAVADO POR LESION </v>
      </c>
      <c r="HW50" s="206" t="str">
        <f>IFERROR(INDEX($A$2:$A$113,MATCH(ROWS($EA$2:EA50),$EA$2:$EA$113,0)),"")</f>
        <v xml:space="preserve">ROBO AGRAVADO POR LESION </v>
      </c>
      <c r="HX50" s="206" t="str">
        <f>IFERROR(INDEX($A$2:$A$113,MATCH(ROWS($EB$2:EB50),$EB$2:$EB$113,0)),"")</f>
        <v xml:space="preserve">ROBO AGRAVADO POR LESION </v>
      </c>
      <c r="HY50" s="206" t="str">
        <f>IFERROR(INDEX($A$2:$A$113,MATCH(ROWS($EC$2:EC50),$EC$2:$EC$113,0)),"")</f>
        <v xml:space="preserve">ROBO AGRAVADO POR LESION </v>
      </c>
      <c r="HZ50" s="206" t="str">
        <f>IFERROR(INDEX($A$2:$A$113,MATCH(ROWS($ED$2:ED50),$ED$2:$ED$113,0)),"")</f>
        <v xml:space="preserve">ROBO AGRAVADO POR LESION </v>
      </c>
      <c r="IA50" s="206" t="str">
        <f>IFERROR(INDEX($A$2:$A$113,MATCH(ROWS($EE$2:EE50),$EE$2:$EE$113,0)),"")</f>
        <v xml:space="preserve">ROBO AGRAVADO POR LESION </v>
      </c>
      <c r="IB50" s="206" t="str">
        <f>IFERROR(INDEX($A$2:$A$113,MATCH(ROWS($EF$2:EF50),$EF$2:$EF$113,0)),"")</f>
        <v xml:space="preserve">ROBO AGRAVADO POR LESION </v>
      </c>
      <c r="IC50" s="206" t="str">
        <f>IFERROR(INDEX($A$2:$A$113,MATCH(ROWS($EG$2:EG50),$EG$2:$EG$113,0)),"")</f>
        <v xml:space="preserve">ROBO AGRAVADO POR LESION </v>
      </c>
      <c r="ID50" s="206" t="str">
        <f>IFERROR(INDEX($A$2:$A$113,MATCH(ROWS($EH$2:EH50),$EH$2:$EH$113,0)),"")</f>
        <v xml:space="preserve">ROBO AGRAVADO POR LESION </v>
      </c>
      <c r="IE50" s="206" t="str">
        <f>IFERROR(INDEX($A$2:$A$113,MATCH(ROWS($EI$2:EI50),$EI$2:$EI$113,0)),"")</f>
        <v xml:space="preserve">ROBO AGRAVADO POR LESION </v>
      </c>
      <c r="IF50" s="206" t="str">
        <f>IFERROR(INDEX($A$2:$A$113,MATCH(ROWS($EJ$2:EJ50),$EJ$2:$EJ$113,0)),"")</f>
        <v xml:space="preserve">ROBO AGRAVADO POR LESION </v>
      </c>
      <c r="IG50" s="206" t="str">
        <f>IFERROR(INDEX($A$2:$A$113,MATCH(ROWS($EK$2:EK50),$EK$2:$EK$113,0)),"")</f>
        <v xml:space="preserve">ROBO AGRAVADO POR LESION </v>
      </c>
      <c r="IH50" s="206" t="str">
        <f>IFERROR(INDEX($A$2:$A$113,MATCH(ROWS($EL$2:EL50),$EL$2:$EL$113,0)),"")</f>
        <v xml:space="preserve">ROBO AGRAVADO POR LESION </v>
      </c>
      <c r="II50" s="206" t="str">
        <f>IFERROR(INDEX($A$2:$A$113,MATCH(ROWS($EM$2:EM50),$EM$2:$EM$113,0)),"")</f>
        <v xml:space="preserve">ROBO AGRAVADO POR LESION </v>
      </c>
      <c r="IJ50" s="206" t="str">
        <f>IFERROR(INDEX($A$2:$A$113,MATCH(ROWS($EN$2:EN50),$EN$2:$EN$113,0)),"")</f>
        <v xml:space="preserve">ROBO AGRAVADO POR LESION </v>
      </c>
      <c r="IK50" s="207" t="str">
        <f>IFERROR(INDEX($A$2:$A$113,MATCH(ROWS($EO$2:EO50),$EO$2:$EO$113,0)),"")</f>
        <v xml:space="preserve">ROBO AGRAVADO POR LESION </v>
      </c>
      <c r="IL50" s="207" t="str">
        <f>IFERROR(INDEX($A$2:$A$113,MATCH(ROWS($EP$2:EP50),$EP$2:$EP$113,0)),"")</f>
        <v xml:space="preserve">ROBO AGRAVADO POR LESION </v>
      </c>
      <c r="IM50" s="207" t="str">
        <f>IFERROR(INDEX($A$2:$A$113,MATCH(ROWS($EQ$2:EQ50),$EQ$2:$EQ$113,0)),"")</f>
        <v xml:space="preserve">ROBO AGRAVADO POR LESION </v>
      </c>
      <c r="IN50" s="207" t="str">
        <f>IFERROR(INDEX($A$2:$A$113,MATCH(ROWS($ER$2:ER50),$ER$2:$ER$113,0)),"")</f>
        <v xml:space="preserve">ROBO AGRAVADO POR LESION </v>
      </c>
      <c r="IO50" s="207" t="str">
        <f>IFERROR(INDEX($A$2:$A$113,MATCH(ROWS($ES$2:ES50),$ES$2:$ES$113,0)),"")</f>
        <v xml:space="preserve">ROBO AGRAVADO POR LESION </v>
      </c>
      <c r="IP50" s="207" t="str">
        <f>IFERROR(INDEX($A$2:$A$113,MATCH(ROWS($ET$2:ET50),$ET$2:$ET$113,0)),"")</f>
        <v xml:space="preserve">ROBO AGRAVADO POR LESION </v>
      </c>
      <c r="IQ50" s="207" t="str">
        <f>IFERROR(INDEX($A$2:$A$113,MATCH(ROWS($EU$2:EU50),$EU$2:$EU$113,0)),"")</f>
        <v xml:space="preserve">ROBO AGRAVADO POR LESION </v>
      </c>
      <c r="IR50" s="207" t="str">
        <f>IFERROR(INDEX($A$2:$A$113,MATCH(ROWS($EV$2:EV50),$EV$2:$EV$113,0)),"")</f>
        <v xml:space="preserve">ROBO AGRAVADO POR LESION </v>
      </c>
      <c r="IS50" s="207" t="str">
        <f>IFERROR(INDEX($A$2:$A$113,MATCH(ROWS($EW$2:EW50),$EW$2:$EW$113,0)),"")</f>
        <v xml:space="preserve">ROBO AGRAVADO POR LESION </v>
      </c>
      <c r="IT50" s="207" t="str">
        <f>IFERROR(INDEX($A$2:$A$113,MATCH(ROWS($EX$2:EX50),$EX$2:$EX$113,0)),"")</f>
        <v xml:space="preserve">ROBO AGRAVADO POR LESION </v>
      </c>
      <c r="IU50" s="207" t="str">
        <f>IFERROR(INDEX($A$2:$A$113,MATCH(ROWS($EY$2:EY50),$EY$2:$EY$113,0)),"")</f>
        <v xml:space="preserve">ROBO AGRAVADO POR LESION </v>
      </c>
      <c r="IV50" s="207" t="str">
        <f>IFERROR(INDEX($A$2:$A$113,MATCH(ROWS($EZ$2:EZ50),$EZ$2:$EZ$113,0)),"")</f>
        <v xml:space="preserve">ROBO AGRAVADO POR LESION </v>
      </c>
      <c r="IW50" s="207" t="str">
        <f>IFERROR(INDEX($A$2:$A$113,MATCH(ROWS($FA$2:FA50),$FA$2:$FA$113,0)),"")</f>
        <v xml:space="preserve">ROBO AGRAVADO POR LESION </v>
      </c>
      <c r="IX50" s="207" t="str">
        <f>IFERROR(INDEX($A$2:$A$113,MATCH(ROWS($FB$2:FB50),$FB$2:$FB$113,0)),"")</f>
        <v xml:space="preserve">ROBO AGRAVADO POR LESION </v>
      </c>
      <c r="IY50" s="207" t="str">
        <f>IFERROR(INDEX($A$2:$A$113,MATCH(ROWS($FC$2:FC50),$FC$2:$FC$113,0)),"")</f>
        <v xml:space="preserve">ROBO AGRAVADO POR LESION </v>
      </c>
      <c r="IZ50" s="207" t="str">
        <f>IFERROR(INDEX($A$2:$A$113,MATCH(ROWS($FD$2:FD50),$FD$2:$FD$113,0)),"")</f>
        <v xml:space="preserve">ROBO AGRAVADO POR LESION </v>
      </c>
      <c r="JA50" s="207" t="str">
        <f>IFERROR(INDEX($A$2:$A$113,MATCH(ROWS($FE$2:FE50),$FE$2:$FE$113,0)),"")</f>
        <v xml:space="preserve">ROBO AGRAVADO POR LESION </v>
      </c>
      <c r="JB50" s="207" t="str">
        <f>IFERROR(INDEX($A$2:$A$113,MATCH(ROWS($FF$2:FF50),$FF$2:$FF$113,0)),"")</f>
        <v xml:space="preserve">ROBO AGRAVADO POR LESION </v>
      </c>
      <c r="JC50" s="207" t="str">
        <f>IFERROR(INDEX($A$2:$A$113,MATCH(ROWS($FG$2:FG50),$FG$2:$FG$113,0)),"")</f>
        <v xml:space="preserve">ROBO AGRAVADO POR LESION </v>
      </c>
      <c r="JD50" s="207" t="str">
        <f>IFERROR(INDEX($A$2:$A$113,MATCH(ROWS($FH$2:FH50),$FH$2:$FH$113,0)),"")</f>
        <v xml:space="preserve">ROBO AGRAVADO POR LESION </v>
      </c>
      <c r="JE50" s="207" t="str">
        <f>IFERROR(INDEX($A$2:$A$113,MATCH(ROWS($FI$2:FI50),$FI$2:$FI$113,0)),"")</f>
        <v xml:space="preserve">ROBO AGRAVADO POR LESION </v>
      </c>
      <c r="JF50" s="207" t="str">
        <f>IFERROR(INDEX($A$2:$A$113,MATCH(ROWS($FJ$2:FJ50),$FJ$2:$FJ$113,0)),"")</f>
        <v xml:space="preserve">ROBO AGRAVADO POR LESION </v>
      </c>
      <c r="JG50" s="207" t="str">
        <f>IFERROR(INDEX($A$2:$A$113,MATCH(ROWS($FK$2:FK50),$FK$2:$FK$113,0)),"")</f>
        <v xml:space="preserve">ROBO AGRAVADO POR LESION </v>
      </c>
      <c r="JH50" s="207" t="str">
        <f>IFERROR(INDEX($A$2:$A$113,MATCH(ROWS($FL$2:FL50),$FL$2:$FL$113,0)),"")</f>
        <v xml:space="preserve">ROBO AGRAVADO POR LESION </v>
      </c>
      <c r="JI50" s="207" t="str">
        <f>IFERROR(INDEX($A$2:$A$113,MATCH(ROWS($FM$2:FM50),$FM$2:$FM$113,0)),"")</f>
        <v xml:space="preserve">ROBO AGRAVADO POR LESION </v>
      </c>
      <c r="JJ50" s="207" t="str">
        <f>IFERROR(INDEX($A$2:$A$113,MATCH(ROWS($FN$2:FN50),$FN$2:$FN$113,0)),"")</f>
        <v xml:space="preserve">ROBO AGRAVADO POR LESION </v>
      </c>
      <c r="JK50" s="207" t="str">
        <f>IFERROR(INDEX($A$2:$A$113,MATCH(ROWS($FO$2:FO50),$FO$2:$FO$113,0)),"")</f>
        <v xml:space="preserve">ROBO AGRAVADO POR LESION </v>
      </c>
      <c r="JL50" s="207" t="str">
        <f>IFERROR(INDEX($A$2:$A$113,MATCH(ROWS($FP$2:FP50),$FP$2:$FP$113,0)),"")</f>
        <v xml:space="preserve">ROBO AGRAVADO POR LESION </v>
      </c>
      <c r="JM50" s="207" t="str">
        <f>IFERROR(INDEX($A$2:$A$113,MATCH(ROWS($FQ$2:FQ50),$FQ$2:$FQ$113,0)),"")</f>
        <v xml:space="preserve">ROBO AGRAVADO POR LESION </v>
      </c>
      <c r="JN50" s="207" t="str">
        <f>IFERROR(INDEX($A$2:$A$113,MATCH(ROWS($FR$2:FR50),$FR$2:$FR$113,0)),"")</f>
        <v xml:space="preserve">ROBO AGRAVADO POR LESION </v>
      </c>
      <c r="JO50" s="207" t="str">
        <f>IFERROR(INDEX($A$2:$A$113,MATCH(ROWS($FS$2:FS50),$FS$2:$FS$113,0)),"")</f>
        <v xml:space="preserve">ROBO AGRAVADO POR LESION </v>
      </c>
      <c r="JP50" s="207" t="str">
        <f>IFERROR(INDEX($A$2:$A$113,MATCH(ROWS($FT$2:FT50),$FT$2:$FT$113,0)),"")</f>
        <v xml:space="preserve">ROBO AGRAVADO POR LESION </v>
      </c>
      <c r="JQ50" s="207" t="str">
        <f>IFERROR(INDEX($A$2:$A$113,MATCH(ROWS($FU$2:FU50),$FU$2:$FU$113,0)),"")</f>
        <v xml:space="preserve">ROBO AGRAVADO POR LESION </v>
      </c>
      <c r="JR50" s="207" t="str">
        <f>IFERROR(INDEX($A$2:$A$113,MATCH(ROWS($FV$2:FV50),$FV$2:$FV$113,0)),"")</f>
        <v xml:space="preserve">ROBO AGRAVADO POR LESION </v>
      </c>
      <c r="JS50" s="207" t="str">
        <f>IFERROR(INDEX($A$2:$A$113,MATCH(ROWS($FW$2:FW50),$FW$2:$FW$113,0)),"")</f>
        <v xml:space="preserve">ROBO AGRAVADO POR LESION </v>
      </c>
      <c r="JT50" s="207" t="str">
        <f>IFERROR(INDEX($A$2:$A$113,MATCH(ROWS($FX$2:FX50),$FX$2:$FX$113,0)),"")</f>
        <v xml:space="preserve">ROBO AGRAVADO POR LESION </v>
      </c>
      <c r="JU50" s="207" t="str">
        <f>IFERROR(INDEX($A$2:$A$113,MATCH(ROWS($FY$2:FY50),$FY$2:$FY$113,0)),"")</f>
        <v xml:space="preserve">ROBO AGRAVADO POR LESION </v>
      </c>
      <c r="JV50" s="207" t="str">
        <f>IFERROR(INDEX($A$2:$A$113,MATCH(ROWS($FZ$2:FZ50),$FZ$2:$FZ$113,0)),"")</f>
        <v xml:space="preserve">ROBO AGRAVADO POR LESION </v>
      </c>
      <c r="JW50" s="207" t="str">
        <f>IFERROR(INDEX($A$2:$A$113,MATCH(ROWS($GA$2:GA50),$GA$2:$GA$113,0)),"")</f>
        <v xml:space="preserve">ROBO AGRAVADO POR LESION </v>
      </c>
      <c r="JX50" s="207" t="str">
        <f>IFERROR(INDEX($A$2:$A$113,MATCH(ROWS($GB$2:GB50),$GB$2:$GB$113,0)),"")</f>
        <v xml:space="preserve">ROBO AGRAVADO POR LESION </v>
      </c>
      <c r="JY50" s="207" t="str">
        <f>IFERROR(INDEX($A$2:$A$113,MATCH(ROWS($GC$2:GC50),$GC$2:$GC$113,0)),"")</f>
        <v xml:space="preserve">ROBO AGRAVADO POR LESION </v>
      </c>
      <c r="JZ50" s="207" t="str">
        <f>IFERROR(INDEX($A$2:$A$113,MATCH(ROWS($GD$2:GD50),$GD$2:$GD$113,0)),"")</f>
        <v xml:space="preserve">ROBO AGRAVADO POR LESION </v>
      </c>
      <c r="KA50" s="207" t="str">
        <f>IFERROR(INDEX($A$2:$A$113,MATCH(ROWS($GE$2:GE50),$GE$2:$GE$113,0)),"")</f>
        <v xml:space="preserve">ROBO AGRAVADO POR LESION </v>
      </c>
      <c r="KB50" s="207" t="str">
        <f>IFERROR(INDEX($A$2:$A$113,MATCH(ROWS($GF$2:GF50),$GF$2:$GF$113,0)),"")</f>
        <v xml:space="preserve">ROBO AGRAVADO POR LESION </v>
      </c>
      <c r="KC50" s="207" t="str">
        <f>IFERROR(INDEX($A$2:$A$113,MATCH(ROWS($GG$2:GG50),$GG$2:$GG$113,0)),"")</f>
        <v xml:space="preserve">ROBO AGRAVADO POR LESION </v>
      </c>
      <c r="KD50" s="207" t="str">
        <f>IFERROR(INDEX($A$2:$A$113,MATCH(ROWS($GH$2:GH50),$GH$2:$GH$113,0)),"")</f>
        <v xml:space="preserve">ROBO AGRAVADO POR LESION </v>
      </c>
      <c r="KE50" s="207" t="str">
        <f>IFERROR(INDEX($A$2:$A$113,MATCH(ROWS($GI$2:GI50),$GI$2:$GI$113,0)),"")</f>
        <v xml:space="preserve">ROBO AGRAVADO POR LESION </v>
      </c>
      <c r="KF50" s="207" t="str">
        <f>IFERROR(INDEX($A$2:$A$113,MATCH(ROWS($GJ$2:GJ50),$GJ$2:$GJ$113,0)),"")</f>
        <v xml:space="preserve">ROBO AGRAVADO POR LESION </v>
      </c>
      <c r="KG50" s="207" t="str">
        <f>IFERROR(INDEX($A$2:$A$113,MATCH(ROWS($GK$2:GK50),$GK$2:$GK$113,0)),"")</f>
        <v xml:space="preserve">ROBO AGRAVADO POR LESION </v>
      </c>
      <c r="KH50" s="207" t="str">
        <f>IFERROR(INDEX($A$2:$A$113,MATCH(ROWS($GL$2:GL50),$GL$2:$GL$113,0)),"")</f>
        <v xml:space="preserve">ROBO AGRAVADO POR LESION </v>
      </c>
      <c r="KI50" s="207" t="str">
        <f>IFERROR(INDEX($A$2:$A$113,MATCH(ROWS($GM$2:GM50),$GM$2:$GM$113,0)),"")</f>
        <v xml:space="preserve">ROBO AGRAVADO POR LESION </v>
      </c>
      <c r="KJ50" s="207" t="str">
        <f>IFERROR(INDEX($A$2:$A$113,MATCH(ROWS($GN$2:GN50),$GN$2:$GN$113,0)),"")</f>
        <v xml:space="preserve">ROBO AGRAVADO POR LESION </v>
      </c>
      <c r="KK50" s="207" t="str">
        <f>IFERROR(INDEX($A$2:$A$113,MATCH(ROWS($GO$2:GO50),$GO$2:$GO$113,0)),"")</f>
        <v xml:space="preserve">ROBO AGRAVADO POR LESION </v>
      </c>
      <c r="KL50" s="207" t="str">
        <f>IFERROR(INDEX($A$2:$A$113,MATCH(ROWS($GP$2:GP50),$GP$2:$GP$113,0)),"")</f>
        <v xml:space="preserve">ROBO AGRAVADO POR LESION </v>
      </c>
      <c r="KM50" s="207" t="str">
        <f>IFERROR(INDEX($A$2:$A$113,MATCH(ROWS($GQ$2:GQ50),$GQ$2:$GQ$113,0)),"")</f>
        <v xml:space="preserve">ROBO AGRAVADO POR LESION </v>
      </c>
      <c r="KN50" s="207" t="str">
        <f>IFERROR(INDEX($A$2:$A$113,MATCH(ROWS($GR$2:GR50),$GR$2:$GR$113,0)),"")</f>
        <v xml:space="preserve">ROBO AGRAVADO POR LESION </v>
      </c>
      <c r="KO50" s="207" t="str">
        <f>IFERROR(INDEX($A$2:$A$113,MATCH(ROWS($GS$2:GS50),$GS$2:$GS$113,0)),"")</f>
        <v xml:space="preserve">ROBO AGRAVADO POR LESION </v>
      </c>
      <c r="KP50" s="207" t="str">
        <f>IFERROR(INDEX($A$2:$A$113,MATCH(ROWS($GT$2:GT50),$GT$2:$GT$113,0)),"")</f>
        <v xml:space="preserve">ROBO AGRAVADO POR LESION </v>
      </c>
      <c r="KQ50" s="207" t="str">
        <f>IFERROR(INDEX($A$2:$A$113,MATCH(ROWS($GU$2:GU50),$GU$2:$GU$113,0)),"")</f>
        <v xml:space="preserve">ROBO AGRAVADO POR LESION </v>
      </c>
      <c r="KR50" s="207" t="str">
        <f>IFERROR(INDEX($A$2:$A$113,MATCH(ROWS($GV$2:GV50),$GV$2:$GV$113,0)),"")</f>
        <v xml:space="preserve">ROBO AGRAVADO POR LESION </v>
      </c>
      <c r="KS50" s="207" t="str">
        <f>IFERROR(INDEX($A$2:$A$113,MATCH(ROWS($GW$2:GW50),$GW$2:$GW$113,0)),"")</f>
        <v xml:space="preserve">ROBO AGRAVADO POR LESION </v>
      </c>
    </row>
    <row r="51" spans="1:305" x14ac:dyDescent="0.25">
      <c r="A51" s="206" t="s">
        <v>91</v>
      </c>
      <c r="B51" s="206">
        <v>15</v>
      </c>
      <c r="C51" s="206" t="s">
        <v>89</v>
      </c>
      <c r="D51" s="206" t="s">
        <v>47</v>
      </c>
      <c r="E51" s="206" t="s">
        <v>510</v>
      </c>
      <c r="F51" s="207">
        <f>--ISNUMBER(IFERROR(SEARCH('PLANILLA DJ'!$X$3,$A51,1),""))</f>
        <v>1</v>
      </c>
      <c r="G51" s="207">
        <f>--ISNUMBER(IFERROR(SEARCH('PLANILLA DJ'!$X$4,$A51,1),""))</f>
        <v>1</v>
      </c>
      <c r="H51" s="207">
        <f>--ISNUMBER(IFERROR(SEARCH('PLANILLA DJ'!$X$5,$A51,1),""))</f>
        <v>1</v>
      </c>
      <c r="I51" s="207">
        <f>--ISNUMBER(IFERROR(SEARCH('PLANILLA DJ'!$X$6,$A51,1),""))</f>
        <v>1</v>
      </c>
      <c r="J51" s="207">
        <f>--ISNUMBER(IFERROR(SEARCH('PLANILLA DJ'!$X$7,$A51,1),""))</f>
        <v>1</v>
      </c>
      <c r="K51" s="207">
        <f>--ISNUMBER(IFERROR(SEARCH('PLANILLA DJ'!$X$8,$A51,1),""))</f>
        <v>1</v>
      </c>
      <c r="L51" s="207">
        <f>--ISNUMBER(IFERROR(SEARCH('PLANILLA DJ'!$X$9,$A51,1),""))</f>
        <v>1</v>
      </c>
      <c r="M51" s="207">
        <f>--ISNUMBER(IFERROR(SEARCH('PLANILLA DJ'!$X$10,$A51,1),""))</f>
        <v>1</v>
      </c>
      <c r="N51" s="207">
        <f>--ISNUMBER(IFERROR(SEARCH('PLANILLA DJ'!$X$11,$A51,1),""))</f>
        <v>1</v>
      </c>
      <c r="O51" s="207">
        <f>--ISNUMBER(IFERROR(SEARCH('PLANILLA DJ'!$X$12,$A51,1),""))</f>
        <v>1</v>
      </c>
      <c r="P51" s="207">
        <f>--ISNUMBER(IFERROR(SEARCH('PLANILLA DJ'!$X$13,$A51,1),""))</f>
        <v>1</v>
      </c>
      <c r="Q51" s="207">
        <f>--ISNUMBER(IFERROR(SEARCH('PLANILLA DJ'!$X$14,$A51,1),""))</f>
        <v>1</v>
      </c>
      <c r="R51" s="207">
        <f>--ISNUMBER(IFERROR(SEARCH('PLANILLA DJ'!$X$15,$A51,1),""))</f>
        <v>1</v>
      </c>
      <c r="S51" s="207">
        <f>--ISNUMBER(IFERROR(SEARCH('PLANILLA DJ'!$X$16,$A51,1),""))</f>
        <v>1</v>
      </c>
      <c r="T51" s="207">
        <f>--ISNUMBER(IFERROR(SEARCH('PLANILLA DJ'!$X$17,$A51,1),""))</f>
        <v>1</v>
      </c>
      <c r="U51" s="207">
        <f>--ISNUMBER(IFERROR(SEARCH('PLANILLA DJ'!$X$18,$A51,1),""))</f>
        <v>1</v>
      </c>
      <c r="V51" s="207">
        <f>--ISNUMBER(IFERROR(SEARCH('PLANILLA DJ'!$X$19,$A51,1),""))</f>
        <v>1</v>
      </c>
      <c r="W51" s="207">
        <f>--ISNUMBER(IFERROR(SEARCH('PLANILLA DJ'!$X$20,$A51,1),""))</f>
        <v>1</v>
      </c>
      <c r="X51" s="207">
        <f>--ISNUMBER(IFERROR(SEARCH('PLANILLA DJ'!$X$21,$A51,1),""))</f>
        <v>1</v>
      </c>
      <c r="Y51" s="207">
        <f>--ISNUMBER(IFERROR(SEARCH('PLANILLA DJ'!$X$22,$A51,1),""))</f>
        <v>1</v>
      </c>
      <c r="Z51" s="207">
        <f>--ISNUMBER(IFERROR(SEARCH('PLANILLA DJ'!$X$23,$A51,1),""))</f>
        <v>1</v>
      </c>
      <c r="AA51" s="207">
        <f>--ISNUMBER(IFERROR(SEARCH('PLANILLA DJ'!$X$24,$A51,1),""))</f>
        <v>1</v>
      </c>
      <c r="AB51" s="207">
        <f>--ISNUMBER(IFERROR(SEARCH('PLANILLA DJ'!$X$25,$A51,1),""))</f>
        <v>1</v>
      </c>
      <c r="AC51" s="207">
        <f>--ISNUMBER(IFERROR(SEARCH('PLANILLA DJ'!$X$26,$A51,1),""))</f>
        <v>1</v>
      </c>
      <c r="AD51" s="207">
        <f>--ISNUMBER(IFERROR(SEARCH('PLANILLA DJ'!$X$27,$A51,1),""))</f>
        <v>1</v>
      </c>
      <c r="AE51" s="207">
        <f>--ISNUMBER(IFERROR(SEARCH('PLANILLA DJ'!$X$28,$A51,1),""))</f>
        <v>1</v>
      </c>
      <c r="AF51" s="207">
        <f>--ISNUMBER(IFERROR(SEARCH('PLANILLA DJ'!$X$29,$A51,1),""))</f>
        <v>1</v>
      </c>
      <c r="AG51" s="207">
        <f>--ISNUMBER(IFERROR(SEARCH('PLANILLA DJ'!$X$30,$A51,1),""))</f>
        <v>1</v>
      </c>
      <c r="AH51" s="207">
        <f>--ISNUMBER(IFERROR(SEARCH('PLANILLA DJ'!$X$31,$A51,1),""))</f>
        <v>1</v>
      </c>
      <c r="AI51" s="207">
        <f>--ISNUMBER(IFERROR(SEARCH('PLANILLA DJ'!$X$32,$A51,1),""))</f>
        <v>1</v>
      </c>
      <c r="AJ51" s="207">
        <f>--ISNUMBER(IFERROR(SEARCH('PLANILLA DJ'!$X$33,$A51,1),""))</f>
        <v>1</v>
      </c>
      <c r="AK51" s="207">
        <f>--ISNUMBER(IFERROR(SEARCH('PLANILLA DJ'!$X$34,$A51,1),""))</f>
        <v>1</v>
      </c>
      <c r="AL51" s="207">
        <f>--ISNUMBER(IFERROR(SEARCH('PLANILLA DJ'!$X$35,$A51,1),""))</f>
        <v>1</v>
      </c>
      <c r="AM51" s="207">
        <f>--ISNUMBER(IFERROR(SEARCH('PLANILLA DJ'!$X$36,$A51,1),""))</f>
        <v>1</v>
      </c>
      <c r="AN51" s="207">
        <f>--ISNUMBER(IFERROR(SEARCH('PLANILLA DJ'!$X$37,$A51,1),""))</f>
        <v>1</v>
      </c>
      <c r="AO51" s="207">
        <f>--ISNUMBER(IFERROR(SEARCH('PLANILLA DJ'!$X$38,$A51,1),""))</f>
        <v>1</v>
      </c>
      <c r="AP51" s="207">
        <f>--ISNUMBER(IFERROR(SEARCH('PLANILLA DJ'!$X$39,$A51,1),""))</f>
        <v>1</v>
      </c>
      <c r="AQ51" s="207">
        <f>--ISNUMBER(IFERROR(SEARCH('PLANILLA DJ'!$X$40,$A51,1),""))</f>
        <v>1</v>
      </c>
      <c r="AR51" s="207">
        <f>--ISNUMBER(IFERROR(SEARCH('PLANILLA DJ'!$X$41,$A51,1),""))</f>
        <v>1</v>
      </c>
      <c r="AS51" s="207">
        <f>--ISNUMBER(IFERROR(SEARCH('PLANILLA DJ'!$X$42,$A51,1),""))</f>
        <v>1</v>
      </c>
      <c r="AT51" s="207">
        <f>--ISNUMBER(IFERROR(SEARCH('PLANILLA DJ'!$X$43,$A51,1),""))</f>
        <v>1</v>
      </c>
      <c r="AU51" s="207">
        <f>--ISNUMBER(IFERROR(SEARCH('PLANILLA DJ'!$X$44,$A51,1),""))</f>
        <v>1</v>
      </c>
      <c r="AV51" s="207">
        <f>--ISNUMBER(IFERROR(SEARCH('PLANILLA DJ'!$X$45,$A51,1),""))</f>
        <v>1</v>
      </c>
      <c r="AW51" s="207">
        <f>--ISNUMBER(IFERROR(SEARCH('PLANILLA DJ'!$X$46,$A51,1),""))</f>
        <v>1</v>
      </c>
      <c r="AX51" s="207">
        <f>--ISNUMBER(IFERROR(SEARCH('PLANILLA DJ'!$X$47,$A51,1),""))</f>
        <v>1</v>
      </c>
      <c r="AY51" s="207">
        <f>--ISNUMBER(IFERROR(SEARCH('PLANILLA DJ'!$X$48,$A51,1),""))</f>
        <v>1</v>
      </c>
      <c r="AZ51" s="207">
        <f>--ISNUMBER(IFERROR(SEARCH('PLANILLA DJ'!$X$49,$A51,1),""))</f>
        <v>1</v>
      </c>
      <c r="BA51" s="207">
        <f>--ISNUMBER(IFERROR(SEARCH('PLANILLA DJ'!$X$50,$A51,1),""))</f>
        <v>1</v>
      </c>
      <c r="BB51" s="207">
        <f>--ISNUMBER(IFERROR(SEARCH('PLANILLA DJ'!$X$51,$A51,1),""))</f>
        <v>1</v>
      </c>
      <c r="BC51" s="207">
        <f>--ISNUMBER(IFERROR(SEARCH('PLANILLA DJ'!$X$52,$A51,1),""))</f>
        <v>1</v>
      </c>
      <c r="BD51" s="207">
        <f>--ISNUMBER(IFERROR(SEARCH('PLANILLA DJ'!$X$53,$A51,1),""))</f>
        <v>1</v>
      </c>
      <c r="BE51" s="207">
        <f>--ISNUMBER(IFERROR(SEARCH('PLANILLA DJ'!$X$54,$A51,1),""))</f>
        <v>1</v>
      </c>
      <c r="BF51" s="207">
        <f>--ISNUMBER(IFERROR(SEARCH('PLANILLA DJ'!$X$55,$A51,1),""))</f>
        <v>1</v>
      </c>
      <c r="BG51" s="207">
        <f>--ISNUMBER(IFERROR(SEARCH('PLANILLA DJ'!$X$56,$A51,1),""))</f>
        <v>1</v>
      </c>
      <c r="BH51" s="207">
        <f>--ISNUMBER(IFERROR(SEARCH('PLANILLA DJ'!$X$57,$A51,1),""))</f>
        <v>1</v>
      </c>
      <c r="BI51" s="207">
        <f>--ISNUMBER(IFERROR(SEARCH('PLANILLA DJ'!$X$58,$A51,1),""))</f>
        <v>1</v>
      </c>
      <c r="BJ51" s="207">
        <f>--ISNUMBER(IFERROR(SEARCH('PLANILLA DJ'!$X$59,$A51,1),""))</f>
        <v>1</v>
      </c>
      <c r="BK51" s="207">
        <f>--ISNUMBER(IFERROR(SEARCH('PLANILLA DJ'!$X$60,$A51,1),""))</f>
        <v>1</v>
      </c>
      <c r="BL51" s="207">
        <f>--ISNUMBER(IFERROR(SEARCH('PLANILLA DJ'!$X$61,$A51,1),""))</f>
        <v>1</v>
      </c>
      <c r="BM51" s="207">
        <f>--ISNUMBER(IFERROR(SEARCH('PLANILLA DJ'!$X$62,$A51,1),""))</f>
        <v>1</v>
      </c>
      <c r="BN51" s="207">
        <f>--ISNUMBER(IFERROR(SEARCH('PLANILLA DJ'!$X$63,$A51,1),""))</f>
        <v>1</v>
      </c>
      <c r="BO51" s="207">
        <f>--ISNUMBER(IFERROR(SEARCH('PLANILLA DJ'!$X$64,$A51,1),""))</f>
        <v>1</v>
      </c>
      <c r="BP51" s="207">
        <f>--ISNUMBER(IFERROR(SEARCH('PLANILLA DJ'!$X$65,$A51,1),""))</f>
        <v>1</v>
      </c>
      <c r="BQ51" s="207">
        <f>--ISNUMBER(IFERROR(SEARCH('PLANILLA DJ'!$X$66,$A51,1),""))</f>
        <v>1</v>
      </c>
      <c r="BR51" s="207">
        <f>--ISNUMBER(IFERROR(SEARCH('PLANILLA DJ'!$X$67,$A51,1),""))</f>
        <v>1</v>
      </c>
      <c r="BS51" s="207">
        <f>--ISNUMBER(IFERROR(SEARCH('PLANILLA DJ'!$X$68,$A51,1),""))</f>
        <v>1</v>
      </c>
      <c r="BT51" s="207">
        <f>--ISNUMBER(IFERROR(SEARCH('PLANILLA DJ'!$X$69,$A51,1),""))</f>
        <v>1</v>
      </c>
      <c r="BU51" s="207">
        <f>--ISNUMBER(IFERROR(SEARCH('PLANILLA DJ'!$X$70,$A51,1),""))</f>
        <v>1</v>
      </c>
      <c r="BV51" s="207">
        <f>--ISNUMBER(IFERROR(SEARCH('PLANILLA DJ'!$X$71,$A51,1),""))</f>
        <v>1</v>
      </c>
      <c r="BW51" s="207">
        <f>--ISNUMBER(IFERROR(SEARCH('PLANILLA DJ'!$X$72,$A51,1),""))</f>
        <v>1</v>
      </c>
      <c r="BX51" s="207">
        <f>--ISNUMBER(IFERROR(SEARCH('PLANILLA DJ'!$X$73,$A51,1),""))</f>
        <v>1</v>
      </c>
      <c r="BY51" s="207">
        <f>--ISNUMBER(IFERROR(SEARCH('PLANILLA DJ'!$X$74,$A51,1),""))</f>
        <v>1</v>
      </c>
      <c r="BZ51" s="207">
        <f>--ISNUMBER(IFERROR(SEARCH('PLANILLA DJ'!$X$75,$A51,1),""))</f>
        <v>1</v>
      </c>
      <c r="CA51" s="207">
        <f>--ISNUMBER(IFERROR(SEARCH('PLANILLA DJ'!$X$76,$A51,1),""))</f>
        <v>1</v>
      </c>
      <c r="CB51" s="207">
        <f>--ISNUMBER(IFERROR(SEARCH('PLANILLA DJ'!$X$77,$A51,1),""))</f>
        <v>1</v>
      </c>
      <c r="CC51" s="207">
        <f>--ISNUMBER(IFERROR(SEARCH('PLANILLA DJ'!$X$78,$A51,1),""))</f>
        <v>1</v>
      </c>
      <c r="CD51" s="207">
        <f>--ISNUMBER(IFERROR(SEARCH('PLANILLA DJ'!$X$79,$A51,1),""))</f>
        <v>1</v>
      </c>
      <c r="CE51" s="207">
        <f>--ISNUMBER(IFERROR(SEARCH('PLANILLA DJ'!$X$80,$A51,1),""))</f>
        <v>1</v>
      </c>
      <c r="CF51" s="207">
        <f>--ISNUMBER(IFERROR(SEARCH('PLANILLA DJ'!$X$81,$A51,1),""))</f>
        <v>1</v>
      </c>
      <c r="CG51" s="207">
        <f>--ISNUMBER(IFERROR(SEARCH('PLANILLA DJ'!$X$82,$A51,1),""))</f>
        <v>1</v>
      </c>
      <c r="CH51" s="207">
        <f>--ISNUMBER(IFERROR(SEARCH('PLANILLA DJ'!$X$83,$A51,1),""))</f>
        <v>1</v>
      </c>
      <c r="CI51" s="207">
        <f>--ISNUMBER(IFERROR(SEARCH('PLANILLA DJ'!$X$84,$A51,1),""))</f>
        <v>1</v>
      </c>
      <c r="CJ51" s="207">
        <f>--ISNUMBER(IFERROR(SEARCH('PLANILLA DJ'!$X$85,$A51,1),""))</f>
        <v>1</v>
      </c>
      <c r="CK51" s="207">
        <f>--ISNUMBER(IFERROR(SEARCH('PLANILLA DJ'!$X$86,$A51,1),""))</f>
        <v>1</v>
      </c>
      <c r="CL51" s="207">
        <f>--ISNUMBER(IFERROR(SEARCH('PLANILLA DJ'!$X$87,$A51,1),""))</f>
        <v>1</v>
      </c>
      <c r="CM51" s="207">
        <f>--ISNUMBER(IFERROR(SEARCH('PLANILLA DJ'!$X$88,$A51,1),""))</f>
        <v>1</v>
      </c>
      <c r="CN51" s="207">
        <f>--ISNUMBER(IFERROR(SEARCH('PLANILLA DJ'!$X$89,$A51,1),""))</f>
        <v>1</v>
      </c>
      <c r="CO51" s="207">
        <f>--ISNUMBER(IFERROR(SEARCH('PLANILLA DJ'!$X$90,$A51,1),""))</f>
        <v>1</v>
      </c>
      <c r="CP51" s="207">
        <f>--ISNUMBER(IFERROR(SEARCH('PLANILLA DJ'!$X$91,$A51,1),""))</f>
        <v>1</v>
      </c>
      <c r="CQ51" s="207">
        <f>--ISNUMBER(IFERROR(SEARCH('PLANILLA DJ'!$X$92,$A51,1),""))</f>
        <v>1</v>
      </c>
      <c r="CR51" s="207">
        <f>--ISNUMBER(IFERROR(SEARCH('PLANILLA DJ'!$X$93,$A51,1),""))</f>
        <v>1</v>
      </c>
      <c r="CS51" s="207">
        <f>--ISNUMBER(IFERROR(SEARCH('PLANILLA DJ'!$X$94,$A51,1),""))</f>
        <v>1</v>
      </c>
      <c r="CT51" s="207">
        <f>--ISNUMBER(IFERROR(SEARCH('PLANILLA DJ'!$X$95,$A51,1),""))</f>
        <v>1</v>
      </c>
      <c r="CU51" s="207">
        <f>--ISNUMBER(IFERROR(SEARCH('PLANILLA DJ'!$X$96,$A51,1),""))</f>
        <v>1</v>
      </c>
      <c r="CV51" s="207">
        <f>--ISNUMBER(IFERROR(SEARCH('PLANILLA DJ'!$X$97,$A51,1),""))</f>
        <v>1</v>
      </c>
      <c r="CW51" s="207">
        <f>--ISNUMBER(IFERROR(SEARCH('PLANILLA DJ'!$X$98,$A51,1),""))</f>
        <v>1</v>
      </c>
      <c r="CX51" s="207">
        <f>--ISNUMBER(IFERROR(SEARCH('PLANILLA DJ'!$X$99,$A51,1),""))</f>
        <v>1</v>
      </c>
      <c r="CY51" s="207">
        <f>--ISNUMBER(IFERROR(SEARCH('PLANILLA DJ'!$X$100,$A51,1),""))</f>
        <v>1</v>
      </c>
      <c r="CZ51" s="207">
        <f>--ISNUMBER(IFERROR(SEARCH('PLANILLA DJ'!$X$101,$A51,1),""))</f>
        <v>1</v>
      </c>
      <c r="DA51" s="207">
        <f>--ISNUMBER(IFERROR(SEARCH('PLANILLA DJ'!$X$102,$A51,1),""))</f>
        <v>1</v>
      </c>
      <c r="DB51" s="206">
        <f>IF(F51=1,COUNTIF($F$2:F51,1),"")</f>
        <v>50</v>
      </c>
      <c r="DC51" s="206">
        <f>IF(G51=1,COUNTIF($G$2:G51,1),"")</f>
        <v>50</v>
      </c>
      <c r="DD51" s="206">
        <f>IF(H51=1,COUNTIF($H$2:H51,1),"")</f>
        <v>50</v>
      </c>
      <c r="DE51" s="206">
        <f>IF(I51=1,COUNTIF($I$2:I51,1),"")</f>
        <v>50</v>
      </c>
      <c r="DF51" s="206">
        <f>IF(J51=1,COUNTIF($J$2:J51,1),"")</f>
        <v>50</v>
      </c>
      <c r="DG51" s="206">
        <f>IF(K51=1,COUNTIF($K$2:K51,1),"")</f>
        <v>50</v>
      </c>
      <c r="DH51" s="206">
        <f>IF(L51=1,COUNTIF($L$2:L51,1),"")</f>
        <v>50</v>
      </c>
      <c r="DI51" s="206">
        <f>IF(M51=1,COUNTIF($M$2:M51,1),"")</f>
        <v>50</v>
      </c>
      <c r="DJ51" s="206">
        <f>IF(N51=1,COUNTIF($N$2:N51,1),"")</f>
        <v>50</v>
      </c>
      <c r="DK51" s="206">
        <f>IF(O51=1,COUNTIF($O$2:O51,1),"")</f>
        <v>50</v>
      </c>
      <c r="DL51" s="206">
        <f>IF(P51=1,COUNTIF($P$2:P51,1),"")</f>
        <v>50</v>
      </c>
      <c r="DM51" s="206">
        <f>IF(Q51=1,COUNTIF($Q$2:Q51,1),"")</f>
        <v>50</v>
      </c>
      <c r="DN51" s="207">
        <f>IF(R51=1,COUNTIF($R$2:R51,1),"")</f>
        <v>50</v>
      </c>
      <c r="DO51" s="207">
        <f>IF(S51=1,COUNTIF($S$2:S51,1),"")</f>
        <v>50</v>
      </c>
      <c r="DP51" s="207">
        <f>IF(T51=1,COUNTIF($T$2:T51,1),"")</f>
        <v>50</v>
      </c>
      <c r="DQ51" s="207">
        <f>IF(U51=1,COUNTIF($U$2:U51,1),"")</f>
        <v>50</v>
      </c>
      <c r="DR51" s="207">
        <f>IF(V51=1,COUNTIF($V$2:V51,1),"")</f>
        <v>50</v>
      </c>
      <c r="DS51" s="207">
        <f>IF(W51=1,COUNTIF($W$2:W51,1),"")</f>
        <v>50</v>
      </c>
      <c r="DT51" s="207">
        <f>IF(X51=1,COUNTIF($X$2:X51,1),"")</f>
        <v>50</v>
      </c>
      <c r="DU51" s="207">
        <f>IF(Y51=1,COUNTIF($Y$2:Y51,1),"")</f>
        <v>50</v>
      </c>
      <c r="DV51" s="207">
        <f>IF(Z51=1,COUNTIF(Z$2:Z51,1),"")</f>
        <v>50</v>
      </c>
      <c r="DW51" s="207">
        <f>IF(AA51=1,COUNTIF($AA$2:AA51,1),"")</f>
        <v>50</v>
      </c>
      <c r="DX51" s="207">
        <f>IF(AB51=1,COUNTIF($AB$2:AB51,1),"")</f>
        <v>50</v>
      </c>
      <c r="DY51" s="207">
        <f>IF(AC51=1,COUNTIF($AC$2:AC51,1),"")</f>
        <v>50</v>
      </c>
      <c r="DZ51" s="207">
        <f>IF(AD51=1,COUNTIF($AD$2:AD51,1),"")</f>
        <v>50</v>
      </c>
      <c r="EA51" s="207">
        <f>IF(AE51=1,COUNTIF($AE$2:AE51,1),"")</f>
        <v>50</v>
      </c>
      <c r="EB51" s="207">
        <f>IF(AF51=1,COUNTIF($AF$2:AF51,1),"")</f>
        <v>50</v>
      </c>
      <c r="EC51" s="207">
        <f>IF(AG51=1,COUNTIF($AG$2:AG51,1),"")</f>
        <v>50</v>
      </c>
      <c r="ED51" s="207">
        <f>IF(AH51=1,COUNTIF($AH$2:AH51,1),"")</f>
        <v>50</v>
      </c>
      <c r="EE51" s="207">
        <f>IF(AI51=1,COUNTIF($AI$2:AI51,1),"")</f>
        <v>50</v>
      </c>
      <c r="EF51" s="207">
        <f>IF(AJ51=1,COUNTIF($AJ$2:AJ51,1),"")</f>
        <v>50</v>
      </c>
      <c r="EG51" s="207">
        <f>IF(AK51=1,COUNTIF($AK$2:AK51,1),"")</f>
        <v>50</v>
      </c>
      <c r="EH51" s="207">
        <f>IF(AL51=1,COUNTIF($AL$2:AL51,1),"")</f>
        <v>50</v>
      </c>
      <c r="EI51" s="207">
        <f>IF(AM51=1,COUNTIF($AM$2:AM51,1),"")</f>
        <v>50</v>
      </c>
      <c r="EJ51" s="207">
        <f>IF(AN51=1,COUNTIF($AN$2:AN51,1),"")</f>
        <v>50</v>
      </c>
      <c r="EK51" s="207">
        <f>IF(AO51=1,COUNTIF($AO$2:AO51,1),"")</f>
        <v>50</v>
      </c>
      <c r="EL51" s="207">
        <f>IF(AP51=1,COUNTIF($AP$2:AP51,1),"")</f>
        <v>50</v>
      </c>
      <c r="EM51" s="207">
        <f>IF(AQ51=1,COUNTIF($AQ$2:AQ51,1),"")</f>
        <v>50</v>
      </c>
      <c r="EN51" s="207">
        <f>IF(AR51=1,COUNTIF($AR$2:AR51,1),"")</f>
        <v>50</v>
      </c>
      <c r="EO51" s="207">
        <f>IF(AS51=1,COUNTIF($AS$2:AS51,1),"")</f>
        <v>50</v>
      </c>
      <c r="EP51" s="207">
        <f>IF(AT51=1,COUNTIF($AT$2:AT51,1),"")</f>
        <v>50</v>
      </c>
      <c r="EQ51" s="207">
        <f>IF(AU51=1,COUNTIF($AU$2:AU51,1),"")</f>
        <v>50</v>
      </c>
      <c r="ER51" s="207">
        <f>IF(AV51=1,COUNTIF($AV$2:AV51,1),"")</f>
        <v>50</v>
      </c>
      <c r="ES51" s="207">
        <f>IF(AW51=1,COUNTIF($AW$2:AW51,1),"")</f>
        <v>50</v>
      </c>
      <c r="ET51" s="207">
        <f>IF(AX51=1,COUNTIF($AX$2:AX51,1),"")</f>
        <v>50</v>
      </c>
      <c r="EU51" s="207">
        <f>IF(AY51=1,COUNTIF($AY$2:AY51,1),"")</f>
        <v>50</v>
      </c>
      <c r="EV51" s="207">
        <f>IF(AZ51=1,COUNTIF($AZ$2:AZ51,1),"")</f>
        <v>50</v>
      </c>
      <c r="EW51" s="207">
        <f>IF(BA51=1,COUNTIF($BA$2:BA51,1),"")</f>
        <v>50</v>
      </c>
      <c r="EX51" s="207">
        <f>IF(BB51=1,COUNTIF($BB$2:BB51,1),"")</f>
        <v>50</v>
      </c>
      <c r="EY51" s="207">
        <f>IF(BC51=1,COUNTIF($BC$2:BC51,1),"")</f>
        <v>50</v>
      </c>
      <c r="EZ51" s="207">
        <f>IF(BD51=1,COUNTIF($BD$2:BD51,1),"")</f>
        <v>50</v>
      </c>
      <c r="FA51" s="207">
        <f>IF(BE51=1,COUNTIF($BE$2:BE51,1),"")</f>
        <v>50</v>
      </c>
      <c r="FB51" s="207">
        <f>IF(BF51=1,COUNTIF($BF$2:BF51,1),"")</f>
        <v>50</v>
      </c>
      <c r="FC51" s="207">
        <f>IF(BG51=1,COUNTIF($BG$2:BG51,1),"")</f>
        <v>50</v>
      </c>
      <c r="FD51" s="207">
        <f>IF(BH51=1,COUNTIF($BH$2:BH51,1),"")</f>
        <v>50</v>
      </c>
      <c r="FE51" s="207">
        <f>IF(BI51=1,COUNTIF($BI$2:BI51,1),"")</f>
        <v>50</v>
      </c>
      <c r="FF51" s="207">
        <f>IF(BJ51=1,COUNTIF($BJ$2:BJ51,1),"")</f>
        <v>50</v>
      </c>
      <c r="FG51" s="207">
        <f>IF(BK51=1,COUNTIF($BK$2:BK51,1),"")</f>
        <v>50</v>
      </c>
      <c r="FH51" s="207">
        <f>IF(BL51=1,COUNTIF($BL$2:BL51,1),"")</f>
        <v>50</v>
      </c>
      <c r="FI51" s="207">
        <f>IF(BM51=1,COUNTIF($BM$2:BM51,1),"")</f>
        <v>50</v>
      </c>
      <c r="FJ51" s="207">
        <f>IF(BN51=1,COUNTIF($BN$2:BN51,1),"")</f>
        <v>50</v>
      </c>
      <c r="FK51" s="207">
        <f>IF(BO51=1,COUNTIF($BO$2:BO51,1),"")</f>
        <v>50</v>
      </c>
      <c r="FL51" s="207">
        <f>IF(BP51=1,COUNTIF($BP$2:BP51,1),"")</f>
        <v>50</v>
      </c>
      <c r="FM51" s="207">
        <f>IF(BQ51=1,COUNTIF($BQ$2:BQ51,1),"")</f>
        <v>50</v>
      </c>
      <c r="FN51" s="207">
        <f>IF(BR51=1,COUNTIF($BR$2:BR51,1),"")</f>
        <v>50</v>
      </c>
      <c r="FO51" s="207">
        <f>IF(BS51=1,COUNTIF($BS$2:BS51,1),"")</f>
        <v>50</v>
      </c>
      <c r="FP51" s="207">
        <f>IF(BT51=1,COUNTIF($BT$2:BT51,1),"")</f>
        <v>50</v>
      </c>
      <c r="FQ51" s="207">
        <f>IF(BU51=1,COUNTIF($BU$2:BU51,1),"")</f>
        <v>50</v>
      </c>
      <c r="FR51" s="207">
        <f>IF(BV51=1,COUNTIF($BV$2:BV51,1),"")</f>
        <v>50</v>
      </c>
      <c r="FS51" s="207">
        <f>IF(BW51=1,COUNTIF($BW$2:BW51,1),"")</f>
        <v>50</v>
      </c>
      <c r="FT51" s="207">
        <f>IF(BX51=1,COUNTIF($BX$2:BX51,1),"")</f>
        <v>50</v>
      </c>
      <c r="FU51" s="207">
        <f>IF(BY51=1,COUNTIF($BY$2:BY51,1),"")</f>
        <v>50</v>
      </c>
      <c r="FV51" s="207">
        <f>IF(BZ51=1,COUNTIF($BZ$2:BZ51,1),"")</f>
        <v>50</v>
      </c>
      <c r="FW51" s="207">
        <f>IF(CA51=1,COUNTIF($CA$2:CA51,1),"")</f>
        <v>50</v>
      </c>
      <c r="FX51" s="207">
        <f>IF(CB51=1,COUNTIF($CB$2:CB51,1),"")</f>
        <v>50</v>
      </c>
      <c r="FY51" s="207">
        <f>IF(CC51=1,COUNTIF($CC$2:CC51,1),"")</f>
        <v>50</v>
      </c>
      <c r="FZ51" s="207">
        <f>IF(CD51=1,COUNTIF($CD$2:CD51,1),"")</f>
        <v>50</v>
      </c>
      <c r="GA51" s="207">
        <f>IF(CE51=1,COUNTIF($CE$2:CE51,1),"")</f>
        <v>50</v>
      </c>
      <c r="GB51" s="207">
        <f>IF(CF51=1,COUNTIF($CF$2:CF51,1),"")</f>
        <v>50</v>
      </c>
      <c r="GC51" s="207">
        <f>IF(CG51=1,COUNTIF($CG$2:CG51,1),"")</f>
        <v>50</v>
      </c>
      <c r="GD51" s="207">
        <f>IF(CH51=1,COUNTIF($CH$2:CH51,1),"")</f>
        <v>50</v>
      </c>
      <c r="GE51" s="207">
        <f>IF(CI51=1,COUNTIF($CI$2:CI51,1),"")</f>
        <v>50</v>
      </c>
      <c r="GF51" s="207">
        <f>IF(CJ51=1,COUNTIF($CJ$2:CJ51,1),"")</f>
        <v>50</v>
      </c>
      <c r="GG51" s="207">
        <f>IF(CK51=1,COUNTIF($CK$2:CK51,1),"")</f>
        <v>50</v>
      </c>
      <c r="GH51" s="207">
        <f>IF(CL51=1,COUNTIF($CL$2:CL51,1),"")</f>
        <v>50</v>
      </c>
      <c r="GI51" s="207">
        <f>IF(CM51=1,COUNTIF($CM$2:CM51,1),"")</f>
        <v>50</v>
      </c>
      <c r="GJ51" s="207">
        <f>IF(CN51=1,COUNTIF($CN$2:CN51,1),"")</f>
        <v>50</v>
      </c>
      <c r="GK51" s="207">
        <f>IF(CO51=1,COUNTIF($CO$2:CO51,1),"")</f>
        <v>50</v>
      </c>
      <c r="GL51" s="207">
        <f>IF(CP51=1,COUNTIF($CP$2:CP51,1),"")</f>
        <v>50</v>
      </c>
      <c r="GM51" s="207">
        <f>IF(CQ51=1,COUNTIF($CQ$2:CQ51,1),"")</f>
        <v>50</v>
      </c>
      <c r="GN51" s="207">
        <f>IF(CR51=1,COUNTIF($CR$2:CR51,1),"")</f>
        <v>50</v>
      </c>
      <c r="GO51" s="207">
        <f>IF(CS51=1,COUNTIF($CS$2:CS51,1),"")</f>
        <v>50</v>
      </c>
      <c r="GP51" s="207">
        <f>IF(CT51=1,COUNTIF($CT$2:CT51,1),"")</f>
        <v>50</v>
      </c>
      <c r="GQ51" s="207">
        <f>IF(CU51=1,COUNTIF($CU$2:CU51,1),"")</f>
        <v>50</v>
      </c>
      <c r="GR51" s="207">
        <f>IF(CV51=1,COUNTIF($CV$2:CV51,1),"")</f>
        <v>50</v>
      </c>
      <c r="GS51" s="207">
        <f>IF(CW51=1,COUNTIF($CW$2:CW51,1),"")</f>
        <v>50</v>
      </c>
      <c r="GT51" s="207">
        <f>IF(CX51=1,COUNTIF($CX$2:CX51,1),"")</f>
        <v>50</v>
      </c>
      <c r="GU51" s="207">
        <f>IF(CY51=1,COUNTIF($CY$2:CY51,1),"")</f>
        <v>50</v>
      </c>
      <c r="GV51" s="207">
        <f>IF(CZ51=1,COUNTIF($CZ$2:CZ51,1),"")</f>
        <v>50</v>
      </c>
      <c r="GW51" s="207">
        <f>IF(DA51=1,COUNTIF($DA$2:DA51,1),"")</f>
        <v>50</v>
      </c>
      <c r="GX51" s="206" t="str">
        <f>IFERROR(INDEX($A$2:$A$113,MATCH(ROWS($DB$2:DB51),$DB$2:$DB$113,0)),"")</f>
        <v>ROBO AGRAVADO POR EL USO DE ARMA DE FUEGO</v>
      </c>
      <c r="GY51" s="206" t="str">
        <f>IFERROR(INDEX($A$2:$A$113,MATCH(ROWS($DC$2:DC51),$DC$2:$DC$113,0)),"")</f>
        <v>ROBO AGRAVADO POR EL USO DE ARMA DE FUEGO</v>
      </c>
      <c r="GZ51" s="206" t="str">
        <f>IFERROR(INDEX($A$2:$A$113,MATCH(ROWS($DD$2:DD51),$DD$2:$DD$113,0)),"")</f>
        <v>ROBO AGRAVADO POR EL USO DE ARMA DE FUEGO</v>
      </c>
      <c r="HA51" s="206" t="str">
        <f>IFERROR(INDEX($A$2:$A$113,MATCH(ROWS($DE$2:DE51),$DE$2:$DE$113,0)),"")</f>
        <v>ROBO AGRAVADO POR EL USO DE ARMA DE FUEGO</v>
      </c>
      <c r="HB51" s="206" t="str">
        <f>IFERROR(INDEX($A$2:$A$113,MATCH(ROWS($DF$2:DF51),$DF$2:$DF$113,0)),"")</f>
        <v>ROBO AGRAVADO POR EL USO DE ARMA DE FUEGO</v>
      </c>
      <c r="HC51" s="206" t="str">
        <f>IFERROR(INDEX($A$2:$A$113,MATCH(ROWS($DG$2:DG51),$DG$2:$DG$113,0)),"")</f>
        <v>ROBO AGRAVADO POR EL USO DE ARMA DE FUEGO</v>
      </c>
      <c r="HD51" s="206" t="str">
        <f>IFERROR(INDEX($A$2:$A$113,MATCH(ROWS($DH$2:DH51),$DH$2:$DH$113,0)),"")</f>
        <v>ROBO AGRAVADO POR EL USO DE ARMA DE FUEGO</v>
      </c>
      <c r="HE51" s="206" t="str">
        <f>IFERROR(INDEX($A$2:$A$113,MATCH(ROWS($DI$2:DI51),$DI$2:$DI$113,0)),"")</f>
        <v>ROBO AGRAVADO POR EL USO DE ARMA DE FUEGO</v>
      </c>
      <c r="HF51" s="206" t="str">
        <f>IFERROR(INDEX($A$2:$A$113,MATCH(ROWS($DJ$2:DJ51),$DJ$2:$DJ$113,0)),"")</f>
        <v>ROBO AGRAVADO POR EL USO DE ARMA DE FUEGO</v>
      </c>
      <c r="HG51" s="206" t="str">
        <f>IFERROR(INDEX($A$2:$A$113,MATCH(ROWS($DK$2:DK51),$DK$2:$DK$113,0)),"")</f>
        <v>ROBO AGRAVADO POR EL USO DE ARMA DE FUEGO</v>
      </c>
      <c r="HH51" s="206" t="str">
        <f>IFERROR(INDEX($A$2:$A$113,MATCH(ROWS($DL$2:DL51),$DL$2:$DL$113,0)),"")</f>
        <v>ROBO AGRAVADO POR EL USO DE ARMA DE FUEGO</v>
      </c>
      <c r="HI51" s="206" t="str">
        <f>IFERROR(INDEX($A$2:$A$113,MATCH(ROWS($DM$2:DM51),$DM$2:$DM$113,0)),"")</f>
        <v>ROBO AGRAVADO POR EL USO DE ARMA DE FUEGO</v>
      </c>
      <c r="HJ51" s="206" t="str">
        <f>IFERROR(INDEX($A$2:$A$113,MATCH(ROWS($DN$2:DN51),$DN$2:$DN$113,0)),"")</f>
        <v>ROBO AGRAVADO POR EL USO DE ARMA DE FUEGO</v>
      </c>
      <c r="HK51" s="206" t="str">
        <f>IFERROR(INDEX($A$2:$A$113,MATCH(ROWS($DO$2:DO51),$DO$2:$DO$113,0)),"")</f>
        <v>ROBO AGRAVADO POR EL USO DE ARMA DE FUEGO</v>
      </c>
      <c r="HL51" s="206" t="str">
        <f>IFERROR(INDEX($A$2:$A$113,MATCH(ROWS($DP$2:DP51),$DP$2:$DP$113,0)),"")</f>
        <v>ROBO AGRAVADO POR EL USO DE ARMA DE FUEGO</v>
      </c>
      <c r="HM51" s="206" t="str">
        <f>IFERROR(INDEX($A$2:$A$113,MATCH(ROWS($DQ$2:DQ51),$DQ$2:$DQ$113,0)),"")</f>
        <v>ROBO AGRAVADO POR EL USO DE ARMA DE FUEGO</v>
      </c>
      <c r="HN51" s="206" t="str">
        <f>IFERROR(INDEX($A$2:$A$113,MATCH(ROWS($DR$2:DR51),$DR$2:$DR$113,0)),"")</f>
        <v>ROBO AGRAVADO POR EL USO DE ARMA DE FUEGO</v>
      </c>
      <c r="HO51" s="206" t="str">
        <f>IFERROR(INDEX($A$2:$A$113,MATCH(ROWS($DS$2:DS51),$DS$2:$DS$113,0)),"")</f>
        <v>ROBO AGRAVADO POR EL USO DE ARMA DE FUEGO</v>
      </c>
      <c r="HP51" s="206" t="str">
        <f>IFERROR(INDEX($A$2:$A$113,MATCH(ROWS($DT$2:DT51),$DT$2:$DT$113,0)),"")</f>
        <v>ROBO AGRAVADO POR EL USO DE ARMA DE FUEGO</v>
      </c>
      <c r="HQ51" s="206" t="str">
        <f>IFERROR(INDEX($A$2:$A$113,MATCH(ROWS($DU$2:DU51),$DU$2:$DU$113,0)),"")</f>
        <v>ROBO AGRAVADO POR EL USO DE ARMA DE FUEGO</v>
      </c>
      <c r="HR51" s="206" t="str">
        <f>IFERROR(INDEX($A$2:$A$113,MATCH(ROWS($DV$2:DV51),$DV$2:$DV$113,0)),"")</f>
        <v>ROBO AGRAVADO POR EL USO DE ARMA DE FUEGO</v>
      </c>
      <c r="HS51" s="206" t="str">
        <f>IFERROR(INDEX($A$2:$A$113,MATCH(ROWS($DW$2:DW51),$DW$2:$DW$113,0)),"")</f>
        <v>ROBO AGRAVADO POR EL USO DE ARMA DE FUEGO</v>
      </c>
      <c r="HT51" s="206" t="str">
        <f>IFERROR(INDEX($A$2:$A$113,MATCH(ROWS($DX$2:DX51),$DX$2:$DX$113,0)),"")</f>
        <v>ROBO AGRAVADO POR EL USO DE ARMA DE FUEGO</v>
      </c>
      <c r="HU51" s="206" t="str">
        <f>IFERROR(INDEX($A$2:$A$113,MATCH(ROWS($DY$2:DY51),$DY$2:$DY$113,0)),"")</f>
        <v>ROBO AGRAVADO POR EL USO DE ARMA DE FUEGO</v>
      </c>
      <c r="HV51" s="206" t="str">
        <f>IFERROR(INDEX($A$2:$A$113,MATCH(ROWS($DZ$2:DZ51),$DZ$2:$DZ$113,0)),"")</f>
        <v>ROBO AGRAVADO POR EL USO DE ARMA DE FUEGO</v>
      </c>
      <c r="HW51" s="206" t="str">
        <f>IFERROR(INDEX($A$2:$A$113,MATCH(ROWS($EA$2:EA51),$EA$2:$EA$113,0)),"")</f>
        <v>ROBO AGRAVADO POR EL USO DE ARMA DE FUEGO</v>
      </c>
      <c r="HX51" s="206" t="str">
        <f>IFERROR(INDEX($A$2:$A$113,MATCH(ROWS($EB$2:EB51),$EB$2:$EB$113,0)),"")</f>
        <v>ROBO AGRAVADO POR EL USO DE ARMA DE FUEGO</v>
      </c>
      <c r="HY51" s="206" t="str">
        <f>IFERROR(INDEX($A$2:$A$113,MATCH(ROWS($EC$2:EC51),$EC$2:$EC$113,0)),"")</f>
        <v>ROBO AGRAVADO POR EL USO DE ARMA DE FUEGO</v>
      </c>
      <c r="HZ51" s="206" t="str">
        <f>IFERROR(INDEX($A$2:$A$113,MATCH(ROWS($ED$2:ED51),$ED$2:$ED$113,0)),"")</f>
        <v>ROBO AGRAVADO POR EL USO DE ARMA DE FUEGO</v>
      </c>
      <c r="IA51" s="206" t="str">
        <f>IFERROR(INDEX($A$2:$A$113,MATCH(ROWS($EE$2:EE51),$EE$2:$EE$113,0)),"")</f>
        <v>ROBO AGRAVADO POR EL USO DE ARMA DE FUEGO</v>
      </c>
      <c r="IB51" s="206" t="str">
        <f>IFERROR(INDEX($A$2:$A$113,MATCH(ROWS($EF$2:EF51),$EF$2:$EF$113,0)),"")</f>
        <v>ROBO AGRAVADO POR EL USO DE ARMA DE FUEGO</v>
      </c>
      <c r="IC51" s="206" t="str">
        <f>IFERROR(INDEX($A$2:$A$113,MATCH(ROWS($EG$2:EG51),$EG$2:$EG$113,0)),"")</f>
        <v>ROBO AGRAVADO POR EL USO DE ARMA DE FUEGO</v>
      </c>
      <c r="ID51" s="206" t="str">
        <f>IFERROR(INDEX($A$2:$A$113,MATCH(ROWS($EH$2:EH51),$EH$2:$EH$113,0)),"")</f>
        <v>ROBO AGRAVADO POR EL USO DE ARMA DE FUEGO</v>
      </c>
      <c r="IE51" s="206" t="str">
        <f>IFERROR(INDEX($A$2:$A$113,MATCH(ROWS($EI$2:EI51),$EI$2:$EI$113,0)),"")</f>
        <v>ROBO AGRAVADO POR EL USO DE ARMA DE FUEGO</v>
      </c>
      <c r="IF51" s="206" t="str">
        <f>IFERROR(INDEX($A$2:$A$113,MATCH(ROWS($EJ$2:EJ51),$EJ$2:$EJ$113,0)),"")</f>
        <v>ROBO AGRAVADO POR EL USO DE ARMA DE FUEGO</v>
      </c>
      <c r="IG51" s="206" t="str">
        <f>IFERROR(INDEX($A$2:$A$113,MATCH(ROWS($EK$2:EK51),$EK$2:$EK$113,0)),"")</f>
        <v>ROBO AGRAVADO POR EL USO DE ARMA DE FUEGO</v>
      </c>
      <c r="IH51" s="206" t="str">
        <f>IFERROR(INDEX($A$2:$A$113,MATCH(ROWS($EL$2:EL51),$EL$2:$EL$113,0)),"")</f>
        <v>ROBO AGRAVADO POR EL USO DE ARMA DE FUEGO</v>
      </c>
      <c r="II51" s="206" t="str">
        <f>IFERROR(INDEX($A$2:$A$113,MATCH(ROWS($EM$2:EM51),$EM$2:$EM$113,0)),"")</f>
        <v>ROBO AGRAVADO POR EL USO DE ARMA DE FUEGO</v>
      </c>
      <c r="IJ51" s="206" t="str">
        <f>IFERROR(INDEX($A$2:$A$113,MATCH(ROWS($EN$2:EN51),$EN$2:$EN$113,0)),"")</f>
        <v>ROBO AGRAVADO POR EL USO DE ARMA DE FUEGO</v>
      </c>
      <c r="IK51" s="207" t="str">
        <f>IFERROR(INDEX($A$2:$A$113,MATCH(ROWS($EO$2:EO51),$EO$2:$EO$113,0)),"")</f>
        <v>ROBO AGRAVADO POR EL USO DE ARMA DE FUEGO</v>
      </c>
      <c r="IL51" s="207" t="str">
        <f>IFERROR(INDEX($A$2:$A$113,MATCH(ROWS($EP$2:EP51),$EP$2:$EP$113,0)),"")</f>
        <v>ROBO AGRAVADO POR EL USO DE ARMA DE FUEGO</v>
      </c>
      <c r="IM51" s="207" t="str">
        <f>IFERROR(INDEX($A$2:$A$113,MATCH(ROWS($EQ$2:EQ51),$EQ$2:$EQ$113,0)),"")</f>
        <v>ROBO AGRAVADO POR EL USO DE ARMA DE FUEGO</v>
      </c>
      <c r="IN51" s="207" t="str">
        <f>IFERROR(INDEX($A$2:$A$113,MATCH(ROWS($ER$2:ER51),$ER$2:$ER$113,0)),"")</f>
        <v>ROBO AGRAVADO POR EL USO DE ARMA DE FUEGO</v>
      </c>
      <c r="IO51" s="207" t="str">
        <f>IFERROR(INDEX($A$2:$A$113,MATCH(ROWS($ES$2:ES51),$ES$2:$ES$113,0)),"")</f>
        <v>ROBO AGRAVADO POR EL USO DE ARMA DE FUEGO</v>
      </c>
      <c r="IP51" s="207" t="str">
        <f>IFERROR(INDEX($A$2:$A$113,MATCH(ROWS($ET$2:ET51),$ET$2:$ET$113,0)),"")</f>
        <v>ROBO AGRAVADO POR EL USO DE ARMA DE FUEGO</v>
      </c>
      <c r="IQ51" s="207" t="str">
        <f>IFERROR(INDEX($A$2:$A$113,MATCH(ROWS($EU$2:EU51),$EU$2:$EU$113,0)),"")</f>
        <v>ROBO AGRAVADO POR EL USO DE ARMA DE FUEGO</v>
      </c>
      <c r="IR51" s="207" t="str">
        <f>IFERROR(INDEX($A$2:$A$113,MATCH(ROWS($EV$2:EV51),$EV$2:$EV$113,0)),"")</f>
        <v>ROBO AGRAVADO POR EL USO DE ARMA DE FUEGO</v>
      </c>
      <c r="IS51" s="207" t="str">
        <f>IFERROR(INDEX($A$2:$A$113,MATCH(ROWS($EW$2:EW51),$EW$2:$EW$113,0)),"")</f>
        <v>ROBO AGRAVADO POR EL USO DE ARMA DE FUEGO</v>
      </c>
      <c r="IT51" s="207" t="str">
        <f>IFERROR(INDEX($A$2:$A$113,MATCH(ROWS($EX$2:EX51),$EX$2:$EX$113,0)),"")</f>
        <v>ROBO AGRAVADO POR EL USO DE ARMA DE FUEGO</v>
      </c>
      <c r="IU51" s="207" t="str">
        <f>IFERROR(INDEX($A$2:$A$113,MATCH(ROWS($EY$2:EY51),$EY$2:$EY$113,0)),"")</f>
        <v>ROBO AGRAVADO POR EL USO DE ARMA DE FUEGO</v>
      </c>
      <c r="IV51" s="207" t="str">
        <f>IFERROR(INDEX($A$2:$A$113,MATCH(ROWS($EZ$2:EZ51),$EZ$2:$EZ$113,0)),"")</f>
        <v>ROBO AGRAVADO POR EL USO DE ARMA DE FUEGO</v>
      </c>
      <c r="IW51" s="207" t="str">
        <f>IFERROR(INDEX($A$2:$A$113,MATCH(ROWS($FA$2:FA51),$FA$2:$FA$113,0)),"")</f>
        <v>ROBO AGRAVADO POR EL USO DE ARMA DE FUEGO</v>
      </c>
      <c r="IX51" s="207" t="str">
        <f>IFERROR(INDEX($A$2:$A$113,MATCH(ROWS($FB$2:FB51),$FB$2:$FB$113,0)),"")</f>
        <v>ROBO AGRAVADO POR EL USO DE ARMA DE FUEGO</v>
      </c>
      <c r="IY51" s="207" t="str">
        <f>IFERROR(INDEX($A$2:$A$113,MATCH(ROWS($FC$2:FC51),$FC$2:$FC$113,0)),"")</f>
        <v>ROBO AGRAVADO POR EL USO DE ARMA DE FUEGO</v>
      </c>
      <c r="IZ51" s="207" t="str">
        <f>IFERROR(INDEX($A$2:$A$113,MATCH(ROWS($FD$2:FD51),$FD$2:$FD$113,0)),"")</f>
        <v>ROBO AGRAVADO POR EL USO DE ARMA DE FUEGO</v>
      </c>
      <c r="JA51" s="207" t="str">
        <f>IFERROR(INDEX($A$2:$A$113,MATCH(ROWS($FE$2:FE51),$FE$2:$FE$113,0)),"")</f>
        <v>ROBO AGRAVADO POR EL USO DE ARMA DE FUEGO</v>
      </c>
      <c r="JB51" s="207" t="str">
        <f>IFERROR(INDEX($A$2:$A$113,MATCH(ROWS($FF$2:FF51),$FF$2:$FF$113,0)),"")</f>
        <v>ROBO AGRAVADO POR EL USO DE ARMA DE FUEGO</v>
      </c>
      <c r="JC51" s="207" t="str">
        <f>IFERROR(INDEX($A$2:$A$113,MATCH(ROWS($FG$2:FG51),$FG$2:$FG$113,0)),"")</f>
        <v>ROBO AGRAVADO POR EL USO DE ARMA DE FUEGO</v>
      </c>
      <c r="JD51" s="207" t="str">
        <f>IFERROR(INDEX($A$2:$A$113,MATCH(ROWS($FH$2:FH51),$FH$2:$FH$113,0)),"")</f>
        <v>ROBO AGRAVADO POR EL USO DE ARMA DE FUEGO</v>
      </c>
      <c r="JE51" s="207" t="str">
        <f>IFERROR(INDEX($A$2:$A$113,MATCH(ROWS($FI$2:FI51),$FI$2:$FI$113,0)),"")</f>
        <v>ROBO AGRAVADO POR EL USO DE ARMA DE FUEGO</v>
      </c>
      <c r="JF51" s="207" t="str">
        <f>IFERROR(INDEX($A$2:$A$113,MATCH(ROWS($FJ$2:FJ51),$FJ$2:$FJ$113,0)),"")</f>
        <v>ROBO AGRAVADO POR EL USO DE ARMA DE FUEGO</v>
      </c>
      <c r="JG51" s="207" t="str">
        <f>IFERROR(INDEX($A$2:$A$113,MATCH(ROWS($FK$2:FK51),$FK$2:$FK$113,0)),"")</f>
        <v>ROBO AGRAVADO POR EL USO DE ARMA DE FUEGO</v>
      </c>
      <c r="JH51" s="207" t="str">
        <f>IFERROR(INDEX($A$2:$A$113,MATCH(ROWS($FL$2:FL51),$FL$2:$FL$113,0)),"")</f>
        <v>ROBO AGRAVADO POR EL USO DE ARMA DE FUEGO</v>
      </c>
      <c r="JI51" s="207" t="str">
        <f>IFERROR(INDEX($A$2:$A$113,MATCH(ROWS($FM$2:FM51),$FM$2:$FM$113,0)),"")</f>
        <v>ROBO AGRAVADO POR EL USO DE ARMA DE FUEGO</v>
      </c>
      <c r="JJ51" s="207" t="str">
        <f>IFERROR(INDEX($A$2:$A$113,MATCH(ROWS($FN$2:FN51),$FN$2:$FN$113,0)),"")</f>
        <v>ROBO AGRAVADO POR EL USO DE ARMA DE FUEGO</v>
      </c>
      <c r="JK51" s="207" t="str">
        <f>IFERROR(INDEX($A$2:$A$113,MATCH(ROWS($FO$2:FO51),$FO$2:$FO$113,0)),"")</f>
        <v>ROBO AGRAVADO POR EL USO DE ARMA DE FUEGO</v>
      </c>
      <c r="JL51" s="207" t="str">
        <f>IFERROR(INDEX($A$2:$A$113,MATCH(ROWS($FP$2:FP51),$FP$2:$FP$113,0)),"")</f>
        <v>ROBO AGRAVADO POR EL USO DE ARMA DE FUEGO</v>
      </c>
      <c r="JM51" s="207" t="str">
        <f>IFERROR(INDEX($A$2:$A$113,MATCH(ROWS($FQ$2:FQ51),$FQ$2:$FQ$113,0)),"")</f>
        <v>ROBO AGRAVADO POR EL USO DE ARMA DE FUEGO</v>
      </c>
      <c r="JN51" s="207" t="str">
        <f>IFERROR(INDEX($A$2:$A$113,MATCH(ROWS($FR$2:FR51),$FR$2:$FR$113,0)),"")</f>
        <v>ROBO AGRAVADO POR EL USO DE ARMA DE FUEGO</v>
      </c>
      <c r="JO51" s="207" t="str">
        <f>IFERROR(INDEX($A$2:$A$113,MATCH(ROWS($FS$2:FS51),$FS$2:$FS$113,0)),"")</f>
        <v>ROBO AGRAVADO POR EL USO DE ARMA DE FUEGO</v>
      </c>
      <c r="JP51" s="207" t="str">
        <f>IFERROR(INDEX($A$2:$A$113,MATCH(ROWS($FT$2:FT51),$FT$2:$FT$113,0)),"")</f>
        <v>ROBO AGRAVADO POR EL USO DE ARMA DE FUEGO</v>
      </c>
      <c r="JQ51" s="207" t="str">
        <f>IFERROR(INDEX($A$2:$A$113,MATCH(ROWS($FU$2:FU51),$FU$2:$FU$113,0)),"")</f>
        <v>ROBO AGRAVADO POR EL USO DE ARMA DE FUEGO</v>
      </c>
      <c r="JR51" s="207" t="str">
        <f>IFERROR(INDEX($A$2:$A$113,MATCH(ROWS($FV$2:FV51),$FV$2:$FV$113,0)),"")</f>
        <v>ROBO AGRAVADO POR EL USO DE ARMA DE FUEGO</v>
      </c>
      <c r="JS51" s="207" t="str">
        <f>IFERROR(INDEX($A$2:$A$113,MATCH(ROWS($FW$2:FW51),$FW$2:$FW$113,0)),"")</f>
        <v>ROBO AGRAVADO POR EL USO DE ARMA DE FUEGO</v>
      </c>
      <c r="JT51" s="207" t="str">
        <f>IFERROR(INDEX($A$2:$A$113,MATCH(ROWS($FX$2:FX51),$FX$2:$FX$113,0)),"")</f>
        <v>ROBO AGRAVADO POR EL USO DE ARMA DE FUEGO</v>
      </c>
      <c r="JU51" s="207" t="str">
        <f>IFERROR(INDEX($A$2:$A$113,MATCH(ROWS($FY$2:FY51),$FY$2:$FY$113,0)),"")</f>
        <v>ROBO AGRAVADO POR EL USO DE ARMA DE FUEGO</v>
      </c>
      <c r="JV51" s="207" t="str">
        <f>IFERROR(INDEX($A$2:$A$113,MATCH(ROWS($FZ$2:FZ51),$FZ$2:$FZ$113,0)),"")</f>
        <v>ROBO AGRAVADO POR EL USO DE ARMA DE FUEGO</v>
      </c>
      <c r="JW51" s="207" t="str">
        <f>IFERROR(INDEX($A$2:$A$113,MATCH(ROWS($GA$2:GA51),$GA$2:$GA$113,0)),"")</f>
        <v>ROBO AGRAVADO POR EL USO DE ARMA DE FUEGO</v>
      </c>
      <c r="JX51" s="207" t="str">
        <f>IFERROR(INDEX($A$2:$A$113,MATCH(ROWS($GB$2:GB51),$GB$2:$GB$113,0)),"")</f>
        <v>ROBO AGRAVADO POR EL USO DE ARMA DE FUEGO</v>
      </c>
      <c r="JY51" s="207" t="str">
        <f>IFERROR(INDEX($A$2:$A$113,MATCH(ROWS($GC$2:GC51),$GC$2:$GC$113,0)),"")</f>
        <v>ROBO AGRAVADO POR EL USO DE ARMA DE FUEGO</v>
      </c>
      <c r="JZ51" s="207" t="str">
        <f>IFERROR(INDEX($A$2:$A$113,MATCH(ROWS($GD$2:GD51),$GD$2:$GD$113,0)),"")</f>
        <v>ROBO AGRAVADO POR EL USO DE ARMA DE FUEGO</v>
      </c>
      <c r="KA51" s="207" t="str">
        <f>IFERROR(INDEX($A$2:$A$113,MATCH(ROWS($GE$2:GE51),$GE$2:$GE$113,0)),"")</f>
        <v>ROBO AGRAVADO POR EL USO DE ARMA DE FUEGO</v>
      </c>
      <c r="KB51" s="207" t="str">
        <f>IFERROR(INDEX($A$2:$A$113,MATCH(ROWS($GF$2:GF51),$GF$2:$GF$113,0)),"")</f>
        <v>ROBO AGRAVADO POR EL USO DE ARMA DE FUEGO</v>
      </c>
      <c r="KC51" s="207" t="str">
        <f>IFERROR(INDEX($A$2:$A$113,MATCH(ROWS($GG$2:GG51),$GG$2:$GG$113,0)),"")</f>
        <v>ROBO AGRAVADO POR EL USO DE ARMA DE FUEGO</v>
      </c>
      <c r="KD51" s="207" t="str">
        <f>IFERROR(INDEX($A$2:$A$113,MATCH(ROWS($GH$2:GH51),$GH$2:$GH$113,0)),"")</f>
        <v>ROBO AGRAVADO POR EL USO DE ARMA DE FUEGO</v>
      </c>
      <c r="KE51" s="207" t="str">
        <f>IFERROR(INDEX($A$2:$A$113,MATCH(ROWS($GI$2:GI51),$GI$2:$GI$113,0)),"")</f>
        <v>ROBO AGRAVADO POR EL USO DE ARMA DE FUEGO</v>
      </c>
      <c r="KF51" s="207" t="str">
        <f>IFERROR(INDEX($A$2:$A$113,MATCH(ROWS($GJ$2:GJ51),$GJ$2:$GJ$113,0)),"")</f>
        <v>ROBO AGRAVADO POR EL USO DE ARMA DE FUEGO</v>
      </c>
      <c r="KG51" s="207" t="str">
        <f>IFERROR(INDEX($A$2:$A$113,MATCH(ROWS($GK$2:GK51),$GK$2:$GK$113,0)),"")</f>
        <v>ROBO AGRAVADO POR EL USO DE ARMA DE FUEGO</v>
      </c>
      <c r="KH51" s="207" t="str">
        <f>IFERROR(INDEX($A$2:$A$113,MATCH(ROWS($GL$2:GL51),$GL$2:$GL$113,0)),"")</f>
        <v>ROBO AGRAVADO POR EL USO DE ARMA DE FUEGO</v>
      </c>
      <c r="KI51" s="207" t="str">
        <f>IFERROR(INDEX($A$2:$A$113,MATCH(ROWS($GM$2:GM51),$GM$2:$GM$113,0)),"")</f>
        <v>ROBO AGRAVADO POR EL USO DE ARMA DE FUEGO</v>
      </c>
      <c r="KJ51" s="207" t="str">
        <f>IFERROR(INDEX($A$2:$A$113,MATCH(ROWS($GN$2:GN51),$GN$2:$GN$113,0)),"")</f>
        <v>ROBO AGRAVADO POR EL USO DE ARMA DE FUEGO</v>
      </c>
      <c r="KK51" s="207" t="str">
        <f>IFERROR(INDEX($A$2:$A$113,MATCH(ROWS($GO$2:GO51),$GO$2:$GO$113,0)),"")</f>
        <v>ROBO AGRAVADO POR EL USO DE ARMA DE FUEGO</v>
      </c>
      <c r="KL51" s="207" t="str">
        <f>IFERROR(INDEX($A$2:$A$113,MATCH(ROWS($GP$2:GP51),$GP$2:$GP$113,0)),"")</f>
        <v>ROBO AGRAVADO POR EL USO DE ARMA DE FUEGO</v>
      </c>
      <c r="KM51" s="207" t="str">
        <f>IFERROR(INDEX($A$2:$A$113,MATCH(ROWS($GQ$2:GQ51),$GQ$2:$GQ$113,0)),"")</f>
        <v>ROBO AGRAVADO POR EL USO DE ARMA DE FUEGO</v>
      </c>
      <c r="KN51" s="207" t="str">
        <f>IFERROR(INDEX($A$2:$A$113,MATCH(ROWS($GR$2:GR51),$GR$2:$GR$113,0)),"")</f>
        <v>ROBO AGRAVADO POR EL USO DE ARMA DE FUEGO</v>
      </c>
      <c r="KO51" s="207" t="str">
        <f>IFERROR(INDEX($A$2:$A$113,MATCH(ROWS($GS$2:GS51),$GS$2:$GS$113,0)),"")</f>
        <v>ROBO AGRAVADO POR EL USO DE ARMA DE FUEGO</v>
      </c>
      <c r="KP51" s="207" t="str">
        <f>IFERROR(INDEX($A$2:$A$113,MATCH(ROWS($GT$2:GT51),$GT$2:$GT$113,0)),"")</f>
        <v>ROBO AGRAVADO POR EL USO DE ARMA DE FUEGO</v>
      </c>
      <c r="KQ51" s="207" t="str">
        <f>IFERROR(INDEX($A$2:$A$113,MATCH(ROWS($GU$2:GU51),$GU$2:$GU$113,0)),"")</f>
        <v>ROBO AGRAVADO POR EL USO DE ARMA DE FUEGO</v>
      </c>
      <c r="KR51" s="207" t="str">
        <f>IFERROR(INDEX($A$2:$A$113,MATCH(ROWS($GV$2:GV51),$GV$2:$GV$113,0)),"")</f>
        <v>ROBO AGRAVADO POR EL USO DE ARMA DE FUEGO</v>
      </c>
      <c r="KS51" s="207" t="str">
        <f>IFERROR(INDEX($A$2:$A$113,MATCH(ROWS($GW$2:GW51),$GW$2:$GW$113,0)),"")</f>
        <v>ROBO AGRAVADO POR EL USO DE ARMA DE FUEGO</v>
      </c>
    </row>
    <row r="52" spans="1:305" x14ac:dyDescent="0.25">
      <c r="A52" s="206" t="s">
        <v>92</v>
      </c>
      <c r="B52" s="206">
        <v>15</v>
      </c>
      <c r="C52" s="206" t="s">
        <v>89</v>
      </c>
      <c r="D52" s="206" t="s">
        <v>47</v>
      </c>
      <c r="E52" s="206" t="s">
        <v>510</v>
      </c>
      <c r="F52" s="207">
        <f>--ISNUMBER(IFERROR(SEARCH('PLANILLA DJ'!$X$3,$A52,1),""))</f>
        <v>1</v>
      </c>
      <c r="G52" s="207">
        <f>--ISNUMBER(IFERROR(SEARCH('PLANILLA DJ'!$X$4,$A52,1),""))</f>
        <v>1</v>
      </c>
      <c r="H52" s="207">
        <f>--ISNUMBER(IFERROR(SEARCH('PLANILLA DJ'!$X$5,$A52,1),""))</f>
        <v>1</v>
      </c>
      <c r="I52" s="207">
        <f>--ISNUMBER(IFERROR(SEARCH('PLANILLA DJ'!$X$6,$A52,1),""))</f>
        <v>1</v>
      </c>
      <c r="J52" s="207">
        <f>--ISNUMBER(IFERROR(SEARCH('PLANILLA DJ'!$X$7,$A52,1),""))</f>
        <v>1</v>
      </c>
      <c r="K52" s="207">
        <f>--ISNUMBER(IFERROR(SEARCH('PLANILLA DJ'!$X$8,$A52,1),""))</f>
        <v>1</v>
      </c>
      <c r="L52" s="207">
        <f>--ISNUMBER(IFERROR(SEARCH('PLANILLA DJ'!$X$9,$A52,1),""))</f>
        <v>1</v>
      </c>
      <c r="M52" s="207">
        <f>--ISNUMBER(IFERROR(SEARCH('PLANILLA DJ'!$X$10,$A52,1),""))</f>
        <v>1</v>
      </c>
      <c r="N52" s="207">
        <f>--ISNUMBER(IFERROR(SEARCH('PLANILLA DJ'!$X$11,$A52,1),""))</f>
        <v>1</v>
      </c>
      <c r="O52" s="207">
        <f>--ISNUMBER(IFERROR(SEARCH('PLANILLA DJ'!$X$12,$A52,1),""))</f>
        <v>1</v>
      </c>
      <c r="P52" s="207">
        <f>--ISNUMBER(IFERROR(SEARCH('PLANILLA DJ'!$X$13,$A52,1),""))</f>
        <v>1</v>
      </c>
      <c r="Q52" s="207">
        <f>--ISNUMBER(IFERROR(SEARCH('PLANILLA DJ'!$X$14,$A52,1),""))</f>
        <v>1</v>
      </c>
      <c r="R52" s="207">
        <f>--ISNUMBER(IFERROR(SEARCH('PLANILLA DJ'!$X$15,$A52,1),""))</f>
        <v>1</v>
      </c>
      <c r="S52" s="207">
        <f>--ISNUMBER(IFERROR(SEARCH('PLANILLA DJ'!$X$16,$A52,1),""))</f>
        <v>1</v>
      </c>
      <c r="T52" s="207">
        <f>--ISNUMBER(IFERROR(SEARCH('PLANILLA DJ'!$X$17,$A52,1),""))</f>
        <v>1</v>
      </c>
      <c r="U52" s="207">
        <f>--ISNUMBER(IFERROR(SEARCH('PLANILLA DJ'!$X$18,$A52,1),""))</f>
        <v>1</v>
      </c>
      <c r="V52" s="207">
        <f>--ISNUMBER(IFERROR(SEARCH('PLANILLA DJ'!$X$19,$A52,1),""))</f>
        <v>1</v>
      </c>
      <c r="W52" s="207">
        <f>--ISNUMBER(IFERROR(SEARCH('PLANILLA DJ'!$X$20,$A52,1),""))</f>
        <v>1</v>
      </c>
      <c r="X52" s="207">
        <f>--ISNUMBER(IFERROR(SEARCH('PLANILLA DJ'!$X$21,$A52,1),""))</f>
        <v>1</v>
      </c>
      <c r="Y52" s="207">
        <f>--ISNUMBER(IFERROR(SEARCH('PLANILLA DJ'!$X$22,$A52,1),""))</f>
        <v>1</v>
      </c>
      <c r="Z52" s="207">
        <f>--ISNUMBER(IFERROR(SEARCH('PLANILLA DJ'!$X$23,$A52,1),""))</f>
        <v>1</v>
      </c>
      <c r="AA52" s="207">
        <f>--ISNUMBER(IFERROR(SEARCH('PLANILLA DJ'!$X$24,$A52,1),""))</f>
        <v>1</v>
      </c>
      <c r="AB52" s="207">
        <f>--ISNUMBER(IFERROR(SEARCH('PLANILLA DJ'!$X$25,$A52,1),""))</f>
        <v>1</v>
      </c>
      <c r="AC52" s="207">
        <f>--ISNUMBER(IFERROR(SEARCH('PLANILLA DJ'!$X$26,$A52,1),""))</f>
        <v>1</v>
      </c>
      <c r="AD52" s="207">
        <f>--ISNUMBER(IFERROR(SEARCH('PLANILLA DJ'!$X$27,$A52,1),""))</f>
        <v>1</v>
      </c>
      <c r="AE52" s="207">
        <f>--ISNUMBER(IFERROR(SEARCH('PLANILLA DJ'!$X$28,$A52,1),""))</f>
        <v>1</v>
      </c>
      <c r="AF52" s="207">
        <f>--ISNUMBER(IFERROR(SEARCH('PLANILLA DJ'!$X$29,$A52,1),""))</f>
        <v>1</v>
      </c>
      <c r="AG52" s="207">
        <f>--ISNUMBER(IFERROR(SEARCH('PLANILLA DJ'!$X$30,$A52,1),""))</f>
        <v>1</v>
      </c>
      <c r="AH52" s="207">
        <f>--ISNUMBER(IFERROR(SEARCH('PLANILLA DJ'!$X$31,$A52,1),""))</f>
        <v>1</v>
      </c>
      <c r="AI52" s="207">
        <f>--ISNUMBER(IFERROR(SEARCH('PLANILLA DJ'!$X$32,$A52,1),""))</f>
        <v>1</v>
      </c>
      <c r="AJ52" s="207">
        <f>--ISNUMBER(IFERROR(SEARCH('PLANILLA DJ'!$X$33,$A52,1),""))</f>
        <v>1</v>
      </c>
      <c r="AK52" s="207">
        <f>--ISNUMBER(IFERROR(SEARCH('PLANILLA DJ'!$X$34,$A52,1),""))</f>
        <v>1</v>
      </c>
      <c r="AL52" s="207">
        <f>--ISNUMBER(IFERROR(SEARCH('PLANILLA DJ'!$X$35,$A52,1),""))</f>
        <v>1</v>
      </c>
      <c r="AM52" s="207">
        <f>--ISNUMBER(IFERROR(SEARCH('PLANILLA DJ'!$X$36,$A52,1),""))</f>
        <v>1</v>
      </c>
      <c r="AN52" s="207">
        <f>--ISNUMBER(IFERROR(SEARCH('PLANILLA DJ'!$X$37,$A52,1),""))</f>
        <v>1</v>
      </c>
      <c r="AO52" s="207">
        <f>--ISNUMBER(IFERROR(SEARCH('PLANILLA DJ'!$X$38,$A52,1),""))</f>
        <v>1</v>
      </c>
      <c r="AP52" s="207">
        <f>--ISNUMBER(IFERROR(SEARCH('PLANILLA DJ'!$X$39,$A52,1),""))</f>
        <v>1</v>
      </c>
      <c r="AQ52" s="207">
        <f>--ISNUMBER(IFERROR(SEARCH('PLANILLA DJ'!$X$40,$A52,1),""))</f>
        <v>1</v>
      </c>
      <c r="AR52" s="207">
        <f>--ISNUMBER(IFERROR(SEARCH('PLANILLA DJ'!$X$41,$A52,1),""))</f>
        <v>1</v>
      </c>
      <c r="AS52" s="207">
        <f>--ISNUMBER(IFERROR(SEARCH('PLANILLA DJ'!$X$42,$A52,1),""))</f>
        <v>1</v>
      </c>
      <c r="AT52" s="207">
        <f>--ISNUMBER(IFERROR(SEARCH('PLANILLA DJ'!$X$43,$A52,1),""))</f>
        <v>1</v>
      </c>
      <c r="AU52" s="207">
        <f>--ISNUMBER(IFERROR(SEARCH('PLANILLA DJ'!$X$44,$A52,1),""))</f>
        <v>1</v>
      </c>
      <c r="AV52" s="207">
        <f>--ISNUMBER(IFERROR(SEARCH('PLANILLA DJ'!$X$45,$A52,1),""))</f>
        <v>1</v>
      </c>
      <c r="AW52" s="207">
        <f>--ISNUMBER(IFERROR(SEARCH('PLANILLA DJ'!$X$46,$A52,1),""))</f>
        <v>1</v>
      </c>
      <c r="AX52" s="207">
        <f>--ISNUMBER(IFERROR(SEARCH('PLANILLA DJ'!$X$47,$A52,1),""))</f>
        <v>1</v>
      </c>
      <c r="AY52" s="207">
        <f>--ISNUMBER(IFERROR(SEARCH('PLANILLA DJ'!$X$48,$A52,1),""))</f>
        <v>1</v>
      </c>
      <c r="AZ52" s="207">
        <f>--ISNUMBER(IFERROR(SEARCH('PLANILLA DJ'!$X$49,$A52,1),""))</f>
        <v>1</v>
      </c>
      <c r="BA52" s="207">
        <f>--ISNUMBER(IFERROR(SEARCH('PLANILLA DJ'!$X$50,$A52,1),""))</f>
        <v>1</v>
      </c>
      <c r="BB52" s="207">
        <f>--ISNUMBER(IFERROR(SEARCH('PLANILLA DJ'!$X$51,$A52,1),""))</f>
        <v>1</v>
      </c>
      <c r="BC52" s="207">
        <f>--ISNUMBER(IFERROR(SEARCH('PLANILLA DJ'!$X$52,$A52,1),""))</f>
        <v>1</v>
      </c>
      <c r="BD52" s="207">
        <f>--ISNUMBER(IFERROR(SEARCH('PLANILLA DJ'!$X$53,$A52,1),""))</f>
        <v>1</v>
      </c>
      <c r="BE52" s="207">
        <f>--ISNUMBER(IFERROR(SEARCH('PLANILLA DJ'!$X$54,$A52,1),""))</f>
        <v>1</v>
      </c>
      <c r="BF52" s="207">
        <f>--ISNUMBER(IFERROR(SEARCH('PLANILLA DJ'!$X$55,$A52,1),""))</f>
        <v>1</v>
      </c>
      <c r="BG52" s="207">
        <f>--ISNUMBER(IFERROR(SEARCH('PLANILLA DJ'!$X$56,$A52,1),""))</f>
        <v>1</v>
      </c>
      <c r="BH52" s="207">
        <f>--ISNUMBER(IFERROR(SEARCH('PLANILLA DJ'!$X$57,$A52,1),""))</f>
        <v>1</v>
      </c>
      <c r="BI52" s="207">
        <f>--ISNUMBER(IFERROR(SEARCH('PLANILLA DJ'!$X$58,$A52,1),""))</f>
        <v>1</v>
      </c>
      <c r="BJ52" s="207">
        <f>--ISNUMBER(IFERROR(SEARCH('PLANILLA DJ'!$X$59,$A52,1),""))</f>
        <v>1</v>
      </c>
      <c r="BK52" s="207">
        <f>--ISNUMBER(IFERROR(SEARCH('PLANILLA DJ'!$X$60,$A52,1),""))</f>
        <v>1</v>
      </c>
      <c r="BL52" s="207">
        <f>--ISNUMBER(IFERROR(SEARCH('PLANILLA DJ'!$X$61,$A52,1),""))</f>
        <v>1</v>
      </c>
      <c r="BM52" s="207">
        <f>--ISNUMBER(IFERROR(SEARCH('PLANILLA DJ'!$X$62,$A52,1),""))</f>
        <v>1</v>
      </c>
      <c r="BN52" s="207">
        <f>--ISNUMBER(IFERROR(SEARCH('PLANILLA DJ'!$X$63,$A52,1),""))</f>
        <v>1</v>
      </c>
      <c r="BO52" s="207">
        <f>--ISNUMBER(IFERROR(SEARCH('PLANILLA DJ'!$X$64,$A52,1),""))</f>
        <v>1</v>
      </c>
      <c r="BP52" s="207">
        <f>--ISNUMBER(IFERROR(SEARCH('PLANILLA DJ'!$X$65,$A52,1),""))</f>
        <v>1</v>
      </c>
      <c r="BQ52" s="207">
        <f>--ISNUMBER(IFERROR(SEARCH('PLANILLA DJ'!$X$66,$A52,1),""))</f>
        <v>1</v>
      </c>
      <c r="BR52" s="207">
        <f>--ISNUMBER(IFERROR(SEARCH('PLANILLA DJ'!$X$67,$A52,1),""))</f>
        <v>1</v>
      </c>
      <c r="BS52" s="207">
        <f>--ISNUMBER(IFERROR(SEARCH('PLANILLA DJ'!$X$68,$A52,1),""))</f>
        <v>1</v>
      </c>
      <c r="BT52" s="207">
        <f>--ISNUMBER(IFERROR(SEARCH('PLANILLA DJ'!$X$69,$A52,1),""))</f>
        <v>1</v>
      </c>
      <c r="BU52" s="207">
        <f>--ISNUMBER(IFERROR(SEARCH('PLANILLA DJ'!$X$70,$A52,1),""))</f>
        <v>1</v>
      </c>
      <c r="BV52" s="207">
        <f>--ISNUMBER(IFERROR(SEARCH('PLANILLA DJ'!$X$71,$A52,1),""))</f>
        <v>1</v>
      </c>
      <c r="BW52" s="207">
        <f>--ISNUMBER(IFERROR(SEARCH('PLANILLA DJ'!$X$72,$A52,1),""))</f>
        <v>1</v>
      </c>
      <c r="BX52" s="207">
        <f>--ISNUMBER(IFERROR(SEARCH('PLANILLA DJ'!$X$73,$A52,1),""))</f>
        <v>1</v>
      </c>
      <c r="BY52" s="207">
        <f>--ISNUMBER(IFERROR(SEARCH('PLANILLA DJ'!$X$74,$A52,1),""))</f>
        <v>1</v>
      </c>
      <c r="BZ52" s="207">
        <f>--ISNUMBER(IFERROR(SEARCH('PLANILLA DJ'!$X$75,$A52,1),""))</f>
        <v>1</v>
      </c>
      <c r="CA52" s="207">
        <f>--ISNUMBER(IFERROR(SEARCH('PLANILLA DJ'!$X$76,$A52,1),""))</f>
        <v>1</v>
      </c>
      <c r="CB52" s="207">
        <f>--ISNUMBER(IFERROR(SEARCH('PLANILLA DJ'!$X$77,$A52,1),""))</f>
        <v>1</v>
      </c>
      <c r="CC52" s="207">
        <f>--ISNUMBER(IFERROR(SEARCH('PLANILLA DJ'!$X$78,$A52,1),""))</f>
        <v>1</v>
      </c>
      <c r="CD52" s="207">
        <f>--ISNUMBER(IFERROR(SEARCH('PLANILLA DJ'!$X$79,$A52,1),""))</f>
        <v>1</v>
      </c>
      <c r="CE52" s="207">
        <f>--ISNUMBER(IFERROR(SEARCH('PLANILLA DJ'!$X$80,$A52,1),""))</f>
        <v>1</v>
      </c>
      <c r="CF52" s="207">
        <f>--ISNUMBER(IFERROR(SEARCH('PLANILLA DJ'!$X$81,$A52,1),""))</f>
        <v>1</v>
      </c>
      <c r="CG52" s="207">
        <f>--ISNUMBER(IFERROR(SEARCH('PLANILLA DJ'!$X$82,$A52,1),""))</f>
        <v>1</v>
      </c>
      <c r="CH52" s="207">
        <f>--ISNUMBER(IFERROR(SEARCH('PLANILLA DJ'!$X$83,$A52,1),""))</f>
        <v>1</v>
      </c>
      <c r="CI52" s="207">
        <f>--ISNUMBER(IFERROR(SEARCH('PLANILLA DJ'!$X$84,$A52,1),""))</f>
        <v>1</v>
      </c>
      <c r="CJ52" s="207">
        <f>--ISNUMBER(IFERROR(SEARCH('PLANILLA DJ'!$X$85,$A52,1),""))</f>
        <v>1</v>
      </c>
      <c r="CK52" s="207">
        <f>--ISNUMBER(IFERROR(SEARCH('PLANILLA DJ'!$X$86,$A52,1),""))</f>
        <v>1</v>
      </c>
      <c r="CL52" s="207">
        <f>--ISNUMBER(IFERROR(SEARCH('PLANILLA DJ'!$X$87,$A52,1),""))</f>
        <v>1</v>
      </c>
      <c r="CM52" s="207">
        <f>--ISNUMBER(IFERROR(SEARCH('PLANILLA DJ'!$X$88,$A52,1),""))</f>
        <v>1</v>
      </c>
      <c r="CN52" s="207">
        <f>--ISNUMBER(IFERROR(SEARCH('PLANILLA DJ'!$X$89,$A52,1),""))</f>
        <v>1</v>
      </c>
      <c r="CO52" s="207">
        <f>--ISNUMBER(IFERROR(SEARCH('PLANILLA DJ'!$X$90,$A52,1),""))</f>
        <v>1</v>
      </c>
      <c r="CP52" s="207">
        <f>--ISNUMBER(IFERROR(SEARCH('PLANILLA DJ'!$X$91,$A52,1),""))</f>
        <v>1</v>
      </c>
      <c r="CQ52" s="207">
        <f>--ISNUMBER(IFERROR(SEARCH('PLANILLA DJ'!$X$92,$A52,1),""))</f>
        <v>1</v>
      </c>
      <c r="CR52" s="207">
        <f>--ISNUMBER(IFERROR(SEARCH('PLANILLA DJ'!$X$93,$A52,1),""))</f>
        <v>1</v>
      </c>
      <c r="CS52" s="207">
        <f>--ISNUMBER(IFERROR(SEARCH('PLANILLA DJ'!$X$94,$A52,1),""))</f>
        <v>1</v>
      </c>
      <c r="CT52" s="207">
        <f>--ISNUMBER(IFERROR(SEARCH('PLANILLA DJ'!$X$95,$A52,1),""))</f>
        <v>1</v>
      </c>
      <c r="CU52" s="207">
        <f>--ISNUMBER(IFERROR(SEARCH('PLANILLA DJ'!$X$96,$A52,1),""))</f>
        <v>1</v>
      </c>
      <c r="CV52" s="207">
        <f>--ISNUMBER(IFERROR(SEARCH('PLANILLA DJ'!$X$97,$A52,1),""))</f>
        <v>1</v>
      </c>
      <c r="CW52" s="207">
        <f>--ISNUMBER(IFERROR(SEARCH('PLANILLA DJ'!$X$98,$A52,1),""))</f>
        <v>1</v>
      </c>
      <c r="CX52" s="207">
        <f>--ISNUMBER(IFERROR(SEARCH('PLANILLA DJ'!$X$99,$A52,1),""))</f>
        <v>1</v>
      </c>
      <c r="CY52" s="207">
        <f>--ISNUMBER(IFERROR(SEARCH('PLANILLA DJ'!$X$100,$A52,1),""))</f>
        <v>1</v>
      </c>
      <c r="CZ52" s="207">
        <f>--ISNUMBER(IFERROR(SEARCH('PLANILLA DJ'!$X$101,$A52,1),""))</f>
        <v>1</v>
      </c>
      <c r="DA52" s="207">
        <f>--ISNUMBER(IFERROR(SEARCH('PLANILLA DJ'!$X$102,$A52,1),""))</f>
        <v>1</v>
      </c>
      <c r="DB52" s="206">
        <f>IF(F52=1,COUNTIF($F$2:F52,1),"")</f>
        <v>51</v>
      </c>
      <c r="DC52" s="206">
        <f>IF(G52=1,COUNTIF($G$2:G52,1),"")</f>
        <v>51</v>
      </c>
      <c r="DD52" s="206">
        <f>IF(H52=1,COUNTIF($H$2:H52,1),"")</f>
        <v>51</v>
      </c>
      <c r="DE52" s="206">
        <f>IF(I52=1,COUNTIF($I$2:I52,1),"")</f>
        <v>51</v>
      </c>
      <c r="DF52" s="206">
        <f>IF(J52=1,COUNTIF($J$2:J52,1),"")</f>
        <v>51</v>
      </c>
      <c r="DG52" s="206">
        <f>IF(K52=1,COUNTIF($K$2:K52,1),"")</f>
        <v>51</v>
      </c>
      <c r="DH52" s="206">
        <f>IF(L52=1,COUNTIF($L$2:L52,1),"")</f>
        <v>51</v>
      </c>
      <c r="DI52" s="206">
        <f>IF(M52=1,COUNTIF($M$2:M52,1),"")</f>
        <v>51</v>
      </c>
      <c r="DJ52" s="206">
        <f>IF(N52=1,COUNTIF($N$2:N52,1),"")</f>
        <v>51</v>
      </c>
      <c r="DK52" s="206">
        <f>IF(O52=1,COUNTIF($O$2:O52,1),"")</f>
        <v>51</v>
      </c>
      <c r="DL52" s="206">
        <f>IF(P52=1,COUNTIF($P$2:P52,1),"")</f>
        <v>51</v>
      </c>
      <c r="DM52" s="206">
        <f>IF(Q52=1,COUNTIF($Q$2:Q52,1),"")</f>
        <v>51</v>
      </c>
      <c r="DN52" s="207">
        <f>IF(R52=1,COUNTIF($R$2:R52,1),"")</f>
        <v>51</v>
      </c>
      <c r="DO52" s="207">
        <f>IF(S52=1,COUNTIF($S$2:S52,1),"")</f>
        <v>51</v>
      </c>
      <c r="DP52" s="207">
        <f>IF(T52=1,COUNTIF($T$2:T52,1),"")</f>
        <v>51</v>
      </c>
      <c r="DQ52" s="207">
        <f>IF(U52=1,COUNTIF($U$2:U52,1),"")</f>
        <v>51</v>
      </c>
      <c r="DR52" s="207">
        <f>IF(V52=1,COUNTIF($V$2:V52,1),"")</f>
        <v>51</v>
      </c>
      <c r="DS52" s="207">
        <f>IF(W52=1,COUNTIF($W$2:W52,1),"")</f>
        <v>51</v>
      </c>
      <c r="DT52" s="207">
        <f>IF(X52=1,COUNTIF($X$2:X52,1),"")</f>
        <v>51</v>
      </c>
      <c r="DU52" s="207">
        <f>IF(Y52=1,COUNTIF($Y$2:Y52,1),"")</f>
        <v>51</v>
      </c>
      <c r="DV52" s="207">
        <f>IF(Z52=1,COUNTIF(Z$2:Z52,1),"")</f>
        <v>51</v>
      </c>
      <c r="DW52" s="207">
        <f>IF(AA52=1,COUNTIF($AA$2:AA52,1),"")</f>
        <v>51</v>
      </c>
      <c r="DX52" s="207">
        <f>IF(AB52=1,COUNTIF($AB$2:AB52,1),"")</f>
        <v>51</v>
      </c>
      <c r="DY52" s="207">
        <f>IF(AC52=1,COUNTIF($AC$2:AC52,1),"")</f>
        <v>51</v>
      </c>
      <c r="DZ52" s="207">
        <f>IF(AD52=1,COUNTIF($AD$2:AD52,1),"")</f>
        <v>51</v>
      </c>
      <c r="EA52" s="207">
        <f>IF(AE52=1,COUNTIF($AE$2:AE52,1),"")</f>
        <v>51</v>
      </c>
      <c r="EB52" s="207">
        <f>IF(AF52=1,COUNTIF($AF$2:AF52,1),"")</f>
        <v>51</v>
      </c>
      <c r="EC52" s="207">
        <f>IF(AG52=1,COUNTIF($AG$2:AG52,1),"")</f>
        <v>51</v>
      </c>
      <c r="ED52" s="207">
        <f>IF(AH52=1,COUNTIF($AH$2:AH52,1),"")</f>
        <v>51</v>
      </c>
      <c r="EE52" s="207">
        <f>IF(AI52=1,COUNTIF($AI$2:AI52,1),"")</f>
        <v>51</v>
      </c>
      <c r="EF52" s="207">
        <f>IF(AJ52=1,COUNTIF($AJ$2:AJ52,1),"")</f>
        <v>51</v>
      </c>
      <c r="EG52" s="207">
        <f>IF(AK52=1,COUNTIF($AK$2:AK52,1),"")</f>
        <v>51</v>
      </c>
      <c r="EH52" s="207">
        <f>IF(AL52=1,COUNTIF($AL$2:AL52,1),"")</f>
        <v>51</v>
      </c>
      <c r="EI52" s="207">
        <f>IF(AM52=1,COUNTIF($AM$2:AM52,1),"")</f>
        <v>51</v>
      </c>
      <c r="EJ52" s="207">
        <f>IF(AN52=1,COUNTIF($AN$2:AN52,1),"")</f>
        <v>51</v>
      </c>
      <c r="EK52" s="207">
        <f>IF(AO52=1,COUNTIF($AO$2:AO52,1),"")</f>
        <v>51</v>
      </c>
      <c r="EL52" s="207">
        <f>IF(AP52=1,COUNTIF($AP$2:AP52,1),"")</f>
        <v>51</v>
      </c>
      <c r="EM52" s="207">
        <f>IF(AQ52=1,COUNTIF($AQ$2:AQ52,1),"")</f>
        <v>51</v>
      </c>
      <c r="EN52" s="207">
        <f>IF(AR52=1,COUNTIF($AR$2:AR52,1),"")</f>
        <v>51</v>
      </c>
      <c r="EO52" s="207">
        <f>IF(AS52=1,COUNTIF($AS$2:AS52,1),"")</f>
        <v>51</v>
      </c>
      <c r="EP52" s="207">
        <f>IF(AT52=1,COUNTIF($AT$2:AT52,1),"")</f>
        <v>51</v>
      </c>
      <c r="EQ52" s="207">
        <f>IF(AU52=1,COUNTIF($AU$2:AU52,1),"")</f>
        <v>51</v>
      </c>
      <c r="ER52" s="207">
        <f>IF(AV52=1,COUNTIF($AV$2:AV52,1),"")</f>
        <v>51</v>
      </c>
      <c r="ES52" s="207">
        <f>IF(AW52=1,COUNTIF($AW$2:AW52,1),"")</f>
        <v>51</v>
      </c>
      <c r="ET52" s="207">
        <f>IF(AX52=1,COUNTIF($AX$2:AX52,1),"")</f>
        <v>51</v>
      </c>
      <c r="EU52" s="207">
        <f>IF(AY52=1,COUNTIF($AY$2:AY52,1),"")</f>
        <v>51</v>
      </c>
      <c r="EV52" s="207">
        <f>IF(AZ52=1,COUNTIF($AZ$2:AZ52,1),"")</f>
        <v>51</v>
      </c>
      <c r="EW52" s="207">
        <f>IF(BA52=1,COUNTIF($BA$2:BA52,1),"")</f>
        <v>51</v>
      </c>
      <c r="EX52" s="207">
        <f>IF(BB52=1,COUNTIF($BB$2:BB52,1),"")</f>
        <v>51</v>
      </c>
      <c r="EY52" s="207">
        <f>IF(BC52=1,COUNTIF($BC$2:BC52,1),"")</f>
        <v>51</v>
      </c>
      <c r="EZ52" s="207">
        <f>IF(BD52=1,COUNTIF($BD$2:BD52,1),"")</f>
        <v>51</v>
      </c>
      <c r="FA52" s="207">
        <f>IF(BE52=1,COUNTIF($BE$2:BE52,1),"")</f>
        <v>51</v>
      </c>
      <c r="FB52" s="207">
        <f>IF(BF52=1,COUNTIF($BF$2:BF52,1),"")</f>
        <v>51</v>
      </c>
      <c r="FC52" s="207">
        <f>IF(BG52=1,COUNTIF($BG$2:BG52,1),"")</f>
        <v>51</v>
      </c>
      <c r="FD52" s="207">
        <f>IF(BH52=1,COUNTIF($BH$2:BH52,1),"")</f>
        <v>51</v>
      </c>
      <c r="FE52" s="207">
        <f>IF(BI52=1,COUNTIF($BI$2:BI52,1),"")</f>
        <v>51</v>
      </c>
      <c r="FF52" s="207">
        <f>IF(BJ52=1,COUNTIF($BJ$2:BJ52,1),"")</f>
        <v>51</v>
      </c>
      <c r="FG52" s="207">
        <f>IF(BK52=1,COUNTIF($BK$2:BK52,1),"")</f>
        <v>51</v>
      </c>
      <c r="FH52" s="207">
        <f>IF(BL52=1,COUNTIF($BL$2:BL52,1),"")</f>
        <v>51</v>
      </c>
      <c r="FI52" s="207">
        <f>IF(BM52=1,COUNTIF($BM$2:BM52,1),"")</f>
        <v>51</v>
      </c>
      <c r="FJ52" s="207">
        <f>IF(BN52=1,COUNTIF($BN$2:BN52,1),"")</f>
        <v>51</v>
      </c>
      <c r="FK52" s="207">
        <f>IF(BO52=1,COUNTIF($BO$2:BO52,1),"")</f>
        <v>51</v>
      </c>
      <c r="FL52" s="207">
        <f>IF(BP52=1,COUNTIF($BP$2:BP52,1),"")</f>
        <v>51</v>
      </c>
      <c r="FM52" s="207">
        <f>IF(BQ52=1,COUNTIF($BQ$2:BQ52,1),"")</f>
        <v>51</v>
      </c>
      <c r="FN52" s="207">
        <f>IF(BR52=1,COUNTIF($BR$2:BR52,1),"")</f>
        <v>51</v>
      </c>
      <c r="FO52" s="207">
        <f>IF(BS52=1,COUNTIF($BS$2:BS52,1),"")</f>
        <v>51</v>
      </c>
      <c r="FP52" s="207">
        <f>IF(BT52=1,COUNTIF($BT$2:BT52,1),"")</f>
        <v>51</v>
      </c>
      <c r="FQ52" s="207">
        <f>IF(BU52=1,COUNTIF($BU$2:BU52,1),"")</f>
        <v>51</v>
      </c>
      <c r="FR52" s="207">
        <f>IF(BV52=1,COUNTIF($BV$2:BV52,1),"")</f>
        <v>51</v>
      </c>
      <c r="FS52" s="207">
        <f>IF(BW52=1,COUNTIF($BW$2:BW52,1),"")</f>
        <v>51</v>
      </c>
      <c r="FT52" s="207">
        <f>IF(BX52=1,COUNTIF($BX$2:BX52,1),"")</f>
        <v>51</v>
      </c>
      <c r="FU52" s="207">
        <f>IF(BY52=1,COUNTIF($BY$2:BY52,1),"")</f>
        <v>51</v>
      </c>
      <c r="FV52" s="207">
        <f>IF(BZ52=1,COUNTIF($BZ$2:BZ52,1),"")</f>
        <v>51</v>
      </c>
      <c r="FW52" s="207">
        <f>IF(CA52=1,COUNTIF($CA$2:CA52,1),"")</f>
        <v>51</v>
      </c>
      <c r="FX52" s="207">
        <f>IF(CB52=1,COUNTIF($CB$2:CB52,1),"")</f>
        <v>51</v>
      </c>
      <c r="FY52" s="207">
        <f>IF(CC52=1,COUNTIF($CC$2:CC52,1),"")</f>
        <v>51</v>
      </c>
      <c r="FZ52" s="207">
        <f>IF(CD52=1,COUNTIF($CD$2:CD52,1),"")</f>
        <v>51</v>
      </c>
      <c r="GA52" s="207">
        <f>IF(CE52=1,COUNTIF($CE$2:CE52,1),"")</f>
        <v>51</v>
      </c>
      <c r="GB52" s="207">
        <f>IF(CF52=1,COUNTIF($CF$2:CF52,1),"")</f>
        <v>51</v>
      </c>
      <c r="GC52" s="207">
        <f>IF(CG52=1,COUNTIF($CG$2:CG52,1),"")</f>
        <v>51</v>
      </c>
      <c r="GD52" s="207">
        <f>IF(CH52=1,COUNTIF($CH$2:CH52,1),"")</f>
        <v>51</v>
      </c>
      <c r="GE52" s="207">
        <f>IF(CI52=1,COUNTIF($CI$2:CI52,1),"")</f>
        <v>51</v>
      </c>
      <c r="GF52" s="207">
        <f>IF(CJ52=1,COUNTIF($CJ$2:CJ52,1),"")</f>
        <v>51</v>
      </c>
      <c r="GG52" s="207">
        <f>IF(CK52=1,COUNTIF($CK$2:CK52,1),"")</f>
        <v>51</v>
      </c>
      <c r="GH52" s="207">
        <f>IF(CL52=1,COUNTIF($CL$2:CL52,1),"")</f>
        <v>51</v>
      </c>
      <c r="GI52" s="207">
        <f>IF(CM52=1,COUNTIF($CM$2:CM52,1),"")</f>
        <v>51</v>
      </c>
      <c r="GJ52" s="207">
        <f>IF(CN52=1,COUNTIF($CN$2:CN52,1),"")</f>
        <v>51</v>
      </c>
      <c r="GK52" s="207">
        <f>IF(CO52=1,COUNTIF($CO$2:CO52,1),"")</f>
        <v>51</v>
      </c>
      <c r="GL52" s="207">
        <f>IF(CP52=1,COUNTIF($CP$2:CP52,1),"")</f>
        <v>51</v>
      </c>
      <c r="GM52" s="207">
        <f>IF(CQ52=1,COUNTIF($CQ$2:CQ52,1),"")</f>
        <v>51</v>
      </c>
      <c r="GN52" s="207">
        <f>IF(CR52=1,COUNTIF($CR$2:CR52,1),"")</f>
        <v>51</v>
      </c>
      <c r="GO52" s="207">
        <f>IF(CS52=1,COUNTIF($CS$2:CS52,1),"")</f>
        <v>51</v>
      </c>
      <c r="GP52" s="207">
        <f>IF(CT52=1,COUNTIF($CT$2:CT52,1),"")</f>
        <v>51</v>
      </c>
      <c r="GQ52" s="207">
        <f>IF(CU52=1,COUNTIF($CU$2:CU52,1),"")</f>
        <v>51</v>
      </c>
      <c r="GR52" s="207">
        <f>IF(CV52=1,COUNTIF($CV$2:CV52,1),"")</f>
        <v>51</v>
      </c>
      <c r="GS52" s="207">
        <f>IF(CW52=1,COUNTIF($CW$2:CW52,1),"")</f>
        <v>51</v>
      </c>
      <c r="GT52" s="207">
        <f>IF(CX52=1,COUNTIF($CX$2:CX52,1),"")</f>
        <v>51</v>
      </c>
      <c r="GU52" s="207">
        <f>IF(CY52=1,COUNTIF($CY$2:CY52,1),"")</f>
        <v>51</v>
      </c>
      <c r="GV52" s="207">
        <f>IF(CZ52=1,COUNTIF($CZ$2:CZ52,1),"")</f>
        <v>51</v>
      </c>
      <c r="GW52" s="207">
        <f>IF(DA52=1,COUNTIF($DA$2:DA52,1),"")</f>
        <v>51</v>
      </c>
      <c r="GX52" s="206" t="str">
        <f>IFERROR(INDEX($A$2:$A$113,MATCH(ROWS($DB$2:DB52),$DB$2:$DB$113,0)),"")</f>
        <v>ROBO AGRAVADO POR EL USO DE ARMA DE ARMA BLANCA</v>
      </c>
      <c r="GY52" s="206" t="str">
        <f>IFERROR(INDEX($A$2:$A$113,MATCH(ROWS($DC$2:DC52),$DC$2:$DC$113,0)),"")</f>
        <v>ROBO AGRAVADO POR EL USO DE ARMA DE ARMA BLANCA</v>
      </c>
      <c r="GZ52" s="206" t="str">
        <f>IFERROR(INDEX($A$2:$A$113,MATCH(ROWS($DD$2:DD52),$DD$2:$DD$113,0)),"")</f>
        <v>ROBO AGRAVADO POR EL USO DE ARMA DE ARMA BLANCA</v>
      </c>
      <c r="HA52" s="206" t="str">
        <f>IFERROR(INDEX($A$2:$A$113,MATCH(ROWS($DE$2:DE52),$DE$2:$DE$113,0)),"")</f>
        <v>ROBO AGRAVADO POR EL USO DE ARMA DE ARMA BLANCA</v>
      </c>
      <c r="HB52" s="206" t="str">
        <f>IFERROR(INDEX($A$2:$A$113,MATCH(ROWS($DF$2:DF52),$DF$2:$DF$113,0)),"")</f>
        <v>ROBO AGRAVADO POR EL USO DE ARMA DE ARMA BLANCA</v>
      </c>
      <c r="HC52" s="206" t="str">
        <f>IFERROR(INDEX($A$2:$A$113,MATCH(ROWS($DG$2:DG52),$DG$2:$DG$113,0)),"")</f>
        <v>ROBO AGRAVADO POR EL USO DE ARMA DE ARMA BLANCA</v>
      </c>
      <c r="HD52" s="206" t="str">
        <f>IFERROR(INDEX($A$2:$A$113,MATCH(ROWS($DH$2:DH52),$DH$2:$DH$113,0)),"")</f>
        <v>ROBO AGRAVADO POR EL USO DE ARMA DE ARMA BLANCA</v>
      </c>
      <c r="HE52" s="206" t="str">
        <f>IFERROR(INDEX($A$2:$A$113,MATCH(ROWS($DI$2:DI52),$DI$2:$DI$113,0)),"")</f>
        <v>ROBO AGRAVADO POR EL USO DE ARMA DE ARMA BLANCA</v>
      </c>
      <c r="HF52" s="206" t="str">
        <f>IFERROR(INDEX($A$2:$A$113,MATCH(ROWS($DJ$2:DJ52),$DJ$2:$DJ$113,0)),"")</f>
        <v>ROBO AGRAVADO POR EL USO DE ARMA DE ARMA BLANCA</v>
      </c>
      <c r="HG52" s="206" t="str">
        <f>IFERROR(INDEX($A$2:$A$113,MATCH(ROWS($DK$2:DK52),$DK$2:$DK$113,0)),"")</f>
        <v>ROBO AGRAVADO POR EL USO DE ARMA DE ARMA BLANCA</v>
      </c>
      <c r="HH52" s="206" t="str">
        <f>IFERROR(INDEX($A$2:$A$113,MATCH(ROWS($DL$2:DL52),$DL$2:$DL$113,0)),"")</f>
        <v>ROBO AGRAVADO POR EL USO DE ARMA DE ARMA BLANCA</v>
      </c>
      <c r="HI52" s="206" t="str">
        <f>IFERROR(INDEX($A$2:$A$113,MATCH(ROWS($DM$2:DM52),$DM$2:$DM$113,0)),"")</f>
        <v>ROBO AGRAVADO POR EL USO DE ARMA DE ARMA BLANCA</v>
      </c>
      <c r="HJ52" s="206" t="str">
        <f>IFERROR(INDEX($A$2:$A$113,MATCH(ROWS($DN$2:DN52),$DN$2:$DN$113,0)),"")</f>
        <v>ROBO AGRAVADO POR EL USO DE ARMA DE ARMA BLANCA</v>
      </c>
      <c r="HK52" s="206" t="str">
        <f>IFERROR(INDEX($A$2:$A$113,MATCH(ROWS($DO$2:DO52),$DO$2:$DO$113,0)),"")</f>
        <v>ROBO AGRAVADO POR EL USO DE ARMA DE ARMA BLANCA</v>
      </c>
      <c r="HL52" s="206" t="str">
        <f>IFERROR(INDEX($A$2:$A$113,MATCH(ROWS($DP$2:DP52),$DP$2:$DP$113,0)),"")</f>
        <v>ROBO AGRAVADO POR EL USO DE ARMA DE ARMA BLANCA</v>
      </c>
      <c r="HM52" s="206" t="str">
        <f>IFERROR(INDEX($A$2:$A$113,MATCH(ROWS($DQ$2:DQ52),$DQ$2:$DQ$113,0)),"")</f>
        <v>ROBO AGRAVADO POR EL USO DE ARMA DE ARMA BLANCA</v>
      </c>
      <c r="HN52" s="206" t="str">
        <f>IFERROR(INDEX($A$2:$A$113,MATCH(ROWS($DR$2:DR52),$DR$2:$DR$113,0)),"")</f>
        <v>ROBO AGRAVADO POR EL USO DE ARMA DE ARMA BLANCA</v>
      </c>
      <c r="HO52" s="206" t="str">
        <f>IFERROR(INDEX($A$2:$A$113,MATCH(ROWS($DS$2:DS52),$DS$2:$DS$113,0)),"")</f>
        <v>ROBO AGRAVADO POR EL USO DE ARMA DE ARMA BLANCA</v>
      </c>
      <c r="HP52" s="206" t="str">
        <f>IFERROR(INDEX($A$2:$A$113,MATCH(ROWS($DT$2:DT52),$DT$2:$DT$113,0)),"")</f>
        <v>ROBO AGRAVADO POR EL USO DE ARMA DE ARMA BLANCA</v>
      </c>
      <c r="HQ52" s="206" t="str">
        <f>IFERROR(INDEX($A$2:$A$113,MATCH(ROWS($DU$2:DU52),$DU$2:$DU$113,0)),"")</f>
        <v>ROBO AGRAVADO POR EL USO DE ARMA DE ARMA BLANCA</v>
      </c>
      <c r="HR52" s="206" t="str">
        <f>IFERROR(INDEX($A$2:$A$113,MATCH(ROWS($DV$2:DV52),$DV$2:$DV$113,0)),"")</f>
        <v>ROBO AGRAVADO POR EL USO DE ARMA DE ARMA BLANCA</v>
      </c>
      <c r="HS52" s="206" t="str">
        <f>IFERROR(INDEX($A$2:$A$113,MATCH(ROWS($DW$2:DW52),$DW$2:$DW$113,0)),"")</f>
        <v>ROBO AGRAVADO POR EL USO DE ARMA DE ARMA BLANCA</v>
      </c>
      <c r="HT52" s="206" t="str">
        <f>IFERROR(INDEX($A$2:$A$113,MATCH(ROWS($DX$2:DX52),$DX$2:$DX$113,0)),"")</f>
        <v>ROBO AGRAVADO POR EL USO DE ARMA DE ARMA BLANCA</v>
      </c>
      <c r="HU52" s="206" t="str">
        <f>IFERROR(INDEX($A$2:$A$113,MATCH(ROWS($DY$2:DY52),$DY$2:$DY$113,0)),"")</f>
        <v>ROBO AGRAVADO POR EL USO DE ARMA DE ARMA BLANCA</v>
      </c>
      <c r="HV52" s="206" t="str">
        <f>IFERROR(INDEX($A$2:$A$113,MATCH(ROWS($DZ$2:DZ52),$DZ$2:$DZ$113,0)),"")</f>
        <v>ROBO AGRAVADO POR EL USO DE ARMA DE ARMA BLANCA</v>
      </c>
      <c r="HW52" s="206" t="str">
        <f>IFERROR(INDEX($A$2:$A$113,MATCH(ROWS($EA$2:EA52),$EA$2:$EA$113,0)),"")</f>
        <v>ROBO AGRAVADO POR EL USO DE ARMA DE ARMA BLANCA</v>
      </c>
      <c r="HX52" s="206" t="str">
        <f>IFERROR(INDEX($A$2:$A$113,MATCH(ROWS($EB$2:EB52),$EB$2:$EB$113,0)),"")</f>
        <v>ROBO AGRAVADO POR EL USO DE ARMA DE ARMA BLANCA</v>
      </c>
      <c r="HY52" s="206" t="str">
        <f>IFERROR(INDEX($A$2:$A$113,MATCH(ROWS($EC$2:EC52),$EC$2:$EC$113,0)),"")</f>
        <v>ROBO AGRAVADO POR EL USO DE ARMA DE ARMA BLANCA</v>
      </c>
      <c r="HZ52" s="206" t="str">
        <f>IFERROR(INDEX($A$2:$A$113,MATCH(ROWS($ED$2:ED52),$ED$2:$ED$113,0)),"")</f>
        <v>ROBO AGRAVADO POR EL USO DE ARMA DE ARMA BLANCA</v>
      </c>
      <c r="IA52" s="206" t="str">
        <f>IFERROR(INDEX($A$2:$A$113,MATCH(ROWS($EE$2:EE52),$EE$2:$EE$113,0)),"")</f>
        <v>ROBO AGRAVADO POR EL USO DE ARMA DE ARMA BLANCA</v>
      </c>
      <c r="IB52" s="206" t="str">
        <f>IFERROR(INDEX($A$2:$A$113,MATCH(ROWS($EF$2:EF52),$EF$2:$EF$113,0)),"")</f>
        <v>ROBO AGRAVADO POR EL USO DE ARMA DE ARMA BLANCA</v>
      </c>
      <c r="IC52" s="206" t="str">
        <f>IFERROR(INDEX($A$2:$A$113,MATCH(ROWS($EG$2:EG52),$EG$2:$EG$113,0)),"")</f>
        <v>ROBO AGRAVADO POR EL USO DE ARMA DE ARMA BLANCA</v>
      </c>
      <c r="ID52" s="206" t="str">
        <f>IFERROR(INDEX($A$2:$A$113,MATCH(ROWS($EH$2:EH52),$EH$2:$EH$113,0)),"")</f>
        <v>ROBO AGRAVADO POR EL USO DE ARMA DE ARMA BLANCA</v>
      </c>
      <c r="IE52" s="206" t="str">
        <f>IFERROR(INDEX($A$2:$A$113,MATCH(ROWS($EI$2:EI52),$EI$2:$EI$113,0)),"")</f>
        <v>ROBO AGRAVADO POR EL USO DE ARMA DE ARMA BLANCA</v>
      </c>
      <c r="IF52" s="206" t="str">
        <f>IFERROR(INDEX($A$2:$A$113,MATCH(ROWS($EJ$2:EJ52),$EJ$2:$EJ$113,0)),"")</f>
        <v>ROBO AGRAVADO POR EL USO DE ARMA DE ARMA BLANCA</v>
      </c>
      <c r="IG52" s="206" t="str">
        <f>IFERROR(INDEX($A$2:$A$113,MATCH(ROWS($EK$2:EK52),$EK$2:$EK$113,0)),"")</f>
        <v>ROBO AGRAVADO POR EL USO DE ARMA DE ARMA BLANCA</v>
      </c>
      <c r="IH52" s="206" t="str">
        <f>IFERROR(INDEX($A$2:$A$113,MATCH(ROWS($EL$2:EL52),$EL$2:$EL$113,0)),"")</f>
        <v>ROBO AGRAVADO POR EL USO DE ARMA DE ARMA BLANCA</v>
      </c>
      <c r="II52" s="206" t="str">
        <f>IFERROR(INDEX($A$2:$A$113,MATCH(ROWS($EM$2:EM52),$EM$2:$EM$113,0)),"")</f>
        <v>ROBO AGRAVADO POR EL USO DE ARMA DE ARMA BLANCA</v>
      </c>
      <c r="IJ52" s="206" t="str">
        <f>IFERROR(INDEX($A$2:$A$113,MATCH(ROWS($EN$2:EN52),$EN$2:$EN$113,0)),"")</f>
        <v>ROBO AGRAVADO POR EL USO DE ARMA DE ARMA BLANCA</v>
      </c>
      <c r="IK52" s="207" t="str">
        <f>IFERROR(INDEX($A$2:$A$113,MATCH(ROWS($EO$2:EO52),$EO$2:$EO$113,0)),"")</f>
        <v>ROBO AGRAVADO POR EL USO DE ARMA DE ARMA BLANCA</v>
      </c>
      <c r="IL52" s="207" t="str">
        <f>IFERROR(INDEX($A$2:$A$113,MATCH(ROWS($EP$2:EP52),$EP$2:$EP$113,0)),"")</f>
        <v>ROBO AGRAVADO POR EL USO DE ARMA DE ARMA BLANCA</v>
      </c>
      <c r="IM52" s="207" t="str">
        <f>IFERROR(INDEX($A$2:$A$113,MATCH(ROWS($EQ$2:EQ52),$EQ$2:$EQ$113,0)),"")</f>
        <v>ROBO AGRAVADO POR EL USO DE ARMA DE ARMA BLANCA</v>
      </c>
      <c r="IN52" s="207" t="str">
        <f>IFERROR(INDEX($A$2:$A$113,MATCH(ROWS($ER$2:ER52),$ER$2:$ER$113,0)),"")</f>
        <v>ROBO AGRAVADO POR EL USO DE ARMA DE ARMA BLANCA</v>
      </c>
      <c r="IO52" s="207" t="str">
        <f>IFERROR(INDEX($A$2:$A$113,MATCH(ROWS($ES$2:ES52),$ES$2:$ES$113,0)),"")</f>
        <v>ROBO AGRAVADO POR EL USO DE ARMA DE ARMA BLANCA</v>
      </c>
      <c r="IP52" s="207" t="str">
        <f>IFERROR(INDEX($A$2:$A$113,MATCH(ROWS($ET$2:ET52),$ET$2:$ET$113,0)),"")</f>
        <v>ROBO AGRAVADO POR EL USO DE ARMA DE ARMA BLANCA</v>
      </c>
      <c r="IQ52" s="207" t="str">
        <f>IFERROR(INDEX($A$2:$A$113,MATCH(ROWS($EU$2:EU52),$EU$2:$EU$113,0)),"")</f>
        <v>ROBO AGRAVADO POR EL USO DE ARMA DE ARMA BLANCA</v>
      </c>
      <c r="IR52" s="207" t="str">
        <f>IFERROR(INDEX($A$2:$A$113,MATCH(ROWS($EV$2:EV52),$EV$2:$EV$113,0)),"")</f>
        <v>ROBO AGRAVADO POR EL USO DE ARMA DE ARMA BLANCA</v>
      </c>
      <c r="IS52" s="207" t="str">
        <f>IFERROR(INDEX($A$2:$A$113,MATCH(ROWS($EW$2:EW52),$EW$2:$EW$113,0)),"")</f>
        <v>ROBO AGRAVADO POR EL USO DE ARMA DE ARMA BLANCA</v>
      </c>
      <c r="IT52" s="207" t="str">
        <f>IFERROR(INDEX($A$2:$A$113,MATCH(ROWS($EX$2:EX52),$EX$2:$EX$113,0)),"")</f>
        <v>ROBO AGRAVADO POR EL USO DE ARMA DE ARMA BLANCA</v>
      </c>
      <c r="IU52" s="207" t="str">
        <f>IFERROR(INDEX($A$2:$A$113,MATCH(ROWS($EY$2:EY52),$EY$2:$EY$113,0)),"")</f>
        <v>ROBO AGRAVADO POR EL USO DE ARMA DE ARMA BLANCA</v>
      </c>
      <c r="IV52" s="207" t="str">
        <f>IFERROR(INDEX($A$2:$A$113,MATCH(ROWS($EZ$2:EZ52),$EZ$2:$EZ$113,0)),"")</f>
        <v>ROBO AGRAVADO POR EL USO DE ARMA DE ARMA BLANCA</v>
      </c>
      <c r="IW52" s="207" t="str">
        <f>IFERROR(INDEX($A$2:$A$113,MATCH(ROWS($FA$2:FA52),$FA$2:$FA$113,0)),"")</f>
        <v>ROBO AGRAVADO POR EL USO DE ARMA DE ARMA BLANCA</v>
      </c>
      <c r="IX52" s="207" t="str">
        <f>IFERROR(INDEX($A$2:$A$113,MATCH(ROWS($FB$2:FB52),$FB$2:$FB$113,0)),"")</f>
        <v>ROBO AGRAVADO POR EL USO DE ARMA DE ARMA BLANCA</v>
      </c>
      <c r="IY52" s="207" t="str">
        <f>IFERROR(INDEX($A$2:$A$113,MATCH(ROWS($FC$2:FC52),$FC$2:$FC$113,0)),"")</f>
        <v>ROBO AGRAVADO POR EL USO DE ARMA DE ARMA BLANCA</v>
      </c>
      <c r="IZ52" s="207" t="str">
        <f>IFERROR(INDEX($A$2:$A$113,MATCH(ROWS($FD$2:FD52),$FD$2:$FD$113,0)),"")</f>
        <v>ROBO AGRAVADO POR EL USO DE ARMA DE ARMA BLANCA</v>
      </c>
      <c r="JA52" s="207" t="str">
        <f>IFERROR(INDEX($A$2:$A$113,MATCH(ROWS($FE$2:FE52),$FE$2:$FE$113,0)),"")</f>
        <v>ROBO AGRAVADO POR EL USO DE ARMA DE ARMA BLANCA</v>
      </c>
      <c r="JB52" s="207" t="str">
        <f>IFERROR(INDEX($A$2:$A$113,MATCH(ROWS($FF$2:FF52),$FF$2:$FF$113,0)),"")</f>
        <v>ROBO AGRAVADO POR EL USO DE ARMA DE ARMA BLANCA</v>
      </c>
      <c r="JC52" s="207" t="str">
        <f>IFERROR(INDEX($A$2:$A$113,MATCH(ROWS($FG$2:FG52),$FG$2:$FG$113,0)),"")</f>
        <v>ROBO AGRAVADO POR EL USO DE ARMA DE ARMA BLANCA</v>
      </c>
      <c r="JD52" s="207" t="str">
        <f>IFERROR(INDEX($A$2:$A$113,MATCH(ROWS($FH$2:FH52),$FH$2:$FH$113,0)),"")</f>
        <v>ROBO AGRAVADO POR EL USO DE ARMA DE ARMA BLANCA</v>
      </c>
      <c r="JE52" s="207" t="str">
        <f>IFERROR(INDEX($A$2:$A$113,MATCH(ROWS($FI$2:FI52),$FI$2:$FI$113,0)),"")</f>
        <v>ROBO AGRAVADO POR EL USO DE ARMA DE ARMA BLANCA</v>
      </c>
      <c r="JF52" s="207" t="str">
        <f>IFERROR(INDEX($A$2:$A$113,MATCH(ROWS($FJ$2:FJ52),$FJ$2:$FJ$113,0)),"")</f>
        <v>ROBO AGRAVADO POR EL USO DE ARMA DE ARMA BLANCA</v>
      </c>
      <c r="JG52" s="207" t="str">
        <f>IFERROR(INDEX($A$2:$A$113,MATCH(ROWS($FK$2:FK52),$FK$2:$FK$113,0)),"")</f>
        <v>ROBO AGRAVADO POR EL USO DE ARMA DE ARMA BLANCA</v>
      </c>
      <c r="JH52" s="207" t="str">
        <f>IFERROR(INDEX($A$2:$A$113,MATCH(ROWS($FL$2:FL52),$FL$2:$FL$113,0)),"")</f>
        <v>ROBO AGRAVADO POR EL USO DE ARMA DE ARMA BLANCA</v>
      </c>
      <c r="JI52" s="207" t="str">
        <f>IFERROR(INDEX($A$2:$A$113,MATCH(ROWS($FM$2:FM52),$FM$2:$FM$113,0)),"")</f>
        <v>ROBO AGRAVADO POR EL USO DE ARMA DE ARMA BLANCA</v>
      </c>
      <c r="JJ52" s="207" t="str">
        <f>IFERROR(INDEX($A$2:$A$113,MATCH(ROWS($FN$2:FN52),$FN$2:$FN$113,0)),"")</f>
        <v>ROBO AGRAVADO POR EL USO DE ARMA DE ARMA BLANCA</v>
      </c>
      <c r="JK52" s="207" t="str">
        <f>IFERROR(INDEX($A$2:$A$113,MATCH(ROWS($FO$2:FO52),$FO$2:$FO$113,0)),"")</f>
        <v>ROBO AGRAVADO POR EL USO DE ARMA DE ARMA BLANCA</v>
      </c>
      <c r="JL52" s="207" t="str">
        <f>IFERROR(INDEX($A$2:$A$113,MATCH(ROWS($FP$2:FP52),$FP$2:$FP$113,0)),"")</f>
        <v>ROBO AGRAVADO POR EL USO DE ARMA DE ARMA BLANCA</v>
      </c>
      <c r="JM52" s="207" t="str">
        <f>IFERROR(INDEX($A$2:$A$113,MATCH(ROWS($FQ$2:FQ52),$FQ$2:$FQ$113,0)),"")</f>
        <v>ROBO AGRAVADO POR EL USO DE ARMA DE ARMA BLANCA</v>
      </c>
      <c r="JN52" s="207" t="str">
        <f>IFERROR(INDEX($A$2:$A$113,MATCH(ROWS($FR$2:FR52),$FR$2:$FR$113,0)),"")</f>
        <v>ROBO AGRAVADO POR EL USO DE ARMA DE ARMA BLANCA</v>
      </c>
      <c r="JO52" s="207" t="str">
        <f>IFERROR(INDEX($A$2:$A$113,MATCH(ROWS($FS$2:FS52),$FS$2:$FS$113,0)),"")</f>
        <v>ROBO AGRAVADO POR EL USO DE ARMA DE ARMA BLANCA</v>
      </c>
      <c r="JP52" s="207" t="str">
        <f>IFERROR(INDEX($A$2:$A$113,MATCH(ROWS($FT$2:FT52),$FT$2:$FT$113,0)),"")</f>
        <v>ROBO AGRAVADO POR EL USO DE ARMA DE ARMA BLANCA</v>
      </c>
      <c r="JQ52" s="207" t="str">
        <f>IFERROR(INDEX($A$2:$A$113,MATCH(ROWS($FU$2:FU52),$FU$2:$FU$113,0)),"")</f>
        <v>ROBO AGRAVADO POR EL USO DE ARMA DE ARMA BLANCA</v>
      </c>
      <c r="JR52" s="207" t="str">
        <f>IFERROR(INDEX($A$2:$A$113,MATCH(ROWS($FV$2:FV52),$FV$2:$FV$113,0)),"")</f>
        <v>ROBO AGRAVADO POR EL USO DE ARMA DE ARMA BLANCA</v>
      </c>
      <c r="JS52" s="207" t="str">
        <f>IFERROR(INDEX($A$2:$A$113,MATCH(ROWS($FW$2:FW52),$FW$2:$FW$113,0)),"")</f>
        <v>ROBO AGRAVADO POR EL USO DE ARMA DE ARMA BLANCA</v>
      </c>
      <c r="JT52" s="207" t="str">
        <f>IFERROR(INDEX($A$2:$A$113,MATCH(ROWS($FX$2:FX52),$FX$2:$FX$113,0)),"")</f>
        <v>ROBO AGRAVADO POR EL USO DE ARMA DE ARMA BLANCA</v>
      </c>
      <c r="JU52" s="207" t="str">
        <f>IFERROR(INDEX($A$2:$A$113,MATCH(ROWS($FY$2:FY52),$FY$2:$FY$113,0)),"")</f>
        <v>ROBO AGRAVADO POR EL USO DE ARMA DE ARMA BLANCA</v>
      </c>
      <c r="JV52" s="207" t="str">
        <f>IFERROR(INDEX($A$2:$A$113,MATCH(ROWS($FZ$2:FZ52),$FZ$2:$FZ$113,0)),"")</f>
        <v>ROBO AGRAVADO POR EL USO DE ARMA DE ARMA BLANCA</v>
      </c>
      <c r="JW52" s="207" t="str">
        <f>IFERROR(INDEX($A$2:$A$113,MATCH(ROWS($GA$2:GA52),$GA$2:$GA$113,0)),"")</f>
        <v>ROBO AGRAVADO POR EL USO DE ARMA DE ARMA BLANCA</v>
      </c>
      <c r="JX52" s="207" t="str">
        <f>IFERROR(INDEX($A$2:$A$113,MATCH(ROWS($GB$2:GB52),$GB$2:$GB$113,0)),"")</f>
        <v>ROBO AGRAVADO POR EL USO DE ARMA DE ARMA BLANCA</v>
      </c>
      <c r="JY52" s="207" t="str">
        <f>IFERROR(INDEX($A$2:$A$113,MATCH(ROWS($GC$2:GC52),$GC$2:$GC$113,0)),"")</f>
        <v>ROBO AGRAVADO POR EL USO DE ARMA DE ARMA BLANCA</v>
      </c>
      <c r="JZ52" s="207" t="str">
        <f>IFERROR(INDEX($A$2:$A$113,MATCH(ROWS($GD$2:GD52),$GD$2:$GD$113,0)),"")</f>
        <v>ROBO AGRAVADO POR EL USO DE ARMA DE ARMA BLANCA</v>
      </c>
      <c r="KA52" s="207" t="str">
        <f>IFERROR(INDEX($A$2:$A$113,MATCH(ROWS($GE$2:GE52),$GE$2:$GE$113,0)),"")</f>
        <v>ROBO AGRAVADO POR EL USO DE ARMA DE ARMA BLANCA</v>
      </c>
      <c r="KB52" s="207" t="str">
        <f>IFERROR(INDEX($A$2:$A$113,MATCH(ROWS($GF$2:GF52),$GF$2:$GF$113,0)),"")</f>
        <v>ROBO AGRAVADO POR EL USO DE ARMA DE ARMA BLANCA</v>
      </c>
      <c r="KC52" s="207" t="str">
        <f>IFERROR(INDEX($A$2:$A$113,MATCH(ROWS($GG$2:GG52),$GG$2:$GG$113,0)),"")</f>
        <v>ROBO AGRAVADO POR EL USO DE ARMA DE ARMA BLANCA</v>
      </c>
      <c r="KD52" s="207" t="str">
        <f>IFERROR(INDEX($A$2:$A$113,MATCH(ROWS($GH$2:GH52),$GH$2:$GH$113,0)),"")</f>
        <v>ROBO AGRAVADO POR EL USO DE ARMA DE ARMA BLANCA</v>
      </c>
      <c r="KE52" s="207" t="str">
        <f>IFERROR(INDEX($A$2:$A$113,MATCH(ROWS($GI$2:GI52),$GI$2:$GI$113,0)),"")</f>
        <v>ROBO AGRAVADO POR EL USO DE ARMA DE ARMA BLANCA</v>
      </c>
      <c r="KF52" s="207" t="str">
        <f>IFERROR(INDEX($A$2:$A$113,MATCH(ROWS($GJ$2:GJ52),$GJ$2:$GJ$113,0)),"")</f>
        <v>ROBO AGRAVADO POR EL USO DE ARMA DE ARMA BLANCA</v>
      </c>
      <c r="KG52" s="207" t="str">
        <f>IFERROR(INDEX($A$2:$A$113,MATCH(ROWS($GK$2:GK52),$GK$2:$GK$113,0)),"")</f>
        <v>ROBO AGRAVADO POR EL USO DE ARMA DE ARMA BLANCA</v>
      </c>
      <c r="KH52" s="207" t="str">
        <f>IFERROR(INDEX($A$2:$A$113,MATCH(ROWS($GL$2:GL52),$GL$2:$GL$113,0)),"")</f>
        <v>ROBO AGRAVADO POR EL USO DE ARMA DE ARMA BLANCA</v>
      </c>
      <c r="KI52" s="207" t="str">
        <f>IFERROR(INDEX($A$2:$A$113,MATCH(ROWS($GM$2:GM52),$GM$2:$GM$113,0)),"")</f>
        <v>ROBO AGRAVADO POR EL USO DE ARMA DE ARMA BLANCA</v>
      </c>
      <c r="KJ52" s="207" t="str">
        <f>IFERROR(INDEX($A$2:$A$113,MATCH(ROWS($GN$2:GN52),$GN$2:$GN$113,0)),"")</f>
        <v>ROBO AGRAVADO POR EL USO DE ARMA DE ARMA BLANCA</v>
      </c>
      <c r="KK52" s="207" t="str">
        <f>IFERROR(INDEX($A$2:$A$113,MATCH(ROWS($GO$2:GO52),$GO$2:$GO$113,0)),"")</f>
        <v>ROBO AGRAVADO POR EL USO DE ARMA DE ARMA BLANCA</v>
      </c>
      <c r="KL52" s="207" t="str">
        <f>IFERROR(INDEX($A$2:$A$113,MATCH(ROWS($GP$2:GP52),$GP$2:$GP$113,0)),"")</f>
        <v>ROBO AGRAVADO POR EL USO DE ARMA DE ARMA BLANCA</v>
      </c>
      <c r="KM52" s="207" t="str">
        <f>IFERROR(INDEX($A$2:$A$113,MATCH(ROWS($GQ$2:GQ52),$GQ$2:$GQ$113,0)),"")</f>
        <v>ROBO AGRAVADO POR EL USO DE ARMA DE ARMA BLANCA</v>
      </c>
      <c r="KN52" s="207" t="str">
        <f>IFERROR(INDEX($A$2:$A$113,MATCH(ROWS($GR$2:GR52),$GR$2:$GR$113,0)),"")</f>
        <v>ROBO AGRAVADO POR EL USO DE ARMA DE ARMA BLANCA</v>
      </c>
      <c r="KO52" s="207" t="str">
        <f>IFERROR(INDEX($A$2:$A$113,MATCH(ROWS($GS$2:GS52),$GS$2:$GS$113,0)),"")</f>
        <v>ROBO AGRAVADO POR EL USO DE ARMA DE ARMA BLANCA</v>
      </c>
      <c r="KP52" s="207" t="str">
        <f>IFERROR(INDEX($A$2:$A$113,MATCH(ROWS($GT$2:GT52),$GT$2:$GT$113,0)),"")</f>
        <v>ROBO AGRAVADO POR EL USO DE ARMA DE ARMA BLANCA</v>
      </c>
      <c r="KQ52" s="207" t="str">
        <f>IFERROR(INDEX($A$2:$A$113,MATCH(ROWS($GU$2:GU52),$GU$2:$GU$113,0)),"")</f>
        <v>ROBO AGRAVADO POR EL USO DE ARMA DE ARMA BLANCA</v>
      </c>
      <c r="KR52" s="207" t="str">
        <f>IFERROR(INDEX($A$2:$A$113,MATCH(ROWS($GV$2:GV52),$GV$2:$GV$113,0)),"")</f>
        <v>ROBO AGRAVADO POR EL USO DE ARMA DE ARMA BLANCA</v>
      </c>
      <c r="KS52" s="207" t="str">
        <f>IFERROR(INDEX($A$2:$A$113,MATCH(ROWS($GW$2:GW52),$GW$2:$GW$113,0)),"")</f>
        <v>ROBO AGRAVADO POR EL USO DE ARMA DE ARMA BLANCA</v>
      </c>
    </row>
    <row r="53" spans="1:305" x14ac:dyDescent="0.25">
      <c r="A53" s="206" t="s">
        <v>900</v>
      </c>
      <c r="B53" s="206">
        <v>15</v>
      </c>
      <c r="C53" s="206" t="s">
        <v>89</v>
      </c>
      <c r="D53" s="206" t="s">
        <v>47</v>
      </c>
      <c r="E53" s="206" t="s">
        <v>510</v>
      </c>
      <c r="F53" s="207">
        <f>--ISNUMBER(IFERROR(SEARCH('PLANILLA DJ'!$X$3,$A53,1),""))</f>
        <v>1</v>
      </c>
      <c r="G53" s="207">
        <f>--ISNUMBER(IFERROR(SEARCH('PLANILLA DJ'!$X$4,$A53,1),""))</f>
        <v>1</v>
      </c>
      <c r="H53" s="207">
        <f>--ISNUMBER(IFERROR(SEARCH('PLANILLA DJ'!$X$5,$A53,1),""))</f>
        <v>1</v>
      </c>
      <c r="I53" s="207">
        <f>--ISNUMBER(IFERROR(SEARCH('PLANILLA DJ'!$X$6,$A53,1),""))</f>
        <v>1</v>
      </c>
      <c r="J53" s="207">
        <f>--ISNUMBER(IFERROR(SEARCH('PLANILLA DJ'!$X$7,$A53,1),""))</f>
        <v>1</v>
      </c>
      <c r="K53" s="207">
        <f>--ISNUMBER(IFERROR(SEARCH('PLANILLA DJ'!$X$8,$A53,1),""))</f>
        <v>1</v>
      </c>
      <c r="L53" s="207">
        <f>--ISNUMBER(IFERROR(SEARCH('PLANILLA DJ'!$X$9,$A53,1),""))</f>
        <v>1</v>
      </c>
      <c r="M53" s="207">
        <f>--ISNUMBER(IFERROR(SEARCH('PLANILLA DJ'!$X$10,$A53,1),""))</f>
        <v>1</v>
      </c>
      <c r="N53" s="207">
        <f>--ISNUMBER(IFERROR(SEARCH('PLANILLA DJ'!$X$11,$A53,1),""))</f>
        <v>1</v>
      </c>
      <c r="O53" s="207">
        <f>--ISNUMBER(IFERROR(SEARCH('PLANILLA DJ'!$X$12,$A53,1),""))</f>
        <v>1</v>
      </c>
      <c r="P53" s="207">
        <f>--ISNUMBER(IFERROR(SEARCH('PLANILLA DJ'!$X$13,$A53,1),""))</f>
        <v>1</v>
      </c>
      <c r="Q53" s="207">
        <f>--ISNUMBER(IFERROR(SEARCH('PLANILLA DJ'!$X$14,$A53,1),""))</f>
        <v>1</v>
      </c>
      <c r="R53" s="207">
        <f>--ISNUMBER(IFERROR(SEARCH('PLANILLA DJ'!$X$15,$A53,1),""))</f>
        <v>1</v>
      </c>
      <c r="S53" s="207">
        <f>--ISNUMBER(IFERROR(SEARCH('PLANILLA DJ'!$X$16,$A53,1),""))</f>
        <v>1</v>
      </c>
      <c r="T53" s="207">
        <f>--ISNUMBER(IFERROR(SEARCH('PLANILLA DJ'!$X$17,$A53,1),""))</f>
        <v>1</v>
      </c>
      <c r="U53" s="207">
        <f>--ISNUMBER(IFERROR(SEARCH('PLANILLA DJ'!$X$18,$A53,1),""))</f>
        <v>1</v>
      </c>
      <c r="V53" s="207">
        <f>--ISNUMBER(IFERROR(SEARCH('PLANILLA DJ'!$X$19,$A53,1),""))</f>
        <v>1</v>
      </c>
      <c r="W53" s="207">
        <f>--ISNUMBER(IFERROR(SEARCH('PLANILLA DJ'!$X$20,$A53,1),""))</f>
        <v>1</v>
      </c>
      <c r="X53" s="207">
        <f>--ISNUMBER(IFERROR(SEARCH('PLANILLA DJ'!$X$21,$A53,1),""))</f>
        <v>1</v>
      </c>
      <c r="Y53" s="207">
        <f>--ISNUMBER(IFERROR(SEARCH('PLANILLA DJ'!$X$22,$A53,1),""))</f>
        <v>1</v>
      </c>
      <c r="Z53" s="207">
        <f>--ISNUMBER(IFERROR(SEARCH('PLANILLA DJ'!$X$23,$A53,1),""))</f>
        <v>1</v>
      </c>
      <c r="AA53" s="207">
        <f>--ISNUMBER(IFERROR(SEARCH('PLANILLA DJ'!$X$24,$A53,1),""))</f>
        <v>1</v>
      </c>
      <c r="AB53" s="207">
        <f>--ISNUMBER(IFERROR(SEARCH('PLANILLA DJ'!$X$25,$A53,1),""))</f>
        <v>1</v>
      </c>
      <c r="AC53" s="207">
        <f>--ISNUMBER(IFERROR(SEARCH('PLANILLA DJ'!$X$26,$A53,1),""))</f>
        <v>1</v>
      </c>
      <c r="AD53" s="207">
        <f>--ISNUMBER(IFERROR(SEARCH('PLANILLA DJ'!$X$27,$A53,1),""))</f>
        <v>1</v>
      </c>
      <c r="AE53" s="207">
        <f>--ISNUMBER(IFERROR(SEARCH('PLANILLA DJ'!$X$28,$A53,1),""))</f>
        <v>1</v>
      </c>
      <c r="AF53" s="207">
        <f>--ISNUMBER(IFERROR(SEARCH('PLANILLA DJ'!$X$29,$A53,1),""))</f>
        <v>1</v>
      </c>
      <c r="AG53" s="207">
        <f>--ISNUMBER(IFERROR(SEARCH('PLANILLA DJ'!$X$30,$A53,1),""))</f>
        <v>1</v>
      </c>
      <c r="AH53" s="207">
        <f>--ISNUMBER(IFERROR(SEARCH('PLANILLA DJ'!$X$31,$A53,1),""))</f>
        <v>1</v>
      </c>
      <c r="AI53" s="207">
        <f>--ISNUMBER(IFERROR(SEARCH('PLANILLA DJ'!$X$32,$A53,1),""))</f>
        <v>1</v>
      </c>
      <c r="AJ53" s="207">
        <f>--ISNUMBER(IFERROR(SEARCH('PLANILLA DJ'!$X$33,$A53,1),""))</f>
        <v>1</v>
      </c>
      <c r="AK53" s="207">
        <f>--ISNUMBER(IFERROR(SEARCH('PLANILLA DJ'!$X$34,$A53,1),""))</f>
        <v>1</v>
      </c>
      <c r="AL53" s="207">
        <f>--ISNUMBER(IFERROR(SEARCH('PLANILLA DJ'!$X$35,$A53,1),""))</f>
        <v>1</v>
      </c>
      <c r="AM53" s="207">
        <f>--ISNUMBER(IFERROR(SEARCH('PLANILLA DJ'!$X$36,$A53,1),""))</f>
        <v>1</v>
      </c>
      <c r="AN53" s="207">
        <f>--ISNUMBER(IFERROR(SEARCH('PLANILLA DJ'!$X$37,$A53,1),""))</f>
        <v>1</v>
      </c>
      <c r="AO53" s="207">
        <f>--ISNUMBER(IFERROR(SEARCH('PLANILLA DJ'!$X$38,$A53,1),""))</f>
        <v>1</v>
      </c>
      <c r="AP53" s="207">
        <f>--ISNUMBER(IFERROR(SEARCH('PLANILLA DJ'!$X$39,$A53,1),""))</f>
        <v>1</v>
      </c>
      <c r="AQ53" s="207">
        <f>--ISNUMBER(IFERROR(SEARCH('PLANILLA DJ'!$X$40,$A53,1),""))</f>
        <v>1</v>
      </c>
      <c r="AR53" s="207">
        <f>--ISNUMBER(IFERROR(SEARCH('PLANILLA DJ'!$X$41,$A53,1),""))</f>
        <v>1</v>
      </c>
      <c r="AS53" s="207">
        <f>--ISNUMBER(IFERROR(SEARCH('PLANILLA DJ'!$X$42,$A53,1),""))</f>
        <v>1</v>
      </c>
      <c r="AT53" s="207">
        <f>--ISNUMBER(IFERROR(SEARCH('PLANILLA DJ'!$X$43,$A53,1),""))</f>
        <v>1</v>
      </c>
      <c r="AU53" s="207">
        <f>--ISNUMBER(IFERROR(SEARCH('PLANILLA DJ'!$X$44,$A53,1),""))</f>
        <v>1</v>
      </c>
      <c r="AV53" s="207">
        <f>--ISNUMBER(IFERROR(SEARCH('PLANILLA DJ'!$X$45,$A53,1),""))</f>
        <v>1</v>
      </c>
      <c r="AW53" s="207">
        <f>--ISNUMBER(IFERROR(SEARCH('PLANILLA DJ'!$X$46,$A53,1),""))</f>
        <v>1</v>
      </c>
      <c r="AX53" s="207">
        <f>--ISNUMBER(IFERROR(SEARCH('PLANILLA DJ'!$X$47,$A53,1),""))</f>
        <v>1</v>
      </c>
      <c r="AY53" s="207">
        <f>--ISNUMBER(IFERROR(SEARCH('PLANILLA DJ'!$X$48,$A53,1),""))</f>
        <v>1</v>
      </c>
      <c r="AZ53" s="207">
        <f>--ISNUMBER(IFERROR(SEARCH('PLANILLA DJ'!$X$49,$A53,1),""))</f>
        <v>1</v>
      </c>
      <c r="BA53" s="207">
        <f>--ISNUMBER(IFERROR(SEARCH('PLANILLA DJ'!$X$50,$A53,1),""))</f>
        <v>1</v>
      </c>
      <c r="BB53" s="207">
        <f>--ISNUMBER(IFERROR(SEARCH('PLANILLA DJ'!$X$51,$A53,1),""))</f>
        <v>1</v>
      </c>
      <c r="BC53" s="207">
        <f>--ISNUMBER(IFERROR(SEARCH('PLANILLA DJ'!$X$52,$A53,1),""))</f>
        <v>1</v>
      </c>
      <c r="BD53" s="207">
        <f>--ISNUMBER(IFERROR(SEARCH('PLANILLA DJ'!$X$53,$A53,1),""))</f>
        <v>1</v>
      </c>
      <c r="BE53" s="207">
        <f>--ISNUMBER(IFERROR(SEARCH('PLANILLA DJ'!$X$54,$A53,1),""))</f>
        <v>1</v>
      </c>
      <c r="BF53" s="207">
        <f>--ISNUMBER(IFERROR(SEARCH('PLANILLA DJ'!$X$55,$A53,1),""))</f>
        <v>1</v>
      </c>
      <c r="BG53" s="207">
        <f>--ISNUMBER(IFERROR(SEARCH('PLANILLA DJ'!$X$56,$A53,1),""))</f>
        <v>1</v>
      </c>
      <c r="BH53" s="207">
        <f>--ISNUMBER(IFERROR(SEARCH('PLANILLA DJ'!$X$57,$A53,1),""))</f>
        <v>1</v>
      </c>
      <c r="BI53" s="207">
        <f>--ISNUMBER(IFERROR(SEARCH('PLANILLA DJ'!$X$58,$A53,1),""))</f>
        <v>1</v>
      </c>
      <c r="BJ53" s="207">
        <f>--ISNUMBER(IFERROR(SEARCH('PLANILLA DJ'!$X$59,$A53,1),""))</f>
        <v>1</v>
      </c>
      <c r="BK53" s="207">
        <f>--ISNUMBER(IFERROR(SEARCH('PLANILLA DJ'!$X$60,$A53,1),""))</f>
        <v>1</v>
      </c>
      <c r="BL53" s="207">
        <f>--ISNUMBER(IFERROR(SEARCH('PLANILLA DJ'!$X$61,$A53,1),""))</f>
        <v>1</v>
      </c>
      <c r="BM53" s="207">
        <f>--ISNUMBER(IFERROR(SEARCH('PLANILLA DJ'!$X$62,$A53,1),""))</f>
        <v>1</v>
      </c>
      <c r="BN53" s="207">
        <f>--ISNUMBER(IFERROR(SEARCH('PLANILLA DJ'!$X$63,$A53,1),""))</f>
        <v>1</v>
      </c>
      <c r="BO53" s="207">
        <f>--ISNUMBER(IFERROR(SEARCH('PLANILLA DJ'!$X$64,$A53,1),""))</f>
        <v>1</v>
      </c>
      <c r="BP53" s="207">
        <f>--ISNUMBER(IFERROR(SEARCH('PLANILLA DJ'!$X$65,$A53,1),""))</f>
        <v>1</v>
      </c>
      <c r="BQ53" s="207">
        <f>--ISNUMBER(IFERROR(SEARCH('PLANILLA DJ'!$X$66,$A53,1),""))</f>
        <v>1</v>
      </c>
      <c r="BR53" s="207">
        <f>--ISNUMBER(IFERROR(SEARCH('PLANILLA DJ'!$X$67,$A53,1),""))</f>
        <v>1</v>
      </c>
      <c r="BS53" s="207">
        <f>--ISNUMBER(IFERROR(SEARCH('PLANILLA DJ'!$X$68,$A53,1),""))</f>
        <v>1</v>
      </c>
      <c r="BT53" s="207">
        <f>--ISNUMBER(IFERROR(SEARCH('PLANILLA DJ'!$X$69,$A53,1),""))</f>
        <v>1</v>
      </c>
      <c r="BU53" s="207">
        <f>--ISNUMBER(IFERROR(SEARCH('PLANILLA DJ'!$X$70,$A53,1),""))</f>
        <v>1</v>
      </c>
      <c r="BV53" s="207">
        <f>--ISNUMBER(IFERROR(SEARCH('PLANILLA DJ'!$X$71,$A53,1),""))</f>
        <v>1</v>
      </c>
      <c r="BW53" s="207">
        <f>--ISNUMBER(IFERROR(SEARCH('PLANILLA DJ'!$X$72,$A53,1),""))</f>
        <v>1</v>
      </c>
      <c r="BX53" s="207">
        <f>--ISNUMBER(IFERROR(SEARCH('PLANILLA DJ'!$X$73,$A53,1),""))</f>
        <v>1</v>
      </c>
      <c r="BY53" s="207">
        <f>--ISNUMBER(IFERROR(SEARCH('PLANILLA DJ'!$X$74,$A53,1),""))</f>
        <v>1</v>
      </c>
      <c r="BZ53" s="207">
        <f>--ISNUMBER(IFERROR(SEARCH('PLANILLA DJ'!$X$75,$A53,1),""))</f>
        <v>1</v>
      </c>
      <c r="CA53" s="207">
        <f>--ISNUMBER(IFERROR(SEARCH('PLANILLA DJ'!$X$76,$A53,1),""))</f>
        <v>1</v>
      </c>
      <c r="CB53" s="207">
        <f>--ISNUMBER(IFERROR(SEARCH('PLANILLA DJ'!$X$77,$A53,1),""))</f>
        <v>1</v>
      </c>
      <c r="CC53" s="207">
        <f>--ISNUMBER(IFERROR(SEARCH('PLANILLA DJ'!$X$78,$A53,1),""))</f>
        <v>1</v>
      </c>
      <c r="CD53" s="207">
        <f>--ISNUMBER(IFERROR(SEARCH('PLANILLA DJ'!$X$79,$A53,1),""))</f>
        <v>1</v>
      </c>
      <c r="CE53" s="207">
        <f>--ISNUMBER(IFERROR(SEARCH('PLANILLA DJ'!$X$80,$A53,1),""))</f>
        <v>1</v>
      </c>
      <c r="CF53" s="207">
        <f>--ISNUMBER(IFERROR(SEARCH('PLANILLA DJ'!$X$81,$A53,1),""))</f>
        <v>1</v>
      </c>
      <c r="CG53" s="207">
        <f>--ISNUMBER(IFERROR(SEARCH('PLANILLA DJ'!$X$82,$A53,1),""))</f>
        <v>1</v>
      </c>
      <c r="CH53" s="207">
        <f>--ISNUMBER(IFERROR(SEARCH('PLANILLA DJ'!$X$83,$A53,1),""))</f>
        <v>1</v>
      </c>
      <c r="CI53" s="207">
        <f>--ISNUMBER(IFERROR(SEARCH('PLANILLA DJ'!$X$84,$A53,1),""))</f>
        <v>1</v>
      </c>
      <c r="CJ53" s="207">
        <f>--ISNUMBER(IFERROR(SEARCH('PLANILLA DJ'!$X$85,$A53,1),""))</f>
        <v>1</v>
      </c>
      <c r="CK53" s="207">
        <f>--ISNUMBER(IFERROR(SEARCH('PLANILLA DJ'!$X$86,$A53,1),""))</f>
        <v>1</v>
      </c>
      <c r="CL53" s="207">
        <f>--ISNUMBER(IFERROR(SEARCH('PLANILLA DJ'!$X$87,$A53,1),""))</f>
        <v>1</v>
      </c>
      <c r="CM53" s="207">
        <f>--ISNUMBER(IFERROR(SEARCH('PLANILLA DJ'!$X$88,$A53,1),""))</f>
        <v>1</v>
      </c>
      <c r="CN53" s="207">
        <f>--ISNUMBER(IFERROR(SEARCH('PLANILLA DJ'!$X$89,$A53,1),""))</f>
        <v>1</v>
      </c>
      <c r="CO53" s="207">
        <f>--ISNUMBER(IFERROR(SEARCH('PLANILLA DJ'!$X$90,$A53,1),""))</f>
        <v>1</v>
      </c>
      <c r="CP53" s="207">
        <f>--ISNUMBER(IFERROR(SEARCH('PLANILLA DJ'!$X$91,$A53,1),""))</f>
        <v>1</v>
      </c>
      <c r="CQ53" s="207">
        <f>--ISNUMBER(IFERROR(SEARCH('PLANILLA DJ'!$X$92,$A53,1),""))</f>
        <v>1</v>
      </c>
      <c r="CR53" s="207">
        <f>--ISNUMBER(IFERROR(SEARCH('PLANILLA DJ'!$X$93,$A53,1),""))</f>
        <v>1</v>
      </c>
      <c r="CS53" s="207">
        <f>--ISNUMBER(IFERROR(SEARCH('PLANILLA DJ'!$X$94,$A53,1),""))</f>
        <v>1</v>
      </c>
      <c r="CT53" s="207">
        <f>--ISNUMBER(IFERROR(SEARCH('PLANILLA DJ'!$X$95,$A53,1),""))</f>
        <v>1</v>
      </c>
      <c r="CU53" s="207">
        <f>--ISNUMBER(IFERROR(SEARCH('PLANILLA DJ'!$X$96,$A53,1),""))</f>
        <v>1</v>
      </c>
      <c r="CV53" s="207">
        <f>--ISNUMBER(IFERROR(SEARCH('PLANILLA DJ'!$X$97,$A53,1),""))</f>
        <v>1</v>
      </c>
      <c r="CW53" s="207">
        <f>--ISNUMBER(IFERROR(SEARCH('PLANILLA DJ'!$X$98,$A53,1),""))</f>
        <v>1</v>
      </c>
      <c r="CX53" s="207">
        <f>--ISNUMBER(IFERROR(SEARCH('PLANILLA DJ'!$X$99,$A53,1),""))</f>
        <v>1</v>
      </c>
      <c r="CY53" s="207">
        <f>--ISNUMBER(IFERROR(SEARCH('PLANILLA DJ'!$X$100,$A53,1),""))</f>
        <v>1</v>
      </c>
      <c r="CZ53" s="207">
        <f>--ISNUMBER(IFERROR(SEARCH('PLANILLA DJ'!$X$101,$A53,1),""))</f>
        <v>1</v>
      </c>
      <c r="DA53" s="207">
        <f>--ISNUMBER(IFERROR(SEARCH('PLANILLA DJ'!$X$102,$A53,1),""))</f>
        <v>1</v>
      </c>
      <c r="DB53" s="206">
        <f>IF(F53=1,COUNTIF($F$2:F53,1),"")</f>
        <v>52</v>
      </c>
      <c r="DC53" s="206">
        <f>IF(G53=1,COUNTIF($G$2:G53,1),"")</f>
        <v>52</v>
      </c>
      <c r="DD53" s="206">
        <f>IF(H53=1,COUNTIF($H$2:H53,1),"")</f>
        <v>52</v>
      </c>
      <c r="DE53" s="206">
        <f>IF(I53=1,COUNTIF($I$2:I53,1),"")</f>
        <v>52</v>
      </c>
      <c r="DF53" s="206">
        <f>IF(J53=1,COUNTIF($J$2:J53,1),"")</f>
        <v>52</v>
      </c>
      <c r="DG53" s="206">
        <f>IF(K53=1,COUNTIF($K$2:K53,1),"")</f>
        <v>52</v>
      </c>
      <c r="DH53" s="206">
        <f>IF(L53=1,COUNTIF($L$2:L53,1),"")</f>
        <v>52</v>
      </c>
      <c r="DI53" s="206">
        <f>IF(M53=1,COUNTIF($M$2:M53,1),"")</f>
        <v>52</v>
      </c>
      <c r="DJ53" s="206">
        <f>IF(N53=1,COUNTIF($N$2:N53,1),"")</f>
        <v>52</v>
      </c>
      <c r="DK53" s="206">
        <f>IF(O53=1,COUNTIF($O$2:O53,1),"")</f>
        <v>52</v>
      </c>
      <c r="DL53" s="206">
        <f>IF(P53=1,COUNTIF($P$2:P53,1),"")</f>
        <v>52</v>
      </c>
      <c r="DM53" s="206">
        <f>IF(Q53=1,COUNTIF($Q$2:Q53,1),"")</f>
        <v>52</v>
      </c>
      <c r="DN53" s="207">
        <f>IF(R53=1,COUNTIF($R$2:R53,1),"")</f>
        <v>52</v>
      </c>
      <c r="DO53" s="207">
        <f>IF(S53=1,COUNTIF($S$2:S53,1),"")</f>
        <v>52</v>
      </c>
      <c r="DP53" s="207">
        <f>IF(T53=1,COUNTIF($T$2:T53,1),"")</f>
        <v>52</v>
      </c>
      <c r="DQ53" s="207">
        <f>IF(U53=1,COUNTIF($U$2:U53,1),"")</f>
        <v>52</v>
      </c>
      <c r="DR53" s="207">
        <f>IF(V53=1,COUNTIF($V$2:V53,1),"")</f>
        <v>52</v>
      </c>
      <c r="DS53" s="207">
        <f>IF(W53=1,COUNTIF($W$2:W53,1),"")</f>
        <v>52</v>
      </c>
      <c r="DT53" s="207">
        <f>IF(X53=1,COUNTIF($X$2:X53,1),"")</f>
        <v>52</v>
      </c>
      <c r="DU53" s="207">
        <f>IF(Y53=1,COUNTIF($Y$2:Y53,1),"")</f>
        <v>52</v>
      </c>
      <c r="DV53" s="207">
        <f>IF(Z53=1,COUNTIF(Z$2:Z53,1),"")</f>
        <v>52</v>
      </c>
      <c r="DW53" s="207">
        <f>IF(AA53=1,COUNTIF($AA$2:AA53,1),"")</f>
        <v>52</v>
      </c>
      <c r="DX53" s="207">
        <f>IF(AB53=1,COUNTIF($AB$2:AB53,1),"")</f>
        <v>52</v>
      </c>
      <c r="DY53" s="207">
        <f>IF(AC53=1,COUNTIF($AC$2:AC53,1),"")</f>
        <v>52</v>
      </c>
      <c r="DZ53" s="207">
        <f>IF(AD53=1,COUNTIF($AD$2:AD53,1),"")</f>
        <v>52</v>
      </c>
      <c r="EA53" s="207">
        <f>IF(AE53=1,COUNTIF($AE$2:AE53,1),"")</f>
        <v>52</v>
      </c>
      <c r="EB53" s="207">
        <f>IF(AF53=1,COUNTIF($AF$2:AF53,1),"")</f>
        <v>52</v>
      </c>
      <c r="EC53" s="207">
        <f>IF(AG53=1,COUNTIF($AG$2:AG53,1),"")</f>
        <v>52</v>
      </c>
      <c r="ED53" s="207">
        <f>IF(AH53=1,COUNTIF($AH$2:AH53,1),"")</f>
        <v>52</v>
      </c>
      <c r="EE53" s="207">
        <f>IF(AI53=1,COUNTIF($AI$2:AI53,1),"")</f>
        <v>52</v>
      </c>
      <c r="EF53" s="207">
        <f>IF(AJ53=1,COUNTIF($AJ$2:AJ53,1),"")</f>
        <v>52</v>
      </c>
      <c r="EG53" s="207">
        <f>IF(AK53=1,COUNTIF($AK$2:AK53,1),"")</f>
        <v>52</v>
      </c>
      <c r="EH53" s="207">
        <f>IF(AL53=1,COUNTIF($AL$2:AL53,1),"")</f>
        <v>52</v>
      </c>
      <c r="EI53" s="207">
        <f>IF(AM53=1,COUNTIF($AM$2:AM53,1),"")</f>
        <v>52</v>
      </c>
      <c r="EJ53" s="207">
        <f>IF(AN53=1,COUNTIF($AN$2:AN53,1),"")</f>
        <v>52</v>
      </c>
      <c r="EK53" s="207">
        <f>IF(AO53=1,COUNTIF($AO$2:AO53,1),"")</f>
        <v>52</v>
      </c>
      <c r="EL53" s="207">
        <f>IF(AP53=1,COUNTIF($AP$2:AP53,1),"")</f>
        <v>52</v>
      </c>
      <c r="EM53" s="207">
        <f>IF(AQ53=1,COUNTIF($AQ$2:AQ53,1),"")</f>
        <v>52</v>
      </c>
      <c r="EN53" s="207">
        <f>IF(AR53=1,COUNTIF($AR$2:AR53,1),"")</f>
        <v>52</v>
      </c>
      <c r="EO53" s="207">
        <f>IF(AS53=1,COUNTIF($AS$2:AS53,1),"")</f>
        <v>52</v>
      </c>
      <c r="EP53" s="207">
        <f>IF(AT53=1,COUNTIF($AT$2:AT53,1),"")</f>
        <v>52</v>
      </c>
      <c r="EQ53" s="207">
        <f>IF(AU53=1,COUNTIF($AU$2:AU53,1),"")</f>
        <v>52</v>
      </c>
      <c r="ER53" s="207">
        <f>IF(AV53=1,COUNTIF($AV$2:AV53,1),"")</f>
        <v>52</v>
      </c>
      <c r="ES53" s="207">
        <f>IF(AW53=1,COUNTIF($AW$2:AW53,1),"")</f>
        <v>52</v>
      </c>
      <c r="ET53" s="207">
        <f>IF(AX53=1,COUNTIF($AX$2:AX53,1),"")</f>
        <v>52</v>
      </c>
      <c r="EU53" s="207">
        <f>IF(AY53=1,COUNTIF($AY$2:AY53,1),"")</f>
        <v>52</v>
      </c>
      <c r="EV53" s="207">
        <f>IF(AZ53=1,COUNTIF($AZ$2:AZ53,1),"")</f>
        <v>52</v>
      </c>
      <c r="EW53" s="207">
        <f>IF(BA53=1,COUNTIF($BA$2:BA53,1),"")</f>
        <v>52</v>
      </c>
      <c r="EX53" s="207">
        <f>IF(BB53=1,COUNTIF($BB$2:BB53,1),"")</f>
        <v>52</v>
      </c>
      <c r="EY53" s="207">
        <f>IF(BC53=1,COUNTIF($BC$2:BC53,1),"")</f>
        <v>52</v>
      </c>
      <c r="EZ53" s="207">
        <f>IF(BD53=1,COUNTIF($BD$2:BD53,1),"")</f>
        <v>52</v>
      </c>
      <c r="FA53" s="207">
        <f>IF(BE53=1,COUNTIF($BE$2:BE53,1),"")</f>
        <v>52</v>
      </c>
      <c r="FB53" s="207">
        <f>IF(BF53=1,COUNTIF($BF$2:BF53,1),"")</f>
        <v>52</v>
      </c>
      <c r="FC53" s="207">
        <f>IF(BG53=1,COUNTIF($BG$2:BG53,1),"")</f>
        <v>52</v>
      </c>
      <c r="FD53" s="207">
        <f>IF(BH53=1,COUNTIF($BH$2:BH53,1),"")</f>
        <v>52</v>
      </c>
      <c r="FE53" s="207">
        <f>IF(BI53=1,COUNTIF($BI$2:BI53,1),"")</f>
        <v>52</v>
      </c>
      <c r="FF53" s="207">
        <f>IF(BJ53=1,COUNTIF($BJ$2:BJ53,1),"")</f>
        <v>52</v>
      </c>
      <c r="FG53" s="207">
        <f>IF(BK53=1,COUNTIF($BK$2:BK53,1),"")</f>
        <v>52</v>
      </c>
      <c r="FH53" s="207">
        <f>IF(BL53=1,COUNTIF($BL$2:BL53,1),"")</f>
        <v>52</v>
      </c>
      <c r="FI53" s="207">
        <f>IF(BM53=1,COUNTIF($BM$2:BM53,1),"")</f>
        <v>52</v>
      </c>
      <c r="FJ53" s="207">
        <f>IF(BN53=1,COUNTIF($BN$2:BN53,1),"")</f>
        <v>52</v>
      </c>
      <c r="FK53" s="207">
        <f>IF(BO53=1,COUNTIF($BO$2:BO53,1),"")</f>
        <v>52</v>
      </c>
      <c r="FL53" s="207">
        <f>IF(BP53=1,COUNTIF($BP$2:BP53,1),"")</f>
        <v>52</v>
      </c>
      <c r="FM53" s="207">
        <f>IF(BQ53=1,COUNTIF($BQ$2:BQ53,1),"")</f>
        <v>52</v>
      </c>
      <c r="FN53" s="207">
        <f>IF(BR53=1,COUNTIF($BR$2:BR53,1),"")</f>
        <v>52</v>
      </c>
      <c r="FO53" s="207">
        <f>IF(BS53=1,COUNTIF($BS$2:BS53,1),"")</f>
        <v>52</v>
      </c>
      <c r="FP53" s="207">
        <f>IF(BT53=1,COUNTIF($BT$2:BT53,1),"")</f>
        <v>52</v>
      </c>
      <c r="FQ53" s="207">
        <f>IF(BU53=1,COUNTIF($BU$2:BU53,1),"")</f>
        <v>52</v>
      </c>
      <c r="FR53" s="207">
        <f>IF(BV53=1,COUNTIF($BV$2:BV53,1),"")</f>
        <v>52</v>
      </c>
      <c r="FS53" s="207">
        <f>IF(BW53=1,COUNTIF($BW$2:BW53,1),"")</f>
        <v>52</v>
      </c>
      <c r="FT53" s="207">
        <f>IF(BX53=1,COUNTIF($BX$2:BX53,1),"")</f>
        <v>52</v>
      </c>
      <c r="FU53" s="207">
        <f>IF(BY53=1,COUNTIF($BY$2:BY53,1),"")</f>
        <v>52</v>
      </c>
      <c r="FV53" s="207">
        <f>IF(BZ53=1,COUNTIF($BZ$2:BZ53,1),"")</f>
        <v>52</v>
      </c>
      <c r="FW53" s="207">
        <f>IF(CA53=1,COUNTIF($CA$2:CA53,1),"")</f>
        <v>52</v>
      </c>
      <c r="FX53" s="207">
        <f>IF(CB53=1,COUNTIF($CB$2:CB53,1),"")</f>
        <v>52</v>
      </c>
      <c r="FY53" s="207">
        <f>IF(CC53=1,COUNTIF($CC$2:CC53,1),"")</f>
        <v>52</v>
      </c>
      <c r="FZ53" s="207">
        <f>IF(CD53=1,COUNTIF($CD$2:CD53,1),"")</f>
        <v>52</v>
      </c>
      <c r="GA53" s="207">
        <f>IF(CE53=1,COUNTIF($CE$2:CE53,1),"")</f>
        <v>52</v>
      </c>
      <c r="GB53" s="207">
        <f>IF(CF53=1,COUNTIF($CF$2:CF53,1),"")</f>
        <v>52</v>
      </c>
      <c r="GC53" s="207">
        <f>IF(CG53=1,COUNTIF($CG$2:CG53,1),"")</f>
        <v>52</v>
      </c>
      <c r="GD53" s="207">
        <f>IF(CH53=1,COUNTIF($CH$2:CH53,1),"")</f>
        <v>52</v>
      </c>
      <c r="GE53" s="207">
        <f>IF(CI53=1,COUNTIF($CI$2:CI53,1),"")</f>
        <v>52</v>
      </c>
      <c r="GF53" s="207">
        <f>IF(CJ53=1,COUNTIF($CJ$2:CJ53,1),"")</f>
        <v>52</v>
      </c>
      <c r="GG53" s="207">
        <f>IF(CK53=1,COUNTIF($CK$2:CK53,1),"")</f>
        <v>52</v>
      </c>
      <c r="GH53" s="207">
        <f>IF(CL53=1,COUNTIF($CL$2:CL53,1),"")</f>
        <v>52</v>
      </c>
      <c r="GI53" s="207">
        <f>IF(CM53=1,COUNTIF($CM$2:CM53,1),"")</f>
        <v>52</v>
      </c>
      <c r="GJ53" s="207">
        <f>IF(CN53=1,COUNTIF($CN$2:CN53,1),"")</f>
        <v>52</v>
      </c>
      <c r="GK53" s="207">
        <f>IF(CO53=1,COUNTIF($CO$2:CO53,1),"")</f>
        <v>52</v>
      </c>
      <c r="GL53" s="207">
        <f>IF(CP53=1,COUNTIF($CP$2:CP53,1),"")</f>
        <v>52</v>
      </c>
      <c r="GM53" s="207">
        <f>IF(CQ53=1,COUNTIF($CQ$2:CQ53,1),"")</f>
        <v>52</v>
      </c>
      <c r="GN53" s="207">
        <f>IF(CR53=1,COUNTIF($CR$2:CR53,1),"")</f>
        <v>52</v>
      </c>
      <c r="GO53" s="207">
        <f>IF(CS53=1,COUNTIF($CS$2:CS53,1),"")</f>
        <v>52</v>
      </c>
      <c r="GP53" s="207">
        <f>IF(CT53=1,COUNTIF($CT$2:CT53,1),"")</f>
        <v>52</v>
      </c>
      <c r="GQ53" s="207">
        <f>IF(CU53=1,COUNTIF($CU$2:CU53,1),"")</f>
        <v>52</v>
      </c>
      <c r="GR53" s="207">
        <f>IF(CV53=1,COUNTIF($CV$2:CV53,1),"")</f>
        <v>52</v>
      </c>
      <c r="GS53" s="207">
        <f>IF(CW53=1,COUNTIF($CW$2:CW53,1),"")</f>
        <v>52</v>
      </c>
      <c r="GT53" s="207">
        <f>IF(CX53=1,COUNTIF($CX$2:CX53,1),"")</f>
        <v>52</v>
      </c>
      <c r="GU53" s="207">
        <f>IF(CY53=1,COUNTIF($CY$2:CY53,1),"")</f>
        <v>52</v>
      </c>
      <c r="GV53" s="207">
        <f>IF(CZ53=1,COUNTIF($CZ$2:CZ53,1),"")</f>
        <v>52</v>
      </c>
      <c r="GW53" s="207">
        <f>IF(DA53=1,COUNTIF($DA$2:DA53,1),"")</f>
        <v>52</v>
      </c>
      <c r="GX53" s="206" t="str">
        <f>IFERROR(INDEX($A$2:$A$113,MATCH(ROWS($DB$2:DB53),$DB$2:$DB$113,0)),"")</f>
        <v>ROBO PERFORACION-FRACTURA PARED, CERCO, TECHO O PISO</v>
      </c>
      <c r="GY53" s="206" t="str">
        <f>IFERROR(INDEX($A$2:$A$113,MATCH(ROWS($DC$2:DC53),$DC$2:$DC$113,0)),"")</f>
        <v>ROBO PERFORACION-FRACTURA PARED, CERCO, TECHO O PISO</v>
      </c>
      <c r="GZ53" s="206" t="str">
        <f>IFERROR(INDEX($A$2:$A$113,MATCH(ROWS($DD$2:DD53),$DD$2:$DD$113,0)),"")</f>
        <v>ROBO PERFORACION-FRACTURA PARED, CERCO, TECHO O PISO</v>
      </c>
      <c r="HA53" s="206" t="str">
        <f>IFERROR(INDEX($A$2:$A$113,MATCH(ROWS($DE$2:DE53),$DE$2:$DE$113,0)),"")</f>
        <v>ROBO PERFORACION-FRACTURA PARED, CERCO, TECHO O PISO</v>
      </c>
      <c r="HB53" s="206" t="str">
        <f>IFERROR(INDEX($A$2:$A$113,MATCH(ROWS($DF$2:DF53),$DF$2:$DF$113,0)),"")</f>
        <v>ROBO PERFORACION-FRACTURA PARED, CERCO, TECHO O PISO</v>
      </c>
      <c r="HC53" s="206" t="str">
        <f>IFERROR(INDEX($A$2:$A$113,MATCH(ROWS($DG$2:DG53),$DG$2:$DG$113,0)),"")</f>
        <v>ROBO PERFORACION-FRACTURA PARED, CERCO, TECHO O PISO</v>
      </c>
      <c r="HD53" s="206" t="str">
        <f>IFERROR(INDEX($A$2:$A$113,MATCH(ROWS($DH$2:DH53),$DH$2:$DH$113,0)),"")</f>
        <v>ROBO PERFORACION-FRACTURA PARED, CERCO, TECHO O PISO</v>
      </c>
      <c r="HE53" s="206" t="str">
        <f>IFERROR(INDEX($A$2:$A$113,MATCH(ROWS($DI$2:DI53),$DI$2:$DI$113,0)),"")</f>
        <v>ROBO PERFORACION-FRACTURA PARED, CERCO, TECHO O PISO</v>
      </c>
      <c r="HF53" s="206" t="str">
        <f>IFERROR(INDEX($A$2:$A$113,MATCH(ROWS($DJ$2:DJ53),$DJ$2:$DJ$113,0)),"")</f>
        <v>ROBO PERFORACION-FRACTURA PARED, CERCO, TECHO O PISO</v>
      </c>
      <c r="HG53" s="206" t="str">
        <f>IFERROR(INDEX($A$2:$A$113,MATCH(ROWS($DK$2:DK53),$DK$2:$DK$113,0)),"")</f>
        <v>ROBO PERFORACION-FRACTURA PARED, CERCO, TECHO O PISO</v>
      </c>
      <c r="HH53" s="206" t="str">
        <f>IFERROR(INDEX($A$2:$A$113,MATCH(ROWS($DL$2:DL53),$DL$2:$DL$113,0)),"")</f>
        <v>ROBO PERFORACION-FRACTURA PARED, CERCO, TECHO O PISO</v>
      </c>
      <c r="HI53" s="206" t="str">
        <f>IFERROR(INDEX($A$2:$A$113,MATCH(ROWS($DM$2:DM53),$DM$2:$DM$113,0)),"")</f>
        <v>ROBO PERFORACION-FRACTURA PARED, CERCO, TECHO O PISO</v>
      </c>
      <c r="HJ53" s="206" t="str">
        <f>IFERROR(INDEX($A$2:$A$113,MATCH(ROWS($DN$2:DN53),$DN$2:$DN$113,0)),"")</f>
        <v>ROBO PERFORACION-FRACTURA PARED, CERCO, TECHO O PISO</v>
      </c>
      <c r="HK53" s="206" t="str">
        <f>IFERROR(INDEX($A$2:$A$113,MATCH(ROWS($DO$2:DO53),$DO$2:$DO$113,0)),"")</f>
        <v>ROBO PERFORACION-FRACTURA PARED, CERCO, TECHO O PISO</v>
      </c>
      <c r="HL53" s="206" t="str">
        <f>IFERROR(INDEX($A$2:$A$113,MATCH(ROWS($DP$2:DP53),$DP$2:$DP$113,0)),"")</f>
        <v>ROBO PERFORACION-FRACTURA PARED, CERCO, TECHO O PISO</v>
      </c>
      <c r="HM53" s="206" t="str">
        <f>IFERROR(INDEX($A$2:$A$113,MATCH(ROWS($DQ$2:DQ53),$DQ$2:$DQ$113,0)),"")</f>
        <v>ROBO PERFORACION-FRACTURA PARED, CERCO, TECHO O PISO</v>
      </c>
      <c r="HN53" s="206" t="str">
        <f>IFERROR(INDEX($A$2:$A$113,MATCH(ROWS($DR$2:DR53),$DR$2:$DR$113,0)),"")</f>
        <v>ROBO PERFORACION-FRACTURA PARED, CERCO, TECHO O PISO</v>
      </c>
      <c r="HO53" s="206" t="str">
        <f>IFERROR(INDEX($A$2:$A$113,MATCH(ROWS($DS$2:DS53),$DS$2:$DS$113,0)),"")</f>
        <v>ROBO PERFORACION-FRACTURA PARED, CERCO, TECHO O PISO</v>
      </c>
      <c r="HP53" s="206" t="str">
        <f>IFERROR(INDEX($A$2:$A$113,MATCH(ROWS($DT$2:DT53),$DT$2:$DT$113,0)),"")</f>
        <v>ROBO PERFORACION-FRACTURA PARED, CERCO, TECHO O PISO</v>
      </c>
      <c r="HQ53" s="206" t="str">
        <f>IFERROR(INDEX($A$2:$A$113,MATCH(ROWS($DU$2:DU53),$DU$2:$DU$113,0)),"")</f>
        <v>ROBO PERFORACION-FRACTURA PARED, CERCO, TECHO O PISO</v>
      </c>
      <c r="HR53" s="206" t="str">
        <f>IFERROR(INDEX($A$2:$A$113,MATCH(ROWS($DV$2:DV53),$DV$2:$DV$113,0)),"")</f>
        <v>ROBO PERFORACION-FRACTURA PARED, CERCO, TECHO O PISO</v>
      </c>
      <c r="HS53" s="206" t="str">
        <f>IFERROR(INDEX($A$2:$A$113,MATCH(ROWS($DW$2:DW53),$DW$2:$DW$113,0)),"")</f>
        <v>ROBO PERFORACION-FRACTURA PARED, CERCO, TECHO O PISO</v>
      </c>
      <c r="HT53" s="206" t="str">
        <f>IFERROR(INDEX($A$2:$A$113,MATCH(ROWS($DX$2:DX53),$DX$2:$DX$113,0)),"")</f>
        <v>ROBO PERFORACION-FRACTURA PARED, CERCO, TECHO O PISO</v>
      </c>
      <c r="HU53" s="206" t="str">
        <f>IFERROR(INDEX($A$2:$A$113,MATCH(ROWS($DY$2:DY53),$DY$2:$DY$113,0)),"")</f>
        <v>ROBO PERFORACION-FRACTURA PARED, CERCO, TECHO O PISO</v>
      </c>
      <c r="HV53" s="206" t="str">
        <f>IFERROR(INDEX($A$2:$A$113,MATCH(ROWS($DZ$2:DZ53),$DZ$2:$DZ$113,0)),"")</f>
        <v>ROBO PERFORACION-FRACTURA PARED, CERCO, TECHO O PISO</v>
      </c>
      <c r="HW53" s="206" t="str">
        <f>IFERROR(INDEX($A$2:$A$113,MATCH(ROWS($EA$2:EA53),$EA$2:$EA$113,0)),"")</f>
        <v>ROBO PERFORACION-FRACTURA PARED, CERCO, TECHO O PISO</v>
      </c>
      <c r="HX53" s="206" t="str">
        <f>IFERROR(INDEX($A$2:$A$113,MATCH(ROWS($EB$2:EB53),$EB$2:$EB$113,0)),"")</f>
        <v>ROBO PERFORACION-FRACTURA PARED, CERCO, TECHO O PISO</v>
      </c>
      <c r="HY53" s="206" t="str">
        <f>IFERROR(INDEX($A$2:$A$113,MATCH(ROWS($EC$2:EC53),$EC$2:$EC$113,0)),"")</f>
        <v>ROBO PERFORACION-FRACTURA PARED, CERCO, TECHO O PISO</v>
      </c>
      <c r="HZ53" s="206" t="str">
        <f>IFERROR(INDEX($A$2:$A$113,MATCH(ROWS($ED$2:ED53),$ED$2:$ED$113,0)),"")</f>
        <v>ROBO PERFORACION-FRACTURA PARED, CERCO, TECHO O PISO</v>
      </c>
      <c r="IA53" s="206" t="str">
        <f>IFERROR(INDEX($A$2:$A$113,MATCH(ROWS($EE$2:EE53),$EE$2:$EE$113,0)),"")</f>
        <v>ROBO PERFORACION-FRACTURA PARED, CERCO, TECHO O PISO</v>
      </c>
      <c r="IB53" s="206" t="str">
        <f>IFERROR(INDEX($A$2:$A$113,MATCH(ROWS($EF$2:EF53),$EF$2:$EF$113,0)),"")</f>
        <v>ROBO PERFORACION-FRACTURA PARED, CERCO, TECHO O PISO</v>
      </c>
      <c r="IC53" s="206" t="str">
        <f>IFERROR(INDEX($A$2:$A$113,MATCH(ROWS($EG$2:EG53),$EG$2:$EG$113,0)),"")</f>
        <v>ROBO PERFORACION-FRACTURA PARED, CERCO, TECHO O PISO</v>
      </c>
      <c r="ID53" s="206" t="str">
        <f>IFERROR(INDEX($A$2:$A$113,MATCH(ROWS($EH$2:EH53),$EH$2:$EH$113,0)),"")</f>
        <v>ROBO PERFORACION-FRACTURA PARED, CERCO, TECHO O PISO</v>
      </c>
      <c r="IE53" s="206" t="str">
        <f>IFERROR(INDEX($A$2:$A$113,MATCH(ROWS($EI$2:EI53),$EI$2:$EI$113,0)),"")</f>
        <v>ROBO PERFORACION-FRACTURA PARED, CERCO, TECHO O PISO</v>
      </c>
      <c r="IF53" s="206" t="str">
        <f>IFERROR(INDEX($A$2:$A$113,MATCH(ROWS($EJ$2:EJ53),$EJ$2:$EJ$113,0)),"")</f>
        <v>ROBO PERFORACION-FRACTURA PARED, CERCO, TECHO O PISO</v>
      </c>
      <c r="IG53" s="206" t="str">
        <f>IFERROR(INDEX($A$2:$A$113,MATCH(ROWS($EK$2:EK53),$EK$2:$EK$113,0)),"")</f>
        <v>ROBO PERFORACION-FRACTURA PARED, CERCO, TECHO O PISO</v>
      </c>
      <c r="IH53" s="206" t="str">
        <f>IFERROR(INDEX($A$2:$A$113,MATCH(ROWS($EL$2:EL53),$EL$2:$EL$113,0)),"")</f>
        <v>ROBO PERFORACION-FRACTURA PARED, CERCO, TECHO O PISO</v>
      </c>
      <c r="II53" s="206" t="str">
        <f>IFERROR(INDEX($A$2:$A$113,MATCH(ROWS($EM$2:EM53),$EM$2:$EM$113,0)),"")</f>
        <v>ROBO PERFORACION-FRACTURA PARED, CERCO, TECHO O PISO</v>
      </c>
      <c r="IJ53" s="206" t="str">
        <f>IFERROR(INDEX($A$2:$A$113,MATCH(ROWS($EN$2:EN53),$EN$2:$EN$113,0)),"")</f>
        <v>ROBO PERFORACION-FRACTURA PARED, CERCO, TECHO O PISO</v>
      </c>
      <c r="IK53" s="207" t="str">
        <f>IFERROR(INDEX($A$2:$A$113,MATCH(ROWS($EO$2:EO53),$EO$2:$EO$113,0)),"")</f>
        <v>ROBO PERFORACION-FRACTURA PARED, CERCO, TECHO O PISO</v>
      </c>
      <c r="IL53" s="207" t="str">
        <f>IFERROR(INDEX($A$2:$A$113,MATCH(ROWS($EP$2:EP53),$EP$2:$EP$113,0)),"")</f>
        <v>ROBO PERFORACION-FRACTURA PARED, CERCO, TECHO O PISO</v>
      </c>
      <c r="IM53" s="207" t="str">
        <f>IFERROR(INDEX($A$2:$A$113,MATCH(ROWS($EQ$2:EQ53),$EQ$2:$EQ$113,0)),"")</f>
        <v>ROBO PERFORACION-FRACTURA PARED, CERCO, TECHO O PISO</v>
      </c>
      <c r="IN53" s="207" t="str">
        <f>IFERROR(INDEX($A$2:$A$113,MATCH(ROWS($ER$2:ER53),$ER$2:$ER$113,0)),"")</f>
        <v>ROBO PERFORACION-FRACTURA PARED, CERCO, TECHO O PISO</v>
      </c>
      <c r="IO53" s="207" t="str">
        <f>IFERROR(INDEX($A$2:$A$113,MATCH(ROWS($ES$2:ES53),$ES$2:$ES$113,0)),"")</f>
        <v>ROBO PERFORACION-FRACTURA PARED, CERCO, TECHO O PISO</v>
      </c>
      <c r="IP53" s="207" t="str">
        <f>IFERROR(INDEX($A$2:$A$113,MATCH(ROWS($ET$2:ET53),$ET$2:$ET$113,0)),"")</f>
        <v>ROBO PERFORACION-FRACTURA PARED, CERCO, TECHO O PISO</v>
      </c>
      <c r="IQ53" s="207" t="str">
        <f>IFERROR(INDEX($A$2:$A$113,MATCH(ROWS($EU$2:EU53),$EU$2:$EU$113,0)),"")</f>
        <v>ROBO PERFORACION-FRACTURA PARED, CERCO, TECHO O PISO</v>
      </c>
      <c r="IR53" s="207" t="str">
        <f>IFERROR(INDEX($A$2:$A$113,MATCH(ROWS($EV$2:EV53),$EV$2:$EV$113,0)),"")</f>
        <v>ROBO PERFORACION-FRACTURA PARED, CERCO, TECHO O PISO</v>
      </c>
      <c r="IS53" s="207" t="str">
        <f>IFERROR(INDEX($A$2:$A$113,MATCH(ROWS($EW$2:EW53),$EW$2:$EW$113,0)),"")</f>
        <v>ROBO PERFORACION-FRACTURA PARED, CERCO, TECHO O PISO</v>
      </c>
      <c r="IT53" s="207" t="str">
        <f>IFERROR(INDEX($A$2:$A$113,MATCH(ROWS($EX$2:EX53),$EX$2:$EX$113,0)),"")</f>
        <v>ROBO PERFORACION-FRACTURA PARED, CERCO, TECHO O PISO</v>
      </c>
      <c r="IU53" s="207" t="str">
        <f>IFERROR(INDEX($A$2:$A$113,MATCH(ROWS($EY$2:EY53),$EY$2:$EY$113,0)),"")</f>
        <v>ROBO PERFORACION-FRACTURA PARED, CERCO, TECHO O PISO</v>
      </c>
      <c r="IV53" s="207" t="str">
        <f>IFERROR(INDEX($A$2:$A$113,MATCH(ROWS($EZ$2:EZ53),$EZ$2:$EZ$113,0)),"")</f>
        <v>ROBO PERFORACION-FRACTURA PARED, CERCO, TECHO O PISO</v>
      </c>
      <c r="IW53" s="207" t="str">
        <f>IFERROR(INDEX($A$2:$A$113,MATCH(ROWS($FA$2:FA53),$FA$2:$FA$113,0)),"")</f>
        <v>ROBO PERFORACION-FRACTURA PARED, CERCO, TECHO O PISO</v>
      </c>
      <c r="IX53" s="207" t="str">
        <f>IFERROR(INDEX($A$2:$A$113,MATCH(ROWS($FB$2:FB53),$FB$2:$FB$113,0)),"")</f>
        <v>ROBO PERFORACION-FRACTURA PARED, CERCO, TECHO O PISO</v>
      </c>
      <c r="IY53" s="207" t="str">
        <f>IFERROR(INDEX($A$2:$A$113,MATCH(ROWS($FC$2:FC53),$FC$2:$FC$113,0)),"")</f>
        <v>ROBO PERFORACION-FRACTURA PARED, CERCO, TECHO O PISO</v>
      </c>
      <c r="IZ53" s="207" t="str">
        <f>IFERROR(INDEX($A$2:$A$113,MATCH(ROWS($FD$2:FD53),$FD$2:$FD$113,0)),"")</f>
        <v>ROBO PERFORACION-FRACTURA PARED, CERCO, TECHO O PISO</v>
      </c>
      <c r="JA53" s="207" t="str">
        <f>IFERROR(INDEX($A$2:$A$113,MATCH(ROWS($FE$2:FE53),$FE$2:$FE$113,0)),"")</f>
        <v>ROBO PERFORACION-FRACTURA PARED, CERCO, TECHO O PISO</v>
      </c>
      <c r="JB53" s="207" t="str">
        <f>IFERROR(INDEX($A$2:$A$113,MATCH(ROWS($FF$2:FF53),$FF$2:$FF$113,0)),"")</f>
        <v>ROBO PERFORACION-FRACTURA PARED, CERCO, TECHO O PISO</v>
      </c>
      <c r="JC53" s="207" t="str">
        <f>IFERROR(INDEX($A$2:$A$113,MATCH(ROWS($FG$2:FG53),$FG$2:$FG$113,0)),"")</f>
        <v>ROBO PERFORACION-FRACTURA PARED, CERCO, TECHO O PISO</v>
      </c>
      <c r="JD53" s="207" t="str">
        <f>IFERROR(INDEX($A$2:$A$113,MATCH(ROWS($FH$2:FH53),$FH$2:$FH$113,0)),"")</f>
        <v>ROBO PERFORACION-FRACTURA PARED, CERCO, TECHO O PISO</v>
      </c>
      <c r="JE53" s="207" t="str">
        <f>IFERROR(INDEX($A$2:$A$113,MATCH(ROWS($FI$2:FI53),$FI$2:$FI$113,0)),"")</f>
        <v>ROBO PERFORACION-FRACTURA PARED, CERCO, TECHO O PISO</v>
      </c>
      <c r="JF53" s="207" t="str">
        <f>IFERROR(INDEX($A$2:$A$113,MATCH(ROWS($FJ$2:FJ53),$FJ$2:$FJ$113,0)),"")</f>
        <v>ROBO PERFORACION-FRACTURA PARED, CERCO, TECHO O PISO</v>
      </c>
      <c r="JG53" s="207" t="str">
        <f>IFERROR(INDEX($A$2:$A$113,MATCH(ROWS($FK$2:FK53),$FK$2:$FK$113,0)),"")</f>
        <v>ROBO PERFORACION-FRACTURA PARED, CERCO, TECHO O PISO</v>
      </c>
      <c r="JH53" s="207" t="str">
        <f>IFERROR(INDEX($A$2:$A$113,MATCH(ROWS($FL$2:FL53),$FL$2:$FL$113,0)),"")</f>
        <v>ROBO PERFORACION-FRACTURA PARED, CERCO, TECHO O PISO</v>
      </c>
      <c r="JI53" s="207" t="str">
        <f>IFERROR(INDEX($A$2:$A$113,MATCH(ROWS($FM$2:FM53),$FM$2:$FM$113,0)),"")</f>
        <v>ROBO PERFORACION-FRACTURA PARED, CERCO, TECHO O PISO</v>
      </c>
      <c r="JJ53" s="207" t="str">
        <f>IFERROR(INDEX($A$2:$A$113,MATCH(ROWS($FN$2:FN53),$FN$2:$FN$113,0)),"")</f>
        <v>ROBO PERFORACION-FRACTURA PARED, CERCO, TECHO O PISO</v>
      </c>
      <c r="JK53" s="207" t="str">
        <f>IFERROR(INDEX($A$2:$A$113,MATCH(ROWS($FO$2:FO53),$FO$2:$FO$113,0)),"")</f>
        <v>ROBO PERFORACION-FRACTURA PARED, CERCO, TECHO O PISO</v>
      </c>
      <c r="JL53" s="207" t="str">
        <f>IFERROR(INDEX($A$2:$A$113,MATCH(ROWS($FP$2:FP53),$FP$2:$FP$113,0)),"")</f>
        <v>ROBO PERFORACION-FRACTURA PARED, CERCO, TECHO O PISO</v>
      </c>
      <c r="JM53" s="207" t="str">
        <f>IFERROR(INDEX($A$2:$A$113,MATCH(ROWS($FQ$2:FQ53),$FQ$2:$FQ$113,0)),"")</f>
        <v>ROBO PERFORACION-FRACTURA PARED, CERCO, TECHO O PISO</v>
      </c>
      <c r="JN53" s="207" t="str">
        <f>IFERROR(INDEX($A$2:$A$113,MATCH(ROWS($FR$2:FR53),$FR$2:$FR$113,0)),"")</f>
        <v>ROBO PERFORACION-FRACTURA PARED, CERCO, TECHO O PISO</v>
      </c>
      <c r="JO53" s="207" t="str">
        <f>IFERROR(INDEX($A$2:$A$113,MATCH(ROWS($FS$2:FS53),$FS$2:$FS$113,0)),"")</f>
        <v>ROBO PERFORACION-FRACTURA PARED, CERCO, TECHO O PISO</v>
      </c>
      <c r="JP53" s="207" t="str">
        <f>IFERROR(INDEX($A$2:$A$113,MATCH(ROWS($FT$2:FT53),$FT$2:$FT$113,0)),"")</f>
        <v>ROBO PERFORACION-FRACTURA PARED, CERCO, TECHO O PISO</v>
      </c>
      <c r="JQ53" s="207" t="str">
        <f>IFERROR(INDEX($A$2:$A$113,MATCH(ROWS($FU$2:FU53),$FU$2:$FU$113,0)),"")</f>
        <v>ROBO PERFORACION-FRACTURA PARED, CERCO, TECHO O PISO</v>
      </c>
      <c r="JR53" s="207" t="str">
        <f>IFERROR(INDEX($A$2:$A$113,MATCH(ROWS($FV$2:FV53),$FV$2:$FV$113,0)),"")</f>
        <v>ROBO PERFORACION-FRACTURA PARED, CERCO, TECHO O PISO</v>
      </c>
      <c r="JS53" s="207" t="str">
        <f>IFERROR(INDEX($A$2:$A$113,MATCH(ROWS($FW$2:FW53),$FW$2:$FW$113,0)),"")</f>
        <v>ROBO PERFORACION-FRACTURA PARED, CERCO, TECHO O PISO</v>
      </c>
      <c r="JT53" s="207" t="str">
        <f>IFERROR(INDEX($A$2:$A$113,MATCH(ROWS($FX$2:FX53),$FX$2:$FX$113,0)),"")</f>
        <v>ROBO PERFORACION-FRACTURA PARED, CERCO, TECHO O PISO</v>
      </c>
      <c r="JU53" s="207" t="str">
        <f>IFERROR(INDEX($A$2:$A$113,MATCH(ROWS($FY$2:FY53),$FY$2:$FY$113,0)),"")</f>
        <v>ROBO PERFORACION-FRACTURA PARED, CERCO, TECHO O PISO</v>
      </c>
      <c r="JV53" s="207" t="str">
        <f>IFERROR(INDEX($A$2:$A$113,MATCH(ROWS($FZ$2:FZ53),$FZ$2:$FZ$113,0)),"")</f>
        <v>ROBO PERFORACION-FRACTURA PARED, CERCO, TECHO O PISO</v>
      </c>
      <c r="JW53" s="207" t="str">
        <f>IFERROR(INDEX($A$2:$A$113,MATCH(ROWS($GA$2:GA53),$GA$2:$GA$113,0)),"")</f>
        <v>ROBO PERFORACION-FRACTURA PARED, CERCO, TECHO O PISO</v>
      </c>
      <c r="JX53" s="207" t="str">
        <f>IFERROR(INDEX($A$2:$A$113,MATCH(ROWS($GB$2:GB53),$GB$2:$GB$113,0)),"")</f>
        <v>ROBO PERFORACION-FRACTURA PARED, CERCO, TECHO O PISO</v>
      </c>
      <c r="JY53" s="207" t="str">
        <f>IFERROR(INDEX($A$2:$A$113,MATCH(ROWS($GC$2:GC53),$GC$2:$GC$113,0)),"")</f>
        <v>ROBO PERFORACION-FRACTURA PARED, CERCO, TECHO O PISO</v>
      </c>
      <c r="JZ53" s="207" t="str">
        <f>IFERROR(INDEX($A$2:$A$113,MATCH(ROWS($GD$2:GD53),$GD$2:$GD$113,0)),"")</f>
        <v>ROBO PERFORACION-FRACTURA PARED, CERCO, TECHO O PISO</v>
      </c>
      <c r="KA53" s="207" t="str">
        <f>IFERROR(INDEX($A$2:$A$113,MATCH(ROWS($GE$2:GE53),$GE$2:$GE$113,0)),"")</f>
        <v>ROBO PERFORACION-FRACTURA PARED, CERCO, TECHO O PISO</v>
      </c>
      <c r="KB53" s="207" t="str">
        <f>IFERROR(INDEX($A$2:$A$113,MATCH(ROWS($GF$2:GF53),$GF$2:$GF$113,0)),"")</f>
        <v>ROBO PERFORACION-FRACTURA PARED, CERCO, TECHO O PISO</v>
      </c>
      <c r="KC53" s="207" t="str">
        <f>IFERROR(INDEX($A$2:$A$113,MATCH(ROWS($GG$2:GG53),$GG$2:$GG$113,0)),"")</f>
        <v>ROBO PERFORACION-FRACTURA PARED, CERCO, TECHO O PISO</v>
      </c>
      <c r="KD53" s="207" t="str">
        <f>IFERROR(INDEX($A$2:$A$113,MATCH(ROWS($GH$2:GH53),$GH$2:$GH$113,0)),"")</f>
        <v>ROBO PERFORACION-FRACTURA PARED, CERCO, TECHO O PISO</v>
      </c>
      <c r="KE53" s="207" t="str">
        <f>IFERROR(INDEX($A$2:$A$113,MATCH(ROWS($GI$2:GI53),$GI$2:$GI$113,0)),"")</f>
        <v>ROBO PERFORACION-FRACTURA PARED, CERCO, TECHO O PISO</v>
      </c>
      <c r="KF53" s="207" t="str">
        <f>IFERROR(INDEX($A$2:$A$113,MATCH(ROWS($GJ$2:GJ53),$GJ$2:$GJ$113,0)),"")</f>
        <v>ROBO PERFORACION-FRACTURA PARED, CERCO, TECHO O PISO</v>
      </c>
      <c r="KG53" s="207" t="str">
        <f>IFERROR(INDEX($A$2:$A$113,MATCH(ROWS($GK$2:GK53),$GK$2:$GK$113,0)),"")</f>
        <v>ROBO PERFORACION-FRACTURA PARED, CERCO, TECHO O PISO</v>
      </c>
      <c r="KH53" s="207" t="str">
        <f>IFERROR(INDEX($A$2:$A$113,MATCH(ROWS($GL$2:GL53),$GL$2:$GL$113,0)),"")</f>
        <v>ROBO PERFORACION-FRACTURA PARED, CERCO, TECHO O PISO</v>
      </c>
      <c r="KI53" s="207" t="str">
        <f>IFERROR(INDEX($A$2:$A$113,MATCH(ROWS($GM$2:GM53),$GM$2:$GM$113,0)),"")</f>
        <v>ROBO PERFORACION-FRACTURA PARED, CERCO, TECHO O PISO</v>
      </c>
      <c r="KJ53" s="207" t="str">
        <f>IFERROR(INDEX($A$2:$A$113,MATCH(ROWS($GN$2:GN53),$GN$2:$GN$113,0)),"")</f>
        <v>ROBO PERFORACION-FRACTURA PARED, CERCO, TECHO O PISO</v>
      </c>
      <c r="KK53" s="207" t="str">
        <f>IFERROR(INDEX($A$2:$A$113,MATCH(ROWS($GO$2:GO53),$GO$2:$GO$113,0)),"")</f>
        <v>ROBO PERFORACION-FRACTURA PARED, CERCO, TECHO O PISO</v>
      </c>
      <c r="KL53" s="207" t="str">
        <f>IFERROR(INDEX($A$2:$A$113,MATCH(ROWS($GP$2:GP53),$GP$2:$GP$113,0)),"")</f>
        <v>ROBO PERFORACION-FRACTURA PARED, CERCO, TECHO O PISO</v>
      </c>
      <c r="KM53" s="207" t="str">
        <f>IFERROR(INDEX($A$2:$A$113,MATCH(ROWS($GQ$2:GQ53),$GQ$2:$GQ$113,0)),"")</f>
        <v>ROBO PERFORACION-FRACTURA PARED, CERCO, TECHO O PISO</v>
      </c>
      <c r="KN53" s="207" t="str">
        <f>IFERROR(INDEX($A$2:$A$113,MATCH(ROWS($GR$2:GR53),$GR$2:$GR$113,0)),"")</f>
        <v>ROBO PERFORACION-FRACTURA PARED, CERCO, TECHO O PISO</v>
      </c>
      <c r="KO53" s="207" t="str">
        <f>IFERROR(INDEX($A$2:$A$113,MATCH(ROWS($GS$2:GS53),$GS$2:$GS$113,0)),"")</f>
        <v>ROBO PERFORACION-FRACTURA PARED, CERCO, TECHO O PISO</v>
      </c>
      <c r="KP53" s="207" t="str">
        <f>IFERROR(INDEX($A$2:$A$113,MATCH(ROWS($GT$2:GT53),$GT$2:$GT$113,0)),"")</f>
        <v>ROBO PERFORACION-FRACTURA PARED, CERCO, TECHO O PISO</v>
      </c>
      <c r="KQ53" s="207" t="str">
        <f>IFERROR(INDEX($A$2:$A$113,MATCH(ROWS($GU$2:GU53),$GU$2:$GU$113,0)),"")</f>
        <v>ROBO PERFORACION-FRACTURA PARED, CERCO, TECHO O PISO</v>
      </c>
      <c r="KR53" s="207" t="str">
        <f>IFERROR(INDEX($A$2:$A$113,MATCH(ROWS($GV$2:GV53),$GV$2:$GV$113,0)),"")</f>
        <v>ROBO PERFORACION-FRACTURA PARED, CERCO, TECHO O PISO</v>
      </c>
      <c r="KS53" s="207" t="str">
        <f>IFERROR(INDEX($A$2:$A$113,MATCH(ROWS($GW$2:GW53),$GW$2:$GW$113,0)),"")</f>
        <v>ROBO PERFORACION-FRACTURA PARED, CERCO, TECHO O PISO</v>
      </c>
    </row>
    <row r="54" spans="1:305" x14ac:dyDescent="0.25">
      <c r="A54" s="206" t="s">
        <v>93</v>
      </c>
      <c r="B54" s="206">
        <v>15</v>
      </c>
      <c r="C54" s="206">
        <v>9</v>
      </c>
      <c r="D54" s="206" t="s">
        <v>47</v>
      </c>
      <c r="E54" s="206" t="s">
        <v>510</v>
      </c>
      <c r="F54" s="207">
        <f>--ISNUMBER(IFERROR(SEARCH('PLANILLA DJ'!$X$3,$A54,1),""))</f>
        <v>1</v>
      </c>
      <c r="G54" s="207">
        <f>--ISNUMBER(IFERROR(SEARCH('PLANILLA DJ'!$X$4,$A54,1),""))</f>
        <v>1</v>
      </c>
      <c r="H54" s="207">
        <f>--ISNUMBER(IFERROR(SEARCH('PLANILLA DJ'!$X$5,$A54,1),""))</f>
        <v>1</v>
      </c>
      <c r="I54" s="207">
        <f>--ISNUMBER(IFERROR(SEARCH('PLANILLA DJ'!$X$6,$A54,1),""))</f>
        <v>1</v>
      </c>
      <c r="J54" s="207">
        <f>--ISNUMBER(IFERROR(SEARCH('PLANILLA DJ'!$X$7,$A54,1),""))</f>
        <v>1</v>
      </c>
      <c r="K54" s="207">
        <f>--ISNUMBER(IFERROR(SEARCH('PLANILLA DJ'!$X$8,$A54,1),""))</f>
        <v>1</v>
      </c>
      <c r="L54" s="207">
        <f>--ISNUMBER(IFERROR(SEARCH('PLANILLA DJ'!$X$9,$A54,1),""))</f>
        <v>1</v>
      </c>
      <c r="M54" s="207">
        <f>--ISNUMBER(IFERROR(SEARCH('PLANILLA DJ'!$X$10,$A54,1),""))</f>
        <v>1</v>
      </c>
      <c r="N54" s="207">
        <f>--ISNUMBER(IFERROR(SEARCH('PLANILLA DJ'!$X$11,$A54,1),""))</f>
        <v>1</v>
      </c>
      <c r="O54" s="207">
        <f>--ISNUMBER(IFERROR(SEARCH('PLANILLA DJ'!$X$12,$A54,1),""))</f>
        <v>1</v>
      </c>
      <c r="P54" s="207">
        <f>--ISNUMBER(IFERROR(SEARCH('PLANILLA DJ'!$X$13,$A54,1),""))</f>
        <v>1</v>
      </c>
      <c r="Q54" s="207">
        <f>--ISNUMBER(IFERROR(SEARCH('PLANILLA DJ'!$X$14,$A54,1),""))</f>
        <v>1</v>
      </c>
      <c r="R54" s="207">
        <f>--ISNUMBER(IFERROR(SEARCH('PLANILLA DJ'!$X$15,$A54,1),""))</f>
        <v>1</v>
      </c>
      <c r="S54" s="207">
        <f>--ISNUMBER(IFERROR(SEARCH('PLANILLA DJ'!$X$16,$A54,1),""))</f>
        <v>1</v>
      </c>
      <c r="T54" s="207">
        <f>--ISNUMBER(IFERROR(SEARCH('PLANILLA DJ'!$X$17,$A54,1),""))</f>
        <v>1</v>
      </c>
      <c r="U54" s="207">
        <f>--ISNUMBER(IFERROR(SEARCH('PLANILLA DJ'!$X$18,$A54,1),""))</f>
        <v>1</v>
      </c>
      <c r="V54" s="207">
        <f>--ISNUMBER(IFERROR(SEARCH('PLANILLA DJ'!$X$19,$A54,1),""))</f>
        <v>1</v>
      </c>
      <c r="W54" s="207">
        <f>--ISNUMBER(IFERROR(SEARCH('PLANILLA DJ'!$X$20,$A54,1),""))</f>
        <v>1</v>
      </c>
      <c r="X54" s="207">
        <f>--ISNUMBER(IFERROR(SEARCH('PLANILLA DJ'!$X$21,$A54,1),""))</f>
        <v>1</v>
      </c>
      <c r="Y54" s="207">
        <f>--ISNUMBER(IFERROR(SEARCH('PLANILLA DJ'!$X$22,$A54,1),""))</f>
        <v>1</v>
      </c>
      <c r="Z54" s="207">
        <f>--ISNUMBER(IFERROR(SEARCH('PLANILLA DJ'!$X$23,$A54,1),""))</f>
        <v>1</v>
      </c>
      <c r="AA54" s="207">
        <f>--ISNUMBER(IFERROR(SEARCH('PLANILLA DJ'!$X$24,$A54,1),""))</f>
        <v>1</v>
      </c>
      <c r="AB54" s="207">
        <f>--ISNUMBER(IFERROR(SEARCH('PLANILLA DJ'!$X$25,$A54,1),""))</f>
        <v>1</v>
      </c>
      <c r="AC54" s="207">
        <f>--ISNUMBER(IFERROR(SEARCH('PLANILLA DJ'!$X$26,$A54,1),""))</f>
        <v>1</v>
      </c>
      <c r="AD54" s="207">
        <f>--ISNUMBER(IFERROR(SEARCH('PLANILLA DJ'!$X$27,$A54,1),""))</f>
        <v>1</v>
      </c>
      <c r="AE54" s="207">
        <f>--ISNUMBER(IFERROR(SEARCH('PLANILLA DJ'!$X$28,$A54,1),""))</f>
        <v>1</v>
      </c>
      <c r="AF54" s="207">
        <f>--ISNUMBER(IFERROR(SEARCH('PLANILLA DJ'!$X$29,$A54,1),""))</f>
        <v>1</v>
      </c>
      <c r="AG54" s="207">
        <f>--ISNUMBER(IFERROR(SEARCH('PLANILLA DJ'!$X$30,$A54,1),""))</f>
        <v>1</v>
      </c>
      <c r="AH54" s="207">
        <f>--ISNUMBER(IFERROR(SEARCH('PLANILLA DJ'!$X$31,$A54,1),""))</f>
        <v>1</v>
      </c>
      <c r="AI54" s="207">
        <f>--ISNUMBER(IFERROR(SEARCH('PLANILLA DJ'!$X$32,$A54,1),""))</f>
        <v>1</v>
      </c>
      <c r="AJ54" s="207">
        <f>--ISNUMBER(IFERROR(SEARCH('PLANILLA DJ'!$X$33,$A54,1),""))</f>
        <v>1</v>
      </c>
      <c r="AK54" s="207">
        <f>--ISNUMBER(IFERROR(SEARCH('PLANILLA DJ'!$X$34,$A54,1),""))</f>
        <v>1</v>
      </c>
      <c r="AL54" s="207">
        <f>--ISNUMBER(IFERROR(SEARCH('PLANILLA DJ'!$X$35,$A54,1),""))</f>
        <v>1</v>
      </c>
      <c r="AM54" s="207">
        <f>--ISNUMBER(IFERROR(SEARCH('PLANILLA DJ'!$X$36,$A54,1),""))</f>
        <v>1</v>
      </c>
      <c r="AN54" s="207">
        <f>--ISNUMBER(IFERROR(SEARCH('PLANILLA DJ'!$X$37,$A54,1),""))</f>
        <v>1</v>
      </c>
      <c r="AO54" s="207">
        <f>--ISNUMBER(IFERROR(SEARCH('PLANILLA DJ'!$X$38,$A54,1),""))</f>
        <v>1</v>
      </c>
      <c r="AP54" s="207">
        <f>--ISNUMBER(IFERROR(SEARCH('PLANILLA DJ'!$X$39,$A54,1),""))</f>
        <v>1</v>
      </c>
      <c r="AQ54" s="207">
        <f>--ISNUMBER(IFERROR(SEARCH('PLANILLA DJ'!$X$40,$A54,1),""))</f>
        <v>1</v>
      </c>
      <c r="AR54" s="207">
        <f>--ISNUMBER(IFERROR(SEARCH('PLANILLA DJ'!$X$41,$A54,1),""))</f>
        <v>1</v>
      </c>
      <c r="AS54" s="207">
        <f>--ISNUMBER(IFERROR(SEARCH('PLANILLA DJ'!$X$42,$A54,1),""))</f>
        <v>1</v>
      </c>
      <c r="AT54" s="207">
        <f>--ISNUMBER(IFERROR(SEARCH('PLANILLA DJ'!$X$43,$A54,1),""))</f>
        <v>1</v>
      </c>
      <c r="AU54" s="207">
        <f>--ISNUMBER(IFERROR(SEARCH('PLANILLA DJ'!$X$44,$A54,1),""))</f>
        <v>1</v>
      </c>
      <c r="AV54" s="207">
        <f>--ISNUMBER(IFERROR(SEARCH('PLANILLA DJ'!$X$45,$A54,1),""))</f>
        <v>1</v>
      </c>
      <c r="AW54" s="207">
        <f>--ISNUMBER(IFERROR(SEARCH('PLANILLA DJ'!$X$46,$A54,1),""))</f>
        <v>1</v>
      </c>
      <c r="AX54" s="207">
        <f>--ISNUMBER(IFERROR(SEARCH('PLANILLA DJ'!$X$47,$A54,1),""))</f>
        <v>1</v>
      </c>
      <c r="AY54" s="207">
        <f>--ISNUMBER(IFERROR(SEARCH('PLANILLA DJ'!$X$48,$A54,1),""))</f>
        <v>1</v>
      </c>
      <c r="AZ54" s="207">
        <f>--ISNUMBER(IFERROR(SEARCH('PLANILLA DJ'!$X$49,$A54,1),""))</f>
        <v>1</v>
      </c>
      <c r="BA54" s="207">
        <f>--ISNUMBER(IFERROR(SEARCH('PLANILLA DJ'!$X$50,$A54,1),""))</f>
        <v>1</v>
      </c>
      <c r="BB54" s="207">
        <f>--ISNUMBER(IFERROR(SEARCH('PLANILLA DJ'!$X$51,$A54,1),""))</f>
        <v>1</v>
      </c>
      <c r="BC54" s="207">
        <f>--ISNUMBER(IFERROR(SEARCH('PLANILLA DJ'!$X$52,$A54,1),""))</f>
        <v>1</v>
      </c>
      <c r="BD54" s="207">
        <f>--ISNUMBER(IFERROR(SEARCH('PLANILLA DJ'!$X$53,$A54,1),""))</f>
        <v>1</v>
      </c>
      <c r="BE54" s="207">
        <f>--ISNUMBER(IFERROR(SEARCH('PLANILLA DJ'!$X$54,$A54,1),""))</f>
        <v>1</v>
      </c>
      <c r="BF54" s="207">
        <f>--ISNUMBER(IFERROR(SEARCH('PLANILLA DJ'!$X$55,$A54,1),""))</f>
        <v>1</v>
      </c>
      <c r="BG54" s="207">
        <f>--ISNUMBER(IFERROR(SEARCH('PLANILLA DJ'!$X$56,$A54,1),""))</f>
        <v>1</v>
      </c>
      <c r="BH54" s="207">
        <f>--ISNUMBER(IFERROR(SEARCH('PLANILLA DJ'!$X$57,$A54,1),""))</f>
        <v>1</v>
      </c>
      <c r="BI54" s="207">
        <f>--ISNUMBER(IFERROR(SEARCH('PLANILLA DJ'!$X$58,$A54,1),""))</f>
        <v>1</v>
      </c>
      <c r="BJ54" s="207">
        <f>--ISNUMBER(IFERROR(SEARCH('PLANILLA DJ'!$X$59,$A54,1),""))</f>
        <v>1</v>
      </c>
      <c r="BK54" s="207">
        <f>--ISNUMBER(IFERROR(SEARCH('PLANILLA DJ'!$X$60,$A54,1),""))</f>
        <v>1</v>
      </c>
      <c r="BL54" s="207">
        <f>--ISNUMBER(IFERROR(SEARCH('PLANILLA DJ'!$X$61,$A54,1),""))</f>
        <v>1</v>
      </c>
      <c r="BM54" s="207">
        <f>--ISNUMBER(IFERROR(SEARCH('PLANILLA DJ'!$X$62,$A54,1),""))</f>
        <v>1</v>
      </c>
      <c r="BN54" s="207">
        <f>--ISNUMBER(IFERROR(SEARCH('PLANILLA DJ'!$X$63,$A54,1),""))</f>
        <v>1</v>
      </c>
      <c r="BO54" s="207">
        <f>--ISNUMBER(IFERROR(SEARCH('PLANILLA DJ'!$X$64,$A54,1),""))</f>
        <v>1</v>
      </c>
      <c r="BP54" s="207">
        <f>--ISNUMBER(IFERROR(SEARCH('PLANILLA DJ'!$X$65,$A54,1),""))</f>
        <v>1</v>
      </c>
      <c r="BQ54" s="207">
        <f>--ISNUMBER(IFERROR(SEARCH('PLANILLA DJ'!$X$66,$A54,1),""))</f>
        <v>1</v>
      </c>
      <c r="BR54" s="207">
        <f>--ISNUMBER(IFERROR(SEARCH('PLANILLA DJ'!$X$67,$A54,1),""))</f>
        <v>1</v>
      </c>
      <c r="BS54" s="207">
        <f>--ISNUMBER(IFERROR(SEARCH('PLANILLA DJ'!$X$68,$A54,1),""))</f>
        <v>1</v>
      </c>
      <c r="BT54" s="207">
        <f>--ISNUMBER(IFERROR(SEARCH('PLANILLA DJ'!$X$69,$A54,1),""))</f>
        <v>1</v>
      </c>
      <c r="BU54" s="207">
        <f>--ISNUMBER(IFERROR(SEARCH('PLANILLA DJ'!$X$70,$A54,1),""))</f>
        <v>1</v>
      </c>
      <c r="BV54" s="207">
        <f>--ISNUMBER(IFERROR(SEARCH('PLANILLA DJ'!$X$71,$A54,1),""))</f>
        <v>1</v>
      </c>
      <c r="BW54" s="207">
        <f>--ISNUMBER(IFERROR(SEARCH('PLANILLA DJ'!$X$72,$A54,1),""))</f>
        <v>1</v>
      </c>
      <c r="BX54" s="207">
        <f>--ISNUMBER(IFERROR(SEARCH('PLANILLA DJ'!$X$73,$A54,1),""))</f>
        <v>1</v>
      </c>
      <c r="BY54" s="207">
        <f>--ISNUMBER(IFERROR(SEARCH('PLANILLA DJ'!$X$74,$A54,1),""))</f>
        <v>1</v>
      </c>
      <c r="BZ54" s="207">
        <f>--ISNUMBER(IFERROR(SEARCH('PLANILLA DJ'!$X$75,$A54,1),""))</f>
        <v>1</v>
      </c>
      <c r="CA54" s="207">
        <f>--ISNUMBER(IFERROR(SEARCH('PLANILLA DJ'!$X$76,$A54,1),""))</f>
        <v>1</v>
      </c>
      <c r="CB54" s="207">
        <f>--ISNUMBER(IFERROR(SEARCH('PLANILLA DJ'!$X$77,$A54,1),""))</f>
        <v>1</v>
      </c>
      <c r="CC54" s="207">
        <f>--ISNUMBER(IFERROR(SEARCH('PLANILLA DJ'!$X$78,$A54,1),""))</f>
        <v>1</v>
      </c>
      <c r="CD54" s="207">
        <f>--ISNUMBER(IFERROR(SEARCH('PLANILLA DJ'!$X$79,$A54,1),""))</f>
        <v>1</v>
      </c>
      <c r="CE54" s="207">
        <f>--ISNUMBER(IFERROR(SEARCH('PLANILLA DJ'!$X$80,$A54,1),""))</f>
        <v>1</v>
      </c>
      <c r="CF54" s="207">
        <f>--ISNUMBER(IFERROR(SEARCH('PLANILLA DJ'!$X$81,$A54,1),""))</f>
        <v>1</v>
      </c>
      <c r="CG54" s="207">
        <f>--ISNUMBER(IFERROR(SEARCH('PLANILLA DJ'!$X$82,$A54,1),""))</f>
        <v>1</v>
      </c>
      <c r="CH54" s="207">
        <f>--ISNUMBER(IFERROR(SEARCH('PLANILLA DJ'!$X$83,$A54,1),""))</f>
        <v>1</v>
      </c>
      <c r="CI54" s="207">
        <f>--ISNUMBER(IFERROR(SEARCH('PLANILLA DJ'!$X$84,$A54,1),""))</f>
        <v>1</v>
      </c>
      <c r="CJ54" s="207">
        <f>--ISNUMBER(IFERROR(SEARCH('PLANILLA DJ'!$X$85,$A54,1),""))</f>
        <v>1</v>
      </c>
      <c r="CK54" s="207">
        <f>--ISNUMBER(IFERROR(SEARCH('PLANILLA DJ'!$X$86,$A54,1),""))</f>
        <v>1</v>
      </c>
      <c r="CL54" s="207">
        <f>--ISNUMBER(IFERROR(SEARCH('PLANILLA DJ'!$X$87,$A54,1),""))</f>
        <v>1</v>
      </c>
      <c r="CM54" s="207">
        <f>--ISNUMBER(IFERROR(SEARCH('PLANILLA DJ'!$X$88,$A54,1),""))</f>
        <v>1</v>
      </c>
      <c r="CN54" s="207">
        <f>--ISNUMBER(IFERROR(SEARCH('PLANILLA DJ'!$X$89,$A54,1),""))</f>
        <v>1</v>
      </c>
      <c r="CO54" s="207">
        <f>--ISNUMBER(IFERROR(SEARCH('PLANILLA DJ'!$X$90,$A54,1),""))</f>
        <v>1</v>
      </c>
      <c r="CP54" s="207">
        <f>--ISNUMBER(IFERROR(SEARCH('PLANILLA DJ'!$X$91,$A54,1),""))</f>
        <v>1</v>
      </c>
      <c r="CQ54" s="207">
        <f>--ISNUMBER(IFERROR(SEARCH('PLANILLA DJ'!$X$92,$A54,1),""))</f>
        <v>1</v>
      </c>
      <c r="CR54" s="207">
        <f>--ISNUMBER(IFERROR(SEARCH('PLANILLA DJ'!$X$93,$A54,1),""))</f>
        <v>1</v>
      </c>
      <c r="CS54" s="207">
        <f>--ISNUMBER(IFERROR(SEARCH('PLANILLA DJ'!$X$94,$A54,1),""))</f>
        <v>1</v>
      </c>
      <c r="CT54" s="207">
        <f>--ISNUMBER(IFERROR(SEARCH('PLANILLA DJ'!$X$95,$A54,1),""))</f>
        <v>1</v>
      </c>
      <c r="CU54" s="207">
        <f>--ISNUMBER(IFERROR(SEARCH('PLANILLA DJ'!$X$96,$A54,1),""))</f>
        <v>1</v>
      </c>
      <c r="CV54" s="207">
        <f>--ISNUMBER(IFERROR(SEARCH('PLANILLA DJ'!$X$97,$A54,1),""))</f>
        <v>1</v>
      </c>
      <c r="CW54" s="207">
        <f>--ISNUMBER(IFERROR(SEARCH('PLANILLA DJ'!$X$98,$A54,1),""))</f>
        <v>1</v>
      </c>
      <c r="CX54" s="207">
        <f>--ISNUMBER(IFERROR(SEARCH('PLANILLA DJ'!$X$99,$A54,1),""))</f>
        <v>1</v>
      </c>
      <c r="CY54" s="207">
        <f>--ISNUMBER(IFERROR(SEARCH('PLANILLA DJ'!$X$100,$A54,1),""))</f>
        <v>1</v>
      </c>
      <c r="CZ54" s="207">
        <f>--ISNUMBER(IFERROR(SEARCH('PLANILLA DJ'!$X$101,$A54,1),""))</f>
        <v>1</v>
      </c>
      <c r="DA54" s="207">
        <f>--ISNUMBER(IFERROR(SEARCH('PLANILLA DJ'!$X$102,$A54,1),""))</f>
        <v>1</v>
      </c>
      <c r="DB54" s="206">
        <f>IF(F54=1,COUNTIF($F$2:F54,1),"")</f>
        <v>53</v>
      </c>
      <c r="DC54" s="206">
        <f>IF(G54=1,COUNTIF($G$2:G54,1),"")</f>
        <v>53</v>
      </c>
      <c r="DD54" s="206">
        <f>IF(H54=1,COUNTIF($H$2:H54,1),"")</f>
        <v>53</v>
      </c>
      <c r="DE54" s="206">
        <f>IF(I54=1,COUNTIF($I$2:I54,1),"")</f>
        <v>53</v>
      </c>
      <c r="DF54" s="206">
        <f>IF(J54=1,COUNTIF($J$2:J54,1),"")</f>
        <v>53</v>
      </c>
      <c r="DG54" s="206">
        <f>IF(K54=1,COUNTIF($K$2:K54,1),"")</f>
        <v>53</v>
      </c>
      <c r="DH54" s="206">
        <f>IF(L54=1,COUNTIF($L$2:L54,1),"")</f>
        <v>53</v>
      </c>
      <c r="DI54" s="206">
        <f>IF(M54=1,COUNTIF($M$2:M54,1),"")</f>
        <v>53</v>
      </c>
      <c r="DJ54" s="206">
        <f>IF(N54=1,COUNTIF($N$2:N54,1),"")</f>
        <v>53</v>
      </c>
      <c r="DK54" s="206">
        <f>IF(O54=1,COUNTIF($O$2:O54,1),"")</f>
        <v>53</v>
      </c>
      <c r="DL54" s="206">
        <f>IF(P54=1,COUNTIF($P$2:P54,1),"")</f>
        <v>53</v>
      </c>
      <c r="DM54" s="206">
        <f>IF(Q54=1,COUNTIF($Q$2:Q54,1),"")</f>
        <v>53</v>
      </c>
      <c r="DN54" s="207">
        <f>IF(R54=1,COUNTIF($R$2:R54,1),"")</f>
        <v>53</v>
      </c>
      <c r="DO54" s="207">
        <f>IF(S54=1,COUNTIF($S$2:S54,1),"")</f>
        <v>53</v>
      </c>
      <c r="DP54" s="207">
        <f>IF(T54=1,COUNTIF($T$2:T54,1),"")</f>
        <v>53</v>
      </c>
      <c r="DQ54" s="207">
        <f>IF(U54=1,COUNTIF($U$2:U54,1),"")</f>
        <v>53</v>
      </c>
      <c r="DR54" s="207">
        <f>IF(V54=1,COUNTIF($V$2:V54,1),"")</f>
        <v>53</v>
      </c>
      <c r="DS54" s="207">
        <f>IF(W54=1,COUNTIF($W$2:W54,1),"")</f>
        <v>53</v>
      </c>
      <c r="DT54" s="207">
        <f>IF(X54=1,COUNTIF($X$2:X54,1),"")</f>
        <v>53</v>
      </c>
      <c r="DU54" s="207">
        <f>IF(Y54=1,COUNTIF($Y$2:Y54,1),"")</f>
        <v>53</v>
      </c>
      <c r="DV54" s="207">
        <f>IF(Z54=1,COUNTIF(Z$2:Z54,1),"")</f>
        <v>53</v>
      </c>
      <c r="DW54" s="207">
        <f>IF(AA54=1,COUNTIF($AA$2:AA54,1),"")</f>
        <v>53</v>
      </c>
      <c r="DX54" s="207">
        <f>IF(AB54=1,COUNTIF($AB$2:AB54,1),"")</f>
        <v>53</v>
      </c>
      <c r="DY54" s="207">
        <f>IF(AC54=1,COUNTIF($AC$2:AC54,1),"")</f>
        <v>53</v>
      </c>
      <c r="DZ54" s="207">
        <f>IF(AD54=1,COUNTIF($AD$2:AD54,1),"")</f>
        <v>53</v>
      </c>
      <c r="EA54" s="207">
        <f>IF(AE54=1,COUNTIF($AE$2:AE54,1),"")</f>
        <v>53</v>
      </c>
      <c r="EB54" s="207">
        <f>IF(AF54=1,COUNTIF($AF$2:AF54,1),"")</f>
        <v>53</v>
      </c>
      <c r="EC54" s="207">
        <f>IF(AG54=1,COUNTIF($AG$2:AG54,1),"")</f>
        <v>53</v>
      </c>
      <c r="ED54" s="207">
        <f>IF(AH54=1,COUNTIF($AH$2:AH54,1),"")</f>
        <v>53</v>
      </c>
      <c r="EE54" s="207">
        <f>IF(AI54=1,COUNTIF($AI$2:AI54,1),"")</f>
        <v>53</v>
      </c>
      <c r="EF54" s="207">
        <f>IF(AJ54=1,COUNTIF($AJ$2:AJ54,1),"")</f>
        <v>53</v>
      </c>
      <c r="EG54" s="207">
        <f>IF(AK54=1,COUNTIF($AK$2:AK54,1),"")</f>
        <v>53</v>
      </c>
      <c r="EH54" s="207">
        <f>IF(AL54=1,COUNTIF($AL$2:AL54,1),"")</f>
        <v>53</v>
      </c>
      <c r="EI54" s="207">
        <f>IF(AM54=1,COUNTIF($AM$2:AM54,1),"")</f>
        <v>53</v>
      </c>
      <c r="EJ54" s="207">
        <f>IF(AN54=1,COUNTIF($AN$2:AN54,1),"")</f>
        <v>53</v>
      </c>
      <c r="EK54" s="207">
        <f>IF(AO54=1,COUNTIF($AO$2:AO54,1),"")</f>
        <v>53</v>
      </c>
      <c r="EL54" s="207">
        <f>IF(AP54=1,COUNTIF($AP$2:AP54,1),"")</f>
        <v>53</v>
      </c>
      <c r="EM54" s="207">
        <f>IF(AQ54=1,COUNTIF($AQ$2:AQ54,1),"")</f>
        <v>53</v>
      </c>
      <c r="EN54" s="207">
        <f>IF(AR54=1,COUNTIF($AR$2:AR54,1),"")</f>
        <v>53</v>
      </c>
      <c r="EO54" s="207">
        <f>IF(AS54=1,COUNTIF($AS$2:AS54,1),"")</f>
        <v>53</v>
      </c>
      <c r="EP54" s="207">
        <f>IF(AT54=1,COUNTIF($AT$2:AT54,1),"")</f>
        <v>53</v>
      </c>
      <c r="EQ54" s="207">
        <f>IF(AU54=1,COUNTIF($AU$2:AU54,1),"")</f>
        <v>53</v>
      </c>
      <c r="ER54" s="207">
        <f>IF(AV54=1,COUNTIF($AV$2:AV54,1),"")</f>
        <v>53</v>
      </c>
      <c r="ES54" s="207">
        <f>IF(AW54=1,COUNTIF($AW$2:AW54,1),"")</f>
        <v>53</v>
      </c>
      <c r="ET54" s="207">
        <f>IF(AX54=1,COUNTIF($AX$2:AX54,1),"")</f>
        <v>53</v>
      </c>
      <c r="EU54" s="207">
        <f>IF(AY54=1,COUNTIF($AY$2:AY54,1),"")</f>
        <v>53</v>
      </c>
      <c r="EV54" s="207">
        <f>IF(AZ54=1,COUNTIF($AZ$2:AZ54,1),"")</f>
        <v>53</v>
      </c>
      <c r="EW54" s="207">
        <f>IF(BA54=1,COUNTIF($BA$2:BA54,1),"")</f>
        <v>53</v>
      </c>
      <c r="EX54" s="207">
        <f>IF(BB54=1,COUNTIF($BB$2:BB54,1),"")</f>
        <v>53</v>
      </c>
      <c r="EY54" s="207">
        <f>IF(BC54=1,COUNTIF($BC$2:BC54,1),"")</f>
        <v>53</v>
      </c>
      <c r="EZ54" s="207">
        <f>IF(BD54=1,COUNTIF($BD$2:BD54,1),"")</f>
        <v>53</v>
      </c>
      <c r="FA54" s="207">
        <f>IF(BE54=1,COUNTIF($BE$2:BE54,1),"")</f>
        <v>53</v>
      </c>
      <c r="FB54" s="207">
        <f>IF(BF54=1,COUNTIF($BF$2:BF54,1),"")</f>
        <v>53</v>
      </c>
      <c r="FC54" s="207">
        <f>IF(BG54=1,COUNTIF($BG$2:BG54,1),"")</f>
        <v>53</v>
      </c>
      <c r="FD54" s="207">
        <f>IF(BH54=1,COUNTIF($BH$2:BH54,1),"")</f>
        <v>53</v>
      </c>
      <c r="FE54" s="207">
        <f>IF(BI54=1,COUNTIF($BI$2:BI54,1),"")</f>
        <v>53</v>
      </c>
      <c r="FF54" s="207">
        <f>IF(BJ54=1,COUNTIF($BJ$2:BJ54,1),"")</f>
        <v>53</v>
      </c>
      <c r="FG54" s="207">
        <f>IF(BK54=1,COUNTIF($BK$2:BK54,1),"")</f>
        <v>53</v>
      </c>
      <c r="FH54" s="207">
        <f>IF(BL54=1,COUNTIF($BL$2:BL54,1),"")</f>
        <v>53</v>
      </c>
      <c r="FI54" s="207">
        <f>IF(BM54=1,COUNTIF($BM$2:BM54,1),"")</f>
        <v>53</v>
      </c>
      <c r="FJ54" s="207">
        <f>IF(BN54=1,COUNTIF($BN$2:BN54,1),"")</f>
        <v>53</v>
      </c>
      <c r="FK54" s="207">
        <f>IF(BO54=1,COUNTIF($BO$2:BO54,1),"")</f>
        <v>53</v>
      </c>
      <c r="FL54" s="207">
        <f>IF(BP54=1,COUNTIF($BP$2:BP54,1),"")</f>
        <v>53</v>
      </c>
      <c r="FM54" s="207">
        <f>IF(BQ54=1,COUNTIF($BQ$2:BQ54,1),"")</f>
        <v>53</v>
      </c>
      <c r="FN54" s="207">
        <f>IF(BR54=1,COUNTIF($BR$2:BR54,1),"")</f>
        <v>53</v>
      </c>
      <c r="FO54" s="207">
        <f>IF(BS54=1,COUNTIF($BS$2:BS54,1),"")</f>
        <v>53</v>
      </c>
      <c r="FP54" s="207">
        <f>IF(BT54=1,COUNTIF($BT$2:BT54,1),"")</f>
        <v>53</v>
      </c>
      <c r="FQ54" s="207">
        <f>IF(BU54=1,COUNTIF($BU$2:BU54,1),"")</f>
        <v>53</v>
      </c>
      <c r="FR54" s="207">
        <f>IF(BV54=1,COUNTIF($BV$2:BV54,1),"")</f>
        <v>53</v>
      </c>
      <c r="FS54" s="207">
        <f>IF(BW54=1,COUNTIF($BW$2:BW54,1),"")</f>
        <v>53</v>
      </c>
      <c r="FT54" s="207">
        <f>IF(BX54=1,COUNTIF($BX$2:BX54,1),"")</f>
        <v>53</v>
      </c>
      <c r="FU54" s="207">
        <f>IF(BY54=1,COUNTIF($BY$2:BY54,1),"")</f>
        <v>53</v>
      </c>
      <c r="FV54" s="207">
        <f>IF(BZ54=1,COUNTIF($BZ$2:BZ54,1),"")</f>
        <v>53</v>
      </c>
      <c r="FW54" s="207">
        <f>IF(CA54=1,COUNTIF($CA$2:CA54,1),"")</f>
        <v>53</v>
      </c>
      <c r="FX54" s="207">
        <f>IF(CB54=1,COUNTIF($CB$2:CB54,1),"")</f>
        <v>53</v>
      </c>
      <c r="FY54" s="207">
        <f>IF(CC54=1,COUNTIF($CC$2:CC54,1),"")</f>
        <v>53</v>
      </c>
      <c r="FZ54" s="207">
        <f>IF(CD54=1,COUNTIF($CD$2:CD54,1),"")</f>
        <v>53</v>
      </c>
      <c r="GA54" s="207">
        <f>IF(CE54=1,COUNTIF($CE$2:CE54,1),"")</f>
        <v>53</v>
      </c>
      <c r="GB54" s="207">
        <f>IF(CF54=1,COUNTIF($CF$2:CF54,1),"")</f>
        <v>53</v>
      </c>
      <c r="GC54" s="207">
        <f>IF(CG54=1,COUNTIF($CG$2:CG54,1),"")</f>
        <v>53</v>
      </c>
      <c r="GD54" s="207">
        <f>IF(CH54=1,COUNTIF($CH$2:CH54,1),"")</f>
        <v>53</v>
      </c>
      <c r="GE54" s="207">
        <f>IF(CI54=1,COUNTIF($CI$2:CI54,1),"")</f>
        <v>53</v>
      </c>
      <c r="GF54" s="207">
        <f>IF(CJ54=1,COUNTIF($CJ$2:CJ54,1),"")</f>
        <v>53</v>
      </c>
      <c r="GG54" s="207">
        <f>IF(CK54=1,COUNTIF($CK$2:CK54,1),"")</f>
        <v>53</v>
      </c>
      <c r="GH54" s="207">
        <f>IF(CL54=1,COUNTIF($CL$2:CL54,1),"")</f>
        <v>53</v>
      </c>
      <c r="GI54" s="207">
        <f>IF(CM54=1,COUNTIF($CM$2:CM54,1),"")</f>
        <v>53</v>
      </c>
      <c r="GJ54" s="207">
        <f>IF(CN54=1,COUNTIF($CN$2:CN54,1),"")</f>
        <v>53</v>
      </c>
      <c r="GK54" s="207">
        <f>IF(CO54=1,COUNTIF($CO$2:CO54,1),"")</f>
        <v>53</v>
      </c>
      <c r="GL54" s="207">
        <f>IF(CP54=1,COUNTIF($CP$2:CP54,1),"")</f>
        <v>53</v>
      </c>
      <c r="GM54" s="207">
        <f>IF(CQ54=1,COUNTIF($CQ$2:CQ54,1),"")</f>
        <v>53</v>
      </c>
      <c r="GN54" s="207">
        <f>IF(CR54=1,COUNTIF($CR$2:CR54,1),"")</f>
        <v>53</v>
      </c>
      <c r="GO54" s="207">
        <f>IF(CS54=1,COUNTIF($CS$2:CS54,1),"")</f>
        <v>53</v>
      </c>
      <c r="GP54" s="207">
        <f>IF(CT54=1,COUNTIF($CT$2:CT54,1),"")</f>
        <v>53</v>
      </c>
      <c r="GQ54" s="207">
        <f>IF(CU54=1,COUNTIF($CU$2:CU54,1),"")</f>
        <v>53</v>
      </c>
      <c r="GR54" s="207">
        <f>IF(CV54=1,COUNTIF($CV$2:CV54,1),"")</f>
        <v>53</v>
      </c>
      <c r="GS54" s="207">
        <f>IF(CW54=1,COUNTIF($CW$2:CW54,1),"")</f>
        <v>53</v>
      </c>
      <c r="GT54" s="207">
        <f>IF(CX54=1,COUNTIF($CX$2:CX54,1),"")</f>
        <v>53</v>
      </c>
      <c r="GU54" s="207">
        <f>IF(CY54=1,COUNTIF($CY$2:CY54,1),"")</f>
        <v>53</v>
      </c>
      <c r="GV54" s="207">
        <f>IF(CZ54=1,COUNTIF($CZ$2:CZ54,1),"")</f>
        <v>53</v>
      </c>
      <c r="GW54" s="207">
        <f>IF(DA54=1,COUNTIF($DA$2:DA54,1),"")</f>
        <v>53</v>
      </c>
      <c r="GX54" s="206" t="str">
        <f>IFERROR(INDEX($A$2:$A$113,MATCH(ROWS($DB$2:DB54),$DB$2:$DB$113,0)),"")</f>
        <v xml:space="preserve">ROBO ABIGEATO </v>
      </c>
      <c r="GY54" s="206" t="str">
        <f>IFERROR(INDEX($A$2:$A$113,MATCH(ROWS($DC$2:DC54),$DC$2:$DC$113,0)),"")</f>
        <v xml:space="preserve">ROBO ABIGEATO </v>
      </c>
      <c r="GZ54" s="206" t="str">
        <f>IFERROR(INDEX($A$2:$A$113,MATCH(ROWS($DD$2:DD54),$DD$2:$DD$113,0)),"")</f>
        <v xml:space="preserve">ROBO ABIGEATO </v>
      </c>
      <c r="HA54" s="206" t="str">
        <f>IFERROR(INDEX($A$2:$A$113,MATCH(ROWS($DE$2:DE54),$DE$2:$DE$113,0)),"")</f>
        <v xml:space="preserve">ROBO ABIGEATO </v>
      </c>
      <c r="HB54" s="206" t="str">
        <f>IFERROR(INDEX($A$2:$A$113,MATCH(ROWS($DF$2:DF54),$DF$2:$DF$113,0)),"")</f>
        <v xml:space="preserve">ROBO ABIGEATO </v>
      </c>
      <c r="HC54" s="206" t="str">
        <f>IFERROR(INDEX($A$2:$A$113,MATCH(ROWS($DG$2:DG54),$DG$2:$DG$113,0)),"")</f>
        <v xml:space="preserve">ROBO ABIGEATO </v>
      </c>
      <c r="HD54" s="206" t="str">
        <f>IFERROR(INDEX($A$2:$A$113,MATCH(ROWS($DH$2:DH54),$DH$2:$DH$113,0)),"")</f>
        <v xml:space="preserve">ROBO ABIGEATO </v>
      </c>
      <c r="HE54" s="206" t="str">
        <f>IFERROR(INDEX($A$2:$A$113,MATCH(ROWS($DI$2:DI54),$DI$2:$DI$113,0)),"")</f>
        <v xml:space="preserve">ROBO ABIGEATO </v>
      </c>
      <c r="HF54" s="206" t="str">
        <f>IFERROR(INDEX($A$2:$A$113,MATCH(ROWS($DJ$2:DJ54),$DJ$2:$DJ$113,0)),"")</f>
        <v xml:space="preserve">ROBO ABIGEATO </v>
      </c>
      <c r="HG54" s="206" t="str">
        <f>IFERROR(INDEX($A$2:$A$113,MATCH(ROWS($DK$2:DK54),$DK$2:$DK$113,0)),"")</f>
        <v xml:space="preserve">ROBO ABIGEATO </v>
      </c>
      <c r="HH54" s="206" t="str">
        <f>IFERROR(INDEX($A$2:$A$113,MATCH(ROWS($DL$2:DL54),$DL$2:$DL$113,0)),"")</f>
        <v xml:space="preserve">ROBO ABIGEATO </v>
      </c>
      <c r="HI54" s="206" t="str">
        <f>IFERROR(INDEX($A$2:$A$113,MATCH(ROWS($DM$2:DM54),$DM$2:$DM$113,0)),"")</f>
        <v xml:space="preserve">ROBO ABIGEATO </v>
      </c>
      <c r="HJ54" s="206" t="str">
        <f>IFERROR(INDEX($A$2:$A$113,MATCH(ROWS($DN$2:DN54),$DN$2:$DN$113,0)),"")</f>
        <v xml:space="preserve">ROBO ABIGEATO </v>
      </c>
      <c r="HK54" s="206" t="str">
        <f>IFERROR(INDEX($A$2:$A$113,MATCH(ROWS($DO$2:DO54),$DO$2:$DO$113,0)),"")</f>
        <v xml:space="preserve">ROBO ABIGEATO </v>
      </c>
      <c r="HL54" s="206" t="str">
        <f>IFERROR(INDEX($A$2:$A$113,MATCH(ROWS($DP$2:DP54),$DP$2:$DP$113,0)),"")</f>
        <v xml:space="preserve">ROBO ABIGEATO </v>
      </c>
      <c r="HM54" s="206" t="str">
        <f>IFERROR(INDEX($A$2:$A$113,MATCH(ROWS($DQ$2:DQ54),$DQ$2:$DQ$113,0)),"")</f>
        <v xml:space="preserve">ROBO ABIGEATO </v>
      </c>
      <c r="HN54" s="206" t="str">
        <f>IFERROR(INDEX($A$2:$A$113,MATCH(ROWS($DR$2:DR54),$DR$2:$DR$113,0)),"")</f>
        <v xml:space="preserve">ROBO ABIGEATO </v>
      </c>
      <c r="HO54" s="206" t="str">
        <f>IFERROR(INDEX($A$2:$A$113,MATCH(ROWS($DS$2:DS54),$DS$2:$DS$113,0)),"")</f>
        <v xml:space="preserve">ROBO ABIGEATO </v>
      </c>
      <c r="HP54" s="206" t="str">
        <f>IFERROR(INDEX($A$2:$A$113,MATCH(ROWS($DT$2:DT54),$DT$2:$DT$113,0)),"")</f>
        <v xml:space="preserve">ROBO ABIGEATO </v>
      </c>
      <c r="HQ54" s="206" t="str">
        <f>IFERROR(INDEX($A$2:$A$113,MATCH(ROWS($DU$2:DU54),$DU$2:$DU$113,0)),"")</f>
        <v xml:space="preserve">ROBO ABIGEATO </v>
      </c>
      <c r="HR54" s="206" t="str">
        <f>IFERROR(INDEX($A$2:$A$113,MATCH(ROWS($DV$2:DV54),$DV$2:$DV$113,0)),"")</f>
        <v xml:space="preserve">ROBO ABIGEATO </v>
      </c>
      <c r="HS54" s="206" t="str">
        <f>IFERROR(INDEX($A$2:$A$113,MATCH(ROWS($DW$2:DW54),$DW$2:$DW$113,0)),"")</f>
        <v xml:space="preserve">ROBO ABIGEATO </v>
      </c>
      <c r="HT54" s="206" t="str">
        <f>IFERROR(INDEX($A$2:$A$113,MATCH(ROWS($DX$2:DX54),$DX$2:$DX$113,0)),"")</f>
        <v xml:space="preserve">ROBO ABIGEATO </v>
      </c>
      <c r="HU54" s="206" t="str">
        <f>IFERROR(INDEX($A$2:$A$113,MATCH(ROWS($DY$2:DY54),$DY$2:$DY$113,0)),"")</f>
        <v xml:space="preserve">ROBO ABIGEATO </v>
      </c>
      <c r="HV54" s="206" t="str">
        <f>IFERROR(INDEX($A$2:$A$113,MATCH(ROWS($DZ$2:DZ54),$DZ$2:$DZ$113,0)),"")</f>
        <v xml:space="preserve">ROBO ABIGEATO </v>
      </c>
      <c r="HW54" s="206" t="str">
        <f>IFERROR(INDEX($A$2:$A$113,MATCH(ROWS($EA$2:EA54),$EA$2:$EA$113,0)),"")</f>
        <v xml:space="preserve">ROBO ABIGEATO </v>
      </c>
      <c r="HX54" s="206" t="str">
        <f>IFERROR(INDEX($A$2:$A$113,MATCH(ROWS($EB$2:EB54),$EB$2:$EB$113,0)),"")</f>
        <v xml:space="preserve">ROBO ABIGEATO </v>
      </c>
      <c r="HY54" s="206" t="str">
        <f>IFERROR(INDEX($A$2:$A$113,MATCH(ROWS($EC$2:EC54),$EC$2:$EC$113,0)),"")</f>
        <v xml:space="preserve">ROBO ABIGEATO </v>
      </c>
      <c r="HZ54" s="206" t="str">
        <f>IFERROR(INDEX($A$2:$A$113,MATCH(ROWS($ED$2:ED54),$ED$2:$ED$113,0)),"")</f>
        <v xml:space="preserve">ROBO ABIGEATO </v>
      </c>
      <c r="IA54" s="206" t="str">
        <f>IFERROR(INDEX($A$2:$A$113,MATCH(ROWS($EE$2:EE54),$EE$2:$EE$113,0)),"")</f>
        <v xml:space="preserve">ROBO ABIGEATO </v>
      </c>
      <c r="IB54" s="206" t="str">
        <f>IFERROR(INDEX($A$2:$A$113,MATCH(ROWS($EF$2:EF54),$EF$2:$EF$113,0)),"")</f>
        <v xml:space="preserve">ROBO ABIGEATO </v>
      </c>
      <c r="IC54" s="206" t="str">
        <f>IFERROR(INDEX($A$2:$A$113,MATCH(ROWS($EG$2:EG54),$EG$2:$EG$113,0)),"")</f>
        <v xml:space="preserve">ROBO ABIGEATO </v>
      </c>
      <c r="ID54" s="206" t="str">
        <f>IFERROR(INDEX($A$2:$A$113,MATCH(ROWS($EH$2:EH54),$EH$2:$EH$113,0)),"")</f>
        <v xml:space="preserve">ROBO ABIGEATO </v>
      </c>
      <c r="IE54" s="206" t="str">
        <f>IFERROR(INDEX($A$2:$A$113,MATCH(ROWS($EI$2:EI54),$EI$2:$EI$113,0)),"")</f>
        <v xml:space="preserve">ROBO ABIGEATO </v>
      </c>
      <c r="IF54" s="206" t="str">
        <f>IFERROR(INDEX($A$2:$A$113,MATCH(ROWS($EJ$2:EJ54),$EJ$2:$EJ$113,0)),"")</f>
        <v xml:space="preserve">ROBO ABIGEATO </v>
      </c>
      <c r="IG54" s="206" t="str">
        <f>IFERROR(INDEX($A$2:$A$113,MATCH(ROWS($EK$2:EK54),$EK$2:$EK$113,0)),"")</f>
        <v xml:space="preserve">ROBO ABIGEATO </v>
      </c>
      <c r="IH54" s="206" t="str">
        <f>IFERROR(INDEX($A$2:$A$113,MATCH(ROWS($EL$2:EL54),$EL$2:$EL$113,0)),"")</f>
        <v xml:space="preserve">ROBO ABIGEATO </v>
      </c>
      <c r="II54" s="206" t="str">
        <f>IFERROR(INDEX($A$2:$A$113,MATCH(ROWS($EM$2:EM54),$EM$2:$EM$113,0)),"")</f>
        <v xml:space="preserve">ROBO ABIGEATO </v>
      </c>
      <c r="IJ54" s="206" t="str">
        <f>IFERROR(INDEX($A$2:$A$113,MATCH(ROWS($EN$2:EN54),$EN$2:$EN$113,0)),"")</f>
        <v xml:space="preserve">ROBO ABIGEATO </v>
      </c>
      <c r="IK54" s="207" t="str">
        <f>IFERROR(INDEX($A$2:$A$113,MATCH(ROWS($EO$2:EO54),$EO$2:$EO$113,0)),"")</f>
        <v xml:space="preserve">ROBO ABIGEATO </v>
      </c>
      <c r="IL54" s="207" t="str">
        <f>IFERROR(INDEX($A$2:$A$113,MATCH(ROWS($EP$2:EP54),$EP$2:$EP$113,0)),"")</f>
        <v xml:space="preserve">ROBO ABIGEATO </v>
      </c>
      <c r="IM54" s="207" t="str">
        <f>IFERROR(INDEX($A$2:$A$113,MATCH(ROWS($EQ$2:EQ54),$EQ$2:$EQ$113,0)),"")</f>
        <v xml:space="preserve">ROBO ABIGEATO </v>
      </c>
      <c r="IN54" s="207" t="str">
        <f>IFERROR(INDEX($A$2:$A$113,MATCH(ROWS($ER$2:ER54),$ER$2:$ER$113,0)),"")</f>
        <v xml:space="preserve">ROBO ABIGEATO </v>
      </c>
      <c r="IO54" s="207" t="str">
        <f>IFERROR(INDEX($A$2:$A$113,MATCH(ROWS($ES$2:ES54),$ES$2:$ES$113,0)),"")</f>
        <v xml:space="preserve">ROBO ABIGEATO </v>
      </c>
      <c r="IP54" s="207" t="str">
        <f>IFERROR(INDEX($A$2:$A$113,MATCH(ROWS($ET$2:ET54),$ET$2:$ET$113,0)),"")</f>
        <v xml:space="preserve">ROBO ABIGEATO </v>
      </c>
      <c r="IQ54" s="207" t="str">
        <f>IFERROR(INDEX($A$2:$A$113,MATCH(ROWS($EU$2:EU54),$EU$2:$EU$113,0)),"")</f>
        <v xml:space="preserve">ROBO ABIGEATO </v>
      </c>
      <c r="IR54" s="207" t="str">
        <f>IFERROR(INDEX($A$2:$A$113,MATCH(ROWS($EV$2:EV54),$EV$2:$EV$113,0)),"")</f>
        <v xml:space="preserve">ROBO ABIGEATO </v>
      </c>
      <c r="IS54" s="207" t="str">
        <f>IFERROR(INDEX($A$2:$A$113,MATCH(ROWS($EW$2:EW54),$EW$2:$EW$113,0)),"")</f>
        <v xml:space="preserve">ROBO ABIGEATO </v>
      </c>
      <c r="IT54" s="207" t="str">
        <f>IFERROR(INDEX($A$2:$A$113,MATCH(ROWS($EX$2:EX54),$EX$2:$EX$113,0)),"")</f>
        <v xml:space="preserve">ROBO ABIGEATO </v>
      </c>
      <c r="IU54" s="207" t="str">
        <f>IFERROR(INDEX($A$2:$A$113,MATCH(ROWS($EY$2:EY54),$EY$2:$EY$113,0)),"")</f>
        <v xml:space="preserve">ROBO ABIGEATO </v>
      </c>
      <c r="IV54" s="207" t="str">
        <f>IFERROR(INDEX($A$2:$A$113,MATCH(ROWS($EZ$2:EZ54),$EZ$2:$EZ$113,0)),"")</f>
        <v xml:space="preserve">ROBO ABIGEATO </v>
      </c>
      <c r="IW54" s="207" t="str">
        <f>IFERROR(INDEX($A$2:$A$113,MATCH(ROWS($FA$2:FA54),$FA$2:$FA$113,0)),"")</f>
        <v xml:space="preserve">ROBO ABIGEATO </v>
      </c>
      <c r="IX54" s="207" t="str">
        <f>IFERROR(INDEX($A$2:$A$113,MATCH(ROWS($FB$2:FB54),$FB$2:$FB$113,0)),"")</f>
        <v xml:space="preserve">ROBO ABIGEATO </v>
      </c>
      <c r="IY54" s="207" t="str">
        <f>IFERROR(INDEX($A$2:$A$113,MATCH(ROWS($FC$2:FC54),$FC$2:$FC$113,0)),"")</f>
        <v xml:space="preserve">ROBO ABIGEATO </v>
      </c>
      <c r="IZ54" s="207" t="str">
        <f>IFERROR(INDEX($A$2:$A$113,MATCH(ROWS($FD$2:FD54),$FD$2:$FD$113,0)),"")</f>
        <v xml:space="preserve">ROBO ABIGEATO </v>
      </c>
      <c r="JA54" s="207" t="str">
        <f>IFERROR(INDEX($A$2:$A$113,MATCH(ROWS($FE$2:FE54),$FE$2:$FE$113,0)),"")</f>
        <v xml:space="preserve">ROBO ABIGEATO </v>
      </c>
      <c r="JB54" s="207" t="str">
        <f>IFERROR(INDEX($A$2:$A$113,MATCH(ROWS($FF$2:FF54),$FF$2:$FF$113,0)),"")</f>
        <v xml:space="preserve">ROBO ABIGEATO </v>
      </c>
      <c r="JC54" s="207" t="str">
        <f>IFERROR(INDEX($A$2:$A$113,MATCH(ROWS($FG$2:FG54),$FG$2:$FG$113,0)),"")</f>
        <v xml:space="preserve">ROBO ABIGEATO </v>
      </c>
      <c r="JD54" s="207" t="str">
        <f>IFERROR(INDEX($A$2:$A$113,MATCH(ROWS($FH$2:FH54),$FH$2:$FH$113,0)),"")</f>
        <v xml:space="preserve">ROBO ABIGEATO </v>
      </c>
      <c r="JE54" s="207" t="str">
        <f>IFERROR(INDEX($A$2:$A$113,MATCH(ROWS($FI$2:FI54),$FI$2:$FI$113,0)),"")</f>
        <v xml:space="preserve">ROBO ABIGEATO </v>
      </c>
      <c r="JF54" s="207" t="str">
        <f>IFERROR(INDEX($A$2:$A$113,MATCH(ROWS($FJ$2:FJ54),$FJ$2:$FJ$113,0)),"")</f>
        <v xml:space="preserve">ROBO ABIGEATO </v>
      </c>
      <c r="JG54" s="207" t="str">
        <f>IFERROR(INDEX($A$2:$A$113,MATCH(ROWS($FK$2:FK54),$FK$2:$FK$113,0)),"")</f>
        <v xml:space="preserve">ROBO ABIGEATO </v>
      </c>
      <c r="JH54" s="207" t="str">
        <f>IFERROR(INDEX($A$2:$A$113,MATCH(ROWS($FL$2:FL54),$FL$2:$FL$113,0)),"")</f>
        <v xml:space="preserve">ROBO ABIGEATO </v>
      </c>
      <c r="JI54" s="207" t="str">
        <f>IFERROR(INDEX($A$2:$A$113,MATCH(ROWS($FM$2:FM54),$FM$2:$FM$113,0)),"")</f>
        <v xml:space="preserve">ROBO ABIGEATO </v>
      </c>
      <c r="JJ54" s="207" t="str">
        <f>IFERROR(INDEX($A$2:$A$113,MATCH(ROWS($FN$2:FN54),$FN$2:$FN$113,0)),"")</f>
        <v xml:space="preserve">ROBO ABIGEATO </v>
      </c>
      <c r="JK54" s="207" t="str">
        <f>IFERROR(INDEX($A$2:$A$113,MATCH(ROWS($FO$2:FO54),$FO$2:$FO$113,0)),"")</f>
        <v xml:space="preserve">ROBO ABIGEATO </v>
      </c>
      <c r="JL54" s="207" t="str">
        <f>IFERROR(INDEX($A$2:$A$113,MATCH(ROWS($FP$2:FP54),$FP$2:$FP$113,0)),"")</f>
        <v xml:space="preserve">ROBO ABIGEATO </v>
      </c>
      <c r="JM54" s="207" t="str">
        <f>IFERROR(INDEX($A$2:$A$113,MATCH(ROWS($FQ$2:FQ54),$FQ$2:$FQ$113,0)),"")</f>
        <v xml:space="preserve">ROBO ABIGEATO </v>
      </c>
      <c r="JN54" s="207" t="str">
        <f>IFERROR(INDEX($A$2:$A$113,MATCH(ROWS($FR$2:FR54),$FR$2:$FR$113,0)),"")</f>
        <v xml:space="preserve">ROBO ABIGEATO </v>
      </c>
      <c r="JO54" s="207" t="str">
        <f>IFERROR(INDEX($A$2:$A$113,MATCH(ROWS($FS$2:FS54),$FS$2:$FS$113,0)),"")</f>
        <v xml:space="preserve">ROBO ABIGEATO </v>
      </c>
      <c r="JP54" s="207" t="str">
        <f>IFERROR(INDEX($A$2:$A$113,MATCH(ROWS($FT$2:FT54),$FT$2:$FT$113,0)),"")</f>
        <v xml:space="preserve">ROBO ABIGEATO </v>
      </c>
      <c r="JQ54" s="207" t="str">
        <f>IFERROR(INDEX($A$2:$A$113,MATCH(ROWS($FU$2:FU54),$FU$2:$FU$113,0)),"")</f>
        <v xml:space="preserve">ROBO ABIGEATO </v>
      </c>
      <c r="JR54" s="207" t="str">
        <f>IFERROR(INDEX($A$2:$A$113,MATCH(ROWS($FV$2:FV54),$FV$2:$FV$113,0)),"")</f>
        <v xml:space="preserve">ROBO ABIGEATO </v>
      </c>
      <c r="JS54" s="207" t="str">
        <f>IFERROR(INDEX($A$2:$A$113,MATCH(ROWS($FW$2:FW54),$FW$2:$FW$113,0)),"")</f>
        <v xml:space="preserve">ROBO ABIGEATO </v>
      </c>
      <c r="JT54" s="207" t="str">
        <f>IFERROR(INDEX($A$2:$A$113,MATCH(ROWS($FX$2:FX54),$FX$2:$FX$113,0)),"")</f>
        <v xml:space="preserve">ROBO ABIGEATO </v>
      </c>
      <c r="JU54" s="207" t="str">
        <f>IFERROR(INDEX($A$2:$A$113,MATCH(ROWS($FY$2:FY54),$FY$2:$FY$113,0)),"")</f>
        <v xml:space="preserve">ROBO ABIGEATO </v>
      </c>
      <c r="JV54" s="207" t="str">
        <f>IFERROR(INDEX($A$2:$A$113,MATCH(ROWS($FZ$2:FZ54),$FZ$2:$FZ$113,0)),"")</f>
        <v xml:space="preserve">ROBO ABIGEATO </v>
      </c>
      <c r="JW54" s="207" t="str">
        <f>IFERROR(INDEX($A$2:$A$113,MATCH(ROWS($GA$2:GA54),$GA$2:$GA$113,0)),"")</f>
        <v xml:space="preserve">ROBO ABIGEATO </v>
      </c>
      <c r="JX54" s="207" t="str">
        <f>IFERROR(INDEX($A$2:$A$113,MATCH(ROWS($GB$2:GB54),$GB$2:$GB$113,0)),"")</f>
        <v xml:space="preserve">ROBO ABIGEATO </v>
      </c>
      <c r="JY54" s="207" t="str">
        <f>IFERROR(INDEX($A$2:$A$113,MATCH(ROWS($GC$2:GC54),$GC$2:$GC$113,0)),"")</f>
        <v xml:space="preserve">ROBO ABIGEATO </v>
      </c>
      <c r="JZ54" s="207" t="str">
        <f>IFERROR(INDEX($A$2:$A$113,MATCH(ROWS($GD$2:GD54),$GD$2:$GD$113,0)),"")</f>
        <v xml:space="preserve">ROBO ABIGEATO </v>
      </c>
      <c r="KA54" s="207" t="str">
        <f>IFERROR(INDEX($A$2:$A$113,MATCH(ROWS($GE$2:GE54),$GE$2:$GE$113,0)),"")</f>
        <v xml:space="preserve">ROBO ABIGEATO </v>
      </c>
      <c r="KB54" s="207" t="str">
        <f>IFERROR(INDEX($A$2:$A$113,MATCH(ROWS($GF$2:GF54),$GF$2:$GF$113,0)),"")</f>
        <v xml:space="preserve">ROBO ABIGEATO </v>
      </c>
      <c r="KC54" s="207" t="str">
        <f>IFERROR(INDEX($A$2:$A$113,MATCH(ROWS($GG$2:GG54),$GG$2:$GG$113,0)),"")</f>
        <v xml:space="preserve">ROBO ABIGEATO </v>
      </c>
      <c r="KD54" s="207" t="str">
        <f>IFERROR(INDEX($A$2:$A$113,MATCH(ROWS($GH$2:GH54),$GH$2:$GH$113,0)),"")</f>
        <v xml:space="preserve">ROBO ABIGEATO </v>
      </c>
      <c r="KE54" s="207" t="str">
        <f>IFERROR(INDEX($A$2:$A$113,MATCH(ROWS($GI$2:GI54),$GI$2:$GI$113,0)),"")</f>
        <v xml:space="preserve">ROBO ABIGEATO </v>
      </c>
      <c r="KF54" s="207" t="str">
        <f>IFERROR(INDEX($A$2:$A$113,MATCH(ROWS($GJ$2:GJ54),$GJ$2:$GJ$113,0)),"")</f>
        <v xml:space="preserve">ROBO ABIGEATO </v>
      </c>
      <c r="KG54" s="207" t="str">
        <f>IFERROR(INDEX($A$2:$A$113,MATCH(ROWS($GK$2:GK54),$GK$2:$GK$113,0)),"")</f>
        <v xml:space="preserve">ROBO ABIGEATO </v>
      </c>
      <c r="KH54" s="207" t="str">
        <f>IFERROR(INDEX($A$2:$A$113,MATCH(ROWS($GL$2:GL54),$GL$2:$GL$113,0)),"")</f>
        <v xml:space="preserve">ROBO ABIGEATO </v>
      </c>
      <c r="KI54" s="207" t="str">
        <f>IFERROR(INDEX($A$2:$A$113,MATCH(ROWS($GM$2:GM54),$GM$2:$GM$113,0)),"")</f>
        <v xml:space="preserve">ROBO ABIGEATO </v>
      </c>
      <c r="KJ54" s="207" t="str">
        <f>IFERROR(INDEX($A$2:$A$113,MATCH(ROWS($GN$2:GN54),$GN$2:$GN$113,0)),"")</f>
        <v xml:space="preserve">ROBO ABIGEATO </v>
      </c>
      <c r="KK54" s="207" t="str">
        <f>IFERROR(INDEX($A$2:$A$113,MATCH(ROWS($GO$2:GO54),$GO$2:$GO$113,0)),"")</f>
        <v xml:space="preserve">ROBO ABIGEATO </v>
      </c>
      <c r="KL54" s="207" t="str">
        <f>IFERROR(INDEX($A$2:$A$113,MATCH(ROWS($GP$2:GP54),$GP$2:$GP$113,0)),"")</f>
        <v xml:space="preserve">ROBO ABIGEATO </v>
      </c>
      <c r="KM54" s="207" t="str">
        <f>IFERROR(INDEX($A$2:$A$113,MATCH(ROWS($GQ$2:GQ54),$GQ$2:$GQ$113,0)),"")</f>
        <v xml:space="preserve">ROBO ABIGEATO </v>
      </c>
      <c r="KN54" s="207" t="str">
        <f>IFERROR(INDEX($A$2:$A$113,MATCH(ROWS($GR$2:GR54),$GR$2:$GR$113,0)),"")</f>
        <v xml:space="preserve">ROBO ABIGEATO </v>
      </c>
      <c r="KO54" s="207" t="str">
        <f>IFERROR(INDEX($A$2:$A$113,MATCH(ROWS($GS$2:GS54),$GS$2:$GS$113,0)),"")</f>
        <v xml:space="preserve">ROBO ABIGEATO </v>
      </c>
      <c r="KP54" s="207" t="str">
        <f>IFERROR(INDEX($A$2:$A$113,MATCH(ROWS($GT$2:GT54),$GT$2:$GT$113,0)),"")</f>
        <v xml:space="preserve">ROBO ABIGEATO </v>
      </c>
      <c r="KQ54" s="207" t="str">
        <f>IFERROR(INDEX($A$2:$A$113,MATCH(ROWS($GU$2:GU54),$GU$2:$GU$113,0)),"")</f>
        <v xml:space="preserve">ROBO ABIGEATO </v>
      </c>
      <c r="KR54" s="207" t="str">
        <f>IFERROR(INDEX($A$2:$A$113,MATCH(ROWS($GV$2:GV54),$GV$2:$GV$113,0)),"")</f>
        <v xml:space="preserve">ROBO ABIGEATO </v>
      </c>
      <c r="KS54" s="207" t="str">
        <f>IFERROR(INDEX($A$2:$A$113,MATCH(ROWS($GW$2:GW54),$GW$2:$GW$113,0)),"")</f>
        <v xml:space="preserve">ROBO ABIGEATO </v>
      </c>
    </row>
    <row r="55" spans="1:305" x14ac:dyDescent="0.25">
      <c r="A55" s="206" t="s">
        <v>94</v>
      </c>
      <c r="B55" s="206">
        <v>15</v>
      </c>
      <c r="D55" s="206" t="s">
        <v>47</v>
      </c>
      <c r="E55" s="206" t="s">
        <v>510</v>
      </c>
      <c r="F55" s="207">
        <f>--ISNUMBER(IFERROR(SEARCH('PLANILLA DJ'!$X$3,$A55,1),""))</f>
        <v>1</v>
      </c>
      <c r="G55" s="207">
        <f>--ISNUMBER(IFERROR(SEARCH('PLANILLA DJ'!$X$4,$A55,1),""))</f>
        <v>1</v>
      </c>
      <c r="H55" s="207">
        <f>--ISNUMBER(IFERROR(SEARCH('PLANILLA DJ'!$X$5,$A55,1),""))</f>
        <v>1</v>
      </c>
      <c r="I55" s="207">
        <f>--ISNUMBER(IFERROR(SEARCH('PLANILLA DJ'!$X$6,$A55,1),""))</f>
        <v>1</v>
      </c>
      <c r="J55" s="207">
        <f>--ISNUMBER(IFERROR(SEARCH('PLANILLA DJ'!$X$7,$A55,1),""))</f>
        <v>1</v>
      </c>
      <c r="K55" s="207">
        <f>--ISNUMBER(IFERROR(SEARCH('PLANILLA DJ'!$X$8,$A55,1),""))</f>
        <v>1</v>
      </c>
      <c r="L55" s="207">
        <f>--ISNUMBER(IFERROR(SEARCH('PLANILLA DJ'!$X$9,$A55,1),""))</f>
        <v>1</v>
      </c>
      <c r="M55" s="207">
        <f>--ISNUMBER(IFERROR(SEARCH('PLANILLA DJ'!$X$10,$A55,1),""))</f>
        <v>1</v>
      </c>
      <c r="N55" s="207">
        <f>--ISNUMBER(IFERROR(SEARCH('PLANILLA DJ'!$X$11,$A55,1),""))</f>
        <v>1</v>
      </c>
      <c r="O55" s="207">
        <f>--ISNUMBER(IFERROR(SEARCH('PLANILLA DJ'!$X$12,$A55,1),""))</f>
        <v>1</v>
      </c>
      <c r="P55" s="207">
        <f>--ISNUMBER(IFERROR(SEARCH('PLANILLA DJ'!$X$13,$A55,1),""))</f>
        <v>1</v>
      </c>
      <c r="Q55" s="207">
        <f>--ISNUMBER(IFERROR(SEARCH('PLANILLA DJ'!$X$14,$A55,1),""))</f>
        <v>1</v>
      </c>
      <c r="R55" s="207">
        <f>--ISNUMBER(IFERROR(SEARCH('PLANILLA DJ'!$X$15,$A55,1),""))</f>
        <v>1</v>
      </c>
      <c r="S55" s="207">
        <f>--ISNUMBER(IFERROR(SEARCH('PLANILLA DJ'!$X$16,$A55,1),""))</f>
        <v>1</v>
      </c>
      <c r="T55" s="207">
        <f>--ISNUMBER(IFERROR(SEARCH('PLANILLA DJ'!$X$17,$A55,1),""))</f>
        <v>1</v>
      </c>
      <c r="U55" s="207">
        <f>--ISNUMBER(IFERROR(SEARCH('PLANILLA DJ'!$X$18,$A55,1),""))</f>
        <v>1</v>
      </c>
      <c r="V55" s="207">
        <f>--ISNUMBER(IFERROR(SEARCH('PLANILLA DJ'!$X$19,$A55,1),""))</f>
        <v>1</v>
      </c>
      <c r="W55" s="207">
        <f>--ISNUMBER(IFERROR(SEARCH('PLANILLA DJ'!$X$20,$A55,1),""))</f>
        <v>1</v>
      </c>
      <c r="X55" s="207">
        <f>--ISNUMBER(IFERROR(SEARCH('PLANILLA DJ'!$X$21,$A55,1),""))</f>
        <v>1</v>
      </c>
      <c r="Y55" s="207">
        <f>--ISNUMBER(IFERROR(SEARCH('PLANILLA DJ'!$X$22,$A55,1),""))</f>
        <v>1</v>
      </c>
      <c r="Z55" s="207">
        <f>--ISNUMBER(IFERROR(SEARCH('PLANILLA DJ'!$X$23,$A55,1),""))</f>
        <v>1</v>
      </c>
      <c r="AA55" s="207">
        <f>--ISNUMBER(IFERROR(SEARCH('PLANILLA DJ'!$X$24,$A55,1),""))</f>
        <v>1</v>
      </c>
      <c r="AB55" s="207">
        <f>--ISNUMBER(IFERROR(SEARCH('PLANILLA DJ'!$X$25,$A55,1),""))</f>
        <v>1</v>
      </c>
      <c r="AC55" s="207">
        <f>--ISNUMBER(IFERROR(SEARCH('PLANILLA DJ'!$X$26,$A55,1),""))</f>
        <v>1</v>
      </c>
      <c r="AD55" s="207">
        <f>--ISNUMBER(IFERROR(SEARCH('PLANILLA DJ'!$X$27,$A55,1),""))</f>
        <v>1</v>
      </c>
      <c r="AE55" s="207">
        <f>--ISNUMBER(IFERROR(SEARCH('PLANILLA DJ'!$X$28,$A55,1),""))</f>
        <v>1</v>
      </c>
      <c r="AF55" s="207">
        <f>--ISNUMBER(IFERROR(SEARCH('PLANILLA DJ'!$X$29,$A55,1),""))</f>
        <v>1</v>
      </c>
      <c r="AG55" s="207">
        <f>--ISNUMBER(IFERROR(SEARCH('PLANILLA DJ'!$X$30,$A55,1),""))</f>
        <v>1</v>
      </c>
      <c r="AH55" s="207">
        <f>--ISNUMBER(IFERROR(SEARCH('PLANILLA DJ'!$X$31,$A55,1),""))</f>
        <v>1</v>
      </c>
      <c r="AI55" s="207">
        <f>--ISNUMBER(IFERROR(SEARCH('PLANILLA DJ'!$X$32,$A55,1),""))</f>
        <v>1</v>
      </c>
      <c r="AJ55" s="207">
        <f>--ISNUMBER(IFERROR(SEARCH('PLANILLA DJ'!$X$33,$A55,1),""))</f>
        <v>1</v>
      </c>
      <c r="AK55" s="207">
        <f>--ISNUMBER(IFERROR(SEARCH('PLANILLA DJ'!$X$34,$A55,1),""))</f>
        <v>1</v>
      </c>
      <c r="AL55" s="207">
        <f>--ISNUMBER(IFERROR(SEARCH('PLANILLA DJ'!$X$35,$A55,1),""))</f>
        <v>1</v>
      </c>
      <c r="AM55" s="207">
        <f>--ISNUMBER(IFERROR(SEARCH('PLANILLA DJ'!$X$36,$A55,1),""))</f>
        <v>1</v>
      </c>
      <c r="AN55" s="207">
        <f>--ISNUMBER(IFERROR(SEARCH('PLANILLA DJ'!$X$37,$A55,1),""))</f>
        <v>1</v>
      </c>
      <c r="AO55" s="207">
        <f>--ISNUMBER(IFERROR(SEARCH('PLANILLA DJ'!$X$38,$A55,1),""))</f>
        <v>1</v>
      </c>
      <c r="AP55" s="207">
        <f>--ISNUMBER(IFERROR(SEARCH('PLANILLA DJ'!$X$39,$A55,1),""))</f>
        <v>1</v>
      </c>
      <c r="AQ55" s="207">
        <f>--ISNUMBER(IFERROR(SEARCH('PLANILLA DJ'!$X$40,$A55,1),""))</f>
        <v>1</v>
      </c>
      <c r="AR55" s="207">
        <f>--ISNUMBER(IFERROR(SEARCH('PLANILLA DJ'!$X$41,$A55,1),""))</f>
        <v>1</v>
      </c>
      <c r="AS55" s="207">
        <f>--ISNUMBER(IFERROR(SEARCH('PLANILLA DJ'!$X$42,$A55,1),""))</f>
        <v>1</v>
      </c>
      <c r="AT55" s="207">
        <f>--ISNUMBER(IFERROR(SEARCH('PLANILLA DJ'!$X$43,$A55,1),""))</f>
        <v>1</v>
      </c>
      <c r="AU55" s="207">
        <f>--ISNUMBER(IFERROR(SEARCH('PLANILLA DJ'!$X$44,$A55,1),""))</f>
        <v>1</v>
      </c>
      <c r="AV55" s="207">
        <f>--ISNUMBER(IFERROR(SEARCH('PLANILLA DJ'!$X$45,$A55,1),""))</f>
        <v>1</v>
      </c>
      <c r="AW55" s="207">
        <f>--ISNUMBER(IFERROR(SEARCH('PLANILLA DJ'!$X$46,$A55,1),""))</f>
        <v>1</v>
      </c>
      <c r="AX55" s="207">
        <f>--ISNUMBER(IFERROR(SEARCH('PLANILLA DJ'!$X$47,$A55,1),""))</f>
        <v>1</v>
      </c>
      <c r="AY55" s="207">
        <f>--ISNUMBER(IFERROR(SEARCH('PLANILLA DJ'!$X$48,$A55,1),""))</f>
        <v>1</v>
      </c>
      <c r="AZ55" s="207">
        <f>--ISNUMBER(IFERROR(SEARCH('PLANILLA DJ'!$X$49,$A55,1),""))</f>
        <v>1</v>
      </c>
      <c r="BA55" s="207">
        <f>--ISNUMBER(IFERROR(SEARCH('PLANILLA DJ'!$X$50,$A55,1),""))</f>
        <v>1</v>
      </c>
      <c r="BB55" s="207">
        <f>--ISNUMBER(IFERROR(SEARCH('PLANILLA DJ'!$X$51,$A55,1),""))</f>
        <v>1</v>
      </c>
      <c r="BC55" s="207">
        <f>--ISNUMBER(IFERROR(SEARCH('PLANILLA DJ'!$X$52,$A55,1),""))</f>
        <v>1</v>
      </c>
      <c r="BD55" s="207">
        <f>--ISNUMBER(IFERROR(SEARCH('PLANILLA DJ'!$X$53,$A55,1),""))</f>
        <v>1</v>
      </c>
      <c r="BE55" s="207">
        <f>--ISNUMBER(IFERROR(SEARCH('PLANILLA DJ'!$X$54,$A55,1),""))</f>
        <v>1</v>
      </c>
      <c r="BF55" s="207">
        <f>--ISNUMBER(IFERROR(SEARCH('PLANILLA DJ'!$X$55,$A55,1),""))</f>
        <v>1</v>
      </c>
      <c r="BG55" s="207">
        <f>--ISNUMBER(IFERROR(SEARCH('PLANILLA DJ'!$X$56,$A55,1),""))</f>
        <v>1</v>
      </c>
      <c r="BH55" s="207">
        <f>--ISNUMBER(IFERROR(SEARCH('PLANILLA DJ'!$X$57,$A55,1),""))</f>
        <v>1</v>
      </c>
      <c r="BI55" s="207">
        <f>--ISNUMBER(IFERROR(SEARCH('PLANILLA DJ'!$X$58,$A55,1),""))</f>
        <v>1</v>
      </c>
      <c r="BJ55" s="207">
        <f>--ISNUMBER(IFERROR(SEARCH('PLANILLA DJ'!$X$59,$A55,1),""))</f>
        <v>1</v>
      </c>
      <c r="BK55" s="207">
        <f>--ISNUMBER(IFERROR(SEARCH('PLANILLA DJ'!$X$60,$A55,1),""))</f>
        <v>1</v>
      </c>
      <c r="BL55" s="207">
        <f>--ISNUMBER(IFERROR(SEARCH('PLANILLA DJ'!$X$61,$A55,1),""))</f>
        <v>1</v>
      </c>
      <c r="BM55" s="207">
        <f>--ISNUMBER(IFERROR(SEARCH('PLANILLA DJ'!$X$62,$A55,1),""))</f>
        <v>1</v>
      </c>
      <c r="BN55" s="207">
        <f>--ISNUMBER(IFERROR(SEARCH('PLANILLA DJ'!$X$63,$A55,1),""))</f>
        <v>1</v>
      </c>
      <c r="BO55" s="207">
        <f>--ISNUMBER(IFERROR(SEARCH('PLANILLA DJ'!$X$64,$A55,1),""))</f>
        <v>1</v>
      </c>
      <c r="BP55" s="207">
        <f>--ISNUMBER(IFERROR(SEARCH('PLANILLA DJ'!$X$65,$A55,1),""))</f>
        <v>1</v>
      </c>
      <c r="BQ55" s="207">
        <f>--ISNUMBER(IFERROR(SEARCH('PLANILLA DJ'!$X$66,$A55,1),""))</f>
        <v>1</v>
      </c>
      <c r="BR55" s="207">
        <f>--ISNUMBER(IFERROR(SEARCH('PLANILLA DJ'!$X$67,$A55,1),""))</f>
        <v>1</v>
      </c>
      <c r="BS55" s="207">
        <f>--ISNUMBER(IFERROR(SEARCH('PLANILLA DJ'!$X$68,$A55,1),""))</f>
        <v>1</v>
      </c>
      <c r="BT55" s="207">
        <f>--ISNUMBER(IFERROR(SEARCH('PLANILLA DJ'!$X$69,$A55,1),""))</f>
        <v>1</v>
      </c>
      <c r="BU55" s="207">
        <f>--ISNUMBER(IFERROR(SEARCH('PLANILLA DJ'!$X$70,$A55,1),""))</f>
        <v>1</v>
      </c>
      <c r="BV55" s="207">
        <f>--ISNUMBER(IFERROR(SEARCH('PLANILLA DJ'!$X$71,$A55,1),""))</f>
        <v>1</v>
      </c>
      <c r="BW55" s="207">
        <f>--ISNUMBER(IFERROR(SEARCH('PLANILLA DJ'!$X$72,$A55,1),""))</f>
        <v>1</v>
      </c>
      <c r="BX55" s="207">
        <f>--ISNUMBER(IFERROR(SEARCH('PLANILLA DJ'!$X$73,$A55,1),""))</f>
        <v>1</v>
      </c>
      <c r="BY55" s="207">
        <f>--ISNUMBER(IFERROR(SEARCH('PLANILLA DJ'!$X$74,$A55,1),""))</f>
        <v>1</v>
      </c>
      <c r="BZ55" s="207">
        <f>--ISNUMBER(IFERROR(SEARCH('PLANILLA DJ'!$X$75,$A55,1),""))</f>
        <v>1</v>
      </c>
      <c r="CA55" s="207">
        <f>--ISNUMBER(IFERROR(SEARCH('PLANILLA DJ'!$X$76,$A55,1),""))</f>
        <v>1</v>
      </c>
      <c r="CB55" s="207">
        <f>--ISNUMBER(IFERROR(SEARCH('PLANILLA DJ'!$X$77,$A55,1),""))</f>
        <v>1</v>
      </c>
      <c r="CC55" s="207">
        <f>--ISNUMBER(IFERROR(SEARCH('PLANILLA DJ'!$X$78,$A55,1),""))</f>
        <v>1</v>
      </c>
      <c r="CD55" s="207">
        <f>--ISNUMBER(IFERROR(SEARCH('PLANILLA DJ'!$X$79,$A55,1),""))</f>
        <v>1</v>
      </c>
      <c r="CE55" s="207">
        <f>--ISNUMBER(IFERROR(SEARCH('PLANILLA DJ'!$X$80,$A55,1),""))</f>
        <v>1</v>
      </c>
      <c r="CF55" s="207">
        <f>--ISNUMBER(IFERROR(SEARCH('PLANILLA DJ'!$X$81,$A55,1),""))</f>
        <v>1</v>
      </c>
      <c r="CG55" s="207">
        <f>--ISNUMBER(IFERROR(SEARCH('PLANILLA DJ'!$X$82,$A55,1),""))</f>
        <v>1</v>
      </c>
      <c r="CH55" s="207">
        <f>--ISNUMBER(IFERROR(SEARCH('PLANILLA DJ'!$X$83,$A55,1),""))</f>
        <v>1</v>
      </c>
      <c r="CI55" s="207">
        <f>--ISNUMBER(IFERROR(SEARCH('PLANILLA DJ'!$X$84,$A55,1),""))</f>
        <v>1</v>
      </c>
      <c r="CJ55" s="207">
        <f>--ISNUMBER(IFERROR(SEARCH('PLANILLA DJ'!$X$85,$A55,1),""))</f>
        <v>1</v>
      </c>
      <c r="CK55" s="207">
        <f>--ISNUMBER(IFERROR(SEARCH('PLANILLA DJ'!$X$86,$A55,1),""))</f>
        <v>1</v>
      </c>
      <c r="CL55" s="207">
        <f>--ISNUMBER(IFERROR(SEARCH('PLANILLA DJ'!$X$87,$A55,1),""))</f>
        <v>1</v>
      </c>
      <c r="CM55" s="207">
        <f>--ISNUMBER(IFERROR(SEARCH('PLANILLA DJ'!$X$88,$A55,1),""))</f>
        <v>1</v>
      </c>
      <c r="CN55" s="207">
        <f>--ISNUMBER(IFERROR(SEARCH('PLANILLA DJ'!$X$89,$A55,1),""))</f>
        <v>1</v>
      </c>
      <c r="CO55" s="207">
        <f>--ISNUMBER(IFERROR(SEARCH('PLANILLA DJ'!$X$90,$A55,1),""))</f>
        <v>1</v>
      </c>
      <c r="CP55" s="207">
        <f>--ISNUMBER(IFERROR(SEARCH('PLANILLA DJ'!$X$91,$A55,1),""))</f>
        <v>1</v>
      </c>
      <c r="CQ55" s="207">
        <f>--ISNUMBER(IFERROR(SEARCH('PLANILLA DJ'!$X$92,$A55,1),""))</f>
        <v>1</v>
      </c>
      <c r="CR55" s="207">
        <f>--ISNUMBER(IFERROR(SEARCH('PLANILLA DJ'!$X$93,$A55,1),""))</f>
        <v>1</v>
      </c>
      <c r="CS55" s="207">
        <f>--ISNUMBER(IFERROR(SEARCH('PLANILLA DJ'!$X$94,$A55,1),""))</f>
        <v>1</v>
      </c>
      <c r="CT55" s="207">
        <f>--ISNUMBER(IFERROR(SEARCH('PLANILLA DJ'!$X$95,$A55,1),""))</f>
        <v>1</v>
      </c>
      <c r="CU55" s="207">
        <f>--ISNUMBER(IFERROR(SEARCH('PLANILLA DJ'!$X$96,$A55,1),""))</f>
        <v>1</v>
      </c>
      <c r="CV55" s="207">
        <f>--ISNUMBER(IFERROR(SEARCH('PLANILLA DJ'!$X$97,$A55,1),""))</f>
        <v>1</v>
      </c>
      <c r="CW55" s="207">
        <f>--ISNUMBER(IFERROR(SEARCH('PLANILLA DJ'!$X$98,$A55,1),""))</f>
        <v>1</v>
      </c>
      <c r="CX55" s="207">
        <f>--ISNUMBER(IFERROR(SEARCH('PLANILLA DJ'!$X$99,$A55,1),""))</f>
        <v>1</v>
      </c>
      <c r="CY55" s="207">
        <f>--ISNUMBER(IFERROR(SEARCH('PLANILLA DJ'!$X$100,$A55,1),""))</f>
        <v>1</v>
      </c>
      <c r="CZ55" s="207">
        <f>--ISNUMBER(IFERROR(SEARCH('PLANILLA DJ'!$X$101,$A55,1),""))</f>
        <v>1</v>
      </c>
      <c r="DA55" s="207">
        <f>--ISNUMBER(IFERROR(SEARCH('PLANILLA DJ'!$X$102,$A55,1),""))</f>
        <v>1</v>
      </c>
      <c r="DB55" s="206">
        <f>IF(F55=1,COUNTIF($F$2:F55,1),"")</f>
        <v>54</v>
      </c>
      <c r="DC55" s="206">
        <f>IF(G55=1,COUNTIF($G$2:G55,1),"")</f>
        <v>54</v>
      </c>
      <c r="DD55" s="206">
        <f>IF(H55=1,COUNTIF($H$2:H55,1),"")</f>
        <v>54</v>
      </c>
      <c r="DE55" s="206">
        <f>IF(I55=1,COUNTIF($I$2:I55,1),"")</f>
        <v>54</v>
      </c>
      <c r="DF55" s="206">
        <f>IF(J55=1,COUNTIF($J$2:J55,1),"")</f>
        <v>54</v>
      </c>
      <c r="DG55" s="206">
        <f>IF(K55=1,COUNTIF($K$2:K55,1),"")</f>
        <v>54</v>
      </c>
      <c r="DH55" s="206">
        <f>IF(L55=1,COUNTIF($L$2:L55,1),"")</f>
        <v>54</v>
      </c>
      <c r="DI55" s="206">
        <f>IF(M55=1,COUNTIF($M$2:M55,1),"")</f>
        <v>54</v>
      </c>
      <c r="DJ55" s="206">
        <f>IF(N55=1,COUNTIF($N$2:N55,1),"")</f>
        <v>54</v>
      </c>
      <c r="DK55" s="206">
        <f>IF(O55=1,COUNTIF($O$2:O55,1),"")</f>
        <v>54</v>
      </c>
      <c r="DL55" s="206">
        <f>IF(P55=1,COUNTIF($P$2:P55,1),"")</f>
        <v>54</v>
      </c>
      <c r="DM55" s="206">
        <f>IF(Q55=1,COUNTIF($Q$2:Q55,1),"")</f>
        <v>54</v>
      </c>
      <c r="DN55" s="207">
        <f>IF(R55=1,COUNTIF($R$2:R55,1),"")</f>
        <v>54</v>
      </c>
      <c r="DO55" s="207">
        <f>IF(S55=1,COUNTIF($S$2:S55,1),"")</f>
        <v>54</v>
      </c>
      <c r="DP55" s="207">
        <f>IF(T55=1,COUNTIF($T$2:T55,1),"")</f>
        <v>54</v>
      </c>
      <c r="DQ55" s="207">
        <f>IF(U55=1,COUNTIF($U$2:U55,1),"")</f>
        <v>54</v>
      </c>
      <c r="DR55" s="207">
        <f>IF(V55=1,COUNTIF($V$2:V55,1),"")</f>
        <v>54</v>
      </c>
      <c r="DS55" s="207">
        <f>IF(W55=1,COUNTIF($W$2:W55,1),"")</f>
        <v>54</v>
      </c>
      <c r="DT55" s="207">
        <f>IF(X55=1,COUNTIF($X$2:X55,1),"")</f>
        <v>54</v>
      </c>
      <c r="DU55" s="207">
        <f>IF(Y55=1,COUNTIF($Y$2:Y55,1),"")</f>
        <v>54</v>
      </c>
      <c r="DV55" s="207">
        <f>IF(Z55=1,COUNTIF(Z$2:Z55,1),"")</f>
        <v>54</v>
      </c>
      <c r="DW55" s="207">
        <f>IF(AA55=1,COUNTIF($AA$2:AA55,1),"")</f>
        <v>54</v>
      </c>
      <c r="DX55" s="207">
        <f>IF(AB55=1,COUNTIF($AB$2:AB55,1),"")</f>
        <v>54</v>
      </c>
      <c r="DY55" s="207">
        <f>IF(AC55=1,COUNTIF($AC$2:AC55,1),"")</f>
        <v>54</v>
      </c>
      <c r="DZ55" s="207">
        <f>IF(AD55=1,COUNTIF($AD$2:AD55,1),"")</f>
        <v>54</v>
      </c>
      <c r="EA55" s="207">
        <f>IF(AE55=1,COUNTIF($AE$2:AE55,1),"")</f>
        <v>54</v>
      </c>
      <c r="EB55" s="207">
        <f>IF(AF55=1,COUNTIF($AF$2:AF55,1),"")</f>
        <v>54</v>
      </c>
      <c r="EC55" s="207">
        <f>IF(AG55=1,COUNTIF($AG$2:AG55,1),"")</f>
        <v>54</v>
      </c>
      <c r="ED55" s="207">
        <f>IF(AH55=1,COUNTIF($AH$2:AH55,1),"")</f>
        <v>54</v>
      </c>
      <c r="EE55" s="207">
        <f>IF(AI55=1,COUNTIF($AI$2:AI55,1),"")</f>
        <v>54</v>
      </c>
      <c r="EF55" s="207">
        <f>IF(AJ55=1,COUNTIF($AJ$2:AJ55,1),"")</f>
        <v>54</v>
      </c>
      <c r="EG55" s="207">
        <f>IF(AK55=1,COUNTIF($AK$2:AK55,1),"")</f>
        <v>54</v>
      </c>
      <c r="EH55" s="207">
        <f>IF(AL55=1,COUNTIF($AL$2:AL55,1),"")</f>
        <v>54</v>
      </c>
      <c r="EI55" s="207">
        <f>IF(AM55=1,COUNTIF($AM$2:AM55,1),"")</f>
        <v>54</v>
      </c>
      <c r="EJ55" s="207">
        <f>IF(AN55=1,COUNTIF($AN$2:AN55,1),"")</f>
        <v>54</v>
      </c>
      <c r="EK55" s="207">
        <f>IF(AO55=1,COUNTIF($AO$2:AO55,1),"")</f>
        <v>54</v>
      </c>
      <c r="EL55" s="207">
        <f>IF(AP55=1,COUNTIF($AP$2:AP55,1),"")</f>
        <v>54</v>
      </c>
      <c r="EM55" s="207">
        <f>IF(AQ55=1,COUNTIF($AQ$2:AQ55,1),"")</f>
        <v>54</v>
      </c>
      <c r="EN55" s="207">
        <f>IF(AR55=1,COUNTIF($AR$2:AR55,1),"")</f>
        <v>54</v>
      </c>
      <c r="EO55" s="207">
        <f>IF(AS55=1,COUNTIF($AS$2:AS55,1),"")</f>
        <v>54</v>
      </c>
      <c r="EP55" s="207">
        <f>IF(AT55=1,COUNTIF($AT$2:AT55,1),"")</f>
        <v>54</v>
      </c>
      <c r="EQ55" s="207">
        <f>IF(AU55=1,COUNTIF($AU$2:AU55,1),"")</f>
        <v>54</v>
      </c>
      <c r="ER55" s="207">
        <f>IF(AV55=1,COUNTIF($AV$2:AV55,1),"")</f>
        <v>54</v>
      </c>
      <c r="ES55" s="207">
        <f>IF(AW55=1,COUNTIF($AW$2:AW55,1),"")</f>
        <v>54</v>
      </c>
      <c r="ET55" s="207">
        <f>IF(AX55=1,COUNTIF($AX$2:AX55,1),"")</f>
        <v>54</v>
      </c>
      <c r="EU55" s="207">
        <f>IF(AY55=1,COUNTIF($AY$2:AY55,1),"")</f>
        <v>54</v>
      </c>
      <c r="EV55" s="207">
        <f>IF(AZ55=1,COUNTIF($AZ$2:AZ55,1),"")</f>
        <v>54</v>
      </c>
      <c r="EW55" s="207">
        <f>IF(BA55=1,COUNTIF($BA$2:BA55,1),"")</f>
        <v>54</v>
      </c>
      <c r="EX55" s="207">
        <f>IF(BB55=1,COUNTIF($BB$2:BB55,1),"")</f>
        <v>54</v>
      </c>
      <c r="EY55" s="207">
        <f>IF(BC55=1,COUNTIF($BC$2:BC55,1),"")</f>
        <v>54</v>
      </c>
      <c r="EZ55" s="207">
        <f>IF(BD55=1,COUNTIF($BD$2:BD55,1),"")</f>
        <v>54</v>
      </c>
      <c r="FA55" s="207">
        <f>IF(BE55=1,COUNTIF($BE$2:BE55,1),"")</f>
        <v>54</v>
      </c>
      <c r="FB55" s="207">
        <f>IF(BF55=1,COUNTIF($BF$2:BF55,1),"")</f>
        <v>54</v>
      </c>
      <c r="FC55" s="207">
        <f>IF(BG55=1,COUNTIF($BG$2:BG55,1),"")</f>
        <v>54</v>
      </c>
      <c r="FD55" s="207">
        <f>IF(BH55=1,COUNTIF($BH$2:BH55,1),"")</f>
        <v>54</v>
      </c>
      <c r="FE55" s="207">
        <f>IF(BI55=1,COUNTIF($BI$2:BI55,1),"")</f>
        <v>54</v>
      </c>
      <c r="FF55" s="207">
        <f>IF(BJ55=1,COUNTIF($BJ$2:BJ55,1),"")</f>
        <v>54</v>
      </c>
      <c r="FG55" s="207">
        <f>IF(BK55=1,COUNTIF($BK$2:BK55,1),"")</f>
        <v>54</v>
      </c>
      <c r="FH55" s="207">
        <f>IF(BL55=1,COUNTIF($BL$2:BL55,1),"")</f>
        <v>54</v>
      </c>
      <c r="FI55" s="207">
        <f>IF(BM55=1,COUNTIF($BM$2:BM55,1),"")</f>
        <v>54</v>
      </c>
      <c r="FJ55" s="207">
        <f>IF(BN55=1,COUNTIF($BN$2:BN55,1),"")</f>
        <v>54</v>
      </c>
      <c r="FK55" s="207">
        <f>IF(BO55=1,COUNTIF($BO$2:BO55,1),"")</f>
        <v>54</v>
      </c>
      <c r="FL55" s="207">
        <f>IF(BP55=1,COUNTIF($BP$2:BP55,1),"")</f>
        <v>54</v>
      </c>
      <c r="FM55" s="207">
        <f>IF(BQ55=1,COUNTIF($BQ$2:BQ55,1),"")</f>
        <v>54</v>
      </c>
      <c r="FN55" s="207">
        <f>IF(BR55=1,COUNTIF($BR$2:BR55,1),"")</f>
        <v>54</v>
      </c>
      <c r="FO55" s="207">
        <f>IF(BS55=1,COUNTIF($BS$2:BS55,1),"")</f>
        <v>54</v>
      </c>
      <c r="FP55" s="207">
        <f>IF(BT55=1,COUNTIF($BT$2:BT55,1),"")</f>
        <v>54</v>
      </c>
      <c r="FQ55" s="207">
        <f>IF(BU55=1,COUNTIF($BU$2:BU55,1),"")</f>
        <v>54</v>
      </c>
      <c r="FR55" s="207">
        <f>IF(BV55=1,COUNTIF($BV$2:BV55,1),"")</f>
        <v>54</v>
      </c>
      <c r="FS55" s="207">
        <f>IF(BW55=1,COUNTIF($BW$2:BW55,1),"")</f>
        <v>54</v>
      </c>
      <c r="FT55" s="207">
        <f>IF(BX55=1,COUNTIF($BX$2:BX55,1),"")</f>
        <v>54</v>
      </c>
      <c r="FU55" s="207">
        <f>IF(BY55=1,COUNTIF($BY$2:BY55,1),"")</f>
        <v>54</v>
      </c>
      <c r="FV55" s="207">
        <f>IF(BZ55=1,COUNTIF($BZ$2:BZ55,1),"")</f>
        <v>54</v>
      </c>
      <c r="FW55" s="207">
        <f>IF(CA55=1,COUNTIF($CA$2:CA55,1),"")</f>
        <v>54</v>
      </c>
      <c r="FX55" s="207">
        <f>IF(CB55=1,COUNTIF($CB$2:CB55,1),"")</f>
        <v>54</v>
      </c>
      <c r="FY55" s="207">
        <f>IF(CC55=1,COUNTIF($CC$2:CC55,1),"")</f>
        <v>54</v>
      </c>
      <c r="FZ55" s="207">
        <f>IF(CD55=1,COUNTIF($CD$2:CD55,1),"")</f>
        <v>54</v>
      </c>
      <c r="GA55" s="207">
        <f>IF(CE55=1,COUNTIF($CE$2:CE55,1),"")</f>
        <v>54</v>
      </c>
      <c r="GB55" s="207">
        <f>IF(CF55=1,COUNTIF($CF$2:CF55,1),"")</f>
        <v>54</v>
      </c>
      <c r="GC55" s="207">
        <f>IF(CG55=1,COUNTIF($CG$2:CG55,1),"")</f>
        <v>54</v>
      </c>
      <c r="GD55" s="207">
        <f>IF(CH55=1,COUNTIF($CH$2:CH55,1),"")</f>
        <v>54</v>
      </c>
      <c r="GE55" s="207">
        <f>IF(CI55=1,COUNTIF($CI$2:CI55,1),"")</f>
        <v>54</v>
      </c>
      <c r="GF55" s="207">
        <f>IF(CJ55=1,COUNTIF($CJ$2:CJ55,1),"")</f>
        <v>54</v>
      </c>
      <c r="GG55" s="207">
        <f>IF(CK55=1,COUNTIF($CK$2:CK55,1),"")</f>
        <v>54</v>
      </c>
      <c r="GH55" s="207">
        <f>IF(CL55=1,COUNTIF($CL$2:CL55,1),"")</f>
        <v>54</v>
      </c>
      <c r="GI55" s="207">
        <f>IF(CM55=1,COUNTIF($CM$2:CM55,1),"")</f>
        <v>54</v>
      </c>
      <c r="GJ55" s="207">
        <f>IF(CN55=1,COUNTIF($CN$2:CN55,1),"")</f>
        <v>54</v>
      </c>
      <c r="GK55" s="207">
        <f>IF(CO55=1,COUNTIF($CO$2:CO55,1),"")</f>
        <v>54</v>
      </c>
      <c r="GL55" s="207">
        <f>IF(CP55=1,COUNTIF($CP$2:CP55,1),"")</f>
        <v>54</v>
      </c>
      <c r="GM55" s="207">
        <f>IF(CQ55=1,COUNTIF($CQ$2:CQ55,1),"")</f>
        <v>54</v>
      </c>
      <c r="GN55" s="207">
        <f>IF(CR55=1,COUNTIF($CR$2:CR55,1),"")</f>
        <v>54</v>
      </c>
      <c r="GO55" s="207">
        <f>IF(CS55=1,COUNTIF($CS$2:CS55,1),"")</f>
        <v>54</v>
      </c>
      <c r="GP55" s="207">
        <f>IF(CT55=1,COUNTIF($CT$2:CT55,1),"")</f>
        <v>54</v>
      </c>
      <c r="GQ55" s="207">
        <f>IF(CU55=1,COUNTIF($CU$2:CU55,1),"")</f>
        <v>54</v>
      </c>
      <c r="GR55" s="207">
        <f>IF(CV55=1,COUNTIF($CV$2:CV55,1),"")</f>
        <v>54</v>
      </c>
      <c r="GS55" s="207">
        <f>IF(CW55=1,COUNTIF($CW$2:CW55,1),"")</f>
        <v>54</v>
      </c>
      <c r="GT55" s="207">
        <f>IF(CX55=1,COUNTIF($CX$2:CX55,1),"")</f>
        <v>54</v>
      </c>
      <c r="GU55" s="207">
        <f>IF(CY55=1,COUNTIF($CY$2:CY55,1),"")</f>
        <v>54</v>
      </c>
      <c r="GV55" s="207">
        <f>IF(CZ55=1,COUNTIF($CZ$2:CZ55,1),"")</f>
        <v>54</v>
      </c>
      <c r="GW55" s="207">
        <f>IF(DA55=1,COUNTIF($DA$2:DA55,1),"")</f>
        <v>54</v>
      </c>
      <c r="GX55" s="206" t="str">
        <f>IFERROR(INDEX($A$2:$A$113,MATCH(ROWS($DB$2:DB55),$DB$2:$DB$113,0)),"")</f>
        <v>ROBO OTRAS OCASIONES</v>
      </c>
      <c r="GY55" s="206" t="str">
        <f>IFERROR(INDEX($A$2:$A$113,MATCH(ROWS($DC$2:DC55),$DC$2:$DC$113,0)),"")</f>
        <v>ROBO OTRAS OCASIONES</v>
      </c>
      <c r="GZ55" s="206" t="str">
        <f>IFERROR(INDEX($A$2:$A$113,MATCH(ROWS($DD$2:DD55),$DD$2:$DD$113,0)),"")</f>
        <v>ROBO OTRAS OCASIONES</v>
      </c>
      <c r="HA55" s="206" t="str">
        <f>IFERROR(INDEX($A$2:$A$113,MATCH(ROWS($DE$2:DE55),$DE$2:$DE$113,0)),"")</f>
        <v>ROBO OTRAS OCASIONES</v>
      </c>
      <c r="HB55" s="206" t="str">
        <f>IFERROR(INDEX($A$2:$A$113,MATCH(ROWS($DF$2:DF55),$DF$2:$DF$113,0)),"")</f>
        <v>ROBO OTRAS OCASIONES</v>
      </c>
      <c r="HC55" s="206" t="str">
        <f>IFERROR(INDEX($A$2:$A$113,MATCH(ROWS($DG$2:DG55),$DG$2:$DG$113,0)),"")</f>
        <v>ROBO OTRAS OCASIONES</v>
      </c>
      <c r="HD55" s="206" t="str">
        <f>IFERROR(INDEX($A$2:$A$113,MATCH(ROWS($DH$2:DH55),$DH$2:$DH$113,0)),"")</f>
        <v>ROBO OTRAS OCASIONES</v>
      </c>
      <c r="HE55" s="206" t="str">
        <f>IFERROR(INDEX($A$2:$A$113,MATCH(ROWS($DI$2:DI55),$DI$2:$DI$113,0)),"")</f>
        <v>ROBO OTRAS OCASIONES</v>
      </c>
      <c r="HF55" s="206" t="str">
        <f>IFERROR(INDEX($A$2:$A$113,MATCH(ROWS($DJ$2:DJ55),$DJ$2:$DJ$113,0)),"")</f>
        <v>ROBO OTRAS OCASIONES</v>
      </c>
      <c r="HG55" s="206" t="str">
        <f>IFERROR(INDEX($A$2:$A$113,MATCH(ROWS($DK$2:DK55),$DK$2:$DK$113,0)),"")</f>
        <v>ROBO OTRAS OCASIONES</v>
      </c>
      <c r="HH55" s="206" t="str">
        <f>IFERROR(INDEX($A$2:$A$113,MATCH(ROWS($DL$2:DL55),$DL$2:$DL$113,0)),"")</f>
        <v>ROBO OTRAS OCASIONES</v>
      </c>
      <c r="HI55" s="206" t="str">
        <f>IFERROR(INDEX($A$2:$A$113,MATCH(ROWS($DM$2:DM55),$DM$2:$DM$113,0)),"")</f>
        <v>ROBO OTRAS OCASIONES</v>
      </c>
      <c r="HJ55" s="206" t="str">
        <f>IFERROR(INDEX($A$2:$A$113,MATCH(ROWS($DN$2:DN55),$DN$2:$DN$113,0)),"")</f>
        <v>ROBO OTRAS OCASIONES</v>
      </c>
      <c r="HK55" s="206" t="str">
        <f>IFERROR(INDEX($A$2:$A$113,MATCH(ROWS($DO$2:DO55),$DO$2:$DO$113,0)),"")</f>
        <v>ROBO OTRAS OCASIONES</v>
      </c>
      <c r="HL55" s="206" t="str">
        <f>IFERROR(INDEX($A$2:$A$113,MATCH(ROWS($DP$2:DP55),$DP$2:$DP$113,0)),"")</f>
        <v>ROBO OTRAS OCASIONES</v>
      </c>
      <c r="HM55" s="206" t="str">
        <f>IFERROR(INDEX($A$2:$A$113,MATCH(ROWS($DQ$2:DQ55),$DQ$2:$DQ$113,0)),"")</f>
        <v>ROBO OTRAS OCASIONES</v>
      </c>
      <c r="HN55" s="206" t="str">
        <f>IFERROR(INDEX($A$2:$A$113,MATCH(ROWS($DR$2:DR55),$DR$2:$DR$113,0)),"")</f>
        <v>ROBO OTRAS OCASIONES</v>
      </c>
      <c r="HO55" s="206" t="str">
        <f>IFERROR(INDEX($A$2:$A$113,MATCH(ROWS($DS$2:DS55),$DS$2:$DS$113,0)),"")</f>
        <v>ROBO OTRAS OCASIONES</v>
      </c>
      <c r="HP55" s="206" t="str">
        <f>IFERROR(INDEX($A$2:$A$113,MATCH(ROWS($DT$2:DT55),$DT$2:$DT$113,0)),"")</f>
        <v>ROBO OTRAS OCASIONES</v>
      </c>
      <c r="HQ55" s="206" t="str">
        <f>IFERROR(INDEX($A$2:$A$113,MATCH(ROWS($DU$2:DU55),$DU$2:$DU$113,0)),"")</f>
        <v>ROBO OTRAS OCASIONES</v>
      </c>
      <c r="HR55" s="206" t="str">
        <f>IFERROR(INDEX($A$2:$A$113,MATCH(ROWS($DV$2:DV55),$DV$2:$DV$113,0)),"")</f>
        <v>ROBO OTRAS OCASIONES</v>
      </c>
      <c r="HS55" s="206" t="str">
        <f>IFERROR(INDEX($A$2:$A$113,MATCH(ROWS($DW$2:DW55),$DW$2:$DW$113,0)),"")</f>
        <v>ROBO OTRAS OCASIONES</v>
      </c>
      <c r="HT55" s="206" t="str">
        <f>IFERROR(INDEX($A$2:$A$113,MATCH(ROWS($DX$2:DX55),$DX$2:$DX$113,0)),"")</f>
        <v>ROBO OTRAS OCASIONES</v>
      </c>
      <c r="HU55" s="206" t="str">
        <f>IFERROR(INDEX($A$2:$A$113,MATCH(ROWS($DY$2:DY55),$DY$2:$DY$113,0)),"")</f>
        <v>ROBO OTRAS OCASIONES</v>
      </c>
      <c r="HV55" s="206" t="str">
        <f>IFERROR(INDEX($A$2:$A$113,MATCH(ROWS($DZ$2:DZ55),$DZ$2:$DZ$113,0)),"")</f>
        <v>ROBO OTRAS OCASIONES</v>
      </c>
      <c r="HW55" s="206" t="str">
        <f>IFERROR(INDEX($A$2:$A$113,MATCH(ROWS($EA$2:EA55),$EA$2:$EA$113,0)),"")</f>
        <v>ROBO OTRAS OCASIONES</v>
      </c>
      <c r="HX55" s="206" t="str">
        <f>IFERROR(INDEX($A$2:$A$113,MATCH(ROWS($EB$2:EB55),$EB$2:$EB$113,0)),"")</f>
        <v>ROBO OTRAS OCASIONES</v>
      </c>
      <c r="HY55" s="206" t="str">
        <f>IFERROR(INDEX($A$2:$A$113,MATCH(ROWS($EC$2:EC55),$EC$2:$EC$113,0)),"")</f>
        <v>ROBO OTRAS OCASIONES</v>
      </c>
      <c r="HZ55" s="206" t="str">
        <f>IFERROR(INDEX($A$2:$A$113,MATCH(ROWS($ED$2:ED55),$ED$2:$ED$113,0)),"")</f>
        <v>ROBO OTRAS OCASIONES</v>
      </c>
      <c r="IA55" s="206" t="str">
        <f>IFERROR(INDEX($A$2:$A$113,MATCH(ROWS($EE$2:EE55),$EE$2:$EE$113,0)),"")</f>
        <v>ROBO OTRAS OCASIONES</v>
      </c>
      <c r="IB55" s="206" t="str">
        <f>IFERROR(INDEX($A$2:$A$113,MATCH(ROWS($EF$2:EF55),$EF$2:$EF$113,0)),"")</f>
        <v>ROBO OTRAS OCASIONES</v>
      </c>
      <c r="IC55" s="206" t="str">
        <f>IFERROR(INDEX($A$2:$A$113,MATCH(ROWS($EG$2:EG55),$EG$2:$EG$113,0)),"")</f>
        <v>ROBO OTRAS OCASIONES</v>
      </c>
      <c r="ID55" s="206" t="str">
        <f>IFERROR(INDEX($A$2:$A$113,MATCH(ROWS($EH$2:EH55),$EH$2:$EH$113,0)),"")</f>
        <v>ROBO OTRAS OCASIONES</v>
      </c>
      <c r="IE55" s="206" t="str">
        <f>IFERROR(INDEX($A$2:$A$113,MATCH(ROWS($EI$2:EI55),$EI$2:$EI$113,0)),"")</f>
        <v>ROBO OTRAS OCASIONES</v>
      </c>
      <c r="IF55" s="206" t="str">
        <f>IFERROR(INDEX($A$2:$A$113,MATCH(ROWS($EJ$2:EJ55),$EJ$2:$EJ$113,0)),"")</f>
        <v>ROBO OTRAS OCASIONES</v>
      </c>
      <c r="IG55" s="206" t="str">
        <f>IFERROR(INDEX($A$2:$A$113,MATCH(ROWS($EK$2:EK55),$EK$2:$EK$113,0)),"")</f>
        <v>ROBO OTRAS OCASIONES</v>
      </c>
      <c r="IH55" s="206" t="str">
        <f>IFERROR(INDEX($A$2:$A$113,MATCH(ROWS($EL$2:EL55),$EL$2:$EL$113,0)),"")</f>
        <v>ROBO OTRAS OCASIONES</v>
      </c>
      <c r="II55" s="206" t="str">
        <f>IFERROR(INDEX($A$2:$A$113,MATCH(ROWS($EM$2:EM55),$EM$2:$EM$113,0)),"")</f>
        <v>ROBO OTRAS OCASIONES</v>
      </c>
      <c r="IJ55" s="206" t="str">
        <f>IFERROR(INDEX($A$2:$A$113,MATCH(ROWS($EN$2:EN55),$EN$2:$EN$113,0)),"")</f>
        <v>ROBO OTRAS OCASIONES</v>
      </c>
      <c r="IK55" s="207" t="str">
        <f>IFERROR(INDEX($A$2:$A$113,MATCH(ROWS($EO$2:EO55),$EO$2:$EO$113,0)),"")</f>
        <v>ROBO OTRAS OCASIONES</v>
      </c>
      <c r="IL55" s="207" t="str">
        <f>IFERROR(INDEX($A$2:$A$113,MATCH(ROWS($EP$2:EP55),$EP$2:$EP$113,0)),"")</f>
        <v>ROBO OTRAS OCASIONES</v>
      </c>
      <c r="IM55" s="207" t="str">
        <f>IFERROR(INDEX($A$2:$A$113,MATCH(ROWS($EQ$2:EQ55),$EQ$2:$EQ$113,0)),"")</f>
        <v>ROBO OTRAS OCASIONES</v>
      </c>
      <c r="IN55" s="207" t="str">
        <f>IFERROR(INDEX($A$2:$A$113,MATCH(ROWS($ER$2:ER55),$ER$2:$ER$113,0)),"")</f>
        <v>ROBO OTRAS OCASIONES</v>
      </c>
      <c r="IO55" s="207" t="str">
        <f>IFERROR(INDEX($A$2:$A$113,MATCH(ROWS($ES$2:ES55),$ES$2:$ES$113,0)),"")</f>
        <v>ROBO OTRAS OCASIONES</v>
      </c>
      <c r="IP55" s="207" t="str">
        <f>IFERROR(INDEX($A$2:$A$113,MATCH(ROWS($ET$2:ET55),$ET$2:$ET$113,0)),"")</f>
        <v>ROBO OTRAS OCASIONES</v>
      </c>
      <c r="IQ55" s="207" t="str">
        <f>IFERROR(INDEX($A$2:$A$113,MATCH(ROWS($EU$2:EU55),$EU$2:$EU$113,0)),"")</f>
        <v>ROBO OTRAS OCASIONES</v>
      </c>
      <c r="IR55" s="207" t="str">
        <f>IFERROR(INDEX($A$2:$A$113,MATCH(ROWS($EV$2:EV55),$EV$2:$EV$113,0)),"")</f>
        <v>ROBO OTRAS OCASIONES</v>
      </c>
      <c r="IS55" s="207" t="str">
        <f>IFERROR(INDEX($A$2:$A$113,MATCH(ROWS($EW$2:EW55),$EW$2:$EW$113,0)),"")</f>
        <v>ROBO OTRAS OCASIONES</v>
      </c>
      <c r="IT55" s="207" t="str">
        <f>IFERROR(INDEX($A$2:$A$113,MATCH(ROWS($EX$2:EX55),$EX$2:$EX$113,0)),"")</f>
        <v>ROBO OTRAS OCASIONES</v>
      </c>
      <c r="IU55" s="207" t="str">
        <f>IFERROR(INDEX($A$2:$A$113,MATCH(ROWS($EY$2:EY55),$EY$2:$EY$113,0)),"")</f>
        <v>ROBO OTRAS OCASIONES</v>
      </c>
      <c r="IV55" s="207" t="str">
        <f>IFERROR(INDEX($A$2:$A$113,MATCH(ROWS($EZ$2:EZ55),$EZ$2:$EZ$113,0)),"")</f>
        <v>ROBO OTRAS OCASIONES</v>
      </c>
      <c r="IW55" s="207" t="str">
        <f>IFERROR(INDEX($A$2:$A$113,MATCH(ROWS($FA$2:FA55),$FA$2:$FA$113,0)),"")</f>
        <v>ROBO OTRAS OCASIONES</v>
      </c>
      <c r="IX55" s="207" t="str">
        <f>IFERROR(INDEX($A$2:$A$113,MATCH(ROWS($FB$2:FB55),$FB$2:$FB$113,0)),"")</f>
        <v>ROBO OTRAS OCASIONES</v>
      </c>
      <c r="IY55" s="207" t="str">
        <f>IFERROR(INDEX($A$2:$A$113,MATCH(ROWS($FC$2:FC55),$FC$2:$FC$113,0)),"")</f>
        <v>ROBO OTRAS OCASIONES</v>
      </c>
      <c r="IZ55" s="207" t="str">
        <f>IFERROR(INDEX($A$2:$A$113,MATCH(ROWS($FD$2:FD55),$FD$2:$FD$113,0)),"")</f>
        <v>ROBO OTRAS OCASIONES</v>
      </c>
      <c r="JA55" s="207" t="str">
        <f>IFERROR(INDEX($A$2:$A$113,MATCH(ROWS($FE$2:FE55),$FE$2:$FE$113,0)),"")</f>
        <v>ROBO OTRAS OCASIONES</v>
      </c>
      <c r="JB55" s="207" t="str">
        <f>IFERROR(INDEX($A$2:$A$113,MATCH(ROWS($FF$2:FF55),$FF$2:$FF$113,0)),"")</f>
        <v>ROBO OTRAS OCASIONES</v>
      </c>
      <c r="JC55" s="207" t="str">
        <f>IFERROR(INDEX($A$2:$A$113,MATCH(ROWS($FG$2:FG55),$FG$2:$FG$113,0)),"")</f>
        <v>ROBO OTRAS OCASIONES</v>
      </c>
      <c r="JD55" s="207" t="str">
        <f>IFERROR(INDEX($A$2:$A$113,MATCH(ROWS($FH$2:FH55),$FH$2:$FH$113,0)),"")</f>
        <v>ROBO OTRAS OCASIONES</v>
      </c>
      <c r="JE55" s="207" t="str">
        <f>IFERROR(INDEX($A$2:$A$113,MATCH(ROWS($FI$2:FI55),$FI$2:$FI$113,0)),"")</f>
        <v>ROBO OTRAS OCASIONES</v>
      </c>
      <c r="JF55" s="207" t="str">
        <f>IFERROR(INDEX($A$2:$A$113,MATCH(ROWS($FJ$2:FJ55),$FJ$2:$FJ$113,0)),"")</f>
        <v>ROBO OTRAS OCASIONES</v>
      </c>
      <c r="JG55" s="207" t="str">
        <f>IFERROR(INDEX($A$2:$A$113,MATCH(ROWS($FK$2:FK55),$FK$2:$FK$113,0)),"")</f>
        <v>ROBO OTRAS OCASIONES</v>
      </c>
      <c r="JH55" s="207" t="str">
        <f>IFERROR(INDEX($A$2:$A$113,MATCH(ROWS($FL$2:FL55),$FL$2:$FL$113,0)),"")</f>
        <v>ROBO OTRAS OCASIONES</v>
      </c>
      <c r="JI55" s="207" t="str">
        <f>IFERROR(INDEX($A$2:$A$113,MATCH(ROWS($FM$2:FM55),$FM$2:$FM$113,0)),"")</f>
        <v>ROBO OTRAS OCASIONES</v>
      </c>
      <c r="JJ55" s="207" t="str">
        <f>IFERROR(INDEX($A$2:$A$113,MATCH(ROWS($FN$2:FN55),$FN$2:$FN$113,0)),"")</f>
        <v>ROBO OTRAS OCASIONES</v>
      </c>
      <c r="JK55" s="207" t="str">
        <f>IFERROR(INDEX($A$2:$A$113,MATCH(ROWS($FO$2:FO55),$FO$2:$FO$113,0)),"")</f>
        <v>ROBO OTRAS OCASIONES</v>
      </c>
      <c r="JL55" s="207" t="str">
        <f>IFERROR(INDEX($A$2:$A$113,MATCH(ROWS($FP$2:FP55),$FP$2:$FP$113,0)),"")</f>
        <v>ROBO OTRAS OCASIONES</v>
      </c>
      <c r="JM55" s="207" t="str">
        <f>IFERROR(INDEX($A$2:$A$113,MATCH(ROWS($FQ$2:FQ55),$FQ$2:$FQ$113,0)),"")</f>
        <v>ROBO OTRAS OCASIONES</v>
      </c>
      <c r="JN55" s="207" t="str">
        <f>IFERROR(INDEX($A$2:$A$113,MATCH(ROWS($FR$2:FR55),$FR$2:$FR$113,0)),"")</f>
        <v>ROBO OTRAS OCASIONES</v>
      </c>
      <c r="JO55" s="207" t="str">
        <f>IFERROR(INDEX($A$2:$A$113,MATCH(ROWS($FS$2:FS55),$FS$2:$FS$113,0)),"")</f>
        <v>ROBO OTRAS OCASIONES</v>
      </c>
      <c r="JP55" s="207" t="str">
        <f>IFERROR(INDEX($A$2:$A$113,MATCH(ROWS($FT$2:FT55),$FT$2:$FT$113,0)),"")</f>
        <v>ROBO OTRAS OCASIONES</v>
      </c>
      <c r="JQ55" s="207" t="str">
        <f>IFERROR(INDEX($A$2:$A$113,MATCH(ROWS($FU$2:FU55),$FU$2:$FU$113,0)),"")</f>
        <v>ROBO OTRAS OCASIONES</v>
      </c>
      <c r="JR55" s="207" t="str">
        <f>IFERROR(INDEX($A$2:$A$113,MATCH(ROWS($FV$2:FV55),$FV$2:$FV$113,0)),"")</f>
        <v>ROBO OTRAS OCASIONES</v>
      </c>
      <c r="JS55" s="207" t="str">
        <f>IFERROR(INDEX($A$2:$A$113,MATCH(ROWS($FW$2:FW55),$FW$2:$FW$113,0)),"")</f>
        <v>ROBO OTRAS OCASIONES</v>
      </c>
      <c r="JT55" s="207" t="str">
        <f>IFERROR(INDEX($A$2:$A$113,MATCH(ROWS($FX$2:FX55),$FX$2:$FX$113,0)),"")</f>
        <v>ROBO OTRAS OCASIONES</v>
      </c>
      <c r="JU55" s="207" t="str">
        <f>IFERROR(INDEX($A$2:$A$113,MATCH(ROWS($FY$2:FY55),$FY$2:$FY$113,0)),"")</f>
        <v>ROBO OTRAS OCASIONES</v>
      </c>
      <c r="JV55" s="207" t="str">
        <f>IFERROR(INDEX($A$2:$A$113,MATCH(ROWS($FZ$2:FZ55),$FZ$2:$FZ$113,0)),"")</f>
        <v>ROBO OTRAS OCASIONES</v>
      </c>
      <c r="JW55" s="207" t="str">
        <f>IFERROR(INDEX($A$2:$A$113,MATCH(ROWS($GA$2:GA55),$GA$2:$GA$113,0)),"")</f>
        <v>ROBO OTRAS OCASIONES</v>
      </c>
      <c r="JX55" s="207" t="str">
        <f>IFERROR(INDEX($A$2:$A$113,MATCH(ROWS($GB$2:GB55),$GB$2:$GB$113,0)),"")</f>
        <v>ROBO OTRAS OCASIONES</v>
      </c>
      <c r="JY55" s="207" t="str">
        <f>IFERROR(INDEX($A$2:$A$113,MATCH(ROWS($GC$2:GC55),$GC$2:$GC$113,0)),"")</f>
        <v>ROBO OTRAS OCASIONES</v>
      </c>
      <c r="JZ55" s="207" t="str">
        <f>IFERROR(INDEX($A$2:$A$113,MATCH(ROWS($GD$2:GD55),$GD$2:$GD$113,0)),"")</f>
        <v>ROBO OTRAS OCASIONES</v>
      </c>
      <c r="KA55" s="207" t="str">
        <f>IFERROR(INDEX($A$2:$A$113,MATCH(ROWS($GE$2:GE55),$GE$2:$GE$113,0)),"")</f>
        <v>ROBO OTRAS OCASIONES</v>
      </c>
      <c r="KB55" s="207" t="str">
        <f>IFERROR(INDEX($A$2:$A$113,MATCH(ROWS($GF$2:GF55),$GF$2:$GF$113,0)),"")</f>
        <v>ROBO OTRAS OCASIONES</v>
      </c>
      <c r="KC55" s="207" t="str">
        <f>IFERROR(INDEX($A$2:$A$113,MATCH(ROWS($GG$2:GG55),$GG$2:$GG$113,0)),"")</f>
        <v>ROBO OTRAS OCASIONES</v>
      </c>
      <c r="KD55" s="207" t="str">
        <f>IFERROR(INDEX($A$2:$A$113,MATCH(ROWS($GH$2:GH55),$GH$2:$GH$113,0)),"")</f>
        <v>ROBO OTRAS OCASIONES</v>
      </c>
      <c r="KE55" s="207" t="str">
        <f>IFERROR(INDEX($A$2:$A$113,MATCH(ROWS($GI$2:GI55),$GI$2:$GI$113,0)),"")</f>
        <v>ROBO OTRAS OCASIONES</v>
      </c>
      <c r="KF55" s="207" t="str">
        <f>IFERROR(INDEX($A$2:$A$113,MATCH(ROWS($GJ$2:GJ55),$GJ$2:$GJ$113,0)),"")</f>
        <v>ROBO OTRAS OCASIONES</v>
      </c>
      <c r="KG55" s="207" t="str">
        <f>IFERROR(INDEX($A$2:$A$113,MATCH(ROWS($GK$2:GK55),$GK$2:$GK$113,0)),"")</f>
        <v>ROBO OTRAS OCASIONES</v>
      </c>
      <c r="KH55" s="207" t="str">
        <f>IFERROR(INDEX($A$2:$A$113,MATCH(ROWS($GL$2:GL55),$GL$2:$GL$113,0)),"")</f>
        <v>ROBO OTRAS OCASIONES</v>
      </c>
      <c r="KI55" s="207" t="str">
        <f>IFERROR(INDEX($A$2:$A$113,MATCH(ROWS($GM$2:GM55),$GM$2:$GM$113,0)),"")</f>
        <v>ROBO OTRAS OCASIONES</v>
      </c>
      <c r="KJ55" s="207" t="str">
        <f>IFERROR(INDEX($A$2:$A$113,MATCH(ROWS($GN$2:GN55),$GN$2:$GN$113,0)),"")</f>
        <v>ROBO OTRAS OCASIONES</v>
      </c>
      <c r="KK55" s="207" t="str">
        <f>IFERROR(INDEX($A$2:$A$113,MATCH(ROWS($GO$2:GO55),$GO$2:$GO$113,0)),"")</f>
        <v>ROBO OTRAS OCASIONES</v>
      </c>
      <c r="KL55" s="207" t="str">
        <f>IFERROR(INDEX($A$2:$A$113,MATCH(ROWS($GP$2:GP55),$GP$2:$GP$113,0)),"")</f>
        <v>ROBO OTRAS OCASIONES</v>
      </c>
      <c r="KM55" s="207" t="str">
        <f>IFERROR(INDEX($A$2:$A$113,MATCH(ROWS($GQ$2:GQ55),$GQ$2:$GQ$113,0)),"")</f>
        <v>ROBO OTRAS OCASIONES</v>
      </c>
      <c r="KN55" s="207" t="str">
        <f>IFERROR(INDEX($A$2:$A$113,MATCH(ROWS($GR$2:GR55),$GR$2:$GR$113,0)),"")</f>
        <v>ROBO OTRAS OCASIONES</v>
      </c>
      <c r="KO55" s="207" t="str">
        <f>IFERROR(INDEX($A$2:$A$113,MATCH(ROWS($GS$2:GS55),$GS$2:$GS$113,0)),"")</f>
        <v>ROBO OTRAS OCASIONES</v>
      </c>
      <c r="KP55" s="207" t="str">
        <f>IFERROR(INDEX($A$2:$A$113,MATCH(ROWS($GT$2:GT55),$GT$2:$GT$113,0)),"")</f>
        <v>ROBO OTRAS OCASIONES</v>
      </c>
      <c r="KQ55" s="207" t="str">
        <f>IFERROR(INDEX($A$2:$A$113,MATCH(ROWS($GU$2:GU55),$GU$2:$GU$113,0)),"")</f>
        <v>ROBO OTRAS OCASIONES</v>
      </c>
      <c r="KR55" s="207" t="str">
        <f>IFERROR(INDEX($A$2:$A$113,MATCH(ROWS($GV$2:GV55),$GV$2:$GV$113,0)),"")</f>
        <v>ROBO OTRAS OCASIONES</v>
      </c>
      <c r="KS55" s="207" t="str">
        <f>IFERROR(INDEX($A$2:$A$113,MATCH(ROWS($GW$2:GW55),$GW$2:$GW$113,0)),"")</f>
        <v>ROBO OTRAS OCASIONES</v>
      </c>
    </row>
    <row r="56" spans="1:305" x14ac:dyDescent="0.25">
      <c r="A56" s="206" t="s">
        <v>95</v>
      </c>
      <c r="B56" s="206">
        <v>16</v>
      </c>
      <c r="D56" s="206" t="s">
        <v>47</v>
      </c>
      <c r="E56" s="206" t="s">
        <v>510</v>
      </c>
      <c r="F56" s="207">
        <f>--ISNUMBER(IFERROR(SEARCH('PLANILLA DJ'!$X$3,$A56,1),""))</f>
        <v>1</v>
      </c>
      <c r="G56" s="207">
        <f>--ISNUMBER(IFERROR(SEARCH('PLANILLA DJ'!$X$4,$A56,1),""))</f>
        <v>1</v>
      </c>
      <c r="H56" s="207">
        <f>--ISNUMBER(IFERROR(SEARCH('PLANILLA DJ'!$X$5,$A56,1),""))</f>
        <v>1</v>
      </c>
      <c r="I56" s="207">
        <f>--ISNUMBER(IFERROR(SEARCH('PLANILLA DJ'!$X$6,$A56,1),""))</f>
        <v>1</v>
      </c>
      <c r="J56" s="207">
        <f>--ISNUMBER(IFERROR(SEARCH('PLANILLA DJ'!$X$7,$A56,1),""))</f>
        <v>1</v>
      </c>
      <c r="K56" s="207">
        <f>--ISNUMBER(IFERROR(SEARCH('PLANILLA DJ'!$X$8,$A56,1),""))</f>
        <v>1</v>
      </c>
      <c r="L56" s="207">
        <f>--ISNUMBER(IFERROR(SEARCH('PLANILLA DJ'!$X$9,$A56,1),""))</f>
        <v>1</v>
      </c>
      <c r="M56" s="207">
        <f>--ISNUMBER(IFERROR(SEARCH('PLANILLA DJ'!$X$10,$A56,1),""))</f>
        <v>1</v>
      </c>
      <c r="N56" s="207">
        <f>--ISNUMBER(IFERROR(SEARCH('PLANILLA DJ'!$X$11,$A56,1),""))</f>
        <v>1</v>
      </c>
      <c r="O56" s="207">
        <f>--ISNUMBER(IFERROR(SEARCH('PLANILLA DJ'!$X$12,$A56,1),""))</f>
        <v>1</v>
      </c>
      <c r="P56" s="207">
        <f>--ISNUMBER(IFERROR(SEARCH('PLANILLA DJ'!$X$13,$A56,1),""))</f>
        <v>1</v>
      </c>
      <c r="Q56" s="207">
        <f>--ISNUMBER(IFERROR(SEARCH('PLANILLA DJ'!$X$14,$A56,1),""))</f>
        <v>1</v>
      </c>
      <c r="R56" s="207">
        <f>--ISNUMBER(IFERROR(SEARCH('PLANILLA DJ'!$X$15,$A56,1),""))</f>
        <v>1</v>
      </c>
      <c r="S56" s="207">
        <f>--ISNUMBER(IFERROR(SEARCH('PLANILLA DJ'!$X$16,$A56,1),""))</f>
        <v>1</v>
      </c>
      <c r="T56" s="207">
        <f>--ISNUMBER(IFERROR(SEARCH('PLANILLA DJ'!$X$17,$A56,1),""))</f>
        <v>1</v>
      </c>
      <c r="U56" s="207">
        <f>--ISNUMBER(IFERROR(SEARCH('PLANILLA DJ'!$X$18,$A56,1),""))</f>
        <v>1</v>
      </c>
      <c r="V56" s="207">
        <f>--ISNUMBER(IFERROR(SEARCH('PLANILLA DJ'!$X$19,$A56,1),""))</f>
        <v>1</v>
      </c>
      <c r="W56" s="207">
        <f>--ISNUMBER(IFERROR(SEARCH('PLANILLA DJ'!$X$20,$A56,1),""))</f>
        <v>1</v>
      </c>
      <c r="X56" s="207">
        <f>--ISNUMBER(IFERROR(SEARCH('PLANILLA DJ'!$X$21,$A56,1),""))</f>
        <v>1</v>
      </c>
      <c r="Y56" s="207">
        <f>--ISNUMBER(IFERROR(SEARCH('PLANILLA DJ'!$X$22,$A56,1),""))</f>
        <v>1</v>
      </c>
      <c r="Z56" s="207">
        <f>--ISNUMBER(IFERROR(SEARCH('PLANILLA DJ'!$X$23,$A56,1),""))</f>
        <v>1</v>
      </c>
      <c r="AA56" s="207">
        <f>--ISNUMBER(IFERROR(SEARCH('PLANILLA DJ'!$X$24,$A56,1),""))</f>
        <v>1</v>
      </c>
      <c r="AB56" s="207">
        <f>--ISNUMBER(IFERROR(SEARCH('PLANILLA DJ'!$X$25,$A56,1),""))</f>
        <v>1</v>
      </c>
      <c r="AC56" s="207">
        <f>--ISNUMBER(IFERROR(SEARCH('PLANILLA DJ'!$X$26,$A56,1),""))</f>
        <v>1</v>
      </c>
      <c r="AD56" s="207">
        <f>--ISNUMBER(IFERROR(SEARCH('PLANILLA DJ'!$X$27,$A56,1),""))</f>
        <v>1</v>
      </c>
      <c r="AE56" s="207">
        <f>--ISNUMBER(IFERROR(SEARCH('PLANILLA DJ'!$X$28,$A56,1),""))</f>
        <v>1</v>
      </c>
      <c r="AF56" s="207">
        <f>--ISNUMBER(IFERROR(SEARCH('PLANILLA DJ'!$X$29,$A56,1),""))</f>
        <v>1</v>
      </c>
      <c r="AG56" s="207">
        <f>--ISNUMBER(IFERROR(SEARCH('PLANILLA DJ'!$X$30,$A56,1),""))</f>
        <v>1</v>
      </c>
      <c r="AH56" s="207">
        <f>--ISNUMBER(IFERROR(SEARCH('PLANILLA DJ'!$X$31,$A56,1),""))</f>
        <v>1</v>
      </c>
      <c r="AI56" s="207">
        <f>--ISNUMBER(IFERROR(SEARCH('PLANILLA DJ'!$X$32,$A56,1),""))</f>
        <v>1</v>
      </c>
      <c r="AJ56" s="207">
        <f>--ISNUMBER(IFERROR(SEARCH('PLANILLA DJ'!$X$33,$A56,1),""))</f>
        <v>1</v>
      </c>
      <c r="AK56" s="207">
        <f>--ISNUMBER(IFERROR(SEARCH('PLANILLA DJ'!$X$34,$A56,1),""))</f>
        <v>1</v>
      </c>
      <c r="AL56" s="207">
        <f>--ISNUMBER(IFERROR(SEARCH('PLANILLA DJ'!$X$35,$A56,1),""))</f>
        <v>1</v>
      </c>
      <c r="AM56" s="207">
        <f>--ISNUMBER(IFERROR(SEARCH('PLANILLA DJ'!$X$36,$A56,1),""))</f>
        <v>1</v>
      </c>
      <c r="AN56" s="207">
        <f>--ISNUMBER(IFERROR(SEARCH('PLANILLA DJ'!$X$37,$A56,1),""))</f>
        <v>1</v>
      </c>
      <c r="AO56" s="207">
        <f>--ISNUMBER(IFERROR(SEARCH('PLANILLA DJ'!$X$38,$A56,1),""))</f>
        <v>1</v>
      </c>
      <c r="AP56" s="207">
        <f>--ISNUMBER(IFERROR(SEARCH('PLANILLA DJ'!$X$39,$A56,1),""))</f>
        <v>1</v>
      </c>
      <c r="AQ56" s="207">
        <f>--ISNUMBER(IFERROR(SEARCH('PLANILLA DJ'!$X$40,$A56,1),""))</f>
        <v>1</v>
      </c>
      <c r="AR56" s="207">
        <f>--ISNUMBER(IFERROR(SEARCH('PLANILLA DJ'!$X$41,$A56,1),""))</f>
        <v>1</v>
      </c>
      <c r="AS56" s="207">
        <f>--ISNUMBER(IFERROR(SEARCH('PLANILLA DJ'!$X$42,$A56,1),""))</f>
        <v>1</v>
      </c>
      <c r="AT56" s="207">
        <f>--ISNUMBER(IFERROR(SEARCH('PLANILLA DJ'!$X$43,$A56,1),""))</f>
        <v>1</v>
      </c>
      <c r="AU56" s="207">
        <f>--ISNUMBER(IFERROR(SEARCH('PLANILLA DJ'!$X$44,$A56,1),""))</f>
        <v>1</v>
      </c>
      <c r="AV56" s="207">
        <f>--ISNUMBER(IFERROR(SEARCH('PLANILLA DJ'!$X$45,$A56,1),""))</f>
        <v>1</v>
      </c>
      <c r="AW56" s="207">
        <f>--ISNUMBER(IFERROR(SEARCH('PLANILLA DJ'!$X$46,$A56,1),""))</f>
        <v>1</v>
      </c>
      <c r="AX56" s="207">
        <f>--ISNUMBER(IFERROR(SEARCH('PLANILLA DJ'!$X$47,$A56,1),""))</f>
        <v>1</v>
      </c>
      <c r="AY56" s="207">
        <f>--ISNUMBER(IFERROR(SEARCH('PLANILLA DJ'!$X$48,$A56,1),""))</f>
        <v>1</v>
      </c>
      <c r="AZ56" s="207">
        <f>--ISNUMBER(IFERROR(SEARCH('PLANILLA DJ'!$X$49,$A56,1),""))</f>
        <v>1</v>
      </c>
      <c r="BA56" s="207">
        <f>--ISNUMBER(IFERROR(SEARCH('PLANILLA DJ'!$X$50,$A56,1),""))</f>
        <v>1</v>
      </c>
      <c r="BB56" s="207">
        <f>--ISNUMBER(IFERROR(SEARCH('PLANILLA DJ'!$X$51,$A56,1),""))</f>
        <v>1</v>
      </c>
      <c r="BC56" s="207">
        <f>--ISNUMBER(IFERROR(SEARCH('PLANILLA DJ'!$X$52,$A56,1),""))</f>
        <v>1</v>
      </c>
      <c r="BD56" s="207">
        <f>--ISNUMBER(IFERROR(SEARCH('PLANILLA DJ'!$X$53,$A56,1),""))</f>
        <v>1</v>
      </c>
      <c r="BE56" s="207">
        <f>--ISNUMBER(IFERROR(SEARCH('PLANILLA DJ'!$X$54,$A56,1),""))</f>
        <v>1</v>
      </c>
      <c r="BF56" s="207">
        <f>--ISNUMBER(IFERROR(SEARCH('PLANILLA DJ'!$X$55,$A56,1),""))</f>
        <v>1</v>
      </c>
      <c r="BG56" s="207">
        <f>--ISNUMBER(IFERROR(SEARCH('PLANILLA DJ'!$X$56,$A56,1),""))</f>
        <v>1</v>
      </c>
      <c r="BH56" s="207">
        <f>--ISNUMBER(IFERROR(SEARCH('PLANILLA DJ'!$X$57,$A56,1),""))</f>
        <v>1</v>
      </c>
      <c r="BI56" s="207">
        <f>--ISNUMBER(IFERROR(SEARCH('PLANILLA DJ'!$X$58,$A56,1),""))</f>
        <v>1</v>
      </c>
      <c r="BJ56" s="207">
        <f>--ISNUMBER(IFERROR(SEARCH('PLANILLA DJ'!$X$59,$A56,1),""))</f>
        <v>1</v>
      </c>
      <c r="BK56" s="207">
        <f>--ISNUMBER(IFERROR(SEARCH('PLANILLA DJ'!$X$60,$A56,1),""))</f>
        <v>1</v>
      </c>
      <c r="BL56" s="207">
        <f>--ISNUMBER(IFERROR(SEARCH('PLANILLA DJ'!$X$61,$A56,1),""))</f>
        <v>1</v>
      </c>
      <c r="BM56" s="207">
        <f>--ISNUMBER(IFERROR(SEARCH('PLANILLA DJ'!$X$62,$A56,1),""))</f>
        <v>1</v>
      </c>
      <c r="BN56" s="207">
        <f>--ISNUMBER(IFERROR(SEARCH('PLANILLA DJ'!$X$63,$A56,1),""))</f>
        <v>1</v>
      </c>
      <c r="BO56" s="207">
        <f>--ISNUMBER(IFERROR(SEARCH('PLANILLA DJ'!$X$64,$A56,1),""))</f>
        <v>1</v>
      </c>
      <c r="BP56" s="207">
        <f>--ISNUMBER(IFERROR(SEARCH('PLANILLA DJ'!$X$65,$A56,1),""))</f>
        <v>1</v>
      </c>
      <c r="BQ56" s="207">
        <f>--ISNUMBER(IFERROR(SEARCH('PLANILLA DJ'!$X$66,$A56,1),""))</f>
        <v>1</v>
      </c>
      <c r="BR56" s="207">
        <f>--ISNUMBER(IFERROR(SEARCH('PLANILLA DJ'!$X$67,$A56,1),""))</f>
        <v>1</v>
      </c>
      <c r="BS56" s="207">
        <f>--ISNUMBER(IFERROR(SEARCH('PLANILLA DJ'!$X$68,$A56,1),""))</f>
        <v>1</v>
      </c>
      <c r="BT56" s="207">
        <f>--ISNUMBER(IFERROR(SEARCH('PLANILLA DJ'!$X$69,$A56,1),""))</f>
        <v>1</v>
      </c>
      <c r="BU56" s="207">
        <f>--ISNUMBER(IFERROR(SEARCH('PLANILLA DJ'!$X$70,$A56,1),""))</f>
        <v>1</v>
      </c>
      <c r="BV56" s="207">
        <f>--ISNUMBER(IFERROR(SEARCH('PLANILLA DJ'!$X$71,$A56,1),""))</f>
        <v>1</v>
      </c>
      <c r="BW56" s="207">
        <f>--ISNUMBER(IFERROR(SEARCH('PLANILLA DJ'!$X$72,$A56,1),""))</f>
        <v>1</v>
      </c>
      <c r="BX56" s="207">
        <f>--ISNUMBER(IFERROR(SEARCH('PLANILLA DJ'!$X$73,$A56,1),""))</f>
        <v>1</v>
      </c>
      <c r="BY56" s="207">
        <f>--ISNUMBER(IFERROR(SEARCH('PLANILLA DJ'!$X$74,$A56,1),""))</f>
        <v>1</v>
      </c>
      <c r="BZ56" s="207">
        <f>--ISNUMBER(IFERROR(SEARCH('PLANILLA DJ'!$X$75,$A56,1),""))</f>
        <v>1</v>
      </c>
      <c r="CA56" s="207">
        <f>--ISNUMBER(IFERROR(SEARCH('PLANILLA DJ'!$X$76,$A56,1),""))</f>
        <v>1</v>
      </c>
      <c r="CB56" s="207">
        <f>--ISNUMBER(IFERROR(SEARCH('PLANILLA DJ'!$X$77,$A56,1),""))</f>
        <v>1</v>
      </c>
      <c r="CC56" s="207">
        <f>--ISNUMBER(IFERROR(SEARCH('PLANILLA DJ'!$X$78,$A56,1),""))</f>
        <v>1</v>
      </c>
      <c r="CD56" s="207">
        <f>--ISNUMBER(IFERROR(SEARCH('PLANILLA DJ'!$X$79,$A56,1),""))</f>
        <v>1</v>
      </c>
      <c r="CE56" s="207">
        <f>--ISNUMBER(IFERROR(SEARCH('PLANILLA DJ'!$X$80,$A56,1),""))</f>
        <v>1</v>
      </c>
      <c r="CF56" s="207">
        <f>--ISNUMBER(IFERROR(SEARCH('PLANILLA DJ'!$X$81,$A56,1),""))</f>
        <v>1</v>
      </c>
      <c r="CG56" s="207">
        <f>--ISNUMBER(IFERROR(SEARCH('PLANILLA DJ'!$X$82,$A56,1),""))</f>
        <v>1</v>
      </c>
      <c r="CH56" s="207">
        <f>--ISNUMBER(IFERROR(SEARCH('PLANILLA DJ'!$X$83,$A56,1),""))</f>
        <v>1</v>
      </c>
      <c r="CI56" s="207">
        <f>--ISNUMBER(IFERROR(SEARCH('PLANILLA DJ'!$X$84,$A56,1),""))</f>
        <v>1</v>
      </c>
      <c r="CJ56" s="207">
        <f>--ISNUMBER(IFERROR(SEARCH('PLANILLA DJ'!$X$85,$A56,1),""))</f>
        <v>1</v>
      </c>
      <c r="CK56" s="207">
        <f>--ISNUMBER(IFERROR(SEARCH('PLANILLA DJ'!$X$86,$A56,1),""))</f>
        <v>1</v>
      </c>
      <c r="CL56" s="207">
        <f>--ISNUMBER(IFERROR(SEARCH('PLANILLA DJ'!$X$87,$A56,1),""))</f>
        <v>1</v>
      </c>
      <c r="CM56" s="207">
        <f>--ISNUMBER(IFERROR(SEARCH('PLANILLA DJ'!$X$88,$A56,1),""))</f>
        <v>1</v>
      </c>
      <c r="CN56" s="207">
        <f>--ISNUMBER(IFERROR(SEARCH('PLANILLA DJ'!$X$89,$A56,1),""))</f>
        <v>1</v>
      </c>
      <c r="CO56" s="207">
        <f>--ISNUMBER(IFERROR(SEARCH('PLANILLA DJ'!$X$90,$A56,1),""))</f>
        <v>1</v>
      </c>
      <c r="CP56" s="207">
        <f>--ISNUMBER(IFERROR(SEARCH('PLANILLA DJ'!$X$91,$A56,1),""))</f>
        <v>1</v>
      </c>
      <c r="CQ56" s="207">
        <f>--ISNUMBER(IFERROR(SEARCH('PLANILLA DJ'!$X$92,$A56,1),""))</f>
        <v>1</v>
      </c>
      <c r="CR56" s="207">
        <f>--ISNUMBER(IFERROR(SEARCH('PLANILLA DJ'!$X$93,$A56,1),""))</f>
        <v>1</v>
      </c>
      <c r="CS56" s="207">
        <f>--ISNUMBER(IFERROR(SEARCH('PLANILLA DJ'!$X$94,$A56,1),""))</f>
        <v>1</v>
      </c>
      <c r="CT56" s="207">
        <f>--ISNUMBER(IFERROR(SEARCH('PLANILLA DJ'!$X$95,$A56,1),""))</f>
        <v>1</v>
      </c>
      <c r="CU56" s="207">
        <f>--ISNUMBER(IFERROR(SEARCH('PLANILLA DJ'!$X$96,$A56,1),""))</f>
        <v>1</v>
      </c>
      <c r="CV56" s="207">
        <f>--ISNUMBER(IFERROR(SEARCH('PLANILLA DJ'!$X$97,$A56,1),""))</f>
        <v>1</v>
      </c>
      <c r="CW56" s="207">
        <f>--ISNUMBER(IFERROR(SEARCH('PLANILLA DJ'!$X$98,$A56,1),""))</f>
        <v>1</v>
      </c>
      <c r="CX56" s="207">
        <f>--ISNUMBER(IFERROR(SEARCH('PLANILLA DJ'!$X$99,$A56,1),""))</f>
        <v>1</v>
      </c>
      <c r="CY56" s="207">
        <f>--ISNUMBER(IFERROR(SEARCH('PLANILLA DJ'!$X$100,$A56,1),""))</f>
        <v>1</v>
      </c>
      <c r="CZ56" s="207">
        <f>--ISNUMBER(IFERROR(SEARCH('PLANILLA DJ'!$X$101,$A56,1),""))</f>
        <v>1</v>
      </c>
      <c r="DA56" s="207">
        <f>--ISNUMBER(IFERROR(SEARCH('PLANILLA DJ'!$X$102,$A56,1),""))</f>
        <v>1</v>
      </c>
      <c r="DB56" s="206">
        <f>IF(F56=1,COUNTIF($F$2:F56,1),"")</f>
        <v>55</v>
      </c>
      <c r="DC56" s="206">
        <f>IF(G56=1,COUNTIF($G$2:G56,1),"")</f>
        <v>55</v>
      </c>
      <c r="DD56" s="206">
        <f>IF(H56=1,COUNTIF($H$2:H56,1),"")</f>
        <v>55</v>
      </c>
      <c r="DE56" s="206">
        <f>IF(I56=1,COUNTIF($I$2:I56,1),"")</f>
        <v>55</v>
      </c>
      <c r="DF56" s="206">
        <f>IF(J56=1,COUNTIF($J$2:J56,1),"")</f>
        <v>55</v>
      </c>
      <c r="DG56" s="206">
        <f>IF(K56=1,COUNTIF($K$2:K56,1),"")</f>
        <v>55</v>
      </c>
      <c r="DH56" s="206">
        <f>IF(L56=1,COUNTIF($L$2:L56,1),"")</f>
        <v>55</v>
      </c>
      <c r="DI56" s="206">
        <f>IF(M56=1,COUNTIF($M$2:M56,1),"")</f>
        <v>55</v>
      </c>
      <c r="DJ56" s="206">
        <f>IF(N56=1,COUNTIF($N$2:N56,1),"")</f>
        <v>55</v>
      </c>
      <c r="DK56" s="206">
        <f>IF(O56=1,COUNTIF($O$2:O56,1),"")</f>
        <v>55</v>
      </c>
      <c r="DL56" s="206">
        <f>IF(P56=1,COUNTIF($P$2:P56,1),"")</f>
        <v>55</v>
      </c>
      <c r="DM56" s="206">
        <f>IF(Q56=1,COUNTIF($Q$2:Q56,1),"")</f>
        <v>55</v>
      </c>
      <c r="DN56" s="207">
        <f>IF(R56=1,COUNTIF($R$2:R56,1),"")</f>
        <v>55</v>
      </c>
      <c r="DO56" s="207">
        <f>IF(S56=1,COUNTIF($S$2:S56,1),"")</f>
        <v>55</v>
      </c>
      <c r="DP56" s="207">
        <f>IF(T56=1,COUNTIF($T$2:T56,1),"")</f>
        <v>55</v>
      </c>
      <c r="DQ56" s="207">
        <f>IF(U56=1,COUNTIF($U$2:U56,1),"")</f>
        <v>55</v>
      </c>
      <c r="DR56" s="207">
        <f>IF(V56=1,COUNTIF($V$2:V56,1),"")</f>
        <v>55</v>
      </c>
      <c r="DS56" s="207">
        <f>IF(W56=1,COUNTIF($W$2:W56,1),"")</f>
        <v>55</v>
      </c>
      <c r="DT56" s="207">
        <f>IF(X56=1,COUNTIF($X$2:X56,1),"")</f>
        <v>55</v>
      </c>
      <c r="DU56" s="207">
        <f>IF(Y56=1,COUNTIF($Y$2:Y56,1),"")</f>
        <v>55</v>
      </c>
      <c r="DV56" s="207">
        <f>IF(Z56=1,COUNTIF(Z$2:Z56,1),"")</f>
        <v>55</v>
      </c>
      <c r="DW56" s="207">
        <f>IF(AA56=1,COUNTIF($AA$2:AA56,1),"")</f>
        <v>55</v>
      </c>
      <c r="DX56" s="207">
        <f>IF(AB56=1,COUNTIF($AB$2:AB56,1),"")</f>
        <v>55</v>
      </c>
      <c r="DY56" s="207">
        <f>IF(AC56=1,COUNTIF($AC$2:AC56,1),"")</f>
        <v>55</v>
      </c>
      <c r="DZ56" s="207">
        <f>IF(AD56=1,COUNTIF($AD$2:AD56,1),"")</f>
        <v>55</v>
      </c>
      <c r="EA56" s="207">
        <f>IF(AE56=1,COUNTIF($AE$2:AE56,1),"")</f>
        <v>55</v>
      </c>
      <c r="EB56" s="207">
        <f>IF(AF56=1,COUNTIF($AF$2:AF56,1),"")</f>
        <v>55</v>
      </c>
      <c r="EC56" s="207">
        <f>IF(AG56=1,COUNTIF($AG$2:AG56,1),"")</f>
        <v>55</v>
      </c>
      <c r="ED56" s="207">
        <f>IF(AH56=1,COUNTIF($AH$2:AH56,1),"")</f>
        <v>55</v>
      </c>
      <c r="EE56" s="207">
        <f>IF(AI56=1,COUNTIF($AI$2:AI56,1),"")</f>
        <v>55</v>
      </c>
      <c r="EF56" s="207">
        <f>IF(AJ56=1,COUNTIF($AJ$2:AJ56,1),"")</f>
        <v>55</v>
      </c>
      <c r="EG56" s="207">
        <f>IF(AK56=1,COUNTIF($AK$2:AK56,1),"")</f>
        <v>55</v>
      </c>
      <c r="EH56" s="207">
        <f>IF(AL56=1,COUNTIF($AL$2:AL56,1),"")</f>
        <v>55</v>
      </c>
      <c r="EI56" s="207">
        <f>IF(AM56=1,COUNTIF($AM$2:AM56,1),"")</f>
        <v>55</v>
      </c>
      <c r="EJ56" s="207">
        <f>IF(AN56=1,COUNTIF($AN$2:AN56,1),"")</f>
        <v>55</v>
      </c>
      <c r="EK56" s="207">
        <f>IF(AO56=1,COUNTIF($AO$2:AO56,1),"")</f>
        <v>55</v>
      </c>
      <c r="EL56" s="207">
        <f>IF(AP56=1,COUNTIF($AP$2:AP56,1),"")</f>
        <v>55</v>
      </c>
      <c r="EM56" s="207">
        <f>IF(AQ56=1,COUNTIF($AQ$2:AQ56,1),"")</f>
        <v>55</v>
      </c>
      <c r="EN56" s="207">
        <f>IF(AR56=1,COUNTIF($AR$2:AR56,1),"")</f>
        <v>55</v>
      </c>
      <c r="EO56" s="207">
        <f>IF(AS56=1,COUNTIF($AS$2:AS56,1),"")</f>
        <v>55</v>
      </c>
      <c r="EP56" s="207">
        <f>IF(AT56=1,COUNTIF($AT$2:AT56,1),"")</f>
        <v>55</v>
      </c>
      <c r="EQ56" s="207">
        <f>IF(AU56=1,COUNTIF($AU$2:AU56,1),"")</f>
        <v>55</v>
      </c>
      <c r="ER56" s="207">
        <f>IF(AV56=1,COUNTIF($AV$2:AV56,1),"")</f>
        <v>55</v>
      </c>
      <c r="ES56" s="207">
        <f>IF(AW56=1,COUNTIF($AW$2:AW56,1),"")</f>
        <v>55</v>
      </c>
      <c r="ET56" s="207">
        <f>IF(AX56=1,COUNTIF($AX$2:AX56,1),"")</f>
        <v>55</v>
      </c>
      <c r="EU56" s="207">
        <f>IF(AY56=1,COUNTIF($AY$2:AY56,1),"")</f>
        <v>55</v>
      </c>
      <c r="EV56" s="207">
        <f>IF(AZ56=1,COUNTIF($AZ$2:AZ56,1),"")</f>
        <v>55</v>
      </c>
      <c r="EW56" s="207">
        <f>IF(BA56=1,COUNTIF($BA$2:BA56,1),"")</f>
        <v>55</v>
      </c>
      <c r="EX56" s="207">
        <f>IF(BB56=1,COUNTIF($BB$2:BB56,1),"")</f>
        <v>55</v>
      </c>
      <c r="EY56" s="207">
        <f>IF(BC56=1,COUNTIF($BC$2:BC56,1),"")</f>
        <v>55</v>
      </c>
      <c r="EZ56" s="207">
        <f>IF(BD56=1,COUNTIF($BD$2:BD56,1),"")</f>
        <v>55</v>
      </c>
      <c r="FA56" s="207">
        <f>IF(BE56=1,COUNTIF($BE$2:BE56,1),"")</f>
        <v>55</v>
      </c>
      <c r="FB56" s="207">
        <f>IF(BF56=1,COUNTIF($BF$2:BF56,1),"")</f>
        <v>55</v>
      </c>
      <c r="FC56" s="207">
        <f>IF(BG56=1,COUNTIF($BG$2:BG56,1),"")</f>
        <v>55</v>
      </c>
      <c r="FD56" s="207">
        <f>IF(BH56=1,COUNTIF($BH$2:BH56,1),"")</f>
        <v>55</v>
      </c>
      <c r="FE56" s="207">
        <f>IF(BI56=1,COUNTIF($BI$2:BI56,1),"")</f>
        <v>55</v>
      </c>
      <c r="FF56" s="207">
        <f>IF(BJ56=1,COUNTIF($BJ$2:BJ56,1),"")</f>
        <v>55</v>
      </c>
      <c r="FG56" s="207">
        <f>IF(BK56=1,COUNTIF($BK$2:BK56,1),"")</f>
        <v>55</v>
      </c>
      <c r="FH56" s="207">
        <f>IF(BL56=1,COUNTIF($BL$2:BL56,1),"")</f>
        <v>55</v>
      </c>
      <c r="FI56" s="207">
        <f>IF(BM56=1,COUNTIF($BM$2:BM56,1),"")</f>
        <v>55</v>
      </c>
      <c r="FJ56" s="207">
        <f>IF(BN56=1,COUNTIF($BN$2:BN56,1),"")</f>
        <v>55</v>
      </c>
      <c r="FK56" s="207">
        <f>IF(BO56=1,COUNTIF($BO$2:BO56,1),"")</f>
        <v>55</v>
      </c>
      <c r="FL56" s="207">
        <f>IF(BP56=1,COUNTIF($BP$2:BP56,1),"")</f>
        <v>55</v>
      </c>
      <c r="FM56" s="207">
        <f>IF(BQ56=1,COUNTIF($BQ$2:BQ56,1),"")</f>
        <v>55</v>
      </c>
      <c r="FN56" s="207">
        <f>IF(BR56=1,COUNTIF($BR$2:BR56,1),"")</f>
        <v>55</v>
      </c>
      <c r="FO56" s="207">
        <f>IF(BS56=1,COUNTIF($BS$2:BS56,1),"")</f>
        <v>55</v>
      </c>
      <c r="FP56" s="207">
        <f>IF(BT56=1,COUNTIF($BT$2:BT56,1),"")</f>
        <v>55</v>
      </c>
      <c r="FQ56" s="207">
        <f>IF(BU56=1,COUNTIF($BU$2:BU56,1),"")</f>
        <v>55</v>
      </c>
      <c r="FR56" s="207">
        <f>IF(BV56=1,COUNTIF($BV$2:BV56,1),"")</f>
        <v>55</v>
      </c>
      <c r="FS56" s="207">
        <f>IF(BW56=1,COUNTIF($BW$2:BW56,1),"")</f>
        <v>55</v>
      </c>
      <c r="FT56" s="207">
        <f>IF(BX56=1,COUNTIF($BX$2:BX56,1),"")</f>
        <v>55</v>
      </c>
      <c r="FU56" s="207">
        <f>IF(BY56=1,COUNTIF($BY$2:BY56,1),"")</f>
        <v>55</v>
      </c>
      <c r="FV56" s="207">
        <f>IF(BZ56=1,COUNTIF($BZ$2:BZ56,1),"")</f>
        <v>55</v>
      </c>
      <c r="FW56" s="207">
        <f>IF(CA56=1,COUNTIF($CA$2:CA56,1),"")</f>
        <v>55</v>
      </c>
      <c r="FX56" s="207">
        <f>IF(CB56=1,COUNTIF($CB$2:CB56,1),"")</f>
        <v>55</v>
      </c>
      <c r="FY56" s="207">
        <f>IF(CC56=1,COUNTIF($CC$2:CC56,1),"")</f>
        <v>55</v>
      </c>
      <c r="FZ56" s="207">
        <f>IF(CD56=1,COUNTIF($CD$2:CD56,1),"")</f>
        <v>55</v>
      </c>
      <c r="GA56" s="207">
        <f>IF(CE56=1,COUNTIF($CE$2:CE56,1),"")</f>
        <v>55</v>
      </c>
      <c r="GB56" s="207">
        <f>IF(CF56=1,COUNTIF($CF$2:CF56,1),"")</f>
        <v>55</v>
      </c>
      <c r="GC56" s="207">
        <f>IF(CG56=1,COUNTIF($CG$2:CG56,1),"")</f>
        <v>55</v>
      </c>
      <c r="GD56" s="207">
        <f>IF(CH56=1,COUNTIF($CH$2:CH56,1),"")</f>
        <v>55</v>
      </c>
      <c r="GE56" s="207">
        <f>IF(CI56=1,COUNTIF($CI$2:CI56,1),"")</f>
        <v>55</v>
      </c>
      <c r="GF56" s="207">
        <f>IF(CJ56=1,COUNTIF($CJ$2:CJ56,1),"")</f>
        <v>55</v>
      </c>
      <c r="GG56" s="207">
        <f>IF(CK56=1,COUNTIF($CK$2:CK56,1),"")</f>
        <v>55</v>
      </c>
      <c r="GH56" s="207">
        <f>IF(CL56=1,COUNTIF($CL$2:CL56,1),"")</f>
        <v>55</v>
      </c>
      <c r="GI56" s="207">
        <f>IF(CM56=1,COUNTIF($CM$2:CM56,1),"")</f>
        <v>55</v>
      </c>
      <c r="GJ56" s="207">
        <f>IF(CN56=1,COUNTIF($CN$2:CN56,1),"")</f>
        <v>55</v>
      </c>
      <c r="GK56" s="207">
        <f>IF(CO56=1,COUNTIF($CO$2:CO56,1),"")</f>
        <v>55</v>
      </c>
      <c r="GL56" s="207">
        <f>IF(CP56=1,COUNTIF($CP$2:CP56,1),"")</f>
        <v>55</v>
      </c>
      <c r="GM56" s="207">
        <f>IF(CQ56=1,COUNTIF($CQ$2:CQ56,1),"")</f>
        <v>55</v>
      </c>
      <c r="GN56" s="207">
        <f>IF(CR56=1,COUNTIF($CR$2:CR56,1),"")</f>
        <v>55</v>
      </c>
      <c r="GO56" s="207">
        <f>IF(CS56=1,COUNTIF($CS$2:CS56,1),"")</f>
        <v>55</v>
      </c>
      <c r="GP56" s="207">
        <f>IF(CT56=1,COUNTIF($CT$2:CT56,1),"")</f>
        <v>55</v>
      </c>
      <c r="GQ56" s="207">
        <f>IF(CU56=1,COUNTIF($CU$2:CU56,1),"")</f>
        <v>55</v>
      </c>
      <c r="GR56" s="207">
        <f>IF(CV56=1,COUNTIF($CV$2:CV56,1),"")</f>
        <v>55</v>
      </c>
      <c r="GS56" s="207">
        <f>IF(CW56=1,COUNTIF($CW$2:CW56,1),"")</f>
        <v>55</v>
      </c>
      <c r="GT56" s="207">
        <f>IF(CX56=1,COUNTIF($CX$2:CX56,1),"")</f>
        <v>55</v>
      </c>
      <c r="GU56" s="207">
        <f>IF(CY56=1,COUNTIF($CY$2:CY56,1),"")</f>
        <v>55</v>
      </c>
      <c r="GV56" s="207">
        <f>IF(CZ56=1,COUNTIF($CZ$2:CZ56,1),"")</f>
        <v>55</v>
      </c>
      <c r="GW56" s="207">
        <f>IF(DA56=1,COUNTIF($DA$2:DA56,1),"")</f>
        <v>55</v>
      </c>
      <c r="GX56" s="206" t="str">
        <f>IFERROR(INDEX($A$2:$A$113,MATCH(ROWS($DB$2:DB56),$DB$2:$DB$113,0)),"")</f>
        <v xml:space="preserve">ROBO EN GRADO TENTATIVA </v>
      </c>
      <c r="GY56" s="206" t="str">
        <f>IFERROR(INDEX($A$2:$A$113,MATCH(ROWS($DC$2:DC56),$DC$2:$DC$113,0)),"")</f>
        <v xml:space="preserve">ROBO EN GRADO TENTATIVA </v>
      </c>
      <c r="GZ56" s="206" t="str">
        <f>IFERROR(INDEX($A$2:$A$113,MATCH(ROWS($DD$2:DD56),$DD$2:$DD$113,0)),"")</f>
        <v xml:space="preserve">ROBO EN GRADO TENTATIVA </v>
      </c>
      <c r="HA56" s="206" t="str">
        <f>IFERROR(INDEX($A$2:$A$113,MATCH(ROWS($DE$2:DE56),$DE$2:$DE$113,0)),"")</f>
        <v xml:space="preserve">ROBO EN GRADO TENTATIVA </v>
      </c>
      <c r="HB56" s="206" t="str">
        <f>IFERROR(INDEX($A$2:$A$113,MATCH(ROWS($DF$2:DF56),$DF$2:$DF$113,0)),"")</f>
        <v xml:space="preserve">ROBO EN GRADO TENTATIVA </v>
      </c>
      <c r="HC56" s="206" t="str">
        <f>IFERROR(INDEX($A$2:$A$113,MATCH(ROWS($DG$2:DG56),$DG$2:$DG$113,0)),"")</f>
        <v xml:space="preserve">ROBO EN GRADO TENTATIVA </v>
      </c>
      <c r="HD56" s="206" t="str">
        <f>IFERROR(INDEX($A$2:$A$113,MATCH(ROWS($DH$2:DH56),$DH$2:$DH$113,0)),"")</f>
        <v xml:space="preserve">ROBO EN GRADO TENTATIVA </v>
      </c>
      <c r="HE56" s="206" t="str">
        <f>IFERROR(INDEX($A$2:$A$113,MATCH(ROWS($DI$2:DI56),$DI$2:$DI$113,0)),"")</f>
        <v xml:space="preserve">ROBO EN GRADO TENTATIVA </v>
      </c>
      <c r="HF56" s="206" t="str">
        <f>IFERROR(INDEX($A$2:$A$113,MATCH(ROWS($DJ$2:DJ56),$DJ$2:$DJ$113,0)),"")</f>
        <v xml:space="preserve">ROBO EN GRADO TENTATIVA </v>
      </c>
      <c r="HG56" s="206" t="str">
        <f>IFERROR(INDEX($A$2:$A$113,MATCH(ROWS($DK$2:DK56),$DK$2:$DK$113,0)),"")</f>
        <v xml:space="preserve">ROBO EN GRADO TENTATIVA </v>
      </c>
      <c r="HH56" s="206" t="str">
        <f>IFERROR(INDEX($A$2:$A$113,MATCH(ROWS($DL$2:DL56),$DL$2:$DL$113,0)),"")</f>
        <v xml:space="preserve">ROBO EN GRADO TENTATIVA </v>
      </c>
      <c r="HI56" s="206" t="str">
        <f>IFERROR(INDEX($A$2:$A$113,MATCH(ROWS($DM$2:DM56),$DM$2:$DM$113,0)),"")</f>
        <v xml:space="preserve">ROBO EN GRADO TENTATIVA </v>
      </c>
      <c r="HJ56" s="206" t="str">
        <f>IFERROR(INDEX($A$2:$A$113,MATCH(ROWS($DN$2:DN56),$DN$2:$DN$113,0)),"")</f>
        <v xml:space="preserve">ROBO EN GRADO TENTATIVA </v>
      </c>
      <c r="HK56" s="206" t="str">
        <f>IFERROR(INDEX($A$2:$A$113,MATCH(ROWS($DO$2:DO56),$DO$2:$DO$113,0)),"")</f>
        <v xml:space="preserve">ROBO EN GRADO TENTATIVA </v>
      </c>
      <c r="HL56" s="206" t="str">
        <f>IFERROR(INDEX($A$2:$A$113,MATCH(ROWS($DP$2:DP56),$DP$2:$DP$113,0)),"")</f>
        <v xml:space="preserve">ROBO EN GRADO TENTATIVA </v>
      </c>
      <c r="HM56" s="206" t="str">
        <f>IFERROR(INDEX($A$2:$A$113,MATCH(ROWS($DQ$2:DQ56),$DQ$2:$DQ$113,0)),"")</f>
        <v xml:space="preserve">ROBO EN GRADO TENTATIVA </v>
      </c>
      <c r="HN56" s="206" t="str">
        <f>IFERROR(INDEX($A$2:$A$113,MATCH(ROWS($DR$2:DR56),$DR$2:$DR$113,0)),"")</f>
        <v xml:space="preserve">ROBO EN GRADO TENTATIVA </v>
      </c>
      <c r="HO56" s="206" t="str">
        <f>IFERROR(INDEX($A$2:$A$113,MATCH(ROWS($DS$2:DS56),$DS$2:$DS$113,0)),"")</f>
        <v xml:space="preserve">ROBO EN GRADO TENTATIVA </v>
      </c>
      <c r="HP56" s="206" t="str">
        <f>IFERROR(INDEX($A$2:$A$113,MATCH(ROWS($DT$2:DT56),$DT$2:$DT$113,0)),"")</f>
        <v xml:space="preserve">ROBO EN GRADO TENTATIVA </v>
      </c>
      <c r="HQ56" s="206" t="str">
        <f>IFERROR(INDEX($A$2:$A$113,MATCH(ROWS($DU$2:DU56),$DU$2:$DU$113,0)),"")</f>
        <v xml:space="preserve">ROBO EN GRADO TENTATIVA </v>
      </c>
      <c r="HR56" s="206" t="str">
        <f>IFERROR(INDEX($A$2:$A$113,MATCH(ROWS($DV$2:DV56),$DV$2:$DV$113,0)),"")</f>
        <v xml:space="preserve">ROBO EN GRADO TENTATIVA </v>
      </c>
      <c r="HS56" s="206" t="str">
        <f>IFERROR(INDEX($A$2:$A$113,MATCH(ROWS($DW$2:DW56),$DW$2:$DW$113,0)),"")</f>
        <v xml:space="preserve">ROBO EN GRADO TENTATIVA </v>
      </c>
      <c r="HT56" s="206" t="str">
        <f>IFERROR(INDEX($A$2:$A$113,MATCH(ROWS($DX$2:DX56),$DX$2:$DX$113,0)),"")</f>
        <v xml:space="preserve">ROBO EN GRADO TENTATIVA </v>
      </c>
      <c r="HU56" s="206" t="str">
        <f>IFERROR(INDEX($A$2:$A$113,MATCH(ROWS($DY$2:DY56),$DY$2:$DY$113,0)),"")</f>
        <v xml:space="preserve">ROBO EN GRADO TENTATIVA </v>
      </c>
      <c r="HV56" s="206" t="str">
        <f>IFERROR(INDEX($A$2:$A$113,MATCH(ROWS($DZ$2:DZ56),$DZ$2:$DZ$113,0)),"")</f>
        <v xml:space="preserve">ROBO EN GRADO TENTATIVA </v>
      </c>
      <c r="HW56" s="206" t="str">
        <f>IFERROR(INDEX($A$2:$A$113,MATCH(ROWS($EA$2:EA56),$EA$2:$EA$113,0)),"")</f>
        <v xml:space="preserve">ROBO EN GRADO TENTATIVA </v>
      </c>
      <c r="HX56" s="206" t="str">
        <f>IFERROR(INDEX($A$2:$A$113,MATCH(ROWS($EB$2:EB56),$EB$2:$EB$113,0)),"")</f>
        <v xml:space="preserve">ROBO EN GRADO TENTATIVA </v>
      </c>
      <c r="HY56" s="206" t="str">
        <f>IFERROR(INDEX($A$2:$A$113,MATCH(ROWS($EC$2:EC56),$EC$2:$EC$113,0)),"")</f>
        <v xml:space="preserve">ROBO EN GRADO TENTATIVA </v>
      </c>
      <c r="HZ56" s="206" t="str">
        <f>IFERROR(INDEX($A$2:$A$113,MATCH(ROWS($ED$2:ED56),$ED$2:$ED$113,0)),"")</f>
        <v xml:space="preserve">ROBO EN GRADO TENTATIVA </v>
      </c>
      <c r="IA56" s="206" t="str">
        <f>IFERROR(INDEX($A$2:$A$113,MATCH(ROWS($EE$2:EE56),$EE$2:$EE$113,0)),"")</f>
        <v xml:space="preserve">ROBO EN GRADO TENTATIVA </v>
      </c>
      <c r="IB56" s="206" t="str">
        <f>IFERROR(INDEX($A$2:$A$113,MATCH(ROWS($EF$2:EF56),$EF$2:$EF$113,0)),"")</f>
        <v xml:space="preserve">ROBO EN GRADO TENTATIVA </v>
      </c>
      <c r="IC56" s="206" t="str">
        <f>IFERROR(INDEX($A$2:$A$113,MATCH(ROWS($EG$2:EG56),$EG$2:$EG$113,0)),"")</f>
        <v xml:space="preserve">ROBO EN GRADO TENTATIVA </v>
      </c>
      <c r="ID56" s="206" t="str">
        <f>IFERROR(INDEX($A$2:$A$113,MATCH(ROWS($EH$2:EH56),$EH$2:$EH$113,0)),"")</f>
        <v xml:space="preserve">ROBO EN GRADO TENTATIVA </v>
      </c>
      <c r="IE56" s="206" t="str">
        <f>IFERROR(INDEX($A$2:$A$113,MATCH(ROWS($EI$2:EI56),$EI$2:$EI$113,0)),"")</f>
        <v xml:space="preserve">ROBO EN GRADO TENTATIVA </v>
      </c>
      <c r="IF56" s="206" t="str">
        <f>IFERROR(INDEX($A$2:$A$113,MATCH(ROWS($EJ$2:EJ56),$EJ$2:$EJ$113,0)),"")</f>
        <v xml:space="preserve">ROBO EN GRADO TENTATIVA </v>
      </c>
      <c r="IG56" s="206" t="str">
        <f>IFERROR(INDEX($A$2:$A$113,MATCH(ROWS($EK$2:EK56),$EK$2:$EK$113,0)),"")</f>
        <v xml:space="preserve">ROBO EN GRADO TENTATIVA </v>
      </c>
      <c r="IH56" s="206" t="str">
        <f>IFERROR(INDEX($A$2:$A$113,MATCH(ROWS($EL$2:EL56),$EL$2:$EL$113,0)),"")</f>
        <v xml:space="preserve">ROBO EN GRADO TENTATIVA </v>
      </c>
      <c r="II56" s="206" t="str">
        <f>IFERROR(INDEX($A$2:$A$113,MATCH(ROWS($EM$2:EM56),$EM$2:$EM$113,0)),"")</f>
        <v xml:space="preserve">ROBO EN GRADO TENTATIVA </v>
      </c>
      <c r="IJ56" s="206" t="str">
        <f>IFERROR(INDEX($A$2:$A$113,MATCH(ROWS($EN$2:EN56),$EN$2:$EN$113,0)),"")</f>
        <v xml:space="preserve">ROBO EN GRADO TENTATIVA </v>
      </c>
      <c r="IK56" s="207" t="str">
        <f>IFERROR(INDEX($A$2:$A$113,MATCH(ROWS($EO$2:EO56),$EO$2:$EO$113,0)),"")</f>
        <v xml:space="preserve">ROBO EN GRADO TENTATIVA </v>
      </c>
      <c r="IL56" s="207" t="str">
        <f>IFERROR(INDEX($A$2:$A$113,MATCH(ROWS($EP$2:EP56),$EP$2:$EP$113,0)),"")</f>
        <v xml:space="preserve">ROBO EN GRADO TENTATIVA </v>
      </c>
      <c r="IM56" s="207" t="str">
        <f>IFERROR(INDEX($A$2:$A$113,MATCH(ROWS($EQ$2:EQ56),$EQ$2:$EQ$113,0)),"")</f>
        <v xml:space="preserve">ROBO EN GRADO TENTATIVA </v>
      </c>
      <c r="IN56" s="207" t="str">
        <f>IFERROR(INDEX($A$2:$A$113,MATCH(ROWS($ER$2:ER56),$ER$2:$ER$113,0)),"")</f>
        <v xml:space="preserve">ROBO EN GRADO TENTATIVA </v>
      </c>
      <c r="IO56" s="207" t="str">
        <f>IFERROR(INDEX($A$2:$A$113,MATCH(ROWS($ES$2:ES56),$ES$2:$ES$113,0)),"")</f>
        <v xml:space="preserve">ROBO EN GRADO TENTATIVA </v>
      </c>
      <c r="IP56" s="207" t="str">
        <f>IFERROR(INDEX($A$2:$A$113,MATCH(ROWS($ET$2:ET56),$ET$2:$ET$113,0)),"")</f>
        <v xml:space="preserve">ROBO EN GRADO TENTATIVA </v>
      </c>
      <c r="IQ56" s="207" t="str">
        <f>IFERROR(INDEX($A$2:$A$113,MATCH(ROWS($EU$2:EU56),$EU$2:$EU$113,0)),"")</f>
        <v xml:space="preserve">ROBO EN GRADO TENTATIVA </v>
      </c>
      <c r="IR56" s="207" t="str">
        <f>IFERROR(INDEX($A$2:$A$113,MATCH(ROWS($EV$2:EV56),$EV$2:$EV$113,0)),"")</f>
        <v xml:space="preserve">ROBO EN GRADO TENTATIVA </v>
      </c>
      <c r="IS56" s="207" t="str">
        <f>IFERROR(INDEX($A$2:$A$113,MATCH(ROWS($EW$2:EW56),$EW$2:$EW$113,0)),"")</f>
        <v xml:space="preserve">ROBO EN GRADO TENTATIVA </v>
      </c>
      <c r="IT56" s="207" t="str">
        <f>IFERROR(INDEX($A$2:$A$113,MATCH(ROWS($EX$2:EX56),$EX$2:$EX$113,0)),"")</f>
        <v xml:space="preserve">ROBO EN GRADO TENTATIVA </v>
      </c>
      <c r="IU56" s="207" t="str">
        <f>IFERROR(INDEX($A$2:$A$113,MATCH(ROWS($EY$2:EY56),$EY$2:$EY$113,0)),"")</f>
        <v xml:space="preserve">ROBO EN GRADO TENTATIVA </v>
      </c>
      <c r="IV56" s="207" t="str">
        <f>IFERROR(INDEX($A$2:$A$113,MATCH(ROWS($EZ$2:EZ56),$EZ$2:$EZ$113,0)),"")</f>
        <v xml:space="preserve">ROBO EN GRADO TENTATIVA </v>
      </c>
      <c r="IW56" s="207" t="str">
        <f>IFERROR(INDEX($A$2:$A$113,MATCH(ROWS($FA$2:FA56),$FA$2:$FA$113,0)),"")</f>
        <v xml:space="preserve">ROBO EN GRADO TENTATIVA </v>
      </c>
      <c r="IX56" s="207" t="str">
        <f>IFERROR(INDEX($A$2:$A$113,MATCH(ROWS($FB$2:FB56),$FB$2:$FB$113,0)),"")</f>
        <v xml:space="preserve">ROBO EN GRADO TENTATIVA </v>
      </c>
      <c r="IY56" s="207" t="str">
        <f>IFERROR(INDEX($A$2:$A$113,MATCH(ROWS($FC$2:FC56),$FC$2:$FC$113,0)),"")</f>
        <v xml:space="preserve">ROBO EN GRADO TENTATIVA </v>
      </c>
      <c r="IZ56" s="207" t="str">
        <f>IFERROR(INDEX($A$2:$A$113,MATCH(ROWS($FD$2:FD56),$FD$2:$FD$113,0)),"")</f>
        <v xml:space="preserve">ROBO EN GRADO TENTATIVA </v>
      </c>
      <c r="JA56" s="207" t="str">
        <f>IFERROR(INDEX($A$2:$A$113,MATCH(ROWS($FE$2:FE56),$FE$2:$FE$113,0)),"")</f>
        <v xml:space="preserve">ROBO EN GRADO TENTATIVA </v>
      </c>
      <c r="JB56" s="207" t="str">
        <f>IFERROR(INDEX($A$2:$A$113,MATCH(ROWS($FF$2:FF56),$FF$2:$FF$113,0)),"")</f>
        <v xml:space="preserve">ROBO EN GRADO TENTATIVA </v>
      </c>
      <c r="JC56" s="207" t="str">
        <f>IFERROR(INDEX($A$2:$A$113,MATCH(ROWS($FG$2:FG56),$FG$2:$FG$113,0)),"")</f>
        <v xml:space="preserve">ROBO EN GRADO TENTATIVA </v>
      </c>
      <c r="JD56" s="207" t="str">
        <f>IFERROR(INDEX($A$2:$A$113,MATCH(ROWS($FH$2:FH56),$FH$2:$FH$113,0)),"")</f>
        <v xml:space="preserve">ROBO EN GRADO TENTATIVA </v>
      </c>
      <c r="JE56" s="207" t="str">
        <f>IFERROR(INDEX($A$2:$A$113,MATCH(ROWS($FI$2:FI56),$FI$2:$FI$113,0)),"")</f>
        <v xml:space="preserve">ROBO EN GRADO TENTATIVA </v>
      </c>
      <c r="JF56" s="207" t="str">
        <f>IFERROR(INDEX($A$2:$A$113,MATCH(ROWS($FJ$2:FJ56),$FJ$2:$FJ$113,0)),"")</f>
        <v xml:space="preserve">ROBO EN GRADO TENTATIVA </v>
      </c>
      <c r="JG56" s="207" t="str">
        <f>IFERROR(INDEX($A$2:$A$113,MATCH(ROWS($FK$2:FK56),$FK$2:$FK$113,0)),"")</f>
        <v xml:space="preserve">ROBO EN GRADO TENTATIVA </v>
      </c>
      <c r="JH56" s="207" t="str">
        <f>IFERROR(INDEX($A$2:$A$113,MATCH(ROWS($FL$2:FL56),$FL$2:$FL$113,0)),"")</f>
        <v xml:space="preserve">ROBO EN GRADO TENTATIVA </v>
      </c>
      <c r="JI56" s="207" t="str">
        <f>IFERROR(INDEX($A$2:$A$113,MATCH(ROWS($FM$2:FM56),$FM$2:$FM$113,0)),"")</f>
        <v xml:space="preserve">ROBO EN GRADO TENTATIVA </v>
      </c>
      <c r="JJ56" s="207" t="str">
        <f>IFERROR(INDEX($A$2:$A$113,MATCH(ROWS($FN$2:FN56),$FN$2:$FN$113,0)),"")</f>
        <v xml:space="preserve">ROBO EN GRADO TENTATIVA </v>
      </c>
      <c r="JK56" s="207" t="str">
        <f>IFERROR(INDEX($A$2:$A$113,MATCH(ROWS($FO$2:FO56),$FO$2:$FO$113,0)),"")</f>
        <v xml:space="preserve">ROBO EN GRADO TENTATIVA </v>
      </c>
      <c r="JL56" s="207" t="str">
        <f>IFERROR(INDEX($A$2:$A$113,MATCH(ROWS($FP$2:FP56),$FP$2:$FP$113,0)),"")</f>
        <v xml:space="preserve">ROBO EN GRADO TENTATIVA </v>
      </c>
      <c r="JM56" s="207" t="str">
        <f>IFERROR(INDEX($A$2:$A$113,MATCH(ROWS($FQ$2:FQ56),$FQ$2:$FQ$113,0)),"")</f>
        <v xml:space="preserve">ROBO EN GRADO TENTATIVA </v>
      </c>
      <c r="JN56" s="207" t="str">
        <f>IFERROR(INDEX($A$2:$A$113,MATCH(ROWS($FR$2:FR56),$FR$2:$FR$113,0)),"")</f>
        <v xml:space="preserve">ROBO EN GRADO TENTATIVA </v>
      </c>
      <c r="JO56" s="207" t="str">
        <f>IFERROR(INDEX($A$2:$A$113,MATCH(ROWS($FS$2:FS56),$FS$2:$FS$113,0)),"")</f>
        <v xml:space="preserve">ROBO EN GRADO TENTATIVA </v>
      </c>
      <c r="JP56" s="207" t="str">
        <f>IFERROR(INDEX($A$2:$A$113,MATCH(ROWS($FT$2:FT56),$FT$2:$FT$113,0)),"")</f>
        <v xml:space="preserve">ROBO EN GRADO TENTATIVA </v>
      </c>
      <c r="JQ56" s="207" t="str">
        <f>IFERROR(INDEX($A$2:$A$113,MATCH(ROWS($FU$2:FU56),$FU$2:$FU$113,0)),"")</f>
        <v xml:space="preserve">ROBO EN GRADO TENTATIVA </v>
      </c>
      <c r="JR56" s="207" t="str">
        <f>IFERROR(INDEX($A$2:$A$113,MATCH(ROWS($FV$2:FV56),$FV$2:$FV$113,0)),"")</f>
        <v xml:space="preserve">ROBO EN GRADO TENTATIVA </v>
      </c>
      <c r="JS56" s="207" t="str">
        <f>IFERROR(INDEX($A$2:$A$113,MATCH(ROWS($FW$2:FW56),$FW$2:$FW$113,0)),"")</f>
        <v xml:space="preserve">ROBO EN GRADO TENTATIVA </v>
      </c>
      <c r="JT56" s="207" t="str">
        <f>IFERROR(INDEX($A$2:$A$113,MATCH(ROWS($FX$2:FX56),$FX$2:$FX$113,0)),"")</f>
        <v xml:space="preserve">ROBO EN GRADO TENTATIVA </v>
      </c>
      <c r="JU56" s="207" t="str">
        <f>IFERROR(INDEX($A$2:$A$113,MATCH(ROWS($FY$2:FY56),$FY$2:$FY$113,0)),"")</f>
        <v xml:space="preserve">ROBO EN GRADO TENTATIVA </v>
      </c>
      <c r="JV56" s="207" t="str">
        <f>IFERROR(INDEX($A$2:$A$113,MATCH(ROWS($FZ$2:FZ56),$FZ$2:$FZ$113,0)),"")</f>
        <v xml:space="preserve">ROBO EN GRADO TENTATIVA </v>
      </c>
      <c r="JW56" s="207" t="str">
        <f>IFERROR(INDEX($A$2:$A$113,MATCH(ROWS($GA$2:GA56),$GA$2:$GA$113,0)),"")</f>
        <v xml:space="preserve">ROBO EN GRADO TENTATIVA </v>
      </c>
      <c r="JX56" s="207" t="str">
        <f>IFERROR(INDEX($A$2:$A$113,MATCH(ROWS($GB$2:GB56),$GB$2:$GB$113,0)),"")</f>
        <v xml:space="preserve">ROBO EN GRADO TENTATIVA </v>
      </c>
      <c r="JY56" s="207" t="str">
        <f>IFERROR(INDEX($A$2:$A$113,MATCH(ROWS($GC$2:GC56),$GC$2:$GC$113,0)),"")</f>
        <v xml:space="preserve">ROBO EN GRADO TENTATIVA </v>
      </c>
      <c r="JZ56" s="207" t="str">
        <f>IFERROR(INDEX($A$2:$A$113,MATCH(ROWS($GD$2:GD56),$GD$2:$GD$113,0)),"")</f>
        <v xml:space="preserve">ROBO EN GRADO TENTATIVA </v>
      </c>
      <c r="KA56" s="207" t="str">
        <f>IFERROR(INDEX($A$2:$A$113,MATCH(ROWS($GE$2:GE56),$GE$2:$GE$113,0)),"")</f>
        <v xml:space="preserve">ROBO EN GRADO TENTATIVA </v>
      </c>
      <c r="KB56" s="207" t="str">
        <f>IFERROR(INDEX($A$2:$A$113,MATCH(ROWS($GF$2:GF56),$GF$2:$GF$113,0)),"")</f>
        <v xml:space="preserve">ROBO EN GRADO TENTATIVA </v>
      </c>
      <c r="KC56" s="207" t="str">
        <f>IFERROR(INDEX($A$2:$A$113,MATCH(ROWS($GG$2:GG56),$GG$2:$GG$113,0)),"")</f>
        <v xml:space="preserve">ROBO EN GRADO TENTATIVA </v>
      </c>
      <c r="KD56" s="207" t="str">
        <f>IFERROR(INDEX($A$2:$A$113,MATCH(ROWS($GH$2:GH56),$GH$2:$GH$113,0)),"")</f>
        <v xml:space="preserve">ROBO EN GRADO TENTATIVA </v>
      </c>
      <c r="KE56" s="207" t="str">
        <f>IFERROR(INDEX($A$2:$A$113,MATCH(ROWS($GI$2:GI56),$GI$2:$GI$113,0)),"")</f>
        <v xml:space="preserve">ROBO EN GRADO TENTATIVA </v>
      </c>
      <c r="KF56" s="207" t="str">
        <f>IFERROR(INDEX($A$2:$A$113,MATCH(ROWS($GJ$2:GJ56),$GJ$2:$GJ$113,0)),"")</f>
        <v xml:space="preserve">ROBO EN GRADO TENTATIVA </v>
      </c>
      <c r="KG56" s="207" t="str">
        <f>IFERROR(INDEX($A$2:$A$113,MATCH(ROWS($GK$2:GK56),$GK$2:$GK$113,0)),"")</f>
        <v xml:space="preserve">ROBO EN GRADO TENTATIVA </v>
      </c>
      <c r="KH56" s="207" t="str">
        <f>IFERROR(INDEX($A$2:$A$113,MATCH(ROWS($GL$2:GL56),$GL$2:$GL$113,0)),"")</f>
        <v xml:space="preserve">ROBO EN GRADO TENTATIVA </v>
      </c>
      <c r="KI56" s="207" t="str">
        <f>IFERROR(INDEX($A$2:$A$113,MATCH(ROWS($GM$2:GM56),$GM$2:$GM$113,0)),"")</f>
        <v xml:space="preserve">ROBO EN GRADO TENTATIVA </v>
      </c>
      <c r="KJ56" s="207" t="str">
        <f>IFERROR(INDEX($A$2:$A$113,MATCH(ROWS($GN$2:GN56),$GN$2:$GN$113,0)),"")</f>
        <v xml:space="preserve">ROBO EN GRADO TENTATIVA </v>
      </c>
      <c r="KK56" s="207" t="str">
        <f>IFERROR(INDEX($A$2:$A$113,MATCH(ROWS($GO$2:GO56),$GO$2:$GO$113,0)),"")</f>
        <v xml:space="preserve">ROBO EN GRADO TENTATIVA </v>
      </c>
      <c r="KL56" s="207" t="str">
        <f>IFERROR(INDEX($A$2:$A$113,MATCH(ROWS($GP$2:GP56),$GP$2:$GP$113,0)),"")</f>
        <v xml:space="preserve">ROBO EN GRADO TENTATIVA </v>
      </c>
      <c r="KM56" s="207" t="str">
        <f>IFERROR(INDEX($A$2:$A$113,MATCH(ROWS($GQ$2:GQ56),$GQ$2:$GQ$113,0)),"")</f>
        <v xml:space="preserve">ROBO EN GRADO TENTATIVA </v>
      </c>
      <c r="KN56" s="207" t="str">
        <f>IFERROR(INDEX($A$2:$A$113,MATCH(ROWS($GR$2:GR56),$GR$2:$GR$113,0)),"")</f>
        <v xml:space="preserve">ROBO EN GRADO TENTATIVA </v>
      </c>
      <c r="KO56" s="207" t="str">
        <f>IFERROR(INDEX($A$2:$A$113,MATCH(ROWS($GS$2:GS56),$GS$2:$GS$113,0)),"")</f>
        <v xml:space="preserve">ROBO EN GRADO TENTATIVA </v>
      </c>
      <c r="KP56" s="207" t="str">
        <f>IFERROR(INDEX($A$2:$A$113,MATCH(ROWS($GT$2:GT56),$GT$2:$GT$113,0)),"")</f>
        <v xml:space="preserve">ROBO EN GRADO TENTATIVA </v>
      </c>
      <c r="KQ56" s="207" t="str">
        <f>IFERROR(INDEX($A$2:$A$113,MATCH(ROWS($GU$2:GU56),$GU$2:$GU$113,0)),"")</f>
        <v xml:space="preserve">ROBO EN GRADO TENTATIVA </v>
      </c>
      <c r="KR56" s="207" t="str">
        <f>IFERROR(INDEX($A$2:$A$113,MATCH(ROWS($GV$2:GV56),$GV$2:$GV$113,0)),"")</f>
        <v xml:space="preserve">ROBO EN GRADO TENTATIVA </v>
      </c>
      <c r="KS56" s="207" t="str">
        <f>IFERROR(INDEX($A$2:$A$113,MATCH(ROWS($GW$2:GW56),$GW$2:$GW$113,0)),"")</f>
        <v xml:space="preserve">ROBO EN GRADO TENTATIVA </v>
      </c>
    </row>
    <row r="57" spans="1:305" x14ac:dyDescent="0.25">
      <c r="A57" s="206" t="s">
        <v>96</v>
      </c>
      <c r="B57" s="206">
        <v>18</v>
      </c>
      <c r="D57" s="206" t="s">
        <v>47</v>
      </c>
      <c r="E57" s="206" t="s">
        <v>510</v>
      </c>
      <c r="F57" s="207">
        <f>--ISNUMBER(IFERROR(SEARCH('PLANILLA DJ'!$X$3,$A57,1),""))</f>
        <v>1</v>
      </c>
      <c r="G57" s="207">
        <f>--ISNUMBER(IFERROR(SEARCH('PLANILLA DJ'!$X$4,$A57,1),""))</f>
        <v>1</v>
      </c>
      <c r="H57" s="207">
        <f>--ISNUMBER(IFERROR(SEARCH('PLANILLA DJ'!$X$5,$A57,1),""))</f>
        <v>1</v>
      </c>
      <c r="I57" s="207">
        <f>--ISNUMBER(IFERROR(SEARCH('PLANILLA DJ'!$X$6,$A57,1),""))</f>
        <v>1</v>
      </c>
      <c r="J57" s="207">
        <f>--ISNUMBER(IFERROR(SEARCH('PLANILLA DJ'!$X$7,$A57,1),""))</f>
        <v>1</v>
      </c>
      <c r="K57" s="207">
        <f>--ISNUMBER(IFERROR(SEARCH('PLANILLA DJ'!$X$8,$A57,1),""))</f>
        <v>1</v>
      </c>
      <c r="L57" s="207">
        <f>--ISNUMBER(IFERROR(SEARCH('PLANILLA DJ'!$X$9,$A57,1),""))</f>
        <v>1</v>
      </c>
      <c r="M57" s="207">
        <f>--ISNUMBER(IFERROR(SEARCH('PLANILLA DJ'!$X$10,$A57,1),""))</f>
        <v>1</v>
      </c>
      <c r="N57" s="207">
        <f>--ISNUMBER(IFERROR(SEARCH('PLANILLA DJ'!$X$11,$A57,1),""))</f>
        <v>1</v>
      </c>
      <c r="O57" s="207">
        <f>--ISNUMBER(IFERROR(SEARCH('PLANILLA DJ'!$X$12,$A57,1),""))</f>
        <v>1</v>
      </c>
      <c r="P57" s="207">
        <f>--ISNUMBER(IFERROR(SEARCH('PLANILLA DJ'!$X$13,$A57,1),""))</f>
        <v>1</v>
      </c>
      <c r="Q57" s="207">
        <f>--ISNUMBER(IFERROR(SEARCH('PLANILLA DJ'!$X$14,$A57,1),""))</f>
        <v>1</v>
      </c>
      <c r="R57" s="207">
        <f>--ISNUMBER(IFERROR(SEARCH('PLANILLA DJ'!$X$15,$A57,1),""))</f>
        <v>1</v>
      </c>
      <c r="S57" s="207">
        <f>--ISNUMBER(IFERROR(SEARCH('PLANILLA DJ'!$X$16,$A57,1),""))</f>
        <v>1</v>
      </c>
      <c r="T57" s="207">
        <f>--ISNUMBER(IFERROR(SEARCH('PLANILLA DJ'!$X$17,$A57,1),""))</f>
        <v>1</v>
      </c>
      <c r="U57" s="207">
        <f>--ISNUMBER(IFERROR(SEARCH('PLANILLA DJ'!$X$18,$A57,1),""))</f>
        <v>1</v>
      </c>
      <c r="V57" s="207">
        <f>--ISNUMBER(IFERROR(SEARCH('PLANILLA DJ'!$X$19,$A57,1),""))</f>
        <v>1</v>
      </c>
      <c r="W57" s="207">
        <f>--ISNUMBER(IFERROR(SEARCH('PLANILLA DJ'!$X$20,$A57,1),""))</f>
        <v>1</v>
      </c>
      <c r="X57" s="207">
        <f>--ISNUMBER(IFERROR(SEARCH('PLANILLA DJ'!$X$21,$A57,1),""))</f>
        <v>1</v>
      </c>
      <c r="Y57" s="207">
        <f>--ISNUMBER(IFERROR(SEARCH('PLANILLA DJ'!$X$22,$A57,1),""))</f>
        <v>1</v>
      </c>
      <c r="Z57" s="207">
        <f>--ISNUMBER(IFERROR(SEARCH('PLANILLA DJ'!$X$23,$A57,1),""))</f>
        <v>1</v>
      </c>
      <c r="AA57" s="207">
        <f>--ISNUMBER(IFERROR(SEARCH('PLANILLA DJ'!$X$24,$A57,1),""))</f>
        <v>1</v>
      </c>
      <c r="AB57" s="207">
        <f>--ISNUMBER(IFERROR(SEARCH('PLANILLA DJ'!$X$25,$A57,1),""))</f>
        <v>1</v>
      </c>
      <c r="AC57" s="207">
        <f>--ISNUMBER(IFERROR(SEARCH('PLANILLA DJ'!$X$26,$A57,1),""))</f>
        <v>1</v>
      </c>
      <c r="AD57" s="207">
        <f>--ISNUMBER(IFERROR(SEARCH('PLANILLA DJ'!$X$27,$A57,1),""))</f>
        <v>1</v>
      </c>
      <c r="AE57" s="207">
        <f>--ISNUMBER(IFERROR(SEARCH('PLANILLA DJ'!$X$28,$A57,1),""))</f>
        <v>1</v>
      </c>
      <c r="AF57" s="207">
        <f>--ISNUMBER(IFERROR(SEARCH('PLANILLA DJ'!$X$29,$A57,1),""))</f>
        <v>1</v>
      </c>
      <c r="AG57" s="207">
        <f>--ISNUMBER(IFERROR(SEARCH('PLANILLA DJ'!$X$30,$A57,1),""))</f>
        <v>1</v>
      </c>
      <c r="AH57" s="207">
        <f>--ISNUMBER(IFERROR(SEARCH('PLANILLA DJ'!$X$31,$A57,1),""))</f>
        <v>1</v>
      </c>
      <c r="AI57" s="207">
        <f>--ISNUMBER(IFERROR(SEARCH('PLANILLA DJ'!$X$32,$A57,1),""))</f>
        <v>1</v>
      </c>
      <c r="AJ57" s="207">
        <f>--ISNUMBER(IFERROR(SEARCH('PLANILLA DJ'!$X$33,$A57,1),""))</f>
        <v>1</v>
      </c>
      <c r="AK57" s="207">
        <f>--ISNUMBER(IFERROR(SEARCH('PLANILLA DJ'!$X$34,$A57,1),""))</f>
        <v>1</v>
      </c>
      <c r="AL57" s="207">
        <f>--ISNUMBER(IFERROR(SEARCH('PLANILLA DJ'!$X$35,$A57,1),""))</f>
        <v>1</v>
      </c>
      <c r="AM57" s="207">
        <f>--ISNUMBER(IFERROR(SEARCH('PLANILLA DJ'!$X$36,$A57,1),""))</f>
        <v>1</v>
      </c>
      <c r="AN57" s="207">
        <f>--ISNUMBER(IFERROR(SEARCH('PLANILLA DJ'!$X$37,$A57,1),""))</f>
        <v>1</v>
      </c>
      <c r="AO57" s="207">
        <f>--ISNUMBER(IFERROR(SEARCH('PLANILLA DJ'!$X$38,$A57,1),""))</f>
        <v>1</v>
      </c>
      <c r="AP57" s="207">
        <f>--ISNUMBER(IFERROR(SEARCH('PLANILLA DJ'!$X$39,$A57,1),""))</f>
        <v>1</v>
      </c>
      <c r="AQ57" s="207">
        <f>--ISNUMBER(IFERROR(SEARCH('PLANILLA DJ'!$X$40,$A57,1),""))</f>
        <v>1</v>
      </c>
      <c r="AR57" s="207">
        <f>--ISNUMBER(IFERROR(SEARCH('PLANILLA DJ'!$X$41,$A57,1),""))</f>
        <v>1</v>
      </c>
      <c r="AS57" s="207">
        <f>--ISNUMBER(IFERROR(SEARCH('PLANILLA DJ'!$X$42,$A57,1),""))</f>
        <v>1</v>
      </c>
      <c r="AT57" s="207">
        <f>--ISNUMBER(IFERROR(SEARCH('PLANILLA DJ'!$X$43,$A57,1),""))</f>
        <v>1</v>
      </c>
      <c r="AU57" s="207">
        <f>--ISNUMBER(IFERROR(SEARCH('PLANILLA DJ'!$X$44,$A57,1),""))</f>
        <v>1</v>
      </c>
      <c r="AV57" s="207">
        <f>--ISNUMBER(IFERROR(SEARCH('PLANILLA DJ'!$X$45,$A57,1),""))</f>
        <v>1</v>
      </c>
      <c r="AW57" s="207">
        <f>--ISNUMBER(IFERROR(SEARCH('PLANILLA DJ'!$X$46,$A57,1),""))</f>
        <v>1</v>
      </c>
      <c r="AX57" s="207">
        <f>--ISNUMBER(IFERROR(SEARCH('PLANILLA DJ'!$X$47,$A57,1),""))</f>
        <v>1</v>
      </c>
      <c r="AY57" s="207">
        <f>--ISNUMBER(IFERROR(SEARCH('PLANILLA DJ'!$X$48,$A57,1),""))</f>
        <v>1</v>
      </c>
      <c r="AZ57" s="207">
        <f>--ISNUMBER(IFERROR(SEARCH('PLANILLA DJ'!$X$49,$A57,1),""))</f>
        <v>1</v>
      </c>
      <c r="BA57" s="207">
        <f>--ISNUMBER(IFERROR(SEARCH('PLANILLA DJ'!$X$50,$A57,1),""))</f>
        <v>1</v>
      </c>
      <c r="BB57" s="207">
        <f>--ISNUMBER(IFERROR(SEARCH('PLANILLA DJ'!$X$51,$A57,1),""))</f>
        <v>1</v>
      </c>
      <c r="BC57" s="207">
        <f>--ISNUMBER(IFERROR(SEARCH('PLANILLA DJ'!$X$52,$A57,1),""))</f>
        <v>1</v>
      </c>
      <c r="BD57" s="207">
        <f>--ISNUMBER(IFERROR(SEARCH('PLANILLA DJ'!$X$53,$A57,1),""))</f>
        <v>1</v>
      </c>
      <c r="BE57" s="207">
        <f>--ISNUMBER(IFERROR(SEARCH('PLANILLA DJ'!$X$54,$A57,1),""))</f>
        <v>1</v>
      </c>
      <c r="BF57" s="207">
        <f>--ISNUMBER(IFERROR(SEARCH('PLANILLA DJ'!$X$55,$A57,1),""))</f>
        <v>1</v>
      </c>
      <c r="BG57" s="207">
        <f>--ISNUMBER(IFERROR(SEARCH('PLANILLA DJ'!$X$56,$A57,1),""))</f>
        <v>1</v>
      </c>
      <c r="BH57" s="207">
        <f>--ISNUMBER(IFERROR(SEARCH('PLANILLA DJ'!$X$57,$A57,1),""))</f>
        <v>1</v>
      </c>
      <c r="BI57" s="207">
        <f>--ISNUMBER(IFERROR(SEARCH('PLANILLA DJ'!$X$58,$A57,1),""))</f>
        <v>1</v>
      </c>
      <c r="BJ57" s="207">
        <f>--ISNUMBER(IFERROR(SEARCH('PLANILLA DJ'!$X$59,$A57,1),""))</f>
        <v>1</v>
      </c>
      <c r="BK57" s="207">
        <f>--ISNUMBER(IFERROR(SEARCH('PLANILLA DJ'!$X$60,$A57,1),""))</f>
        <v>1</v>
      </c>
      <c r="BL57" s="207">
        <f>--ISNUMBER(IFERROR(SEARCH('PLANILLA DJ'!$X$61,$A57,1),""))</f>
        <v>1</v>
      </c>
      <c r="BM57" s="207">
        <f>--ISNUMBER(IFERROR(SEARCH('PLANILLA DJ'!$X$62,$A57,1),""))</f>
        <v>1</v>
      </c>
      <c r="BN57" s="207">
        <f>--ISNUMBER(IFERROR(SEARCH('PLANILLA DJ'!$X$63,$A57,1),""))</f>
        <v>1</v>
      </c>
      <c r="BO57" s="207">
        <f>--ISNUMBER(IFERROR(SEARCH('PLANILLA DJ'!$X$64,$A57,1),""))</f>
        <v>1</v>
      </c>
      <c r="BP57" s="207">
        <f>--ISNUMBER(IFERROR(SEARCH('PLANILLA DJ'!$X$65,$A57,1),""))</f>
        <v>1</v>
      </c>
      <c r="BQ57" s="207">
        <f>--ISNUMBER(IFERROR(SEARCH('PLANILLA DJ'!$X$66,$A57,1),""))</f>
        <v>1</v>
      </c>
      <c r="BR57" s="207">
        <f>--ISNUMBER(IFERROR(SEARCH('PLANILLA DJ'!$X$67,$A57,1),""))</f>
        <v>1</v>
      </c>
      <c r="BS57" s="207">
        <f>--ISNUMBER(IFERROR(SEARCH('PLANILLA DJ'!$X$68,$A57,1),""))</f>
        <v>1</v>
      </c>
      <c r="BT57" s="207">
        <f>--ISNUMBER(IFERROR(SEARCH('PLANILLA DJ'!$X$69,$A57,1),""))</f>
        <v>1</v>
      </c>
      <c r="BU57" s="207">
        <f>--ISNUMBER(IFERROR(SEARCH('PLANILLA DJ'!$X$70,$A57,1),""))</f>
        <v>1</v>
      </c>
      <c r="BV57" s="207">
        <f>--ISNUMBER(IFERROR(SEARCH('PLANILLA DJ'!$X$71,$A57,1),""))</f>
        <v>1</v>
      </c>
      <c r="BW57" s="207">
        <f>--ISNUMBER(IFERROR(SEARCH('PLANILLA DJ'!$X$72,$A57,1),""))</f>
        <v>1</v>
      </c>
      <c r="BX57" s="207">
        <f>--ISNUMBER(IFERROR(SEARCH('PLANILLA DJ'!$X$73,$A57,1),""))</f>
        <v>1</v>
      </c>
      <c r="BY57" s="207">
        <f>--ISNUMBER(IFERROR(SEARCH('PLANILLA DJ'!$X$74,$A57,1),""))</f>
        <v>1</v>
      </c>
      <c r="BZ57" s="207">
        <f>--ISNUMBER(IFERROR(SEARCH('PLANILLA DJ'!$X$75,$A57,1),""))</f>
        <v>1</v>
      </c>
      <c r="CA57" s="207">
        <f>--ISNUMBER(IFERROR(SEARCH('PLANILLA DJ'!$X$76,$A57,1),""))</f>
        <v>1</v>
      </c>
      <c r="CB57" s="207">
        <f>--ISNUMBER(IFERROR(SEARCH('PLANILLA DJ'!$X$77,$A57,1),""))</f>
        <v>1</v>
      </c>
      <c r="CC57" s="207">
        <f>--ISNUMBER(IFERROR(SEARCH('PLANILLA DJ'!$X$78,$A57,1),""))</f>
        <v>1</v>
      </c>
      <c r="CD57" s="207">
        <f>--ISNUMBER(IFERROR(SEARCH('PLANILLA DJ'!$X$79,$A57,1),""))</f>
        <v>1</v>
      </c>
      <c r="CE57" s="207">
        <f>--ISNUMBER(IFERROR(SEARCH('PLANILLA DJ'!$X$80,$A57,1),""))</f>
        <v>1</v>
      </c>
      <c r="CF57" s="207">
        <f>--ISNUMBER(IFERROR(SEARCH('PLANILLA DJ'!$X$81,$A57,1),""))</f>
        <v>1</v>
      </c>
      <c r="CG57" s="207">
        <f>--ISNUMBER(IFERROR(SEARCH('PLANILLA DJ'!$X$82,$A57,1),""))</f>
        <v>1</v>
      </c>
      <c r="CH57" s="207">
        <f>--ISNUMBER(IFERROR(SEARCH('PLANILLA DJ'!$X$83,$A57,1),""))</f>
        <v>1</v>
      </c>
      <c r="CI57" s="207">
        <f>--ISNUMBER(IFERROR(SEARCH('PLANILLA DJ'!$X$84,$A57,1),""))</f>
        <v>1</v>
      </c>
      <c r="CJ57" s="207">
        <f>--ISNUMBER(IFERROR(SEARCH('PLANILLA DJ'!$X$85,$A57,1),""))</f>
        <v>1</v>
      </c>
      <c r="CK57" s="207">
        <f>--ISNUMBER(IFERROR(SEARCH('PLANILLA DJ'!$X$86,$A57,1),""))</f>
        <v>1</v>
      </c>
      <c r="CL57" s="207">
        <f>--ISNUMBER(IFERROR(SEARCH('PLANILLA DJ'!$X$87,$A57,1),""))</f>
        <v>1</v>
      </c>
      <c r="CM57" s="207">
        <f>--ISNUMBER(IFERROR(SEARCH('PLANILLA DJ'!$X$88,$A57,1),""))</f>
        <v>1</v>
      </c>
      <c r="CN57" s="207">
        <f>--ISNUMBER(IFERROR(SEARCH('PLANILLA DJ'!$X$89,$A57,1),""))</f>
        <v>1</v>
      </c>
      <c r="CO57" s="207">
        <f>--ISNUMBER(IFERROR(SEARCH('PLANILLA DJ'!$X$90,$A57,1),""))</f>
        <v>1</v>
      </c>
      <c r="CP57" s="207">
        <f>--ISNUMBER(IFERROR(SEARCH('PLANILLA DJ'!$X$91,$A57,1),""))</f>
        <v>1</v>
      </c>
      <c r="CQ57" s="207">
        <f>--ISNUMBER(IFERROR(SEARCH('PLANILLA DJ'!$X$92,$A57,1),""))</f>
        <v>1</v>
      </c>
      <c r="CR57" s="207">
        <f>--ISNUMBER(IFERROR(SEARCH('PLANILLA DJ'!$X$93,$A57,1),""))</f>
        <v>1</v>
      </c>
      <c r="CS57" s="207">
        <f>--ISNUMBER(IFERROR(SEARCH('PLANILLA DJ'!$X$94,$A57,1),""))</f>
        <v>1</v>
      </c>
      <c r="CT57" s="207">
        <f>--ISNUMBER(IFERROR(SEARCH('PLANILLA DJ'!$X$95,$A57,1),""))</f>
        <v>1</v>
      </c>
      <c r="CU57" s="207">
        <f>--ISNUMBER(IFERROR(SEARCH('PLANILLA DJ'!$X$96,$A57,1),""))</f>
        <v>1</v>
      </c>
      <c r="CV57" s="207">
        <f>--ISNUMBER(IFERROR(SEARCH('PLANILLA DJ'!$X$97,$A57,1),""))</f>
        <v>1</v>
      </c>
      <c r="CW57" s="207">
        <f>--ISNUMBER(IFERROR(SEARCH('PLANILLA DJ'!$X$98,$A57,1),""))</f>
        <v>1</v>
      </c>
      <c r="CX57" s="207">
        <f>--ISNUMBER(IFERROR(SEARCH('PLANILLA DJ'!$X$99,$A57,1),""))</f>
        <v>1</v>
      </c>
      <c r="CY57" s="207">
        <f>--ISNUMBER(IFERROR(SEARCH('PLANILLA DJ'!$X$100,$A57,1),""))</f>
        <v>1</v>
      </c>
      <c r="CZ57" s="207">
        <f>--ISNUMBER(IFERROR(SEARCH('PLANILLA DJ'!$X$101,$A57,1),""))</f>
        <v>1</v>
      </c>
      <c r="DA57" s="207">
        <f>--ISNUMBER(IFERROR(SEARCH('PLANILLA DJ'!$X$102,$A57,1),""))</f>
        <v>1</v>
      </c>
      <c r="DB57" s="206">
        <f>IF(F57=1,COUNTIF($F$2:F57,1),"")</f>
        <v>56</v>
      </c>
      <c r="DC57" s="206">
        <f>IF(G57=1,COUNTIF($G$2:G57,1),"")</f>
        <v>56</v>
      </c>
      <c r="DD57" s="206">
        <f>IF(H57=1,COUNTIF($H$2:H57,1),"")</f>
        <v>56</v>
      </c>
      <c r="DE57" s="206">
        <f>IF(I57=1,COUNTIF($I$2:I57,1),"")</f>
        <v>56</v>
      </c>
      <c r="DF57" s="206">
        <f>IF(J57=1,COUNTIF($J$2:J57,1),"")</f>
        <v>56</v>
      </c>
      <c r="DG57" s="206">
        <f>IF(K57=1,COUNTIF($K$2:K57,1),"")</f>
        <v>56</v>
      </c>
      <c r="DH57" s="206">
        <f>IF(L57=1,COUNTIF($L$2:L57,1),"")</f>
        <v>56</v>
      </c>
      <c r="DI57" s="206">
        <f>IF(M57=1,COUNTIF($M$2:M57,1),"")</f>
        <v>56</v>
      </c>
      <c r="DJ57" s="206">
        <f>IF(N57=1,COUNTIF($N$2:N57,1),"")</f>
        <v>56</v>
      </c>
      <c r="DK57" s="206">
        <f>IF(O57=1,COUNTIF($O$2:O57,1),"")</f>
        <v>56</v>
      </c>
      <c r="DL57" s="206">
        <f>IF(P57=1,COUNTIF($P$2:P57,1),"")</f>
        <v>56</v>
      </c>
      <c r="DM57" s="206">
        <f>IF(Q57=1,COUNTIF($Q$2:Q57,1),"")</f>
        <v>56</v>
      </c>
      <c r="DN57" s="207">
        <f>IF(R57=1,COUNTIF($R$2:R57,1),"")</f>
        <v>56</v>
      </c>
      <c r="DO57" s="207">
        <f>IF(S57=1,COUNTIF($S$2:S57,1),"")</f>
        <v>56</v>
      </c>
      <c r="DP57" s="207">
        <f>IF(T57=1,COUNTIF($T$2:T57,1),"")</f>
        <v>56</v>
      </c>
      <c r="DQ57" s="207">
        <f>IF(U57=1,COUNTIF($U$2:U57,1),"")</f>
        <v>56</v>
      </c>
      <c r="DR57" s="207">
        <f>IF(V57=1,COUNTIF($V$2:V57,1),"")</f>
        <v>56</v>
      </c>
      <c r="DS57" s="207">
        <f>IF(W57=1,COUNTIF($W$2:W57,1),"")</f>
        <v>56</v>
      </c>
      <c r="DT57" s="207">
        <f>IF(X57=1,COUNTIF($X$2:X57,1),"")</f>
        <v>56</v>
      </c>
      <c r="DU57" s="207">
        <f>IF(Y57=1,COUNTIF($Y$2:Y57,1),"")</f>
        <v>56</v>
      </c>
      <c r="DV57" s="207">
        <f>IF(Z57=1,COUNTIF(Z$2:Z57,1),"")</f>
        <v>56</v>
      </c>
      <c r="DW57" s="207">
        <f>IF(AA57=1,COUNTIF($AA$2:AA57,1),"")</f>
        <v>56</v>
      </c>
      <c r="DX57" s="207">
        <f>IF(AB57=1,COUNTIF($AB$2:AB57,1),"")</f>
        <v>56</v>
      </c>
      <c r="DY57" s="207">
        <f>IF(AC57=1,COUNTIF($AC$2:AC57,1),"")</f>
        <v>56</v>
      </c>
      <c r="DZ57" s="207">
        <f>IF(AD57=1,COUNTIF($AD$2:AD57,1),"")</f>
        <v>56</v>
      </c>
      <c r="EA57" s="207">
        <f>IF(AE57=1,COUNTIF($AE$2:AE57,1),"")</f>
        <v>56</v>
      </c>
      <c r="EB57" s="207">
        <f>IF(AF57=1,COUNTIF($AF$2:AF57,1),"")</f>
        <v>56</v>
      </c>
      <c r="EC57" s="207">
        <f>IF(AG57=1,COUNTIF($AG$2:AG57,1),"")</f>
        <v>56</v>
      </c>
      <c r="ED57" s="207">
        <f>IF(AH57=1,COUNTIF($AH$2:AH57,1),"")</f>
        <v>56</v>
      </c>
      <c r="EE57" s="207">
        <f>IF(AI57=1,COUNTIF($AI$2:AI57,1),"")</f>
        <v>56</v>
      </c>
      <c r="EF57" s="207">
        <f>IF(AJ57=1,COUNTIF($AJ$2:AJ57,1),"")</f>
        <v>56</v>
      </c>
      <c r="EG57" s="207">
        <f>IF(AK57=1,COUNTIF($AK$2:AK57,1),"")</f>
        <v>56</v>
      </c>
      <c r="EH57" s="207">
        <f>IF(AL57=1,COUNTIF($AL$2:AL57,1),"")</f>
        <v>56</v>
      </c>
      <c r="EI57" s="207">
        <f>IF(AM57=1,COUNTIF($AM$2:AM57,1),"")</f>
        <v>56</v>
      </c>
      <c r="EJ57" s="207">
        <f>IF(AN57=1,COUNTIF($AN$2:AN57,1),"")</f>
        <v>56</v>
      </c>
      <c r="EK57" s="207">
        <f>IF(AO57=1,COUNTIF($AO$2:AO57,1),"")</f>
        <v>56</v>
      </c>
      <c r="EL57" s="207">
        <f>IF(AP57=1,COUNTIF($AP$2:AP57,1),"")</f>
        <v>56</v>
      </c>
      <c r="EM57" s="207">
        <f>IF(AQ57=1,COUNTIF($AQ$2:AQ57,1),"")</f>
        <v>56</v>
      </c>
      <c r="EN57" s="207">
        <f>IF(AR57=1,COUNTIF($AR$2:AR57,1),"")</f>
        <v>56</v>
      </c>
      <c r="EO57" s="207">
        <f>IF(AS57=1,COUNTIF($AS$2:AS57,1),"")</f>
        <v>56</v>
      </c>
      <c r="EP57" s="207">
        <f>IF(AT57=1,COUNTIF($AT$2:AT57,1),"")</f>
        <v>56</v>
      </c>
      <c r="EQ57" s="207">
        <f>IF(AU57=1,COUNTIF($AU$2:AU57,1),"")</f>
        <v>56</v>
      </c>
      <c r="ER57" s="207">
        <f>IF(AV57=1,COUNTIF($AV$2:AV57,1),"")</f>
        <v>56</v>
      </c>
      <c r="ES57" s="207">
        <f>IF(AW57=1,COUNTIF($AW$2:AW57,1),"")</f>
        <v>56</v>
      </c>
      <c r="ET57" s="207">
        <f>IF(AX57=1,COUNTIF($AX$2:AX57,1),"")</f>
        <v>56</v>
      </c>
      <c r="EU57" s="207">
        <f>IF(AY57=1,COUNTIF($AY$2:AY57,1),"")</f>
        <v>56</v>
      </c>
      <c r="EV57" s="207">
        <f>IF(AZ57=1,COUNTIF($AZ$2:AZ57,1),"")</f>
        <v>56</v>
      </c>
      <c r="EW57" s="207">
        <f>IF(BA57=1,COUNTIF($BA$2:BA57,1),"")</f>
        <v>56</v>
      </c>
      <c r="EX57" s="207">
        <f>IF(BB57=1,COUNTIF($BB$2:BB57,1),"")</f>
        <v>56</v>
      </c>
      <c r="EY57" s="207">
        <f>IF(BC57=1,COUNTIF($BC$2:BC57,1),"")</f>
        <v>56</v>
      </c>
      <c r="EZ57" s="207">
        <f>IF(BD57=1,COUNTIF($BD$2:BD57,1),"")</f>
        <v>56</v>
      </c>
      <c r="FA57" s="207">
        <f>IF(BE57=1,COUNTIF($BE$2:BE57,1),"")</f>
        <v>56</v>
      </c>
      <c r="FB57" s="207">
        <f>IF(BF57=1,COUNTIF($BF$2:BF57,1),"")</f>
        <v>56</v>
      </c>
      <c r="FC57" s="207">
        <f>IF(BG57=1,COUNTIF($BG$2:BG57,1),"")</f>
        <v>56</v>
      </c>
      <c r="FD57" s="207">
        <f>IF(BH57=1,COUNTIF($BH$2:BH57,1),"")</f>
        <v>56</v>
      </c>
      <c r="FE57" s="207">
        <f>IF(BI57=1,COUNTIF($BI$2:BI57,1),"")</f>
        <v>56</v>
      </c>
      <c r="FF57" s="207">
        <f>IF(BJ57=1,COUNTIF($BJ$2:BJ57,1),"")</f>
        <v>56</v>
      </c>
      <c r="FG57" s="207">
        <f>IF(BK57=1,COUNTIF($BK$2:BK57,1),"")</f>
        <v>56</v>
      </c>
      <c r="FH57" s="207">
        <f>IF(BL57=1,COUNTIF($BL$2:BL57,1),"")</f>
        <v>56</v>
      </c>
      <c r="FI57" s="207">
        <f>IF(BM57=1,COUNTIF($BM$2:BM57,1),"")</f>
        <v>56</v>
      </c>
      <c r="FJ57" s="207">
        <f>IF(BN57=1,COUNTIF($BN$2:BN57,1),"")</f>
        <v>56</v>
      </c>
      <c r="FK57" s="207">
        <f>IF(BO57=1,COUNTIF($BO$2:BO57,1),"")</f>
        <v>56</v>
      </c>
      <c r="FL57" s="207">
        <f>IF(BP57=1,COUNTIF($BP$2:BP57,1),"")</f>
        <v>56</v>
      </c>
      <c r="FM57" s="207">
        <f>IF(BQ57=1,COUNTIF($BQ$2:BQ57,1),"")</f>
        <v>56</v>
      </c>
      <c r="FN57" s="207">
        <f>IF(BR57=1,COUNTIF($BR$2:BR57,1),"")</f>
        <v>56</v>
      </c>
      <c r="FO57" s="207">
        <f>IF(BS57=1,COUNTIF($BS$2:BS57,1),"")</f>
        <v>56</v>
      </c>
      <c r="FP57" s="207">
        <f>IF(BT57=1,COUNTIF($BT$2:BT57,1),"")</f>
        <v>56</v>
      </c>
      <c r="FQ57" s="207">
        <f>IF(BU57=1,COUNTIF($BU$2:BU57,1),"")</f>
        <v>56</v>
      </c>
      <c r="FR57" s="207">
        <f>IF(BV57=1,COUNTIF($BV$2:BV57,1),"")</f>
        <v>56</v>
      </c>
      <c r="FS57" s="207">
        <f>IF(BW57=1,COUNTIF($BW$2:BW57,1),"")</f>
        <v>56</v>
      </c>
      <c r="FT57" s="207">
        <f>IF(BX57=1,COUNTIF($BX$2:BX57,1),"")</f>
        <v>56</v>
      </c>
      <c r="FU57" s="207">
        <f>IF(BY57=1,COUNTIF($BY$2:BY57,1),"")</f>
        <v>56</v>
      </c>
      <c r="FV57" s="207">
        <f>IF(BZ57=1,COUNTIF($BZ$2:BZ57,1),"")</f>
        <v>56</v>
      </c>
      <c r="FW57" s="207">
        <f>IF(CA57=1,COUNTIF($CA$2:CA57,1),"")</f>
        <v>56</v>
      </c>
      <c r="FX57" s="207">
        <f>IF(CB57=1,COUNTIF($CB$2:CB57,1),"")</f>
        <v>56</v>
      </c>
      <c r="FY57" s="207">
        <f>IF(CC57=1,COUNTIF($CC$2:CC57,1),"")</f>
        <v>56</v>
      </c>
      <c r="FZ57" s="207">
        <f>IF(CD57=1,COUNTIF($CD$2:CD57,1),"")</f>
        <v>56</v>
      </c>
      <c r="GA57" s="207">
        <f>IF(CE57=1,COUNTIF($CE$2:CE57,1),"")</f>
        <v>56</v>
      </c>
      <c r="GB57" s="207">
        <f>IF(CF57=1,COUNTIF($CF$2:CF57,1),"")</f>
        <v>56</v>
      </c>
      <c r="GC57" s="207">
        <f>IF(CG57=1,COUNTIF($CG$2:CG57,1),"")</f>
        <v>56</v>
      </c>
      <c r="GD57" s="207">
        <f>IF(CH57=1,COUNTIF($CH$2:CH57,1),"")</f>
        <v>56</v>
      </c>
      <c r="GE57" s="207">
        <f>IF(CI57=1,COUNTIF($CI$2:CI57,1),"")</f>
        <v>56</v>
      </c>
      <c r="GF57" s="207">
        <f>IF(CJ57=1,COUNTIF($CJ$2:CJ57,1),"")</f>
        <v>56</v>
      </c>
      <c r="GG57" s="207">
        <f>IF(CK57=1,COUNTIF($CK$2:CK57,1),"")</f>
        <v>56</v>
      </c>
      <c r="GH57" s="207">
        <f>IF(CL57=1,COUNTIF($CL$2:CL57,1),"")</f>
        <v>56</v>
      </c>
      <c r="GI57" s="207">
        <f>IF(CM57=1,COUNTIF($CM$2:CM57,1),"")</f>
        <v>56</v>
      </c>
      <c r="GJ57" s="207">
        <f>IF(CN57=1,COUNTIF($CN$2:CN57,1),"")</f>
        <v>56</v>
      </c>
      <c r="GK57" s="207">
        <f>IF(CO57=1,COUNTIF($CO$2:CO57,1),"")</f>
        <v>56</v>
      </c>
      <c r="GL57" s="207">
        <f>IF(CP57=1,COUNTIF($CP$2:CP57,1),"")</f>
        <v>56</v>
      </c>
      <c r="GM57" s="207">
        <f>IF(CQ57=1,COUNTIF($CQ$2:CQ57,1),"")</f>
        <v>56</v>
      </c>
      <c r="GN57" s="207">
        <f>IF(CR57=1,COUNTIF($CR$2:CR57,1),"")</f>
        <v>56</v>
      </c>
      <c r="GO57" s="207">
        <f>IF(CS57=1,COUNTIF($CS$2:CS57,1),"")</f>
        <v>56</v>
      </c>
      <c r="GP57" s="207">
        <f>IF(CT57=1,COUNTIF($CT$2:CT57,1),"")</f>
        <v>56</v>
      </c>
      <c r="GQ57" s="207">
        <f>IF(CU57=1,COUNTIF($CU$2:CU57,1),"")</f>
        <v>56</v>
      </c>
      <c r="GR57" s="207">
        <f>IF(CV57=1,COUNTIF($CV$2:CV57,1),"")</f>
        <v>56</v>
      </c>
      <c r="GS57" s="207">
        <f>IF(CW57=1,COUNTIF($CW$2:CW57,1),"")</f>
        <v>56</v>
      </c>
      <c r="GT57" s="207">
        <f>IF(CX57=1,COUNTIF($CX$2:CX57,1),"")</f>
        <v>56</v>
      </c>
      <c r="GU57" s="207">
        <f>IF(CY57=1,COUNTIF($CY$2:CY57,1),"")</f>
        <v>56</v>
      </c>
      <c r="GV57" s="207">
        <f>IF(CZ57=1,COUNTIF($CZ$2:CZ57,1),"")</f>
        <v>56</v>
      </c>
      <c r="GW57" s="207">
        <f>IF(DA57=1,COUNTIF($DA$2:DA57,1),"")</f>
        <v>56</v>
      </c>
      <c r="GX57" s="206" t="str">
        <f>IFERROR(INDEX($A$2:$A$113,MATCH(ROWS($DB$2:DB57),$DB$2:$DB$113,0)),"")</f>
        <v>ROBO EN GRADO TENTATIVA CON LESION O MUERTE</v>
      </c>
      <c r="GY57" s="206" t="str">
        <f>IFERROR(INDEX($A$2:$A$113,MATCH(ROWS($DC$2:DC57),$DC$2:$DC$113,0)),"")</f>
        <v>ROBO EN GRADO TENTATIVA CON LESION O MUERTE</v>
      </c>
      <c r="GZ57" s="206" t="str">
        <f>IFERROR(INDEX($A$2:$A$113,MATCH(ROWS($DD$2:DD57),$DD$2:$DD$113,0)),"")</f>
        <v>ROBO EN GRADO TENTATIVA CON LESION O MUERTE</v>
      </c>
      <c r="HA57" s="206" t="str">
        <f>IFERROR(INDEX($A$2:$A$113,MATCH(ROWS($DE$2:DE57),$DE$2:$DE$113,0)),"")</f>
        <v>ROBO EN GRADO TENTATIVA CON LESION O MUERTE</v>
      </c>
      <c r="HB57" s="206" t="str">
        <f>IFERROR(INDEX($A$2:$A$113,MATCH(ROWS($DF$2:DF57),$DF$2:$DF$113,0)),"")</f>
        <v>ROBO EN GRADO TENTATIVA CON LESION O MUERTE</v>
      </c>
      <c r="HC57" s="206" t="str">
        <f>IFERROR(INDEX($A$2:$A$113,MATCH(ROWS($DG$2:DG57),$DG$2:$DG$113,0)),"")</f>
        <v>ROBO EN GRADO TENTATIVA CON LESION O MUERTE</v>
      </c>
      <c r="HD57" s="206" t="str">
        <f>IFERROR(INDEX($A$2:$A$113,MATCH(ROWS($DH$2:DH57),$DH$2:$DH$113,0)),"")</f>
        <v>ROBO EN GRADO TENTATIVA CON LESION O MUERTE</v>
      </c>
      <c r="HE57" s="206" t="str">
        <f>IFERROR(INDEX($A$2:$A$113,MATCH(ROWS($DI$2:DI57),$DI$2:$DI$113,0)),"")</f>
        <v>ROBO EN GRADO TENTATIVA CON LESION O MUERTE</v>
      </c>
      <c r="HF57" s="206" t="str">
        <f>IFERROR(INDEX($A$2:$A$113,MATCH(ROWS($DJ$2:DJ57),$DJ$2:$DJ$113,0)),"")</f>
        <v>ROBO EN GRADO TENTATIVA CON LESION O MUERTE</v>
      </c>
      <c r="HG57" s="206" t="str">
        <f>IFERROR(INDEX($A$2:$A$113,MATCH(ROWS($DK$2:DK57),$DK$2:$DK$113,0)),"")</f>
        <v>ROBO EN GRADO TENTATIVA CON LESION O MUERTE</v>
      </c>
      <c r="HH57" s="206" t="str">
        <f>IFERROR(INDEX($A$2:$A$113,MATCH(ROWS($DL$2:DL57),$DL$2:$DL$113,0)),"")</f>
        <v>ROBO EN GRADO TENTATIVA CON LESION O MUERTE</v>
      </c>
      <c r="HI57" s="206" t="str">
        <f>IFERROR(INDEX($A$2:$A$113,MATCH(ROWS($DM$2:DM57),$DM$2:$DM$113,0)),"")</f>
        <v>ROBO EN GRADO TENTATIVA CON LESION O MUERTE</v>
      </c>
      <c r="HJ57" s="206" t="str">
        <f>IFERROR(INDEX($A$2:$A$113,MATCH(ROWS($DN$2:DN57),$DN$2:$DN$113,0)),"")</f>
        <v>ROBO EN GRADO TENTATIVA CON LESION O MUERTE</v>
      </c>
      <c r="HK57" s="206" t="str">
        <f>IFERROR(INDEX($A$2:$A$113,MATCH(ROWS($DO$2:DO57),$DO$2:$DO$113,0)),"")</f>
        <v>ROBO EN GRADO TENTATIVA CON LESION O MUERTE</v>
      </c>
      <c r="HL57" s="206" t="str">
        <f>IFERROR(INDEX($A$2:$A$113,MATCH(ROWS($DP$2:DP57),$DP$2:$DP$113,0)),"")</f>
        <v>ROBO EN GRADO TENTATIVA CON LESION O MUERTE</v>
      </c>
      <c r="HM57" s="206" t="str">
        <f>IFERROR(INDEX($A$2:$A$113,MATCH(ROWS($DQ$2:DQ57),$DQ$2:$DQ$113,0)),"")</f>
        <v>ROBO EN GRADO TENTATIVA CON LESION O MUERTE</v>
      </c>
      <c r="HN57" s="206" t="str">
        <f>IFERROR(INDEX($A$2:$A$113,MATCH(ROWS($DR$2:DR57),$DR$2:$DR$113,0)),"")</f>
        <v>ROBO EN GRADO TENTATIVA CON LESION O MUERTE</v>
      </c>
      <c r="HO57" s="206" t="str">
        <f>IFERROR(INDEX($A$2:$A$113,MATCH(ROWS($DS$2:DS57),$DS$2:$DS$113,0)),"")</f>
        <v>ROBO EN GRADO TENTATIVA CON LESION O MUERTE</v>
      </c>
      <c r="HP57" s="206" t="str">
        <f>IFERROR(INDEX($A$2:$A$113,MATCH(ROWS($DT$2:DT57),$DT$2:$DT$113,0)),"")</f>
        <v>ROBO EN GRADO TENTATIVA CON LESION O MUERTE</v>
      </c>
      <c r="HQ57" s="206" t="str">
        <f>IFERROR(INDEX($A$2:$A$113,MATCH(ROWS($DU$2:DU57),$DU$2:$DU$113,0)),"")</f>
        <v>ROBO EN GRADO TENTATIVA CON LESION O MUERTE</v>
      </c>
      <c r="HR57" s="206" t="str">
        <f>IFERROR(INDEX($A$2:$A$113,MATCH(ROWS($DV$2:DV57),$DV$2:$DV$113,0)),"")</f>
        <v>ROBO EN GRADO TENTATIVA CON LESION O MUERTE</v>
      </c>
      <c r="HS57" s="206" t="str">
        <f>IFERROR(INDEX($A$2:$A$113,MATCH(ROWS($DW$2:DW57),$DW$2:$DW$113,0)),"")</f>
        <v>ROBO EN GRADO TENTATIVA CON LESION O MUERTE</v>
      </c>
      <c r="HT57" s="206" t="str">
        <f>IFERROR(INDEX($A$2:$A$113,MATCH(ROWS($DX$2:DX57),$DX$2:$DX$113,0)),"")</f>
        <v>ROBO EN GRADO TENTATIVA CON LESION O MUERTE</v>
      </c>
      <c r="HU57" s="206" t="str">
        <f>IFERROR(INDEX($A$2:$A$113,MATCH(ROWS($DY$2:DY57),$DY$2:$DY$113,0)),"")</f>
        <v>ROBO EN GRADO TENTATIVA CON LESION O MUERTE</v>
      </c>
      <c r="HV57" s="206" t="str">
        <f>IFERROR(INDEX($A$2:$A$113,MATCH(ROWS($DZ$2:DZ57),$DZ$2:$DZ$113,0)),"")</f>
        <v>ROBO EN GRADO TENTATIVA CON LESION O MUERTE</v>
      </c>
      <c r="HW57" s="206" t="str">
        <f>IFERROR(INDEX($A$2:$A$113,MATCH(ROWS($EA$2:EA57),$EA$2:$EA$113,0)),"")</f>
        <v>ROBO EN GRADO TENTATIVA CON LESION O MUERTE</v>
      </c>
      <c r="HX57" s="206" t="str">
        <f>IFERROR(INDEX($A$2:$A$113,MATCH(ROWS($EB$2:EB57),$EB$2:$EB$113,0)),"")</f>
        <v>ROBO EN GRADO TENTATIVA CON LESION O MUERTE</v>
      </c>
      <c r="HY57" s="206" t="str">
        <f>IFERROR(INDEX($A$2:$A$113,MATCH(ROWS($EC$2:EC57),$EC$2:$EC$113,0)),"")</f>
        <v>ROBO EN GRADO TENTATIVA CON LESION O MUERTE</v>
      </c>
      <c r="HZ57" s="206" t="str">
        <f>IFERROR(INDEX($A$2:$A$113,MATCH(ROWS($ED$2:ED57),$ED$2:$ED$113,0)),"")</f>
        <v>ROBO EN GRADO TENTATIVA CON LESION O MUERTE</v>
      </c>
      <c r="IA57" s="206" t="str">
        <f>IFERROR(INDEX($A$2:$A$113,MATCH(ROWS($EE$2:EE57),$EE$2:$EE$113,0)),"")</f>
        <v>ROBO EN GRADO TENTATIVA CON LESION O MUERTE</v>
      </c>
      <c r="IB57" s="206" t="str">
        <f>IFERROR(INDEX($A$2:$A$113,MATCH(ROWS($EF$2:EF57),$EF$2:$EF$113,0)),"")</f>
        <v>ROBO EN GRADO TENTATIVA CON LESION O MUERTE</v>
      </c>
      <c r="IC57" s="206" t="str">
        <f>IFERROR(INDEX($A$2:$A$113,MATCH(ROWS($EG$2:EG57),$EG$2:$EG$113,0)),"")</f>
        <v>ROBO EN GRADO TENTATIVA CON LESION O MUERTE</v>
      </c>
      <c r="ID57" s="206" t="str">
        <f>IFERROR(INDEX($A$2:$A$113,MATCH(ROWS($EH$2:EH57),$EH$2:$EH$113,0)),"")</f>
        <v>ROBO EN GRADO TENTATIVA CON LESION O MUERTE</v>
      </c>
      <c r="IE57" s="206" t="str">
        <f>IFERROR(INDEX($A$2:$A$113,MATCH(ROWS($EI$2:EI57),$EI$2:$EI$113,0)),"")</f>
        <v>ROBO EN GRADO TENTATIVA CON LESION O MUERTE</v>
      </c>
      <c r="IF57" s="206" t="str">
        <f>IFERROR(INDEX($A$2:$A$113,MATCH(ROWS($EJ$2:EJ57),$EJ$2:$EJ$113,0)),"")</f>
        <v>ROBO EN GRADO TENTATIVA CON LESION O MUERTE</v>
      </c>
      <c r="IG57" s="206" t="str">
        <f>IFERROR(INDEX($A$2:$A$113,MATCH(ROWS($EK$2:EK57),$EK$2:$EK$113,0)),"")</f>
        <v>ROBO EN GRADO TENTATIVA CON LESION O MUERTE</v>
      </c>
      <c r="IH57" s="206" t="str">
        <f>IFERROR(INDEX($A$2:$A$113,MATCH(ROWS($EL$2:EL57),$EL$2:$EL$113,0)),"")</f>
        <v>ROBO EN GRADO TENTATIVA CON LESION O MUERTE</v>
      </c>
      <c r="II57" s="206" t="str">
        <f>IFERROR(INDEX($A$2:$A$113,MATCH(ROWS($EM$2:EM57),$EM$2:$EM$113,0)),"")</f>
        <v>ROBO EN GRADO TENTATIVA CON LESION O MUERTE</v>
      </c>
      <c r="IJ57" s="206" t="str">
        <f>IFERROR(INDEX($A$2:$A$113,MATCH(ROWS($EN$2:EN57),$EN$2:$EN$113,0)),"")</f>
        <v>ROBO EN GRADO TENTATIVA CON LESION O MUERTE</v>
      </c>
      <c r="IK57" s="207" t="str">
        <f>IFERROR(INDEX($A$2:$A$113,MATCH(ROWS($EO$2:EO57),$EO$2:$EO$113,0)),"")</f>
        <v>ROBO EN GRADO TENTATIVA CON LESION O MUERTE</v>
      </c>
      <c r="IL57" s="207" t="str">
        <f>IFERROR(INDEX($A$2:$A$113,MATCH(ROWS($EP$2:EP57),$EP$2:$EP$113,0)),"")</f>
        <v>ROBO EN GRADO TENTATIVA CON LESION O MUERTE</v>
      </c>
      <c r="IM57" s="207" t="str">
        <f>IFERROR(INDEX($A$2:$A$113,MATCH(ROWS($EQ$2:EQ57),$EQ$2:$EQ$113,0)),"")</f>
        <v>ROBO EN GRADO TENTATIVA CON LESION O MUERTE</v>
      </c>
      <c r="IN57" s="207" t="str">
        <f>IFERROR(INDEX($A$2:$A$113,MATCH(ROWS($ER$2:ER57),$ER$2:$ER$113,0)),"")</f>
        <v>ROBO EN GRADO TENTATIVA CON LESION O MUERTE</v>
      </c>
      <c r="IO57" s="207" t="str">
        <f>IFERROR(INDEX($A$2:$A$113,MATCH(ROWS($ES$2:ES57),$ES$2:$ES$113,0)),"")</f>
        <v>ROBO EN GRADO TENTATIVA CON LESION O MUERTE</v>
      </c>
      <c r="IP57" s="207" t="str">
        <f>IFERROR(INDEX($A$2:$A$113,MATCH(ROWS($ET$2:ET57),$ET$2:$ET$113,0)),"")</f>
        <v>ROBO EN GRADO TENTATIVA CON LESION O MUERTE</v>
      </c>
      <c r="IQ57" s="207" t="str">
        <f>IFERROR(INDEX($A$2:$A$113,MATCH(ROWS($EU$2:EU57),$EU$2:$EU$113,0)),"")</f>
        <v>ROBO EN GRADO TENTATIVA CON LESION O MUERTE</v>
      </c>
      <c r="IR57" s="207" t="str">
        <f>IFERROR(INDEX($A$2:$A$113,MATCH(ROWS($EV$2:EV57),$EV$2:$EV$113,0)),"")</f>
        <v>ROBO EN GRADO TENTATIVA CON LESION O MUERTE</v>
      </c>
      <c r="IS57" s="207" t="str">
        <f>IFERROR(INDEX($A$2:$A$113,MATCH(ROWS($EW$2:EW57),$EW$2:$EW$113,0)),"")</f>
        <v>ROBO EN GRADO TENTATIVA CON LESION O MUERTE</v>
      </c>
      <c r="IT57" s="207" t="str">
        <f>IFERROR(INDEX($A$2:$A$113,MATCH(ROWS($EX$2:EX57),$EX$2:$EX$113,0)),"")</f>
        <v>ROBO EN GRADO TENTATIVA CON LESION O MUERTE</v>
      </c>
      <c r="IU57" s="207" t="str">
        <f>IFERROR(INDEX($A$2:$A$113,MATCH(ROWS($EY$2:EY57),$EY$2:$EY$113,0)),"")</f>
        <v>ROBO EN GRADO TENTATIVA CON LESION O MUERTE</v>
      </c>
      <c r="IV57" s="207" t="str">
        <f>IFERROR(INDEX($A$2:$A$113,MATCH(ROWS($EZ$2:EZ57),$EZ$2:$EZ$113,0)),"")</f>
        <v>ROBO EN GRADO TENTATIVA CON LESION O MUERTE</v>
      </c>
      <c r="IW57" s="207" t="str">
        <f>IFERROR(INDEX($A$2:$A$113,MATCH(ROWS($FA$2:FA57),$FA$2:$FA$113,0)),"")</f>
        <v>ROBO EN GRADO TENTATIVA CON LESION O MUERTE</v>
      </c>
      <c r="IX57" s="207" t="str">
        <f>IFERROR(INDEX($A$2:$A$113,MATCH(ROWS($FB$2:FB57),$FB$2:$FB$113,0)),"")</f>
        <v>ROBO EN GRADO TENTATIVA CON LESION O MUERTE</v>
      </c>
      <c r="IY57" s="207" t="str">
        <f>IFERROR(INDEX($A$2:$A$113,MATCH(ROWS($FC$2:FC57),$FC$2:$FC$113,0)),"")</f>
        <v>ROBO EN GRADO TENTATIVA CON LESION O MUERTE</v>
      </c>
      <c r="IZ57" s="207" t="str">
        <f>IFERROR(INDEX($A$2:$A$113,MATCH(ROWS($FD$2:FD57),$FD$2:$FD$113,0)),"")</f>
        <v>ROBO EN GRADO TENTATIVA CON LESION O MUERTE</v>
      </c>
      <c r="JA57" s="207" t="str">
        <f>IFERROR(INDEX($A$2:$A$113,MATCH(ROWS($FE$2:FE57),$FE$2:$FE$113,0)),"")</f>
        <v>ROBO EN GRADO TENTATIVA CON LESION O MUERTE</v>
      </c>
      <c r="JB57" s="207" t="str">
        <f>IFERROR(INDEX($A$2:$A$113,MATCH(ROWS($FF$2:FF57),$FF$2:$FF$113,0)),"")</f>
        <v>ROBO EN GRADO TENTATIVA CON LESION O MUERTE</v>
      </c>
      <c r="JC57" s="207" t="str">
        <f>IFERROR(INDEX($A$2:$A$113,MATCH(ROWS($FG$2:FG57),$FG$2:$FG$113,0)),"")</f>
        <v>ROBO EN GRADO TENTATIVA CON LESION O MUERTE</v>
      </c>
      <c r="JD57" s="207" t="str">
        <f>IFERROR(INDEX($A$2:$A$113,MATCH(ROWS($FH$2:FH57),$FH$2:$FH$113,0)),"")</f>
        <v>ROBO EN GRADO TENTATIVA CON LESION O MUERTE</v>
      </c>
      <c r="JE57" s="207" t="str">
        <f>IFERROR(INDEX($A$2:$A$113,MATCH(ROWS($FI$2:FI57),$FI$2:$FI$113,0)),"")</f>
        <v>ROBO EN GRADO TENTATIVA CON LESION O MUERTE</v>
      </c>
      <c r="JF57" s="207" t="str">
        <f>IFERROR(INDEX($A$2:$A$113,MATCH(ROWS($FJ$2:FJ57),$FJ$2:$FJ$113,0)),"")</f>
        <v>ROBO EN GRADO TENTATIVA CON LESION O MUERTE</v>
      </c>
      <c r="JG57" s="207" t="str">
        <f>IFERROR(INDEX($A$2:$A$113,MATCH(ROWS($FK$2:FK57),$FK$2:$FK$113,0)),"")</f>
        <v>ROBO EN GRADO TENTATIVA CON LESION O MUERTE</v>
      </c>
      <c r="JH57" s="207" t="str">
        <f>IFERROR(INDEX($A$2:$A$113,MATCH(ROWS($FL$2:FL57),$FL$2:$FL$113,0)),"")</f>
        <v>ROBO EN GRADO TENTATIVA CON LESION O MUERTE</v>
      </c>
      <c r="JI57" s="207" t="str">
        <f>IFERROR(INDEX($A$2:$A$113,MATCH(ROWS($FM$2:FM57),$FM$2:$FM$113,0)),"")</f>
        <v>ROBO EN GRADO TENTATIVA CON LESION O MUERTE</v>
      </c>
      <c r="JJ57" s="207" t="str">
        <f>IFERROR(INDEX($A$2:$A$113,MATCH(ROWS($FN$2:FN57),$FN$2:$FN$113,0)),"")</f>
        <v>ROBO EN GRADO TENTATIVA CON LESION O MUERTE</v>
      </c>
      <c r="JK57" s="207" t="str">
        <f>IFERROR(INDEX($A$2:$A$113,MATCH(ROWS($FO$2:FO57),$FO$2:$FO$113,0)),"")</f>
        <v>ROBO EN GRADO TENTATIVA CON LESION O MUERTE</v>
      </c>
      <c r="JL57" s="207" t="str">
        <f>IFERROR(INDEX($A$2:$A$113,MATCH(ROWS($FP$2:FP57),$FP$2:$FP$113,0)),"")</f>
        <v>ROBO EN GRADO TENTATIVA CON LESION O MUERTE</v>
      </c>
      <c r="JM57" s="207" t="str">
        <f>IFERROR(INDEX($A$2:$A$113,MATCH(ROWS($FQ$2:FQ57),$FQ$2:$FQ$113,0)),"")</f>
        <v>ROBO EN GRADO TENTATIVA CON LESION O MUERTE</v>
      </c>
      <c r="JN57" s="207" t="str">
        <f>IFERROR(INDEX($A$2:$A$113,MATCH(ROWS($FR$2:FR57),$FR$2:$FR$113,0)),"")</f>
        <v>ROBO EN GRADO TENTATIVA CON LESION O MUERTE</v>
      </c>
      <c r="JO57" s="207" t="str">
        <f>IFERROR(INDEX($A$2:$A$113,MATCH(ROWS($FS$2:FS57),$FS$2:$FS$113,0)),"")</f>
        <v>ROBO EN GRADO TENTATIVA CON LESION O MUERTE</v>
      </c>
      <c r="JP57" s="207" t="str">
        <f>IFERROR(INDEX($A$2:$A$113,MATCH(ROWS($FT$2:FT57),$FT$2:$FT$113,0)),"")</f>
        <v>ROBO EN GRADO TENTATIVA CON LESION O MUERTE</v>
      </c>
      <c r="JQ57" s="207" t="str">
        <f>IFERROR(INDEX($A$2:$A$113,MATCH(ROWS($FU$2:FU57),$FU$2:$FU$113,0)),"")</f>
        <v>ROBO EN GRADO TENTATIVA CON LESION O MUERTE</v>
      </c>
      <c r="JR57" s="207" t="str">
        <f>IFERROR(INDEX($A$2:$A$113,MATCH(ROWS($FV$2:FV57),$FV$2:$FV$113,0)),"")</f>
        <v>ROBO EN GRADO TENTATIVA CON LESION O MUERTE</v>
      </c>
      <c r="JS57" s="207" t="str">
        <f>IFERROR(INDEX($A$2:$A$113,MATCH(ROWS($FW$2:FW57),$FW$2:$FW$113,0)),"")</f>
        <v>ROBO EN GRADO TENTATIVA CON LESION O MUERTE</v>
      </c>
      <c r="JT57" s="207" t="str">
        <f>IFERROR(INDEX($A$2:$A$113,MATCH(ROWS($FX$2:FX57),$FX$2:$FX$113,0)),"")</f>
        <v>ROBO EN GRADO TENTATIVA CON LESION O MUERTE</v>
      </c>
      <c r="JU57" s="207" t="str">
        <f>IFERROR(INDEX($A$2:$A$113,MATCH(ROWS($FY$2:FY57),$FY$2:$FY$113,0)),"")</f>
        <v>ROBO EN GRADO TENTATIVA CON LESION O MUERTE</v>
      </c>
      <c r="JV57" s="207" t="str">
        <f>IFERROR(INDEX($A$2:$A$113,MATCH(ROWS($FZ$2:FZ57),$FZ$2:$FZ$113,0)),"")</f>
        <v>ROBO EN GRADO TENTATIVA CON LESION O MUERTE</v>
      </c>
      <c r="JW57" s="207" t="str">
        <f>IFERROR(INDEX($A$2:$A$113,MATCH(ROWS($GA$2:GA57),$GA$2:$GA$113,0)),"")</f>
        <v>ROBO EN GRADO TENTATIVA CON LESION O MUERTE</v>
      </c>
      <c r="JX57" s="207" t="str">
        <f>IFERROR(INDEX($A$2:$A$113,MATCH(ROWS($GB$2:GB57),$GB$2:$GB$113,0)),"")</f>
        <v>ROBO EN GRADO TENTATIVA CON LESION O MUERTE</v>
      </c>
      <c r="JY57" s="207" t="str">
        <f>IFERROR(INDEX($A$2:$A$113,MATCH(ROWS($GC$2:GC57),$GC$2:$GC$113,0)),"")</f>
        <v>ROBO EN GRADO TENTATIVA CON LESION O MUERTE</v>
      </c>
      <c r="JZ57" s="207" t="str">
        <f>IFERROR(INDEX($A$2:$A$113,MATCH(ROWS($GD$2:GD57),$GD$2:$GD$113,0)),"")</f>
        <v>ROBO EN GRADO TENTATIVA CON LESION O MUERTE</v>
      </c>
      <c r="KA57" s="207" t="str">
        <f>IFERROR(INDEX($A$2:$A$113,MATCH(ROWS($GE$2:GE57),$GE$2:$GE$113,0)),"")</f>
        <v>ROBO EN GRADO TENTATIVA CON LESION O MUERTE</v>
      </c>
      <c r="KB57" s="207" t="str">
        <f>IFERROR(INDEX($A$2:$A$113,MATCH(ROWS($GF$2:GF57),$GF$2:$GF$113,0)),"")</f>
        <v>ROBO EN GRADO TENTATIVA CON LESION O MUERTE</v>
      </c>
      <c r="KC57" s="207" t="str">
        <f>IFERROR(INDEX($A$2:$A$113,MATCH(ROWS($GG$2:GG57),$GG$2:$GG$113,0)),"")</f>
        <v>ROBO EN GRADO TENTATIVA CON LESION O MUERTE</v>
      </c>
      <c r="KD57" s="207" t="str">
        <f>IFERROR(INDEX($A$2:$A$113,MATCH(ROWS($GH$2:GH57),$GH$2:$GH$113,0)),"")</f>
        <v>ROBO EN GRADO TENTATIVA CON LESION O MUERTE</v>
      </c>
      <c r="KE57" s="207" t="str">
        <f>IFERROR(INDEX($A$2:$A$113,MATCH(ROWS($GI$2:GI57),$GI$2:$GI$113,0)),"")</f>
        <v>ROBO EN GRADO TENTATIVA CON LESION O MUERTE</v>
      </c>
      <c r="KF57" s="207" t="str">
        <f>IFERROR(INDEX($A$2:$A$113,MATCH(ROWS($GJ$2:GJ57),$GJ$2:$GJ$113,0)),"")</f>
        <v>ROBO EN GRADO TENTATIVA CON LESION O MUERTE</v>
      </c>
      <c r="KG57" s="207" t="str">
        <f>IFERROR(INDEX($A$2:$A$113,MATCH(ROWS($GK$2:GK57),$GK$2:$GK$113,0)),"")</f>
        <v>ROBO EN GRADO TENTATIVA CON LESION O MUERTE</v>
      </c>
      <c r="KH57" s="207" t="str">
        <f>IFERROR(INDEX($A$2:$A$113,MATCH(ROWS($GL$2:GL57),$GL$2:$GL$113,0)),"")</f>
        <v>ROBO EN GRADO TENTATIVA CON LESION O MUERTE</v>
      </c>
      <c r="KI57" s="207" t="str">
        <f>IFERROR(INDEX($A$2:$A$113,MATCH(ROWS($GM$2:GM57),$GM$2:$GM$113,0)),"")</f>
        <v>ROBO EN GRADO TENTATIVA CON LESION O MUERTE</v>
      </c>
      <c r="KJ57" s="207" t="str">
        <f>IFERROR(INDEX($A$2:$A$113,MATCH(ROWS($GN$2:GN57),$GN$2:$GN$113,0)),"")</f>
        <v>ROBO EN GRADO TENTATIVA CON LESION O MUERTE</v>
      </c>
      <c r="KK57" s="207" t="str">
        <f>IFERROR(INDEX($A$2:$A$113,MATCH(ROWS($GO$2:GO57),$GO$2:$GO$113,0)),"")</f>
        <v>ROBO EN GRADO TENTATIVA CON LESION O MUERTE</v>
      </c>
      <c r="KL57" s="207" t="str">
        <f>IFERROR(INDEX($A$2:$A$113,MATCH(ROWS($GP$2:GP57),$GP$2:$GP$113,0)),"")</f>
        <v>ROBO EN GRADO TENTATIVA CON LESION O MUERTE</v>
      </c>
      <c r="KM57" s="207" t="str">
        <f>IFERROR(INDEX($A$2:$A$113,MATCH(ROWS($GQ$2:GQ57),$GQ$2:$GQ$113,0)),"")</f>
        <v>ROBO EN GRADO TENTATIVA CON LESION O MUERTE</v>
      </c>
      <c r="KN57" s="207" t="str">
        <f>IFERROR(INDEX($A$2:$A$113,MATCH(ROWS($GR$2:GR57),$GR$2:$GR$113,0)),"")</f>
        <v>ROBO EN GRADO TENTATIVA CON LESION O MUERTE</v>
      </c>
      <c r="KO57" s="207" t="str">
        <f>IFERROR(INDEX($A$2:$A$113,MATCH(ROWS($GS$2:GS57),$GS$2:$GS$113,0)),"")</f>
        <v>ROBO EN GRADO TENTATIVA CON LESION O MUERTE</v>
      </c>
      <c r="KP57" s="207" t="str">
        <f>IFERROR(INDEX($A$2:$A$113,MATCH(ROWS($GT$2:GT57),$GT$2:$GT$113,0)),"")</f>
        <v>ROBO EN GRADO TENTATIVA CON LESION O MUERTE</v>
      </c>
      <c r="KQ57" s="207" t="str">
        <f>IFERROR(INDEX($A$2:$A$113,MATCH(ROWS($GU$2:GU57),$GU$2:$GU$113,0)),"")</f>
        <v>ROBO EN GRADO TENTATIVA CON LESION O MUERTE</v>
      </c>
      <c r="KR57" s="207" t="str">
        <f>IFERROR(INDEX($A$2:$A$113,MATCH(ROWS($GV$2:GV57),$GV$2:$GV$113,0)),"")</f>
        <v>ROBO EN GRADO TENTATIVA CON LESION O MUERTE</v>
      </c>
      <c r="KS57" s="207" t="str">
        <f>IFERROR(INDEX($A$2:$A$113,MATCH(ROWS($GW$2:GW57),$GW$2:$GW$113,0)),"")</f>
        <v>ROBO EN GRADO TENTATIVA CON LESION O MUERTE</v>
      </c>
    </row>
    <row r="58" spans="1:305" x14ac:dyDescent="0.25">
      <c r="A58" s="206" t="s">
        <v>50</v>
      </c>
      <c r="B58" s="206" t="s">
        <v>1087</v>
      </c>
      <c r="D58" s="206" t="s">
        <v>50</v>
      </c>
      <c r="E58" s="206" t="s">
        <v>784</v>
      </c>
      <c r="F58" s="207">
        <f>--ISNUMBER(IFERROR(SEARCH('PLANILLA DJ'!$X$3,$A58,1),""))</f>
        <v>1</v>
      </c>
      <c r="G58" s="207">
        <f>--ISNUMBER(IFERROR(SEARCH('PLANILLA DJ'!$X$4,$A58,1),""))</f>
        <v>1</v>
      </c>
      <c r="H58" s="207">
        <f>--ISNUMBER(IFERROR(SEARCH('PLANILLA DJ'!$X$5,$A58,1),""))</f>
        <v>1</v>
      </c>
      <c r="I58" s="207">
        <f>--ISNUMBER(IFERROR(SEARCH('PLANILLA DJ'!$X$6,$A58,1),""))</f>
        <v>1</v>
      </c>
      <c r="J58" s="207">
        <f>--ISNUMBER(IFERROR(SEARCH('PLANILLA DJ'!$X$7,$A58,1),""))</f>
        <v>1</v>
      </c>
      <c r="K58" s="207">
        <f>--ISNUMBER(IFERROR(SEARCH('PLANILLA DJ'!$X$8,$A58,1),""))</f>
        <v>1</v>
      </c>
      <c r="L58" s="207">
        <f>--ISNUMBER(IFERROR(SEARCH('PLANILLA DJ'!$X$9,$A58,1),""))</f>
        <v>1</v>
      </c>
      <c r="M58" s="207">
        <f>--ISNUMBER(IFERROR(SEARCH('PLANILLA DJ'!$X$10,$A58,1),""))</f>
        <v>1</v>
      </c>
      <c r="N58" s="207">
        <f>--ISNUMBER(IFERROR(SEARCH('PLANILLA DJ'!$X$11,$A58,1),""))</f>
        <v>1</v>
      </c>
      <c r="O58" s="207">
        <f>--ISNUMBER(IFERROR(SEARCH('PLANILLA DJ'!$X$12,$A58,1),""))</f>
        <v>1</v>
      </c>
      <c r="P58" s="207">
        <f>--ISNUMBER(IFERROR(SEARCH('PLANILLA DJ'!$X$13,$A58,1),""))</f>
        <v>1</v>
      </c>
      <c r="Q58" s="207">
        <f>--ISNUMBER(IFERROR(SEARCH('PLANILLA DJ'!$X$14,$A58,1),""))</f>
        <v>1</v>
      </c>
      <c r="R58" s="207">
        <f>--ISNUMBER(IFERROR(SEARCH('PLANILLA DJ'!$X$15,$A58,1),""))</f>
        <v>1</v>
      </c>
      <c r="S58" s="207">
        <f>--ISNUMBER(IFERROR(SEARCH('PLANILLA DJ'!$X$16,$A58,1),""))</f>
        <v>1</v>
      </c>
      <c r="T58" s="207">
        <f>--ISNUMBER(IFERROR(SEARCH('PLANILLA DJ'!$X$17,$A58,1),""))</f>
        <v>1</v>
      </c>
      <c r="U58" s="207">
        <f>--ISNUMBER(IFERROR(SEARCH('PLANILLA DJ'!$X$18,$A58,1),""))</f>
        <v>1</v>
      </c>
      <c r="V58" s="207">
        <f>--ISNUMBER(IFERROR(SEARCH('PLANILLA DJ'!$X$19,$A58,1),""))</f>
        <v>1</v>
      </c>
      <c r="W58" s="207">
        <f>--ISNUMBER(IFERROR(SEARCH('PLANILLA DJ'!$X$20,$A58,1),""))</f>
        <v>1</v>
      </c>
      <c r="X58" s="207">
        <f>--ISNUMBER(IFERROR(SEARCH('PLANILLA DJ'!$X$21,$A58,1),""))</f>
        <v>1</v>
      </c>
      <c r="Y58" s="207">
        <f>--ISNUMBER(IFERROR(SEARCH('PLANILLA DJ'!$X$22,$A58,1),""))</f>
        <v>1</v>
      </c>
      <c r="Z58" s="207">
        <f>--ISNUMBER(IFERROR(SEARCH('PLANILLA DJ'!$X$23,$A58,1),""))</f>
        <v>1</v>
      </c>
      <c r="AA58" s="207">
        <f>--ISNUMBER(IFERROR(SEARCH('PLANILLA DJ'!$X$24,$A58,1),""))</f>
        <v>1</v>
      </c>
      <c r="AB58" s="207">
        <f>--ISNUMBER(IFERROR(SEARCH('PLANILLA DJ'!$X$25,$A58,1),""))</f>
        <v>1</v>
      </c>
      <c r="AC58" s="207">
        <f>--ISNUMBER(IFERROR(SEARCH('PLANILLA DJ'!$X$26,$A58,1),""))</f>
        <v>1</v>
      </c>
      <c r="AD58" s="207">
        <f>--ISNUMBER(IFERROR(SEARCH('PLANILLA DJ'!$X$27,$A58,1),""))</f>
        <v>1</v>
      </c>
      <c r="AE58" s="207">
        <f>--ISNUMBER(IFERROR(SEARCH('PLANILLA DJ'!$X$28,$A58,1),""))</f>
        <v>1</v>
      </c>
      <c r="AF58" s="207">
        <f>--ISNUMBER(IFERROR(SEARCH('PLANILLA DJ'!$X$29,$A58,1),""))</f>
        <v>1</v>
      </c>
      <c r="AG58" s="207">
        <f>--ISNUMBER(IFERROR(SEARCH('PLANILLA DJ'!$X$30,$A58,1),""))</f>
        <v>1</v>
      </c>
      <c r="AH58" s="207">
        <f>--ISNUMBER(IFERROR(SEARCH('PLANILLA DJ'!$X$31,$A58,1),""))</f>
        <v>1</v>
      </c>
      <c r="AI58" s="207">
        <f>--ISNUMBER(IFERROR(SEARCH('PLANILLA DJ'!$X$32,$A58,1),""))</f>
        <v>1</v>
      </c>
      <c r="AJ58" s="207">
        <f>--ISNUMBER(IFERROR(SEARCH('PLANILLA DJ'!$X$33,$A58,1),""))</f>
        <v>1</v>
      </c>
      <c r="AK58" s="207">
        <f>--ISNUMBER(IFERROR(SEARCH('PLANILLA DJ'!$X$34,$A58,1),""))</f>
        <v>1</v>
      </c>
      <c r="AL58" s="207">
        <f>--ISNUMBER(IFERROR(SEARCH('PLANILLA DJ'!$X$35,$A58,1),""))</f>
        <v>1</v>
      </c>
      <c r="AM58" s="207">
        <f>--ISNUMBER(IFERROR(SEARCH('PLANILLA DJ'!$X$36,$A58,1),""))</f>
        <v>1</v>
      </c>
      <c r="AN58" s="207">
        <f>--ISNUMBER(IFERROR(SEARCH('PLANILLA DJ'!$X$37,$A58,1),""))</f>
        <v>1</v>
      </c>
      <c r="AO58" s="207">
        <f>--ISNUMBER(IFERROR(SEARCH('PLANILLA DJ'!$X$38,$A58,1),""))</f>
        <v>1</v>
      </c>
      <c r="AP58" s="207">
        <f>--ISNUMBER(IFERROR(SEARCH('PLANILLA DJ'!$X$39,$A58,1),""))</f>
        <v>1</v>
      </c>
      <c r="AQ58" s="207">
        <f>--ISNUMBER(IFERROR(SEARCH('PLANILLA DJ'!$X$40,$A58,1),""))</f>
        <v>1</v>
      </c>
      <c r="AR58" s="207">
        <f>--ISNUMBER(IFERROR(SEARCH('PLANILLA DJ'!$X$41,$A58,1),""))</f>
        <v>1</v>
      </c>
      <c r="AS58" s="207">
        <f>--ISNUMBER(IFERROR(SEARCH('PLANILLA DJ'!$X$42,$A58,1),""))</f>
        <v>1</v>
      </c>
      <c r="AT58" s="207">
        <f>--ISNUMBER(IFERROR(SEARCH('PLANILLA DJ'!$X$43,$A58,1),""))</f>
        <v>1</v>
      </c>
      <c r="AU58" s="207">
        <f>--ISNUMBER(IFERROR(SEARCH('PLANILLA DJ'!$X$44,$A58,1),""))</f>
        <v>1</v>
      </c>
      <c r="AV58" s="207">
        <f>--ISNUMBER(IFERROR(SEARCH('PLANILLA DJ'!$X$45,$A58,1),""))</f>
        <v>1</v>
      </c>
      <c r="AW58" s="207">
        <f>--ISNUMBER(IFERROR(SEARCH('PLANILLA DJ'!$X$46,$A58,1),""))</f>
        <v>1</v>
      </c>
      <c r="AX58" s="207">
        <f>--ISNUMBER(IFERROR(SEARCH('PLANILLA DJ'!$X$47,$A58,1),""))</f>
        <v>1</v>
      </c>
      <c r="AY58" s="207">
        <f>--ISNUMBER(IFERROR(SEARCH('PLANILLA DJ'!$X$48,$A58,1),""))</f>
        <v>1</v>
      </c>
      <c r="AZ58" s="207">
        <f>--ISNUMBER(IFERROR(SEARCH('PLANILLA DJ'!$X$49,$A58,1),""))</f>
        <v>1</v>
      </c>
      <c r="BA58" s="207">
        <f>--ISNUMBER(IFERROR(SEARCH('PLANILLA DJ'!$X$50,$A58,1),""))</f>
        <v>1</v>
      </c>
      <c r="BB58" s="207">
        <f>--ISNUMBER(IFERROR(SEARCH('PLANILLA DJ'!$X$51,$A58,1),""))</f>
        <v>1</v>
      </c>
      <c r="BC58" s="207">
        <f>--ISNUMBER(IFERROR(SEARCH('PLANILLA DJ'!$X$52,$A58,1),""))</f>
        <v>1</v>
      </c>
      <c r="BD58" s="207">
        <f>--ISNUMBER(IFERROR(SEARCH('PLANILLA DJ'!$X$53,$A58,1),""))</f>
        <v>1</v>
      </c>
      <c r="BE58" s="207">
        <f>--ISNUMBER(IFERROR(SEARCH('PLANILLA DJ'!$X$54,$A58,1),""))</f>
        <v>1</v>
      </c>
      <c r="BF58" s="207">
        <f>--ISNUMBER(IFERROR(SEARCH('PLANILLA DJ'!$X$55,$A58,1),""))</f>
        <v>1</v>
      </c>
      <c r="BG58" s="207">
        <f>--ISNUMBER(IFERROR(SEARCH('PLANILLA DJ'!$X$56,$A58,1),""))</f>
        <v>1</v>
      </c>
      <c r="BH58" s="207">
        <f>--ISNUMBER(IFERROR(SEARCH('PLANILLA DJ'!$X$57,$A58,1),""))</f>
        <v>1</v>
      </c>
      <c r="BI58" s="207">
        <f>--ISNUMBER(IFERROR(SEARCH('PLANILLA DJ'!$X$58,$A58,1),""))</f>
        <v>1</v>
      </c>
      <c r="BJ58" s="207">
        <f>--ISNUMBER(IFERROR(SEARCH('PLANILLA DJ'!$X$59,$A58,1),""))</f>
        <v>1</v>
      </c>
      <c r="BK58" s="207">
        <f>--ISNUMBER(IFERROR(SEARCH('PLANILLA DJ'!$X$60,$A58,1),""))</f>
        <v>1</v>
      </c>
      <c r="BL58" s="207">
        <f>--ISNUMBER(IFERROR(SEARCH('PLANILLA DJ'!$X$61,$A58,1),""))</f>
        <v>1</v>
      </c>
      <c r="BM58" s="207">
        <f>--ISNUMBER(IFERROR(SEARCH('PLANILLA DJ'!$X$62,$A58,1),""))</f>
        <v>1</v>
      </c>
      <c r="BN58" s="207">
        <f>--ISNUMBER(IFERROR(SEARCH('PLANILLA DJ'!$X$63,$A58,1),""))</f>
        <v>1</v>
      </c>
      <c r="BO58" s="207">
        <f>--ISNUMBER(IFERROR(SEARCH('PLANILLA DJ'!$X$64,$A58,1),""))</f>
        <v>1</v>
      </c>
      <c r="BP58" s="207">
        <f>--ISNUMBER(IFERROR(SEARCH('PLANILLA DJ'!$X$65,$A58,1),""))</f>
        <v>1</v>
      </c>
      <c r="BQ58" s="207">
        <f>--ISNUMBER(IFERROR(SEARCH('PLANILLA DJ'!$X$66,$A58,1),""))</f>
        <v>1</v>
      </c>
      <c r="BR58" s="207">
        <f>--ISNUMBER(IFERROR(SEARCH('PLANILLA DJ'!$X$67,$A58,1),""))</f>
        <v>1</v>
      </c>
      <c r="BS58" s="207">
        <f>--ISNUMBER(IFERROR(SEARCH('PLANILLA DJ'!$X$68,$A58,1),""))</f>
        <v>1</v>
      </c>
      <c r="BT58" s="207">
        <f>--ISNUMBER(IFERROR(SEARCH('PLANILLA DJ'!$X$69,$A58,1),""))</f>
        <v>1</v>
      </c>
      <c r="BU58" s="207">
        <f>--ISNUMBER(IFERROR(SEARCH('PLANILLA DJ'!$X$70,$A58,1),""))</f>
        <v>1</v>
      </c>
      <c r="BV58" s="207">
        <f>--ISNUMBER(IFERROR(SEARCH('PLANILLA DJ'!$X$71,$A58,1),""))</f>
        <v>1</v>
      </c>
      <c r="BW58" s="207">
        <f>--ISNUMBER(IFERROR(SEARCH('PLANILLA DJ'!$X$72,$A58,1),""))</f>
        <v>1</v>
      </c>
      <c r="BX58" s="207">
        <f>--ISNUMBER(IFERROR(SEARCH('PLANILLA DJ'!$X$73,$A58,1),""))</f>
        <v>1</v>
      </c>
      <c r="BY58" s="207">
        <f>--ISNUMBER(IFERROR(SEARCH('PLANILLA DJ'!$X$74,$A58,1),""))</f>
        <v>1</v>
      </c>
      <c r="BZ58" s="207">
        <f>--ISNUMBER(IFERROR(SEARCH('PLANILLA DJ'!$X$75,$A58,1),""))</f>
        <v>1</v>
      </c>
      <c r="CA58" s="207">
        <f>--ISNUMBER(IFERROR(SEARCH('PLANILLA DJ'!$X$76,$A58,1),""))</f>
        <v>1</v>
      </c>
      <c r="CB58" s="207">
        <f>--ISNUMBER(IFERROR(SEARCH('PLANILLA DJ'!$X$77,$A58,1),""))</f>
        <v>1</v>
      </c>
      <c r="CC58" s="207">
        <f>--ISNUMBER(IFERROR(SEARCH('PLANILLA DJ'!$X$78,$A58,1),""))</f>
        <v>1</v>
      </c>
      <c r="CD58" s="207">
        <f>--ISNUMBER(IFERROR(SEARCH('PLANILLA DJ'!$X$79,$A58,1),""))</f>
        <v>1</v>
      </c>
      <c r="CE58" s="207">
        <f>--ISNUMBER(IFERROR(SEARCH('PLANILLA DJ'!$X$80,$A58,1),""))</f>
        <v>1</v>
      </c>
      <c r="CF58" s="207">
        <f>--ISNUMBER(IFERROR(SEARCH('PLANILLA DJ'!$X$81,$A58,1),""))</f>
        <v>1</v>
      </c>
      <c r="CG58" s="207">
        <f>--ISNUMBER(IFERROR(SEARCH('PLANILLA DJ'!$X$82,$A58,1),""))</f>
        <v>1</v>
      </c>
      <c r="CH58" s="207">
        <f>--ISNUMBER(IFERROR(SEARCH('PLANILLA DJ'!$X$83,$A58,1),""))</f>
        <v>1</v>
      </c>
      <c r="CI58" s="207">
        <f>--ISNUMBER(IFERROR(SEARCH('PLANILLA DJ'!$X$84,$A58,1),""))</f>
        <v>1</v>
      </c>
      <c r="CJ58" s="207">
        <f>--ISNUMBER(IFERROR(SEARCH('PLANILLA DJ'!$X$85,$A58,1),""))</f>
        <v>1</v>
      </c>
      <c r="CK58" s="207">
        <f>--ISNUMBER(IFERROR(SEARCH('PLANILLA DJ'!$X$86,$A58,1),""))</f>
        <v>1</v>
      </c>
      <c r="CL58" s="207">
        <f>--ISNUMBER(IFERROR(SEARCH('PLANILLA DJ'!$X$87,$A58,1),""))</f>
        <v>1</v>
      </c>
      <c r="CM58" s="207">
        <f>--ISNUMBER(IFERROR(SEARCH('PLANILLA DJ'!$X$88,$A58,1),""))</f>
        <v>1</v>
      </c>
      <c r="CN58" s="207">
        <f>--ISNUMBER(IFERROR(SEARCH('PLANILLA DJ'!$X$89,$A58,1),""))</f>
        <v>1</v>
      </c>
      <c r="CO58" s="207">
        <f>--ISNUMBER(IFERROR(SEARCH('PLANILLA DJ'!$X$90,$A58,1),""))</f>
        <v>1</v>
      </c>
      <c r="CP58" s="207">
        <f>--ISNUMBER(IFERROR(SEARCH('PLANILLA DJ'!$X$91,$A58,1),""))</f>
        <v>1</v>
      </c>
      <c r="CQ58" s="207">
        <f>--ISNUMBER(IFERROR(SEARCH('PLANILLA DJ'!$X$92,$A58,1),""))</f>
        <v>1</v>
      </c>
      <c r="CR58" s="207">
        <f>--ISNUMBER(IFERROR(SEARCH('PLANILLA DJ'!$X$93,$A58,1),""))</f>
        <v>1</v>
      </c>
      <c r="CS58" s="207">
        <f>--ISNUMBER(IFERROR(SEARCH('PLANILLA DJ'!$X$94,$A58,1),""))</f>
        <v>1</v>
      </c>
      <c r="CT58" s="207">
        <f>--ISNUMBER(IFERROR(SEARCH('PLANILLA DJ'!$X$95,$A58,1),""))</f>
        <v>1</v>
      </c>
      <c r="CU58" s="207">
        <f>--ISNUMBER(IFERROR(SEARCH('PLANILLA DJ'!$X$96,$A58,1),""))</f>
        <v>1</v>
      </c>
      <c r="CV58" s="207">
        <f>--ISNUMBER(IFERROR(SEARCH('PLANILLA DJ'!$X$97,$A58,1),""))</f>
        <v>1</v>
      </c>
      <c r="CW58" s="207">
        <f>--ISNUMBER(IFERROR(SEARCH('PLANILLA DJ'!$X$98,$A58,1),""))</f>
        <v>1</v>
      </c>
      <c r="CX58" s="207">
        <f>--ISNUMBER(IFERROR(SEARCH('PLANILLA DJ'!$X$99,$A58,1),""))</f>
        <v>1</v>
      </c>
      <c r="CY58" s="207">
        <f>--ISNUMBER(IFERROR(SEARCH('PLANILLA DJ'!$X$100,$A58,1),""))</f>
        <v>1</v>
      </c>
      <c r="CZ58" s="207">
        <f>--ISNUMBER(IFERROR(SEARCH('PLANILLA DJ'!$X$101,$A58,1),""))</f>
        <v>1</v>
      </c>
      <c r="DA58" s="207">
        <f>--ISNUMBER(IFERROR(SEARCH('PLANILLA DJ'!$X$102,$A58,1),""))</f>
        <v>1</v>
      </c>
      <c r="DB58" s="206">
        <f>IF(F58=1,COUNTIF($F$2:F58,1),"")</f>
        <v>57</v>
      </c>
      <c r="DC58" s="206">
        <f>IF(G58=1,COUNTIF($G$2:G58,1),"")</f>
        <v>57</v>
      </c>
      <c r="DD58" s="206">
        <f>IF(H58=1,COUNTIF($H$2:H58,1),"")</f>
        <v>57</v>
      </c>
      <c r="DE58" s="206">
        <f>IF(I58=1,COUNTIF($I$2:I58,1),"")</f>
        <v>57</v>
      </c>
      <c r="DF58" s="206">
        <f>IF(J58=1,COUNTIF($J$2:J58,1),"")</f>
        <v>57</v>
      </c>
      <c r="DG58" s="206">
        <f>IF(K58=1,COUNTIF($K$2:K58,1),"")</f>
        <v>57</v>
      </c>
      <c r="DH58" s="206">
        <f>IF(L58=1,COUNTIF($L$2:L58,1),"")</f>
        <v>57</v>
      </c>
      <c r="DI58" s="206">
        <f>IF(M58=1,COUNTIF($M$2:M58,1),"")</f>
        <v>57</v>
      </c>
      <c r="DJ58" s="206">
        <f>IF(N58=1,COUNTIF($N$2:N58,1),"")</f>
        <v>57</v>
      </c>
      <c r="DK58" s="206">
        <f>IF(O58=1,COUNTIF($O$2:O58,1),"")</f>
        <v>57</v>
      </c>
      <c r="DL58" s="206">
        <f>IF(P58=1,COUNTIF($P$2:P58,1),"")</f>
        <v>57</v>
      </c>
      <c r="DM58" s="206">
        <f>IF(Q58=1,COUNTIF($Q$2:Q58,1),"")</f>
        <v>57</v>
      </c>
      <c r="DN58" s="207">
        <f>IF(R58=1,COUNTIF($R$2:R58,1),"")</f>
        <v>57</v>
      </c>
      <c r="DO58" s="207">
        <f>IF(S58=1,COUNTIF($S$2:S58,1),"")</f>
        <v>57</v>
      </c>
      <c r="DP58" s="207">
        <f>IF(T58=1,COUNTIF($T$2:T58,1),"")</f>
        <v>57</v>
      </c>
      <c r="DQ58" s="207">
        <f>IF(U58=1,COUNTIF($U$2:U58,1),"")</f>
        <v>57</v>
      </c>
      <c r="DR58" s="207">
        <f>IF(V58=1,COUNTIF($V$2:V58,1),"")</f>
        <v>57</v>
      </c>
      <c r="DS58" s="207">
        <f>IF(W58=1,COUNTIF($W$2:W58,1),"")</f>
        <v>57</v>
      </c>
      <c r="DT58" s="207">
        <f>IF(X58=1,COUNTIF($X$2:X58,1),"")</f>
        <v>57</v>
      </c>
      <c r="DU58" s="207">
        <f>IF(Y58=1,COUNTIF($Y$2:Y58,1),"")</f>
        <v>57</v>
      </c>
      <c r="DV58" s="207">
        <f>IF(Z58=1,COUNTIF(Z$2:Z58,1),"")</f>
        <v>57</v>
      </c>
      <c r="DW58" s="207">
        <f>IF(AA58=1,COUNTIF($AA$2:AA58,1),"")</f>
        <v>57</v>
      </c>
      <c r="DX58" s="207">
        <f>IF(AB58=1,COUNTIF($AB$2:AB58,1),"")</f>
        <v>57</v>
      </c>
      <c r="DY58" s="207">
        <f>IF(AC58=1,COUNTIF($AC$2:AC58,1),"")</f>
        <v>57</v>
      </c>
      <c r="DZ58" s="207">
        <f>IF(AD58=1,COUNTIF($AD$2:AD58,1),"")</f>
        <v>57</v>
      </c>
      <c r="EA58" s="207">
        <f>IF(AE58=1,COUNTIF($AE$2:AE58,1),"")</f>
        <v>57</v>
      </c>
      <c r="EB58" s="207">
        <f>IF(AF58=1,COUNTIF($AF$2:AF58,1),"")</f>
        <v>57</v>
      </c>
      <c r="EC58" s="207">
        <f>IF(AG58=1,COUNTIF($AG$2:AG58,1),"")</f>
        <v>57</v>
      </c>
      <c r="ED58" s="207">
        <f>IF(AH58=1,COUNTIF($AH$2:AH58,1),"")</f>
        <v>57</v>
      </c>
      <c r="EE58" s="207">
        <f>IF(AI58=1,COUNTIF($AI$2:AI58,1),"")</f>
        <v>57</v>
      </c>
      <c r="EF58" s="207">
        <f>IF(AJ58=1,COUNTIF($AJ$2:AJ58,1),"")</f>
        <v>57</v>
      </c>
      <c r="EG58" s="207">
        <f>IF(AK58=1,COUNTIF($AK$2:AK58,1),"")</f>
        <v>57</v>
      </c>
      <c r="EH58" s="207">
        <f>IF(AL58=1,COUNTIF($AL$2:AL58,1),"")</f>
        <v>57</v>
      </c>
      <c r="EI58" s="207">
        <f>IF(AM58=1,COUNTIF($AM$2:AM58,1),"")</f>
        <v>57</v>
      </c>
      <c r="EJ58" s="207">
        <f>IF(AN58=1,COUNTIF($AN$2:AN58,1),"")</f>
        <v>57</v>
      </c>
      <c r="EK58" s="207">
        <f>IF(AO58=1,COUNTIF($AO$2:AO58,1),"")</f>
        <v>57</v>
      </c>
      <c r="EL58" s="207">
        <f>IF(AP58=1,COUNTIF($AP$2:AP58,1),"")</f>
        <v>57</v>
      </c>
      <c r="EM58" s="207">
        <f>IF(AQ58=1,COUNTIF($AQ$2:AQ58,1),"")</f>
        <v>57</v>
      </c>
      <c r="EN58" s="207">
        <f>IF(AR58=1,COUNTIF($AR$2:AR58,1),"")</f>
        <v>57</v>
      </c>
      <c r="EO58" s="207">
        <f>IF(AS58=1,COUNTIF($AS$2:AS58,1),"")</f>
        <v>57</v>
      </c>
      <c r="EP58" s="207">
        <f>IF(AT58=1,COUNTIF($AT$2:AT58,1),"")</f>
        <v>57</v>
      </c>
      <c r="EQ58" s="207">
        <f>IF(AU58=1,COUNTIF($AU$2:AU58,1),"")</f>
        <v>57</v>
      </c>
      <c r="ER58" s="207">
        <f>IF(AV58=1,COUNTIF($AV$2:AV58,1),"")</f>
        <v>57</v>
      </c>
      <c r="ES58" s="207">
        <f>IF(AW58=1,COUNTIF($AW$2:AW58,1),"")</f>
        <v>57</v>
      </c>
      <c r="ET58" s="207">
        <f>IF(AX58=1,COUNTIF($AX$2:AX58,1),"")</f>
        <v>57</v>
      </c>
      <c r="EU58" s="207">
        <f>IF(AY58=1,COUNTIF($AY$2:AY58,1),"")</f>
        <v>57</v>
      </c>
      <c r="EV58" s="207">
        <f>IF(AZ58=1,COUNTIF($AZ$2:AZ58,1),"")</f>
        <v>57</v>
      </c>
      <c r="EW58" s="207">
        <f>IF(BA58=1,COUNTIF($BA$2:BA58,1),"")</f>
        <v>57</v>
      </c>
      <c r="EX58" s="207">
        <f>IF(BB58=1,COUNTIF($BB$2:BB58,1),"")</f>
        <v>57</v>
      </c>
      <c r="EY58" s="207">
        <f>IF(BC58=1,COUNTIF($BC$2:BC58,1),"")</f>
        <v>57</v>
      </c>
      <c r="EZ58" s="207">
        <f>IF(BD58=1,COUNTIF($BD$2:BD58,1),"")</f>
        <v>57</v>
      </c>
      <c r="FA58" s="207">
        <f>IF(BE58=1,COUNTIF($BE$2:BE58,1),"")</f>
        <v>57</v>
      </c>
      <c r="FB58" s="207">
        <f>IF(BF58=1,COUNTIF($BF$2:BF58,1),"")</f>
        <v>57</v>
      </c>
      <c r="FC58" s="207">
        <f>IF(BG58=1,COUNTIF($BG$2:BG58,1),"")</f>
        <v>57</v>
      </c>
      <c r="FD58" s="207">
        <f>IF(BH58=1,COUNTIF($BH$2:BH58,1),"")</f>
        <v>57</v>
      </c>
      <c r="FE58" s="207">
        <f>IF(BI58=1,COUNTIF($BI$2:BI58,1),"")</f>
        <v>57</v>
      </c>
      <c r="FF58" s="207">
        <f>IF(BJ58=1,COUNTIF($BJ$2:BJ58,1),"")</f>
        <v>57</v>
      </c>
      <c r="FG58" s="207">
        <f>IF(BK58=1,COUNTIF($BK$2:BK58,1),"")</f>
        <v>57</v>
      </c>
      <c r="FH58" s="207">
        <f>IF(BL58=1,COUNTIF($BL$2:BL58,1),"")</f>
        <v>57</v>
      </c>
      <c r="FI58" s="207">
        <f>IF(BM58=1,COUNTIF($BM$2:BM58,1),"")</f>
        <v>57</v>
      </c>
      <c r="FJ58" s="207">
        <f>IF(BN58=1,COUNTIF($BN$2:BN58,1),"")</f>
        <v>57</v>
      </c>
      <c r="FK58" s="207">
        <f>IF(BO58=1,COUNTIF($BO$2:BO58,1),"")</f>
        <v>57</v>
      </c>
      <c r="FL58" s="207">
        <f>IF(BP58=1,COUNTIF($BP$2:BP58,1),"")</f>
        <v>57</v>
      </c>
      <c r="FM58" s="207">
        <f>IF(BQ58=1,COUNTIF($BQ$2:BQ58,1),"")</f>
        <v>57</v>
      </c>
      <c r="FN58" s="207">
        <f>IF(BR58=1,COUNTIF($BR$2:BR58,1),"")</f>
        <v>57</v>
      </c>
      <c r="FO58" s="207">
        <f>IF(BS58=1,COUNTIF($BS$2:BS58,1),"")</f>
        <v>57</v>
      </c>
      <c r="FP58" s="207">
        <f>IF(BT58=1,COUNTIF($BT$2:BT58,1),"")</f>
        <v>57</v>
      </c>
      <c r="FQ58" s="207">
        <f>IF(BU58=1,COUNTIF($BU$2:BU58,1),"")</f>
        <v>57</v>
      </c>
      <c r="FR58" s="207">
        <f>IF(BV58=1,COUNTIF($BV$2:BV58,1),"")</f>
        <v>57</v>
      </c>
      <c r="FS58" s="207">
        <f>IF(BW58=1,COUNTIF($BW$2:BW58,1),"")</f>
        <v>57</v>
      </c>
      <c r="FT58" s="207">
        <f>IF(BX58=1,COUNTIF($BX$2:BX58,1),"")</f>
        <v>57</v>
      </c>
      <c r="FU58" s="207">
        <f>IF(BY58=1,COUNTIF($BY$2:BY58,1),"")</f>
        <v>57</v>
      </c>
      <c r="FV58" s="207">
        <f>IF(BZ58=1,COUNTIF($BZ$2:BZ58,1),"")</f>
        <v>57</v>
      </c>
      <c r="FW58" s="207">
        <f>IF(CA58=1,COUNTIF($CA$2:CA58,1),"")</f>
        <v>57</v>
      </c>
      <c r="FX58" s="207">
        <f>IF(CB58=1,COUNTIF($CB$2:CB58,1),"")</f>
        <v>57</v>
      </c>
      <c r="FY58" s="207">
        <f>IF(CC58=1,COUNTIF($CC$2:CC58,1),"")</f>
        <v>57</v>
      </c>
      <c r="FZ58" s="207">
        <f>IF(CD58=1,COUNTIF($CD$2:CD58,1),"")</f>
        <v>57</v>
      </c>
      <c r="GA58" s="207">
        <f>IF(CE58=1,COUNTIF($CE$2:CE58,1),"")</f>
        <v>57</v>
      </c>
      <c r="GB58" s="207">
        <f>IF(CF58=1,COUNTIF($CF$2:CF58,1),"")</f>
        <v>57</v>
      </c>
      <c r="GC58" s="207">
        <f>IF(CG58=1,COUNTIF($CG$2:CG58,1),"")</f>
        <v>57</v>
      </c>
      <c r="GD58" s="207">
        <f>IF(CH58=1,COUNTIF($CH$2:CH58,1),"")</f>
        <v>57</v>
      </c>
      <c r="GE58" s="207">
        <f>IF(CI58=1,COUNTIF($CI$2:CI58,1),"")</f>
        <v>57</v>
      </c>
      <c r="GF58" s="207">
        <f>IF(CJ58=1,COUNTIF($CJ$2:CJ58,1),"")</f>
        <v>57</v>
      </c>
      <c r="GG58" s="207">
        <f>IF(CK58=1,COUNTIF($CK$2:CK58,1),"")</f>
        <v>57</v>
      </c>
      <c r="GH58" s="207">
        <f>IF(CL58=1,COUNTIF($CL$2:CL58,1),"")</f>
        <v>57</v>
      </c>
      <c r="GI58" s="207">
        <f>IF(CM58=1,COUNTIF($CM$2:CM58,1),"")</f>
        <v>57</v>
      </c>
      <c r="GJ58" s="207">
        <f>IF(CN58=1,COUNTIF($CN$2:CN58,1),"")</f>
        <v>57</v>
      </c>
      <c r="GK58" s="207">
        <f>IF(CO58=1,COUNTIF($CO$2:CO58,1),"")</f>
        <v>57</v>
      </c>
      <c r="GL58" s="207">
        <f>IF(CP58=1,COUNTIF($CP$2:CP58,1),"")</f>
        <v>57</v>
      </c>
      <c r="GM58" s="207">
        <f>IF(CQ58=1,COUNTIF($CQ$2:CQ58,1),"")</f>
        <v>57</v>
      </c>
      <c r="GN58" s="207">
        <f>IF(CR58=1,COUNTIF($CR$2:CR58,1),"")</f>
        <v>57</v>
      </c>
      <c r="GO58" s="207">
        <f>IF(CS58=1,COUNTIF($CS$2:CS58,1),"")</f>
        <v>57</v>
      </c>
      <c r="GP58" s="207">
        <f>IF(CT58=1,COUNTIF($CT$2:CT58,1),"")</f>
        <v>57</v>
      </c>
      <c r="GQ58" s="207">
        <f>IF(CU58=1,COUNTIF($CU$2:CU58,1),"")</f>
        <v>57</v>
      </c>
      <c r="GR58" s="207">
        <f>IF(CV58=1,COUNTIF($CV$2:CV58,1),"")</f>
        <v>57</v>
      </c>
      <c r="GS58" s="207">
        <f>IF(CW58=1,COUNTIF($CW$2:CW58,1),"")</f>
        <v>57</v>
      </c>
      <c r="GT58" s="207">
        <f>IF(CX58=1,COUNTIF($CX$2:CX58,1),"")</f>
        <v>57</v>
      </c>
      <c r="GU58" s="207">
        <f>IF(CY58=1,COUNTIF($CY$2:CY58,1),"")</f>
        <v>57</v>
      </c>
      <c r="GV58" s="207">
        <f>IF(CZ58=1,COUNTIF($CZ$2:CZ58,1),"")</f>
        <v>57</v>
      </c>
      <c r="GW58" s="207">
        <f>IF(DA58=1,COUNTIF($DA$2:DA58,1),"")</f>
        <v>57</v>
      </c>
      <c r="GX58" s="206" t="str">
        <f>IFERROR(INDEX($A$2:$A$113,MATCH(ROWS($DB$2:DB58),$DB$2:$DB$113,0)),"")</f>
        <v>EXTORSION</v>
      </c>
      <c r="GY58" s="206" t="str">
        <f>IFERROR(INDEX($A$2:$A$113,MATCH(ROWS($DC$2:DC58),$DC$2:$DC$113,0)),"")</f>
        <v>EXTORSION</v>
      </c>
      <c r="GZ58" s="206" t="str">
        <f>IFERROR(INDEX($A$2:$A$113,MATCH(ROWS($DD$2:DD58),$DD$2:$DD$113,0)),"")</f>
        <v>EXTORSION</v>
      </c>
      <c r="HA58" s="206" t="str">
        <f>IFERROR(INDEX($A$2:$A$113,MATCH(ROWS($DE$2:DE58),$DE$2:$DE$113,0)),"")</f>
        <v>EXTORSION</v>
      </c>
      <c r="HB58" s="206" t="str">
        <f>IFERROR(INDEX($A$2:$A$113,MATCH(ROWS($DF$2:DF58),$DF$2:$DF$113,0)),"")</f>
        <v>EXTORSION</v>
      </c>
      <c r="HC58" s="206" t="str">
        <f>IFERROR(INDEX($A$2:$A$113,MATCH(ROWS($DG$2:DG58),$DG$2:$DG$113,0)),"")</f>
        <v>EXTORSION</v>
      </c>
      <c r="HD58" s="206" t="str">
        <f>IFERROR(INDEX($A$2:$A$113,MATCH(ROWS($DH$2:DH58),$DH$2:$DH$113,0)),"")</f>
        <v>EXTORSION</v>
      </c>
      <c r="HE58" s="206" t="str">
        <f>IFERROR(INDEX($A$2:$A$113,MATCH(ROWS($DI$2:DI58),$DI$2:$DI$113,0)),"")</f>
        <v>EXTORSION</v>
      </c>
      <c r="HF58" s="206" t="str">
        <f>IFERROR(INDEX($A$2:$A$113,MATCH(ROWS($DJ$2:DJ58),$DJ$2:$DJ$113,0)),"")</f>
        <v>EXTORSION</v>
      </c>
      <c r="HG58" s="206" t="str">
        <f>IFERROR(INDEX($A$2:$A$113,MATCH(ROWS($DK$2:DK58),$DK$2:$DK$113,0)),"")</f>
        <v>EXTORSION</v>
      </c>
      <c r="HH58" s="206" t="str">
        <f>IFERROR(INDEX($A$2:$A$113,MATCH(ROWS($DL$2:DL58),$DL$2:$DL$113,0)),"")</f>
        <v>EXTORSION</v>
      </c>
      <c r="HI58" s="206" t="str">
        <f>IFERROR(INDEX($A$2:$A$113,MATCH(ROWS($DM$2:DM58),$DM$2:$DM$113,0)),"")</f>
        <v>EXTORSION</v>
      </c>
      <c r="HJ58" s="206" t="str">
        <f>IFERROR(INDEX($A$2:$A$113,MATCH(ROWS($DN$2:DN58),$DN$2:$DN$113,0)),"")</f>
        <v>EXTORSION</v>
      </c>
      <c r="HK58" s="206" t="str">
        <f>IFERROR(INDEX($A$2:$A$113,MATCH(ROWS($DO$2:DO58),$DO$2:$DO$113,0)),"")</f>
        <v>EXTORSION</v>
      </c>
      <c r="HL58" s="206" t="str">
        <f>IFERROR(INDEX($A$2:$A$113,MATCH(ROWS($DP$2:DP58),$DP$2:$DP$113,0)),"")</f>
        <v>EXTORSION</v>
      </c>
      <c r="HM58" s="206" t="str">
        <f>IFERROR(INDEX($A$2:$A$113,MATCH(ROWS($DQ$2:DQ58),$DQ$2:$DQ$113,0)),"")</f>
        <v>EXTORSION</v>
      </c>
      <c r="HN58" s="206" t="str">
        <f>IFERROR(INDEX($A$2:$A$113,MATCH(ROWS($DR$2:DR58),$DR$2:$DR$113,0)),"")</f>
        <v>EXTORSION</v>
      </c>
      <c r="HO58" s="206" t="str">
        <f>IFERROR(INDEX($A$2:$A$113,MATCH(ROWS($DS$2:DS58),$DS$2:$DS$113,0)),"")</f>
        <v>EXTORSION</v>
      </c>
      <c r="HP58" s="206" t="str">
        <f>IFERROR(INDEX($A$2:$A$113,MATCH(ROWS($DT$2:DT58),$DT$2:$DT$113,0)),"")</f>
        <v>EXTORSION</v>
      </c>
      <c r="HQ58" s="206" t="str">
        <f>IFERROR(INDEX($A$2:$A$113,MATCH(ROWS($DU$2:DU58),$DU$2:$DU$113,0)),"")</f>
        <v>EXTORSION</v>
      </c>
      <c r="HR58" s="206" t="str">
        <f>IFERROR(INDEX($A$2:$A$113,MATCH(ROWS($DV$2:DV58),$DV$2:$DV$113,0)),"")</f>
        <v>EXTORSION</v>
      </c>
      <c r="HS58" s="206" t="str">
        <f>IFERROR(INDEX($A$2:$A$113,MATCH(ROWS($DW$2:DW58),$DW$2:$DW$113,0)),"")</f>
        <v>EXTORSION</v>
      </c>
      <c r="HT58" s="206" t="str">
        <f>IFERROR(INDEX($A$2:$A$113,MATCH(ROWS($DX$2:DX58),$DX$2:$DX$113,0)),"")</f>
        <v>EXTORSION</v>
      </c>
      <c r="HU58" s="206" t="str">
        <f>IFERROR(INDEX($A$2:$A$113,MATCH(ROWS($DY$2:DY58),$DY$2:$DY$113,0)),"")</f>
        <v>EXTORSION</v>
      </c>
      <c r="HV58" s="206" t="str">
        <f>IFERROR(INDEX($A$2:$A$113,MATCH(ROWS($DZ$2:DZ58),$DZ$2:$DZ$113,0)),"")</f>
        <v>EXTORSION</v>
      </c>
      <c r="HW58" s="206" t="str">
        <f>IFERROR(INDEX($A$2:$A$113,MATCH(ROWS($EA$2:EA58),$EA$2:$EA$113,0)),"")</f>
        <v>EXTORSION</v>
      </c>
      <c r="HX58" s="206" t="str">
        <f>IFERROR(INDEX($A$2:$A$113,MATCH(ROWS($EB$2:EB58),$EB$2:$EB$113,0)),"")</f>
        <v>EXTORSION</v>
      </c>
      <c r="HY58" s="206" t="str">
        <f>IFERROR(INDEX($A$2:$A$113,MATCH(ROWS($EC$2:EC58),$EC$2:$EC$113,0)),"")</f>
        <v>EXTORSION</v>
      </c>
      <c r="HZ58" s="206" t="str">
        <f>IFERROR(INDEX($A$2:$A$113,MATCH(ROWS($ED$2:ED58),$ED$2:$ED$113,0)),"")</f>
        <v>EXTORSION</v>
      </c>
      <c r="IA58" s="206" t="str">
        <f>IFERROR(INDEX($A$2:$A$113,MATCH(ROWS($EE$2:EE58),$EE$2:$EE$113,0)),"")</f>
        <v>EXTORSION</v>
      </c>
      <c r="IB58" s="206" t="str">
        <f>IFERROR(INDEX($A$2:$A$113,MATCH(ROWS($EF$2:EF58),$EF$2:$EF$113,0)),"")</f>
        <v>EXTORSION</v>
      </c>
      <c r="IC58" s="206" t="str">
        <f>IFERROR(INDEX($A$2:$A$113,MATCH(ROWS($EG$2:EG58),$EG$2:$EG$113,0)),"")</f>
        <v>EXTORSION</v>
      </c>
      <c r="ID58" s="206" t="str">
        <f>IFERROR(INDEX($A$2:$A$113,MATCH(ROWS($EH$2:EH58),$EH$2:$EH$113,0)),"")</f>
        <v>EXTORSION</v>
      </c>
      <c r="IE58" s="206" t="str">
        <f>IFERROR(INDEX($A$2:$A$113,MATCH(ROWS($EI$2:EI58),$EI$2:$EI$113,0)),"")</f>
        <v>EXTORSION</v>
      </c>
      <c r="IF58" s="206" t="str">
        <f>IFERROR(INDEX($A$2:$A$113,MATCH(ROWS($EJ$2:EJ58),$EJ$2:$EJ$113,0)),"")</f>
        <v>EXTORSION</v>
      </c>
      <c r="IG58" s="206" t="str">
        <f>IFERROR(INDEX($A$2:$A$113,MATCH(ROWS($EK$2:EK58),$EK$2:$EK$113,0)),"")</f>
        <v>EXTORSION</v>
      </c>
      <c r="IH58" s="206" t="str">
        <f>IFERROR(INDEX($A$2:$A$113,MATCH(ROWS($EL$2:EL58),$EL$2:$EL$113,0)),"")</f>
        <v>EXTORSION</v>
      </c>
      <c r="II58" s="206" t="str">
        <f>IFERROR(INDEX($A$2:$A$113,MATCH(ROWS($EM$2:EM58),$EM$2:$EM$113,0)),"")</f>
        <v>EXTORSION</v>
      </c>
      <c r="IJ58" s="206" t="str">
        <f>IFERROR(INDEX($A$2:$A$113,MATCH(ROWS($EN$2:EN58),$EN$2:$EN$113,0)),"")</f>
        <v>EXTORSION</v>
      </c>
      <c r="IK58" s="207" t="str">
        <f>IFERROR(INDEX($A$2:$A$113,MATCH(ROWS($EO$2:EO58),$EO$2:$EO$113,0)),"")</f>
        <v>EXTORSION</v>
      </c>
      <c r="IL58" s="207" t="str">
        <f>IFERROR(INDEX($A$2:$A$113,MATCH(ROWS($EP$2:EP58),$EP$2:$EP$113,0)),"")</f>
        <v>EXTORSION</v>
      </c>
      <c r="IM58" s="207" t="str">
        <f>IFERROR(INDEX($A$2:$A$113,MATCH(ROWS($EQ$2:EQ58),$EQ$2:$EQ$113,0)),"")</f>
        <v>EXTORSION</v>
      </c>
      <c r="IN58" s="207" t="str">
        <f>IFERROR(INDEX($A$2:$A$113,MATCH(ROWS($ER$2:ER58),$ER$2:$ER$113,0)),"")</f>
        <v>EXTORSION</v>
      </c>
      <c r="IO58" s="207" t="str">
        <f>IFERROR(INDEX($A$2:$A$113,MATCH(ROWS($ES$2:ES58),$ES$2:$ES$113,0)),"")</f>
        <v>EXTORSION</v>
      </c>
      <c r="IP58" s="207" t="str">
        <f>IFERROR(INDEX($A$2:$A$113,MATCH(ROWS($ET$2:ET58),$ET$2:$ET$113,0)),"")</f>
        <v>EXTORSION</v>
      </c>
      <c r="IQ58" s="207" t="str">
        <f>IFERROR(INDEX($A$2:$A$113,MATCH(ROWS($EU$2:EU58),$EU$2:$EU$113,0)),"")</f>
        <v>EXTORSION</v>
      </c>
      <c r="IR58" s="207" t="str">
        <f>IFERROR(INDEX($A$2:$A$113,MATCH(ROWS($EV$2:EV58),$EV$2:$EV$113,0)),"")</f>
        <v>EXTORSION</v>
      </c>
      <c r="IS58" s="207" t="str">
        <f>IFERROR(INDEX($A$2:$A$113,MATCH(ROWS($EW$2:EW58),$EW$2:$EW$113,0)),"")</f>
        <v>EXTORSION</v>
      </c>
      <c r="IT58" s="207" t="str">
        <f>IFERROR(INDEX($A$2:$A$113,MATCH(ROWS($EX$2:EX58),$EX$2:$EX$113,0)),"")</f>
        <v>EXTORSION</v>
      </c>
      <c r="IU58" s="207" t="str">
        <f>IFERROR(INDEX($A$2:$A$113,MATCH(ROWS($EY$2:EY58),$EY$2:$EY$113,0)),"")</f>
        <v>EXTORSION</v>
      </c>
      <c r="IV58" s="207" t="str">
        <f>IFERROR(INDEX($A$2:$A$113,MATCH(ROWS($EZ$2:EZ58),$EZ$2:$EZ$113,0)),"")</f>
        <v>EXTORSION</v>
      </c>
      <c r="IW58" s="207" t="str">
        <f>IFERROR(INDEX($A$2:$A$113,MATCH(ROWS($FA$2:FA58),$FA$2:$FA$113,0)),"")</f>
        <v>EXTORSION</v>
      </c>
      <c r="IX58" s="207" t="str">
        <f>IFERROR(INDEX($A$2:$A$113,MATCH(ROWS($FB$2:FB58),$FB$2:$FB$113,0)),"")</f>
        <v>EXTORSION</v>
      </c>
      <c r="IY58" s="207" t="str">
        <f>IFERROR(INDEX($A$2:$A$113,MATCH(ROWS($FC$2:FC58),$FC$2:$FC$113,0)),"")</f>
        <v>EXTORSION</v>
      </c>
      <c r="IZ58" s="207" t="str">
        <f>IFERROR(INDEX($A$2:$A$113,MATCH(ROWS($FD$2:FD58),$FD$2:$FD$113,0)),"")</f>
        <v>EXTORSION</v>
      </c>
      <c r="JA58" s="207" t="str">
        <f>IFERROR(INDEX($A$2:$A$113,MATCH(ROWS($FE$2:FE58),$FE$2:$FE$113,0)),"")</f>
        <v>EXTORSION</v>
      </c>
      <c r="JB58" s="207" t="str">
        <f>IFERROR(INDEX($A$2:$A$113,MATCH(ROWS($FF$2:FF58),$FF$2:$FF$113,0)),"")</f>
        <v>EXTORSION</v>
      </c>
      <c r="JC58" s="207" t="str">
        <f>IFERROR(INDEX($A$2:$A$113,MATCH(ROWS($FG$2:FG58),$FG$2:$FG$113,0)),"")</f>
        <v>EXTORSION</v>
      </c>
      <c r="JD58" s="207" t="str">
        <f>IFERROR(INDEX($A$2:$A$113,MATCH(ROWS($FH$2:FH58),$FH$2:$FH$113,0)),"")</f>
        <v>EXTORSION</v>
      </c>
      <c r="JE58" s="207" t="str">
        <f>IFERROR(INDEX($A$2:$A$113,MATCH(ROWS($FI$2:FI58),$FI$2:$FI$113,0)),"")</f>
        <v>EXTORSION</v>
      </c>
      <c r="JF58" s="207" t="str">
        <f>IFERROR(INDEX($A$2:$A$113,MATCH(ROWS($FJ$2:FJ58),$FJ$2:$FJ$113,0)),"")</f>
        <v>EXTORSION</v>
      </c>
      <c r="JG58" s="207" t="str">
        <f>IFERROR(INDEX($A$2:$A$113,MATCH(ROWS($FK$2:FK58),$FK$2:$FK$113,0)),"")</f>
        <v>EXTORSION</v>
      </c>
      <c r="JH58" s="207" t="str">
        <f>IFERROR(INDEX($A$2:$A$113,MATCH(ROWS($FL$2:FL58),$FL$2:$FL$113,0)),"")</f>
        <v>EXTORSION</v>
      </c>
      <c r="JI58" s="207" t="str">
        <f>IFERROR(INDEX($A$2:$A$113,MATCH(ROWS($FM$2:FM58),$FM$2:$FM$113,0)),"")</f>
        <v>EXTORSION</v>
      </c>
      <c r="JJ58" s="207" t="str">
        <f>IFERROR(INDEX($A$2:$A$113,MATCH(ROWS($FN$2:FN58),$FN$2:$FN$113,0)),"")</f>
        <v>EXTORSION</v>
      </c>
      <c r="JK58" s="207" t="str">
        <f>IFERROR(INDEX($A$2:$A$113,MATCH(ROWS($FO$2:FO58),$FO$2:$FO$113,0)),"")</f>
        <v>EXTORSION</v>
      </c>
      <c r="JL58" s="207" t="str">
        <f>IFERROR(INDEX($A$2:$A$113,MATCH(ROWS($FP$2:FP58),$FP$2:$FP$113,0)),"")</f>
        <v>EXTORSION</v>
      </c>
      <c r="JM58" s="207" t="str">
        <f>IFERROR(INDEX($A$2:$A$113,MATCH(ROWS($FQ$2:FQ58),$FQ$2:$FQ$113,0)),"")</f>
        <v>EXTORSION</v>
      </c>
      <c r="JN58" s="207" t="str">
        <f>IFERROR(INDEX($A$2:$A$113,MATCH(ROWS($FR$2:FR58),$FR$2:$FR$113,0)),"")</f>
        <v>EXTORSION</v>
      </c>
      <c r="JO58" s="207" t="str">
        <f>IFERROR(INDEX($A$2:$A$113,MATCH(ROWS($FS$2:FS58),$FS$2:$FS$113,0)),"")</f>
        <v>EXTORSION</v>
      </c>
      <c r="JP58" s="207" t="str">
        <f>IFERROR(INDEX($A$2:$A$113,MATCH(ROWS($FT$2:FT58),$FT$2:$FT$113,0)),"")</f>
        <v>EXTORSION</v>
      </c>
      <c r="JQ58" s="207" t="str">
        <f>IFERROR(INDEX($A$2:$A$113,MATCH(ROWS($FU$2:FU58),$FU$2:$FU$113,0)),"")</f>
        <v>EXTORSION</v>
      </c>
      <c r="JR58" s="207" t="str">
        <f>IFERROR(INDEX($A$2:$A$113,MATCH(ROWS($FV$2:FV58),$FV$2:$FV$113,0)),"")</f>
        <v>EXTORSION</v>
      </c>
      <c r="JS58" s="207" t="str">
        <f>IFERROR(INDEX($A$2:$A$113,MATCH(ROWS($FW$2:FW58),$FW$2:$FW$113,0)),"")</f>
        <v>EXTORSION</v>
      </c>
      <c r="JT58" s="207" t="str">
        <f>IFERROR(INDEX($A$2:$A$113,MATCH(ROWS($FX$2:FX58),$FX$2:$FX$113,0)),"")</f>
        <v>EXTORSION</v>
      </c>
      <c r="JU58" s="207" t="str">
        <f>IFERROR(INDEX($A$2:$A$113,MATCH(ROWS($FY$2:FY58),$FY$2:$FY$113,0)),"")</f>
        <v>EXTORSION</v>
      </c>
      <c r="JV58" s="207" t="str">
        <f>IFERROR(INDEX($A$2:$A$113,MATCH(ROWS($FZ$2:FZ58),$FZ$2:$FZ$113,0)),"")</f>
        <v>EXTORSION</v>
      </c>
      <c r="JW58" s="207" t="str">
        <f>IFERROR(INDEX($A$2:$A$113,MATCH(ROWS($GA$2:GA58),$GA$2:$GA$113,0)),"")</f>
        <v>EXTORSION</v>
      </c>
      <c r="JX58" s="207" t="str">
        <f>IFERROR(INDEX($A$2:$A$113,MATCH(ROWS($GB$2:GB58),$GB$2:$GB$113,0)),"")</f>
        <v>EXTORSION</v>
      </c>
      <c r="JY58" s="207" t="str">
        <f>IFERROR(INDEX($A$2:$A$113,MATCH(ROWS($GC$2:GC58),$GC$2:$GC$113,0)),"")</f>
        <v>EXTORSION</v>
      </c>
      <c r="JZ58" s="207" t="str">
        <f>IFERROR(INDEX($A$2:$A$113,MATCH(ROWS($GD$2:GD58),$GD$2:$GD$113,0)),"")</f>
        <v>EXTORSION</v>
      </c>
      <c r="KA58" s="207" t="str">
        <f>IFERROR(INDEX($A$2:$A$113,MATCH(ROWS($GE$2:GE58),$GE$2:$GE$113,0)),"")</f>
        <v>EXTORSION</v>
      </c>
      <c r="KB58" s="207" t="str">
        <f>IFERROR(INDEX($A$2:$A$113,MATCH(ROWS($GF$2:GF58),$GF$2:$GF$113,0)),"")</f>
        <v>EXTORSION</v>
      </c>
      <c r="KC58" s="207" t="str">
        <f>IFERROR(INDEX($A$2:$A$113,MATCH(ROWS($GG$2:GG58),$GG$2:$GG$113,0)),"")</f>
        <v>EXTORSION</v>
      </c>
      <c r="KD58" s="207" t="str">
        <f>IFERROR(INDEX($A$2:$A$113,MATCH(ROWS($GH$2:GH58),$GH$2:$GH$113,0)),"")</f>
        <v>EXTORSION</v>
      </c>
      <c r="KE58" s="207" t="str">
        <f>IFERROR(INDEX($A$2:$A$113,MATCH(ROWS($GI$2:GI58),$GI$2:$GI$113,0)),"")</f>
        <v>EXTORSION</v>
      </c>
      <c r="KF58" s="207" t="str">
        <f>IFERROR(INDEX($A$2:$A$113,MATCH(ROWS($GJ$2:GJ58),$GJ$2:$GJ$113,0)),"")</f>
        <v>EXTORSION</v>
      </c>
      <c r="KG58" s="207" t="str">
        <f>IFERROR(INDEX($A$2:$A$113,MATCH(ROWS($GK$2:GK58),$GK$2:$GK$113,0)),"")</f>
        <v>EXTORSION</v>
      </c>
      <c r="KH58" s="207" t="str">
        <f>IFERROR(INDEX($A$2:$A$113,MATCH(ROWS($GL$2:GL58),$GL$2:$GL$113,0)),"")</f>
        <v>EXTORSION</v>
      </c>
      <c r="KI58" s="207" t="str">
        <f>IFERROR(INDEX($A$2:$A$113,MATCH(ROWS($GM$2:GM58),$GM$2:$GM$113,0)),"")</f>
        <v>EXTORSION</v>
      </c>
      <c r="KJ58" s="207" t="str">
        <f>IFERROR(INDEX($A$2:$A$113,MATCH(ROWS($GN$2:GN58),$GN$2:$GN$113,0)),"")</f>
        <v>EXTORSION</v>
      </c>
      <c r="KK58" s="207" t="str">
        <f>IFERROR(INDEX($A$2:$A$113,MATCH(ROWS($GO$2:GO58),$GO$2:$GO$113,0)),"")</f>
        <v>EXTORSION</v>
      </c>
      <c r="KL58" s="207" t="str">
        <f>IFERROR(INDEX($A$2:$A$113,MATCH(ROWS($GP$2:GP58),$GP$2:$GP$113,0)),"")</f>
        <v>EXTORSION</v>
      </c>
      <c r="KM58" s="207" t="str">
        <f>IFERROR(INDEX($A$2:$A$113,MATCH(ROWS($GQ$2:GQ58),$GQ$2:$GQ$113,0)),"")</f>
        <v>EXTORSION</v>
      </c>
      <c r="KN58" s="207" t="str">
        <f>IFERROR(INDEX($A$2:$A$113,MATCH(ROWS($GR$2:GR58),$GR$2:$GR$113,0)),"")</f>
        <v>EXTORSION</v>
      </c>
      <c r="KO58" s="207" t="str">
        <f>IFERROR(INDEX($A$2:$A$113,MATCH(ROWS($GS$2:GS58),$GS$2:$GS$113,0)),"")</f>
        <v>EXTORSION</v>
      </c>
      <c r="KP58" s="207" t="str">
        <f>IFERROR(INDEX($A$2:$A$113,MATCH(ROWS($GT$2:GT58),$GT$2:$GT$113,0)),"")</f>
        <v>EXTORSION</v>
      </c>
      <c r="KQ58" s="207" t="str">
        <f>IFERROR(INDEX($A$2:$A$113,MATCH(ROWS($GU$2:GU58),$GU$2:$GU$113,0)),"")</f>
        <v>EXTORSION</v>
      </c>
      <c r="KR58" s="207" t="str">
        <f>IFERROR(INDEX($A$2:$A$113,MATCH(ROWS($GV$2:GV58),$GV$2:$GV$113,0)),"")</f>
        <v>EXTORSION</v>
      </c>
      <c r="KS58" s="207" t="str">
        <f>IFERROR(INDEX($A$2:$A$113,MATCH(ROWS($GW$2:GW58),$GW$2:$GW$113,0)),"")</f>
        <v>EXTORSION</v>
      </c>
    </row>
    <row r="59" spans="1:305" x14ac:dyDescent="0.25">
      <c r="A59" s="206" t="s">
        <v>1088</v>
      </c>
      <c r="B59" s="206" t="s">
        <v>1089</v>
      </c>
      <c r="D59" s="206" t="s">
        <v>50</v>
      </c>
      <c r="E59" s="206" t="s">
        <v>510</v>
      </c>
      <c r="F59" s="207">
        <f>--ISNUMBER(IFERROR(SEARCH('PLANILLA DJ'!$X$3,$A59,1),""))</f>
        <v>1</v>
      </c>
      <c r="G59" s="207">
        <f>--ISNUMBER(IFERROR(SEARCH('PLANILLA DJ'!$X$4,$A59,1),""))</f>
        <v>1</v>
      </c>
      <c r="H59" s="207">
        <f>--ISNUMBER(IFERROR(SEARCH('PLANILLA DJ'!$X$5,$A59,1),""))</f>
        <v>1</v>
      </c>
      <c r="I59" s="207">
        <f>--ISNUMBER(IFERROR(SEARCH('PLANILLA DJ'!$X$6,$A59,1),""))</f>
        <v>1</v>
      </c>
      <c r="J59" s="207">
        <f>--ISNUMBER(IFERROR(SEARCH('PLANILLA DJ'!$X$7,$A59,1),""))</f>
        <v>1</v>
      </c>
      <c r="K59" s="207">
        <f>--ISNUMBER(IFERROR(SEARCH('PLANILLA DJ'!$X$8,$A59,1),""))</f>
        <v>1</v>
      </c>
      <c r="L59" s="207">
        <f>--ISNUMBER(IFERROR(SEARCH('PLANILLA DJ'!$X$9,$A59,1),""))</f>
        <v>1</v>
      </c>
      <c r="M59" s="207">
        <f>--ISNUMBER(IFERROR(SEARCH('PLANILLA DJ'!$X$10,$A59,1),""))</f>
        <v>1</v>
      </c>
      <c r="N59" s="207">
        <f>--ISNUMBER(IFERROR(SEARCH('PLANILLA DJ'!$X$11,$A59,1),""))</f>
        <v>1</v>
      </c>
      <c r="O59" s="207">
        <f>--ISNUMBER(IFERROR(SEARCH('PLANILLA DJ'!$X$12,$A59,1),""))</f>
        <v>1</v>
      </c>
      <c r="P59" s="207">
        <f>--ISNUMBER(IFERROR(SEARCH('PLANILLA DJ'!$X$13,$A59,1),""))</f>
        <v>1</v>
      </c>
      <c r="Q59" s="207">
        <f>--ISNUMBER(IFERROR(SEARCH('PLANILLA DJ'!$X$14,$A59,1),""))</f>
        <v>1</v>
      </c>
      <c r="R59" s="207">
        <f>--ISNUMBER(IFERROR(SEARCH('PLANILLA DJ'!$X$15,$A59,1),""))</f>
        <v>1</v>
      </c>
      <c r="S59" s="207">
        <f>--ISNUMBER(IFERROR(SEARCH('PLANILLA DJ'!$X$16,$A59,1),""))</f>
        <v>1</v>
      </c>
      <c r="T59" s="207">
        <f>--ISNUMBER(IFERROR(SEARCH('PLANILLA DJ'!$X$17,$A59,1),""))</f>
        <v>1</v>
      </c>
      <c r="U59" s="207">
        <f>--ISNUMBER(IFERROR(SEARCH('PLANILLA DJ'!$X$18,$A59,1),""))</f>
        <v>1</v>
      </c>
      <c r="V59" s="207">
        <f>--ISNUMBER(IFERROR(SEARCH('PLANILLA DJ'!$X$19,$A59,1),""))</f>
        <v>1</v>
      </c>
      <c r="W59" s="207">
        <f>--ISNUMBER(IFERROR(SEARCH('PLANILLA DJ'!$X$20,$A59,1),""))</f>
        <v>1</v>
      </c>
      <c r="X59" s="207">
        <f>--ISNUMBER(IFERROR(SEARCH('PLANILLA DJ'!$X$21,$A59,1),""))</f>
        <v>1</v>
      </c>
      <c r="Y59" s="207">
        <f>--ISNUMBER(IFERROR(SEARCH('PLANILLA DJ'!$X$22,$A59,1),""))</f>
        <v>1</v>
      </c>
      <c r="Z59" s="207">
        <f>--ISNUMBER(IFERROR(SEARCH('PLANILLA DJ'!$X$23,$A59,1),""))</f>
        <v>1</v>
      </c>
      <c r="AA59" s="207">
        <f>--ISNUMBER(IFERROR(SEARCH('PLANILLA DJ'!$X$24,$A59,1),""))</f>
        <v>1</v>
      </c>
      <c r="AB59" s="207">
        <f>--ISNUMBER(IFERROR(SEARCH('PLANILLA DJ'!$X$25,$A59,1),""))</f>
        <v>1</v>
      </c>
      <c r="AC59" s="207">
        <f>--ISNUMBER(IFERROR(SEARCH('PLANILLA DJ'!$X$26,$A59,1),""))</f>
        <v>1</v>
      </c>
      <c r="AD59" s="207">
        <f>--ISNUMBER(IFERROR(SEARCH('PLANILLA DJ'!$X$27,$A59,1),""))</f>
        <v>1</v>
      </c>
      <c r="AE59" s="207">
        <f>--ISNUMBER(IFERROR(SEARCH('PLANILLA DJ'!$X$28,$A59,1),""))</f>
        <v>1</v>
      </c>
      <c r="AF59" s="207">
        <f>--ISNUMBER(IFERROR(SEARCH('PLANILLA DJ'!$X$29,$A59,1),""))</f>
        <v>1</v>
      </c>
      <c r="AG59" s="207">
        <f>--ISNUMBER(IFERROR(SEARCH('PLANILLA DJ'!$X$30,$A59,1),""))</f>
        <v>1</v>
      </c>
      <c r="AH59" s="207">
        <f>--ISNUMBER(IFERROR(SEARCH('PLANILLA DJ'!$X$31,$A59,1),""))</f>
        <v>1</v>
      </c>
      <c r="AI59" s="207">
        <f>--ISNUMBER(IFERROR(SEARCH('PLANILLA DJ'!$X$32,$A59,1),""))</f>
        <v>1</v>
      </c>
      <c r="AJ59" s="207">
        <f>--ISNUMBER(IFERROR(SEARCH('PLANILLA DJ'!$X$33,$A59,1),""))</f>
        <v>1</v>
      </c>
      <c r="AK59" s="207">
        <f>--ISNUMBER(IFERROR(SEARCH('PLANILLA DJ'!$X$34,$A59,1),""))</f>
        <v>1</v>
      </c>
      <c r="AL59" s="207">
        <f>--ISNUMBER(IFERROR(SEARCH('PLANILLA DJ'!$X$35,$A59,1),""))</f>
        <v>1</v>
      </c>
      <c r="AM59" s="207">
        <f>--ISNUMBER(IFERROR(SEARCH('PLANILLA DJ'!$X$36,$A59,1),""))</f>
        <v>1</v>
      </c>
      <c r="AN59" s="207">
        <f>--ISNUMBER(IFERROR(SEARCH('PLANILLA DJ'!$X$37,$A59,1),""))</f>
        <v>1</v>
      </c>
      <c r="AO59" s="207">
        <f>--ISNUMBER(IFERROR(SEARCH('PLANILLA DJ'!$X$38,$A59,1),""))</f>
        <v>1</v>
      </c>
      <c r="AP59" s="207">
        <f>--ISNUMBER(IFERROR(SEARCH('PLANILLA DJ'!$X$39,$A59,1),""))</f>
        <v>1</v>
      </c>
      <c r="AQ59" s="207">
        <f>--ISNUMBER(IFERROR(SEARCH('PLANILLA DJ'!$X$40,$A59,1),""))</f>
        <v>1</v>
      </c>
      <c r="AR59" s="207">
        <f>--ISNUMBER(IFERROR(SEARCH('PLANILLA DJ'!$X$41,$A59,1),""))</f>
        <v>1</v>
      </c>
      <c r="AS59" s="207">
        <f>--ISNUMBER(IFERROR(SEARCH('PLANILLA DJ'!$X$42,$A59,1),""))</f>
        <v>1</v>
      </c>
      <c r="AT59" s="207">
        <f>--ISNUMBER(IFERROR(SEARCH('PLANILLA DJ'!$X$43,$A59,1),""))</f>
        <v>1</v>
      </c>
      <c r="AU59" s="207">
        <f>--ISNUMBER(IFERROR(SEARCH('PLANILLA DJ'!$X$44,$A59,1),""))</f>
        <v>1</v>
      </c>
      <c r="AV59" s="207">
        <f>--ISNUMBER(IFERROR(SEARCH('PLANILLA DJ'!$X$45,$A59,1),""))</f>
        <v>1</v>
      </c>
      <c r="AW59" s="207">
        <f>--ISNUMBER(IFERROR(SEARCH('PLANILLA DJ'!$X$46,$A59,1),""))</f>
        <v>1</v>
      </c>
      <c r="AX59" s="207">
        <f>--ISNUMBER(IFERROR(SEARCH('PLANILLA DJ'!$X$47,$A59,1),""))</f>
        <v>1</v>
      </c>
      <c r="AY59" s="207">
        <f>--ISNUMBER(IFERROR(SEARCH('PLANILLA DJ'!$X$48,$A59,1),""))</f>
        <v>1</v>
      </c>
      <c r="AZ59" s="207">
        <f>--ISNUMBER(IFERROR(SEARCH('PLANILLA DJ'!$X$49,$A59,1),""))</f>
        <v>1</v>
      </c>
      <c r="BA59" s="207">
        <f>--ISNUMBER(IFERROR(SEARCH('PLANILLA DJ'!$X$50,$A59,1),""))</f>
        <v>1</v>
      </c>
      <c r="BB59" s="207">
        <f>--ISNUMBER(IFERROR(SEARCH('PLANILLA DJ'!$X$51,$A59,1),""))</f>
        <v>1</v>
      </c>
      <c r="BC59" s="207">
        <f>--ISNUMBER(IFERROR(SEARCH('PLANILLA DJ'!$X$52,$A59,1),""))</f>
        <v>1</v>
      </c>
      <c r="BD59" s="207">
        <f>--ISNUMBER(IFERROR(SEARCH('PLANILLA DJ'!$X$53,$A59,1),""))</f>
        <v>1</v>
      </c>
      <c r="BE59" s="207">
        <f>--ISNUMBER(IFERROR(SEARCH('PLANILLA DJ'!$X$54,$A59,1),""))</f>
        <v>1</v>
      </c>
      <c r="BF59" s="207">
        <f>--ISNUMBER(IFERROR(SEARCH('PLANILLA DJ'!$X$55,$A59,1),""))</f>
        <v>1</v>
      </c>
      <c r="BG59" s="207">
        <f>--ISNUMBER(IFERROR(SEARCH('PLANILLA DJ'!$X$56,$A59,1),""))</f>
        <v>1</v>
      </c>
      <c r="BH59" s="207">
        <f>--ISNUMBER(IFERROR(SEARCH('PLANILLA DJ'!$X$57,$A59,1),""))</f>
        <v>1</v>
      </c>
      <c r="BI59" s="207">
        <f>--ISNUMBER(IFERROR(SEARCH('PLANILLA DJ'!$X$58,$A59,1),""))</f>
        <v>1</v>
      </c>
      <c r="BJ59" s="207">
        <f>--ISNUMBER(IFERROR(SEARCH('PLANILLA DJ'!$X$59,$A59,1),""))</f>
        <v>1</v>
      </c>
      <c r="BK59" s="207">
        <f>--ISNUMBER(IFERROR(SEARCH('PLANILLA DJ'!$X$60,$A59,1),""))</f>
        <v>1</v>
      </c>
      <c r="BL59" s="207">
        <f>--ISNUMBER(IFERROR(SEARCH('PLANILLA DJ'!$X$61,$A59,1),""))</f>
        <v>1</v>
      </c>
      <c r="BM59" s="207">
        <f>--ISNUMBER(IFERROR(SEARCH('PLANILLA DJ'!$X$62,$A59,1),""))</f>
        <v>1</v>
      </c>
      <c r="BN59" s="207">
        <f>--ISNUMBER(IFERROR(SEARCH('PLANILLA DJ'!$X$63,$A59,1),""))</f>
        <v>1</v>
      </c>
      <c r="BO59" s="207">
        <f>--ISNUMBER(IFERROR(SEARCH('PLANILLA DJ'!$X$64,$A59,1),""))</f>
        <v>1</v>
      </c>
      <c r="BP59" s="207">
        <f>--ISNUMBER(IFERROR(SEARCH('PLANILLA DJ'!$X$65,$A59,1),""))</f>
        <v>1</v>
      </c>
      <c r="BQ59" s="207">
        <f>--ISNUMBER(IFERROR(SEARCH('PLANILLA DJ'!$X$66,$A59,1),""))</f>
        <v>1</v>
      </c>
      <c r="BR59" s="207">
        <f>--ISNUMBER(IFERROR(SEARCH('PLANILLA DJ'!$X$67,$A59,1),""))</f>
        <v>1</v>
      </c>
      <c r="BS59" s="207">
        <f>--ISNUMBER(IFERROR(SEARCH('PLANILLA DJ'!$X$68,$A59,1),""))</f>
        <v>1</v>
      </c>
      <c r="BT59" s="207">
        <f>--ISNUMBER(IFERROR(SEARCH('PLANILLA DJ'!$X$69,$A59,1),""))</f>
        <v>1</v>
      </c>
      <c r="BU59" s="207">
        <f>--ISNUMBER(IFERROR(SEARCH('PLANILLA DJ'!$X$70,$A59,1),""))</f>
        <v>1</v>
      </c>
      <c r="BV59" s="207">
        <f>--ISNUMBER(IFERROR(SEARCH('PLANILLA DJ'!$X$71,$A59,1),""))</f>
        <v>1</v>
      </c>
      <c r="BW59" s="207">
        <f>--ISNUMBER(IFERROR(SEARCH('PLANILLA DJ'!$X$72,$A59,1),""))</f>
        <v>1</v>
      </c>
      <c r="BX59" s="207">
        <f>--ISNUMBER(IFERROR(SEARCH('PLANILLA DJ'!$X$73,$A59,1),""))</f>
        <v>1</v>
      </c>
      <c r="BY59" s="207">
        <f>--ISNUMBER(IFERROR(SEARCH('PLANILLA DJ'!$X$74,$A59,1),""))</f>
        <v>1</v>
      </c>
      <c r="BZ59" s="207">
        <f>--ISNUMBER(IFERROR(SEARCH('PLANILLA DJ'!$X$75,$A59,1),""))</f>
        <v>1</v>
      </c>
      <c r="CA59" s="207">
        <f>--ISNUMBER(IFERROR(SEARCH('PLANILLA DJ'!$X$76,$A59,1),""))</f>
        <v>1</v>
      </c>
      <c r="CB59" s="207">
        <f>--ISNUMBER(IFERROR(SEARCH('PLANILLA DJ'!$X$77,$A59,1),""))</f>
        <v>1</v>
      </c>
      <c r="CC59" s="207">
        <f>--ISNUMBER(IFERROR(SEARCH('PLANILLA DJ'!$X$78,$A59,1),""))</f>
        <v>1</v>
      </c>
      <c r="CD59" s="207">
        <f>--ISNUMBER(IFERROR(SEARCH('PLANILLA DJ'!$X$79,$A59,1),""))</f>
        <v>1</v>
      </c>
      <c r="CE59" s="207">
        <f>--ISNUMBER(IFERROR(SEARCH('PLANILLA DJ'!$X$80,$A59,1),""))</f>
        <v>1</v>
      </c>
      <c r="CF59" s="207">
        <f>--ISNUMBER(IFERROR(SEARCH('PLANILLA DJ'!$X$81,$A59,1),""))</f>
        <v>1</v>
      </c>
      <c r="CG59" s="207">
        <f>--ISNUMBER(IFERROR(SEARCH('PLANILLA DJ'!$X$82,$A59,1),""))</f>
        <v>1</v>
      </c>
      <c r="CH59" s="207">
        <f>--ISNUMBER(IFERROR(SEARCH('PLANILLA DJ'!$X$83,$A59,1),""))</f>
        <v>1</v>
      </c>
      <c r="CI59" s="207">
        <f>--ISNUMBER(IFERROR(SEARCH('PLANILLA DJ'!$X$84,$A59,1),""))</f>
        <v>1</v>
      </c>
      <c r="CJ59" s="207">
        <f>--ISNUMBER(IFERROR(SEARCH('PLANILLA DJ'!$X$85,$A59,1),""))</f>
        <v>1</v>
      </c>
      <c r="CK59" s="207">
        <f>--ISNUMBER(IFERROR(SEARCH('PLANILLA DJ'!$X$86,$A59,1),""))</f>
        <v>1</v>
      </c>
      <c r="CL59" s="207">
        <f>--ISNUMBER(IFERROR(SEARCH('PLANILLA DJ'!$X$87,$A59,1),""))</f>
        <v>1</v>
      </c>
      <c r="CM59" s="207">
        <f>--ISNUMBER(IFERROR(SEARCH('PLANILLA DJ'!$X$88,$A59,1),""))</f>
        <v>1</v>
      </c>
      <c r="CN59" s="207">
        <f>--ISNUMBER(IFERROR(SEARCH('PLANILLA DJ'!$X$89,$A59,1),""))</f>
        <v>1</v>
      </c>
      <c r="CO59" s="207">
        <f>--ISNUMBER(IFERROR(SEARCH('PLANILLA DJ'!$X$90,$A59,1),""))</f>
        <v>1</v>
      </c>
      <c r="CP59" s="207">
        <f>--ISNUMBER(IFERROR(SEARCH('PLANILLA DJ'!$X$91,$A59,1),""))</f>
        <v>1</v>
      </c>
      <c r="CQ59" s="207">
        <f>--ISNUMBER(IFERROR(SEARCH('PLANILLA DJ'!$X$92,$A59,1),""))</f>
        <v>1</v>
      </c>
      <c r="CR59" s="207">
        <f>--ISNUMBER(IFERROR(SEARCH('PLANILLA DJ'!$X$93,$A59,1),""))</f>
        <v>1</v>
      </c>
      <c r="CS59" s="207">
        <f>--ISNUMBER(IFERROR(SEARCH('PLANILLA DJ'!$X$94,$A59,1),""))</f>
        <v>1</v>
      </c>
      <c r="CT59" s="207">
        <f>--ISNUMBER(IFERROR(SEARCH('PLANILLA DJ'!$X$95,$A59,1),""))</f>
        <v>1</v>
      </c>
      <c r="CU59" s="207">
        <f>--ISNUMBER(IFERROR(SEARCH('PLANILLA DJ'!$X$96,$A59,1),""))</f>
        <v>1</v>
      </c>
      <c r="CV59" s="207">
        <f>--ISNUMBER(IFERROR(SEARCH('PLANILLA DJ'!$X$97,$A59,1),""))</f>
        <v>1</v>
      </c>
      <c r="CW59" s="207">
        <f>--ISNUMBER(IFERROR(SEARCH('PLANILLA DJ'!$X$98,$A59,1),""))</f>
        <v>1</v>
      </c>
      <c r="CX59" s="207">
        <f>--ISNUMBER(IFERROR(SEARCH('PLANILLA DJ'!$X$99,$A59,1),""))</f>
        <v>1</v>
      </c>
      <c r="CY59" s="207">
        <f>--ISNUMBER(IFERROR(SEARCH('PLANILLA DJ'!$X$100,$A59,1),""))</f>
        <v>1</v>
      </c>
      <c r="CZ59" s="207">
        <f>--ISNUMBER(IFERROR(SEARCH('PLANILLA DJ'!$X$101,$A59,1),""))</f>
        <v>1</v>
      </c>
      <c r="DA59" s="207">
        <f>--ISNUMBER(IFERROR(SEARCH('PLANILLA DJ'!$X$102,$A59,1),""))</f>
        <v>1</v>
      </c>
      <c r="DB59" s="206">
        <f>IF(F59=1,COUNTIF($F$2:F59,1),"")</f>
        <v>58</v>
      </c>
      <c r="DC59" s="206">
        <f>IF(G59=1,COUNTIF($G$2:G59,1),"")</f>
        <v>58</v>
      </c>
      <c r="DD59" s="206">
        <f>IF(H59=1,COUNTIF($H$2:H59,1),"")</f>
        <v>58</v>
      </c>
      <c r="DE59" s="206">
        <f>IF(I59=1,COUNTIF($I$2:I59,1),"")</f>
        <v>58</v>
      </c>
      <c r="DF59" s="206">
        <f>IF(J59=1,COUNTIF($J$2:J59,1),"")</f>
        <v>58</v>
      </c>
      <c r="DG59" s="206">
        <f>IF(K59=1,COUNTIF($K$2:K59,1),"")</f>
        <v>58</v>
      </c>
      <c r="DH59" s="206">
        <f>IF(L59=1,COUNTIF($L$2:L59,1),"")</f>
        <v>58</v>
      </c>
      <c r="DI59" s="206">
        <f>IF(M59=1,COUNTIF($M$2:M59,1),"")</f>
        <v>58</v>
      </c>
      <c r="DJ59" s="206">
        <f>IF(N59=1,COUNTIF($N$2:N59,1),"")</f>
        <v>58</v>
      </c>
      <c r="DK59" s="206">
        <f>IF(O59=1,COUNTIF($O$2:O59,1),"")</f>
        <v>58</v>
      </c>
      <c r="DL59" s="206">
        <f>IF(P59=1,COUNTIF($P$2:P59,1),"")</f>
        <v>58</v>
      </c>
      <c r="DM59" s="206">
        <f>IF(Q59=1,COUNTIF($Q$2:Q59,1),"")</f>
        <v>58</v>
      </c>
      <c r="DN59" s="207">
        <f>IF(R59=1,COUNTIF($R$2:R59,1),"")</f>
        <v>58</v>
      </c>
      <c r="DO59" s="207">
        <f>IF(S59=1,COUNTIF($S$2:S59,1),"")</f>
        <v>58</v>
      </c>
      <c r="DP59" s="207">
        <f>IF(T59=1,COUNTIF($T$2:T59,1),"")</f>
        <v>58</v>
      </c>
      <c r="DQ59" s="207">
        <f>IF(U59=1,COUNTIF($U$2:U59,1),"")</f>
        <v>58</v>
      </c>
      <c r="DR59" s="207">
        <f>IF(V59=1,COUNTIF($V$2:V59,1),"")</f>
        <v>58</v>
      </c>
      <c r="DS59" s="207">
        <f>IF(W59=1,COUNTIF($W$2:W59,1),"")</f>
        <v>58</v>
      </c>
      <c r="DT59" s="207">
        <f>IF(X59=1,COUNTIF($X$2:X59,1),"")</f>
        <v>58</v>
      </c>
      <c r="DU59" s="207">
        <f>IF(Y59=1,COUNTIF($Y$2:Y59,1),"")</f>
        <v>58</v>
      </c>
      <c r="DV59" s="207">
        <f>IF(Z59=1,COUNTIF(Z$2:Z59,1),"")</f>
        <v>58</v>
      </c>
      <c r="DW59" s="207">
        <f>IF(AA59=1,COUNTIF($AA$2:AA59,1),"")</f>
        <v>58</v>
      </c>
      <c r="DX59" s="207">
        <f>IF(AB59=1,COUNTIF($AB$2:AB59,1),"")</f>
        <v>58</v>
      </c>
      <c r="DY59" s="207">
        <f>IF(AC59=1,COUNTIF($AC$2:AC59,1),"")</f>
        <v>58</v>
      </c>
      <c r="DZ59" s="207">
        <f>IF(AD59=1,COUNTIF($AD$2:AD59,1),"")</f>
        <v>58</v>
      </c>
      <c r="EA59" s="207">
        <f>IF(AE59=1,COUNTIF($AE$2:AE59,1),"")</f>
        <v>58</v>
      </c>
      <c r="EB59" s="207">
        <f>IF(AF59=1,COUNTIF($AF$2:AF59,1),"")</f>
        <v>58</v>
      </c>
      <c r="EC59" s="207">
        <f>IF(AG59=1,COUNTIF($AG$2:AG59,1),"")</f>
        <v>58</v>
      </c>
      <c r="ED59" s="207">
        <f>IF(AH59=1,COUNTIF($AH$2:AH59,1),"")</f>
        <v>58</v>
      </c>
      <c r="EE59" s="207">
        <f>IF(AI59=1,COUNTIF($AI$2:AI59,1),"")</f>
        <v>58</v>
      </c>
      <c r="EF59" s="207">
        <f>IF(AJ59=1,COUNTIF($AJ$2:AJ59,1),"")</f>
        <v>58</v>
      </c>
      <c r="EG59" s="207">
        <f>IF(AK59=1,COUNTIF($AK$2:AK59,1),"")</f>
        <v>58</v>
      </c>
      <c r="EH59" s="207">
        <f>IF(AL59=1,COUNTIF($AL$2:AL59,1),"")</f>
        <v>58</v>
      </c>
      <c r="EI59" s="207">
        <f>IF(AM59=1,COUNTIF($AM$2:AM59,1),"")</f>
        <v>58</v>
      </c>
      <c r="EJ59" s="207">
        <f>IF(AN59=1,COUNTIF($AN$2:AN59,1),"")</f>
        <v>58</v>
      </c>
      <c r="EK59" s="207">
        <f>IF(AO59=1,COUNTIF($AO$2:AO59,1),"")</f>
        <v>58</v>
      </c>
      <c r="EL59" s="207">
        <f>IF(AP59=1,COUNTIF($AP$2:AP59,1),"")</f>
        <v>58</v>
      </c>
      <c r="EM59" s="207">
        <f>IF(AQ59=1,COUNTIF($AQ$2:AQ59,1),"")</f>
        <v>58</v>
      </c>
      <c r="EN59" s="207">
        <f>IF(AR59=1,COUNTIF($AR$2:AR59,1),"")</f>
        <v>58</v>
      </c>
      <c r="EO59" s="207">
        <f>IF(AS59=1,COUNTIF($AS$2:AS59,1),"")</f>
        <v>58</v>
      </c>
      <c r="EP59" s="207">
        <f>IF(AT59=1,COUNTIF($AT$2:AT59,1),"")</f>
        <v>58</v>
      </c>
      <c r="EQ59" s="207">
        <f>IF(AU59=1,COUNTIF($AU$2:AU59,1),"")</f>
        <v>58</v>
      </c>
      <c r="ER59" s="207">
        <f>IF(AV59=1,COUNTIF($AV$2:AV59,1),"")</f>
        <v>58</v>
      </c>
      <c r="ES59" s="207">
        <f>IF(AW59=1,COUNTIF($AW$2:AW59,1),"")</f>
        <v>58</v>
      </c>
      <c r="ET59" s="207">
        <f>IF(AX59=1,COUNTIF($AX$2:AX59,1),"")</f>
        <v>58</v>
      </c>
      <c r="EU59" s="207">
        <f>IF(AY59=1,COUNTIF($AY$2:AY59,1),"")</f>
        <v>58</v>
      </c>
      <c r="EV59" s="207">
        <f>IF(AZ59=1,COUNTIF($AZ$2:AZ59,1),"")</f>
        <v>58</v>
      </c>
      <c r="EW59" s="207">
        <f>IF(BA59=1,COUNTIF($BA$2:BA59,1),"")</f>
        <v>58</v>
      </c>
      <c r="EX59" s="207">
        <f>IF(BB59=1,COUNTIF($BB$2:BB59,1),"")</f>
        <v>58</v>
      </c>
      <c r="EY59" s="207">
        <f>IF(BC59=1,COUNTIF($BC$2:BC59,1),"")</f>
        <v>58</v>
      </c>
      <c r="EZ59" s="207">
        <f>IF(BD59=1,COUNTIF($BD$2:BD59,1),"")</f>
        <v>58</v>
      </c>
      <c r="FA59" s="207">
        <f>IF(BE59=1,COUNTIF($BE$2:BE59,1),"")</f>
        <v>58</v>
      </c>
      <c r="FB59" s="207">
        <f>IF(BF59=1,COUNTIF($BF$2:BF59,1),"")</f>
        <v>58</v>
      </c>
      <c r="FC59" s="207">
        <f>IF(BG59=1,COUNTIF($BG$2:BG59,1),"")</f>
        <v>58</v>
      </c>
      <c r="FD59" s="207">
        <f>IF(BH59=1,COUNTIF($BH$2:BH59,1),"")</f>
        <v>58</v>
      </c>
      <c r="FE59" s="207">
        <f>IF(BI59=1,COUNTIF($BI$2:BI59,1),"")</f>
        <v>58</v>
      </c>
      <c r="FF59" s="207">
        <f>IF(BJ59=1,COUNTIF($BJ$2:BJ59,1),"")</f>
        <v>58</v>
      </c>
      <c r="FG59" s="207">
        <f>IF(BK59=1,COUNTIF($BK$2:BK59,1),"")</f>
        <v>58</v>
      </c>
      <c r="FH59" s="207">
        <f>IF(BL59=1,COUNTIF($BL$2:BL59,1),"")</f>
        <v>58</v>
      </c>
      <c r="FI59" s="207">
        <f>IF(BM59=1,COUNTIF($BM$2:BM59,1),"")</f>
        <v>58</v>
      </c>
      <c r="FJ59" s="207">
        <f>IF(BN59=1,COUNTIF($BN$2:BN59,1),"")</f>
        <v>58</v>
      </c>
      <c r="FK59" s="207">
        <f>IF(BO59=1,COUNTIF($BO$2:BO59,1),"")</f>
        <v>58</v>
      </c>
      <c r="FL59" s="207">
        <f>IF(BP59=1,COUNTIF($BP$2:BP59,1),"")</f>
        <v>58</v>
      </c>
      <c r="FM59" s="207">
        <f>IF(BQ59=1,COUNTIF($BQ$2:BQ59,1),"")</f>
        <v>58</v>
      </c>
      <c r="FN59" s="207">
        <f>IF(BR59=1,COUNTIF($BR$2:BR59,1),"")</f>
        <v>58</v>
      </c>
      <c r="FO59" s="207">
        <f>IF(BS59=1,COUNTIF($BS$2:BS59,1),"")</f>
        <v>58</v>
      </c>
      <c r="FP59" s="207">
        <f>IF(BT59=1,COUNTIF($BT$2:BT59,1),"")</f>
        <v>58</v>
      </c>
      <c r="FQ59" s="207">
        <f>IF(BU59=1,COUNTIF($BU$2:BU59,1),"")</f>
        <v>58</v>
      </c>
      <c r="FR59" s="207">
        <f>IF(BV59=1,COUNTIF($BV$2:BV59,1),"")</f>
        <v>58</v>
      </c>
      <c r="FS59" s="207">
        <f>IF(BW59=1,COUNTIF($BW$2:BW59,1),"")</f>
        <v>58</v>
      </c>
      <c r="FT59" s="207">
        <f>IF(BX59=1,COUNTIF($BX$2:BX59,1),"")</f>
        <v>58</v>
      </c>
      <c r="FU59" s="207">
        <f>IF(BY59=1,COUNTIF($BY$2:BY59,1),"")</f>
        <v>58</v>
      </c>
      <c r="FV59" s="207">
        <f>IF(BZ59=1,COUNTIF($BZ$2:BZ59,1),"")</f>
        <v>58</v>
      </c>
      <c r="FW59" s="207">
        <f>IF(CA59=1,COUNTIF($CA$2:CA59,1),"")</f>
        <v>58</v>
      </c>
      <c r="FX59" s="207">
        <f>IF(CB59=1,COUNTIF($CB$2:CB59,1),"")</f>
        <v>58</v>
      </c>
      <c r="FY59" s="207">
        <f>IF(CC59=1,COUNTIF($CC$2:CC59,1),"")</f>
        <v>58</v>
      </c>
      <c r="FZ59" s="207">
        <f>IF(CD59=1,COUNTIF($CD$2:CD59,1),"")</f>
        <v>58</v>
      </c>
      <c r="GA59" s="207">
        <f>IF(CE59=1,COUNTIF($CE$2:CE59,1),"")</f>
        <v>58</v>
      </c>
      <c r="GB59" s="207">
        <f>IF(CF59=1,COUNTIF($CF$2:CF59,1),"")</f>
        <v>58</v>
      </c>
      <c r="GC59" s="207">
        <f>IF(CG59=1,COUNTIF($CG$2:CG59,1),"")</f>
        <v>58</v>
      </c>
      <c r="GD59" s="207">
        <f>IF(CH59=1,COUNTIF($CH$2:CH59,1),"")</f>
        <v>58</v>
      </c>
      <c r="GE59" s="207">
        <f>IF(CI59=1,COUNTIF($CI$2:CI59,1),"")</f>
        <v>58</v>
      </c>
      <c r="GF59" s="207">
        <f>IF(CJ59=1,COUNTIF($CJ$2:CJ59,1),"")</f>
        <v>58</v>
      </c>
      <c r="GG59" s="207">
        <f>IF(CK59=1,COUNTIF($CK$2:CK59,1),"")</f>
        <v>58</v>
      </c>
      <c r="GH59" s="207">
        <f>IF(CL59=1,COUNTIF($CL$2:CL59,1),"")</f>
        <v>58</v>
      </c>
      <c r="GI59" s="207">
        <f>IF(CM59=1,COUNTIF($CM$2:CM59,1),"")</f>
        <v>58</v>
      </c>
      <c r="GJ59" s="207">
        <f>IF(CN59=1,COUNTIF($CN$2:CN59,1),"")</f>
        <v>58</v>
      </c>
      <c r="GK59" s="207">
        <f>IF(CO59=1,COUNTIF($CO$2:CO59,1),"")</f>
        <v>58</v>
      </c>
      <c r="GL59" s="207">
        <f>IF(CP59=1,COUNTIF($CP$2:CP59,1),"")</f>
        <v>58</v>
      </c>
      <c r="GM59" s="207">
        <f>IF(CQ59=1,COUNTIF($CQ$2:CQ59,1),"")</f>
        <v>58</v>
      </c>
      <c r="GN59" s="207">
        <f>IF(CR59=1,COUNTIF($CR$2:CR59,1),"")</f>
        <v>58</v>
      </c>
      <c r="GO59" s="207">
        <f>IF(CS59=1,COUNTIF($CS$2:CS59,1),"")</f>
        <v>58</v>
      </c>
      <c r="GP59" s="207">
        <f>IF(CT59=1,COUNTIF($CT$2:CT59,1),"")</f>
        <v>58</v>
      </c>
      <c r="GQ59" s="207">
        <f>IF(CU59=1,COUNTIF($CU$2:CU59,1),"")</f>
        <v>58</v>
      </c>
      <c r="GR59" s="207">
        <f>IF(CV59=1,COUNTIF($CV$2:CV59,1),"")</f>
        <v>58</v>
      </c>
      <c r="GS59" s="207">
        <f>IF(CW59=1,COUNTIF($CW$2:CW59,1),"")</f>
        <v>58</v>
      </c>
      <c r="GT59" s="207">
        <f>IF(CX59=1,COUNTIF($CX$2:CX59,1),"")</f>
        <v>58</v>
      </c>
      <c r="GU59" s="207">
        <f>IF(CY59=1,COUNTIF($CY$2:CY59,1),"")</f>
        <v>58</v>
      </c>
      <c r="GV59" s="207">
        <f>IF(CZ59=1,COUNTIF($CZ$2:CZ59,1),"")</f>
        <v>58</v>
      </c>
      <c r="GW59" s="207">
        <f>IF(DA59=1,COUNTIF($DA$2:DA59,1),"")</f>
        <v>58</v>
      </c>
      <c r="GX59" s="206" t="str">
        <f>IFERROR(INDEX($A$2:$A$113,MATCH(ROWS($DB$2:DB59),$DB$2:$DB$113,0)),"")</f>
        <v>SECUESTRO EXTORSIVO</v>
      </c>
      <c r="GY59" s="206" t="str">
        <f>IFERROR(INDEX($A$2:$A$113,MATCH(ROWS($DC$2:DC59),$DC$2:$DC$113,0)),"")</f>
        <v>SECUESTRO EXTORSIVO</v>
      </c>
      <c r="GZ59" s="206" t="str">
        <f>IFERROR(INDEX($A$2:$A$113,MATCH(ROWS($DD$2:DD59),$DD$2:$DD$113,0)),"")</f>
        <v>SECUESTRO EXTORSIVO</v>
      </c>
      <c r="HA59" s="206" t="str">
        <f>IFERROR(INDEX($A$2:$A$113,MATCH(ROWS($DE$2:DE59),$DE$2:$DE$113,0)),"")</f>
        <v>SECUESTRO EXTORSIVO</v>
      </c>
      <c r="HB59" s="206" t="str">
        <f>IFERROR(INDEX($A$2:$A$113,MATCH(ROWS($DF$2:DF59),$DF$2:$DF$113,0)),"")</f>
        <v>SECUESTRO EXTORSIVO</v>
      </c>
      <c r="HC59" s="206" t="str">
        <f>IFERROR(INDEX($A$2:$A$113,MATCH(ROWS($DG$2:DG59),$DG$2:$DG$113,0)),"")</f>
        <v>SECUESTRO EXTORSIVO</v>
      </c>
      <c r="HD59" s="206" t="str">
        <f>IFERROR(INDEX($A$2:$A$113,MATCH(ROWS($DH$2:DH59),$DH$2:$DH$113,0)),"")</f>
        <v>SECUESTRO EXTORSIVO</v>
      </c>
      <c r="HE59" s="206" t="str">
        <f>IFERROR(INDEX($A$2:$A$113,MATCH(ROWS($DI$2:DI59),$DI$2:$DI$113,0)),"")</f>
        <v>SECUESTRO EXTORSIVO</v>
      </c>
      <c r="HF59" s="206" t="str">
        <f>IFERROR(INDEX($A$2:$A$113,MATCH(ROWS($DJ$2:DJ59),$DJ$2:$DJ$113,0)),"")</f>
        <v>SECUESTRO EXTORSIVO</v>
      </c>
      <c r="HG59" s="206" t="str">
        <f>IFERROR(INDEX($A$2:$A$113,MATCH(ROWS($DK$2:DK59),$DK$2:$DK$113,0)),"")</f>
        <v>SECUESTRO EXTORSIVO</v>
      </c>
      <c r="HH59" s="206" t="str">
        <f>IFERROR(INDEX($A$2:$A$113,MATCH(ROWS($DL$2:DL59),$DL$2:$DL$113,0)),"")</f>
        <v>SECUESTRO EXTORSIVO</v>
      </c>
      <c r="HI59" s="206" t="str">
        <f>IFERROR(INDEX($A$2:$A$113,MATCH(ROWS($DM$2:DM59),$DM$2:$DM$113,0)),"")</f>
        <v>SECUESTRO EXTORSIVO</v>
      </c>
      <c r="HJ59" s="206" t="str">
        <f>IFERROR(INDEX($A$2:$A$113,MATCH(ROWS($DN$2:DN59),$DN$2:$DN$113,0)),"")</f>
        <v>SECUESTRO EXTORSIVO</v>
      </c>
      <c r="HK59" s="206" t="str">
        <f>IFERROR(INDEX($A$2:$A$113,MATCH(ROWS($DO$2:DO59),$DO$2:$DO$113,0)),"")</f>
        <v>SECUESTRO EXTORSIVO</v>
      </c>
      <c r="HL59" s="206" t="str">
        <f>IFERROR(INDEX($A$2:$A$113,MATCH(ROWS($DP$2:DP59),$DP$2:$DP$113,0)),"")</f>
        <v>SECUESTRO EXTORSIVO</v>
      </c>
      <c r="HM59" s="206" t="str">
        <f>IFERROR(INDEX($A$2:$A$113,MATCH(ROWS($DQ$2:DQ59),$DQ$2:$DQ$113,0)),"")</f>
        <v>SECUESTRO EXTORSIVO</v>
      </c>
      <c r="HN59" s="206" t="str">
        <f>IFERROR(INDEX($A$2:$A$113,MATCH(ROWS($DR$2:DR59),$DR$2:$DR$113,0)),"")</f>
        <v>SECUESTRO EXTORSIVO</v>
      </c>
      <c r="HO59" s="206" t="str">
        <f>IFERROR(INDEX($A$2:$A$113,MATCH(ROWS($DS$2:DS59),$DS$2:$DS$113,0)),"")</f>
        <v>SECUESTRO EXTORSIVO</v>
      </c>
      <c r="HP59" s="206" t="str">
        <f>IFERROR(INDEX($A$2:$A$113,MATCH(ROWS($DT$2:DT59),$DT$2:$DT$113,0)),"")</f>
        <v>SECUESTRO EXTORSIVO</v>
      </c>
      <c r="HQ59" s="206" t="str">
        <f>IFERROR(INDEX($A$2:$A$113,MATCH(ROWS($DU$2:DU59),$DU$2:$DU$113,0)),"")</f>
        <v>SECUESTRO EXTORSIVO</v>
      </c>
      <c r="HR59" s="206" t="str">
        <f>IFERROR(INDEX($A$2:$A$113,MATCH(ROWS($DV$2:DV59),$DV$2:$DV$113,0)),"")</f>
        <v>SECUESTRO EXTORSIVO</v>
      </c>
      <c r="HS59" s="206" t="str">
        <f>IFERROR(INDEX($A$2:$A$113,MATCH(ROWS($DW$2:DW59),$DW$2:$DW$113,0)),"")</f>
        <v>SECUESTRO EXTORSIVO</v>
      </c>
      <c r="HT59" s="206" t="str">
        <f>IFERROR(INDEX($A$2:$A$113,MATCH(ROWS($DX$2:DX59),$DX$2:$DX$113,0)),"")</f>
        <v>SECUESTRO EXTORSIVO</v>
      </c>
      <c r="HU59" s="206" t="str">
        <f>IFERROR(INDEX($A$2:$A$113,MATCH(ROWS($DY$2:DY59),$DY$2:$DY$113,0)),"")</f>
        <v>SECUESTRO EXTORSIVO</v>
      </c>
      <c r="HV59" s="206" t="str">
        <f>IFERROR(INDEX($A$2:$A$113,MATCH(ROWS($DZ$2:DZ59),$DZ$2:$DZ$113,0)),"")</f>
        <v>SECUESTRO EXTORSIVO</v>
      </c>
      <c r="HW59" s="206" t="str">
        <f>IFERROR(INDEX($A$2:$A$113,MATCH(ROWS($EA$2:EA59),$EA$2:$EA$113,0)),"")</f>
        <v>SECUESTRO EXTORSIVO</v>
      </c>
      <c r="HX59" s="206" t="str">
        <f>IFERROR(INDEX($A$2:$A$113,MATCH(ROWS($EB$2:EB59),$EB$2:$EB$113,0)),"")</f>
        <v>SECUESTRO EXTORSIVO</v>
      </c>
      <c r="HY59" s="206" t="str">
        <f>IFERROR(INDEX($A$2:$A$113,MATCH(ROWS($EC$2:EC59),$EC$2:$EC$113,0)),"")</f>
        <v>SECUESTRO EXTORSIVO</v>
      </c>
      <c r="HZ59" s="206" t="str">
        <f>IFERROR(INDEX($A$2:$A$113,MATCH(ROWS($ED$2:ED59),$ED$2:$ED$113,0)),"")</f>
        <v>SECUESTRO EXTORSIVO</v>
      </c>
      <c r="IA59" s="206" t="str">
        <f>IFERROR(INDEX($A$2:$A$113,MATCH(ROWS($EE$2:EE59),$EE$2:$EE$113,0)),"")</f>
        <v>SECUESTRO EXTORSIVO</v>
      </c>
      <c r="IB59" s="206" t="str">
        <f>IFERROR(INDEX($A$2:$A$113,MATCH(ROWS($EF$2:EF59),$EF$2:$EF$113,0)),"")</f>
        <v>SECUESTRO EXTORSIVO</v>
      </c>
      <c r="IC59" s="206" t="str">
        <f>IFERROR(INDEX($A$2:$A$113,MATCH(ROWS($EG$2:EG59),$EG$2:$EG$113,0)),"")</f>
        <v>SECUESTRO EXTORSIVO</v>
      </c>
      <c r="ID59" s="206" t="str">
        <f>IFERROR(INDEX($A$2:$A$113,MATCH(ROWS($EH$2:EH59),$EH$2:$EH$113,0)),"")</f>
        <v>SECUESTRO EXTORSIVO</v>
      </c>
      <c r="IE59" s="206" t="str">
        <f>IFERROR(INDEX($A$2:$A$113,MATCH(ROWS($EI$2:EI59),$EI$2:$EI$113,0)),"")</f>
        <v>SECUESTRO EXTORSIVO</v>
      </c>
      <c r="IF59" s="206" t="str">
        <f>IFERROR(INDEX($A$2:$A$113,MATCH(ROWS($EJ$2:EJ59),$EJ$2:$EJ$113,0)),"")</f>
        <v>SECUESTRO EXTORSIVO</v>
      </c>
      <c r="IG59" s="206" t="str">
        <f>IFERROR(INDEX($A$2:$A$113,MATCH(ROWS($EK$2:EK59),$EK$2:$EK$113,0)),"")</f>
        <v>SECUESTRO EXTORSIVO</v>
      </c>
      <c r="IH59" s="206" t="str">
        <f>IFERROR(INDEX($A$2:$A$113,MATCH(ROWS($EL$2:EL59),$EL$2:$EL$113,0)),"")</f>
        <v>SECUESTRO EXTORSIVO</v>
      </c>
      <c r="II59" s="206" t="str">
        <f>IFERROR(INDEX($A$2:$A$113,MATCH(ROWS($EM$2:EM59),$EM$2:$EM$113,0)),"")</f>
        <v>SECUESTRO EXTORSIVO</v>
      </c>
      <c r="IJ59" s="206" t="str">
        <f>IFERROR(INDEX($A$2:$A$113,MATCH(ROWS($EN$2:EN59),$EN$2:$EN$113,0)),"")</f>
        <v>SECUESTRO EXTORSIVO</v>
      </c>
      <c r="IK59" s="207" t="str">
        <f>IFERROR(INDEX($A$2:$A$113,MATCH(ROWS($EO$2:EO59),$EO$2:$EO$113,0)),"")</f>
        <v>SECUESTRO EXTORSIVO</v>
      </c>
      <c r="IL59" s="207" t="str">
        <f>IFERROR(INDEX($A$2:$A$113,MATCH(ROWS($EP$2:EP59),$EP$2:$EP$113,0)),"")</f>
        <v>SECUESTRO EXTORSIVO</v>
      </c>
      <c r="IM59" s="207" t="str">
        <f>IFERROR(INDEX($A$2:$A$113,MATCH(ROWS($EQ$2:EQ59),$EQ$2:$EQ$113,0)),"")</f>
        <v>SECUESTRO EXTORSIVO</v>
      </c>
      <c r="IN59" s="207" t="str">
        <f>IFERROR(INDEX($A$2:$A$113,MATCH(ROWS($ER$2:ER59),$ER$2:$ER$113,0)),"")</f>
        <v>SECUESTRO EXTORSIVO</v>
      </c>
      <c r="IO59" s="207" t="str">
        <f>IFERROR(INDEX($A$2:$A$113,MATCH(ROWS($ES$2:ES59),$ES$2:$ES$113,0)),"")</f>
        <v>SECUESTRO EXTORSIVO</v>
      </c>
      <c r="IP59" s="207" t="str">
        <f>IFERROR(INDEX($A$2:$A$113,MATCH(ROWS($ET$2:ET59),$ET$2:$ET$113,0)),"")</f>
        <v>SECUESTRO EXTORSIVO</v>
      </c>
      <c r="IQ59" s="207" t="str">
        <f>IFERROR(INDEX($A$2:$A$113,MATCH(ROWS($EU$2:EU59),$EU$2:$EU$113,0)),"")</f>
        <v>SECUESTRO EXTORSIVO</v>
      </c>
      <c r="IR59" s="207" t="str">
        <f>IFERROR(INDEX($A$2:$A$113,MATCH(ROWS($EV$2:EV59),$EV$2:$EV$113,0)),"")</f>
        <v>SECUESTRO EXTORSIVO</v>
      </c>
      <c r="IS59" s="207" t="str">
        <f>IFERROR(INDEX($A$2:$A$113,MATCH(ROWS($EW$2:EW59),$EW$2:$EW$113,0)),"")</f>
        <v>SECUESTRO EXTORSIVO</v>
      </c>
      <c r="IT59" s="207" t="str">
        <f>IFERROR(INDEX($A$2:$A$113,MATCH(ROWS($EX$2:EX59),$EX$2:$EX$113,0)),"")</f>
        <v>SECUESTRO EXTORSIVO</v>
      </c>
      <c r="IU59" s="207" t="str">
        <f>IFERROR(INDEX($A$2:$A$113,MATCH(ROWS($EY$2:EY59),$EY$2:$EY$113,0)),"")</f>
        <v>SECUESTRO EXTORSIVO</v>
      </c>
      <c r="IV59" s="207" t="str">
        <f>IFERROR(INDEX($A$2:$A$113,MATCH(ROWS($EZ$2:EZ59),$EZ$2:$EZ$113,0)),"")</f>
        <v>SECUESTRO EXTORSIVO</v>
      </c>
      <c r="IW59" s="207" t="str">
        <f>IFERROR(INDEX($A$2:$A$113,MATCH(ROWS($FA$2:FA59),$FA$2:$FA$113,0)),"")</f>
        <v>SECUESTRO EXTORSIVO</v>
      </c>
      <c r="IX59" s="207" t="str">
        <f>IFERROR(INDEX($A$2:$A$113,MATCH(ROWS($FB$2:FB59),$FB$2:$FB$113,0)),"")</f>
        <v>SECUESTRO EXTORSIVO</v>
      </c>
      <c r="IY59" s="207" t="str">
        <f>IFERROR(INDEX($A$2:$A$113,MATCH(ROWS($FC$2:FC59),$FC$2:$FC$113,0)),"")</f>
        <v>SECUESTRO EXTORSIVO</v>
      </c>
      <c r="IZ59" s="207" t="str">
        <f>IFERROR(INDEX($A$2:$A$113,MATCH(ROWS($FD$2:FD59),$FD$2:$FD$113,0)),"")</f>
        <v>SECUESTRO EXTORSIVO</v>
      </c>
      <c r="JA59" s="207" t="str">
        <f>IFERROR(INDEX($A$2:$A$113,MATCH(ROWS($FE$2:FE59),$FE$2:$FE$113,0)),"")</f>
        <v>SECUESTRO EXTORSIVO</v>
      </c>
      <c r="JB59" s="207" t="str">
        <f>IFERROR(INDEX($A$2:$A$113,MATCH(ROWS($FF$2:FF59),$FF$2:$FF$113,0)),"")</f>
        <v>SECUESTRO EXTORSIVO</v>
      </c>
      <c r="JC59" s="207" t="str">
        <f>IFERROR(INDEX($A$2:$A$113,MATCH(ROWS($FG$2:FG59),$FG$2:$FG$113,0)),"")</f>
        <v>SECUESTRO EXTORSIVO</v>
      </c>
      <c r="JD59" s="207" t="str">
        <f>IFERROR(INDEX($A$2:$A$113,MATCH(ROWS($FH$2:FH59),$FH$2:$FH$113,0)),"")</f>
        <v>SECUESTRO EXTORSIVO</v>
      </c>
      <c r="JE59" s="207" t="str">
        <f>IFERROR(INDEX($A$2:$A$113,MATCH(ROWS($FI$2:FI59),$FI$2:$FI$113,0)),"")</f>
        <v>SECUESTRO EXTORSIVO</v>
      </c>
      <c r="JF59" s="207" t="str">
        <f>IFERROR(INDEX($A$2:$A$113,MATCH(ROWS($FJ$2:FJ59),$FJ$2:$FJ$113,0)),"")</f>
        <v>SECUESTRO EXTORSIVO</v>
      </c>
      <c r="JG59" s="207" t="str">
        <f>IFERROR(INDEX($A$2:$A$113,MATCH(ROWS($FK$2:FK59),$FK$2:$FK$113,0)),"")</f>
        <v>SECUESTRO EXTORSIVO</v>
      </c>
      <c r="JH59" s="207" t="str">
        <f>IFERROR(INDEX($A$2:$A$113,MATCH(ROWS($FL$2:FL59),$FL$2:$FL$113,0)),"")</f>
        <v>SECUESTRO EXTORSIVO</v>
      </c>
      <c r="JI59" s="207" t="str">
        <f>IFERROR(INDEX($A$2:$A$113,MATCH(ROWS($FM$2:FM59),$FM$2:$FM$113,0)),"")</f>
        <v>SECUESTRO EXTORSIVO</v>
      </c>
      <c r="JJ59" s="207" t="str">
        <f>IFERROR(INDEX($A$2:$A$113,MATCH(ROWS($FN$2:FN59),$FN$2:$FN$113,0)),"")</f>
        <v>SECUESTRO EXTORSIVO</v>
      </c>
      <c r="JK59" s="207" t="str">
        <f>IFERROR(INDEX($A$2:$A$113,MATCH(ROWS($FO$2:FO59),$FO$2:$FO$113,0)),"")</f>
        <v>SECUESTRO EXTORSIVO</v>
      </c>
      <c r="JL59" s="207" t="str">
        <f>IFERROR(INDEX($A$2:$A$113,MATCH(ROWS($FP$2:FP59),$FP$2:$FP$113,0)),"")</f>
        <v>SECUESTRO EXTORSIVO</v>
      </c>
      <c r="JM59" s="207" t="str">
        <f>IFERROR(INDEX($A$2:$A$113,MATCH(ROWS($FQ$2:FQ59),$FQ$2:$FQ$113,0)),"")</f>
        <v>SECUESTRO EXTORSIVO</v>
      </c>
      <c r="JN59" s="207" t="str">
        <f>IFERROR(INDEX($A$2:$A$113,MATCH(ROWS($FR$2:FR59),$FR$2:$FR$113,0)),"")</f>
        <v>SECUESTRO EXTORSIVO</v>
      </c>
      <c r="JO59" s="207" t="str">
        <f>IFERROR(INDEX($A$2:$A$113,MATCH(ROWS($FS$2:FS59),$FS$2:$FS$113,0)),"")</f>
        <v>SECUESTRO EXTORSIVO</v>
      </c>
      <c r="JP59" s="207" t="str">
        <f>IFERROR(INDEX($A$2:$A$113,MATCH(ROWS($FT$2:FT59),$FT$2:$FT$113,0)),"")</f>
        <v>SECUESTRO EXTORSIVO</v>
      </c>
      <c r="JQ59" s="207" t="str">
        <f>IFERROR(INDEX($A$2:$A$113,MATCH(ROWS($FU$2:FU59),$FU$2:$FU$113,0)),"")</f>
        <v>SECUESTRO EXTORSIVO</v>
      </c>
      <c r="JR59" s="207" t="str">
        <f>IFERROR(INDEX($A$2:$A$113,MATCH(ROWS($FV$2:FV59),$FV$2:$FV$113,0)),"")</f>
        <v>SECUESTRO EXTORSIVO</v>
      </c>
      <c r="JS59" s="207" t="str">
        <f>IFERROR(INDEX($A$2:$A$113,MATCH(ROWS($FW$2:FW59),$FW$2:$FW$113,0)),"")</f>
        <v>SECUESTRO EXTORSIVO</v>
      </c>
      <c r="JT59" s="207" t="str">
        <f>IFERROR(INDEX($A$2:$A$113,MATCH(ROWS($FX$2:FX59),$FX$2:$FX$113,0)),"")</f>
        <v>SECUESTRO EXTORSIVO</v>
      </c>
      <c r="JU59" s="207" t="str">
        <f>IFERROR(INDEX($A$2:$A$113,MATCH(ROWS($FY$2:FY59),$FY$2:$FY$113,0)),"")</f>
        <v>SECUESTRO EXTORSIVO</v>
      </c>
      <c r="JV59" s="207" t="str">
        <f>IFERROR(INDEX($A$2:$A$113,MATCH(ROWS($FZ$2:FZ59),$FZ$2:$FZ$113,0)),"")</f>
        <v>SECUESTRO EXTORSIVO</v>
      </c>
      <c r="JW59" s="207" t="str">
        <f>IFERROR(INDEX($A$2:$A$113,MATCH(ROWS($GA$2:GA59),$GA$2:$GA$113,0)),"")</f>
        <v>SECUESTRO EXTORSIVO</v>
      </c>
      <c r="JX59" s="207" t="str">
        <f>IFERROR(INDEX($A$2:$A$113,MATCH(ROWS($GB$2:GB59),$GB$2:$GB$113,0)),"")</f>
        <v>SECUESTRO EXTORSIVO</v>
      </c>
      <c r="JY59" s="207" t="str">
        <f>IFERROR(INDEX($A$2:$A$113,MATCH(ROWS($GC$2:GC59),$GC$2:$GC$113,0)),"")</f>
        <v>SECUESTRO EXTORSIVO</v>
      </c>
      <c r="JZ59" s="207" t="str">
        <f>IFERROR(INDEX($A$2:$A$113,MATCH(ROWS($GD$2:GD59),$GD$2:$GD$113,0)),"")</f>
        <v>SECUESTRO EXTORSIVO</v>
      </c>
      <c r="KA59" s="207" t="str">
        <f>IFERROR(INDEX($A$2:$A$113,MATCH(ROWS($GE$2:GE59),$GE$2:$GE$113,0)),"")</f>
        <v>SECUESTRO EXTORSIVO</v>
      </c>
      <c r="KB59" s="207" t="str">
        <f>IFERROR(INDEX($A$2:$A$113,MATCH(ROWS($GF$2:GF59),$GF$2:$GF$113,0)),"")</f>
        <v>SECUESTRO EXTORSIVO</v>
      </c>
      <c r="KC59" s="207" t="str">
        <f>IFERROR(INDEX($A$2:$A$113,MATCH(ROWS($GG$2:GG59),$GG$2:$GG$113,0)),"")</f>
        <v>SECUESTRO EXTORSIVO</v>
      </c>
      <c r="KD59" s="207" t="str">
        <f>IFERROR(INDEX($A$2:$A$113,MATCH(ROWS($GH$2:GH59),$GH$2:$GH$113,0)),"")</f>
        <v>SECUESTRO EXTORSIVO</v>
      </c>
      <c r="KE59" s="207" t="str">
        <f>IFERROR(INDEX($A$2:$A$113,MATCH(ROWS($GI$2:GI59),$GI$2:$GI$113,0)),"")</f>
        <v>SECUESTRO EXTORSIVO</v>
      </c>
      <c r="KF59" s="207" t="str">
        <f>IFERROR(INDEX($A$2:$A$113,MATCH(ROWS($GJ$2:GJ59),$GJ$2:$GJ$113,0)),"")</f>
        <v>SECUESTRO EXTORSIVO</v>
      </c>
      <c r="KG59" s="207" t="str">
        <f>IFERROR(INDEX($A$2:$A$113,MATCH(ROWS($GK$2:GK59),$GK$2:$GK$113,0)),"")</f>
        <v>SECUESTRO EXTORSIVO</v>
      </c>
      <c r="KH59" s="207" t="str">
        <f>IFERROR(INDEX($A$2:$A$113,MATCH(ROWS($GL$2:GL59),$GL$2:$GL$113,0)),"")</f>
        <v>SECUESTRO EXTORSIVO</v>
      </c>
      <c r="KI59" s="207" t="str">
        <f>IFERROR(INDEX($A$2:$A$113,MATCH(ROWS($GM$2:GM59),$GM$2:$GM$113,0)),"")</f>
        <v>SECUESTRO EXTORSIVO</v>
      </c>
      <c r="KJ59" s="207" t="str">
        <f>IFERROR(INDEX($A$2:$A$113,MATCH(ROWS($GN$2:GN59),$GN$2:$GN$113,0)),"")</f>
        <v>SECUESTRO EXTORSIVO</v>
      </c>
      <c r="KK59" s="207" t="str">
        <f>IFERROR(INDEX($A$2:$A$113,MATCH(ROWS($GO$2:GO59),$GO$2:$GO$113,0)),"")</f>
        <v>SECUESTRO EXTORSIVO</v>
      </c>
      <c r="KL59" s="207" t="str">
        <f>IFERROR(INDEX($A$2:$A$113,MATCH(ROWS($GP$2:GP59),$GP$2:$GP$113,0)),"")</f>
        <v>SECUESTRO EXTORSIVO</v>
      </c>
      <c r="KM59" s="207" t="str">
        <f>IFERROR(INDEX($A$2:$A$113,MATCH(ROWS($GQ$2:GQ59),$GQ$2:$GQ$113,0)),"")</f>
        <v>SECUESTRO EXTORSIVO</v>
      </c>
      <c r="KN59" s="207" t="str">
        <f>IFERROR(INDEX($A$2:$A$113,MATCH(ROWS($GR$2:GR59),$GR$2:$GR$113,0)),"")</f>
        <v>SECUESTRO EXTORSIVO</v>
      </c>
      <c r="KO59" s="207" t="str">
        <f>IFERROR(INDEX($A$2:$A$113,MATCH(ROWS($GS$2:GS59),$GS$2:$GS$113,0)),"")</f>
        <v>SECUESTRO EXTORSIVO</v>
      </c>
      <c r="KP59" s="207" t="str">
        <f>IFERROR(INDEX($A$2:$A$113,MATCH(ROWS($GT$2:GT59),$GT$2:$GT$113,0)),"")</f>
        <v>SECUESTRO EXTORSIVO</v>
      </c>
      <c r="KQ59" s="207" t="str">
        <f>IFERROR(INDEX($A$2:$A$113,MATCH(ROWS($GU$2:GU59),$GU$2:$GU$113,0)),"")</f>
        <v>SECUESTRO EXTORSIVO</v>
      </c>
      <c r="KR59" s="207" t="str">
        <f>IFERROR(INDEX($A$2:$A$113,MATCH(ROWS($GV$2:GV59),$GV$2:$GV$113,0)),"")</f>
        <v>SECUESTRO EXTORSIVO</v>
      </c>
      <c r="KS59" s="207" t="str">
        <f>IFERROR(INDEX($A$2:$A$113,MATCH(ROWS($GW$2:GW59),$GW$2:$GW$113,0)),"")</f>
        <v>SECUESTRO EXTORSIVO</v>
      </c>
    </row>
    <row r="60" spans="1:305" x14ac:dyDescent="0.25">
      <c r="A60" s="206" t="s">
        <v>1161</v>
      </c>
      <c r="B60" s="206" t="s">
        <v>1090</v>
      </c>
      <c r="D60" s="206" t="s">
        <v>97</v>
      </c>
      <c r="E60" s="206" t="s">
        <v>507</v>
      </c>
      <c r="F60" s="207">
        <f>--ISNUMBER(IFERROR(SEARCH('PLANILLA DJ'!$X$3,$A60,1),""))</f>
        <v>1</v>
      </c>
      <c r="G60" s="207">
        <f>--ISNUMBER(IFERROR(SEARCH('PLANILLA DJ'!$X$4,$A60,1),""))</f>
        <v>1</v>
      </c>
      <c r="H60" s="207">
        <f>--ISNUMBER(IFERROR(SEARCH('PLANILLA DJ'!$X$5,$A60,1),""))</f>
        <v>1</v>
      </c>
      <c r="I60" s="207">
        <f>--ISNUMBER(IFERROR(SEARCH('PLANILLA DJ'!$X$6,$A60,1),""))</f>
        <v>1</v>
      </c>
      <c r="J60" s="207">
        <f>--ISNUMBER(IFERROR(SEARCH('PLANILLA DJ'!$X$7,$A60,1),""))</f>
        <v>1</v>
      </c>
      <c r="K60" s="207">
        <f>--ISNUMBER(IFERROR(SEARCH('PLANILLA DJ'!$X$8,$A60,1),""))</f>
        <v>1</v>
      </c>
      <c r="L60" s="207">
        <f>--ISNUMBER(IFERROR(SEARCH('PLANILLA DJ'!$X$9,$A60,1),""))</f>
        <v>1</v>
      </c>
      <c r="M60" s="207">
        <f>--ISNUMBER(IFERROR(SEARCH('PLANILLA DJ'!$X$10,$A60,1),""))</f>
        <v>1</v>
      </c>
      <c r="N60" s="207">
        <f>--ISNUMBER(IFERROR(SEARCH('PLANILLA DJ'!$X$11,$A60,1),""))</f>
        <v>1</v>
      </c>
      <c r="O60" s="207">
        <f>--ISNUMBER(IFERROR(SEARCH('PLANILLA DJ'!$X$12,$A60,1),""))</f>
        <v>1</v>
      </c>
      <c r="P60" s="207">
        <f>--ISNUMBER(IFERROR(SEARCH('PLANILLA DJ'!$X$13,$A60,1),""))</f>
        <v>1</v>
      </c>
      <c r="Q60" s="207">
        <f>--ISNUMBER(IFERROR(SEARCH('PLANILLA DJ'!$X$14,$A60,1),""))</f>
        <v>1</v>
      </c>
      <c r="R60" s="207">
        <f>--ISNUMBER(IFERROR(SEARCH('PLANILLA DJ'!$X$15,$A60,1),""))</f>
        <v>1</v>
      </c>
      <c r="S60" s="207">
        <f>--ISNUMBER(IFERROR(SEARCH('PLANILLA DJ'!$X$16,$A60,1),""))</f>
        <v>1</v>
      </c>
      <c r="T60" s="207">
        <f>--ISNUMBER(IFERROR(SEARCH('PLANILLA DJ'!$X$17,$A60,1),""))</f>
        <v>1</v>
      </c>
      <c r="U60" s="207">
        <f>--ISNUMBER(IFERROR(SEARCH('PLANILLA DJ'!$X$18,$A60,1),""))</f>
        <v>1</v>
      </c>
      <c r="V60" s="207">
        <f>--ISNUMBER(IFERROR(SEARCH('PLANILLA DJ'!$X$19,$A60,1),""))</f>
        <v>1</v>
      </c>
      <c r="W60" s="207">
        <f>--ISNUMBER(IFERROR(SEARCH('PLANILLA DJ'!$X$20,$A60,1),""))</f>
        <v>1</v>
      </c>
      <c r="X60" s="207">
        <f>--ISNUMBER(IFERROR(SEARCH('PLANILLA DJ'!$X$21,$A60,1),""))</f>
        <v>1</v>
      </c>
      <c r="Y60" s="207">
        <f>--ISNUMBER(IFERROR(SEARCH('PLANILLA DJ'!$X$22,$A60,1),""))</f>
        <v>1</v>
      </c>
      <c r="Z60" s="207">
        <f>--ISNUMBER(IFERROR(SEARCH('PLANILLA DJ'!$X$23,$A60,1),""))</f>
        <v>1</v>
      </c>
      <c r="AA60" s="207">
        <f>--ISNUMBER(IFERROR(SEARCH('PLANILLA DJ'!$X$24,$A60,1),""))</f>
        <v>1</v>
      </c>
      <c r="AB60" s="207">
        <f>--ISNUMBER(IFERROR(SEARCH('PLANILLA DJ'!$X$25,$A60,1),""))</f>
        <v>1</v>
      </c>
      <c r="AC60" s="207">
        <f>--ISNUMBER(IFERROR(SEARCH('PLANILLA DJ'!$X$26,$A60,1),""))</f>
        <v>1</v>
      </c>
      <c r="AD60" s="207">
        <f>--ISNUMBER(IFERROR(SEARCH('PLANILLA DJ'!$X$27,$A60,1),""))</f>
        <v>1</v>
      </c>
      <c r="AE60" s="207">
        <f>--ISNUMBER(IFERROR(SEARCH('PLANILLA DJ'!$X$28,$A60,1),""))</f>
        <v>1</v>
      </c>
      <c r="AF60" s="207">
        <f>--ISNUMBER(IFERROR(SEARCH('PLANILLA DJ'!$X$29,$A60,1),""))</f>
        <v>1</v>
      </c>
      <c r="AG60" s="207">
        <f>--ISNUMBER(IFERROR(SEARCH('PLANILLA DJ'!$X$30,$A60,1),""))</f>
        <v>1</v>
      </c>
      <c r="AH60" s="207">
        <f>--ISNUMBER(IFERROR(SEARCH('PLANILLA DJ'!$X$31,$A60,1),""))</f>
        <v>1</v>
      </c>
      <c r="AI60" s="207">
        <f>--ISNUMBER(IFERROR(SEARCH('PLANILLA DJ'!$X$32,$A60,1),""))</f>
        <v>1</v>
      </c>
      <c r="AJ60" s="207">
        <f>--ISNUMBER(IFERROR(SEARCH('PLANILLA DJ'!$X$33,$A60,1),""))</f>
        <v>1</v>
      </c>
      <c r="AK60" s="207">
        <f>--ISNUMBER(IFERROR(SEARCH('PLANILLA DJ'!$X$34,$A60,1),""))</f>
        <v>1</v>
      </c>
      <c r="AL60" s="207">
        <f>--ISNUMBER(IFERROR(SEARCH('PLANILLA DJ'!$X$35,$A60,1),""))</f>
        <v>1</v>
      </c>
      <c r="AM60" s="207">
        <f>--ISNUMBER(IFERROR(SEARCH('PLANILLA DJ'!$X$36,$A60,1),""))</f>
        <v>1</v>
      </c>
      <c r="AN60" s="207">
        <f>--ISNUMBER(IFERROR(SEARCH('PLANILLA DJ'!$X$37,$A60,1),""))</f>
        <v>1</v>
      </c>
      <c r="AO60" s="207">
        <f>--ISNUMBER(IFERROR(SEARCH('PLANILLA DJ'!$X$38,$A60,1),""))</f>
        <v>1</v>
      </c>
      <c r="AP60" s="207">
        <f>--ISNUMBER(IFERROR(SEARCH('PLANILLA DJ'!$X$39,$A60,1),""))</f>
        <v>1</v>
      </c>
      <c r="AQ60" s="207">
        <f>--ISNUMBER(IFERROR(SEARCH('PLANILLA DJ'!$X$40,$A60,1),""))</f>
        <v>1</v>
      </c>
      <c r="AR60" s="207">
        <f>--ISNUMBER(IFERROR(SEARCH('PLANILLA DJ'!$X$41,$A60,1),""))</f>
        <v>1</v>
      </c>
      <c r="AS60" s="207">
        <f>--ISNUMBER(IFERROR(SEARCH('PLANILLA DJ'!$X$42,$A60,1),""))</f>
        <v>1</v>
      </c>
      <c r="AT60" s="207">
        <f>--ISNUMBER(IFERROR(SEARCH('PLANILLA DJ'!$X$43,$A60,1),""))</f>
        <v>1</v>
      </c>
      <c r="AU60" s="207">
        <f>--ISNUMBER(IFERROR(SEARCH('PLANILLA DJ'!$X$44,$A60,1),""))</f>
        <v>1</v>
      </c>
      <c r="AV60" s="207">
        <f>--ISNUMBER(IFERROR(SEARCH('PLANILLA DJ'!$X$45,$A60,1),""))</f>
        <v>1</v>
      </c>
      <c r="AW60" s="207">
        <f>--ISNUMBER(IFERROR(SEARCH('PLANILLA DJ'!$X$46,$A60,1),""))</f>
        <v>1</v>
      </c>
      <c r="AX60" s="207">
        <f>--ISNUMBER(IFERROR(SEARCH('PLANILLA DJ'!$X$47,$A60,1),""))</f>
        <v>1</v>
      </c>
      <c r="AY60" s="207">
        <f>--ISNUMBER(IFERROR(SEARCH('PLANILLA DJ'!$X$48,$A60,1),""))</f>
        <v>1</v>
      </c>
      <c r="AZ60" s="207">
        <f>--ISNUMBER(IFERROR(SEARCH('PLANILLA DJ'!$X$49,$A60,1),""))</f>
        <v>1</v>
      </c>
      <c r="BA60" s="207">
        <f>--ISNUMBER(IFERROR(SEARCH('PLANILLA DJ'!$X$50,$A60,1),""))</f>
        <v>1</v>
      </c>
      <c r="BB60" s="207">
        <f>--ISNUMBER(IFERROR(SEARCH('PLANILLA DJ'!$X$51,$A60,1),""))</f>
        <v>1</v>
      </c>
      <c r="BC60" s="207">
        <f>--ISNUMBER(IFERROR(SEARCH('PLANILLA DJ'!$X$52,$A60,1),""))</f>
        <v>1</v>
      </c>
      <c r="BD60" s="207">
        <f>--ISNUMBER(IFERROR(SEARCH('PLANILLA DJ'!$X$53,$A60,1),""))</f>
        <v>1</v>
      </c>
      <c r="BE60" s="207">
        <f>--ISNUMBER(IFERROR(SEARCH('PLANILLA DJ'!$X$54,$A60,1),""))</f>
        <v>1</v>
      </c>
      <c r="BF60" s="207">
        <f>--ISNUMBER(IFERROR(SEARCH('PLANILLA DJ'!$X$55,$A60,1),""))</f>
        <v>1</v>
      </c>
      <c r="BG60" s="207">
        <f>--ISNUMBER(IFERROR(SEARCH('PLANILLA DJ'!$X$56,$A60,1),""))</f>
        <v>1</v>
      </c>
      <c r="BH60" s="207">
        <f>--ISNUMBER(IFERROR(SEARCH('PLANILLA DJ'!$X$57,$A60,1),""))</f>
        <v>1</v>
      </c>
      <c r="BI60" s="207">
        <f>--ISNUMBER(IFERROR(SEARCH('PLANILLA DJ'!$X$58,$A60,1),""))</f>
        <v>1</v>
      </c>
      <c r="BJ60" s="207">
        <f>--ISNUMBER(IFERROR(SEARCH('PLANILLA DJ'!$X$59,$A60,1),""))</f>
        <v>1</v>
      </c>
      <c r="BK60" s="207">
        <f>--ISNUMBER(IFERROR(SEARCH('PLANILLA DJ'!$X$60,$A60,1),""))</f>
        <v>1</v>
      </c>
      <c r="BL60" s="207">
        <f>--ISNUMBER(IFERROR(SEARCH('PLANILLA DJ'!$X$61,$A60,1),""))</f>
        <v>1</v>
      </c>
      <c r="BM60" s="207">
        <f>--ISNUMBER(IFERROR(SEARCH('PLANILLA DJ'!$X$62,$A60,1),""))</f>
        <v>1</v>
      </c>
      <c r="BN60" s="207">
        <f>--ISNUMBER(IFERROR(SEARCH('PLANILLA DJ'!$X$63,$A60,1),""))</f>
        <v>1</v>
      </c>
      <c r="BO60" s="207">
        <f>--ISNUMBER(IFERROR(SEARCH('PLANILLA DJ'!$X$64,$A60,1),""))</f>
        <v>1</v>
      </c>
      <c r="BP60" s="207">
        <f>--ISNUMBER(IFERROR(SEARCH('PLANILLA DJ'!$X$65,$A60,1),""))</f>
        <v>1</v>
      </c>
      <c r="BQ60" s="207">
        <f>--ISNUMBER(IFERROR(SEARCH('PLANILLA DJ'!$X$66,$A60,1),""))</f>
        <v>1</v>
      </c>
      <c r="BR60" s="207">
        <f>--ISNUMBER(IFERROR(SEARCH('PLANILLA DJ'!$X$67,$A60,1),""))</f>
        <v>1</v>
      </c>
      <c r="BS60" s="207">
        <f>--ISNUMBER(IFERROR(SEARCH('PLANILLA DJ'!$X$68,$A60,1),""))</f>
        <v>1</v>
      </c>
      <c r="BT60" s="207">
        <f>--ISNUMBER(IFERROR(SEARCH('PLANILLA DJ'!$X$69,$A60,1),""))</f>
        <v>1</v>
      </c>
      <c r="BU60" s="207">
        <f>--ISNUMBER(IFERROR(SEARCH('PLANILLA DJ'!$X$70,$A60,1),""))</f>
        <v>1</v>
      </c>
      <c r="BV60" s="207">
        <f>--ISNUMBER(IFERROR(SEARCH('PLANILLA DJ'!$X$71,$A60,1),""))</f>
        <v>1</v>
      </c>
      <c r="BW60" s="207">
        <f>--ISNUMBER(IFERROR(SEARCH('PLANILLA DJ'!$X$72,$A60,1),""))</f>
        <v>1</v>
      </c>
      <c r="BX60" s="207">
        <f>--ISNUMBER(IFERROR(SEARCH('PLANILLA DJ'!$X$73,$A60,1),""))</f>
        <v>1</v>
      </c>
      <c r="BY60" s="207">
        <f>--ISNUMBER(IFERROR(SEARCH('PLANILLA DJ'!$X$74,$A60,1),""))</f>
        <v>1</v>
      </c>
      <c r="BZ60" s="207">
        <f>--ISNUMBER(IFERROR(SEARCH('PLANILLA DJ'!$X$75,$A60,1),""))</f>
        <v>1</v>
      </c>
      <c r="CA60" s="207">
        <f>--ISNUMBER(IFERROR(SEARCH('PLANILLA DJ'!$X$76,$A60,1),""))</f>
        <v>1</v>
      </c>
      <c r="CB60" s="207">
        <f>--ISNUMBER(IFERROR(SEARCH('PLANILLA DJ'!$X$77,$A60,1),""))</f>
        <v>1</v>
      </c>
      <c r="CC60" s="207">
        <f>--ISNUMBER(IFERROR(SEARCH('PLANILLA DJ'!$X$78,$A60,1),""))</f>
        <v>1</v>
      </c>
      <c r="CD60" s="207">
        <f>--ISNUMBER(IFERROR(SEARCH('PLANILLA DJ'!$X$79,$A60,1),""))</f>
        <v>1</v>
      </c>
      <c r="CE60" s="207">
        <f>--ISNUMBER(IFERROR(SEARCH('PLANILLA DJ'!$X$80,$A60,1),""))</f>
        <v>1</v>
      </c>
      <c r="CF60" s="207">
        <f>--ISNUMBER(IFERROR(SEARCH('PLANILLA DJ'!$X$81,$A60,1),""))</f>
        <v>1</v>
      </c>
      <c r="CG60" s="207">
        <f>--ISNUMBER(IFERROR(SEARCH('PLANILLA DJ'!$X$82,$A60,1),""))</f>
        <v>1</v>
      </c>
      <c r="CH60" s="207">
        <f>--ISNUMBER(IFERROR(SEARCH('PLANILLA DJ'!$X$83,$A60,1),""))</f>
        <v>1</v>
      </c>
      <c r="CI60" s="207">
        <f>--ISNUMBER(IFERROR(SEARCH('PLANILLA DJ'!$X$84,$A60,1),""))</f>
        <v>1</v>
      </c>
      <c r="CJ60" s="207">
        <f>--ISNUMBER(IFERROR(SEARCH('PLANILLA DJ'!$X$85,$A60,1),""))</f>
        <v>1</v>
      </c>
      <c r="CK60" s="207">
        <f>--ISNUMBER(IFERROR(SEARCH('PLANILLA DJ'!$X$86,$A60,1),""))</f>
        <v>1</v>
      </c>
      <c r="CL60" s="207">
        <f>--ISNUMBER(IFERROR(SEARCH('PLANILLA DJ'!$X$87,$A60,1),""))</f>
        <v>1</v>
      </c>
      <c r="CM60" s="207">
        <f>--ISNUMBER(IFERROR(SEARCH('PLANILLA DJ'!$X$88,$A60,1),""))</f>
        <v>1</v>
      </c>
      <c r="CN60" s="207">
        <f>--ISNUMBER(IFERROR(SEARCH('PLANILLA DJ'!$X$89,$A60,1),""))</f>
        <v>1</v>
      </c>
      <c r="CO60" s="207">
        <f>--ISNUMBER(IFERROR(SEARCH('PLANILLA DJ'!$X$90,$A60,1),""))</f>
        <v>1</v>
      </c>
      <c r="CP60" s="207">
        <f>--ISNUMBER(IFERROR(SEARCH('PLANILLA DJ'!$X$91,$A60,1),""))</f>
        <v>1</v>
      </c>
      <c r="CQ60" s="207">
        <f>--ISNUMBER(IFERROR(SEARCH('PLANILLA DJ'!$X$92,$A60,1),""))</f>
        <v>1</v>
      </c>
      <c r="CR60" s="207">
        <f>--ISNUMBER(IFERROR(SEARCH('PLANILLA DJ'!$X$93,$A60,1),""))</f>
        <v>1</v>
      </c>
      <c r="CS60" s="207">
        <f>--ISNUMBER(IFERROR(SEARCH('PLANILLA DJ'!$X$94,$A60,1),""))</f>
        <v>1</v>
      </c>
      <c r="CT60" s="207">
        <f>--ISNUMBER(IFERROR(SEARCH('PLANILLA DJ'!$X$95,$A60,1),""))</f>
        <v>1</v>
      </c>
      <c r="CU60" s="207">
        <f>--ISNUMBER(IFERROR(SEARCH('PLANILLA DJ'!$X$96,$A60,1),""))</f>
        <v>1</v>
      </c>
      <c r="CV60" s="207">
        <f>--ISNUMBER(IFERROR(SEARCH('PLANILLA DJ'!$X$97,$A60,1),""))</f>
        <v>1</v>
      </c>
      <c r="CW60" s="207">
        <f>--ISNUMBER(IFERROR(SEARCH('PLANILLA DJ'!$X$98,$A60,1),""))</f>
        <v>1</v>
      </c>
      <c r="CX60" s="207">
        <f>--ISNUMBER(IFERROR(SEARCH('PLANILLA DJ'!$X$99,$A60,1),""))</f>
        <v>1</v>
      </c>
      <c r="CY60" s="207">
        <f>--ISNUMBER(IFERROR(SEARCH('PLANILLA DJ'!$X$100,$A60,1),""))</f>
        <v>1</v>
      </c>
      <c r="CZ60" s="207">
        <f>--ISNUMBER(IFERROR(SEARCH('PLANILLA DJ'!$X$101,$A60,1),""))</f>
        <v>1</v>
      </c>
      <c r="DA60" s="207">
        <f>--ISNUMBER(IFERROR(SEARCH('PLANILLA DJ'!$X$102,$A60,1),""))</f>
        <v>1</v>
      </c>
      <c r="DB60" s="206">
        <f>IF(F60=1,COUNTIF($F$2:F60,1),"")</f>
        <v>59</v>
      </c>
      <c r="DC60" s="206">
        <f>IF(G60=1,COUNTIF($G$2:G60,1),"")</f>
        <v>59</v>
      </c>
      <c r="DD60" s="206">
        <f>IF(H60=1,COUNTIF($H$2:H60,1),"")</f>
        <v>59</v>
      </c>
      <c r="DE60" s="206">
        <f>IF(I60=1,COUNTIF($I$2:I60,1),"")</f>
        <v>59</v>
      </c>
      <c r="DF60" s="206">
        <f>IF(J60=1,COUNTIF($J$2:J60,1),"")</f>
        <v>59</v>
      </c>
      <c r="DG60" s="206">
        <f>IF(K60=1,COUNTIF($K$2:K60,1),"")</f>
        <v>59</v>
      </c>
      <c r="DH60" s="206">
        <f>IF(L60=1,COUNTIF($L$2:L60,1),"")</f>
        <v>59</v>
      </c>
      <c r="DI60" s="206">
        <f>IF(M60=1,COUNTIF($M$2:M60,1),"")</f>
        <v>59</v>
      </c>
      <c r="DJ60" s="206">
        <f>IF(N60=1,COUNTIF($N$2:N60,1),"")</f>
        <v>59</v>
      </c>
      <c r="DK60" s="206">
        <f>IF(O60=1,COUNTIF($O$2:O60,1),"")</f>
        <v>59</v>
      </c>
      <c r="DL60" s="206">
        <f>IF(P60=1,COUNTIF($P$2:P60,1),"")</f>
        <v>59</v>
      </c>
      <c r="DM60" s="206">
        <f>IF(Q60=1,COUNTIF($Q$2:Q60,1),"")</f>
        <v>59</v>
      </c>
      <c r="DN60" s="207">
        <f>IF(R60=1,COUNTIF($R$2:R60,1),"")</f>
        <v>59</v>
      </c>
      <c r="DO60" s="207">
        <f>IF(S60=1,COUNTIF($S$2:S60,1),"")</f>
        <v>59</v>
      </c>
      <c r="DP60" s="207">
        <f>IF(T60=1,COUNTIF($T$2:T60,1),"")</f>
        <v>59</v>
      </c>
      <c r="DQ60" s="207">
        <f>IF(U60=1,COUNTIF($U$2:U60,1),"")</f>
        <v>59</v>
      </c>
      <c r="DR60" s="207">
        <f>IF(V60=1,COUNTIF($V$2:V60,1),"")</f>
        <v>59</v>
      </c>
      <c r="DS60" s="207">
        <f>IF(W60=1,COUNTIF($W$2:W60,1),"")</f>
        <v>59</v>
      </c>
      <c r="DT60" s="207">
        <f>IF(X60=1,COUNTIF($X$2:X60,1),"")</f>
        <v>59</v>
      </c>
      <c r="DU60" s="207">
        <f>IF(Y60=1,COUNTIF($Y$2:Y60,1),"")</f>
        <v>59</v>
      </c>
      <c r="DV60" s="207">
        <f>IF(Z60=1,COUNTIF(Z$2:Z60,1),"")</f>
        <v>59</v>
      </c>
      <c r="DW60" s="207">
        <f>IF(AA60=1,COUNTIF($AA$2:AA60,1),"")</f>
        <v>59</v>
      </c>
      <c r="DX60" s="207">
        <f>IF(AB60=1,COUNTIF($AB$2:AB60,1),"")</f>
        <v>59</v>
      </c>
      <c r="DY60" s="207">
        <f>IF(AC60=1,COUNTIF($AC$2:AC60,1),"")</f>
        <v>59</v>
      </c>
      <c r="DZ60" s="207">
        <f>IF(AD60=1,COUNTIF($AD$2:AD60,1),"")</f>
        <v>59</v>
      </c>
      <c r="EA60" s="207">
        <f>IF(AE60=1,COUNTIF($AE$2:AE60,1),"")</f>
        <v>59</v>
      </c>
      <c r="EB60" s="207">
        <f>IF(AF60=1,COUNTIF($AF$2:AF60,1),"")</f>
        <v>59</v>
      </c>
      <c r="EC60" s="207">
        <f>IF(AG60=1,COUNTIF($AG$2:AG60,1),"")</f>
        <v>59</v>
      </c>
      <c r="ED60" s="207">
        <f>IF(AH60=1,COUNTIF($AH$2:AH60,1),"")</f>
        <v>59</v>
      </c>
      <c r="EE60" s="207">
        <f>IF(AI60=1,COUNTIF($AI$2:AI60,1),"")</f>
        <v>59</v>
      </c>
      <c r="EF60" s="207">
        <f>IF(AJ60=1,COUNTIF($AJ$2:AJ60,1),"")</f>
        <v>59</v>
      </c>
      <c r="EG60" s="207">
        <f>IF(AK60=1,COUNTIF($AK$2:AK60,1),"")</f>
        <v>59</v>
      </c>
      <c r="EH60" s="207">
        <f>IF(AL60=1,COUNTIF($AL$2:AL60,1),"")</f>
        <v>59</v>
      </c>
      <c r="EI60" s="207">
        <f>IF(AM60=1,COUNTIF($AM$2:AM60,1),"")</f>
        <v>59</v>
      </c>
      <c r="EJ60" s="207">
        <f>IF(AN60=1,COUNTIF($AN$2:AN60,1),"")</f>
        <v>59</v>
      </c>
      <c r="EK60" s="207">
        <f>IF(AO60=1,COUNTIF($AO$2:AO60,1),"")</f>
        <v>59</v>
      </c>
      <c r="EL60" s="207">
        <f>IF(AP60=1,COUNTIF($AP$2:AP60,1),"")</f>
        <v>59</v>
      </c>
      <c r="EM60" s="207">
        <f>IF(AQ60=1,COUNTIF($AQ$2:AQ60,1),"")</f>
        <v>59</v>
      </c>
      <c r="EN60" s="207">
        <f>IF(AR60=1,COUNTIF($AR$2:AR60,1),"")</f>
        <v>59</v>
      </c>
      <c r="EO60" s="207">
        <f>IF(AS60=1,COUNTIF($AS$2:AS60,1),"")</f>
        <v>59</v>
      </c>
      <c r="EP60" s="207">
        <f>IF(AT60=1,COUNTIF($AT$2:AT60,1),"")</f>
        <v>59</v>
      </c>
      <c r="EQ60" s="207">
        <f>IF(AU60=1,COUNTIF($AU$2:AU60,1),"")</f>
        <v>59</v>
      </c>
      <c r="ER60" s="207">
        <f>IF(AV60=1,COUNTIF($AV$2:AV60,1),"")</f>
        <v>59</v>
      </c>
      <c r="ES60" s="207">
        <f>IF(AW60=1,COUNTIF($AW$2:AW60,1),"")</f>
        <v>59</v>
      </c>
      <c r="ET60" s="207">
        <f>IF(AX60=1,COUNTIF($AX$2:AX60,1),"")</f>
        <v>59</v>
      </c>
      <c r="EU60" s="207">
        <f>IF(AY60=1,COUNTIF($AY$2:AY60,1),"")</f>
        <v>59</v>
      </c>
      <c r="EV60" s="207">
        <f>IF(AZ60=1,COUNTIF($AZ$2:AZ60,1),"")</f>
        <v>59</v>
      </c>
      <c r="EW60" s="207">
        <f>IF(BA60=1,COUNTIF($BA$2:BA60,1),"")</f>
        <v>59</v>
      </c>
      <c r="EX60" s="207">
        <f>IF(BB60=1,COUNTIF($BB$2:BB60,1),"")</f>
        <v>59</v>
      </c>
      <c r="EY60" s="207">
        <f>IF(BC60=1,COUNTIF($BC$2:BC60,1),"")</f>
        <v>59</v>
      </c>
      <c r="EZ60" s="207">
        <f>IF(BD60=1,COUNTIF($BD$2:BD60,1),"")</f>
        <v>59</v>
      </c>
      <c r="FA60" s="207">
        <f>IF(BE60=1,COUNTIF($BE$2:BE60,1),"")</f>
        <v>59</v>
      </c>
      <c r="FB60" s="207">
        <f>IF(BF60=1,COUNTIF($BF$2:BF60,1),"")</f>
        <v>59</v>
      </c>
      <c r="FC60" s="207">
        <f>IF(BG60=1,COUNTIF($BG$2:BG60,1),"")</f>
        <v>59</v>
      </c>
      <c r="FD60" s="207">
        <f>IF(BH60=1,COUNTIF($BH$2:BH60,1),"")</f>
        <v>59</v>
      </c>
      <c r="FE60" s="207">
        <f>IF(BI60=1,COUNTIF($BI$2:BI60,1),"")</f>
        <v>59</v>
      </c>
      <c r="FF60" s="207">
        <f>IF(BJ60=1,COUNTIF($BJ$2:BJ60,1),"")</f>
        <v>59</v>
      </c>
      <c r="FG60" s="207">
        <f>IF(BK60=1,COUNTIF($BK$2:BK60,1),"")</f>
        <v>59</v>
      </c>
      <c r="FH60" s="207">
        <f>IF(BL60=1,COUNTIF($BL$2:BL60,1),"")</f>
        <v>59</v>
      </c>
      <c r="FI60" s="207">
        <f>IF(BM60=1,COUNTIF($BM$2:BM60,1),"")</f>
        <v>59</v>
      </c>
      <c r="FJ60" s="207">
        <f>IF(BN60=1,COUNTIF($BN$2:BN60,1),"")</f>
        <v>59</v>
      </c>
      <c r="FK60" s="207">
        <f>IF(BO60=1,COUNTIF($BO$2:BO60,1),"")</f>
        <v>59</v>
      </c>
      <c r="FL60" s="207">
        <f>IF(BP60=1,COUNTIF($BP$2:BP60,1),"")</f>
        <v>59</v>
      </c>
      <c r="FM60" s="207">
        <f>IF(BQ60=1,COUNTIF($BQ$2:BQ60,1),"")</f>
        <v>59</v>
      </c>
      <c r="FN60" s="207">
        <f>IF(BR60=1,COUNTIF($BR$2:BR60,1),"")</f>
        <v>59</v>
      </c>
      <c r="FO60" s="207">
        <f>IF(BS60=1,COUNTIF($BS$2:BS60,1),"")</f>
        <v>59</v>
      </c>
      <c r="FP60" s="207">
        <f>IF(BT60=1,COUNTIF($BT$2:BT60,1),"")</f>
        <v>59</v>
      </c>
      <c r="FQ60" s="207">
        <f>IF(BU60=1,COUNTIF($BU$2:BU60,1),"")</f>
        <v>59</v>
      </c>
      <c r="FR60" s="207">
        <f>IF(BV60=1,COUNTIF($BV$2:BV60,1),"")</f>
        <v>59</v>
      </c>
      <c r="FS60" s="207">
        <f>IF(BW60=1,COUNTIF($BW$2:BW60,1),"")</f>
        <v>59</v>
      </c>
      <c r="FT60" s="207">
        <f>IF(BX60=1,COUNTIF($BX$2:BX60,1),"")</f>
        <v>59</v>
      </c>
      <c r="FU60" s="207">
        <f>IF(BY60=1,COUNTIF($BY$2:BY60,1),"")</f>
        <v>59</v>
      </c>
      <c r="FV60" s="207">
        <f>IF(BZ60=1,COUNTIF($BZ$2:BZ60,1),"")</f>
        <v>59</v>
      </c>
      <c r="FW60" s="207">
        <f>IF(CA60=1,COUNTIF($CA$2:CA60,1),"")</f>
        <v>59</v>
      </c>
      <c r="FX60" s="207">
        <f>IF(CB60=1,COUNTIF($CB$2:CB60,1),"")</f>
        <v>59</v>
      </c>
      <c r="FY60" s="207">
        <f>IF(CC60=1,COUNTIF($CC$2:CC60,1),"")</f>
        <v>59</v>
      </c>
      <c r="FZ60" s="207">
        <f>IF(CD60=1,COUNTIF($CD$2:CD60,1),"")</f>
        <v>59</v>
      </c>
      <c r="GA60" s="207">
        <f>IF(CE60=1,COUNTIF($CE$2:CE60,1),"")</f>
        <v>59</v>
      </c>
      <c r="GB60" s="207">
        <f>IF(CF60=1,COUNTIF($CF$2:CF60,1),"")</f>
        <v>59</v>
      </c>
      <c r="GC60" s="207">
        <f>IF(CG60=1,COUNTIF($CG$2:CG60,1),"")</f>
        <v>59</v>
      </c>
      <c r="GD60" s="207">
        <f>IF(CH60=1,COUNTIF($CH$2:CH60,1),"")</f>
        <v>59</v>
      </c>
      <c r="GE60" s="207">
        <f>IF(CI60=1,COUNTIF($CI$2:CI60,1),"")</f>
        <v>59</v>
      </c>
      <c r="GF60" s="207">
        <f>IF(CJ60=1,COUNTIF($CJ$2:CJ60,1),"")</f>
        <v>59</v>
      </c>
      <c r="GG60" s="207">
        <f>IF(CK60=1,COUNTIF($CK$2:CK60,1),"")</f>
        <v>59</v>
      </c>
      <c r="GH60" s="207">
        <f>IF(CL60=1,COUNTIF($CL$2:CL60,1),"")</f>
        <v>59</v>
      </c>
      <c r="GI60" s="207">
        <f>IF(CM60=1,COUNTIF($CM$2:CM60,1),"")</f>
        <v>59</v>
      </c>
      <c r="GJ60" s="207">
        <f>IF(CN60=1,COUNTIF($CN$2:CN60,1),"")</f>
        <v>59</v>
      </c>
      <c r="GK60" s="207">
        <f>IF(CO60=1,COUNTIF($CO$2:CO60,1),"")</f>
        <v>59</v>
      </c>
      <c r="GL60" s="207">
        <f>IF(CP60=1,COUNTIF($CP$2:CP60,1),"")</f>
        <v>59</v>
      </c>
      <c r="GM60" s="207">
        <f>IF(CQ60=1,COUNTIF($CQ$2:CQ60,1),"")</f>
        <v>59</v>
      </c>
      <c r="GN60" s="207">
        <f>IF(CR60=1,COUNTIF($CR$2:CR60,1),"")</f>
        <v>59</v>
      </c>
      <c r="GO60" s="207">
        <f>IF(CS60=1,COUNTIF($CS$2:CS60,1),"")</f>
        <v>59</v>
      </c>
      <c r="GP60" s="207">
        <f>IF(CT60=1,COUNTIF($CT$2:CT60,1),"")</f>
        <v>59</v>
      </c>
      <c r="GQ60" s="207">
        <f>IF(CU60=1,COUNTIF($CU$2:CU60,1),"")</f>
        <v>59</v>
      </c>
      <c r="GR60" s="207">
        <f>IF(CV60=1,COUNTIF($CV$2:CV60,1),"")</f>
        <v>59</v>
      </c>
      <c r="GS60" s="207">
        <f>IF(CW60=1,COUNTIF($CW$2:CW60,1),"")</f>
        <v>59</v>
      </c>
      <c r="GT60" s="207">
        <f>IF(CX60=1,COUNTIF($CX$2:CX60,1),"")</f>
        <v>59</v>
      </c>
      <c r="GU60" s="207">
        <f>IF(CY60=1,COUNTIF($CY$2:CY60,1),"")</f>
        <v>59</v>
      </c>
      <c r="GV60" s="207">
        <f>IF(CZ60=1,COUNTIF($CZ$2:CZ60,1),"")</f>
        <v>59</v>
      </c>
      <c r="GW60" s="207">
        <f>IF(DA60=1,COUNTIF($DA$2:DA60,1),"")</f>
        <v>59</v>
      </c>
      <c r="GX60" s="206" t="str">
        <f>IFERROR(INDEX($A$2:$A$113,MATCH(ROWS($DB$2:DB60),$DB$2:$DB$113,0)),"")</f>
        <v>ESTAFAS, DEFRAUDACIONES,USURA y USURPACION (NO INCLUYE VIRTUALES)</v>
      </c>
      <c r="GY60" s="206" t="str">
        <f>IFERROR(INDEX($A$2:$A$113,MATCH(ROWS($DC$2:DC60),$DC$2:$DC$113,0)),"")</f>
        <v>ESTAFAS, DEFRAUDACIONES,USURA y USURPACION (NO INCLUYE VIRTUALES)</v>
      </c>
      <c r="GZ60" s="206" t="str">
        <f>IFERROR(INDEX($A$2:$A$113,MATCH(ROWS($DD$2:DD60),$DD$2:$DD$113,0)),"")</f>
        <v>ESTAFAS, DEFRAUDACIONES,USURA y USURPACION (NO INCLUYE VIRTUALES)</v>
      </c>
      <c r="HA60" s="206" t="str">
        <f>IFERROR(INDEX($A$2:$A$113,MATCH(ROWS($DE$2:DE60),$DE$2:$DE$113,0)),"")</f>
        <v>ESTAFAS, DEFRAUDACIONES,USURA y USURPACION (NO INCLUYE VIRTUALES)</v>
      </c>
      <c r="HB60" s="206" t="str">
        <f>IFERROR(INDEX($A$2:$A$113,MATCH(ROWS($DF$2:DF60),$DF$2:$DF$113,0)),"")</f>
        <v>ESTAFAS, DEFRAUDACIONES,USURA y USURPACION (NO INCLUYE VIRTUALES)</v>
      </c>
      <c r="HC60" s="206" t="str">
        <f>IFERROR(INDEX($A$2:$A$113,MATCH(ROWS($DG$2:DG60),$DG$2:$DG$113,0)),"")</f>
        <v>ESTAFAS, DEFRAUDACIONES,USURA y USURPACION (NO INCLUYE VIRTUALES)</v>
      </c>
      <c r="HD60" s="206" t="str">
        <f>IFERROR(INDEX($A$2:$A$113,MATCH(ROWS($DH$2:DH60),$DH$2:$DH$113,0)),"")</f>
        <v>ESTAFAS, DEFRAUDACIONES,USURA y USURPACION (NO INCLUYE VIRTUALES)</v>
      </c>
      <c r="HE60" s="206" t="str">
        <f>IFERROR(INDEX($A$2:$A$113,MATCH(ROWS($DI$2:DI60),$DI$2:$DI$113,0)),"")</f>
        <v>ESTAFAS, DEFRAUDACIONES,USURA y USURPACION (NO INCLUYE VIRTUALES)</v>
      </c>
      <c r="HF60" s="206" t="str">
        <f>IFERROR(INDEX($A$2:$A$113,MATCH(ROWS($DJ$2:DJ60),$DJ$2:$DJ$113,0)),"")</f>
        <v>ESTAFAS, DEFRAUDACIONES,USURA y USURPACION (NO INCLUYE VIRTUALES)</v>
      </c>
      <c r="HG60" s="206" t="str">
        <f>IFERROR(INDEX($A$2:$A$113,MATCH(ROWS($DK$2:DK60),$DK$2:$DK$113,0)),"")</f>
        <v>ESTAFAS, DEFRAUDACIONES,USURA y USURPACION (NO INCLUYE VIRTUALES)</v>
      </c>
      <c r="HH60" s="206" t="str">
        <f>IFERROR(INDEX($A$2:$A$113,MATCH(ROWS($DL$2:DL60),$DL$2:$DL$113,0)),"")</f>
        <v>ESTAFAS, DEFRAUDACIONES,USURA y USURPACION (NO INCLUYE VIRTUALES)</v>
      </c>
      <c r="HI60" s="206" t="str">
        <f>IFERROR(INDEX($A$2:$A$113,MATCH(ROWS($DM$2:DM60),$DM$2:$DM$113,0)),"")</f>
        <v>ESTAFAS, DEFRAUDACIONES,USURA y USURPACION (NO INCLUYE VIRTUALES)</v>
      </c>
      <c r="HJ60" s="206" t="str">
        <f>IFERROR(INDEX($A$2:$A$113,MATCH(ROWS($DN$2:DN60),$DN$2:$DN$113,0)),"")</f>
        <v>ESTAFAS, DEFRAUDACIONES,USURA y USURPACION (NO INCLUYE VIRTUALES)</v>
      </c>
      <c r="HK60" s="206" t="str">
        <f>IFERROR(INDEX($A$2:$A$113,MATCH(ROWS($DO$2:DO60),$DO$2:$DO$113,0)),"")</f>
        <v>ESTAFAS, DEFRAUDACIONES,USURA y USURPACION (NO INCLUYE VIRTUALES)</v>
      </c>
      <c r="HL60" s="206" t="str">
        <f>IFERROR(INDEX($A$2:$A$113,MATCH(ROWS($DP$2:DP60),$DP$2:$DP$113,0)),"")</f>
        <v>ESTAFAS, DEFRAUDACIONES,USURA y USURPACION (NO INCLUYE VIRTUALES)</v>
      </c>
      <c r="HM60" s="206" t="str">
        <f>IFERROR(INDEX($A$2:$A$113,MATCH(ROWS($DQ$2:DQ60),$DQ$2:$DQ$113,0)),"")</f>
        <v>ESTAFAS, DEFRAUDACIONES,USURA y USURPACION (NO INCLUYE VIRTUALES)</v>
      </c>
      <c r="HN60" s="206" t="str">
        <f>IFERROR(INDEX($A$2:$A$113,MATCH(ROWS($DR$2:DR60),$DR$2:$DR$113,0)),"")</f>
        <v>ESTAFAS, DEFRAUDACIONES,USURA y USURPACION (NO INCLUYE VIRTUALES)</v>
      </c>
      <c r="HO60" s="206" t="str">
        <f>IFERROR(INDEX($A$2:$A$113,MATCH(ROWS($DS$2:DS60),$DS$2:$DS$113,0)),"")</f>
        <v>ESTAFAS, DEFRAUDACIONES,USURA y USURPACION (NO INCLUYE VIRTUALES)</v>
      </c>
      <c r="HP60" s="206" t="str">
        <f>IFERROR(INDEX($A$2:$A$113,MATCH(ROWS($DT$2:DT60),$DT$2:$DT$113,0)),"")</f>
        <v>ESTAFAS, DEFRAUDACIONES,USURA y USURPACION (NO INCLUYE VIRTUALES)</v>
      </c>
      <c r="HQ60" s="206" t="str">
        <f>IFERROR(INDEX($A$2:$A$113,MATCH(ROWS($DU$2:DU60),$DU$2:$DU$113,0)),"")</f>
        <v>ESTAFAS, DEFRAUDACIONES,USURA y USURPACION (NO INCLUYE VIRTUALES)</v>
      </c>
      <c r="HR60" s="206" t="str">
        <f>IFERROR(INDEX($A$2:$A$113,MATCH(ROWS($DV$2:DV60),$DV$2:$DV$113,0)),"")</f>
        <v>ESTAFAS, DEFRAUDACIONES,USURA y USURPACION (NO INCLUYE VIRTUALES)</v>
      </c>
      <c r="HS60" s="206" t="str">
        <f>IFERROR(INDEX($A$2:$A$113,MATCH(ROWS($DW$2:DW60),$DW$2:$DW$113,0)),"")</f>
        <v>ESTAFAS, DEFRAUDACIONES,USURA y USURPACION (NO INCLUYE VIRTUALES)</v>
      </c>
      <c r="HT60" s="206" t="str">
        <f>IFERROR(INDEX($A$2:$A$113,MATCH(ROWS($DX$2:DX60),$DX$2:$DX$113,0)),"")</f>
        <v>ESTAFAS, DEFRAUDACIONES,USURA y USURPACION (NO INCLUYE VIRTUALES)</v>
      </c>
      <c r="HU60" s="206" t="str">
        <f>IFERROR(INDEX($A$2:$A$113,MATCH(ROWS($DY$2:DY60),$DY$2:$DY$113,0)),"")</f>
        <v>ESTAFAS, DEFRAUDACIONES,USURA y USURPACION (NO INCLUYE VIRTUALES)</v>
      </c>
      <c r="HV60" s="206" t="str">
        <f>IFERROR(INDEX($A$2:$A$113,MATCH(ROWS($DZ$2:DZ60),$DZ$2:$DZ$113,0)),"")</f>
        <v>ESTAFAS, DEFRAUDACIONES,USURA y USURPACION (NO INCLUYE VIRTUALES)</v>
      </c>
      <c r="HW60" s="206" t="str">
        <f>IFERROR(INDEX($A$2:$A$113,MATCH(ROWS($EA$2:EA60),$EA$2:$EA$113,0)),"")</f>
        <v>ESTAFAS, DEFRAUDACIONES,USURA y USURPACION (NO INCLUYE VIRTUALES)</v>
      </c>
      <c r="HX60" s="206" t="str">
        <f>IFERROR(INDEX($A$2:$A$113,MATCH(ROWS($EB$2:EB60),$EB$2:$EB$113,0)),"")</f>
        <v>ESTAFAS, DEFRAUDACIONES,USURA y USURPACION (NO INCLUYE VIRTUALES)</v>
      </c>
      <c r="HY60" s="206" t="str">
        <f>IFERROR(INDEX($A$2:$A$113,MATCH(ROWS($EC$2:EC60),$EC$2:$EC$113,0)),"")</f>
        <v>ESTAFAS, DEFRAUDACIONES,USURA y USURPACION (NO INCLUYE VIRTUALES)</v>
      </c>
      <c r="HZ60" s="206" t="str">
        <f>IFERROR(INDEX($A$2:$A$113,MATCH(ROWS($ED$2:ED60),$ED$2:$ED$113,0)),"")</f>
        <v>ESTAFAS, DEFRAUDACIONES,USURA y USURPACION (NO INCLUYE VIRTUALES)</v>
      </c>
      <c r="IA60" s="206" t="str">
        <f>IFERROR(INDEX($A$2:$A$113,MATCH(ROWS($EE$2:EE60),$EE$2:$EE$113,0)),"")</f>
        <v>ESTAFAS, DEFRAUDACIONES,USURA y USURPACION (NO INCLUYE VIRTUALES)</v>
      </c>
      <c r="IB60" s="206" t="str">
        <f>IFERROR(INDEX($A$2:$A$113,MATCH(ROWS($EF$2:EF60),$EF$2:$EF$113,0)),"")</f>
        <v>ESTAFAS, DEFRAUDACIONES,USURA y USURPACION (NO INCLUYE VIRTUALES)</v>
      </c>
      <c r="IC60" s="206" t="str">
        <f>IFERROR(INDEX($A$2:$A$113,MATCH(ROWS($EG$2:EG60),$EG$2:$EG$113,0)),"")</f>
        <v>ESTAFAS, DEFRAUDACIONES,USURA y USURPACION (NO INCLUYE VIRTUALES)</v>
      </c>
      <c r="ID60" s="206" t="str">
        <f>IFERROR(INDEX($A$2:$A$113,MATCH(ROWS($EH$2:EH60),$EH$2:$EH$113,0)),"")</f>
        <v>ESTAFAS, DEFRAUDACIONES,USURA y USURPACION (NO INCLUYE VIRTUALES)</v>
      </c>
      <c r="IE60" s="206" t="str">
        <f>IFERROR(INDEX($A$2:$A$113,MATCH(ROWS($EI$2:EI60),$EI$2:$EI$113,0)),"")</f>
        <v>ESTAFAS, DEFRAUDACIONES,USURA y USURPACION (NO INCLUYE VIRTUALES)</v>
      </c>
      <c r="IF60" s="206" t="str">
        <f>IFERROR(INDEX($A$2:$A$113,MATCH(ROWS($EJ$2:EJ60),$EJ$2:$EJ$113,0)),"")</f>
        <v>ESTAFAS, DEFRAUDACIONES,USURA y USURPACION (NO INCLUYE VIRTUALES)</v>
      </c>
      <c r="IG60" s="206" t="str">
        <f>IFERROR(INDEX($A$2:$A$113,MATCH(ROWS($EK$2:EK60),$EK$2:$EK$113,0)),"")</f>
        <v>ESTAFAS, DEFRAUDACIONES,USURA y USURPACION (NO INCLUYE VIRTUALES)</v>
      </c>
      <c r="IH60" s="206" t="str">
        <f>IFERROR(INDEX($A$2:$A$113,MATCH(ROWS($EL$2:EL60),$EL$2:$EL$113,0)),"")</f>
        <v>ESTAFAS, DEFRAUDACIONES,USURA y USURPACION (NO INCLUYE VIRTUALES)</v>
      </c>
      <c r="II60" s="206" t="str">
        <f>IFERROR(INDEX($A$2:$A$113,MATCH(ROWS($EM$2:EM60),$EM$2:$EM$113,0)),"")</f>
        <v>ESTAFAS, DEFRAUDACIONES,USURA y USURPACION (NO INCLUYE VIRTUALES)</v>
      </c>
      <c r="IJ60" s="206" t="str">
        <f>IFERROR(INDEX($A$2:$A$113,MATCH(ROWS($EN$2:EN60),$EN$2:$EN$113,0)),"")</f>
        <v>ESTAFAS, DEFRAUDACIONES,USURA y USURPACION (NO INCLUYE VIRTUALES)</v>
      </c>
      <c r="IK60" s="207" t="str">
        <f>IFERROR(INDEX($A$2:$A$113,MATCH(ROWS($EO$2:EO60),$EO$2:$EO$113,0)),"")</f>
        <v>ESTAFAS, DEFRAUDACIONES,USURA y USURPACION (NO INCLUYE VIRTUALES)</v>
      </c>
      <c r="IL60" s="207" t="str">
        <f>IFERROR(INDEX($A$2:$A$113,MATCH(ROWS($EP$2:EP60),$EP$2:$EP$113,0)),"")</f>
        <v>ESTAFAS, DEFRAUDACIONES,USURA y USURPACION (NO INCLUYE VIRTUALES)</v>
      </c>
      <c r="IM60" s="207" t="str">
        <f>IFERROR(INDEX($A$2:$A$113,MATCH(ROWS($EQ$2:EQ60),$EQ$2:$EQ$113,0)),"")</f>
        <v>ESTAFAS, DEFRAUDACIONES,USURA y USURPACION (NO INCLUYE VIRTUALES)</v>
      </c>
      <c r="IN60" s="207" t="str">
        <f>IFERROR(INDEX($A$2:$A$113,MATCH(ROWS($ER$2:ER60),$ER$2:$ER$113,0)),"")</f>
        <v>ESTAFAS, DEFRAUDACIONES,USURA y USURPACION (NO INCLUYE VIRTUALES)</v>
      </c>
      <c r="IO60" s="207" t="str">
        <f>IFERROR(INDEX($A$2:$A$113,MATCH(ROWS($ES$2:ES60),$ES$2:$ES$113,0)),"")</f>
        <v>ESTAFAS, DEFRAUDACIONES,USURA y USURPACION (NO INCLUYE VIRTUALES)</v>
      </c>
      <c r="IP60" s="207" t="str">
        <f>IFERROR(INDEX($A$2:$A$113,MATCH(ROWS($ET$2:ET60),$ET$2:$ET$113,0)),"")</f>
        <v>ESTAFAS, DEFRAUDACIONES,USURA y USURPACION (NO INCLUYE VIRTUALES)</v>
      </c>
      <c r="IQ60" s="207" t="str">
        <f>IFERROR(INDEX($A$2:$A$113,MATCH(ROWS($EU$2:EU60),$EU$2:$EU$113,0)),"")</f>
        <v>ESTAFAS, DEFRAUDACIONES,USURA y USURPACION (NO INCLUYE VIRTUALES)</v>
      </c>
      <c r="IR60" s="207" t="str">
        <f>IFERROR(INDEX($A$2:$A$113,MATCH(ROWS($EV$2:EV60),$EV$2:$EV$113,0)),"")</f>
        <v>ESTAFAS, DEFRAUDACIONES,USURA y USURPACION (NO INCLUYE VIRTUALES)</v>
      </c>
      <c r="IS60" s="207" t="str">
        <f>IFERROR(INDEX($A$2:$A$113,MATCH(ROWS($EW$2:EW60),$EW$2:$EW$113,0)),"")</f>
        <v>ESTAFAS, DEFRAUDACIONES,USURA y USURPACION (NO INCLUYE VIRTUALES)</v>
      </c>
      <c r="IT60" s="207" t="str">
        <f>IFERROR(INDEX($A$2:$A$113,MATCH(ROWS($EX$2:EX60),$EX$2:$EX$113,0)),"")</f>
        <v>ESTAFAS, DEFRAUDACIONES,USURA y USURPACION (NO INCLUYE VIRTUALES)</v>
      </c>
      <c r="IU60" s="207" t="str">
        <f>IFERROR(INDEX($A$2:$A$113,MATCH(ROWS($EY$2:EY60),$EY$2:$EY$113,0)),"")</f>
        <v>ESTAFAS, DEFRAUDACIONES,USURA y USURPACION (NO INCLUYE VIRTUALES)</v>
      </c>
      <c r="IV60" s="207" t="str">
        <f>IFERROR(INDEX($A$2:$A$113,MATCH(ROWS($EZ$2:EZ60),$EZ$2:$EZ$113,0)),"")</f>
        <v>ESTAFAS, DEFRAUDACIONES,USURA y USURPACION (NO INCLUYE VIRTUALES)</v>
      </c>
      <c r="IW60" s="207" t="str">
        <f>IFERROR(INDEX($A$2:$A$113,MATCH(ROWS($FA$2:FA60),$FA$2:$FA$113,0)),"")</f>
        <v>ESTAFAS, DEFRAUDACIONES,USURA y USURPACION (NO INCLUYE VIRTUALES)</v>
      </c>
      <c r="IX60" s="207" t="str">
        <f>IFERROR(INDEX($A$2:$A$113,MATCH(ROWS($FB$2:FB60),$FB$2:$FB$113,0)),"")</f>
        <v>ESTAFAS, DEFRAUDACIONES,USURA y USURPACION (NO INCLUYE VIRTUALES)</v>
      </c>
      <c r="IY60" s="207" t="str">
        <f>IFERROR(INDEX($A$2:$A$113,MATCH(ROWS($FC$2:FC60),$FC$2:$FC$113,0)),"")</f>
        <v>ESTAFAS, DEFRAUDACIONES,USURA y USURPACION (NO INCLUYE VIRTUALES)</v>
      </c>
      <c r="IZ60" s="207" t="str">
        <f>IFERROR(INDEX($A$2:$A$113,MATCH(ROWS($FD$2:FD60),$FD$2:$FD$113,0)),"")</f>
        <v>ESTAFAS, DEFRAUDACIONES,USURA y USURPACION (NO INCLUYE VIRTUALES)</v>
      </c>
      <c r="JA60" s="207" t="str">
        <f>IFERROR(INDEX($A$2:$A$113,MATCH(ROWS($FE$2:FE60),$FE$2:$FE$113,0)),"")</f>
        <v>ESTAFAS, DEFRAUDACIONES,USURA y USURPACION (NO INCLUYE VIRTUALES)</v>
      </c>
      <c r="JB60" s="207" t="str">
        <f>IFERROR(INDEX($A$2:$A$113,MATCH(ROWS($FF$2:FF60),$FF$2:$FF$113,0)),"")</f>
        <v>ESTAFAS, DEFRAUDACIONES,USURA y USURPACION (NO INCLUYE VIRTUALES)</v>
      </c>
      <c r="JC60" s="207" t="str">
        <f>IFERROR(INDEX($A$2:$A$113,MATCH(ROWS($FG$2:FG60),$FG$2:$FG$113,0)),"")</f>
        <v>ESTAFAS, DEFRAUDACIONES,USURA y USURPACION (NO INCLUYE VIRTUALES)</v>
      </c>
      <c r="JD60" s="207" t="str">
        <f>IFERROR(INDEX($A$2:$A$113,MATCH(ROWS($FH$2:FH60),$FH$2:$FH$113,0)),"")</f>
        <v>ESTAFAS, DEFRAUDACIONES,USURA y USURPACION (NO INCLUYE VIRTUALES)</v>
      </c>
      <c r="JE60" s="207" t="str">
        <f>IFERROR(INDEX($A$2:$A$113,MATCH(ROWS($FI$2:FI60),$FI$2:$FI$113,0)),"")</f>
        <v>ESTAFAS, DEFRAUDACIONES,USURA y USURPACION (NO INCLUYE VIRTUALES)</v>
      </c>
      <c r="JF60" s="207" t="str">
        <f>IFERROR(INDEX($A$2:$A$113,MATCH(ROWS($FJ$2:FJ60),$FJ$2:$FJ$113,0)),"")</f>
        <v>ESTAFAS, DEFRAUDACIONES,USURA y USURPACION (NO INCLUYE VIRTUALES)</v>
      </c>
      <c r="JG60" s="207" t="str">
        <f>IFERROR(INDEX($A$2:$A$113,MATCH(ROWS($FK$2:FK60),$FK$2:$FK$113,0)),"")</f>
        <v>ESTAFAS, DEFRAUDACIONES,USURA y USURPACION (NO INCLUYE VIRTUALES)</v>
      </c>
      <c r="JH60" s="207" t="str">
        <f>IFERROR(INDEX($A$2:$A$113,MATCH(ROWS($FL$2:FL60),$FL$2:$FL$113,0)),"")</f>
        <v>ESTAFAS, DEFRAUDACIONES,USURA y USURPACION (NO INCLUYE VIRTUALES)</v>
      </c>
      <c r="JI60" s="207" t="str">
        <f>IFERROR(INDEX($A$2:$A$113,MATCH(ROWS($FM$2:FM60),$FM$2:$FM$113,0)),"")</f>
        <v>ESTAFAS, DEFRAUDACIONES,USURA y USURPACION (NO INCLUYE VIRTUALES)</v>
      </c>
      <c r="JJ60" s="207" t="str">
        <f>IFERROR(INDEX($A$2:$A$113,MATCH(ROWS($FN$2:FN60),$FN$2:$FN$113,0)),"")</f>
        <v>ESTAFAS, DEFRAUDACIONES,USURA y USURPACION (NO INCLUYE VIRTUALES)</v>
      </c>
      <c r="JK60" s="207" t="str">
        <f>IFERROR(INDEX($A$2:$A$113,MATCH(ROWS($FO$2:FO60),$FO$2:$FO$113,0)),"")</f>
        <v>ESTAFAS, DEFRAUDACIONES,USURA y USURPACION (NO INCLUYE VIRTUALES)</v>
      </c>
      <c r="JL60" s="207" t="str">
        <f>IFERROR(INDEX($A$2:$A$113,MATCH(ROWS($FP$2:FP60),$FP$2:$FP$113,0)),"")</f>
        <v>ESTAFAS, DEFRAUDACIONES,USURA y USURPACION (NO INCLUYE VIRTUALES)</v>
      </c>
      <c r="JM60" s="207" t="str">
        <f>IFERROR(INDEX($A$2:$A$113,MATCH(ROWS($FQ$2:FQ60),$FQ$2:$FQ$113,0)),"")</f>
        <v>ESTAFAS, DEFRAUDACIONES,USURA y USURPACION (NO INCLUYE VIRTUALES)</v>
      </c>
      <c r="JN60" s="207" t="str">
        <f>IFERROR(INDEX($A$2:$A$113,MATCH(ROWS($FR$2:FR60),$FR$2:$FR$113,0)),"")</f>
        <v>ESTAFAS, DEFRAUDACIONES,USURA y USURPACION (NO INCLUYE VIRTUALES)</v>
      </c>
      <c r="JO60" s="207" t="str">
        <f>IFERROR(INDEX($A$2:$A$113,MATCH(ROWS($FS$2:FS60),$FS$2:$FS$113,0)),"")</f>
        <v>ESTAFAS, DEFRAUDACIONES,USURA y USURPACION (NO INCLUYE VIRTUALES)</v>
      </c>
      <c r="JP60" s="207" t="str">
        <f>IFERROR(INDEX($A$2:$A$113,MATCH(ROWS($FT$2:FT60),$FT$2:$FT$113,0)),"")</f>
        <v>ESTAFAS, DEFRAUDACIONES,USURA y USURPACION (NO INCLUYE VIRTUALES)</v>
      </c>
      <c r="JQ60" s="207" t="str">
        <f>IFERROR(INDEX($A$2:$A$113,MATCH(ROWS($FU$2:FU60),$FU$2:$FU$113,0)),"")</f>
        <v>ESTAFAS, DEFRAUDACIONES,USURA y USURPACION (NO INCLUYE VIRTUALES)</v>
      </c>
      <c r="JR60" s="207" t="str">
        <f>IFERROR(INDEX($A$2:$A$113,MATCH(ROWS($FV$2:FV60),$FV$2:$FV$113,0)),"")</f>
        <v>ESTAFAS, DEFRAUDACIONES,USURA y USURPACION (NO INCLUYE VIRTUALES)</v>
      </c>
      <c r="JS60" s="207" t="str">
        <f>IFERROR(INDEX($A$2:$A$113,MATCH(ROWS($FW$2:FW60),$FW$2:$FW$113,0)),"")</f>
        <v>ESTAFAS, DEFRAUDACIONES,USURA y USURPACION (NO INCLUYE VIRTUALES)</v>
      </c>
      <c r="JT60" s="207" t="str">
        <f>IFERROR(INDEX($A$2:$A$113,MATCH(ROWS($FX$2:FX60),$FX$2:$FX$113,0)),"")</f>
        <v>ESTAFAS, DEFRAUDACIONES,USURA y USURPACION (NO INCLUYE VIRTUALES)</v>
      </c>
      <c r="JU60" s="207" t="str">
        <f>IFERROR(INDEX($A$2:$A$113,MATCH(ROWS($FY$2:FY60),$FY$2:$FY$113,0)),"")</f>
        <v>ESTAFAS, DEFRAUDACIONES,USURA y USURPACION (NO INCLUYE VIRTUALES)</v>
      </c>
      <c r="JV60" s="207" t="str">
        <f>IFERROR(INDEX($A$2:$A$113,MATCH(ROWS($FZ$2:FZ60),$FZ$2:$FZ$113,0)),"")</f>
        <v>ESTAFAS, DEFRAUDACIONES,USURA y USURPACION (NO INCLUYE VIRTUALES)</v>
      </c>
      <c r="JW60" s="207" t="str">
        <f>IFERROR(INDEX($A$2:$A$113,MATCH(ROWS($GA$2:GA60),$GA$2:$GA$113,0)),"")</f>
        <v>ESTAFAS, DEFRAUDACIONES,USURA y USURPACION (NO INCLUYE VIRTUALES)</v>
      </c>
      <c r="JX60" s="207" t="str">
        <f>IFERROR(INDEX($A$2:$A$113,MATCH(ROWS($GB$2:GB60),$GB$2:$GB$113,0)),"")</f>
        <v>ESTAFAS, DEFRAUDACIONES,USURA y USURPACION (NO INCLUYE VIRTUALES)</v>
      </c>
      <c r="JY60" s="207" t="str">
        <f>IFERROR(INDEX($A$2:$A$113,MATCH(ROWS($GC$2:GC60),$GC$2:$GC$113,0)),"")</f>
        <v>ESTAFAS, DEFRAUDACIONES,USURA y USURPACION (NO INCLUYE VIRTUALES)</v>
      </c>
      <c r="JZ60" s="207" t="str">
        <f>IFERROR(INDEX($A$2:$A$113,MATCH(ROWS($GD$2:GD60),$GD$2:$GD$113,0)),"")</f>
        <v>ESTAFAS, DEFRAUDACIONES,USURA y USURPACION (NO INCLUYE VIRTUALES)</v>
      </c>
      <c r="KA60" s="207" t="str">
        <f>IFERROR(INDEX($A$2:$A$113,MATCH(ROWS($GE$2:GE60),$GE$2:$GE$113,0)),"")</f>
        <v>ESTAFAS, DEFRAUDACIONES,USURA y USURPACION (NO INCLUYE VIRTUALES)</v>
      </c>
      <c r="KB60" s="207" t="str">
        <f>IFERROR(INDEX($A$2:$A$113,MATCH(ROWS($GF$2:GF60),$GF$2:$GF$113,0)),"")</f>
        <v>ESTAFAS, DEFRAUDACIONES,USURA y USURPACION (NO INCLUYE VIRTUALES)</v>
      </c>
      <c r="KC60" s="207" t="str">
        <f>IFERROR(INDEX($A$2:$A$113,MATCH(ROWS($GG$2:GG60),$GG$2:$GG$113,0)),"")</f>
        <v>ESTAFAS, DEFRAUDACIONES,USURA y USURPACION (NO INCLUYE VIRTUALES)</v>
      </c>
      <c r="KD60" s="207" t="str">
        <f>IFERROR(INDEX($A$2:$A$113,MATCH(ROWS($GH$2:GH60),$GH$2:$GH$113,0)),"")</f>
        <v>ESTAFAS, DEFRAUDACIONES,USURA y USURPACION (NO INCLUYE VIRTUALES)</v>
      </c>
      <c r="KE60" s="207" t="str">
        <f>IFERROR(INDEX($A$2:$A$113,MATCH(ROWS($GI$2:GI60),$GI$2:$GI$113,0)),"")</f>
        <v>ESTAFAS, DEFRAUDACIONES,USURA y USURPACION (NO INCLUYE VIRTUALES)</v>
      </c>
      <c r="KF60" s="207" t="str">
        <f>IFERROR(INDEX($A$2:$A$113,MATCH(ROWS($GJ$2:GJ60),$GJ$2:$GJ$113,0)),"")</f>
        <v>ESTAFAS, DEFRAUDACIONES,USURA y USURPACION (NO INCLUYE VIRTUALES)</v>
      </c>
      <c r="KG60" s="207" t="str">
        <f>IFERROR(INDEX($A$2:$A$113,MATCH(ROWS($GK$2:GK60),$GK$2:$GK$113,0)),"")</f>
        <v>ESTAFAS, DEFRAUDACIONES,USURA y USURPACION (NO INCLUYE VIRTUALES)</v>
      </c>
      <c r="KH60" s="207" t="str">
        <f>IFERROR(INDEX($A$2:$A$113,MATCH(ROWS($GL$2:GL60),$GL$2:$GL$113,0)),"")</f>
        <v>ESTAFAS, DEFRAUDACIONES,USURA y USURPACION (NO INCLUYE VIRTUALES)</v>
      </c>
      <c r="KI60" s="207" t="str">
        <f>IFERROR(INDEX($A$2:$A$113,MATCH(ROWS($GM$2:GM60),$GM$2:$GM$113,0)),"")</f>
        <v>ESTAFAS, DEFRAUDACIONES,USURA y USURPACION (NO INCLUYE VIRTUALES)</v>
      </c>
      <c r="KJ60" s="207" t="str">
        <f>IFERROR(INDEX($A$2:$A$113,MATCH(ROWS($GN$2:GN60),$GN$2:$GN$113,0)),"")</f>
        <v>ESTAFAS, DEFRAUDACIONES,USURA y USURPACION (NO INCLUYE VIRTUALES)</v>
      </c>
      <c r="KK60" s="207" t="str">
        <f>IFERROR(INDEX($A$2:$A$113,MATCH(ROWS($GO$2:GO60),$GO$2:$GO$113,0)),"")</f>
        <v>ESTAFAS, DEFRAUDACIONES,USURA y USURPACION (NO INCLUYE VIRTUALES)</v>
      </c>
      <c r="KL60" s="207" t="str">
        <f>IFERROR(INDEX($A$2:$A$113,MATCH(ROWS($GP$2:GP60),$GP$2:$GP$113,0)),"")</f>
        <v>ESTAFAS, DEFRAUDACIONES,USURA y USURPACION (NO INCLUYE VIRTUALES)</v>
      </c>
      <c r="KM60" s="207" t="str">
        <f>IFERROR(INDEX($A$2:$A$113,MATCH(ROWS($GQ$2:GQ60),$GQ$2:$GQ$113,0)),"")</f>
        <v>ESTAFAS, DEFRAUDACIONES,USURA y USURPACION (NO INCLUYE VIRTUALES)</v>
      </c>
      <c r="KN60" s="207" t="str">
        <f>IFERROR(INDEX($A$2:$A$113,MATCH(ROWS($GR$2:GR60),$GR$2:$GR$113,0)),"")</f>
        <v>ESTAFAS, DEFRAUDACIONES,USURA y USURPACION (NO INCLUYE VIRTUALES)</v>
      </c>
      <c r="KO60" s="207" t="str">
        <f>IFERROR(INDEX($A$2:$A$113,MATCH(ROWS($GS$2:GS60),$GS$2:$GS$113,0)),"")</f>
        <v>ESTAFAS, DEFRAUDACIONES,USURA y USURPACION (NO INCLUYE VIRTUALES)</v>
      </c>
      <c r="KP60" s="207" t="str">
        <f>IFERROR(INDEX($A$2:$A$113,MATCH(ROWS($GT$2:GT60),$GT$2:$GT$113,0)),"")</f>
        <v>ESTAFAS, DEFRAUDACIONES,USURA y USURPACION (NO INCLUYE VIRTUALES)</v>
      </c>
      <c r="KQ60" s="207" t="str">
        <f>IFERROR(INDEX($A$2:$A$113,MATCH(ROWS($GU$2:GU60),$GU$2:$GU$113,0)),"")</f>
        <v>ESTAFAS, DEFRAUDACIONES,USURA y USURPACION (NO INCLUYE VIRTUALES)</v>
      </c>
      <c r="KR60" s="207" t="str">
        <f>IFERROR(INDEX($A$2:$A$113,MATCH(ROWS($GV$2:GV60),$GV$2:$GV$113,0)),"")</f>
        <v>ESTAFAS, DEFRAUDACIONES,USURA y USURPACION (NO INCLUYE VIRTUALES)</v>
      </c>
      <c r="KS60" s="207" t="str">
        <f>IFERROR(INDEX($A$2:$A$113,MATCH(ROWS($GW$2:GW60),$GW$2:$GW$113,0)),"")</f>
        <v>ESTAFAS, DEFRAUDACIONES,USURA y USURPACION (NO INCLUYE VIRTUALES)</v>
      </c>
    </row>
    <row r="61" spans="1:305" x14ac:dyDescent="0.25">
      <c r="A61" s="206" t="s">
        <v>1091</v>
      </c>
      <c r="B61" s="206" t="s">
        <v>1092</v>
      </c>
      <c r="D61" s="206" t="s">
        <v>97</v>
      </c>
      <c r="E61" s="206" t="s">
        <v>507</v>
      </c>
      <c r="F61" s="207">
        <f>--ISNUMBER(IFERROR(SEARCH('PLANILLA DJ'!$X$3,$A61,1),""))</f>
        <v>1</v>
      </c>
      <c r="G61" s="207">
        <f>--ISNUMBER(IFERROR(SEARCH('PLANILLA DJ'!$X$4,$A61,1),""))</f>
        <v>1</v>
      </c>
      <c r="H61" s="207">
        <f>--ISNUMBER(IFERROR(SEARCH('PLANILLA DJ'!$X$5,$A61,1),""))</f>
        <v>1</v>
      </c>
      <c r="I61" s="207">
        <f>--ISNUMBER(IFERROR(SEARCH('PLANILLA DJ'!$X$6,$A61,1),""))</f>
        <v>1</v>
      </c>
      <c r="J61" s="207">
        <f>--ISNUMBER(IFERROR(SEARCH('PLANILLA DJ'!$X$7,$A61,1),""))</f>
        <v>1</v>
      </c>
      <c r="K61" s="207">
        <f>--ISNUMBER(IFERROR(SEARCH('PLANILLA DJ'!$X$8,$A61,1),""))</f>
        <v>1</v>
      </c>
      <c r="L61" s="207">
        <f>--ISNUMBER(IFERROR(SEARCH('PLANILLA DJ'!$X$9,$A61,1),""))</f>
        <v>1</v>
      </c>
      <c r="M61" s="207">
        <f>--ISNUMBER(IFERROR(SEARCH('PLANILLA DJ'!$X$10,$A61,1),""))</f>
        <v>1</v>
      </c>
      <c r="N61" s="207">
        <f>--ISNUMBER(IFERROR(SEARCH('PLANILLA DJ'!$X$11,$A61,1),""))</f>
        <v>1</v>
      </c>
      <c r="O61" s="207">
        <f>--ISNUMBER(IFERROR(SEARCH('PLANILLA DJ'!$X$12,$A61,1),""))</f>
        <v>1</v>
      </c>
      <c r="P61" s="207">
        <f>--ISNUMBER(IFERROR(SEARCH('PLANILLA DJ'!$X$13,$A61,1),""))</f>
        <v>1</v>
      </c>
      <c r="Q61" s="207">
        <f>--ISNUMBER(IFERROR(SEARCH('PLANILLA DJ'!$X$14,$A61,1),""))</f>
        <v>1</v>
      </c>
      <c r="R61" s="207">
        <f>--ISNUMBER(IFERROR(SEARCH('PLANILLA DJ'!$X$15,$A61,1),""))</f>
        <v>1</v>
      </c>
      <c r="S61" s="207">
        <f>--ISNUMBER(IFERROR(SEARCH('PLANILLA DJ'!$X$16,$A61,1),""))</f>
        <v>1</v>
      </c>
      <c r="T61" s="207">
        <f>--ISNUMBER(IFERROR(SEARCH('PLANILLA DJ'!$X$17,$A61,1),""))</f>
        <v>1</v>
      </c>
      <c r="U61" s="207">
        <f>--ISNUMBER(IFERROR(SEARCH('PLANILLA DJ'!$X$18,$A61,1),""))</f>
        <v>1</v>
      </c>
      <c r="V61" s="207">
        <f>--ISNUMBER(IFERROR(SEARCH('PLANILLA DJ'!$X$19,$A61,1),""))</f>
        <v>1</v>
      </c>
      <c r="W61" s="207">
        <f>--ISNUMBER(IFERROR(SEARCH('PLANILLA DJ'!$X$20,$A61,1),""))</f>
        <v>1</v>
      </c>
      <c r="X61" s="207">
        <f>--ISNUMBER(IFERROR(SEARCH('PLANILLA DJ'!$X$21,$A61,1),""))</f>
        <v>1</v>
      </c>
      <c r="Y61" s="207">
        <f>--ISNUMBER(IFERROR(SEARCH('PLANILLA DJ'!$X$22,$A61,1),""))</f>
        <v>1</v>
      </c>
      <c r="Z61" s="207">
        <f>--ISNUMBER(IFERROR(SEARCH('PLANILLA DJ'!$X$23,$A61,1),""))</f>
        <v>1</v>
      </c>
      <c r="AA61" s="207">
        <f>--ISNUMBER(IFERROR(SEARCH('PLANILLA DJ'!$X$24,$A61,1),""))</f>
        <v>1</v>
      </c>
      <c r="AB61" s="207">
        <f>--ISNUMBER(IFERROR(SEARCH('PLANILLA DJ'!$X$25,$A61,1),""))</f>
        <v>1</v>
      </c>
      <c r="AC61" s="207">
        <f>--ISNUMBER(IFERROR(SEARCH('PLANILLA DJ'!$X$26,$A61,1),""))</f>
        <v>1</v>
      </c>
      <c r="AD61" s="207">
        <f>--ISNUMBER(IFERROR(SEARCH('PLANILLA DJ'!$X$27,$A61,1),""))</f>
        <v>1</v>
      </c>
      <c r="AE61" s="207">
        <f>--ISNUMBER(IFERROR(SEARCH('PLANILLA DJ'!$X$28,$A61,1),""))</f>
        <v>1</v>
      </c>
      <c r="AF61" s="207">
        <f>--ISNUMBER(IFERROR(SEARCH('PLANILLA DJ'!$X$29,$A61,1),""))</f>
        <v>1</v>
      </c>
      <c r="AG61" s="207">
        <f>--ISNUMBER(IFERROR(SEARCH('PLANILLA DJ'!$X$30,$A61,1),""))</f>
        <v>1</v>
      </c>
      <c r="AH61" s="207">
        <f>--ISNUMBER(IFERROR(SEARCH('PLANILLA DJ'!$X$31,$A61,1),""))</f>
        <v>1</v>
      </c>
      <c r="AI61" s="207">
        <f>--ISNUMBER(IFERROR(SEARCH('PLANILLA DJ'!$X$32,$A61,1),""))</f>
        <v>1</v>
      </c>
      <c r="AJ61" s="207">
        <f>--ISNUMBER(IFERROR(SEARCH('PLANILLA DJ'!$X$33,$A61,1),""))</f>
        <v>1</v>
      </c>
      <c r="AK61" s="207">
        <f>--ISNUMBER(IFERROR(SEARCH('PLANILLA DJ'!$X$34,$A61,1),""))</f>
        <v>1</v>
      </c>
      <c r="AL61" s="207">
        <f>--ISNUMBER(IFERROR(SEARCH('PLANILLA DJ'!$X$35,$A61,1),""))</f>
        <v>1</v>
      </c>
      <c r="AM61" s="207">
        <f>--ISNUMBER(IFERROR(SEARCH('PLANILLA DJ'!$X$36,$A61,1),""))</f>
        <v>1</v>
      </c>
      <c r="AN61" s="207">
        <f>--ISNUMBER(IFERROR(SEARCH('PLANILLA DJ'!$X$37,$A61,1),""))</f>
        <v>1</v>
      </c>
      <c r="AO61" s="207">
        <f>--ISNUMBER(IFERROR(SEARCH('PLANILLA DJ'!$X$38,$A61,1),""))</f>
        <v>1</v>
      </c>
      <c r="AP61" s="207">
        <f>--ISNUMBER(IFERROR(SEARCH('PLANILLA DJ'!$X$39,$A61,1),""))</f>
        <v>1</v>
      </c>
      <c r="AQ61" s="207">
        <f>--ISNUMBER(IFERROR(SEARCH('PLANILLA DJ'!$X$40,$A61,1),""))</f>
        <v>1</v>
      </c>
      <c r="AR61" s="207">
        <f>--ISNUMBER(IFERROR(SEARCH('PLANILLA DJ'!$X$41,$A61,1),""))</f>
        <v>1</v>
      </c>
      <c r="AS61" s="207">
        <f>--ISNUMBER(IFERROR(SEARCH('PLANILLA DJ'!$X$42,$A61,1),""))</f>
        <v>1</v>
      </c>
      <c r="AT61" s="207">
        <f>--ISNUMBER(IFERROR(SEARCH('PLANILLA DJ'!$X$43,$A61,1),""))</f>
        <v>1</v>
      </c>
      <c r="AU61" s="207">
        <f>--ISNUMBER(IFERROR(SEARCH('PLANILLA DJ'!$X$44,$A61,1),""))</f>
        <v>1</v>
      </c>
      <c r="AV61" s="207">
        <f>--ISNUMBER(IFERROR(SEARCH('PLANILLA DJ'!$X$45,$A61,1),""))</f>
        <v>1</v>
      </c>
      <c r="AW61" s="207">
        <f>--ISNUMBER(IFERROR(SEARCH('PLANILLA DJ'!$X$46,$A61,1),""))</f>
        <v>1</v>
      </c>
      <c r="AX61" s="207">
        <f>--ISNUMBER(IFERROR(SEARCH('PLANILLA DJ'!$X$47,$A61,1),""))</f>
        <v>1</v>
      </c>
      <c r="AY61" s="207">
        <f>--ISNUMBER(IFERROR(SEARCH('PLANILLA DJ'!$X$48,$A61,1),""))</f>
        <v>1</v>
      </c>
      <c r="AZ61" s="207">
        <f>--ISNUMBER(IFERROR(SEARCH('PLANILLA DJ'!$X$49,$A61,1),""))</f>
        <v>1</v>
      </c>
      <c r="BA61" s="207">
        <f>--ISNUMBER(IFERROR(SEARCH('PLANILLA DJ'!$X$50,$A61,1),""))</f>
        <v>1</v>
      </c>
      <c r="BB61" s="207">
        <f>--ISNUMBER(IFERROR(SEARCH('PLANILLA DJ'!$X$51,$A61,1),""))</f>
        <v>1</v>
      </c>
      <c r="BC61" s="207">
        <f>--ISNUMBER(IFERROR(SEARCH('PLANILLA DJ'!$X$52,$A61,1),""))</f>
        <v>1</v>
      </c>
      <c r="BD61" s="207">
        <f>--ISNUMBER(IFERROR(SEARCH('PLANILLA DJ'!$X$53,$A61,1),""))</f>
        <v>1</v>
      </c>
      <c r="BE61" s="207">
        <f>--ISNUMBER(IFERROR(SEARCH('PLANILLA DJ'!$X$54,$A61,1),""))</f>
        <v>1</v>
      </c>
      <c r="BF61" s="207">
        <f>--ISNUMBER(IFERROR(SEARCH('PLANILLA DJ'!$X$55,$A61,1),""))</f>
        <v>1</v>
      </c>
      <c r="BG61" s="207">
        <f>--ISNUMBER(IFERROR(SEARCH('PLANILLA DJ'!$X$56,$A61,1),""))</f>
        <v>1</v>
      </c>
      <c r="BH61" s="207">
        <f>--ISNUMBER(IFERROR(SEARCH('PLANILLA DJ'!$X$57,$A61,1),""))</f>
        <v>1</v>
      </c>
      <c r="BI61" s="207">
        <f>--ISNUMBER(IFERROR(SEARCH('PLANILLA DJ'!$X$58,$A61,1),""))</f>
        <v>1</v>
      </c>
      <c r="BJ61" s="207">
        <f>--ISNUMBER(IFERROR(SEARCH('PLANILLA DJ'!$X$59,$A61,1),""))</f>
        <v>1</v>
      </c>
      <c r="BK61" s="207">
        <f>--ISNUMBER(IFERROR(SEARCH('PLANILLA DJ'!$X$60,$A61,1),""))</f>
        <v>1</v>
      </c>
      <c r="BL61" s="207">
        <f>--ISNUMBER(IFERROR(SEARCH('PLANILLA DJ'!$X$61,$A61,1),""))</f>
        <v>1</v>
      </c>
      <c r="BM61" s="207">
        <f>--ISNUMBER(IFERROR(SEARCH('PLANILLA DJ'!$X$62,$A61,1),""))</f>
        <v>1</v>
      </c>
      <c r="BN61" s="207">
        <f>--ISNUMBER(IFERROR(SEARCH('PLANILLA DJ'!$X$63,$A61,1),""))</f>
        <v>1</v>
      </c>
      <c r="BO61" s="207">
        <f>--ISNUMBER(IFERROR(SEARCH('PLANILLA DJ'!$X$64,$A61,1),""))</f>
        <v>1</v>
      </c>
      <c r="BP61" s="207">
        <f>--ISNUMBER(IFERROR(SEARCH('PLANILLA DJ'!$X$65,$A61,1),""))</f>
        <v>1</v>
      </c>
      <c r="BQ61" s="207">
        <f>--ISNUMBER(IFERROR(SEARCH('PLANILLA DJ'!$X$66,$A61,1),""))</f>
        <v>1</v>
      </c>
      <c r="BR61" s="207">
        <f>--ISNUMBER(IFERROR(SEARCH('PLANILLA DJ'!$X$67,$A61,1),""))</f>
        <v>1</v>
      </c>
      <c r="BS61" s="207">
        <f>--ISNUMBER(IFERROR(SEARCH('PLANILLA DJ'!$X$68,$A61,1),""))</f>
        <v>1</v>
      </c>
      <c r="BT61" s="207">
        <f>--ISNUMBER(IFERROR(SEARCH('PLANILLA DJ'!$X$69,$A61,1),""))</f>
        <v>1</v>
      </c>
      <c r="BU61" s="207">
        <f>--ISNUMBER(IFERROR(SEARCH('PLANILLA DJ'!$X$70,$A61,1),""))</f>
        <v>1</v>
      </c>
      <c r="BV61" s="207">
        <f>--ISNUMBER(IFERROR(SEARCH('PLANILLA DJ'!$X$71,$A61,1),""))</f>
        <v>1</v>
      </c>
      <c r="BW61" s="207">
        <f>--ISNUMBER(IFERROR(SEARCH('PLANILLA DJ'!$X$72,$A61,1),""))</f>
        <v>1</v>
      </c>
      <c r="BX61" s="207">
        <f>--ISNUMBER(IFERROR(SEARCH('PLANILLA DJ'!$X$73,$A61,1),""))</f>
        <v>1</v>
      </c>
      <c r="BY61" s="207">
        <f>--ISNUMBER(IFERROR(SEARCH('PLANILLA DJ'!$X$74,$A61,1),""))</f>
        <v>1</v>
      </c>
      <c r="BZ61" s="207">
        <f>--ISNUMBER(IFERROR(SEARCH('PLANILLA DJ'!$X$75,$A61,1),""))</f>
        <v>1</v>
      </c>
      <c r="CA61" s="207">
        <f>--ISNUMBER(IFERROR(SEARCH('PLANILLA DJ'!$X$76,$A61,1),""))</f>
        <v>1</v>
      </c>
      <c r="CB61" s="207">
        <f>--ISNUMBER(IFERROR(SEARCH('PLANILLA DJ'!$X$77,$A61,1),""))</f>
        <v>1</v>
      </c>
      <c r="CC61" s="207">
        <f>--ISNUMBER(IFERROR(SEARCH('PLANILLA DJ'!$X$78,$A61,1),""))</f>
        <v>1</v>
      </c>
      <c r="CD61" s="207">
        <f>--ISNUMBER(IFERROR(SEARCH('PLANILLA DJ'!$X$79,$A61,1),""))</f>
        <v>1</v>
      </c>
      <c r="CE61" s="207">
        <f>--ISNUMBER(IFERROR(SEARCH('PLANILLA DJ'!$X$80,$A61,1),""))</f>
        <v>1</v>
      </c>
      <c r="CF61" s="207">
        <f>--ISNUMBER(IFERROR(SEARCH('PLANILLA DJ'!$X$81,$A61,1),""))</f>
        <v>1</v>
      </c>
      <c r="CG61" s="207">
        <f>--ISNUMBER(IFERROR(SEARCH('PLANILLA DJ'!$X$82,$A61,1),""))</f>
        <v>1</v>
      </c>
      <c r="CH61" s="207">
        <f>--ISNUMBER(IFERROR(SEARCH('PLANILLA DJ'!$X$83,$A61,1),""))</f>
        <v>1</v>
      </c>
      <c r="CI61" s="207">
        <f>--ISNUMBER(IFERROR(SEARCH('PLANILLA DJ'!$X$84,$A61,1),""))</f>
        <v>1</v>
      </c>
      <c r="CJ61" s="207">
        <f>--ISNUMBER(IFERROR(SEARCH('PLANILLA DJ'!$X$85,$A61,1),""))</f>
        <v>1</v>
      </c>
      <c r="CK61" s="207">
        <f>--ISNUMBER(IFERROR(SEARCH('PLANILLA DJ'!$X$86,$A61,1),""))</f>
        <v>1</v>
      </c>
      <c r="CL61" s="207">
        <f>--ISNUMBER(IFERROR(SEARCH('PLANILLA DJ'!$X$87,$A61,1),""))</f>
        <v>1</v>
      </c>
      <c r="CM61" s="207">
        <f>--ISNUMBER(IFERROR(SEARCH('PLANILLA DJ'!$X$88,$A61,1),""))</f>
        <v>1</v>
      </c>
      <c r="CN61" s="207">
        <f>--ISNUMBER(IFERROR(SEARCH('PLANILLA DJ'!$X$89,$A61,1),""))</f>
        <v>1</v>
      </c>
      <c r="CO61" s="207">
        <f>--ISNUMBER(IFERROR(SEARCH('PLANILLA DJ'!$X$90,$A61,1),""))</f>
        <v>1</v>
      </c>
      <c r="CP61" s="207">
        <f>--ISNUMBER(IFERROR(SEARCH('PLANILLA DJ'!$X$91,$A61,1),""))</f>
        <v>1</v>
      </c>
      <c r="CQ61" s="207">
        <f>--ISNUMBER(IFERROR(SEARCH('PLANILLA DJ'!$X$92,$A61,1),""))</f>
        <v>1</v>
      </c>
      <c r="CR61" s="207">
        <f>--ISNUMBER(IFERROR(SEARCH('PLANILLA DJ'!$X$93,$A61,1),""))</f>
        <v>1</v>
      </c>
      <c r="CS61" s="207">
        <f>--ISNUMBER(IFERROR(SEARCH('PLANILLA DJ'!$X$94,$A61,1),""))</f>
        <v>1</v>
      </c>
      <c r="CT61" s="207">
        <f>--ISNUMBER(IFERROR(SEARCH('PLANILLA DJ'!$X$95,$A61,1),""))</f>
        <v>1</v>
      </c>
      <c r="CU61" s="207">
        <f>--ISNUMBER(IFERROR(SEARCH('PLANILLA DJ'!$X$96,$A61,1),""))</f>
        <v>1</v>
      </c>
      <c r="CV61" s="207">
        <f>--ISNUMBER(IFERROR(SEARCH('PLANILLA DJ'!$X$97,$A61,1),""))</f>
        <v>1</v>
      </c>
      <c r="CW61" s="207">
        <f>--ISNUMBER(IFERROR(SEARCH('PLANILLA DJ'!$X$98,$A61,1),""))</f>
        <v>1</v>
      </c>
      <c r="CX61" s="207">
        <f>--ISNUMBER(IFERROR(SEARCH('PLANILLA DJ'!$X$99,$A61,1),""))</f>
        <v>1</v>
      </c>
      <c r="CY61" s="207">
        <f>--ISNUMBER(IFERROR(SEARCH('PLANILLA DJ'!$X$100,$A61,1),""))</f>
        <v>1</v>
      </c>
      <c r="CZ61" s="207">
        <f>--ISNUMBER(IFERROR(SEARCH('PLANILLA DJ'!$X$101,$A61,1),""))</f>
        <v>1</v>
      </c>
      <c r="DA61" s="207">
        <f>--ISNUMBER(IFERROR(SEARCH('PLANILLA DJ'!$X$102,$A61,1),""))</f>
        <v>1</v>
      </c>
      <c r="DB61" s="206">
        <f>IF(F61=1,COUNTIF($F$2:F61,1),"")</f>
        <v>60</v>
      </c>
      <c r="DC61" s="206">
        <f>IF(G61=1,COUNTIF($G$2:G61,1),"")</f>
        <v>60</v>
      </c>
      <c r="DD61" s="206">
        <f>IF(H61=1,COUNTIF($H$2:H61,1),"")</f>
        <v>60</v>
      </c>
      <c r="DE61" s="206">
        <f>IF(I61=1,COUNTIF($I$2:I61,1),"")</f>
        <v>60</v>
      </c>
      <c r="DF61" s="206">
        <f>IF(J61=1,COUNTIF($J$2:J61,1),"")</f>
        <v>60</v>
      </c>
      <c r="DG61" s="206">
        <f>IF(K61=1,COUNTIF($K$2:K61,1),"")</f>
        <v>60</v>
      </c>
      <c r="DH61" s="206">
        <f>IF(L61=1,COUNTIF($L$2:L61,1),"")</f>
        <v>60</v>
      </c>
      <c r="DI61" s="206">
        <f>IF(M61=1,COUNTIF($M$2:M61,1),"")</f>
        <v>60</v>
      </c>
      <c r="DJ61" s="206">
        <f>IF(N61=1,COUNTIF($N$2:N61,1),"")</f>
        <v>60</v>
      </c>
      <c r="DK61" s="206">
        <f>IF(O61=1,COUNTIF($O$2:O61,1),"")</f>
        <v>60</v>
      </c>
      <c r="DL61" s="206">
        <f>IF(P61=1,COUNTIF($P$2:P61,1),"")</f>
        <v>60</v>
      </c>
      <c r="DM61" s="206">
        <f>IF(Q61=1,COUNTIF($Q$2:Q61,1),"")</f>
        <v>60</v>
      </c>
      <c r="DN61" s="207">
        <f>IF(R61=1,COUNTIF($R$2:R61,1),"")</f>
        <v>60</v>
      </c>
      <c r="DO61" s="207">
        <f>IF(S61=1,COUNTIF($S$2:S61,1),"")</f>
        <v>60</v>
      </c>
      <c r="DP61" s="207">
        <f>IF(T61=1,COUNTIF($T$2:T61,1),"")</f>
        <v>60</v>
      </c>
      <c r="DQ61" s="207">
        <f>IF(U61=1,COUNTIF($U$2:U61,1),"")</f>
        <v>60</v>
      </c>
      <c r="DR61" s="207">
        <f>IF(V61=1,COUNTIF($V$2:V61,1),"")</f>
        <v>60</v>
      </c>
      <c r="DS61" s="207">
        <f>IF(W61=1,COUNTIF($W$2:W61,1),"")</f>
        <v>60</v>
      </c>
      <c r="DT61" s="207">
        <f>IF(X61=1,COUNTIF($X$2:X61,1),"")</f>
        <v>60</v>
      </c>
      <c r="DU61" s="207">
        <f>IF(Y61=1,COUNTIF($Y$2:Y61,1),"")</f>
        <v>60</v>
      </c>
      <c r="DV61" s="207">
        <f>IF(Z61=1,COUNTIF(Z$2:Z61,1),"")</f>
        <v>60</v>
      </c>
      <c r="DW61" s="207">
        <f>IF(AA61=1,COUNTIF($AA$2:AA61,1),"")</f>
        <v>60</v>
      </c>
      <c r="DX61" s="207">
        <f>IF(AB61=1,COUNTIF($AB$2:AB61,1),"")</f>
        <v>60</v>
      </c>
      <c r="DY61" s="207">
        <f>IF(AC61=1,COUNTIF($AC$2:AC61,1),"")</f>
        <v>60</v>
      </c>
      <c r="DZ61" s="207">
        <f>IF(AD61=1,COUNTIF($AD$2:AD61,1),"")</f>
        <v>60</v>
      </c>
      <c r="EA61" s="207">
        <f>IF(AE61=1,COUNTIF($AE$2:AE61,1),"")</f>
        <v>60</v>
      </c>
      <c r="EB61" s="207">
        <f>IF(AF61=1,COUNTIF($AF$2:AF61,1),"")</f>
        <v>60</v>
      </c>
      <c r="EC61" s="207">
        <f>IF(AG61=1,COUNTIF($AG$2:AG61,1),"")</f>
        <v>60</v>
      </c>
      <c r="ED61" s="207">
        <f>IF(AH61=1,COUNTIF($AH$2:AH61,1),"")</f>
        <v>60</v>
      </c>
      <c r="EE61" s="207">
        <f>IF(AI61=1,COUNTIF($AI$2:AI61,1),"")</f>
        <v>60</v>
      </c>
      <c r="EF61" s="207">
        <f>IF(AJ61=1,COUNTIF($AJ$2:AJ61,1),"")</f>
        <v>60</v>
      </c>
      <c r="EG61" s="207">
        <f>IF(AK61=1,COUNTIF($AK$2:AK61,1),"")</f>
        <v>60</v>
      </c>
      <c r="EH61" s="207">
        <f>IF(AL61=1,COUNTIF($AL$2:AL61,1),"")</f>
        <v>60</v>
      </c>
      <c r="EI61" s="207">
        <f>IF(AM61=1,COUNTIF($AM$2:AM61,1),"")</f>
        <v>60</v>
      </c>
      <c r="EJ61" s="207">
        <f>IF(AN61=1,COUNTIF($AN$2:AN61,1),"")</f>
        <v>60</v>
      </c>
      <c r="EK61" s="207">
        <f>IF(AO61=1,COUNTIF($AO$2:AO61,1),"")</f>
        <v>60</v>
      </c>
      <c r="EL61" s="207">
        <f>IF(AP61=1,COUNTIF($AP$2:AP61,1),"")</f>
        <v>60</v>
      </c>
      <c r="EM61" s="207">
        <f>IF(AQ61=1,COUNTIF($AQ$2:AQ61,1),"")</f>
        <v>60</v>
      </c>
      <c r="EN61" s="207">
        <f>IF(AR61=1,COUNTIF($AR$2:AR61,1),"")</f>
        <v>60</v>
      </c>
      <c r="EO61" s="207">
        <f>IF(AS61=1,COUNTIF($AS$2:AS61,1),"")</f>
        <v>60</v>
      </c>
      <c r="EP61" s="207">
        <f>IF(AT61=1,COUNTIF($AT$2:AT61,1),"")</f>
        <v>60</v>
      </c>
      <c r="EQ61" s="207">
        <f>IF(AU61=1,COUNTIF($AU$2:AU61,1),"")</f>
        <v>60</v>
      </c>
      <c r="ER61" s="207">
        <f>IF(AV61=1,COUNTIF($AV$2:AV61,1),"")</f>
        <v>60</v>
      </c>
      <c r="ES61" s="207">
        <f>IF(AW61=1,COUNTIF($AW$2:AW61,1),"")</f>
        <v>60</v>
      </c>
      <c r="ET61" s="207">
        <f>IF(AX61=1,COUNTIF($AX$2:AX61,1),"")</f>
        <v>60</v>
      </c>
      <c r="EU61" s="207">
        <f>IF(AY61=1,COUNTIF($AY$2:AY61,1),"")</f>
        <v>60</v>
      </c>
      <c r="EV61" s="207">
        <f>IF(AZ61=1,COUNTIF($AZ$2:AZ61,1),"")</f>
        <v>60</v>
      </c>
      <c r="EW61" s="207">
        <f>IF(BA61=1,COUNTIF($BA$2:BA61,1),"")</f>
        <v>60</v>
      </c>
      <c r="EX61" s="207">
        <f>IF(BB61=1,COUNTIF($BB$2:BB61,1),"")</f>
        <v>60</v>
      </c>
      <c r="EY61" s="207">
        <f>IF(BC61=1,COUNTIF($BC$2:BC61,1),"")</f>
        <v>60</v>
      </c>
      <c r="EZ61" s="207">
        <f>IF(BD61=1,COUNTIF($BD$2:BD61,1),"")</f>
        <v>60</v>
      </c>
      <c r="FA61" s="207">
        <f>IF(BE61=1,COUNTIF($BE$2:BE61,1),"")</f>
        <v>60</v>
      </c>
      <c r="FB61" s="207">
        <f>IF(BF61=1,COUNTIF($BF$2:BF61,1),"")</f>
        <v>60</v>
      </c>
      <c r="FC61" s="207">
        <f>IF(BG61=1,COUNTIF($BG$2:BG61,1),"")</f>
        <v>60</v>
      </c>
      <c r="FD61" s="207">
        <f>IF(BH61=1,COUNTIF($BH$2:BH61,1),"")</f>
        <v>60</v>
      </c>
      <c r="FE61" s="207">
        <f>IF(BI61=1,COUNTIF($BI$2:BI61,1),"")</f>
        <v>60</v>
      </c>
      <c r="FF61" s="207">
        <f>IF(BJ61=1,COUNTIF($BJ$2:BJ61,1),"")</f>
        <v>60</v>
      </c>
      <c r="FG61" s="207">
        <f>IF(BK61=1,COUNTIF($BK$2:BK61,1),"")</f>
        <v>60</v>
      </c>
      <c r="FH61" s="207">
        <f>IF(BL61=1,COUNTIF($BL$2:BL61,1),"")</f>
        <v>60</v>
      </c>
      <c r="FI61" s="207">
        <f>IF(BM61=1,COUNTIF($BM$2:BM61,1),"")</f>
        <v>60</v>
      </c>
      <c r="FJ61" s="207">
        <f>IF(BN61=1,COUNTIF($BN$2:BN61,1),"")</f>
        <v>60</v>
      </c>
      <c r="FK61" s="207">
        <f>IF(BO61=1,COUNTIF($BO$2:BO61,1),"")</f>
        <v>60</v>
      </c>
      <c r="FL61" s="207">
        <f>IF(BP61=1,COUNTIF($BP$2:BP61,1),"")</f>
        <v>60</v>
      </c>
      <c r="FM61" s="207">
        <f>IF(BQ61=1,COUNTIF($BQ$2:BQ61,1),"")</f>
        <v>60</v>
      </c>
      <c r="FN61" s="207">
        <f>IF(BR61=1,COUNTIF($BR$2:BR61,1),"")</f>
        <v>60</v>
      </c>
      <c r="FO61" s="207">
        <f>IF(BS61=1,COUNTIF($BS$2:BS61,1),"")</f>
        <v>60</v>
      </c>
      <c r="FP61" s="207">
        <f>IF(BT61=1,COUNTIF($BT$2:BT61,1),"")</f>
        <v>60</v>
      </c>
      <c r="FQ61" s="207">
        <f>IF(BU61=1,COUNTIF($BU$2:BU61,1),"")</f>
        <v>60</v>
      </c>
      <c r="FR61" s="207">
        <f>IF(BV61=1,COUNTIF($BV$2:BV61,1),"")</f>
        <v>60</v>
      </c>
      <c r="FS61" s="207">
        <f>IF(BW61=1,COUNTIF($BW$2:BW61,1),"")</f>
        <v>60</v>
      </c>
      <c r="FT61" s="207">
        <f>IF(BX61=1,COUNTIF($BX$2:BX61,1),"")</f>
        <v>60</v>
      </c>
      <c r="FU61" s="207">
        <f>IF(BY61=1,COUNTIF($BY$2:BY61,1),"")</f>
        <v>60</v>
      </c>
      <c r="FV61" s="207">
        <f>IF(BZ61=1,COUNTIF($BZ$2:BZ61,1),"")</f>
        <v>60</v>
      </c>
      <c r="FW61" s="207">
        <f>IF(CA61=1,COUNTIF($CA$2:CA61,1),"")</f>
        <v>60</v>
      </c>
      <c r="FX61" s="207">
        <f>IF(CB61=1,COUNTIF($CB$2:CB61,1),"")</f>
        <v>60</v>
      </c>
      <c r="FY61" s="207">
        <f>IF(CC61=1,COUNTIF($CC$2:CC61,1),"")</f>
        <v>60</v>
      </c>
      <c r="FZ61" s="207">
        <f>IF(CD61=1,COUNTIF($CD$2:CD61,1),"")</f>
        <v>60</v>
      </c>
      <c r="GA61" s="207">
        <f>IF(CE61=1,COUNTIF($CE$2:CE61,1),"")</f>
        <v>60</v>
      </c>
      <c r="GB61" s="207">
        <f>IF(CF61=1,COUNTIF($CF$2:CF61,1),"")</f>
        <v>60</v>
      </c>
      <c r="GC61" s="207">
        <f>IF(CG61=1,COUNTIF($CG$2:CG61,1),"")</f>
        <v>60</v>
      </c>
      <c r="GD61" s="207">
        <f>IF(CH61=1,COUNTIF($CH$2:CH61,1),"")</f>
        <v>60</v>
      </c>
      <c r="GE61" s="207">
        <f>IF(CI61=1,COUNTIF($CI$2:CI61,1),"")</f>
        <v>60</v>
      </c>
      <c r="GF61" s="207">
        <f>IF(CJ61=1,COUNTIF($CJ$2:CJ61,1),"")</f>
        <v>60</v>
      </c>
      <c r="GG61" s="207">
        <f>IF(CK61=1,COUNTIF($CK$2:CK61,1),"")</f>
        <v>60</v>
      </c>
      <c r="GH61" s="207">
        <f>IF(CL61=1,COUNTIF($CL$2:CL61,1),"")</f>
        <v>60</v>
      </c>
      <c r="GI61" s="207">
        <f>IF(CM61=1,COUNTIF($CM$2:CM61,1),"")</f>
        <v>60</v>
      </c>
      <c r="GJ61" s="207">
        <f>IF(CN61=1,COUNTIF($CN$2:CN61,1),"")</f>
        <v>60</v>
      </c>
      <c r="GK61" s="207">
        <f>IF(CO61=1,COUNTIF($CO$2:CO61,1),"")</f>
        <v>60</v>
      </c>
      <c r="GL61" s="207">
        <f>IF(CP61=1,COUNTIF($CP$2:CP61,1),"")</f>
        <v>60</v>
      </c>
      <c r="GM61" s="207">
        <f>IF(CQ61=1,COUNTIF($CQ$2:CQ61,1),"")</f>
        <v>60</v>
      </c>
      <c r="GN61" s="207">
        <f>IF(CR61=1,COUNTIF($CR$2:CR61,1),"")</f>
        <v>60</v>
      </c>
      <c r="GO61" s="207">
        <f>IF(CS61=1,COUNTIF($CS$2:CS61,1),"")</f>
        <v>60</v>
      </c>
      <c r="GP61" s="207">
        <f>IF(CT61=1,COUNTIF($CT$2:CT61,1),"")</f>
        <v>60</v>
      </c>
      <c r="GQ61" s="207">
        <f>IF(CU61=1,COUNTIF($CU$2:CU61,1),"")</f>
        <v>60</v>
      </c>
      <c r="GR61" s="207">
        <f>IF(CV61=1,COUNTIF($CV$2:CV61,1),"")</f>
        <v>60</v>
      </c>
      <c r="GS61" s="207">
        <f>IF(CW61=1,COUNTIF($CW$2:CW61,1),"")</f>
        <v>60</v>
      </c>
      <c r="GT61" s="207">
        <f>IF(CX61=1,COUNTIF($CX$2:CX61,1),"")</f>
        <v>60</v>
      </c>
      <c r="GU61" s="207">
        <f>IF(CY61=1,COUNTIF($CY$2:CY61,1),"")</f>
        <v>60</v>
      </c>
      <c r="GV61" s="207">
        <f>IF(CZ61=1,COUNTIF($CZ$2:CZ61,1),"")</f>
        <v>60</v>
      </c>
      <c r="GW61" s="207">
        <f>IF(DA61=1,COUNTIF($DA$2:DA61,1),"")</f>
        <v>60</v>
      </c>
      <c r="GX61" s="206" t="str">
        <f>IFERROR(INDEX($A$2:$A$113,MATCH(ROWS($DB$2:DB61),$DB$2:$DB$113,0)),"")</f>
        <v>ESTAFAS Y DEFRAUDACIONES VIRTUALES</v>
      </c>
      <c r="GY61" s="206" t="str">
        <f>IFERROR(INDEX($A$2:$A$113,MATCH(ROWS($DC$2:DC61),$DC$2:$DC$113,0)),"")</f>
        <v>ESTAFAS Y DEFRAUDACIONES VIRTUALES</v>
      </c>
      <c r="GZ61" s="206" t="str">
        <f>IFERROR(INDEX($A$2:$A$113,MATCH(ROWS($DD$2:DD61),$DD$2:$DD$113,0)),"")</f>
        <v>ESTAFAS Y DEFRAUDACIONES VIRTUALES</v>
      </c>
      <c r="HA61" s="206" t="str">
        <f>IFERROR(INDEX($A$2:$A$113,MATCH(ROWS($DE$2:DE61),$DE$2:$DE$113,0)),"")</f>
        <v>ESTAFAS Y DEFRAUDACIONES VIRTUALES</v>
      </c>
      <c r="HB61" s="206" t="str">
        <f>IFERROR(INDEX($A$2:$A$113,MATCH(ROWS($DF$2:DF61),$DF$2:$DF$113,0)),"")</f>
        <v>ESTAFAS Y DEFRAUDACIONES VIRTUALES</v>
      </c>
      <c r="HC61" s="206" t="str">
        <f>IFERROR(INDEX($A$2:$A$113,MATCH(ROWS($DG$2:DG61),$DG$2:$DG$113,0)),"")</f>
        <v>ESTAFAS Y DEFRAUDACIONES VIRTUALES</v>
      </c>
      <c r="HD61" s="206" t="str">
        <f>IFERROR(INDEX($A$2:$A$113,MATCH(ROWS($DH$2:DH61),$DH$2:$DH$113,0)),"")</f>
        <v>ESTAFAS Y DEFRAUDACIONES VIRTUALES</v>
      </c>
      <c r="HE61" s="206" t="str">
        <f>IFERROR(INDEX($A$2:$A$113,MATCH(ROWS($DI$2:DI61),$DI$2:$DI$113,0)),"")</f>
        <v>ESTAFAS Y DEFRAUDACIONES VIRTUALES</v>
      </c>
      <c r="HF61" s="206" t="str">
        <f>IFERROR(INDEX($A$2:$A$113,MATCH(ROWS($DJ$2:DJ61),$DJ$2:$DJ$113,0)),"")</f>
        <v>ESTAFAS Y DEFRAUDACIONES VIRTUALES</v>
      </c>
      <c r="HG61" s="206" t="str">
        <f>IFERROR(INDEX($A$2:$A$113,MATCH(ROWS($DK$2:DK61),$DK$2:$DK$113,0)),"")</f>
        <v>ESTAFAS Y DEFRAUDACIONES VIRTUALES</v>
      </c>
      <c r="HH61" s="206" t="str">
        <f>IFERROR(INDEX($A$2:$A$113,MATCH(ROWS($DL$2:DL61),$DL$2:$DL$113,0)),"")</f>
        <v>ESTAFAS Y DEFRAUDACIONES VIRTUALES</v>
      </c>
      <c r="HI61" s="206" t="str">
        <f>IFERROR(INDEX($A$2:$A$113,MATCH(ROWS($DM$2:DM61),$DM$2:$DM$113,0)),"")</f>
        <v>ESTAFAS Y DEFRAUDACIONES VIRTUALES</v>
      </c>
      <c r="HJ61" s="206" t="str">
        <f>IFERROR(INDEX($A$2:$A$113,MATCH(ROWS($DN$2:DN61),$DN$2:$DN$113,0)),"")</f>
        <v>ESTAFAS Y DEFRAUDACIONES VIRTUALES</v>
      </c>
      <c r="HK61" s="206" t="str">
        <f>IFERROR(INDEX($A$2:$A$113,MATCH(ROWS($DO$2:DO61),$DO$2:$DO$113,0)),"")</f>
        <v>ESTAFAS Y DEFRAUDACIONES VIRTUALES</v>
      </c>
      <c r="HL61" s="206" t="str">
        <f>IFERROR(INDEX($A$2:$A$113,MATCH(ROWS($DP$2:DP61),$DP$2:$DP$113,0)),"")</f>
        <v>ESTAFAS Y DEFRAUDACIONES VIRTUALES</v>
      </c>
      <c r="HM61" s="206" t="str">
        <f>IFERROR(INDEX($A$2:$A$113,MATCH(ROWS($DQ$2:DQ61),$DQ$2:$DQ$113,0)),"")</f>
        <v>ESTAFAS Y DEFRAUDACIONES VIRTUALES</v>
      </c>
      <c r="HN61" s="206" t="str">
        <f>IFERROR(INDEX($A$2:$A$113,MATCH(ROWS($DR$2:DR61),$DR$2:$DR$113,0)),"")</f>
        <v>ESTAFAS Y DEFRAUDACIONES VIRTUALES</v>
      </c>
      <c r="HO61" s="206" t="str">
        <f>IFERROR(INDEX($A$2:$A$113,MATCH(ROWS($DS$2:DS61),$DS$2:$DS$113,0)),"")</f>
        <v>ESTAFAS Y DEFRAUDACIONES VIRTUALES</v>
      </c>
      <c r="HP61" s="206" t="str">
        <f>IFERROR(INDEX($A$2:$A$113,MATCH(ROWS($DT$2:DT61),$DT$2:$DT$113,0)),"")</f>
        <v>ESTAFAS Y DEFRAUDACIONES VIRTUALES</v>
      </c>
      <c r="HQ61" s="206" t="str">
        <f>IFERROR(INDEX($A$2:$A$113,MATCH(ROWS($DU$2:DU61),$DU$2:$DU$113,0)),"")</f>
        <v>ESTAFAS Y DEFRAUDACIONES VIRTUALES</v>
      </c>
      <c r="HR61" s="206" t="str">
        <f>IFERROR(INDEX($A$2:$A$113,MATCH(ROWS($DV$2:DV61),$DV$2:$DV$113,0)),"")</f>
        <v>ESTAFAS Y DEFRAUDACIONES VIRTUALES</v>
      </c>
      <c r="HS61" s="206" t="str">
        <f>IFERROR(INDEX($A$2:$A$113,MATCH(ROWS($DW$2:DW61),$DW$2:$DW$113,0)),"")</f>
        <v>ESTAFAS Y DEFRAUDACIONES VIRTUALES</v>
      </c>
      <c r="HT61" s="206" t="str">
        <f>IFERROR(INDEX($A$2:$A$113,MATCH(ROWS($DX$2:DX61),$DX$2:$DX$113,0)),"")</f>
        <v>ESTAFAS Y DEFRAUDACIONES VIRTUALES</v>
      </c>
      <c r="HU61" s="206" t="str">
        <f>IFERROR(INDEX($A$2:$A$113,MATCH(ROWS($DY$2:DY61),$DY$2:$DY$113,0)),"")</f>
        <v>ESTAFAS Y DEFRAUDACIONES VIRTUALES</v>
      </c>
      <c r="HV61" s="206" t="str">
        <f>IFERROR(INDEX($A$2:$A$113,MATCH(ROWS($DZ$2:DZ61),$DZ$2:$DZ$113,0)),"")</f>
        <v>ESTAFAS Y DEFRAUDACIONES VIRTUALES</v>
      </c>
      <c r="HW61" s="206" t="str">
        <f>IFERROR(INDEX($A$2:$A$113,MATCH(ROWS($EA$2:EA61),$EA$2:$EA$113,0)),"")</f>
        <v>ESTAFAS Y DEFRAUDACIONES VIRTUALES</v>
      </c>
      <c r="HX61" s="206" t="str">
        <f>IFERROR(INDEX($A$2:$A$113,MATCH(ROWS($EB$2:EB61),$EB$2:$EB$113,0)),"")</f>
        <v>ESTAFAS Y DEFRAUDACIONES VIRTUALES</v>
      </c>
      <c r="HY61" s="206" t="str">
        <f>IFERROR(INDEX($A$2:$A$113,MATCH(ROWS($EC$2:EC61),$EC$2:$EC$113,0)),"")</f>
        <v>ESTAFAS Y DEFRAUDACIONES VIRTUALES</v>
      </c>
      <c r="HZ61" s="206" t="str">
        <f>IFERROR(INDEX($A$2:$A$113,MATCH(ROWS($ED$2:ED61),$ED$2:$ED$113,0)),"")</f>
        <v>ESTAFAS Y DEFRAUDACIONES VIRTUALES</v>
      </c>
      <c r="IA61" s="206" t="str">
        <f>IFERROR(INDEX($A$2:$A$113,MATCH(ROWS($EE$2:EE61),$EE$2:$EE$113,0)),"")</f>
        <v>ESTAFAS Y DEFRAUDACIONES VIRTUALES</v>
      </c>
      <c r="IB61" s="206" t="str">
        <f>IFERROR(INDEX($A$2:$A$113,MATCH(ROWS($EF$2:EF61),$EF$2:$EF$113,0)),"")</f>
        <v>ESTAFAS Y DEFRAUDACIONES VIRTUALES</v>
      </c>
      <c r="IC61" s="206" t="str">
        <f>IFERROR(INDEX($A$2:$A$113,MATCH(ROWS($EG$2:EG61),$EG$2:$EG$113,0)),"")</f>
        <v>ESTAFAS Y DEFRAUDACIONES VIRTUALES</v>
      </c>
      <c r="ID61" s="206" t="str">
        <f>IFERROR(INDEX($A$2:$A$113,MATCH(ROWS($EH$2:EH61),$EH$2:$EH$113,0)),"")</f>
        <v>ESTAFAS Y DEFRAUDACIONES VIRTUALES</v>
      </c>
      <c r="IE61" s="206" t="str">
        <f>IFERROR(INDEX($A$2:$A$113,MATCH(ROWS($EI$2:EI61),$EI$2:$EI$113,0)),"")</f>
        <v>ESTAFAS Y DEFRAUDACIONES VIRTUALES</v>
      </c>
      <c r="IF61" s="206" t="str">
        <f>IFERROR(INDEX($A$2:$A$113,MATCH(ROWS($EJ$2:EJ61),$EJ$2:$EJ$113,0)),"")</f>
        <v>ESTAFAS Y DEFRAUDACIONES VIRTUALES</v>
      </c>
      <c r="IG61" s="206" t="str">
        <f>IFERROR(INDEX($A$2:$A$113,MATCH(ROWS($EK$2:EK61),$EK$2:$EK$113,0)),"")</f>
        <v>ESTAFAS Y DEFRAUDACIONES VIRTUALES</v>
      </c>
      <c r="IH61" s="206" t="str">
        <f>IFERROR(INDEX($A$2:$A$113,MATCH(ROWS($EL$2:EL61),$EL$2:$EL$113,0)),"")</f>
        <v>ESTAFAS Y DEFRAUDACIONES VIRTUALES</v>
      </c>
      <c r="II61" s="206" t="str">
        <f>IFERROR(INDEX($A$2:$A$113,MATCH(ROWS($EM$2:EM61),$EM$2:$EM$113,0)),"")</f>
        <v>ESTAFAS Y DEFRAUDACIONES VIRTUALES</v>
      </c>
      <c r="IJ61" s="206" t="str">
        <f>IFERROR(INDEX($A$2:$A$113,MATCH(ROWS($EN$2:EN61),$EN$2:$EN$113,0)),"")</f>
        <v>ESTAFAS Y DEFRAUDACIONES VIRTUALES</v>
      </c>
      <c r="IK61" s="207" t="str">
        <f>IFERROR(INDEX($A$2:$A$113,MATCH(ROWS($EO$2:EO61),$EO$2:$EO$113,0)),"")</f>
        <v>ESTAFAS Y DEFRAUDACIONES VIRTUALES</v>
      </c>
      <c r="IL61" s="207" t="str">
        <f>IFERROR(INDEX($A$2:$A$113,MATCH(ROWS($EP$2:EP61),$EP$2:$EP$113,0)),"")</f>
        <v>ESTAFAS Y DEFRAUDACIONES VIRTUALES</v>
      </c>
      <c r="IM61" s="207" t="str">
        <f>IFERROR(INDEX($A$2:$A$113,MATCH(ROWS($EQ$2:EQ61),$EQ$2:$EQ$113,0)),"")</f>
        <v>ESTAFAS Y DEFRAUDACIONES VIRTUALES</v>
      </c>
      <c r="IN61" s="207" t="str">
        <f>IFERROR(INDEX($A$2:$A$113,MATCH(ROWS($ER$2:ER61),$ER$2:$ER$113,0)),"")</f>
        <v>ESTAFAS Y DEFRAUDACIONES VIRTUALES</v>
      </c>
      <c r="IO61" s="207" t="str">
        <f>IFERROR(INDEX($A$2:$A$113,MATCH(ROWS($ES$2:ES61),$ES$2:$ES$113,0)),"")</f>
        <v>ESTAFAS Y DEFRAUDACIONES VIRTUALES</v>
      </c>
      <c r="IP61" s="207" t="str">
        <f>IFERROR(INDEX($A$2:$A$113,MATCH(ROWS($ET$2:ET61),$ET$2:$ET$113,0)),"")</f>
        <v>ESTAFAS Y DEFRAUDACIONES VIRTUALES</v>
      </c>
      <c r="IQ61" s="207" t="str">
        <f>IFERROR(INDEX($A$2:$A$113,MATCH(ROWS($EU$2:EU61),$EU$2:$EU$113,0)),"")</f>
        <v>ESTAFAS Y DEFRAUDACIONES VIRTUALES</v>
      </c>
      <c r="IR61" s="207" t="str">
        <f>IFERROR(INDEX($A$2:$A$113,MATCH(ROWS($EV$2:EV61),$EV$2:$EV$113,0)),"")</f>
        <v>ESTAFAS Y DEFRAUDACIONES VIRTUALES</v>
      </c>
      <c r="IS61" s="207" t="str">
        <f>IFERROR(INDEX($A$2:$A$113,MATCH(ROWS($EW$2:EW61),$EW$2:$EW$113,0)),"")</f>
        <v>ESTAFAS Y DEFRAUDACIONES VIRTUALES</v>
      </c>
      <c r="IT61" s="207" t="str">
        <f>IFERROR(INDEX($A$2:$A$113,MATCH(ROWS($EX$2:EX61),$EX$2:$EX$113,0)),"")</f>
        <v>ESTAFAS Y DEFRAUDACIONES VIRTUALES</v>
      </c>
      <c r="IU61" s="207" t="str">
        <f>IFERROR(INDEX($A$2:$A$113,MATCH(ROWS($EY$2:EY61),$EY$2:$EY$113,0)),"")</f>
        <v>ESTAFAS Y DEFRAUDACIONES VIRTUALES</v>
      </c>
      <c r="IV61" s="207" t="str">
        <f>IFERROR(INDEX($A$2:$A$113,MATCH(ROWS($EZ$2:EZ61),$EZ$2:$EZ$113,0)),"")</f>
        <v>ESTAFAS Y DEFRAUDACIONES VIRTUALES</v>
      </c>
      <c r="IW61" s="207" t="str">
        <f>IFERROR(INDEX($A$2:$A$113,MATCH(ROWS($FA$2:FA61),$FA$2:$FA$113,0)),"")</f>
        <v>ESTAFAS Y DEFRAUDACIONES VIRTUALES</v>
      </c>
      <c r="IX61" s="207" t="str">
        <f>IFERROR(INDEX($A$2:$A$113,MATCH(ROWS($FB$2:FB61),$FB$2:$FB$113,0)),"")</f>
        <v>ESTAFAS Y DEFRAUDACIONES VIRTUALES</v>
      </c>
      <c r="IY61" s="207" t="str">
        <f>IFERROR(INDEX($A$2:$A$113,MATCH(ROWS($FC$2:FC61),$FC$2:$FC$113,0)),"")</f>
        <v>ESTAFAS Y DEFRAUDACIONES VIRTUALES</v>
      </c>
      <c r="IZ61" s="207" t="str">
        <f>IFERROR(INDEX($A$2:$A$113,MATCH(ROWS($FD$2:FD61),$FD$2:$FD$113,0)),"")</f>
        <v>ESTAFAS Y DEFRAUDACIONES VIRTUALES</v>
      </c>
      <c r="JA61" s="207" t="str">
        <f>IFERROR(INDEX($A$2:$A$113,MATCH(ROWS($FE$2:FE61),$FE$2:$FE$113,0)),"")</f>
        <v>ESTAFAS Y DEFRAUDACIONES VIRTUALES</v>
      </c>
      <c r="JB61" s="207" t="str">
        <f>IFERROR(INDEX($A$2:$A$113,MATCH(ROWS($FF$2:FF61),$FF$2:$FF$113,0)),"")</f>
        <v>ESTAFAS Y DEFRAUDACIONES VIRTUALES</v>
      </c>
      <c r="JC61" s="207" t="str">
        <f>IFERROR(INDEX($A$2:$A$113,MATCH(ROWS($FG$2:FG61),$FG$2:$FG$113,0)),"")</f>
        <v>ESTAFAS Y DEFRAUDACIONES VIRTUALES</v>
      </c>
      <c r="JD61" s="207" t="str">
        <f>IFERROR(INDEX($A$2:$A$113,MATCH(ROWS($FH$2:FH61),$FH$2:$FH$113,0)),"")</f>
        <v>ESTAFAS Y DEFRAUDACIONES VIRTUALES</v>
      </c>
      <c r="JE61" s="207" t="str">
        <f>IFERROR(INDEX($A$2:$A$113,MATCH(ROWS($FI$2:FI61),$FI$2:$FI$113,0)),"")</f>
        <v>ESTAFAS Y DEFRAUDACIONES VIRTUALES</v>
      </c>
      <c r="JF61" s="207" t="str">
        <f>IFERROR(INDEX($A$2:$A$113,MATCH(ROWS($FJ$2:FJ61),$FJ$2:$FJ$113,0)),"")</f>
        <v>ESTAFAS Y DEFRAUDACIONES VIRTUALES</v>
      </c>
      <c r="JG61" s="207" t="str">
        <f>IFERROR(INDEX($A$2:$A$113,MATCH(ROWS($FK$2:FK61),$FK$2:$FK$113,0)),"")</f>
        <v>ESTAFAS Y DEFRAUDACIONES VIRTUALES</v>
      </c>
      <c r="JH61" s="207" t="str">
        <f>IFERROR(INDEX($A$2:$A$113,MATCH(ROWS($FL$2:FL61),$FL$2:$FL$113,0)),"")</f>
        <v>ESTAFAS Y DEFRAUDACIONES VIRTUALES</v>
      </c>
      <c r="JI61" s="207" t="str">
        <f>IFERROR(INDEX($A$2:$A$113,MATCH(ROWS($FM$2:FM61),$FM$2:$FM$113,0)),"")</f>
        <v>ESTAFAS Y DEFRAUDACIONES VIRTUALES</v>
      </c>
      <c r="JJ61" s="207" t="str">
        <f>IFERROR(INDEX($A$2:$A$113,MATCH(ROWS($FN$2:FN61),$FN$2:$FN$113,0)),"")</f>
        <v>ESTAFAS Y DEFRAUDACIONES VIRTUALES</v>
      </c>
      <c r="JK61" s="207" t="str">
        <f>IFERROR(INDEX($A$2:$A$113,MATCH(ROWS($FO$2:FO61),$FO$2:$FO$113,0)),"")</f>
        <v>ESTAFAS Y DEFRAUDACIONES VIRTUALES</v>
      </c>
      <c r="JL61" s="207" t="str">
        <f>IFERROR(INDEX($A$2:$A$113,MATCH(ROWS($FP$2:FP61),$FP$2:$FP$113,0)),"")</f>
        <v>ESTAFAS Y DEFRAUDACIONES VIRTUALES</v>
      </c>
      <c r="JM61" s="207" t="str">
        <f>IFERROR(INDEX($A$2:$A$113,MATCH(ROWS($FQ$2:FQ61),$FQ$2:$FQ$113,0)),"")</f>
        <v>ESTAFAS Y DEFRAUDACIONES VIRTUALES</v>
      </c>
      <c r="JN61" s="207" t="str">
        <f>IFERROR(INDEX($A$2:$A$113,MATCH(ROWS($FR$2:FR61),$FR$2:$FR$113,0)),"")</f>
        <v>ESTAFAS Y DEFRAUDACIONES VIRTUALES</v>
      </c>
      <c r="JO61" s="207" t="str">
        <f>IFERROR(INDEX($A$2:$A$113,MATCH(ROWS($FS$2:FS61),$FS$2:$FS$113,0)),"")</f>
        <v>ESTAFAS Y DEFRAUDACIONES VIRTUALES</v>
      </c>
      <c r="JP61" s="207" t="str">
        <f>IFERROR(INDEX($A$2:$A$113,MATCH(ROWS($FT$2:FT61),$FT$2:$FT$113,0)),"")</f>
        <v>ESTAFAS Y DEFRAUDACIONES VIRTUALES</v>
      </c>
      <c r="JQ61" s="207" t="str">
        <f>IFERROR(INDEX($A$2:$A$113,MATCH(ROWS($FU$2:FU61),$FU$2:$FU$113,0)),"")</f>
        <v>ESTAFAS Y DEFRAUDACIONES VIRTUALES</v>
      </c>
      <c r="JR61" s="207" t="str">
        <f>IFERROR(INDEX($A$2:$A$113,MATCH(ROWS($FV$2:FV61),$FV$2:$FV$113,0)),"")</f>
        <v>ESTAFAS Y DEFRAUDACIONES VIRTUALES</v>
      </c>
      <c r="JS61" s="207" t="str">
        <f>IFERROR(INDEX($A$2:$A$113,MATCH(ROWS($FW$2:FW61),$FW$2:$FW$113,0)),"")</f>
        <v>ESTAFAS Y DEFRAUDACIONES VIRTUALES</v>
      </c>
      <c r="JT61" s="207" t="str">
        <f>IFERROR(INDEX($A$2:$A$113,MATCH(ROWS($FX$2:FX61),$FX$2:$FX$113,0)),"")</f>
        <v>ESTAFAS Y DEFRAUDACIONES VIRTUALES</v>
      </c>
      <c r="JU61" s="207" t="str">
        <f>IFERROR(INDEX($A$2:$A$113,MATCH(ROWS($FY$2:FY61),$FY$2:$FY$113,0)),"")</f>
        <v>ESTAFAS Y DEFRAUDACIONES VIRTUALES</v>
      </c>
      <c r="JV61" s="207" t="str">
        <f>IFERROR(INDEX($A$2:$A$113,MATCH(ROWS($FZ$2:FZ61),$FZ$2:$FZ$113,0)),"")</f>
        <v>ESTAFAS Y DEFRAUDACIONES VIRTUALES</v>
      </c>
      <c r="JW61" s="207" t="str">
        <f>IFERROR(INDEX($A$2:$A$113,MATCH(ROWS($GA$2:GA61),$GA$2:$GA$113,0)),"")</f>
        <v>ESTAFAS Y DEFRAUDACIONES VIRTUALES</v>
      </c>
      <c r="JX61" s="207" t="str">
        <f>IFERROR(INDEX($A$2:$A$113,MATCH(ROWS($GB$2:GB61),$GB$2:$GB$113,0)),"")</f>
        <v>ESTAFAS Y DEFRAUDACIONES VIRTUALES</v>
      </c>
      <c r="JY61" s="207" t="str">
        <f>IFERROR(INDEX($A$2:$A$113,MATCH(ROWS($GC$2:GC61),$GC$2:$GC$113,0)),"")</f>
        <v>ESTAFAS Y DEFRAUDACIONES VIRTUALES</v>
      </c>
      <c r="JZ61" s="207" t="str">
        <f>IFERROR(INDEX($A$2:$A$113,MATCH(ROWS($GD$2:GD61),$GD$2:$GD$113,0)),"")</f>
        <v>ESTAFAS Y DEFRAUDACIONES VIRTUALES</v>
      </c>
      <c r="KA61" s="207" t="str">
        <f>IFERROR(INDEX($A$2:$A$113,MATCH(ROWS($GE$2:GE61),$GE$2:$GE$113,0)),"")</f>
        <v>ESTAFAS Y DEFRAUDACIONES VIRTUALES</v>
      </c>
      <c r="KB61" s="207" t="str">
        <f>IFERROR(INDEX($A$2:$A$113,MATCH(ROWS($GF$2:GF61),$GF$2:$GF$113,0)),"")</f>
        <v>ESTAFAS Y DEFRAUDACIONES VIRTUALES</v>
      </c>
      <c r="KC61" s="207" t="str">
        <f>IFERROR(INDEX($A$2:$A$113,MATCH(ROWS($GG$2:GG61),$GG$2:$GG$113,0)),"")</f>
        <v>ESTAFAS Y DEFRAUDACIONES VIRTUALES</v>
      </c>
      <c r="KD61" s="207" t="str">
        <f>IFERROR(INDEX($A$2:$A$113,MATCH(ROWS($GH$2:GH61),$GH$2:$GH$113,0)),"")</f>
        <v>ESTAFAS Y DEFRAUDACIONES VIRTUALES</v>
      </c>
      <c r="KE61" s="207" t="str">
        <f>IFERROR(INDEX($A$2:$A$113,MATCH(ROWS($GI$2:GI61),$GI$2:$GI$113,0)),"")</f>
        <v>ESTAFAS Y DEFRAUDACIONES VIRTUALES</v>
      </c>
      <c r="KF61" s="207" t="str">
        <f>IFERROR(INDEX($A$2:$A$113,MATCH(ROWS($GJ$2:GJ61),$GJ$2:$GJ$113,0)),"")</f>
        <v>ESTAFAS Y DEFRAUDACIONES VIRTUALES</v>
      </c>
      <c r="KG61" s="207" t="str">
        <f>IFERROR(INDEX($A$2:$A$113,MATCH(ROWS($GK$2:GK61),$GK$2:$GK$113,0)),"")</f>
        <v>ESTAFAS Y DEFRAUDACIONES VIRTUALES</v>
      </c>
      <c r="KH61" s="207" t="str">
        <f>IFERROR(INDEX($A$2:$A$113,MATCH(ROWS($GL$2:GL61),$GL$2:$GL$113,0)),"")</f>
        <v>ESTAFAS Y DEFRAUDACIONES VIRTUALES</v>
      </c>
      <c r="KI61" s="207" t="str">
        <f>IFERROR(INDEX($A$2:$A$113,MATCH(ROWS($GM$2:GM61),$GM$2:$GM$113,0)),"")</f>
        <v>ESTAFAS Y DEFRAUDACIONES VIRTUALES</v>
      </c>
      <c r="KJ61" s="207" t="str">
        <f>IFERROR(INDEX($A$2:$A$113,MATCH(ROWS($GN$2:GN61),$GN$2:$GN$113,0)),"")</f>
        <v>ESTAFAS Y DEFRAUDACIONES VIRTUALES</v>
      </c>
      <c r="KK61" s="207" t="str">
        <f>IFERROR(INDEX($A$2:$A$113,MATCH(ROWS($GO$2:GO61),$GO$2:$GO$113,0)),"")</f>
        <v>ESTAFAS Y DEFRAUDACIONES VIRTUALES</v>
      </c>
      <c r="KL61" s="207" t="str">
        <f>IFERROR(INDEX($A$2:$A$113,MATCH(ROWS($GP$2:GP61),$GP$2:$GP$113,0)),"")</f>
        <v>ESTAFAS Y DEFRAUDACIONES VIRTUALES</v>
      </c>
      <c r="KM61" s="207" t="str">
        <f>IFERROR(INDEX($A$2:$A$113,MATCH(ROWS($GQ$2:GQ61),$GQ$2:$GQ$113,0)),"")</f>
        <v>ESTAFAS Y DEFRAUDACIONES VIRTUALES</v>
      </c>
      <c r="KN61" s="207" t="str">
        <f>IFERROR(INDEX($A$2:$A$113,MATCH(ROWS($GR$2:GR61),$GR$2:$GR$113,0)),"")</f>
        <v>ESTAFAS Y DEFRAUDACIONES VIRTUALES</v>
      </c>
      <c r="KO61" s="207" t="str">
        <f>IFERROR(INDEX($A$2:$A$113,MATCH(ROWS($GS$2:GS61),$GS$2:$GS$113,0)),"")</f>
        <v>ESTAFAS Y DEFRAUDACIONES VIRTUALES</v>
      </c>
      <c r="KP61" s="207" t="str">
        <f>IFERROR(INDEX($A$2:$A$113,MATCH(ROWS($GT$2:GT61),$GT$2:$GT$113,0)),"")</f>
        <v>ESTAFAS Y DEFRAUDACIONES VIRTUALES</v>
      </c>
      <c r="KQ61" s="207" t="str">
        <f>IFERROR(INDEX($A$2:$A$113,MATCH(ROWS($GU$2:GU61),$GU$2:$GU$113,0)),"")</f>
        <v>ESTAFAS Y DEFRAUDACIONES VIRTUALES</v>
      </c>
      <c r="KR61" s="207" t="str">
        <f>IFERROR(INDEX($A$2:$A$113,MATCH(ROWS($GV$2:GV61),$GV$2:$GV$113,0)),"")</f>
        <v>ESTAFAS Y DEFRAUDACIONES VIRTUALES</v>
      </c>
      <c r="KS61" s="207" t="str">
        <f>IFERROR(INDEX($A$2:$A$113,MATCH(ROWS($GW$2:GW61),$GW$2:$GW$113,0)),"")</f>
        <v>ESTAFAS Y DEFRAUDACIONES VIRTUALES</v>
      </c>
    </row>
    <row r="62" spans="1:305" x14ac:dyDescent="0.25">
      <c r="A62" s="206" t="s">
        <v>1095</v>
      </c>
      <c r="B62" s="206" t="s">
        <v>1093</v>
      </c>
      <c r="D62" s="206" t="s">
        <v>13</v>
      </c>
      <c r="E62" s="206" t="s">
        <v>507</v>
      </c>
      <c r="F62" s="207">
        <f>--ISNUMBER(IFERROR(SEARCH('PLANILLA DJ'!$X$3,$A62,1),""))</f>
        <v>1</v>
      </c>
      <c r="G62" s="207">
        <f>--ISNUMBER(IFERROR(SEARCH('PLANILLA DJ'!$X$4,$A62,1),""))</f>
        <v>1</v>
      </c>
      <c r="H62" s="207">
        <f>--ISNUMBER(IFERROR(SEARCH('PLANILLA DJ'!$X$5,$A62,1),""))</f>
        <v>1</v>
      </c>
      <c r="I62" s="207">
        <f>--ISNUMBER(IFERROR(SEARCH('PLANILLA DJ'!$X$6,$A62,1),""))</f>
        <v>1</v>
      </c>
      <c r="J62" s="207">
        <f>--ISNUMBER(IFERROR(SEARCH('PLANILLA DJ'!$X$7,$A62,1),""))</f>
        <v>1</v>
      </c>
      <c r="K62" s="207">
        <f>--ISNUMBER(IFERROR(SEARCH('PLANILLA DJ'!$X$8,$A62,1),""))</f>
        <v>1</v>
      </c>
      <c r="L62" s="207">
        <f>--ISNUMBER(IFERROR(SEARCH('PLANILLA DJ'!$X$9,$A62,1),""))</f>
        <v>1</v>
      </c>
      <c r="M62" s="207">
        <f>--ISNUMBER(IFERROR(SEARCH('PLANILLA DJ'!$X$10,$A62,1),""))</f>
        <v>1</v>
      </c>
      <c r="N62" s="207">
        <f>--ISNUMBER(IFERROR(SEARCH('PLANILLA DJ'!$X$11,$A62,1),""))</f>
        <v>1</v>
      </c>
      <c r="O62" s="207">
        <f>--ISNUMBER(IFERROR(SEARCH('PLANILLA DJ'!$X$12,$A62,1),""))</f>
        <v>1</v>
      </c>
      <c r="P62" s="207">
        <f>--ISNUMBER(IFERROR(SEARCH('PLANILLA DJ'!$X$13,$A62,1),""))</f>
        <v>1</v>
      </c>
      <c r="Q62" s="207">
        <f>--ISNUMBER(IFERROR(SEARCH('PLANILLA DJ'!$X$14,$A62,1),""))</f>
        <v>1</v>
      </c>
      <c r="R62" s="207">
        <f>--ISNUMBER(IFERROR(SEARCH('PLANILLA DJ'!$X$15,$A62,1),""))</f>
        <v>1</v>
      </c>
      <c r="S62" s="207">
        <f>--ISNUMBER(IFERROR(SEARCH('PLANILLA DJ'!$X$16,$A62,1),""))</f>
        <v>1</v>
      </c>
      <c r="T62" s="207">
        <f>--ISNUMBER(IFERROR(SEARCH('PLANILLA DJ'!$X$17,$A62,1),""))</f>
        <v>1</v>
      </c>
      <c r="U62" s="207">
        <f>--ISNUMBER(IFERROR(SEARCH('PLANILLA DJ'!$X$18,$A62,1),""))</f>
        <v>1</v>
      </c>
      <c r="V62" s="207">
        <f>--ISNUMBER(IFERROR(SEARCH('PLANILLA DJ'!$X$19,$A62,1),""))</f>
        <v>1</v>
      </c>
      <c r="W62" s="207">
        <f>--ISNUMBER(IFERROR(SEARCH('PLANILLA DJ'!$X$20,$A62,1),""))</f>
        <v>1</v>
      </c>
      <c r="X62" s="207">
        <f>--ISNUMBER(IFERROR(SEARCH('PLANILLA DJ'!$X$21,$A62,1),""))</f>
        <v>1</v>
      </c>
      <c r="Y62" s="207">
        <f>--ISNUMBER(IFERROR(SEARCH('PLANILLA DJ'!$X$22,$A62,1),""))</f>
        <v>1</v>
      </c>
      <c r="Z62" s="207">
        <f>--ISNUMBER(IFERROR(SEARCH('PLANILLA DJ'!$X$23,$A62,1),""))</f>
        <v>1</v>
      </c>
      <c r="AA62" s="207">
        <f>--ISNUMBER(IFERROR(SEARCH('PLANILLA DJ'!$X$24,$A62,1),""))</f>
        <v>1</v>
      </c>
      <c r="AB62" s="207">
        <f>--ISNUMBER(IFERROR(SEARCH('PLANILLA DJ'!$X$25,$A62,1),""))</f>
        <v>1</v>
      </c>
      <c r="AC62" s="207">
        <f>--ISNUMBER(IFERROR(SEARCH('PLANILLA DJ'!$X$26,$A62,1),""))</f>
        <v>1</v>
      </c>
      <c r="AD62" s="207">
        <f>--ISNUMBER(IFERROR(SEARCH('PLANILLA DJ'!$X$27,$A62,1),""))</f>
        <v>1</v>
      </c>
      <c r="AE62" s="207">
        <f>--ISNUMBER(IFERROR(SEARCH('PLANILLA DJ'!$X$28,$A62,1),""))</f>
        <v>1</v>
      </c>
      <c r="AF62" s="207">
        <f>--ISNUMBER(IFERROR(SEARCH('PLANILLA DJ'!$X$29,$A62,1),""))</f>
        <v>1</v>
      </c>
      <c r="AG62" s="207">
        <f>--ISNUMBER(IFERROR(SEARCH('PLANILLA DJ'!$X$30,$A62,1),""))</f>
        <v>1</v>
      </c>
      <c r="AH62" s="207">
        <f>--ISNUMBER(IFERROR(SEARCH('PLANILLA DJ'!$X$31,$A62,1),""))</f>
        <v>1</v>
      </c>
      <c r="AI62" s="207">
        <f>--ISNUMBER(IFERROR(SEARCH('PLANILLA DJ'!$X$32,$A62,1),""))</f>
        <v>1</v>
      </c>
      <c r="AJ62" s="207">
        <f>--ISNUMBER(IFERROR(SEARCH('PLANILLA DJ'!$X$33,$A62,1),""))</f>
        <v>1</v>
      </c>
      <c r="AK62" s="207">
        <f>--ISNUMBER(IFERROR(SEARCH('PLANILLA DJ'!$X$34,$A62,1),""))</f>
        <v>1</v>
      </c>
      <c r="AL62" s="207">
        <f>--ISNUMBER(IFERROR(SEARCH('PLANILLA DJ'!$X$35,$A62,1),""))</f>
        <v>1</v>
      </c>
      <c r="AM62" s="207">
        <f>--ISNUMBER(IFERROR(SEARCH('PLANILLA DJ'!$X$36,$A62,1),""))</f>
        <v>1</v>
      </c>
      <c r="AN62" s="207">
        <f>--ISNUMBER(IFERROR(SEARCH('PLANILLA DJ'!$X$37,$A62,1),""))</f>
        <v>1</v>
      </c>
      <c r="AO62" s="207">
        <f>--ISNUMBER(IFERROR(SEARCH('PLANILLA DJ'!$X$38,$A62,1),""))</f>
        <v>1</v>
      </c>
      <c r="AP62" s="207">
        <f>--ISNUMBER(IFERROR(SEARCH('PLANILLA DJ'!$X$39,$A62,1),""))</f>
        <v>1</v>
      </c>
      <c r="AQ62" s="207">
        <f>--ISNUMBER(IFERROR(SEARCH('PLANILLA DJ'!$X$40,$A62,1),""))</f>
        <v>1</v>
      </c>
      <c r="AR62" s="207">
        <f>--ISNUMBER(IFERROR(SEARCH('PLANILLA DJ'!$X$41,$A62,1),""))</f>
        <v>1</v>
      </c>
      <c r="AS62" s="207">
        <f>--ISNUMBER(IFERROR(SEARCH('PLANILLA DJ'!$X$42,$A62,1),""))</f>
        <v>1</v>
      </c>
      <c r="AT62" s="207">
        <f>--ISNUMBER(IFERROR(SEARCH('PLANILLA DJ'!$X$43,$A62,1),""))</f>
        <v>1</v>
      </c>
      <c r="AU62" s="207">
        <f>--ISNUMBER(IFERROR(SEARCH('PLANILLA DJ'!$X$44,$A62,1),""))</f>
        <v>1</v>
      </c>
      <c r="AV62" s="207">
        <f>--ISNUMBER(IFERROR(SEARCH('PLANILLA DJ'!$X$45,$A62,1),""))</f>
        <v>1</v>
      </c>
      <c r="AW62" s="207">
        <f>--ISNUMBER(IFERROR(SEARCH('PLANILLA DJ'!$X$46,$A62,1),""))</f>
        <v>1</v>
      </c>
      <c r="AX62" s="207">
        <f>--ISNUMBER(IFERROR(SEARCH('PLANILLA DJ'!$X$47,$A62,1),""))</f>
        <v>1</v>
      </c>
      <c r="AY62" s="207">
        <f>--ISNUMBER(IFERROR(SEARCH('PLANILLA DJ'!$X$48,$A62,1),""))</f>
        <v>1</v>
      </c>
      <c r="AZ62" s="207">
        <f>--ISNUMBER(IFERROR(SEARCH('PLANILLA DJ'!$X$49,$A62,1),""))</f>
        <v>1</v>
      </c>
      <c r="BA62" s="207">
        <f>--ISNUMBER(IFERROR(SEARCH('PLANILLA DJ'!$X$50,$A62,1),""))</f>
        <v>1</v>
      </c>
      <c r="BB62" s="207">
        <f>--ISNUMBER(IFERROR(SEARCH('PLANILLA DJ'!$X$51,$A62,1),""))</f>
        <v>1</v>
      </c>
      <c r="BC62" s="207">
        <f>--ISNUMBER(IFERROR(SEARCH('PLANILLA DJ'!$X$52,$A62,1),""))</f>
        <v>1</v>
      </c>
      <c r="BD62" s="207">
        <f>--ISNUMBER(IFERROR(SEARCH('PLANILLA DJ'!$X$53,$A62,1),""))</f>
        <v>1</v>
      </c>
      <c r="BE62" s="207">
        <f>--ISNUMBER(IFERROR(SEARCH('PLANILLA DJ'!$X$54,$A62,1),""))</f>
        <v>1</v>
      </c>
      <c r="BF62" s="207">
        <f>--ISNUMBER(IFERROR(SEARCH('PLANILLA DJ'!$X$55,$A62,1),""))</f>
        <v>1</v>
      </c>
      <c r="BG62" s="207">
        <f>--ISNUMBER(IFERROR(SEARCH('PLANILLA DJ'!$X$56,$A62,1),""))</f>
        <v>1</v>
      </c>
      <c r="BH62" s="207">
        <f>--ISNUMBER(IFERROR(SEARCH('PLANILLA DJ'!$X$57,$A62,1),""))</f>
        <v>1</v>
      </c>
      <c r="BI62" s="207">
        <f>--ISNUMBER(IFERROR(SEARCH('PLANILLA DJ'!$X$58,$A62,1),""))</f>
        <v>1</v>
      </c>
      <c r="BJ62" s="207">
        <f>--ISNUMBER(IFERROR(SEARCH('PLANILLA DJ'!$X$59,$A62,1),""))</f>
        <v>1</v>
      </c>
      <c r="BK62" s="207">
        <f>--ISNUMBER(IFERROR(SEARCH('PLANILLA DJ'!$X$60,$A62,1),""))</f>
        <v>1</v>
      </c>
      <c r="BL62" s="207">
        <f>--ISNUMBER(IFERROR(SEARCH('PLANILLA DJ'!$X$61,$A62,1),""))</f>
        <v>1</v>
      </c>
      <c r="BM62" s="207">
        <f>--ISNUMBER(IFERROR(SEARCH('PLANILLA DJ'!$X$62,$A62,1),""))</f>
        <v>1</v>
      </c>
      <c r="BN62" s="207">
        <f>--ISNUMBER(IFERROR(SEARCH('PLANILLA DJ'!$X$63,$A62,1),""))</f>
        <v>1</v>
      </c>
      <c r="BO62" s="207">
        <f>--ISNUMBER(IFERROR(SEARCH('PLANILLA DJ'!$X$64,$A62,1),""))</f>
        <v>1</v>
      </c>
      <c r="BP62" s="207">
        <f>--ISNUMBER(IFERROR(SEARCH('PLANILLA DJ'!$X$65,$A62,1),""))</f>
        <v>1</v>
      </c>
      <c r="BQ62" s="207">
        <f>--ISNUMBER(IFERROR(SEARCH('PLANILLA DJ'!$X$66,$A62,1),""))</f>
        <v>1</v>
      </c>
      <c r="BR62" s="207">
        <f>--ISNUMBER(IFERROR(SEARCH('PLANILLA DJ'!$X$67,$A62,1),""))</f>
        <v>1</v>
      </c>
      <c r="BS62" s="207">
        <f>--ISNUMBER(IFERROR(SEARCH('PLANILLA DJ'!$X$68,$A62,1),""))</f>
        <v>1</v>
      </c>
      <c r="BT62" s="207">
        <f>--ISNUMBER(IFERROR(SEARCH('PLANILLA DJ'!$X$69,$A62,1),""))</f>
        <v>1</v>
      </c>
      <c r="BU62" s="207">
        <f>--ISNUMBER(IFERROR(SEARCH('PLANILLA DJ'!$X$70,$A62,1),""))</f>
        <v>1</v>
      </c>
      <c r="BV62" s="207">
        <f>--ISNUMBER(IFERROR(SEARCH('PLANILLA DJ'!$X$71,$A62,1),""))</f>
        <v>1</v>
      </c>
      <c r="BW62" s="207">
        <f>--ISNUMBER(IFERROR(SEARCH('PLANILLA DJ'!$X$72,$A62,1),""))</f>
        <v>1</v>
      </c>
      <c r="BX62" s="207">
        <f>--ISNUMBER(IFERROR(SEARCH('PLANILLA DJ'!$X$73,$A62,1),""))</f>
        <v>1</v>
      </c>
      <c r="BY62" s="207">
        <f>--ISNUMBER(IFERROR(SEARCH('PLANILLA DJ'!$X$74,$A62,1),""))</f>
        <v>1</v>
      </c>
      <c r="BZ62" s="207">
        <f>--ISNUMBER(IFERROR(SEARCH('PLANILLA DJ'!$X$75,$A62,1),""))</f>
        <v>1</v>
      </c>
      <c r="CA62" s="207">
        <f>--ISNUMBER(IFERROR(SEARCH('PLANILLA DJ'!$X$76,$A62,1),""))</f>
        <v>1</v>
      </c>
      <c r="CB62" s="207">
        <f>--ISNUMBER(IFERROR(SEARCH('PLANILLA DJ'!$X$77,$A62,1),""))</f>
        <v>1</v>
      </c>
      <c r="CC62" s="207">
        <f>--ISNUMBER(IFERROR(SEARCH('PLANILLA DJ'!$X$78,$A62,1),""))</f>
        <v>1</v>
      </c>
      <c r="CD62" s="207">
        <f>--ISNUMBER(IFERROR(SEARCH('PLANILLA DJ'!$X$79,$A62,1),""))</f>
        <v>1</v>
      </c>
      <c r="CE62" s="207">
        <f>--ISNUMBER(IFERROR(SEARCH('PLANILLA DJ'!$X$80,$A62,1),""))</f>
        <v>1</v>
      </c>
      <c r="CF62" s="207">
        <f>--ISNUMBER(IFERROR(SEARCH('PLANILLA DJ'!$X$81,$A62,1),""))</f>
        <v>1</v>
      </c>
      <c r="CG62" s="207">
        <f>--ISNUMBER(IFERROR(SEARCH('PLANILLA DJ'!$X$82,$A62,1),""))</f>
        <v>1</v>
      </c>
      <c r="CH62" s="207">
        <f>--ISNUMBER(IFERROR(SEARCH('PLANILLA DJ'!$X$83,$A62,1),""))</f>
        <v>1</v>
      </c>
      <c r="CI62" s="207">
        <f>--ISNUMBER(IFERROR(SEARCH('PLANILLA DJ'!$X$84,$A62,1),""))</f>
        <v>1</v>
      </c>
      <c r="CJ62" s="207">
        <f>--ISNUMBER(IFERROR(SEARCH('PLANILLA DJ'!$X$85,$A62,1),""))</f>
        <v>1</v>
      </c>
      <c r="CK62" s="207">
        <f>--ISNUMBER(IFERROR(SEARCH('PLANILLA DJ'!$X$86,$A62,1),""))</f>
        <v>1</v>
      </c>
      <c r="CL62" s="207">
        <f>--ISNUMBER(IFERROR(SEARCH('PLANILLA DJ'!$X$87,$A62,1),""))</f>
        <v>1</v>
      </c>
      <c r="CM62" s="207">
        <f>--ISNUMBER(IFERROR(SEARCH('PLANILLA DJ'!$X$88,$A62,1),""))</f>
        <v>1</v>
      </c>
      <c r="CN62" s="207">
        <f>--ISNUMBER(IFERROR(SEARCH('PLANILLA DJ'!$X$89,$A62,1),""))</f>
        <v>1</v>
      </c>
      <c r="CO62" s="207">
        <f>--ISNUMBER(IFERROR(SEARCH('PLANILLA DJ'!$X$90,$A62,1),""))</f>
        <v>1</v>
      </c>
      <c r="CP62" s="207">
        <f>--ISNUMBER(IFERROR(SEARCH('PLANILLA DJ'!$X$91,$A62,1),""))</f>
        <v>1</v>
      </c>
      <c r="CQ62" s="207">
        <f>--ISNUMBER(IFERROR(SEARCH('PLANILLA DJ'!$X$92,$A62,1),""))</f>
        <v>1</v>
      </c>
      <c r="CR62" s="207">
        <f>--ISNUMBER(IFERROR(SEARCH('PLANILLA DJ'!$X$93,$A62,1),""))</f>
        <v>1</v>
      </c>
      <c r="CS62" s="207">
        <f>--ISNUMBER(IFERROR(SEARCH('PLANILLA DJ'!$X$94,$A62,1),""))</f>
        <v>1</v>
      </c>
      <c r="CT62" s="207">
        <f>--ISNUMBER(IFERROR(SEARCH('PLANILLA DJ'!$X$95,$A62,1),""))</f>
        <v>1</v>
      </c>
      <c r="CU62" s="207">
        <f>--ISNUMBER(IFERROR(SEARCH('PLANILLA DJ'!$X$96,$A62,1),""))</f>
        <v>1</v>
      </c>
      <c r="CV62" s="207">
        <f>--ISNUMBER(IFERROR(SEARCH('PLANILLA DJ'!$X$97,$A62,1),""))</f>
        <v>1</v>
      </c>
      <c r="CW62" s="207">
        <f>--ISNUMBER(IFERROR(SEARCH('PLANILLA DJ'!$X$98,$A62,1),""))</f>
        <v>1</v>
      </c>
      <c r="CX62" s="207">
        <f>--ISNUMBER(IFERROR(SEARCH('PLANILLA DJ'!$X$99,$A62,1),""))</f>
        <v>1</v>
      </c>
      <c r="CY62" s="207">
        <f>--ISNUMBER(IFERROR(SEARCH('PLANILLA DJ'!$X$100,$A62,1),""))</f>
        <v>1</v>
      </c>
      <c r="CZ62" s="207">
        <f>--ISNUMBER(IFERROR(SEARCH('PLANILLA DJ'!$X$101,$A62,1),""))</f>
        <v>1</v>
      </c>
      <c r="DA62" s="207">
        <f>--ISNUMBER(IFERROR(SEARCH('PLANILLA DJ'!$X$102,$A62,1),""))</f>
        <v>1</v>
      </c>
      <c r="DB62" s="206">
        <f>IF(F62=1,COUNTIF($F$2:F62,1),"")</f>
        <v>61</v>
      </c>
      <c r="DC62" s="206">
        <f>IF(G62=1,COUNTIF($G$2:G62,1),"")</f>
        <v>61</v>
      </c>
      <c r="DD62" s="206">
        <f>IF(H62=1,COUNTIF($H$2:H62,1),"")</f>
        <v>61</v>
      </c>
      <c r="DE62" s="206">
        <f>IF(I62=1,COUNTIF($I$2:I62,1),"")</f>
        <v>61</v>
      </c>
      <c r="DF62" s="206">
        <f>IF(J62=1,COUNTIF($J$2:J62,1),"")</f>
        <v>61</v>
      </c>
      <c r="DG62" s="206">
        <f>IF(K62=1,COUNTIF($K$2:K62,1),"")</f>
        <v>61</v>
      </c>
      <c r="DH62" s="206">
        <f>IF(L62=1,COUNTIF($L$2:L62,1),"")</f>
        <v>61</v>
      </c>
      <c r="DI62" s="206">
        <f>IF(M62=1,COUNTIF($M$2:M62,1),"")</f>
        <v>61</v>
      </c>
      <c r="DJ62" s="206">
        <f>IF(N62=1,COUNTIF($N$2:N62,1),"")</f>
        <v>61</v>
      </c>
      <c r="DK62" s="206">
        <f>IF(O62=1,COUNTIF($O$2:O62,1),"")</f>
        <v>61</v>
      </c>
      <c r="DL62" s="206">
        <f>IF(P62=1,COUNTIF($P$2:P62,1),"")</f>
        <v>61</v>
      </c>
      <c r="DM62" s="206">
        <f>IF(Q62=1,COUNTIF($Q$2:Q62,1),"")</f>
        <v>61</v>
      </c>
      <c r="DN62" s="207">
        <f>IF(R62=1,COUNTIF($R$2:R62,1),"")</f>
        <v>61</v>
      </c>
      <c r="DO62" s="207">
        <f>IF(S62=1,COUNTIF($S$2:S62,1),"")</f>
        <v>61</v>
      </c>
      <c r="DP62" s="207">
        <f>IF(T62=1,COUNTIF($T$2:T62,1),"")</f>
        <v>61</v>
      </c>
      <c r="DQ62" s="207">
        <f>IF(U62=1,COUNTIF($U$2:U62,1),"")</f>
        <v>61</v>
      </c>
      <c r="DR62" s="207">
        <f>IF(V62=1,COUNTIF($V$2:V62,1),"")</f>
        <v>61</v>
      </c>
      <c r="DS62" s="207">
        <f>IF(W62=1,COUNTIF($W$2:W62,1),"")</f>
        <v>61</v>
      </c>
      <c r="DT62" s="207">
        <f>IF(X62=1,COUNTIF($X$2:X62,1),"")</f>
        <v>61</v>
      </c>
      <c r="DU62" s="207">
        <f>IF(Y62=1,COUNTIF($Y$2:Y62,1),"")</f>
        <v>61</v>
      </c>
      <c r="DV62" s="207">
        <f>IF(Z62=1,COUNTIF(Z$2:Z62,1),"")</f>
        <v>61</v>
      </c>
      <c r="DW62" s="207">
        <f>IF(AA62=1,COUNTIF($AA$2:AA62,1),"")</f>
        <v>61</v>
      </c>
      <c r="DX62" s="207">
        <f>IF(AB62=1,COUNTIF($AB$2:AB62,1),"")</f>
        <v>61</v>
      </c>
      <c r="DY62" s="207">
        <f>IF(AC62=1,COUNTIF($AC$2:AC62,1),"")</f>
        <v>61</v>
      </c>
      <c r="DZ62" s="207">
        <f>IF(AD62=1,COUNTIF($AD$2:AD62,1),"")</f>
        <v>61</v>
      </c>
      <c r="EA62" s="207">
        <f>IF(AE62=1,COUNTIF($AE$2:AE62,1),"")</f>
        <v>61</v>
      </c>
      <c r="EB62" s="207">
        <f>IF(AF62=1,COUNTIF($AF$2:AF62,1),"")</f>
        <v>61</v>
      </c>
      <c r="EC62" s="207">
        <f>IF(AG62=1,COUNTIF($AG$2:AG62,1),"")</f>
        <v>61</v>
      </c>
      <c r="ED62" s="207">
        <f>IF(AH62=1,COUNTIF($AH$2:AH62,1),"")</f>
        <v>61</v>
      </c>
      <c r="EE62" s="207">
        <f>IF(AI62=1,COUNTIF($AI$2:AI62,1),"")</f>
        <v>61</v>
      </c>
      <c r="EF62" s="207">
        <f>IF(AJ62=1,COUNTIF($AJ$2:AJ62,1),"")</f>
        <v>61</v>
      </c>
      <c r="EG62" s="207">
        <f>IF(AK62=1,COUNTIF($AK$2:AK62,1),"")</f>
        <v>61</v>
      </c>
      <c r="EH62" s="207">
        <f>IF(AL62=1,COUNTIF($AL$2:AL62,1),"")</f>
        <v>61</v>
      </c>
      <c r="EI62" s="207">
        <f>IF(AM62=1,COUNTIF($AM$2:AM62,1),"")</f>
        <v>61</v>
      </c>
      <c r="EJ62" s="207">
        <f>IF(AN62=1,COUNTIF($AN$2:AN62,1),"")</f>
        <v>61</v>
      </c>
      <c r="EK62" s="207">
        <f>IF(AO62=1,COUNTIF($AO$2:AO62,1),"")</f>
        <v>61</v>
      </c>
      <c r="EL62" s="207">
        <f>IF(AP62=1,COUNTIF($AP$2:AP62,1),"")</f>
        <v>61</v>
      </c>
      <c r="EM62" s="207">
        <f>IF(AQ62=1,COUNTIF($AQ$2:AQ62,1),"")</f>
        <v>61</v>
      </c>
      <c r="EN62" s="207">
        <f>IF(AR62=1,COUNTIF($AR$2:AR62,1),"")</f>
        <v>61</v>
      </c>
      <c r="EO62" s="207">
        <f>IF(AS62=1,COUNTIF($AS$2:AS62,1),"")</f>
        <v>61</v>
      </c>
      <c r="EP62" s="207">
        <f>IF(AT62=1,COUNTIF($AT$2:AT62,1),"")</f>
        <v>61</v>
      </c>
      <c r="EQ62" s="207">
        <f>IF(AU62=1,COUNTIF($AU$2:AU62,1),"")</f>
        <v>61</v>
      </c>
      <c r="ER62" s="207">
        <f>IF(AV62=1,COUNTIF($AV$2:AV62,1),"")</f>
        <v>61</v>
      </c>
      <c r="ES62" s="207">
        <f>IF(AW62=1,COUNTIF($AW$2:AW62,1),"")</f>
        <v>61</v>
      </c>
      <c r="ET62" s="207">
        <f>IF(AX62=1,COUNTIF($AX$2:AX62,1),"")</f>
        <v>61</v>
      </c>
      <c r="EU62" s="207">
        <f>IF(AY62=1,COUNTIF($AY$2:AY62,1),"")</f>
        <v>61</v>
      </c>
      <c r="EV62" s="207">
        <f>IF(AZ62=1,COUNTIF($AZ$2:AZ62,1),"")</f>
        <v>61</v>
      </c>
      <c r="EW62" s="207">
        <f>IF(BA62=1,COUNTIF($BA$2:BA62,1),"")</f>
        <v>61</v>
      </c>
      <c r="EX62" s="207">
        <f>IF(BB62=1,COUNTIF($BB$2:BB62,1),"")</f>
        <v>61</v>
      </c>
      <c r="EY62" s="207">
        <f>IF(BC62=1,COUNTIF($BC$2:BC62,1),"")</f>
        <v>61</v>
      </c>
      <c r="EZ62" s="207">
        <f>IF(BD62=1,COUNTIF($BD$2:BD62,1),"")</f>
        <v>61</v>
      </c>
      <c r="FA62" s="207">
        <f>IF(BE62=1,COUNTIF($BE$2:BE62,1),"")</f>
        <v>61</v>
      </c>
      <c r="FB62" s="207">
        <f>IF(BF62=1,COUNTIF($BF$2:BF62,1),"")</f>
        <v>61</v>
      </c>
      <c r="FC62" s="207">
        <f>IF(BG62=1,COUNTIF($BG$2:BG62,1),"")</f>
        <v>61</v>
      </c>
      <c r="FD62" s="207">
        <f>IF(BH62=1,COUNTIF($BH$2:BH62,1),"")</f>
        <v>61</v>
      </c>
      <c r="FE62" s="207">
        <f>IF(BI62=1,COUNTIF($BI$2:BI62,1),"")</f>
        <v>61</v>
      </c>
      <c r="FF62" s="207">
        <f>IF(BJ62=1,COUNTIF($BJ$2:BJ62,1),"")</f>
        <v>61</v>
      </c>
      <c r="FG62" s="207">
        <f>IF(BK62=1,COUNTIF($BK$2:BK62,1),"")</f>
        <v>61</v>
      </c>
      <c r="FH62" s="207">
        <f>IF(BL62=1,COUNTIF($BL$2:BL62,1),"")</f>
        <v>61</v>
      </c>
      <c r="FI62" s="207">
        <f>IF(BM62=1,COUNTIF($BM$2:BM62,1),"")</f>
        <v>61</v>
      </c>
      <c r="FJ62" s="207">
        <f>IF(BN62=1,COUNTIF($BN$2:BN62,1),"")</f>
        <v>61</v>
      </c>
      <c r="FK62" s="207">
        <f>IF(BO62=1,COUNTIF($BO$2:BO62,1),"")</f>
        <v>61</v>
      </c>
      <c r="FL62" s="207">
        <f>IF(BP62=1,COUNTIF($BP$2:BP62,1),"")</f>
        <v>61</v>
      </c>
      <c r="FM62" s="207">
        <f>IF(BQ62=1,COUNTIF($BQ$2:BQ62,1),"")</f>
        <v>61</v>
      </c>
      <c r="FN62" s="207">
        <f>IF(BR62=1,COUNTIF($BR$2:BR62,1),"")</f>
        <v>61</v>
      </c>
      <c r="FO62" s="207">
        <f>IF(BS62=1,COUNTIF($BS$2:BS62,1),"")</f>
        <v>61</v>
      </c>
      <c r="FP62" s="207">
        <f>IF(BT62=1,COUNTIF($BT$2:BT62,1),"")</f>
        <v>61</v>
      </c>
      <c r="FQ62" s="207">
        <f>IF(BU62=1,COUNTIF($BU$2:BU62,1),"")</f>
        <v>61</v>
      </c>
      <c r="FR62" s="207">
        <f>IF(BV62=1,COUNTIF($BV$2:BV62,1),"")</f>
        <v>61</v>
      </c>
      <c r="FS62" s="207">
        <f>IF(BW62=1,COUNTIF($BW$2:BW62,1),"")</f>
        <v>61</v>
      </c>
      <c r="FT62" s="207">
        <f>IF(BX62=1,COUNTIF($BX$2:BX62,1),"")</f>
        <v>61</v>
      </c>
      <c r="FU62" s="207">
        <f>IF(BY62=1,COUNTIF($BY$2:BY62,1),"")</f>
        <v>61</v>
      </c>
      <c r="FV62" s="207">
        <f>IF(BZ62=1,COUNTIF($BZ$2:BZ62,1),"")</f>
        <v>61</v>
      </c>
      <c r="FW62" s="207">
        <f>IF(CA62=1,COUNTIF($CA$2:CA62,1),"")</f>
        <v>61</v>
      </c>
      <c r="FX62" s="207">
        <f>IF(CB62=1,COUNTIF($CB$2:CB62,1),"")</f>
        <v>61</v>
      </c>
      <c r="FY62" s="207">
        <f>IF(CC62=1,COUNTIF($CC$2:CC62,1),"")</f>
        <v>61</v>
      </c>
      <c r="FZ62" s="207">
        <f>IF(CD62=1,COUNTIF($CD$2:CD62,1),"")</f>
        <v>61</v>
      </c>
      <c r="GA62" s="207">
        <f>IF(CE62=1,COUNTIF($CE$2:CE62,1),"")</f>
        <v>61</v>
      </c>
      <c r="GB62" s="207">
        <f>IF(CF62=1,COUNTIF($CF$2:CF62,1),"")</f>
        <v>61</v>
      </c>
      <c r="GC62" s="207">
        <f>IF(CG62=1,COUNTIF($CG$2:CG62,1),"")</f>
        <v>61</v>
      </c>
      <c r="GD62" s="207">
        <f>IF(CH62=1,COUNTIF($CH$2:CH62,1),"")</f>
        <v>61</v>
      </c>
      <c r="GE62" s="207">
        <f>IF(CI62=1,COUNTIF($CI$2:CI62,1),"")</f>
        <v>61</v>
      </c>
      <c r="GF62" s="207">
        <f>IF(CJ62=1,COUNTIF($CJ$2:CJ62,1),"")</f>
        <v>61</v>
      </c>
      <c r="GG62" s="207">
        <f>IF(CK62=1,COUNTIF($CK$2:CK62,1),"")</f>
        <v>61</v>
      </c>
      <c r="GH62" s="207">
        <f>IF(CL62=1,COUNTIF($CL$2:CL62,1),"")</f>
        <v>61</v>
      </c>
      <c r="GI62" s="207">
        <f>IF(CM62=1,COUNTIF($CM$2:CM62,1),"")</f>
        <v>61</v>
      </c>
      <c r="GJ62" s="207">
        <f>IF(CN62=1,COUNTIF($CN$2:CN62,1),"")</f>
        <v>61</v>
      </c>
      <c r="GK62" s="207">
        <f>IF(CO62=1,COUNTIF($CO$2:CO62,1),"")</f>
        <v>61</v>
      </c>
      <c r="GL62" s="207">
        <f>IF(CP62=1,COUNTIF($CP$2:CP62,1),"")</f>
        <v>61</v>
      </c>
      <c r="GM62" s="207">
        <f>IF(CQ62=1,COUNTIF($CQ$2:CQ62,1),"")</f>
        <v>61</v>
      </c>
      <c r="GN62" s="207">
        <f>IF(CR62=1,COUNTIF($CR$2:CR62,1),"")</f>
        <v>61</v>
      </c>
      <c r="GO62" s="207">
        <f>IF(CS62=1,COUNTIF($CS$2:CS62,1),"")</f>
        <v>61</v>
      </c>
      <c r="GP62" s="207">
        <f>IF(CT62=1,COUNTIF($CT$2:CT62,1),"")</f>
        <v>61</v>
      </c>
      <c r="GQ62" s="207">
        <f>IF(CU62=1,COUNTIF($CU$2:CU62,1),"")</f>
        <v>61</v>
      </c>
      <c r="GR62" s="207">
        <f>IF(CV62=1,COUNTIF($CV$2:CV62,1),"")</f>
        <v>61</v>
      </c>
      <c r="GS62" s="207">
        <f>IF(CW62=1,COUNTIF($CW$2:CW62,1),"")</f>
        <v>61</v>
      </c>
      <c r="GT62" s="207">
        <f>IF(CX62=1,COUNTIF($CX$2:CX62,1),"")</f>
        <v>61</v>
      </c>
      <c r="GU62" s="207">
        <f>IF(CY62=1,COUNTIF($CY$2:CY62,1),"")</f>
        <v>61</v>
      </c>
      <c r="GV62" s="207">
        <f>IF(CZ62=1,COUNTIF($CZ$2:CZ62,1),"")</f>
        <v>61</v>
      </c>
      <c r="GW62" s="207">
        <f>IF(DA62=1,COUNTIF($DA$2:DA62,1),"")</f>
        <v>61</v>
      </c>
      <c r="GX62" s="206" t="str">
        <f>IFERROR(INDEX($A$2:$A$113,MATCH(ROWS($DB$2:DB62),$DB$2:$DB$113,0)),"")</f>
        <v>DAÑOS (NO INCLUYE INFORMATICOS)</v>
      </c>
      <c r="GY62" s="206" t="str">
        <f>IFERROR(INDEX($A$2:$A$113,MATCH(ROWS($DC$2:DC62),$DC$2:$DC$113,0)),"")</f>
        <v>DAÑOS (NO INCLUYE INFORMATICOS)</v>
      </c>
      <c r="GZ62" s="206" t="str">
        <f>IFERROR(INDEX($A$2:$A$113,MATCH(ROWS($DD$2:DD62),$DD$2:$DD$113,0)),"")</f>
        <v>DAÑOS (NO INCLUYE INFORMATICOS)</v>
      </c>
      <c r="HA62" s="206" t="str">
        <f>IFERROR(INDEX($A$2:$A$113,MATCH(ROWS($DE$2:DE62),$DE$2:$DE$113,0)),"")</f>
        <v>DAÑOS (NO INCLUYE INFORMATICOS)</v>
      </c>
      <c r="HB62" s="206" t="str">
        <f>IFERROR(INDEX($A$2:$A$113,MATCH(ROWS($DF$2:DF62),$DF$2:$DF$113,0)),"")</f>
        <v>DAÑOS (NO INCLUYE INFORMATICOS)</v>
      </c>
      <c r="HC62" s="206" t="str">
        <f>IFERROR(INDEX($A$2:$A$113,MATCH(ROWS($DG$2:DG62),$DG$2:$DG$113,0)),"")</f>
        <v>DAÑOS (NO INCLUYE INFORMATICOS)</v>
      </c>
      <c r="HD62" s="206" t="str">
        <f>IFERROR(INDEX($A$2:$A$113,MATCH(ROWS($DH$2:DH62),$DH$2:$DH$113,0)),"")</f>
        <v>DAÑOS (NO INCLUYE INFORMATICOS)</v>
      </c>
      <c r="HE62" s="206" t="str">
        <f>IFERROR(INDEX($A$2:$A$113,MATCH(ROWS($DI$2:DI62),$DI$2:$DI$113,0)),"")</f>
        <v>DAÑOS (NO INCLUYE INFORMATICOS)</v>
      </c>
      <c r="HF62" s="206" t="str">
        <f>IFERROR(INDEX($A$2:$A$113,MATCH(ROWS($DJ$2:DJ62),$DJ$2:$DJ$113,0)),"")</f>
        <v>DAÑOS (NO INCLUYE INFORMATICOS)</v>
      </c>
      <c r="HG62" s="206" t="str">
        <f>IFERROR(INDEX($A$2:$A$113,MATCH(ROWS($DK$2:DK62),$DK$2:$DK$113,0)),"")</f>
        <v>DAÑOS (NO INCLUYE INFORMATICOS)</v>
      </c>
      <c r="HH62" s="206" t="str">
        <f>IFERROR(INDEX($A$2:$A$113,MATCH(ROWS($DL$2:DL62),$DL$2:$DL$113,0)),"")</f>
        <v>DAÑOS (NO INCLUYE INFORMATICOS)</v>
      </c>
      <c r="HI62" s="206" t="str">
        <f>IFERROR(INDEX($A$2:$A$113,MATCH(ROWS($DM$2:DM62),$DM$2:$DM$113,0)),"")</f>
        <v>DAÑOS (NO INCLUYE INFORMATICOS)</v>
      </c>
      <c r="HJ62" s="206" t="str">
        <f>IFERROR(INDEX($A$2:$A$113,MATCH(ROWS($DN$2:DN62),$DN$2:$DN$113,0)),"")</f>
        <v>DAÑOS (NO INCLUYE INFORMATICOS)</v>
      </c>
      <c r="HK62" s="206" t="str">
        <f>IFERROR(INDEX($A$2:$A$113,MATCH(ROWS($DO$2:DO62),$DO$2:$DO$113,0)),"")</f>
        <v>DAÑOS (NO INCLUYE INFORMATICOS)</v>
      </c>
      <c r="HL62" s="206" t="str">
        <f>IFERROR(INDEX($A$2:$A$113,MATCH(ROWS($DP$2:DP62),$DP$2:$DP$113,0)),"")</f>
        <v>DAÑOS (NO INCLUYE INFORMATICOS)</v>
      </c>
      <c r="HM62" s="206" t="str">
        <f>IFERROR(INDEX($A$2:$A$113,MATCH(ROWS($DQ$2:DQ62),$DQ$2:$DQ$113,0)),"")</f>
        <v>DAÑOS (NO INCLUYE INFORMATICOS)</v>
      </c>
      <c r="HN62" s="206" t="str">
        <f>IFERROR(INDEX($A$2:$A$113,MATCH(ROWS($DR$2:DR62),$DR$2:$DR$113,0)),"")</f>
        <v>DAÑOS (NO INCLUYE INFORMATICOS)</v>
      </c>
      <c r="HO62" s="206" t="str">
        <f>IFERROR(INDEX($A$2:$A$113,MATCH(ROWS($DS$2:DS62),$DS$2:$DS$113,0)),"")</f>
        <v>DAÑOS (NO INCLUYE INFORMATICOS)</v>
      </c>
      <c r="HP62" s="206" t="str">
        <f>IFERROR(INDEX($A$2:$A$113,MATCH(ROWS($DT$2:DT62),$DT$2:$DT$113,0)),"")</f>
        <v>DAÑOS (NO INCLUYE INFORMATICOS)</v>
      </c>
      <c r="HQ62" s="206" t="str">
        <f>IFERROR(INDEX($A$2:$A$113,MATCH(ROWS($DU$2:DU62),$DU$2:$DU$113,0)),"")</f>
        <v>DAÑOS (NO INCLUYE INFORMATICOS)</v>
      </c>
      <c r="HR62" s="206" t="str">
        <f>IFERROR(INDEX($A$2:$A$113,MATCH(ROWS($DV$2:DV62),$DV$2:$DV$113,0)),"")</f>
        <v>DAÑOS (NO INCLUYE INFORMATICOS)</v>
      </c>
      <c r="HS62" s="206" t="str">
        <f>IFERROR(INDEX($A$2:$A$113,MATCH(ROWS($DW$2:DW62),$DW$2:$DW$113,0)),"")</f>
        <v>DAÑOS (NO INCLUYE INFORMATICOS)</v>
      </c>
      <c r="HT62" s="206" t="str">
        <f>IFERROR(INDEX($A$2:$A$113,MATCH(ROWS($DX$2:DX62),$DX$2:$DX$113,0)),"")</f>
        <v>DAÑOS (NO INCLUYE INFORMATICOS)</v>
      </c>
      <c r="HU62" s="206" t="str">
        <f>IFERROR(INDEX($A$2:$A$113,MATCH(ROWS($DY$2:DY62),$DY$2:$DY$113,0)),"")</f>
        <v>DAÑOS (NO INCLUYE INFORMATICOS)</v>
      </c>
      <c r="HV62" s="206" t="str">
        <f>IFERROR(INDEX($A$2:$A$113,MATCH(ROWS($DZ$2:DZ62),$DZ$2:$DZ$113,0)),"")</f>
        <v>DAÑOS (NO INCLUYE INFORMATICOS)</v>
      </c>
      <c r="HW62" s="206" t="str">
        <f>IFERROR(INDEX($A$2:$A$113,MATCH(ROWS($EA$2:EA62),$EA$2:$EA$113,0)),"")</f>
        <v>DAÑOS (NO INCLUYE INFORMATICOS)</v>
      </c>
      <c r="HX62" s="206" t="str">
        <f>IFERROR(INDEX($A$2:$A$113,MATCH(ROWS($EB$2:EB62),$EB$2:$EB$113,0)),"")</f>
        <v>DAÑOS (NO INCLUYE INFORMATICOS)</v>
      </c>
      <c r="HY62" s="206" t="str">
        <f>IFERROR(INDEX($A$2:$A$113,MATCH(ROWS($EC$2:EC62),$EC$2:$EC$113,0)),"")</f>
        <v>DAÑOS (NO INCLUYE INFORMATICOS)</v>
      </c>
      <c r="HZ62" s="206" t="str">
        <f>IFERROR(INDEX($A$2:$A$113,MATCH(ROWS($ED$2:ED62),$ED$2:$ED$113,0)),"")</f>
        <v>DAÑOS (NO INCLUYE INFORMATICOS)</v>
      </c>
      <c r="IA62" s="206" t="str">
        <f>IFERROR(INDEX($A$2:$A$113,MATCH(ROWS($EE$2:EE62),$EE$2:$EE$113,0)),"")</f>
        <v>DAÑOS (NO INCLUYE INFORMATICOS)</v>
      </c>
      <c r="IB62" s="206" t="str">
        <f>IFERROR(INDEX($A$2:$A$113,MATCH(ROWS($EF$2:EF62),$EF$2:$EF$113,0)),"")</f>
        <v>DAÑOS (NO INCLUYE INFORMATICOS)</v>
      </c>
      <c r="IC62" s="206" t="str">
        <f>IFERROR(INDEX($A$2:$A$113,MATCH(ROWS($EG$2:EG62),$EG$2:$EG$113,0)),"")</f>
        <v>DAÑOS (NO INCLUYE INFORMATICOS)</v>
      </c>
      <c r="ID62" s="206" t="str">
        <f>IFERROR(INDEX($A$2:$A$113,MATCH(ROWS($EH$2:EH62),$EH$2:$EH$113,0)),"")</f>
        <v>DAÑOS (NO INCLUYE INFORMATICOS)</v>
      </c>
      <c r="IE62" s="206" t="str">
        <f>IFERROR(INDEX($A$2:$A$113,MATCH(ROWS($EI$2:EI62),$EI$2:$EI$113,0)),"")</f>
        <v>DAÑOS (NO INCLUYE INFORMATICOS)</v>
      </c>
      <c r="IF62" s="206" t="str">
        <f>IFERROR(INDEX($A$2:$A$113,MATCH(ROWS($EJ$2:EJ62),$EJ$2:$EJ$113,0)),"")</f>
        <v>DAÑOS (NO INCLUYE INFORMATICOS)</v>
      </c>
      <c r="IG62" s="206" t="str">
        <f>IFERROR(INDEX($A$2:$A$113,MATCH(ROWS($EK$2:EK62),$EK$2:$EK$113,0)),"")</f>
        <v>DAÑOS (NO INCLUYE INFORMATICOS)</v>
      </c>
      <c r="IH62" s="206" t="str">
        <f>IFERROR(INDEX($A$2:$A$113,MATCH(ROWS($EL$2:EL62),$EL$2:$EL$113,0)),"")</f>
        <v>DAÑOS (NO INCLUYE INFORMATICOS)</v>
      </c>
      <c r="II62" s="206" t="str">
        <f>IFERROR(INDEX($A$2:$A$113,MATCH(ROWS($EM$2:EM62),$EM$2:$EM$113,0)),"")</f>
        <v>DAÑOS (NO INCLUYE INFORMATICOS)</v>
      </c>
      <c r="IJ62" s="206" t="str">
        <f>IFERROR(INDEX($A$2:$A$113,MATCH(ROWS($EN$2:EN62),$EN$2:$EN$113,0)),"")</f>
        <v>DAÑOS (NO INCLUYE INFORMATICOS)</v>
      </c>
      <c r="IK62" s="207" t="str">
        <f>IFERROR(INDEX($A$2:$A$113,MATCH(ROWS($EO$2:EO62),$EO$2:$EO$113,0)),"")</f>
        <v>DAÑOS (NO INCLUYE INFORMATICOS)</v>
      </c>
      <c r="IL62" s="207" t="str">
        <f>IFERROR(INDEX($A$2:$A$113,MATCH(ROWS($EP$2:EP62),$EP$2:$EP$113,0)),"")</f>
        <v>DAÑOS (NO INCLUYE INFORMATICOS)</v>
      </c>
      <c r="IM62" s="207" t="str">
        <f>IFERROR(INDEX($A$2:$A$113,MATCH(ROWS($EQ$2:EQ62),$EQ$2:$EQ$113,0)),"")</f>
        <v>DAÑOS (NO INCLUYE INFORMATICOS)</v>
      </c>
      <c r="IN62" s="207" t="str">
        <f>IFERROR(INDEX($A$2:$A$113,MATCH(ROWS($ER$2:ER62),$ER$2:$ER$113,0)),"")</f>
        <v>DAÑOS (NO INCLUYE INFORMATICOS)</v>
      </c>
      <c r="IO62" s="207" t="str">
        <f>IFERROR(INDEX($A$2:$A$113,MATCH(ROWS($ES$2:ES62),$ES$2:$ES$113,0)),"")</f>
        <v>DAÑOS (NO INCLUYE INFORMATICOS)</v>
      </c>
      <c r="IP62" s="207" t="str">
        <f>IFERROR(INDEX($A$2:$A$113,MATCH(ROWS($ET$2:ET62),$ET$2:$ET$113,0)),"")</f>
        <v>DAÑOS (NO INCLUYE INFORMATICOS)</v>
      </c>
      <c r="IQ62" s="207" t="str">
        <f>IFERROR(INDEX($A$2:$A$113,MATCH(ROWS($EU$2:EU62),$EU$2:$EU$113,0)),"")</f>
        <v>DAÑOS (NO INCLUYE INFORMATICOS)</v>
      </c>
      <c r="IR62" s="207" t="str">
        <f>IFERROR(INDEX($A$2:$A$113,MATCH(ROWS($EV$2:EV62),$EV$2:$EV$113,0)),"")</f>
        <v>DAÑOS (NO INCLUYE INFORMATICOS)</v>
      </c>
      <c r="IS62" s="207" t="str">
        <f>IFERROR(INDEX($A$2:$A$113,MATCH(ROWS($EW$2:EW62),$EW$2:$EW$113,0)),"")</f>
        <v>DAÑOS (NO INCLUYE INFORMATICOS)</v>
      </c>
      <c r="IT62" s="207" t="str">
        <f>IFERROR(INDEX($A$2:$A$113,MATCH(ROWS($EX$2:EX62),$EX$2:$EX$113,0)),"")</f>
        <v>DAÑOS (NO INCLUYE INFORMATICOS)</v>
      </c>
      <c r="IU62" s="207" t="str">
        <f>IFERROR(INDEX($A$2:$A$113,MATCH(ROWS($EY$2:EY62),$EY$2:$EY$113,0)),"")</f>
        <v>DAÑOS (NO INCLUYE INFORMATICOS)</v>
      </c>
      <c r="IV62" s="207" t="str">
        <f>IFERROR(INDEX($A$2:$A$113,MATCH(ROWS($EZ$2:EZ62),$EZ$2:$EZ$113,0)),"")</f>
        <v>DAÑOS (NO INCLUYE INFORMATICOS)</v>
      </c>
      <c r="IW62" s="207" t="str">
        <f>IFERROR(INDEX($A$2:$A$113,MATCH(ROWS($FA$2:FA62),$FA$2:$FA$113,0)),"")</f>
        <v>DAÑOS (NO INCLUYE INFORMATICOS)</v>
      </c>
      <c r="IX62" s="207" t="str">
        <f>IFERROR(INDEX($A$2:$A$113,MATCH(ROWS($FB$2:FB62),$FB$2:$FB$113,0)),"")</f>
        <v>DAÑOS (NO INCLUYE INFORMATICOS)</v>
      </c>
      <c r="IY62" s="207" t="str">
        <f>IFERROR(INDEX($A$2:$A$113,MATCH(ROWS($FC$2:FC62),$FC$2:$FC$113,0)),"")</f>
        <v>DAÑOS (NO INCLUYE INFORMATICOS)</v>
      </c>
      <c r="IZ62" s="207" t="str">
        <f>IFERROR(INDEX($A$2:$A$113,MATCH(ROWS($FD$2:FD62),$FD$2:$FD$113,0)),"")</f>
        <v>DAÑOS (NO INCLUYE INFORMATICOS)</v>
      </c>
      <c r="JA62" s="207" t="str">
        <f>IFERROR(INDEX($A$2:$A$113,MATCH(ROWS($FE$2:FE62),$FE$2:$FE$113,0)),"")</f>
        <v>DAÑOS (NO INCLUYE INFORMATICOS)</v>
      </c>
      <c r="JB62" s="207" t="str">
        <f>IFERROR(INDEX($A$2:$A$113,MATCH(ROWS($FF$2:FF62),$FF$2:$FF$113,0)),"")</f>
        <v>DAÑOS (NO INCLUYE INFORMATICOS)</v>
      </c>
      <c r="JC62" s="207" t="str">
        <f>IFERROR(INDEX($A$2:$A$113,MATCH(ROWS($FG$2:FG62),$FG$2:$FG$113,0)),"")</f>
        <v>DAÑOS (NO INCLUYE INFORMATICOS)</v>
      </c>
      <c r="JD62" s="207" t="str">
        <f>IFERROR(INDEX($A$2:$A$113,MATCH(ROWS($FH$2:FH62),$FH$2:$FH$113,0)),"")</f>
        <v>DAÑOS (NO INCLUYE INFORMATICOS)</v>
      </c>
      <c r="JE62" s="207" t="str">
        <f>IFERROR(INDEX($A$2:$A$113,MATCH(ROWS($FI$2:FI62),$FI$2:$FI$113,0)),"")</f>
        <v>DAÑOS (NO INCLUYE INFORMATICOS)</v>
      </c>
      <c r="JF62" s="207" t="str">
        <f>IFERROR(INDEX($A$2:$A$113,MATCH(ROWS($FJ$2:FJ62),$FJ$2:$FJ$113,0)),"")</f>
        <v>DAÑOS (NO INCLUYE INFORMATICOS)</v>
      </c>
      <c r="JG62" s="207" t="str">
        <f>IFERROR(INDEX($A$2:$A$113,MATCH(ROWS($FK$2:FK62),$FK$2:$FK$113,0)),"")</f>
        <v>DAÑOS (NO INCLUYE INFORMATICOS)</v>
      </c>
      <c r="JH62" s="207" t="str">
        <f>IFERROR(INDEX($A$2:$A$113,MATCH(ROWS($FL$2:FL62),$FL$2:$FL$113,0)),"")</f>
        <v>DAÑOS (NO INCLUYE INFORMATICOS)</v>
      </c>
      <c r="JI62" s="207" t="str">
        <f>IFERROR(INDEX($A$2:$A$113,MATCH(ROWS($FM$2:FM62),$FM$2:$FM$113,0)),"")</f>
        <v>DAÑOS (NO INCLUYE INFORMATICOS)</v>
      </c>
      <c r="JJ62" s="207" t="str">
        <f>IFERROR(INDEX($A$2:$A$113,MATCH(ROWS($FN$2:FN62),$FN$2:$FN$113,0)),"")</f>
        <v>DAÑOS (NO INCLUYE INFORMATICOS)</v>
      </c>
      <c r="JK62" s="207" t="str">
        <f>IFERROR(INDEX($A$2:$A$113,MATCH(ROWS($FO$2:FO62),$FO$2:$FO$113,0)),"")</f>
        <v>DAÑOS (NO INCLUYE INFORMATICOS)</v>
      </c>
      <c r="JL62" s="207" t="str">
        <f>IFERROR(INDEX($A$2:$A$113,MATCH(ROWS($FP$2:FP62),$FP$2:$FP$113,0)),"")</f>
        <v>DAÑOS (NO INCLUYE INFORMATICOS)</v>
      </c>
      <c r="JM62" s="207" t="str">
        <f>IFERROR(INDEX($A$2:$A$113,MATCH(ROWS($FQ$2:FQ62),$FQ$2:$FQ$113,0)),"")</f>
        <v>DAÑOS (NO INCLUYE INFORMATICOS)</v>
      </c>
      <c r="JN62" s="207" t="str">
        <f>IFERROR(INDEX($A$2:$A$113,MATCH(ROWS($FR$2:FR62),$FR$2:$FR$113,0)),"")</f>
        <v>DAÑOS (NO INCLUYE INFORMATICOS)</v>
      </c>
      <c r="JO62" s="207" t="str">
        <f>IFERROR(INDEX($A$2:$A$113,MATCH(ROWS($FS$2:FS62),$FS$2:$FS$113,0)),"")</f>
        <v>DAÑOS (NO INCLUYE INFORMATICOS)</v>
      </c>
      <c r="JP62" s="207" t="str">
        <f>IFERROR(INDEX($A$2:$A$113,MATCH(ROWS($FT$2:FT62),$FT$2:$FT$113,0)),"")</f>
        <v>DAÑOS (NO INCLUYE INFORMATICOS)</v>
      </c>
      <c r="JQ62" s="207" t="str">
        <f>IFERROR(INDEX($A$2:$A$113,MATCH(ROWS($FU$2:FU62),$FU$2:$FU$113,0)),"")</f>
        <v>DAÑOS (NO INCLUYE INFORMATICOS)</v>
      </c>
      <c r="JR62" s="207" t="str">
        <f>IFERROR(INDEX($A$2:$A$113,MATCH(ROWS($FV$2:FV62),$FV$2:$FV$113,0)),"")</f>
        <v>DAÑOS (NO INCLUYE INFORMATICOS)</v>
      </c>
      <c r="JS62" s="207" t="str">
        <f>IFERROR(INDEX($A$2:$A$113,MATCH(ROWS($FW$2:FW62),$FW$2:$FW$113,0)),"")</f>
        <v>DAÑOS (NO INCLUYE INFORMATICOS)</v>
      </c>
      <c r="JT62" s="207" t="str">
        <f>IFERROR(INDEX($A$2:$A$113,MATCH(ROWS($FX$2:FX62),$FX$2:$FX$113,0)),"")</f>
        <v>DAÑOS (NO INCLUYE INFORMATICOS)</v>
      </c>
      <c r="JU62" s="207" t="str">
        <f>IFERROR(INDEX($A$2:$A$113,MATCH(ROWS($FY$2:FY62),$FY$2:$FY$113,0)),"")</f>
        <v>DAÑOS (NO INCLUYE INFORMATICOS)</v>
      </c>
      <c r="JV62" s="207" t="str">
        <f>IFERROR(INDEX($A$2:$A$113,MATCH(ROWS($FZ$2:FZ62),$FZ$2:$FZ$113,0)),"")</f>
        <v>DAÑOS (NO INCLUYE INFORMATICOS)</v>
      </c>
      <c r="JW62" s="207" t="str">
        <f>IFERROR(INDEX($A$2:$A$113,MATCH(ROWS($GA$2:GA62),$GA$2:$GA$113,0)),"")</f>
        <v>DAÑOS (NO INCLUYE INFORMATICOS)</v>
      </c>
      <c r="JX62" s="207" t="str">
        <f>IFERROR(INDEX($A$2:$A$113,MATCH(ROWS($GB$2:GB62),$GB$2:$GB$113,0)),"")</f>
        <v>DAÑOS (NO INCLUYE INFORMATICOS)</v>
      </c>
      <c r="JY62" s="207" t="str">
        <f>IFERROR(INDEX($A$2:$A$113,MATCH(ROWS($GC$2:GC62),$GC$2:$GC$113,0)),"")</f>
        <v>DAÑOS (NO INCLUYE INFORMATICOS)</v>
      </c>
      <c r="JZ62" s="207" t="str">
        <f>IFERROR(INDEX($A$2:$A$113,MATCH(ROWS($GD$2:GD62),$GD$2:$GD$113,0)),"")</f>
        <v>DAÑOS (NO INCLUYE INFORMATICOS)</v>
      </c>
      <c r="KA62" s="207" t="str">
        <f>IFERROR(INDEX($A$2:$A$113,MATCH(ROWS($GE$2:GE62),$GE$2:$GE$113,0)),"")</f>
        <v>DAÑOS (NO INCLUYE INFORMATICOS)</v>
      </c>
      <c r="KB62" s="207" t="str">
        <f>IFERROR(INDEX($A$2:$A$113,MATCH(ROWS($GF$2:GF62),$GF$2:$GF$113,0)),"")</f>
        <v>DAÑOS (NO INCLUYE INFORMATICOS)</v>
      </c>
      <c r="KC62" s="207" t="str">
        <f>IFERROR(INDEX($A$2:$A$113,MATCH(ROWS($GG$2:GG62),$GG$2:$GG$113,0)),"")</f>
        <v>DAÑOS (NO INCLUYE INFORMATICOS)</v>
      </c>
      <c r="KD62" s="207" t="str">
        <f>IFERROR(INDEX($A$2:$A$113,MATCH(ROWS($GH$2:GH62),$GH$2:$GH$113,0)),"")</f>
        <v>DAÑOS (NO INCLUYE INFORMATICOS)</v>
      </c>
      <c r="KE62" s="207" t="str">
        <f>IFERROR(INDEX($A$2:$A$113,MATCH(ROWS($GI$2:GI62),$GI$2:$GI$113,0)),"")</f>
        <v>DAÑOS (NO INCLUYE INFORMATICOS)</v>
      </c>
      <c r="KF62" s="207" t="str">
        <f>IFERROR(INDEX($A$2:$A$113,MATCH(ROWS($GJ$2:GJ62),$GJ$2:$GJ$113,0)),"")</f>
        <v>DAÑOS (NO INCLUYE INFORMATICOS)</v>
      </c>
      <c r="KG62" s="207" t="str">
        <f>IFERROR(INDEX($A$2:$A$113,MATCH(ROWS($GK$2:GK62),$GK$2:$GK$113,0)),"")</f>
        <v>DAÑOS (NO INCLUYE INFORMATICOS)</v>
      </c>
      <c r="KH62" s="207" t="str">
        <f>IFERROR(INDEX($A$2:$A$113,MATCH(ROWS($GL$2:GL62),$GL$2:$GL$113,0)),"")</f>
        <v>DAÑOS (NO INCLUYE INFORMATICOS)</v>
      </c>
      <c r="KI62" s="207" t="str">
        <f>IFERROR(INDEX($A$2:$A$113,MATCH(ROWS($GM$2:GM62),$GM$2:$GM$113,0)),"")</f>
        <v>DAÑOS (NO INCLUYE INFORMATICOS)</v>
      </c>
      <c r="KJ62" s="207" t="str">
        <f>IFERROR(INDEX($A$2:$A$113,MATCH(ROWS($GN$2:GN62),$GN$2:$GN$113,0)),"")</f>
        <v>DAÑOS (NO INCLUYE INFORMATICOS)</v>
      </c>
      <c r="KK62" s="207" t="str">
        <f>IFERROR(INDEX($A$2:$A$113,MATCH(ROWS($GO$2:GO62),$GO$2:$GO$113,0)),"")</f>
        <v>DAÑOS (NO INCLUYE INFORMATICOS)</v>
      </c>
      <c r="KL62" s="207" t="str">
        <f>IFERROR(INDEX($A$2:$A$113,MATCH(ROWS($GP$2:GP62),$GP$2:$GP$113,0)),"")</f>
        <v>DAÑOS (NO INCLUYE INFORMATICOS)</v>
      </c>
      <c r="KM62" s="207" t="str">
        <f>IFERROR(INDEX($A$2:$A$113,MATCH(ROWS($GQ$2:GQ62),$GQ$2:$GQ$113,0)),"")</f>
        <v>DAÑOS (NO INCLUYE INFORMATICOS)</v>
      </c>
      <c r="KN62" s="207" t="str">
        <f>IFERROR(INDEX($A$2:$A$113,MATCH(ROWS($GR$2:GR62),$GR$2:$GR$113,0)),"")</f>
        <v>DAÑOS (NO INCLUYE INFORMATICOS)</v>
      </c>
      <c r="KO62" s="207" t="str">
        <f>IFERROR(INDEX($A$2:$A$113,MATCH(ROWS($GS$2:GS62),$GS$2:$GS$113,0)),"")</f>
        <v>DAÑOS (NO INCLUYE INFORMATICOS)</v>
      </c>
      <c r="KP62" s="207" t="str">
        <f>IFERROR(INDEX($A$2:$A$113,MATCH(ROWS($GT$2:GT62),$GT$2:$GT$113,0)),"")</f>
        <v>DAÑOS (NO INCLUYE INFORMATICOS)</v>
      </c>
      <c r="KQ62" s="207" t="str">
        <f>IFERROR(INDEX($A$2:$A$113,MATCH(ROWS($GU$2:GU62),$GU$2:$GU$113,0)),"")</f>
        <v>DAÑOS (NO INCLUYE INFORMATICOS)</v>
      </c>
      <c r="KR62" s="207" t="str">
        <f>IFERROR(INDEX($A$2:$A$113,MATCH(ROWS($GV$2:GV62),$GV$2:$GV$113,0)),"")</f>
        <v>DAÑOS (NO INCLUYE INFORMATICOS)</v>
      </c>
      <c r="KS62" s="207" t="str">
        <f>IFERROR(INDEX($A$2:$A$113,MATCH(ROWS($GW$2:GW62),$GW$2:$GW$113,0)),"")</f>
        <v>DAÑOS (NO INCLUYE INFORMATICOS)</v>
      </c>
    </row>
    <row r="63" spans="1:305" x14ac:dyDescent="0.25">
      <c r="A63" s="206" t="s">
        <v>1094</v>
      </c>
      <c r="B63" s="206" t="s">
        <v>1096</v>
      </c>
      <c r="D63" s="206" t="s">
        <v>13</v>
      </c>
      <c r="E63" s="206" t="s">
        <v>507</v>
      </c>
      <c r="F63" s="207">
        <f>--ISNUMBER(IFERROR(SEARCH('PLANILLA DJ'!$X$3,$A63,1),""))</f>
        <v>1</v>
      </c>
      <c r="G63" s="207">
        <f>--ISNUMBER(IFERROR(SEARCH('PLANILLA DJ'!$X$4,$A63,1),""))</f>
        <v>1</v>
      </c>
      <c r="H63" s="207">
        <f>--ISNUMBER(IFERROR(SEARCH('PLANILLA DJ'!$X$5,$A63,1),""))</f>
        <v>1</v>
      </c>
      <c r="I63" s="207">
        <f>--ISNUMBER(IFERROR(SEARCH('PLANILLA DJ'!$X$6,$A63,1),""))</f>
        <v>1</v>
      </c>
      <c r="J63" s="207">
        <f>--ISNUMBER(IFERROR(SEARCH('PLANILLA DJ'!$X$7,$A63,1),""))</f>
        <v>1</v>
      </c>
      <c r="K63" s="207">
        <f>--ISNUMBER(IFERROR(SEARCH('PLANILLA DJ'!$X$8,$A63,1),""))</f>
        <v>1</v>
      </c>
      <c r="L63" s="207">
        <f>--ISNUMBER(IFERROR(SEARCH('PLANILLA DJ'!$X$9,$A63,1),""))</f>
        <v>1</v>
      </c>
      <c r="M63" s="207">
        <f>--ISNUMBER(IFERROR(SEARCH('PLANILLA DJ'!$X$10,$A63,1),""))</f>
        <v>1</v>
      </c>
      <c r="N63" s="207">
        <f>--ISNUMBER(IFERROR(SEARCH('PLANILLA DJ'!$X$11,$A63,1),""))</f>
        <v>1</v>
      </c>
      <c r="O63" s="207">
        <f>--ISNUMBER(IFERROR(SEARCH('PLANILLA DJ'!$X$12,$A63,1),""))</f>
        <v>1</v>
      </c>
      <c r="P63" s="207">
        <f>--ISNUMBER(IFERROR(SEARCH('PLANILLA DJ'!$X$13,$A63,1),""))</f>
        <v>1</v>
      </c>
      <c r="Q63" s="207">
        <f>--ISNUMBER(IFERROR(SEARCH('PLANILLA DJ'!$X$14,$A63,1),""))</f>
        <v>1</v>
      </c>
      <c r="R63" s="207">
        <f>--ISNUMBER(IFERROR(SEARCH('PLANILLA DJ'!$X$15,$A63,1),""))</f>
        <v>1</v>
      </c>
      <c r="S63" s="207">
        <f>--ISNUMBER(IFERROR(SEARCH('PLANILLA DJ'!$X$16,$A63,1),""))</f>
        <v>1</v>
      </c>
      <c r="T63" s="207">
        <f>--ISNUMBER(IFERROR(SEARCH('PLANILLA DJ'!$X$17,$A63,1),""))</f>
        <v>1</v>
      </c>
      <c r="U63" s="207">
        <f>--ISNUMBER(IFERROR(SEARCH('PLANILLA DJ'!$X$18,$A63,1),""))</f>
        <v>1</v>
      </c>
      <c r="V63" s="207">
        <f>--ISNUMBER(IFERROR(SEARCH('PLANILLA DJ'!$X$19,$A63,1),""))</f>
        <v>1</v>
      </c>
      <c r="W63" s="207">
        <f>--ISNUMBER(IFERROR(SEARCH('PLANILLA DJ'!$X$20,$A63,1),""))</f>
        <v>1</v>
      </c>
      <c r="X63" s="207">
        <f>--ISNUMBER(IFERROR(SEARCH('PLANILLA DJ'!$X$21,$A63,1),""))</f>
        <v>1</v>
      </c>
      <c r="Y63" s="207">
        <f>--ISNUMBER(IFERROR(SEARCH('PLANILLA DJ'!$X$22,$A63,1),""))</f>
        <v>1</v>
      </c>
      <c r="Z63" s="207">
        <f>--ISNUMBER(IFERROR(SEARCH('PLANILLA DJ'!$X$23,$A63,1),""))</f>
        <v>1</v>
      </c>
      <c r="AA63" s="207">
        <f>--ISNUMBER(IFERROR(SEARCH('PLANILLA DJ'!$X$24,$A63,1),""))</f>
        <v>1</v>
      </c>
      <c r="AB63" s="207">
        <f>--ISNUMBER(IFERROR(SEARCH('PLANILLA DJ'!$X$25,$A63,1),""))</f>
        <v>1</v>
      </c>
      <c r="AC63" s="207">
        <f>--ISNUMBER(IFERROR(SEARCH('PLANILLA DJ'!$X$26,$A63,1),""))</f>
        <v>1</v>
      </c>
      <c r="AD63" s="207">
        <f>--ISNUMBER(IFERROR(SEARCH('PLANILLA DJ'!$X$27,$A63,1),""))</f>
        <v>1</v>
      </c>
      <c r="AE63" s="207">
        <f>--ISNUMBER(IFERROR(SEARCH('PLANILLA DJ'!$X$28,$A63,1),""))</f>
        <v>1</v>
      </c>
      <c r="AF63" s="207">
        <f>--ISNUMBER(IFERROR(SEARCH('PLANILLA DJ'!$X$29,$A63,1),""))</f>
        <v>1</v>
      </c>
      <c r="AG63" s="207">
        <f>--ISNUMBER(IFERROR(SEARCH('PLANILLA DJ'!$X$30,$A63,1),""))</f>
        <v>1</v>
      </c>
      <c r="AH63" s="207">
        <f>--ISNUMBER(IFERROR(SEARCH('PLANILLA DJ'!$X$31,$A63,1),""))</f>
        <v>1</v>
      </c>
      <c r="AI63" s="207">
        <f>--ISNUMBER(IFERROR(SEARCH('PLANILLA DJ'!$X$32,$A63,1),""))</f>
        <v>1</v>
      </c>
      <c r="AJ63" s="207">
        <f>--ISNUMBER(IFERROR(SEARCH('PLANILLA DJ'!$X$33,$A63,1),""))</f>
        <v>1</v>
      </c>
      <c r="AK63" s="207">
        <f>--ISNUMBER(IFERROR(SEARCH('PLANILLA DJ'!$X$34,$A63,1),""))</f>
        <v>1</v>
      </c>
      <c r="AL63" s="207">
        <f>--ISNUMBER(IFERROR(SEARCH('PLANILLA DJ'!$X$35,$A63,1),""))</f>
        <v>1</v>
      </c>
      <c r="AM63" s="207">
        <f>--ISNUMBER(IFERROR(SEARCH('PLANILLA DJ'!$X$36,$A63,1),""))</f>
        <v>1</v>
      </c>
      <c r="AN63" s="207">
        <f>--ISNUMBER(IFERROR(SEARCH('PLANILLA DJ'!$X$37,$A63,1),""))</f>
        <v>1</v>
      </c>
      <c r="AO63" s="207">
        <f>--ISNUMBER(IFERROR(SEARCH('PLANILLA DJ'!$X$38,$A63,1),""))</f>
        <v>1</v>
      </c>
      <c r="AP63" s="207">
        <f>--ISNUMBER(IFERROR(SEARCH('PLANILLA DJ'!$X$39,$A63,1),""))</f>
        <v>1</v>
      </c>
      <c r="AQ63" s="207">
        <f>--ISNUMBER(IFERROR(SEARCH('PLANILLA DJ'!$X$40,$A63,1),""))</f>
        <v>1</v>
      </c>
      <c r="AR63" s="207">
        <f>--ISNUMBER(IFERROR(SEARCH('PLANILLA DJ'!$X$41,$A63,1),""))</f>
        <v>1</v>
      </c>
      <c r="AS63" s="207">
        <f>--ISNUMBER(IFERROR(SEARCH('PLANILLA DJ'!$X$42,$A63,1),""))</f>
        <v>1</v>
      </c>
      <c r="AT63" s="207">
        <f>--ISNUMBER(IFERROR(SEARCH('PLANILLA DJ'!$X$43,$A63,1),""))</f>
        <v>1</v>
      </c>
      <c r="AU63" s="207">
        <f>--ISNUMBER(IFERROR(SEARCH('PLANILLA DJ'!$X$44,$A63,1),""))</f>
        <v>1</v>
      </c>
      <c r="AV63" s="207">
        <f>--ISNUMBER(IFERROR(SEARCH('PLANILLA DJ'!$X$45,$A63,1),""))</f>
        <v>1</v>
      </c>
      <c r="AW63" s="207">
        <f>--ISNUMBER(IFERROR(SEARCH('PLANILLA DJ'!$X$46,$A63,1),""))</f>
        <v>1</v>
      </c>
      <c r="AX63" s="207">
        <f>--ISNUMBER(IFERROR(SEARCH('PLANILLA DJ'!$X$47,$A63,1),""))</f>
        <v>1</v>
      </c>
      <c r="AY63" s="207">
        <f>--ISNUMBER(IFERROR(SEARCH('PLANILLA DJ'!$X$48,$A63,1),""))</f>
        <v>1</v>
      </c>
      <c r="AZ63" s="207">
        <f>--ISNUMBER(IFERROR(SEARCH('PLANILLA DJ'!$X$49,$A63,1),""))</f>
        <v>1</v>
      </c>
      <c r="BA63" s="207">
        <f>--ISNUMBER(IFERROR(SEARCH('PLANILLA DJ'!$X$50,$A63,1),""))</f>
        <v>1</v>
      </c>
      <c r="BB63" s="207">
        <f>--ISNUMBER(IFERROR(SEARCH('PLANILLA DJ'!$X$51,$A63,1),""))</f>
        <v>1</v>
      </c>
      <c r="BC63" s="207">
        <f>--ISNUMBER(IFERROR(SEARCH('PLANILLA DJ'!$X$52,$A63,1),""))</f>
        <v>1</v>
      </c>
      <c r="BD63" s="207">
        <f>--ISNUMBER(IFERROR(SEARCH('PLANILLA DJ'!$X$53,$A63,1),""))</f>
        <v>1</v>
      </c>
      <c r="BE63" s="207">
        <f>--ISNUMBER(IFERROR(SEARCH('PLANILLA DJ'!$X$54,$A63,1),""))</f>
        <v>1</v>
      </c>
      <c r="BF63" s="207">
        <f>--ISNUMBER(IFERROR(SEARCH('PLANILLA DJ'!$X$55,$A63,1),""))</f>
        <v>1</v>
      </c>
      <c r="BG63" s="207">
        <f>--ISNUMBER(IFERROR(SEARCH('PLANILLA DJ'!$X$56,$A63,1),""))</f>
        <v>1</v>
      </c>
      <c r="BH63" s="207">
        <f>--ISNUMBER(IFERROR(SEARCH('PLANILLA DJ'!$X$57,$A63,1),""))</f>
        <v>1</v>
      </c>
      <c r="BI63" s="207">
        <f>--ISNUMBER(IFERROR(SEARCH('PLANILLA DJ'!$X$58,$A63,1),""))</f>
        <v>1</v>
      </c>
      <c r="BJ63" s="207">
        <f>--ISNUMBER(IFERROR(SEARCH('PLANILLA DJ'!$X$59,$A63,1),""))</f>
        <v>1</v>
      </c>
      <c r="BK63" s="207">
        <f>--ISNUMBER(IFERROR(SEARCH('PLANILLA DJ'!$X$60,$A63,1),""))</f>
        <v>1</v>
      </c>
      <c r="BL63" s="207">
        <f>--ISNUMBER(IFERROR(SEARCH('PLANILLA DJ'!$X$61,$A63,1),""))</f>
        <v>1</v>
      </c>
      <c r="BM63" s="207">
        <f>--ISNUMBER(IFERROR(SEARCH('PLANILLA DJ'!$X$62,$A63,1),""))</f>
        <v>1</v>
      </c>
      <c r="BN63" s="207">
        <f>--ISNUMBER(IFERROR(SEARCH('PLANILLA DJ'!$X$63,$A63,1),""))</f>
        <v>1</v>
      </c>
      <c r="BO63" s="207">
        <f>--ISNUMBER(IFERROR(SEARCH('PLANILLA DJ'!$X$64,$A63,1),""))</f>
        <v>1</v>
      </c>
      <c r="BP63" s="207">
        <f>--ISNUMBER(IFERROR(SEARCH('PLANILLA DJ'!$X$65,$A63,1),""))</f>
        <v>1</v>
      </c>
      <c r="BQ63" s="207">
        <f>--ISNUMBER(IFERROR(SEARCH('PLANILLA DJ'!$X$66,$A63,1),""))</f>
        <v>1</v>
      </c>
      <c r="BR63" s="207">
        <f>--ISNUMBER(IFERROR(SEARCH('PLANILLA DJ'!$X$67,$A63,1),""))</f>
        <v>1</v>
      </c>
      <c r="BS63" s="207">
        <f>--ISNUMBER(IFERROR(SEARCH('PLANILLA DJ'!$X$68,$A63,1),""))</f>
        <v>1</v>
      </c>
      <c r="BT63" s="207">
        <f>--ISNUMBER(IFERROR(SEARCH('PLANILLA DJ'!$X$69,$A63,1),""))</f>
        <v>1</v>
      </c>
      <c r="BU63" s="207">
        <f>--ISNUMBER(IFERROR(SEARCH('PLANILLA DJ'!$X$70,$A63,1),""))</f>
        <v>1</v>
      </c>
      <c r="BV63" s="207">
        <f>--ISNUMBER(IFERROR(SEARCH('PLANILLA DJ'!$X$71,$A63,1),""))</f>
        <v>1</v>
      </c>
      <c r="BW63" s="207">
        <f>--ISNUMBER(IFERROR(SEARCH('PLANILLA DJ'!$X$72,$A63,1),""))</f>
        <v>1</v>
      </c>
      <c r="BX63" s="207">
        <f>--ISNUMBER(IFERROR(SEARCH('PLANILLA DJ'!$X$73,$A63,1),""))</f>
        <v>1</v>
      </c>
      <c r="BY63" s="207">
        <f>--ISNUMBER(IFERROR(SEARCH('PLANILLA DJ'!$X$74,$A63,1),""))</f>
        <v>1</v>
      </c>
      <c r="BZ63" s="207">
        <f>--ISNUMBER(IFERROR(SEARCH('PLANILLA DJ'!$X$75,$A63,1),""))</f>
        <v>1</v>
      </c>
      <c r="CA63" s="207">
        <f>--ISNUMBER(IFERROR(SEARCH('PLANILLA DJ'!$X$76,$A63,1),""))</f>
        <v>1</v>
      </c>
      <c r="CB63" s="207">
        <f>--ISNUMBER(IFERROR(SEARCH('PLANILLA DJ'!$X$77,$A63,1),""))</f>
        <v>1</v>
      </c>
      <c r="CC63" s="207">
        <f>--ISNUMBER(IFERROR(SEARCH('PLANILLA DJ'!$X$78,$A63,1),""))</f>
        <v>1</v>
      </c>
      <c r="CD63" s="207">
        <f>--ISNUMBER(IFERROR(SEARCH('PLANILLA DJ'!$X$79,$A63,1),""))</f>
        <v>1</v>
      </c>
      <c r="CE63" s="207">
        <f>--ISNUMBER(IFERROR(SEARCH('PLANILLA DJ'!$X$80,$A63,1),""))</f>
        <v>1</v>
      </c>
      <c r="CF63" s="207">
        <f>--ISNUMBER(IFERROR(SEARCH('PLANILLA DJ'!$X$81,$A63,1),""))</f>
        <v>1</v>
      </c>
      <c r="CG63" s="207">
        <f>--ISNUMBER(IFERROR(SEARCH('PLANILLA DJ'!$X$82,$A63,1),""))</f>
        <v>1</v>
      </c>
      <c r="CH63" s="207">
        <f>--ISNUMBER(IFERROR(SEARCH('PLANILLA DJ'!$X$83,$A63,1),""))</f>
        <v>1</v>
      </c>
      <c r="CI63" s="207">
        <f>--ISNUMBER(IFERROR(SEARCH('PLANILLA DJ'!$X$84,$A63,1),""))</f>
        <v>1</v>
      </c>
      <c r="CJ63" s="207">
        <f>--ISNUMBER(IFERROR(SEARCH('PLANILLA DJ'!$X$85,$A63,1),""))</f>
        <v>1</v>
      </c>
      <c r="CK63" s="207">
        <f>--ISNUMBER(IFERROR(SEARCH('PLANILLA DJ'!$X$86,$A63,1),""))</f>
        <v>1</v>
      </c>
      <c r="CL63" s="207">
        <f>--ISNUMBER(IFERROR(SEARCH('PLANILLA DJ'!$X$87,$A63,1),""))</f>
        <v>1</v>
      </c>
      <c r="CM63" s="207">
        <f>--ISNUMBER(IFERROR(SEARCH('PLANILLA DJ'!$X$88,$A63,1),""))</f>
        <v>1</v>
      </c>
      <c r="CN63" s="207">
        <f>--ISNUMBER(IFERROR(SEARCH('PLANILLA DJ'!$X$89,$A63,1),""))</f>
        <v>1</v>
      </c>
      <c r="CO63" s="207">
        <f>--ISNUMBER(IFERROR(SEARCH('PLANILLA DJ'!$X$90,$A63,1),""))</f>
        <v>1</v>
      </c>
      <c r="CP63" s="207">
        <f>--ISNUMBER(IFERROR(SEARCH('PLANILLA DJ'!$X$91,$A63,1),""))</f>
        <v>1</v>
      </c>
      <c r="CQ63" s="207">
        <f>--ISNUMBER(IFERROR(SEARCH('PLANILLA DJ'!$X$92,$A63,1),""))</f>
        <v>1</v>
      </c>
      <c r="CR63" s="207">
        <f>--ISNUMBER(IFERROR(SEARCH('PLANILLA DJ'!$X$93,$A63,1),""))</f>
        <v>1</v>
      </c>
      <c r="CS63" s="207">
        <f>--ISNUMBER(IFERROR(SEARCH('PLANILLA DJ'!$X$94,$A63,1),""))</f>
        <v>1</v>
      </c>
      <c r="CT63" s="207">
        <f>--ISNUMBER(IFERROR(SEARCH('PLANILLA DJ'!$X$95,$A63,1),""))</f>
        <v>1</v>
      </c>
      <c r="CU63" s="207">
        <f>--ISNUMBER(IFERROR(SEARCH('PLANILLA DJ'!$X$96,$A63,1),""))</f>
        <v>1</v>
      </c>
      <c r="CV63" s="207">
        <f>--ISNUMBER(IFERROR(SEARCH('PLANILLA DJ'!$X$97,$A63,1),""))</f>
        <v>1</v>
      </c>
      <c r="CW63" s="207">
        <f>--ISNUMBER(IFERROR(SEARCH('PLANILLA DJ'!$X$98,$A63,1),""))</f>
        <v>1</v>
      </c>
      <c r="CX63" s="207">
        <f>--ISNUMBER(IFERROR(SEARCH('PLANILLA DJ'!$X$99,$A63,1),""))</f>
        <v>1</v>
      </c>
      <c r="CY63" s="207">
        <f>--ISNUMBER(IFERROR(SEARCH('PLANILLA DJ'!$X$100,$A63,1),""))</f>
        <v>1</v>
      </c>
      <c r="CZ63" s="207">
        <f>--ISNUMBER(IFERROR(SEARCH('PLANILLA DJ'!$X$101,$A63,1),""))</f>
        <v>1</v>
      </c>
      <c r="DA63" s="207">
        <f>--ISNUMBER(IFERROR(SEARCH('PLANILLA DJ'!$X$102,$A63,1),""))</f>
        <v>1</v>
      </c>
      <c r="DB63" s="206">
        <f>IF(F63=1,COUNTIF($F$2:F63,1),"")</f>
        <v>62</v>
      </c>
      <c r="DC63" s="206">
        <f>IF(G63=1,COUNTIF($G$2:G63,1),"")</f>
        <v>62</v>
      </c>
      <c r="DD63" s="206">
        <f>IF(H63=1,COUNTIF($H$2:H63,1),"")</f>
        <v>62</v>
      </c>
      <c r="DE63" s="206">
        <f>IF(I63=1,COUNTIF($I$2:I63,1),"")</f>
        <v>62</v>
      </c>
      <c r="DF63" s="206">
        <f>IF(J63=1,COUNTIF($J$2:J63,1),"")</f>
        <v>62</v>
      </c>
      <c r="DG63" s="206">
        <f>IF(K63=1,COUNTIF($K$2:K63,1),"")</f>
        <v>62</v>
      </c>
      <c r="DH63" s="206">
        <f>IF(L63=1,COUNTIF($L$2:L63,1),"")</f>
        <v>62</v>
      </c>
      <c r="DI63" s="206">
        <f>IF(M63=1,COUNTIF($M$2:M63,1),"")</f>
        <v>62</v>
      </c>
      <c r="DJ63" s="206">
        <f>IF(N63=1,COUNTIF($N$2:N63,1),"")</f>
        <v>62</v>
      </c>
      <c r="DK63" s="206">
        <f>IF(O63=1,COUNTIF($O$2:O63,1),"")</f>
        <v>62</v>
      </c>
      <c r="DL63" s="206">
        <f>IF(P63=1,COUNTIF($P$2:P63,1),"")</f>
        <v>62</v>
      </c>
      <c r="DM63" s="206">
        <f>IF(Q63=1,COUNTIF($Q$2:Q63,1),"")</f>
        <v>62</v>
      </c>
      <c r="DN63" s="207">
        <f>IF(R63=1,COUNTIF($R$2:R63,1),"")</f>
        <v>62</v>
      </c>
      <c r="DO63" s="207">
        <f>IF(S63=1,COUNTIF($S$2:S63,1),"")</f>
        <v>62</v>
      </c>
      <c r="DP63" s="207">
        <f>IF(T63=1,COUNTIF($T$2:T63,1),"")</f>
        <v>62</v>
      </c>
      <c r="DQ63" s="207">
        <f>IF(U63=1,COUNTIF($U$2:U63,1),"")</f>
        <v>62</v>
      </c>
      <c r="DR63" s="207">
        <f>IF(V63=1,COUNTIF($V$2:V63,1),"")</f>
        <v>62</v>
      </c>
      <c r="DS63" s="207">
        <f>IF(W63=1,COUNTIF($W$2:W63,1),"")</f>
        <v>62</v>
      </c>
      <c r="DT63" s="207">
        <f>IF(X63=1,COUNTIF($X$2:X63,1),"")</f>
        <v>62</v>
      </c>
      <c r="DU63" s="207">
        <f>IF(Y63=1,COUNTIF($Y$2:Y63,1),"")</f>
        <v>62</v>
      </c>
      <c r="DV63" s="207">
        <f>IF(Z63=1,COUNTIF(Z$2:Z63,1),"")</f>
        <v>62</v>
      </c>
      <c r="DW63" s="207">
        <f>IF(AA63=1,COUNTIF($AA$2:AA63,1),"")</f>
        <v>62</v>
      </c>
      <c r="DX63" s="207">
        <f>IF(AB63=1,COUNTIF($AB$2:AB63,1),"")</f>
        <v>62</v>
      </c>
      <c r="DY63" s="207">
        <f>IF(AC63=1,COUNTIF($AC$2:AC63,1),"")</f>
        <v>62</v>
      </c>
      <c r="DZ63" s="207">
        <f>IF(AD63=1,COUNTIF($AD$2:AD63,1),"")</f>
        <v>62</v>
      </c>
      <c r="EA63" s="207">
        <f>IF(AE63=1,COUNTIF($AE$2:AE63,1),"")</f>
        <v>62</v>
      </c>
      <c r="EB63" s="207">
        <f>IF(AF63=1,COUNTIF($AF$2:AF63,1),"")</f>
        <v>62</v>
      </c>
      <c r="EC63" s="207">
        <f>IF(AG63=1,COUNTIF($AG$2:AG63,1),"")</f>
        <v>62</v>
      </c>
      <c r="ED63" s="207">
        <f>IF(AH63=1,COUNTIF($AH$2:AH63,1),"")</f>
        <v>62</v>
      </c>
      <c r="EE63" s="207">
        <f>IF(AI63=1,COUNTIF($AI$2:AI63,1),"")</f>
        <v>62</v>
      </c>
      <c r="EF63" s="207">
        <f>IF(AJ63=1,COUNTIF($AJ$2:AJ63,1),"")</f>
        <v>62</v>
      </c>
      <c r="EG63" s="207">
        <f>IF(AK63=1,COUNTIF($AK$2:AK63,1),"")</f>
        <v>62</v>
      </c>
      <c r="EH63" s="207">
        <f>IF(AL63=1,COUNTIF($AL$2:AL63,1),"")</f>
        <v>62</v>
      </c>
      <c r="EI63" s="207">
        <f>IF(AM63=1,COUNTIF($AM$2:AM63,1),"")</f>
        <v>62</v>
      </c>
      <c r="EJ63" s="207">
        <f>IF(AN63=1,COUNTIF($AN$2:AN63,1),"")</f>
        <v>62</v>
      </c>
      <c r="EK63" s="207">
        <f>IF(AO63=1,COUNTIF($AO$2:AO63,1),"")</f>
        <v>62</v>
      </c>
      <c r="EL63" s="207">
        <f>IF(AP63=1,COUNTIF($AP$2:AP63,1),"")</f>
        <v>62</v>
      </c>
      <c r="EM63" s="207">
        <f>IF(AQ63=1,COUNTIF($AQ$2:AQ63,1),"")</f>
        <v>62</v>
      </c>
      <c r="EN63" s="207">
        <f>IF(AR63=1,COUNTIF($AR$2:AR63,1),"")</f>
        <v>62</v>
      </c>
      <c r="EO63" s="207">
        <f>IF(AS63=1,COUNTIF($AS$2:AS63,1),"")</f>
        <v>62</v>
      </c>
      <c r="EP63" s="207">
        <f>IF(AT63=1,COUNTIF($AT$2:AT63,1),"")</f>
        <v>62</v>
      </c>
      <c r="EQ63" s="207">
        <f>IF(AU63=1,COUNTIF($AU$2:AU63,1),"")</f>
        <v>62</v>
      </c>
      <c r="ER63" s="207">
        <f>IF(AV63=1,COUNTIF($AV$2:AV63,1),"")</f>
        <v>62</v>
      </c>
      <c r="ES63" s="207">
        <f>IF(AW63=1,COUNTIF($AW$2:AW63,1),"")</f>
        <v>62</v>
      </c>
      <c r="ET63" s="207">
        <f>IF(AX63=1,COUNTIF($AX$2:AX63,1),"")</f>
        <v>62</v>
      </c>
      <c r="EU63" s="207">
        <f>IF(AY63=1,COUNTIF($AY$2:AY63,1),"")</f>
        <v>62</v>
      </c>
      <c r="EV63" s="207">
        <f>IF(AZ63=1,COUNTIF($AZ$2:AZ63,1),"")</f>
        <v>62</v>
      </c>
      <c r="EW63" s="207">
        <f>IF(BA63=1,COUNTIF($BA$2:BA63,1),"")</f>
        <v>62</v>
      </c>
      <c r="EX63" s="207">
        <f>IF(BB63=1,COUNTIF($BB$2:BB63,1),"")</f>
        <v>62</v>
      </c>
      <c r="EY63" s="207">
        <f>IF(BC63=1,COUNTIF($BC$2:BC63,1),"")</f>
        <v>62</v>
      </c>
      <c r="EZ63" s="207">
        <f>IF(BD63=1,COUNTIF($BD$2:BD63,1),"")</f>
        <v>62</v>
      </c>
      <c r="FA63" s="207">
        <f>IF(BE63=1,COUNTIF($BE$2:BE63,1),"")</f>
        <v>62</v>
      </c>
      <c r="FB63" s="207">
        <f>IF(BF63=1,COUNTIF($BF$2:BF63,1),"")</f>
        <v>62</v>
      </c>
      <c r="FC63" s="207">
        <f>IF(BG63=1,COUNTIF($BG$2:BG63,1),"")</f>
        <v>62</v>
      </c>
      <c r="FD63" s="207">
        <f>IF(BH63=1,COUNTIF($BH$2:BH63,1),"")</f>
        <v>62</v>
      </c>
      <c r="FE63" s="207">
        <f>IF(BI63=1,COUNTIF($BI$2:BI63,1),"")</f>
        <v>62</v>
      </c>
      <c r="FF63" s="207">
        <f>IF(BJ63=1,COUNTIF($BJ$2:BJ63,1),"")</f>
        <v>62</v>
      </c>
      <c r="FG63" s="207">
        <f>IF(BK63=1,COUNTIF($BK$2:BK63,1),"")</f>
        <v>62</v>
      </c>
      <c r="FH63" s="207">
        <f>IF(BL63=1,COUNTIF($BL$2:BL63,1),"")</f>
        <v>62</v>
      </c>
      <c r="FI63" s="207">
        <f>IF(BM63=1,COUNTIF($BM$2:BM63,1),"")</f>
        <v>62</v>
      </c>
      <c r="FJ63" s="207">
        <f>IF(BN63=1,COUNTIF($BN$2:BN63,1),"")</f>
        <v>62</v>
      </c>
      <c r="FK63" s="207">
        <f>IF(BO63=1,COUNTIF($BO$2:BO63,1),"")</f>
        <v>62</v>
      </c>
      <c r="FL63" s="207">
        <f>IF(BP63=1,COUNTIF($BP$2:BP63,1),"")</f>
        <v>62</v>
      </c>
      <c r="FM63" s="207">
        <f>IF(BQ63=1,COUNTIF($BQ$2:BQ63,1),"")</f>
        <v>62</v>
      </c>
      <c r="FN63" s="207">
        <f>IF(BR63=1,COUNTIF($BR$2:BR63,1),"")</f>
        <v>62</v>
      </c>
      <c r="FO63" s="207">
        <f>IF(BS63=1,COUNTIF($BS$2:BS63,1),"")</f>
        <v>62</v>
      </c>
      <c r="FP63" s="207">
        <f>IF(BT63=1,COUNTIF($BT$2:BT63,1),"")</f>
        <v>62</v>
      </c>
      <c r="FQ63" s="207">
        <f>IF(BU63=1,COUNTIF($BU$2:BU63,1),"")</f>
        <v>62</v>
      </c>
      <c r="FR63" s="207">
        <f>IF(BV63=1,COUNTIF($BV$2:BV63,1),"")</f>
        <v>62</v>
      </c>
      <c r="FS63" s="207">
        <f>IF(BW63=1,COUNTIF($BW$2:BW63,1),"")</f>
        <v>62</v>
      </c>
      <c r="FT63" s="207">
        <f>IF(BX63=1,COUNTIF($BX$2:BX63,1),"")</f>
        <v>62</v>
      </c>
      <c r="FU63" s="207">
        <f>IF(BY63=1,COUNTIF($BY$2:BY63,1),"")</f>
        <v>62</v>
      </c>
      <c r="FV63" s="207">
        <f>IF(BZ63=1,COUNTIF($BZ$2:BZ63,1),"")</f>
        <v>62</v>
      </c>
      <c r="FW63" s="207">
        <f>IF(CA63=1,COUNTIF($CA$2:CA63,1),"")</f>
        <v>62</v>
      </c>
      <c r="FX63" s="207">
        <f>IF(CB63=1,COUNTIF($CB$2:CB63,1),"")</f>
        <v>62</v>
      </c>
      <c r="FY63" s="207">
        <f>IF(CC63=1,COUNTIF($CC$2:CC63,1),"")</f>
        <v>62</v>
      </c>
      <c r="FZ63" s="207">
        <f>IF(CD63=1,COUNTIF($CD$2:CD63,1),"")</f>
        <v>62</v>
      </c>
      <c r="GA63" s="207">
        <f>IF(CE63=1,COUNTIF($CE$2:CE63,1),"")</f>
        <v>62</v>
      </c>
      <c r="GB63" s="207">
        <f>IF(CF63=1,COUNTIF($CF$2:CF63,1),"")</f>
        <v>62</v>
      </c>
      <c r="GC63" s="207">
        <f>IF(CG63=1,COUNTIF($CG$2:CG63,1),"")</f>
        <v>62</v>
      </c>
      <c r="GD63" s="207">
        <f>IF(CH63=1,COUNTIF($CH$2:CH63,1),"")</f>
        <v>62</v>
      </c>
      <c r="GE63" s="207">
        <f>IF(CI63=1,COUNTIF($CI$2:CI63,1),"")</f>
        <v>62</v>
      </c>
      <c r="GF63" s="207">
        <f>IF(CJ63=1,COUNTIF($CJ$2:CJ63,1),"")</f>
        <v>62</v>
      </c>
      <c r="GG63" s="207">
        <f>IF(CK63=1,COUNTIF($CK$2:CK63,1),"")</f>
        <v>62</v>
      </c>
      <c r="GH63" s="207">
        <f>IF(CL63=1,COUNTIF($CL$2:CL63,1),"")</f>
        <v>62</v>
      </c>
      <c r="GI63" s="207">
        <f>IF(CM63=1,COUNTIF($CM$2:CM63,1),"")</f>
        <v>62</v>
      </c>
      <c r="GJ63" s="207">
        <f>IF(CN63=1,COUNTIF($CN$2:CN63,1),"")</f>
        <v>62</v>
      </c>
      <c r="GK63" s="207">
        <f>IF(CO63=1,COUNTIF($CO$2:CO63,1),"")</f>
        <v>62</v>
      </c>
      <c r="GL63" s="207">
        <f>IF(CP63=1,COUNTIF($CP$2:CP63,1),"")</f>
        <v>62</v>
      </c>
      <c r="GM63" s="207">
        <f>IF(CQ63=1,COUNTIF($CQ$2:CQ63,1),"")</f>
        <v>62</v>
      </c>
      <c r="GN63" s="207">
        <f>IF(CR63=1,COUNTIF($CR$2:CR63,1),"")</f>
        <v>62</v>
      </c>
      <c r="GO63" s="207">
        <f>IF(CS63=1,COUNTIF($CS$2:CS63,1),"")</f>
        <v>62</v>
      </c>
      <c r="GP63" s="207">
        <f>IF(CT63=1,COUNTIF($CT$2:CT63,1),"")</f>
        <v>62</v>
      </c>
      <c r="GQ63" s="207">
        <f>IF(CU63=1,COUNTIF($CU$2:CU63,1),"")</f>
        <v>62</v>
      </c>
      <c r="GR63" s="207">
        <f>IF(CV63=1,COUNTIF($CV$2:CV63,1),"")</f>
        <v>62</v>
      </c>
      <c r="GS63" s="207">
        <f>IF(CW63=1,COUNTIF($CW$2:CW63,1),"")</f>
        <v>62</v>
      </c>
      <c r="GT63" s="207">
        <f>IF(CX63=1,COUNTIF($CX$2:CX63,1),"")</f>
        <v>62</v>
      </c>
      <c r="GU63" s="207">
        <f>IF(CY63=1,COUNTIF($CY$2:CY63,1),"")</f>
        <v>62</v>
      </c>
      <c r="GV63" s="207">
        <f>IF(CZ63=1,COUNTIF($CZ$2:CZ63,1),"")</f>
        <v>62</v>
      </c>
      <c r="GW63" s="207">
        <f>IF(DA63=1,COUNTIF($DA$2:DA63,1),"")</f>
        <v>62</v>
      </c>
      <c r="GX63" s="206" t="str">
        <f>IFERROR(INDEX($A$2:$A$113,MATCH(ROWS($DB$2:DB63),$DB$2:$DB$113,0)),"")</f>
        <v>ACCESO ILEGAL A SISTEMAS INFORMATICOS Y DAÑOS INFORMATICOS</v>
      </c>
      <c r="GY63" s="206" t="str">
        <f>IFERROR(INDEX($A$2:$A$113,MATCH(ROWS($DC$2:DC63),$DC$2:$DC$113,0)),"")</f>
        <v>ACCESO ILEGAL A SISTEMAS INFORMATICOS Y DAÑOS INFORMATICOS</v>
      </c>
      <c r="GZ63" s="206" t="str">
        <f>IFERROR(INDEX($A$2:$A$113,MATCH(ROWS($DD$2:DD63),$DD$2:$DD$113,0)),"")</f>
        <v>ACCESO ILEGAL A SISTEMAS INFORMATICOS Y DAÑOS INFORMATICOS</v>
      </c>
      <c r="HA63" s="206" t="str">
        <f>IFERROR(INDEX($A$2:$A$113,MATCH(ROWS($DE$2:DE63),$DE$2:$DE$113,0)),"")</f>
        <v>ACCESO ILEGAL A SISTEMAS INFORMATICOS Y DAÑOS INFORMATICOS</v>
      </c>
      <c r="HB63" s="206" t="str">
        <f>IFERROR(INDEX($A$2:$A$113,MATCH(ROWS($DF$2:DF63),$DF$2:$DF$113,0)),"")</f>
        <v>ACCESO ILEGAL A SISTEMAS INFORMATICOS Y DAÑOS INFORMATICOS</v>
      </c>
      <c r="HC63" s="206" t="str">
        <f>IFERROR(INDEX($A$2:$A$113,MATCH(ROWS($DG$2:DG63),$DG$2:$DG$113,0)),"")</f>
        <v>ACCESO ILEGAL A SISTEMAS INFORMATICOS Y DAÑOS INFORMATICOS</v>
      </c>
      <c r="HD63" s="206" t="str">
        <f>IFERROR(INDEX($A$2:$A$113,MATCH(ROWS($DH$2:DH63),$DH$2:$DH$113,0)),"")</f>
        <v>ACCESO ILEGAL A SISTEMAS INFORMATICOS Y DAÑOS INFORMATICOS</v>
      </c>
      <c r="HE63" s="206" t="str">
        <f>IFERROR(INDEX($A$2:$A$113,MATCH(ROWS($DI$2:DI63),$DI$2:$DI$113,0)),"")</f>
        <v>ACCESO ILEGAL A SISTEMAS INFORMATICOS Y DAÑOS INFORMATICOS</v>
      </c>
      <c r="HF63" s="206" t="str">
        <f>IFERROR(INDEX($A$2:$A$113,MATCH(ROWS($DJ$2:DJ63),$DJ$2:$DJ$113,0)),"")</f>
        <v>ACCESO ILEGAL A SISTEMAS INFORMATICOS Y DAÑOS INFORMATICOS</v>
      </c>
      <c r="HG63" s="206" t="str">
        <f>IFERROR(INDEX($A$2:$A$113,MATCH(ROWS($DK$2:DK63),$DK$2:$DK$113,0)),"")</f>
        <v>ACCESO ILEGAL A SISTEMAS INFORMATICOS Y DAÑOS INFORMATICOS</v>
      </c>
      <c r="HH63" s="206" t="str">
        <f>IFERROR(INDEX($A$2:$A$113,MATCH(ROWS($DL$2:DL63),$DL$2:$DL$113,0)),"")</f>
        <v>ACCESO ILEGAL A SISTEMAS INFORMATICOS Y DAÑOS INFORMATICOS</v>
      </c>
      <c r="HI63" s="206" t="str">
        <f>IFERROR(INDEX($A$2:$A$113,MATCH(ROWS($DM$2:DM63),$DM$2:$DM$113,0)),"")</f>
        <v>ACCESO ILEGAL A SISTEMAS INFORMATICOS Y DAÑOS INFORMATICOS</v>
      </c>
      <c r="HJ63" s="206" t="str">
        <f>IFERROR(INDEX($A$2:$A$113,MATCH(ROWS($DN$2:DN63),$DN$2:$DN$113,0)),"")</f>
        <v>ACCESO ILEGAL A SISTEMAS INFORMATICOS Y DAÑOS INFORMATICOS</v>
      </c>
      <c r="HK63" s="206" t="str">
        <f>IFERROR(INDEX($A$2:$A$113,MATCH(ROWS($DO$2:DO63),$DO$2:$DO$113,0)),"")</f>
        <v>ACCESO ILEGAL A SISTEMAS INFORMATICOS Y DAÑOS INFORMATICOS</v>
      </c>
      <c r="HL63" s="206" t="str">
        <f>IFERROR(INDEX($A$2:$A$113,MATCH(ROWS($DP$2:DP63),$DP$2:$DP$113,0)),"")</f>
        <v>ACCESO ILEGAL A SISTEMAS INFORMATICOS Y DAÑOS INFORMATICOS</v>
      </c>
      <c r="HM63" s="206" t="str">
        <f>IFERROR(INDEX($A$2:$A$113,MATCH(ROWS($DQ$2:DQ63),$DQ$2:$DQ$113,0)),"")</f>
        <v>ACCESO ILEGAL A SISTEMAS INFORMATICOS Y DAÑOS INFORMATICOS</v>
      </c>
      <c r="HN63" s="206" t="str">
        <f>IFERROR(INDEX($A$2:$A$113,MATCH(ROWS($DR$2:DR63),$DR$2:$DR$113,0)),"")</f>
        <v>ACCESO ILEGAL A SISTEMAS INFORMATICOS Y DAÑOS INFORMATICOS</v>
      </c>
      <c r="HO63" s="206" t="str">
        <f>IFERROR(INDEX($A$2:$A$113,MATCH(ROWS($DS$2:DS63),$DS$2:$DS$113,0)),"")</f>
        <v>ACCESO ILEGAL A SISTEMAS INFORMATICOS Y DAÑOS INFORMATICOS</v>
      </c>
      <c r="HP63" s="206" t="str">
        <f>IFERROR(INDEX($A$2:$A$113,MATCH(ROWS($DT$2:DT63),$DT$2:$DT$113,0)),"")</f>
        <v>ACCESO ILEGAL A SISTEMAS INFORMATICOS Y DAÑOS INFORMATICOS</v>
      </c>
      <c r="HQ63" s="206" t="str">
        <f>IFERROR(INDEX($A$2:$A$113,MATCH(ROWS($DU$2:DU63),$DU$2:$DU$113,0)),"")</f>
        <v>ACCESO ILEGAL A SISTEMAS INFORMATICOS Y DAÑOS INFORMATICOS</v>
      </c>
      <c r="HR63" s="206" t="str">
        <f>IFERROR(INDEX($A$2:$A$113,MATCH(ROWS($DV$2:DV63),$DV$2:$DV$113,0)),"")</f>
        <v>ACCESO ILEGAL A SISTEMAS INFORMATICOS Y DAÑOS INFORMATICOS</v>
      </c>
      <c r="HS63" s="206" t="str">
        <f>IFERROR(INDEX($A$2:$A$113,MATCH(ROWS($DW$2:DW63),$DW$2:$DW$113,0)),"")</f>
        <v>ACCESO ILEGAL A SISTEMAS INFORMATICOS Y DAÑOS INFORMATICOS</v>
      </c>
      <c r="HT63" s="206" t="str">
        <f>IFERROR(INDEX($A$2:$A$113,MATCH(ROWS($DX$2:DX63),$DX$2:$DX$113,0)),"")</f>
        <v>ACCESO ILEGAL A SISTEMAS INFORMATICOS Y DAÑOS INFORMATICOS</v>
      </c>
      <c r="HU63" s="206" t="str">
        <f>IFERROR(INDEX($A$2:$A$113,MATCH(ROWS($DY$2:DY63),$DY$2:$DY$113,0)),"")</f>
        <v>ACCESO ILEGAL A SISTEMAS INFORMATICOS Y DAÑOS INFORMATICOS</v>
      </c>
      <c r="HV63" s="206" t="str">
        <f>IFERROR(INDEX($A$2:$A$113,MATCH(ROWS($DZ$2:DZ63),$DZ$2:$DZ$113,0)),"")</f>
        <v>ACCESO ILEGAL A SISTEMAS INFORMATICOS Y DAÑOS INFORMATICOS</v>
      </c>
      <c r="HW63" s="206" t="str">
        <f>IFERROR(INDEX($A$2:$A$113,MATCH(ROWS($EA$2:EA63),$EA$2:$EA$113,0)),"")</f>
        <v>ACCESO ILEGAL A SISTEMAS INFORMATICOS Y DAÑOS INFORMATICOS</v>
      </c>
      <c r="HX63" s="206" t="str">
        <f>IFERROR(INDEX($A$2:$A$113,MATCH(ROWS($EB$2:EB63),$EB$2:$EB$113,0)),"")</f>
        <v>ACCESO ILEGAL A SISTEMAS INFORMATICOS Y DAÑOS INFORMATICOS</v>
      </c>
      <c r="HY63" s="206" t="str">
        <f>IFERROR(INDEX($A$2:$A$113,MATCH(ROWS($EC$2:EC63),$EC$2:$EC$113,0)),"")</f>
        <v>ACCESO ILEGAL A SISTEMAS INFORMATICOS Y DAÑOS INFORMATICOS</v>
      </c>
      <c r="HZ63" s="206" t="str">
        <f>IFERROR(INDEX($A$2:$A$113,MATCH(ROWS($ED$2:ED63),$ED$2:$ED$113,0)),"")</f>
        <v>ACCESO ILEGAL A SISTEMAS INFORMATICOS Y DAÑOS INFORMATICOS</v>
      </c>
      <c r="IA63" s="206" t="str">
        <f>IFERROR(INDEX($A$2:$A$113,MATCH(ROWS($EE$2:EE63),$EE$2:$EE$113,0)),"")</f>
        <v>ACCESO ILEGAL A SISTEMAS INFORMATICOS Y DAÑOS INFORMATICOS</v>
      </c>
      <c r="IB63" s="206" t="str">
        <f>IFERROR(INDEX($A$2:$A$113,MATCH(ROWS($EF$2:EF63),$EF$2:$EF$113,0)),"")</f>
        <v>ACCESO ILEGAL A SISTEMAS INFORMATICOS Y DAÑOS INFORMATICOS</v>
      </c>
      <c r="IC63" s="206" t="str">
        <f>IFERROR(INDEX($A$2:$A$113,MATCH(ROWS($EG$2:EG63),$EG$2:$EG$113,0)),"")</f>
        <v>ACCESO ILEGAL A SISTEMAS INFORMATICOS Y DAÑOS INFORMATICOS</v>
      </c>
      <c r="ID63" s="206" t="str">
        <f>IFERROR(INDEX($A$2:$A$113,MATCH(ROWS($EH$2:EH63),$EH$2:$EH$113,0)),"")</f>
        <v>ACCESO ILEGAL A SISTEMAS INFORMATICOS Y DAÑOS INFORMATICOS</v>
      </c>
      <c r="IE63" s="206" t="str">
        <f>IFERROR(INDEX($A$2:$A$113,MATCH(ROWS($EI$2:EI63),$EI$2:$EI$113,0)),"")</f>
        <v>ACCESO ILEGAL A SISTEMAS INFORMATICOS Y DAÑOS INFORMATICOS</v>
      </c>
      <c r="IF63" s="206" t="str">
        <f>IFERROR(INDEX($A$2:$A$113,MATCH(ROWS($EJ$2:EJ63),$EJ$2:$EJ$113,0)),"")</f>
        <v>ACCESO ILEGAL A SISTEMAS INFORMATICOS Y DAÑOS INFORMATICOS</v>
      </c>
      <c r="IG63" s="206" t="str">
        <f>IFERROR(INDEX($A$2:$A$113,MATCH(ROWS($EK$2:EK63),$EK$2:$EK$113,0)),"")</f>
        <v>ACCESO ILEGAL A SISTEMAS INFORMATICOS Y DAÑOS INFORMATICOS</v>
      </c>
      <c r="IH63" s="206" t="str">
        <f>IFERROR(INDEX($A$2:$A$113,MATCH(ROWS($EL$2:EL63),$EL$2:$EL$113,0)),"")</f>
        <v>ACCESO ILEGAL A SISTEMAS INFORMATICOS Y DAÑOS INFORMATICOS</v>
      </c>
      <c r="II63" s="206" t="str">
        <f>IFERROR(INDEX($A$2:$A$113,MATCH(ROWS($EM$2:EM63),$EM$2:$EM$113,0)),"")</f>
        <v>ACCESO ILEGAL A SISTEMAS INFORMATICOS Y DAÑOS INFORMATICOS</v>
      </c>
      <c r="IJ63" s="206" t="str">
        <f>IFERROR(INDEX($A$2:$A$113,MATCH(ROWS($EN$2:EN63),$EN$2:$EN$113,0)),"")</f>
        <v>ACCESO ILEGAL A SISTEMAS INFORMATICOS Y DAÑOS INFORMATICOS</v>
      </c>
      <c r="IK63" s="207" t="str">
        <f>IFERROR(INDEX($A$2:$A$113,MATCH(ROWS($EO$2:EO63),$EO$2:$EO$113,0)),"")</f>
        <v>ACCESO ILEGAL A SISTEMAS INFORMATICOS Y DAÑOS INFORMATICOS</v>
      </c>
      <c r="IL63" s="207" t="str">
        <f>IFERROR(INDEX($A$2:$A$113,MATCH(ROWS($EP$2:EP63),$EP$2:$EP$113,0)),"")</f>
        <v>ACCESO ILEGAL A SISTEMAS INFORMATICOS Y DAÑOS INFORMATICOS</v>
      </c>
      <c r="IM63" s="207" t="str">
        <f>IFERROR(INDEX($A$2:$A$113,MATCH(ROWS($EQ$2:EQ63),$EQ$2:$EQ$113,0)),"")</f>
        <v>ACCESO ILEGAL A SISTEMAS INFORMATICOS Y DAÑOS INFORMATICOS</v>
      </c>
      <c r="IN63" s="207" t="str">
        <f>IFERROR(INDEX($A$2:$A$113,MATCH(ROWS($ER$2:ER63),$ER$2:$ER$113,0)),"")</f>
        <v>ACCESO ILEGAL A SISTEMAS INFORMATICOS Y DAÑOS INFORMATICOS</v>
      </c>
      <c r="IO63" s="207" t="str">
        <f>IFERROR(INDEX($A$2:$A$113,MATCH(ROWS($ES$2:ES63),$ES$2:$ES$113,0)),"")</f>
        <v>ACCESO ILEGAL A SISTEMAS INFORMATICOS Y DAÑOS INFORMATICOS</v>
      </c>
      <c r="IP63" s="207" t="str">
        <f>IFERROR(INDEX($A$2:$A$113,MATCH(ROWS($ET$2:ET63),$ET$2:$ET$113,0)),"")</f>
        <v>ACCESO ILEGAL A SISTEMAS INFORMATICOS Y DAÑOS INFORMATICOS</v>
      </c>
      <c r="IQ63" s="207" t="str">
        <f>IFERROR(INDEX($A$2:$A$113,MATCH(ROWS($EU$2:EU63),$EU$2:$EU$113,0)),"")</f>
        <v>ACCESO ILEGAL A SISTEMAS INFORMATICOS Y DAÑOS INFORMATICOS</v>
      </c>
      <c r="IR63" s="207" t="str">
        <f>IFERROR(INDEX($A$2:$A$113,MATCH(ROWS($EV$2:EV63),$EV$2:$EV$113,0)),"")</f>
        <v>ACCESO ILEGAL A SISTEMAS INFORMATICOS Y DAÑOS INFORMATICOS</v>
      </c>
      <c r="IS63" s="207" t="str">
        <f>IFERROR(INDEX($A$2:$A$113,MATCH(ROWS($EW$2:EW63),$EW$2:$EW$113,0)),"")</f>
        <v>ACCESO ILEGAL A SISTEMAS INFORMATICOS Y DAÑOS INFORMATICOS</v>
      </c>
      <c r="IT63" s="207" t="str">
        <f>IFERROR(INDEX($A$2:$A$113,MATCH(ROWS($EX$2:EX63),$EX$2:$EX$113,0)),"")</f>
        <v>ACCESO ILEGAL A SISTEMAS INFORMATICOS Y DAÑOS INFORMATICOS</v>
      </c>
      <c r="IU63" s="207" t="str">
        <f>IFERROR(INDEX($A$2:$A$113,MATCH(ROWS($EY$2:EY63),$EY$2:$EY$113,0)),"")</f>
        <v>ACCESO ILEGAL A SISTEMAS INFORMATICOS Y DAÑOS INFORMATICOS</v>
      </c>
      <c r="IV63" s="207" t="str">
        <f>IFERROR(INDEX($A$2:$A$113,MATCH(ROWS($EZ$2:EZ63),$EZ$2:$EZ$113,0)),"")</f>
        <v>ACCESO ILEGAL A SISTEMAS INFORMATICOS Y DAÑOS INFORMATICOS</v>
      </c>
      <c r="IW63" s="207" t="str">
        <f>IFERROR(INDEX($A$2:$A$113,MATCH(ROWS($FA$2:FA63),$FA$2:$FA$113,0)),"")</f>
        <v>ACCESO ILEGAL A SISTEMAS INFORMATICOS Y DAÑOS INFORMATICOS</v>
      </c>
      <c r="IX63" s="207" t="str">
        <f>IFERROR(INDEX($A$2:$A$113,MATCH(ROWS($FB$2:FB63),$FB$2:$FB$113,0)),"")</f>
        <v>ACCESO ILEGAL A SISTEMAS INFORMATICOS Y DAÑOS INFORMATICOS</v>
      </c>
      <c r="IY63" s="207" t="str">
        <f>IFERROR(INDEX($A$2:$A$113,MATCH(ROWS($FC$2:FC63),$FC$2:$FC$113,0)),"")</f>
        <v>ACCESO ILEGAL A SISTEMAS INFORMATICOS Y DAÑOS INFORMATICOS</v>
      </c>
      <c r="IZ63" s="207" t="str">
        <f>IFERROR(INDEX($A$2:$A$113,MATCH(ROWS($FD$2:FD63),$FD$2:$FD$113,0)),"")</f>
        <v>ACCESO ILEGAL A SISTEMAS INFORMATICOS Y DAÑOS INFORMATICOS</v>
      </c>
      <c r="JA63" s="207" t="str">
        <f>IFERROR(INDEX($A$2:$A$113,MATCH(ROWS($FE$2:FE63),$FE$2:$FE$113,0)),"")</f>
        <v>ACCESO ILEGAL A SISTEMAS INFORMATICOS Y DAÑOS INFORMATICOS</v>
      </c>
      <c r="JB63" s="207" t="str">
        <f>IFERROR(INDEX($A$2:$A$113,MATCH(ROWS($FF$2:FF63),$FF$2:$FF$113,0)),"")</f>
        <v>ACCESO ILEGAL A SISTEMAS INFORMATICOS Y DAÑOS INFORMATICOS</v>
      </c>
      <c r="JC63" s="207" t="str">
        <f>IFERROR(INDEX($A$2:$A$113,MATCH(ROWS($FG$2:FG63),$FG$2:$FG$113,0)),"")</f>
        <v>ACCESO ILEGAL A SISTEMAS INFORMATICOS Y DAÑOS INFORMATICOS</v>
      </c>
      <c r="JD63" s="207" t="str">
        <f>IFERROR(INDEX($A$2:$A$113,MATCH(ROWS($FH$2:FH63),$FH$2:$FH$113,0)),"")</f>
        <v>ACCESO ILEGAL A SISTEMAS INFORMATICOS Y DAÑOS INFORMATICOS</v>
      </c>
      <c r="JE63" s="207" t="str">
        <f>IFERROR(INDEX($A$2:$A$113,MATCH(ROWS($FI$2:FI63),$FI$2:$FI$113,0)),"")</f>
        <v>ACCESO ILEGAL A SISTEMAS INFORMATICOS Y DAÑOS INFORMATICOS</v>
      </c>
      <c r="JF63" s="207" t="str">
        <f>IFERROR(INDEX($A$2:$A$113,MATCH(ROWS($FJ$2:FJ63),$FJ$2:$FJ$113,0)),"")</f>
        <v>ACCESO ILEGAL A SISTEMAS INFORMATICOS Y DAÑOS INFORMATICOS</v>
      </c>
      <c r="JG63" s="207" t="str">
        <f>IFERROR(INDEX($A$2:$A$113,MATCH(ROWS($FK$2:FK63),$FK$2:$FK$113,0)),"")</f>
        <v>ACCESO ILEGAL A SISTEMAS INFORMATICOS Y DAÑOS INFORMATICOS</v>
      </c>
      <c r="JH63" s="207" t="str">
        <f>IFERROR(INDEX($A$2:$A$113,MATCH(ROWS($FL$2:FL63),$FL$2:$FL$113,0)),"")</f>
        <v>ACCESO ILEGAL A SISTEMAS INFORMATICOS Y DAÑOS INFORMATICOS</v>
      </c>
      <c r="JI63" s="207" t="str">
        <f>IFERROR(INDEX($A$2:$A$113,MATCH(ROWS($FM$2:FM63),$FM$2:$FM$113,0)),"")</f>
        <v>ACCESO ILEGAL A SISTEMAS INFORMATICOS Y DAÑOS INFORMATICOS</v>
      </c>
      <c r="JJ63" s="207" t="str">
        <f>IFERROR(INDEX($A$2:$A$113,MATCH(ROWS($FN$2:FN63),$FN$2:$FN$113,0)),"")</f>
        <v>ACCESO ILEGAL A SISTEMAS INFORMATICOS Y DAÑOS INFORMATICOS</v>
      </c>
      <c r="JK63" s="207" t="str">
        <f>IFERROR(INDEX($A$2:$A$113,MATCH(ROWS($FO$2:FO63),$FO$2:$FO$113,0)),"")</f>
        <v>ACCESO ILEGAL A SISTEMAS INFORMATICOS Y DAÑOS INFORMATICOS</v>
      </c>
      <c r="JL63" s="207" t="str">
        <f>IFERROR(INDEX($A$2:$A$113,MATCH(ROWS($FP$2:FP63),$FP$2:$FP$113,0)),"")</f>
        <v>ACCESO ILEGAL A SISTEMAS INFORMATICOS Y DAÑOS INFORMATICOS</v>
      </c>
      <c r="JM63" s="207" t="str">
        <f>IFERROR(INDEX($A$2:$A$113,MATCH(ROWS($FQ$2:FQ63),$FQ$2:$FQ$113,0)),"")</f>
        <v>ACCESO ILEGAL A SISTEMAS INFORMATICOS Y DAÑOS INFORMATICOS</v>
      </c>
      <c r="JN63" s="207" t="str">
        <f>IFERROR(INDEX($A$2:$A$113,MATCH(ROWS($FR$2:FR63),$FR$2:$FR$113,0)),"")</f>
        <v>ACCESO ILEGAL A SISTEMAS INFORMATICOS Y DAÑOS INFORMATICOS</v>
      </c>
      <c r="JO63" s="207" t="str">
        <f>IFERROR(INDEX($A$2:$A$113,MATCH(ROWS($FS$2:FS63),$FS$2:$FS$113,0)),"")</f>
        <v>ACCESO ILEGAL A SISTEMAS INFORMATICOS Y DAÑOS INFORMATICOS</v>
      </c>
      <c r="JP63" s="207" t="str">
        <f>IFERROR(INDEX($A$2:$A$113,MATCH(ROWS($FT$2:FT63),$FT$2:$FT$113,0)),"")</f>
        <v>ACCESO ILEGAL A SISTEMAS INFORMATICOS Y DAÑOS INFORMATICOS</v>
      </c>
      <c r="JQ63" s="207" t="str">
        <f>IFERROR(INDEX($A$2:$A$113,MATCH(ROWS($FU$2:FU63),$FU$2:$FU$113,0)),"")</f>
        <v>ACCESO ILEGAL A SISTEMAS INFORMATICOS Y DAÑOS INFORMATICOS</v>
      </c>
      <c r="JR63" s="207" t="str">
        <f>IFERROR(INDEX($A$2:$A$113,MATCH(ROWS($FV$2:FV63),$FV$2:$FV$113,0)),"")</f>
        <v>ACCESO ILEGAL A SISTEMAS INFORMATICOS Y DAÑOS INFORMATICOS</v>
      </c>
      <c r="JS63" s="207" t="str">
        <f>IFERROR(INDEX($A$2:$A$113,MATCH(ROWS($FW$2:FW63),$FW$2:$FW$113,0)),"")</f>
        <v>ACCESO ILEGAL A SISTEMAS INFORMATICOS Y DAÑOS INFORMATICOS</v>
      </c>
      <c r="JT63" s="207" t="str">
        <f>IFERROR(INDEX($A$2:$A$113,MATCH(ROWS($FX$2:FX63),$FX$2:$FX$113,0)),"")</f>
        <v>ACCESO ILEGAL A SISTEMAS INFORMATICOS Y DAÑOS INFORMATICOS</v>
      </c>
      <c r="JU63" s="207" t="str">
        <f>IFERROR(INDEX($A$2:$A$113,MATCH(ROWS($FY$2:FY63),$FY$2:$FY$113,0)),"")</f>
        <v>ACCESO ILEGAL A SISTEMAS INFORMATICOS Y DAÑOS INFORMATICOS</v>
      </c>
      <c r="JV63" s="207" t="str">
        <f>IFERROR(INDEX($A$2:$A$113,MATCH(ROWS($FZ$2:FZ63),$FZ$2:$FZ$113,0)),"")</f>
        <v>ACCESO ILEGAL A SISTEMAS INFORMATICOS Y DAÑOS INFORMATICOS</v>
      </c>
      <c r="JW63" s="207" t="str">
        <f>IFERROR(INDEX($A$2:$A$113,MATCH(ROWS($GA$2:GA63),$GA$2:$GA$113,0)),"")</f>
        <v>ACCESO ILEGAL A SISTEMAS INFORMATICOS Y DAÑOS INFORMATICOS</v>
      </c>
      <c r="JX63" s="207" t="str">
        <f>IFERROR(INDEX($A$2:$A$113,MATCH(ROWS($GB$2:GB63),$GB$2:$GB$113,0)),"")</f>
        <v>ACCESO ILEGAL A SISTEMAS INFORMATICOS Y DAÑOS INFORMATICOS</v>
      </c>
      <c r="JY63" s="207" t="str">
        <f>IFERROR(INDEX($A$2:$A$113,MATCH(ROWS($GC$2:GC63),$GC$2:$GC$113,0)),"")</f>
        <v>ACCESO ILEGAL A SISTEMAS INFORMATICOS Y DAÑOS INFORMATICOS</v>
      </c>
      <c r="JZ63" s="207" t="str">
        <f>IFERROR(INDEX($A$2:$A$113,MATCH(ROWS($GD$2:GD63),$GD$2:$GD$113,0)),"")</f>
        <v>ACCESO ILEGAL A SISTEMAS INFORMATICOS Y DAÑOS INFORMATICOS</v>
      </c>
      <c r="KA63" s="207" t="str">
        <f>IFERROR(INDEX($A$2:$A$113,MATCH(ROWS($GE$2:GE63),$GE$2:$GE$113,0)),"")</f>
        <v>ACCESO ILEGAL A SISTEMAS INFORMATICOS Y DAÑOS INFORMATICOS</v>
      </c>
      <c r="KB63" s="207" t="str">
        <f>IFERROR(INDEX($A$2:$A$113,MATCH(ROWS($GF$2:GF63),$GF$2:$GF$113,0)),"")</f>
        <v>ACCESO ILEGAL A SISTEMAS INFORMATICOS Y DAÑOS INFORMATICOS</v>
      </c>
      <c r="KC63" s="207" t="str">
        <f>IFERROR(INDEX($A$2:$A$113,MATCH(ROWS($GG$2:GG63),$GG$2:$GG$113,0)),"")</f>
        <v>ACCESO ILEGAL A SISTEMAS INFORMATICOS Y DAÑOS INFORMATICOS</v>
      </c>
      <c r="KD63" s="207" t="str">
        <f>IFERROR(INDEX($A$2:$A$113,MATCH(ROWS($GH$2:GH63),$GH$2:$GH$113,0)),"")</f>
        <v>ACCESO ILEGAL A SISTEMAS INFORMATICOS Y DAÑOS INFORMATICOS</v>
      </c>
      <c r="KE63" s="207" t="str">
        <f>IFERROR(INDEX($A$2:$A$113,MATCH(ROWS($GI$2:GI63),$GI$2:$GI$113,0)),"")</f>
        <v>ACCESO ILEGAL A SISTEMAS INFORMATICOS Y DAÑOS INFORMATICOS</v>
      </c>
      <c r="KF63" s="207" t="str">
        <f>IFERROR(INDEX($A$2:$A$113,MATCH(ROWS($GJ$2:GJ63),$GJ$2:$GJ$113,0)),"")</f>
        <v>ACCESO ILEGAL A SISTEMAS INFORMATICOS Y DAÑOS INFORMATICOS</v>
      </c>
      <c r="KG63" s="207" t="str">
        <f>IFERROR(INDEX($A$2:$A$113,MATCH(ROWS($GK$2:GK63),$GK$2:$GK$113,0)),"")</f>
        <v>ACCESO ILEGAL A SISTEMAS INFORMATICOS Y DAÑOS INFORMATICOS</v>
      </c>
      <c r="KH63" s="207" t="str">
        <f>IFERROR(INDEX($A$2:$A$113,MATCH(ROWS($GL$2:GL63),$GL$2:$GL$113,0)),"")</f>
        <v>ACCESO ILEGAL A SISTEMAS INFORMATICOS Y DAÑOS INFORMATICOS</v>
      </c>
      <c r="KI63" s="207" t="str">
        <f>IFERROR(INDEX($A$2:$A$113,MATCH(ROWS($GM$2:GM63),$GM$2:$GM$113,0)),"")</f>
        <v>ACCESO ILEGAL A SISTEMAS INFORMATICOS Y DAÑOS INFORMATICOS</v>
      </c>
      <c r="KJ63" s="207" t="str">
        <f>IFERROR(INDEX($A$2:$A$113,MATCH(ROWS($GN$2:GN63),$GN$2:$GN$113,0)),"")</f>
        <v>ACCESO ILEGAL A SISTEMAS INFORMATICOS Y DAÑOS INFORMATICOS</v>
      </c>
      <c r="KK63" s="207" t="str">
        <f>IFERROR(INDEX($A$2:$A$113,MATCH(ROWS($GO$2:GO63),$GO$2:$GO$113,0)),"")</f>
        <v>ACCESO ILEGAL A SISTEMAS INFORMATICOS Y DAÑOS INFORMATICOS</v>
      </c>
      <c r="KL63" s="207" t="str">
        <f>IFERROR(INDEX($A$2:$A$113,MATCH(ROWS($GP$2:GP63),$GP$2:$GP$113,0)),"")</f>
        <v>ACCESO ILEGAL A SISTEMAS INFORMATICOS Y DAÑOS INFORMATICOS</v>
      </c>
      <c r="KM63" s="207" t="str">
        <f>IFERROR(INDEX($A$2:$A$113,MATCH(ROWS($GQ$2:GQ63),$GQ$2:$GQ$113,0)),"")</f>
        <v>ACCESO ILEGAL A SISTEMAS INFORMATICOS Y DAÑOS INFORMATICOS</v>
      </c>
      <c r="KN63" s="207" t="str">
        <f>IFERROR(INDEX($A$2:$A$113,MATCH(ROWS($GR$2:GR63),$GR$2:$GR$113,0)),"")</f>
        <v>ACCESO ILEGAL A SISTEMAS INFORMATICOS Y DAÑOS INFORMATICOS</v>
      </c>
      <c r="KO63" s="207" t="str">
        <f>IFERROR(INDEX($A$2:$A$113,MATCH(ROWS($GS$2:GS63),$GS$2:$GS$113,0)),"")</f>
        <v>ACCESO ILEGAL A SISTEMAS INFORMATICOS Y DAÑOS INFORMATICOS</v>
      </c>
      <c r="KP63" s="207" t="str">
        <f>IFERROR(INDEX($A$2:$A$113,MATCH(ROWS($GT$2:GT63),$GT$2:$GT$113,0)),"")</f>
        <v>ACCESO ILEGAL A SISTEMAS INFORMATICOS Y DAÑOS INFORMATICOS</v>
      </c>
      <c r="KQ63" s="207" t="str">
        <f>IFERROR(INDEX($A$2:$A$113,MATCH(ROWS($GU$2:GU63),$GU$2:$GU$113,0)),"")</f>
        <v>ACCESO ILEGAL A SISTEMAS INFORMATICOS Y DAÑOS INFORMATICOS</v>
      </c>
      <c r="KR63" s="207" t="str">
        <f>IFERROR(INDEX($A$2:$A$113,MATCH(ROWS($GV$2:GV63),$GV$2:$GV$113,0)),"")</f>
        <v>ACCESO ILEGAL A SISTEMAS INFORMATICOS Y DAÑOS INFORMATICOS</v>
      </c>
      <c r="KS63" s="207" t="str">
        <f>IFERROR(INDEX($A$2:$A$113,MATCH(ROWS($GW$2:GW63),$GW$2:$GW$113,0)),"")</f>
        <v>ACCESO ILEGAL A SISTEMAS INFORMATICOS Y DAÑOS INFORMATICOS</v>
      </c>
    </row>
    <row r="64" spans="1:305" x14ac:dyDescent="0.25">
      <c r="A64" s="206" t="s">
        <v>1098</v>
      </c>
      <c r="B64" s="206" t="s">
        <v>1097</v>
      </c>
      <c r="D64" s="206" t="s">
        <v>13</v>
      </c>
      <c r="E64" s="206" t="s">
        <v>507</v>
      </c>
      <c r="F64" s="207">
        <f>--ISNUMBER(IFERROR(SEARCH('PLANILLA DJ'!$X$3,$A64,1),""))</f>
        <v>1</v>
      </c>
      <c r="G64" s="207">
        <f>--ISNUMBER(IFERROR(SEARCH('PLANILLA DJ'!$X$4,$A64,1),""))</f>
        <v>1</v>
      </c>
      <c r="H64" s="207">
        <f>--ISNUMBER(IFERROR(SEARCH('PLANILLA DJ'!$X$5,$A64,1),""))</f>
        <v>1</v>
      </c>
      <c r="I64" s="207">
        <f>--ISNUMBER(IFERROR(SEARCH('PLANILLA DJ'!$X$6,$A64,1),""))</f>
        <v>1</v>
      </c>
      <c r="J64" s="207">
        <f>--ISNUMBER(IFERROR(SEARCH('PLANILLA DJ'!$X$7,$A64,1),""))</f>
        <v>1</v>
      </c>
      <c r="K64" s="207">
        <f>--ISNUMBER(IFERROR(SEARCH('PLANILLA DJ'!$X$8,$A64,1),""))</f>
        <v>1</v>
      </c>
      <c r="L64" s="207">
        <f>--ISNUMBER(IFERROR(SEARCH('PLANILLA DJ'!$X$9,$A64,1),""))</f>
        <v>1</v>
      </c>
      <c r="M64" s="207">
        <f>--ISNUMBER(IFERROR(SEARCH('PLANILLA DJ'!$X$10,$A64,1),""))</f>
        <v>1</v>
      </c>
      <c r="N64" s="207">
        <f>--ISNUMBER(IFERROR(SEARCH('PLANILLA DJ'!$X$11,$A64,1),""))</f>
        <v>1</v>
      </c>
      <c r="O64" s="207">
        <f>--ISNUMBER(IFERROR(SEARCH('PLANILLA DJ'!$X$12,$A64,1),""))</f>
        <v>1</v>
      </c>
      <c r="P64" s="207">
        <f>--ISNUMBER(IFERROR(SEARCH('PLANILLA DJ'!$X$13,$A64,1),""))</f>
        <v>1</v>
      </c>
      <c r="Q64" s="207">
        <f>--ISNUMBER(IFERROR(SEARCH('PLANILLA DJ'!$X$14,$A64,1),""))</f>
        <v>1</v>
      </c>
      <c r="R64" s="207">
        <f>--ISNUMBER(IFERROR(SEARCH('PLANILLA DJ'!$X$15,$A64,1),""))</f>
        <v>1</v>
      </c>
      <c r="S64" s="207">
        <f>--ISNUMBER(IFERROR(SEARCH('PLANILLA DJ'!$X$16,$A64,1),""))</f>
        <v>1</v>
      </c>
      <c r="T64" s="207">
        <f>--ISNUMBER(IFERROR(SEARCH('PLANILLA DJ'!$X$17,$A64,1),""))</f>
        <v>1</v>
      </c>
      <c r="U64" s="207">
        <f>--ISNUMBER(IFERROR(SEARCH('PLANILLA DJ'!$X$18,$A64,1),""))</f>
        <v>1</v>
      </c>
      <c r="V64" s="207">
        <f>--ISNUMBER(IFERROR(SEARCH('PLANILLA DJ'!$X$19,$A64,1),""))</f>
        <v>1</v>
      </c>
      <c r="W64" s="207">
        <f>--ISNUMBER(IFERROR(SEARCH('PLANILLA DJ'!$X$20,$A64,1),""))</f>
        <v>1</v>
      </c>
      <c r="X64" s="207">
        <f>--ISNUMBER(IFERROR(SEARCH('PLANILLA DJ'!$X$21,$A64,1),""))</f>
        <v>1</v>
      </c>
      <c r="Y64" s="207">
        <f>--ISNUMBER(IFERROR(SEARCH('PLANILLA DJ'!$X$22,$A64,1),""))</f>
        <v>1</v>
      </c>
      <c r="Z64" s="207">
        <f>--ISNUMBER(IFERROR(SEARCH('PLANILLA DJ'!$X$23,$A64,1),""))</f>
        <v>1</v>
      </c>
      <c r="AA64" s="207">
        <f>--ISNUMBER(IFERROR(SEARCH('PLANILLA DJ'!$X$24,$A64,1),""))</f>
        <v>1</v>
      </c>
      <c r="AB64" s="207">
        <f>--ISNUMBER(IFERROR(SEARCH('PLANILLA DJ'!$X$25,$A64,1),""))</f>
        <v>1</v>
      </c>
      <c r="AC64" s="207">
        <f>--ISNUMBER(IFERROR(SEARCH('PLANILLA DJ'!$X$26,$A64,1),""))</f>
        <v>1</v>
      </c>
      <c r="AD64" s="207">
        <f>--ISNUMBER(IFERROR(SEARCH('PLANILLA DJ'!$X$27,$A64,1),""))</f>
        <v>1</v>
      </c>
      <c r="AE64" s="207">
        <f>--ISNUMBER(IFERROR(SEARCH('PLANILLA DJ'!$X$28,$A64,1),""))</f>
        <v>1</v>
      </c>
      <c r="AF64" s="207">
        <f>--ISNUMBER(IFERROR(SEARCH('PLANILLA DJ'!$X$29,$A64,1),""))</f>
        <v>1</v>
      </c>
      <c r="AG64" s="207">
        <f>--ISNUMBER(IFERROR(SEARCH('PLANILLA DJ'!$X$30,$A64,1),""))</f>
        <v>1</v>
      </c>
      <c r="AH64" s="207">
        <f>--ISNUMBER(IFERROR(SEARCH('PLANILLA DJ'!$X$31,$A64,1),""))</f>
        <v>1</v>
      </c>
      <c r="AI64" s="207">
        <f>--ISNUMBER(IFERROR(SEARCH('PLANILLA DJ'!$X$32,$A64,1),""))</f>
        <v>1</v>
      </c>
      <c r="AJ64" s="207">
        <f>--ISNUMBER(IFERROR(SEARCH('PLANILLA DJ'!$X$33,$A64,1),""))</f>
        <v>1</v>
      </c>
      <c r="AK64" s="207">
        <f>--ISNUMBER(IFERROR(SEARCH('PLANILLA DJ'!$X$34,$A64,1),""))</f>
        <v>1</v>
      </c>
      <c r="AL64" s="207">
        <f>--ISNUMBER(IFERROR(SEARCH('PLANILLA DJ'!$X$35,$A64,1),""))</f>
        <v>1</v>
      </c>
      <c r="AM64" s="207">
        <f>--ISNUMBER(IFERROR(SEARCH('PLANILLA DJ'!$X$36,$A64,1),""))</f>
        <v>1</v>
      </c>
      <c r="AN64" s="207">
        <f>--ISNUMBER(IFERROR(SEARCH('PLANILLA DJ'!$X$37,$A64,1),""))</f>
        <v>1</v>
      </c>
      <c r="AO64" s="207">
        <f>--ISNUMBER(IFERROR(SEARCH('PLANILLA DJ'!$X$38,$A64,1),""))</f>
        <v>1</v>
      </c>
      <c r="AP64" s="207">
        <f>--ISNUMBER(IFERROR(SEARCH('PLANILLA DJ'!$X$39,$A64,1),""))</f>
        <v>1</v>
      </c>
      <c r="AQ64" s="207">
        <f>--ISNUMBER(IFERROR(SEARCH('PLANILLA DJ'!$X$40,$A64,1),""))</f>
        <v>1</v>
      </c>
      <c r="AR64" s="207">
        <f>--ISNUMBER(IFERROR(SEARCH('PLANILLA DJ'!$X$41,$A64,1),""))</f>
        <v>1</v>
      </c>
      <c r="AS64" s="207">
        <f>--ISNUMBER(IFERROR(SEARCH('PLANILLA DJ'!$X$42,$A64,1),""))</f>
        <v>1</v>
      </c>
      <c r="AT64" s="207">
        <f>--ISNUMBER(IFERROR(SEARCH('PLANILLA DJ'!$X$43,$A64,1),""))</f>
        <v>1</v>
      </c>
      <c r="AU64" s="207">
        <f>--ISNUMBER(IFERROR(SEARCH('PLANILLA DJ'!$X$44,$A64,1),""))</f>
        <v>1</v>
      </c>
      <c r="AV64" s="207">
        <f>--ISNUMBER(IFERROR(SEARCH('PLANILLA DJ'!$X$45,$A64,1),""))</f>
        <v>1</v>
      </c>
      <c r="AW64" s="207">
        <f>--ISNUMBER(IFERROR(SEARCH('PLANILLA DJ'!$X$46,$A64,1),""))</f>
        <v>1</v>
      </c>
      <c r="AX64" s="207">
        <f>--ISNUMBER(IFERROR(SEARCH('PLANILLA DJ'!$X$47,$A64,1),""))</f>
        <v>1</v>
      </c>
      <c r="AY64" s="207">
        <f>--ISNUMBER(IFERROR(SEARCH('PLANILLA DJ'!$X$48,$A64,1),""))</f>
        <v>1</v>
      </c>
      <c r="AZ64" s="207">
        <f>--ISNUMBER(IFERROR(SEARCH('PLANILLA DJ'!$X$49,$A64,1),""))</f>
        <v>1</v>
      </c>
      <c r="BA64" s="207">
        <f>--ISNUMBER(IFERROR(SEARCH('PLANILLA DJ'!$X$50,$A64,1),""))</f>
        <v>1</v>
      </c>
      <c r="BB64" s="207">
        <f>--ISNUMBER(IFERROR(SEARCH('PLANILLA DJ'!$X$51,$A64,1),""))</f>
        <v>1</v>
      </c>
      <c r="BC64" s="207">
        <f>--ISNUMBER(IFERROR(SEARCH('PLANILLA DJ'!$X$52,$A64,1),""))</f>
        <v>1</v>
      </c>
      <c r="BD64" s="207">
        <f>--ISNUMBER(IFERROR(SEARCH('PLANILLA DJ'!$X$53,$A64,1),""))</f>
        <v>1</v>
      </c>
      <c r="BE64" s="207">
        <f>--ISNUMBER(IFERROR(SEARCH('PLANILLA DJ'!$X$54,$A64,1),""))</f>
        <v>1</v>
      </c>
      <c r="BF64" s="207">
        <f>--ISNUMBER(IFERROR(SEARCH('PLANILLA DJ'!$X$55,$A64,1),""))</f>
        <v>1</v>
      </c>
      <c r="BG64" s="207">
        <f>--ISNUMBER(IFERROR(SEARCH('PLANILLA DJ'!$X$56,$A64,1),""))</f>
        <v>1</v>
      </c>
      <c r="BH64" s="207">
        <f>--ISNUMBER(IFERROR(SEARCH('PLANILLA DJ'!$X$57,$A64,1),""))</f>
        <v>1</v>
      </c>
      <c r="BI64" s="207">
        <f>--ISNUMBER(IFERROR(SEARCH('PLANILLA DJ'!$X$58,$A64,1),""))</f>
        <v>1</v>
      </c>
      <c r="BJ64" s="207">
        <f>--ISNUMBER(IFERROR(SEARCH('PLANILLA DJ'!$X$59,$A64,1),""))</f>
        <v>1</v>
      </c>
      <c r="BK64" s="207">
        <f>--ISNUMBER(IFERROR(SEARCH('PLANILLA DJ'!$X$60,$A64,1),""))</f>
        <v>1</v>
      </c>
      <c r="BL64" s="207">
        <f>--ISNUMBER(IFERROR(SEARCH('PLANILLA DJ'!$X$61,$A64,1),""))</f>
        <v>1</v>
      </c>
      <c r="BM64" s="207">
        <f>--ISNUMBER(IFERROR(SEARCH('PLANILLA DJ'!$X$62,$A64,1),""))</f>
        <v>1</v>
      </c>
      <c r="BN64" s="207">
        <f>--ISNUMBER(IFERROR(SEARCH('PLANILLA DJ'!$X$63,$A64,1),""))</f>
        <v>1</v>
      </c>
      <c r="BO64" s="207">
        <f>--ISNUMBER(IFERROR(SEARCH('PLANILLA DJ'!$X$64,$A64,1),""))</f>
        <v>1</v>
      </c>
      <c r="BP64" s="207">
        <f>--ISNUMBER(IFERROR(SEARCH('PLANILLA DJ'!$X$65,$A64,1),""))</f>
        <v>1</v>
      </c>
      <c r="BQ64" s="207">
        <f>--ISNUMBER(IFERROR(SEARCH('PLANILLA DJ'!$X$66,$A64,1),""))</f>
        <v>1</v>
      </c>
      <c r="BR64" s="207">
        <f>--ISNUMBER(IFERROR(SEARCH('PLANILLA DJ'!$X$67,$A64,1),""))</f>
        <v>1</v>
      </c>
      <c r="BS64" s="207">
        <f>--ISNUMBER(IFERROR(SEARCH('PLANILLA DJ'!$X$68,$A64,1),""))</f>
        <v>1</v>
      </c>
      <c r="BT64" s="207">
        <f>--ISNUMBER(IFERROR(SEARCH('PLANILLA DJ'!$X$69,$A64,1),""))</f>
        <v>1</v>
      </c>
      <c r="BU64" s="207">
        <f>--ISNUMBER(IFERROR(SEARCH('PLANILLA DJ'!$X$70,$A64,1),""))</f>
        <v>1</v>
      </c>
      <c r="BV64" s="207">
        <f>--ISNUMBER(IFERROR(SEARCH('PLANILLA DJ'!$X$71,$A64,1),""))</f>
        <v>1</v>
      </c>
      <c r="BW64" s="207">
        <f>--ISNUMBER(IFERROR(SEARCH('PLANILLA DJ'!$X$72,$A64,1),""))</f>
        <v>1</v>
      </c>
      <c r="BX64" s="207">
        <f>--ISNUMBER(IFERROR(SEARCH('PLANILLA DJ'!$X$73,$A64,1),""))</f>
        <v>1</v>
      </c>
      <c r="BY64" s="207">
        <f>--ISNUMBER(IFERROR(SEARCH('PLANILLA DJ'!$X$74,$A64,1),""))</f>
        <v>1</v>
      </c>
      <c r="BZ64" s="207">
        <f>--ISNUMBER(IFERROR(SEARCH('PLANILLA DJ'!$X$75,$A64,1),""))</f>
        <v>1</v>
      </c>
      <c r="CA64" s="207">
        <f>--ISNUMBER(IFERROR(SEARCH('PLANILLA DJ'!$X$76,$A64,1),""))</f>
        <v>1</v>
      </c>
      <c r="CB64" s="207">
        <f>--ISNUMBER(IFERROR(SEARCH('PLANILLA DJ'!$X$77,$A64,1),""))</f>
        <v>1</v>
      </c>
      <c r="CC64" s="207">
        <f>--ISNUMBER(IFERROR(SEARCH('PLANILLA DJ'!$X$78,$A64,1),""))</f>
        <v>1</v>
      </c>
      <c r="CD64" s="207">
        <f>--ISNUMBER(IFERROR(SEARCH('PLANILLA DJ'!$X$79,$A64,1),""))</f>
        <v>1</v>
      </c>
      <c r="CE64" s="207">
        <f>--ISNUMBER(IFERROR(SEARCH('PLANILLA DJ'!$X$80,$A64,1),""))</f>
        <v>1</v>
      </c>
      <c r="CF64" s="207">
        <f>--ISNUMBER(IFERROR(SEARCH('PLANILLA DJ'!$X$81,$A64,1),""))</f>
        <v>1</v>
      </c>
      <c r="CG64" s="207">
        <f>--ISNUMBER(IFERROR(SEARCH('PLANILLA DJ'!$X$82,$A64,1),""))</f>
        <v>1</v>
      </c>
      <c r="CH64" s="207">
        <f>--ISNUMBER(IFERROR(SEARCH('PLANILLA DJ'!$X$83,$A64,1),""))</f>
        <v>1</v>
      </c>
      <c r="CI64" s="207">
        <f>--ISNUMBER(IFERROR(SEARCH('PLANILLA DJ'!$X$84,$A64,1),""))</f>
        <v>1</v>
      </c>
      <c r="CJ64" s="207">
        <f>--ISNUMBER(IFERROR(SEARCH('PLANILLA DJ'!$X$85,$A64,1),""))</f>
        <v>1</v>
      </c>
      <c r="CK64" s="207">
        <f>--ISNUMBER(IFERROR(SEARCH('PLANILLA DJ'!$X$86,$A64,1),""))</f>
        <v>1</v>
      </c>
      <c r="CL64" s="207">
        <f>--ISNUMBER(IFERROR(SEARCH('PLANILLA DJ'!$X$87,$A64,1),""))</f>
        <v>1</v>
      </c>
      <c r="CM64" s="207">
        <f>--ISNUMBER(IFERROR(SEARCH('PLANILLA DJ'!$X$88,$A64,1),""))</f>
        <v>1</v>
      </c>
      <c r="CN64" s="207">
        <f>--ISNUMBER(IFERROR(SEARCH('PLANILLA DJ'!$X$89,$A64,1),""))</f>
        <v>1</v>
      </c>
      <c r="CO64" s="207">
        <f>--ISNUMBER(IFERROR(SEARCH('PLANILLA DJ'!$X$90,$A64,1),""))</f>
        <v>1</v>
      </c>
      <c r="CP64" s="207">
        <f>--ISNUMBER(IFERROR(SEARCH('PLANILLA DJ'!$X$91,$A64,1),""))</f>
        <v>1</v>
      </c>
      <c r="CQ64" s="207">
        <f>--ISNUMBER(IFERROR(SEARCH('PLANILLA DJ'!$X$92,$A64,1),""))</f>
        <v>1</v>
      </c>
      <c r="CR64" s="207">
        <f>--ISNUMBER(IFERROR(SEARCH('PLANILLA DJ'!$X$93,$A64,1),""))</f>
        <v>1</v>
      </c>
      <c r="CS64" s="207">
        <f>--ISNUMBER(IFERROR(SEARCH('PLANILLA DJ'!$X$94,$A64,1),""))</f>
        <v>1</v>
      </c>
      <c r="CT64" s="207">
        <f>--ISNUMBER(IFERROR(SEARCH('PLANILLA DJ'!$X$95,$A64,1),""))</f>
        <v>1</v>
      </c>
      <c r="CU64" s="207">
        <f>--ISNUMBER(IFERROR(SEARCH('PLANILLA DJ'!$X$96,$A64,1),""))</f>
        <v>1</v>
      </c>
      <c r="CV64" s="207">
        <f>--ISNUMBER(IFERROR(SEARCH('PLANILLA DJ'!$X$97,$A64,1),""))</f>
        <v>1</v>
      </c>
      <c r="CW64" s="207">
        <f>--ISNUMBER(IFERROR(SEARCH('PLANILLA DJ'!$X$98,$A64,1),""))</f>
        <v>1</v>
      </c>
      <c r="CX64" s="207">
        <f>--ISNUMBER(IFERROR(SEARCH('PLANILLA DJ'!$X$99,$A64,1),""))</f>
        <v>1</v>
      </c>
      <c r="CY64" s="207">
        <f>--ISNUMBER(IFERROR(SEARCH('PLANILLA DJ'!$X$100,$A64,1),""))</f>
        <v>1</v>
      </c>
      <c r="CZ64" s="207">
        <f>--ISNUMBER(IFERROR(SEARCH('PLANILLA DJ'!$X$101,$A64,1),""))</f>
        <v>1</v>
      </c>
      <c r="DA64" s="207">
        <f>--ISNUMBER(IFERROR(SEARCH('PLANILLA DJ'!$X$102,$A64,1),""))</f>
        <v>1</v>
      </c>
      <c r="DB64" s="206">
        <f>IF(F64=1,COUNTIF($F$2:F64,1),"")</f>
        <v>63</v>
      </c>
      <c r="DC64" s="206">
        <f>IF(G64=1,COUNTIF($G$2:G64,1),"")</f>
        <v>63</v>
      </c>
      <c r="DD64" s="206">
        <f>IF(H64=1,COUNTIF($H$2:H64,1),"")</f>
        <v>63</v>
      </c>
      <c r="DE64" s="206">
        <f>IF(I64=1,COUNTIF($I$2:I64,1),"")</f>
        <v>63</v>
      </c>
      <c r="DF64" s="206">
        <f>IF(J64=1,COUNTIF($J$2:J64,1),"")</f>
        <v>63</v>
      </c>
      <c r="DG64" s="206">
        <f>IF(K64=1,COUNTIF($K$2:K64,1),"")</f>
        <v>63</v>
      </c>
      <c r="DH64" s="206">
        <f>IF(L64=1,COUNTIF($L$2:L64,1),"")</f>
        <v>63</v>
      </c>
      <c r="DI64" s="206">
        <f>IF(M64=1,COUNTIF($M$2:M64,1),"")</f>
        <v>63</v>
      </c>
      <c r="DJ64" s="206">
        <f>IF(N64=1,COUNTIF($N$2:N64,1),"")</f>
        <v>63</v>
      </c>
      <c r="DK64" s="206">
        <f>IF(O64=1,COUNTIF($O$2:O64,1),"")</f>
        <v>63</v>
      </c>
      <c r="DL64" s="206">
        <f>IF(P64=1,COUNTIF($P$2:P64,1),"")</f>
        <v>63</v>
      </c>
      <c r="DM64" s="206">
        <f>IF(Q64=1,COUNTIF($Q$2:Q64,1),"")</f>
        <v>63</v>
      </c>
      <c r="DN64" s="207">
        <f>IF(R64=1,COUNTIF($R$2:R64,1),"")</f>
        <v>63</v>
      </c>
      <c r="DO64" s="207">
        <f>IF(S64=1,COUNTIF($S$2:S64,1),"")</f>
        <v>63</v>
      </c>
      <c r="DP64" s="207">
        <f>IF(T64=1,COUNTIF($T$2:T64,1),"")</f>
        <v>63</v>
      </c>
      <c r="DQ64" s="207">
        <f>IF(U64=1,COUNTIF($U$2:U64,1),"")</f>
        <v>63</v>
      </c>
      <c r="DR64" s="207">
        <f>IF(V64=1,COUNTIF($V$2:V64,1),"")</f>
        <v>63</v>
      </c>
      <c r="DS64" s="207">
        <f>IF(W64=1,COUNTIF($W$2:W64,1),"")</f>
        <v>63</v>
      </c>
      <c r="DT64" s="207">
        <f>IF(X64=1,COUNTIF($X$2:X64,1),"")</f>
        <v>63</v>
      </c>
      <c r="DU64" s="207">
        <f>IF(Y64=1,COUNTIF($Y$2:Y64,1),"")</f>
        <v>63</v>
      </c>
      <c r="DV64" s="207">
        <f>IF(Z64=1,COUNTIF(Z$2:Z64,1),"")</f>
        <v>63</v>
      </c>
      <c r="DW64" s="207">
        <f>IF(AA64=1,COUNTIF($AA$2:AA64,1),"")</f>
        <v>63</v>
      </c>
      <c r="DX64" s="207">
        <f>IF(AB64=1,COUNTIF($AB$2:AB64,1),"")</f>
        <v>63</v>
      </c>
      <c r="DY64" s="207">
        <f>IF(AC64=1,COUNTIF($AC$2:AC64,1),"")</f>
        <v>63</v>
      </c>
      <c r="DZ64" s="207">
        <f>IF(AD64=1,COUNTIF($AD$2:AD64,1),"")</f>
        <v>63</v>
      </c>
      <c r="EA64" s="207">
        <f>IF(AE64=1,COUNTIF($AE$2:AE64,1),"")</f>
        <v>63</v>
      </c>
      <c r="EB64" s="207">
        <f>IF(AF64=1,COUNTIF($AF$2:AF64,1),"")</f>
        <v>63</v>
      </c>
      <c r="EC64" s="207">
        <f>IF(AG64=1,COUNTIF($AG$2:AG64,1),"")</f>
        <v>63</v>
      </c>
      <c r="ED64" s="207">
        <f>IF(AH64=1,COUNTIF($AH$2:AH64,1),"")</f>
        <v>63</v>
      </c>
      <c r="EE64" s="207">
        <f>IF(AI64=1,COUNTIF($AI$2:AI64,1),"")</f>
        <v>63</v>
      </c>
      <c r="EF64" s="207">
        <f>IF(AJ64=1,COUNTIF($AJ$2:AJ64,1),"")</f>
        <v>63</v>
      </c>
      <c r="EG64" s="207">
        <f>IF(AK64=1,COUNTIF($AK$2:AK64,1),"")</f>
        <v>63</v>
      </c>
      <c r="EH64" s="207">
        <f>IF(AL64=1,COUNTIF($AL$2:AL64,1),"")</f>
        <v>63</v>
      </c>
      <c r="EI64" s="207">
        <f>IF(AM64=1,COUNTIF($AM$2:AM64,1),"")</f>
        <v>63</v>
      </c>
      <c r="EJ64" s="207">
        <f>IF(AN64=1,COUNTIF($AN$2:AN64,1),"")</f>
        <v>63</v>
      </c>
      <c r="EK64" s="207">
        <f>IF(AO64=1,COUNTIF($AO$2:AO64,1),"")</f>
        <v>63</v>
      </c>
      <c r="EL64" s="207">
        <f>IF(AP64=1,COUNTIF($AP$2:AP64,1),"")</f>
        <v>63</v>
      </c>
      <c r="EM64" s="207">
        <f>IF(AQ64=1,COUNTIF($AQ$2:AQ64,1),"")</f>
        <v>63</v>
      </c>
      <c r="EN64" s="207">
        <f>IF(AR64=1,COUNTIF($AR$2:AR64,1),"")</f>
        <v>63</v>
      </c>
      <c r="EO64" s="207">
        <f>IF(AS64=1,COUNTIF($AS$2:AS64,1),"")</f>
        <v>63</v>
      </c>
      <c r="EP64" s="207">
        <f>IF(AT64=1,COUNTIF($AT$2:AT64,1),"")</f>
        <v>63</v>
      </c>
      <c r="EQ64" s="207">
        <f>IF(AU64=1,COUNTIF($AU$2:AU64,1),"")</f>
        <v>63</v>
      </c>
      <c r="ER64" s="207">
        <f>IF(AV64=1,COUNTIF($AV$2:AV64,1),"")</f>
        <v>63</v>
      </c>
      <c r="ES64" s="207">
        <f>IF(AW64=1,COUNTIF($AW$2:AW64,1),"")</f>
        <v>63</v>
      </c>
      <c r="ET64" s="207">
        <f>IF(AX64=1,COUNTIF($AX$2:AX64,1),"")</f>
        <v>63</v>
      </c>
      <c r="EU64" s="207">
        <f>IF(AY64=1,COUNTIF($AY$2:AY64,1),"")</f>
        <v>63</v>
      </c>
      <c r="EV64" s="207">
        <f>IF(AZ64=1,COUNTIF($AZ$2:AZ64,1),"")</f>
        <v>63</v>
      </c>
      <c r="EW64" s="207">
        <f>IF(BA64=1,COUNTIF($BA$2:BA64,1),"")</f>
        <v>63</v>
      </c>
      <c r="EX64" s="207">
        <f>IF(BB64=1,COUNTIF($BB$2:BB64,1),"")</f>
        <v>63</v>
      </c>
      <c r="EY64" s="207">
        <f>IF(BC64=1,COUNTIF($BC$2:BC64,1),"")</f>
        <v>63</v>
      </c>
      <c r="EZ64" s="207">
        <f>IF(BD64=1,COUNTIF($BD$2:BD64,1),"")</f>
        <v>63</v>
      </c>
      <c r="FA64" s="207">
        <f>IF(BE64=1,COUNTIF($BE$2:BE64,1),"")</f>
        <v>63</v>
      </c>
      <c r="FB64" s="207">
        <f>IF(BF64=1,COUNTIF($BF$2:BF64,1),"")</f>
        <v>63</v>
      </c>
      <c r="FC64" s="207">
        <f>IF(BG64=1,COUNTIF($BG$2:BG64,1),"")</f>
        <v>63</v>
      </c>
      <c r="FD64" s="207">
        <f>IF(BH64=1,COUNTIF($BH$2:BH64,1),"")</f>
        <v>63</v>
      </c>
      <c r="FE64" s="207">
        <f>IF(BI64=1,COUNTIF($BI$2:BI64,1),"")</f>
        <v>63</v>
      </c>
      <c r="FF64" s="207">
        <f>IF(BJ64=1,COUNTIF($BJ$2:BJ64,1),"")</f>
        <v>63</v>
      </c>
      <c r="FG64" s="207">
        <f>IF(BK64=1,COUNTIF($BK$2:BK64,1),"")</f>
        <v>63</v>
      </c>
      <c r="FH64" s="207">
        <f>IF(BL64=1,COUNTIF($BL$2:BL64,1),"")</f>
        <v>63</v>
      </c>
      <c r="FI64" s="207">
        <f>IF(BM64=1,COUNTIF($BM$2:BM64,1),"")</f>
        <v>63</v>
      </c>
      <c r="FJ64" s="207">
        <f>IF(BN64=1,COUNTIF($BN$2:BN64,1),"")</f>
        <v>63</v>
      </c>
      <c r="FK64" s="207">
        <f>IF(BO64=1,COUNTIF($BO$2:BO64,1),"")</f>
        <v>63</v>
      </c>
      <c r="FL64" s="207">
        <f>IF(BP64=1,COUNTIF($BP$2:BP64,1),"")</f>
        <v>63</v>
      </c>
      <c r="FM64" s="207">
        <f>IF(BQ64=1,COUNTIF($BQ$2:BQ64,1),"")</f>
        <v>63</v>
      </c>
      <c r="FN64" s="207">
        <f>IF(BR64=1,COUNTIF($BR$2:BR64,1),"")</f>
        <v>63</v>
      </c>
      <c r="FO64" s="207">
        <f>IF(BS64=1,COUNTIF($BS$2:BS64,1),"")</f>
        <v>63</v>
      </c>
      <c r="FP64" s="207">
        <f>IF(BT64=1,COUNTIF($BT$2:BT64,1),"")</f>
        <v>63</v>
      </c>
      <c r="FQ64" s="207">
        <f>IF(BU64=1,COUNTIF($BU$2:BU64,1),"")</f>
        <v>63</v>
      </c>
      <c r="FR64" s="207">
        <f>IF(BV64=1,COUNTIF($BV$2:BV64,1),"")</f>
        <v>63</v>
      </c>
      <c r="FS64" s="207">
        <f>IF(BW64=1,COUNTIF($BW$2:BW64,1),"")</f>
        <v>63</v>
      </c>
      <c r="FT64" s="207">
        <f>IF(BX64=1,COUNTIF($BX$2:BX64,1),"")</f>
        <v>63</v>
      </c>
      <c r="FU64" s="207">
        <f>IF(BY64=1,COUNTIF($BY$2:BY64,1),"")</f>
        <v>63</v>
      </c>
      <c r="FV64" s="207">
        <f>IF(BZ64=1,COUNTIF($BZ$2:BZ64,1),"")</f>
        <v>63</v>
      </c>
      <c r="FW64" s="207">
        <f>IF(CA64=1,COUNTIF($CA$2:CA64,1),"")</f>
        <v>63</v>
      </c>
      <c r="FX64" s="207">
        <f>IF(CB64=1,COUNTIF($CB$2:CB64,1),"")</f>
        <v>63</v>
      </c>
      <c r="FY64" s="207">
        <f>IF(CC64=1,COUNTIF($CC$2:CC64,1),"")</f>
        <v>63</v>
      </c>
      <c r="FZ64" s="207">
        <f>IF(CD64=1,COUNTIF($CD$2:CD64,1),"")</f>
        <v>63</v>
      </c>
      <c r="GA64" s="207">
        <f>IF(CE64=1,COUNTIF($CE$2:CE64,1),"")</f>
        <v>63</v>
      </c>
      <c r="GB64" s="207">
        <f>IF(CF64=1,COUNTIF($CF$2:CF64,1),"")</f>
        <v>63</v>
      </c>
      <c r="GC64" s="207">
        <f>IF(CG64=1,COUNTIF($CG$2:CG64,1),"")</f>
        <v>63</v>
      </c>
      <c r="GD64" s="207">
        <f>IF(CH64=1,COUNTIF($CH$2:CH64,1),"")</f>
        <v>63</v>
      </c>
      <c r="GE64" s="207">
        <f>IF(CI64=1,COUNTIF($CI$2:CI64,1),"")</f>
        <v>63</v>
      </c>
      <c r="GF64" s="207">
        <f>IF(CJ64=1,COUNTIF($CJ$2:CJ64,1),"")</f>
        <v>63</v>
      </c>
      <c r="GG64" s="207">
        <f>IF(CK64=1,COUNTIF($CK$2:CK64,1),"")</f>
        <v>63</v>
      </c>
      <c r="GH64" s="207">
        <f>IF(CL64=1,COUNTIF($CL$2:CL64,1),"")</f>
        <v>63</v>
      </c>
      <c r="GI64" s="207">
        <f>IF(CM64=1,COUNTIF($CM$2:CM64,1),"")</f>
        <v>63</v>
      </c>
      <c r="GJ64" s="207">
        <f>IF(CN64=1,COUNTIF($CN$2:CN64,1),"")</f>
        <v>63</v>
      </c>
      <c r="GK64" s="207">
        <f>IF(CO64=1,COUNTIF($CO$2:CO64,1),"")</f>
        <v>63</v>
      </c>
      <c r="GL64" s="207">
        <f>IF(CP64=1,COUNTIF($CP$2:CP64,1),"")</f>
        <v>63</v>
      </c>
      <c r="GM64" s="207">
        <f>IF(CQ64=1,COUNTIF($CQ$2:CQ64,1),"")</f>
        <v>63</v>
      </c>
      <c r="GN64" s="207">
        <f>IF(CR64=1,COUNTIF($CR$2:CR64,1),"")</f>
        <v>63</v>
      </c>
      <c r="GO64" s="207">
        <f>IF(CS64=1,COUNTIF($CS$2:CS64,1),"")</f>
        <v>63</v>
      </c>
      <c r="GP64" s="207">
        <f>IF(CT64=1,COUNTIF($CT$2:CT64,1),"")</f>
        <v>63</v>
      </c>
      <c r="GQ64" s="207">
        <f>IF(CU64=1,COUNTIF($CU$2:CU64,1),"")</f>
        <v>63</v>
      </c>
      <c r="GR64" s="207">
        <f>IF(CV64=1,COUNTIF($CV$2:CV64,1),"")</f>
        <v>63</v>
      </c>
      <c r="GS64" s="207">
        <f>IF(CW64=1,COUNTIF($CW$2:CW64,1),"")</f>
        <v>63</v>
      </c>
      <c r="GT64" s="207">
        <f>IF(CX64=1,COUNTIF($CX$2:CX64,1),"")</f>
        <v>63</v>
      </c>
      <c r="GU64" s="207">
        <f>IF(CY64=1,COUNTIF($CY$2:CY64,1),"")</f>
        <v>63</v>
      </c>
      <c r="GV64" s="207">
        <f>IF(CZ64=1,COUNTIF($CZ$2:CZ64,1),"")</f>
        <v>63</v>
      </c>
      <c r="GW64" s="207">
        <f>IF(DA64=1,COUNTIF($DA$2:DA64,1),"")</f>
        <v>63</v>
      </c>
      <c r="GX64" s="206" t="str">
        <f>IFERROR(INDEX($A$2:$A$113,MATCH(ROWS($DB$2:DB64),$DB$2:$DB$113,0)),"")</f>
        <v>OTROS DELITOS CONTRA LA PROPIEDAD</v>
      </c>
      <c r="GY64" s="206" t="str">
        <f>IFERROR(INDEX($A$2:$A$113,MATCH(ROWS($DC$2:DC64),$DC$2:$DC$113,0)),"")</f>
        <v>OTROS DELITOS CONTRA LA PROPIEDAD</v>
      </c>
      <c r="GZ64" s="206" t="str">
        <f>IFERROR(INDEX($A$2:$A$113,MATCH(ROWS($DD$2:DD64),$DD$2:$DD$113,0)),"")</f>
        <v>OTROS DELITOS CONTRA LA PROPIEDAD</v>
      </c>
      <c r="HA64" s="206" t="str">
        <f>IFERROR(INDEX($A$2:$A$113,MATCH(ROWS($DE$2:DE64),$DE$2:$DE$113,0)),"")</f>
        <v>OTROS DELITOS CONTRA LA PROPIEDAD</v>
      </c>
      <c r="HB64" s="206" t="str">
        <f>IFERROR(INDEX($A$2:$A$113,MATCH(ROWS($DF$2:DF64),$DF$2:$DF$113,0)),"")</f>
        <v>OTROS DELITOS CONTRA LA PROPIEDAD</v>
      </c>
      <c r="HC64" s="206" t="str">
        <f>IFERROR(INDEX($A$2:$A$113,MATCH(ROWS($DG$2:DG64),$DG$2:$DG$113,0)),"")</f>
        <v>OTROS DELITOS CONTRA LA PROPIEDAD</v>
      </c>
      <c r="HD64" s="206" t="str">
        <f>IFERROR(INDEX($A$2:$A$113,MATCH(ROWS($DH$2:DH64),$DH$2:$DH$113,0)),"")</f>
        <v>OTROS DELITOS CONTRA LA PROPIEDAD</v>
      </c>
      <c r="HE64" s="206" t="str">
        <f>IFERROR(INDEX($A$2:$A$113,MATCH(ROWS($DI$2:DI64),$DI$2:$DI$113,0)),"")</f>
        <v>OTROS DELITOS CONTRA LA PROPIEDAD</v>
      </c>
      <c r="HF64" s="206" t="str">
        <f>IFERROR(INDEX($A$2:$A$113,MATCH(ROWS($DJ$2:DJ64),$DJ$2:$DJ$113,0)),"")</f>
        <v>OTROS DELITOS CONTRA LA PROPIEDAD</v>
      </c>
      <c r="HG64" s="206" t="str">
        <f>IFERROR(INDEX($A$2:$A$113,MATCH(ROWS($DK$2:DK64),$DK$2:$DK$113,0)),"")</f>
        <v>OTROS DELITOS CONTRA LA PROPIEDAD</v>
      </c>
      <c r="HH64" s="206" t="str">
        <f>IFERROR(INDEX($A$2:$A$113,MATCH(ROWS($DL$2:DL64),$DL$2:$DL$113,0)),"")</f>
        <v>OTROS DELITOS CONTRA LA PROPIEDAD</v>
      </c>
      <c r="HI64" s="206" t="str">
        <f>IFERROR(INDEX($A$2:$A$113,MATCH(ROWS($DM$2:DM64),$DM$2:$DM$113,0)),"")</f>
        <v>OTROS DELITOS CONTRA LA PROPIEDAD</v>
      </c>
      <c r="HJ64" s="206" t="str">
        <f>IFERROR(INDEX($A$2:$A$113,MATCH(ROWS($DN$2:DN64),$DN$2:$DN$113,0)),"")</f>
        <v>OTROS DELITOS CONTRA LA PROPIEDAD</v>
      </c>
      <c r="HK64" s="206" t="str">
        <f>IFERROR(INDEX($A$2:$A$113,MATCH(ROWS($DO$2:DO64),$DO$2:$DO$113,0)),"")</f>
        <v>OTROS DELITOS CONTRA LA PROPIEDAD</v>
      </c>
      <c r="HL64" s="206" t="str">
        <f>IFERROR(INDEX($A$2:$A$113,MATCH(ROWS($DP$2:DP64),$DP$2:$DP$113,0)),"")</f>
        <v>OTROS DELITOS CONTRA LA PROPIEDAD</v>
      </c>
      <c r="HM64" s="206" t="str">
        <f>IFERROR(INDEX($A$2:$A$113,MATCH(ROWS($DQ$2:DQ64),$DQ$2:$DQ$113,0)),"")</f>
        <v>OTROS DELITOS CONTRA LA PROPIEDAD</v>
      </c>
      <c r="HN64" s="206" t="str">
        <f>IFERROR(INDEX($A$2:$A$113,MATCH(ROWS($DR$2:DR64),$DR$2:$DR$113,0)),"")</f>
        <v>OTROS DELITOS CONTRA LA PROPIEDAD</v>
      </c>
      <c r="HO64" s="206" t="str">
        <f>IFERROR(INDEX($A$2:$A$113,MATCH(ROWS($DS$2:DS64),$DS$2:$DS$113,0)),"")</f>
        <v>OTROS DELITOS CONTRA LA PROPIEDAD</v>
      </c>
      <c r="HP64" s="206" t="str">
        <f>IFERROR(INDEX($A$2:$A$113,MATCH(ROWS($DT$2:DT64),$DT$2:$DT$113,0)),"")</f>
        <v>OTROS DELITOS CONTRA LA PROPIEDAD</v>
      </c>
      <c r="HQ64" s="206" t="str">
        <f>IFERROR(INDEX($A$2:$A$113,MATCH(ROWS($DU$2:DU64),$DU$2:$DU$113,0)),"")</f>
        <v>OTROS DELITOS CONTRA LA PROPIEDAD</v>
      </c>
      <c r="HR64" s="206" t="str">
        <f>IFERROR(INDEX($A$2:$A$113,MATCH(ROWS($DV$2:DV64),$DV$2:$DV$113,0)),"")</f>
        <v>OTROS DELITOS CONTRA LA PROPIEDAD</v>
      </c>
      <c r="HS64" s="206" t="str">
        <f>IFERROR(INDEX($A$2:$A$113,MATCH(ROWS($DW$2:DW64),$DW$2:$DW$113,0)),"")</f>
        <v>OTROS DELITOS CONTRA LA PROPIEDAD</v>
      </c>
      <c r="HT64" s="206" t="str">
        <f>IFERROR(INDEX($A$2:$A$113,MATCH(ROWS($DX$2:DX64),$DX$2:$DX$113,0)),"")</f>
        <v>OTROS DELITOS CONTRA LA PROPIEDAD</v>
      </c>
      <c r="HU64" s="206" t="str">
        <f>IFERROR(INDEX($A$2:$A$113,MATCH(ROWS($DY$2:DY64),$DY$2:$DY$113,0)),"")</f>
        <v>OTROS DELITOS CONTRA LA PROPIEDAD</v>
      </c>
      <c r="HV64" s="206" t="str">
        <f>IFERROR(INDEX($A$2:$A$113,MATCH(ROWS($DZ$2:DZ64),$DZ$2:$DZ$113,0)),"")</f>
        <v>OTROS DELITOS CONTRA LA PROPIEDAD</v>
      </c>
      <c r="HW64" s="206" t="str">
        <f>IFERROR(INDEX($A$2:$A$113,MATCH(ROWS($EA$2:EA64),$EA$2:$EA$113,0)),"")</f>
        <v>OTROS DELITOS CONTRA LA PROPIEDAD</v>
      </c>
      <c r="HX64" s="206" t="str">
        <f>IFERROR(INDEX($A$2:$A$113,MATCH(ROWS($EB$2:EB64),$EB$2:$EB$113,0)),"")</f>
        <v>OTROS DELITOS CONTRA LA PROPIEDAD</v>
      </c>
      <c r="HY64" s="206" t="str">
        <f>IFERROR(INDEX($A$2:$A$113,MATCH(ROWS($EC$2:EC64),$EC$2:$EC$113,0)),"")</f>
        <v>OTROS DELITOS CONTRA LA PROPIEDAD</v>
      </c>
      <c r="HZ64" s="206" t="str">
        <f>IFERROR(INDEX($A$2:$A$113,MATCH(ROWS($ED$2:ED64),$ED$2:$ED$113,0)),"")</f>
        <v>OTROS DELITOS CONTRA LA PROPIEDAD</v>
      </c>
      <c r="IA64" s="206" t="str">
        <f>IFERROR(INDEX($A$2:$A$113,MATCH(ROWS($EE$2:EE64),$EE$2:$EE$113,0)),"")</f>
        <v>OTROS DELITOS CONTRA LA PROPIEDAD</v>
      </c>
      <c r="IB64" s="206" t="str">
        <f>IFERROR(INDEX($A$2:$A$113,MATCH(ROWS($EF$2:EF64),$EF$2:$EF$113,0)),"")</f>
        <v>OTROS DELITOS CONTRA LA PROPIEDAD</v>
      </c>
      <c r="IC64" s="206" t="str">
        <f>IFERROR(INDEX($A$2:$A$113,MATCH(ROWS($EG$2:EG64),$EG$2:$EG$113,0)),"")</f>
        <v>OTROS DELITOS CONTRA LA PROPIEDAD</v>
      </c>
      <c r="ID64" s="206" t="str">
        <f>IFERROR(INDEX($A$2:$A$113,MATCH(ROWS($EH$2:EH64),$EH$2:$EH$113,0)),"")</f>
        <v>OTROS DELITOS CONTRA LA PROPIEDAD</v>
      </c>
      <c r="IE64" s="206" t="str">
        <f>IFERROR(INDEX($A$2:$A$113,MATCH(ROWS($EI$2:EI64),$EI$2:$EI$113,0)),"")</f>
        <v>OTROS DELITOS CONTRA LA PROPIEDAD</v>
      </c>
      <c r="IF64" s="206" t="str">
        <f>IFERROR(INDEX($A$2:$A$113,MATCH(ROWS($EJ$2:EJ64),$EJ$2:$EJ$113,0)),"")</f>
        <v>OTROS DELITOS CONTRA LA PROPIEDAD</v>
      </c>
      <c r="IG64" s="206" t="str">
        <f>IFERROR(INDEX($A$2:$A$113,MATCH(ROWS($EK$2:EK64),$EK$2:$EK$113,0)),"")</f>
        <v>OTROS DELITOS CONTRA LA PROPIEDAD</v>
      </c>
      <c r="IH64" s="206" t="str">
        <f>IFERROR(INDEX($A$2:$A$113,MATCH(ROWS($EL$2:EL64),$EL$2:$EL$113,0)),"")</f>
        <v>OTROS DELITOS CONTRA LA PROPIEDAD</v>
      </c>
      <c r="II64" s="206" t="str">
        <f>IFERROR(INDEX($A$2:$A$113,MATCH(ROWS($EM$2:EM64),$EM$2:$EM$113,0)),"")</f>
        <v>OTROS DELITOS CONTRA LA PROPIEDAD</v>
      </c>
      <c r="IJ64" s="206" t="str">
        <f>IFERROR(INDEX($A$2:$A$113,MATCH(ROWS($EN$2:EN64),$EN$2:$EN$113,0)),"")</f>
        <v>OTROS DELITOS CONTRA LA PROPIEDAD</v>
      </c>
      <c r="IK64" s="207" t="str">
        <f>IFERROR(INDEX($A$2:$A$113,MATCH(ROWS($EO$2:EO64),$EO$2:$EO$113,0)),"")</f>
        <v>OTROS DELITOS CONTRA LA PROPIEDAD</v>
      </c>
      <c r="IL64" s="207" t="str">
        <f>IFERROR(INDEX($A$2:$A$113,MATCH(ROWS($EP$2:EP64),$EP$2:$EP$113,0)),"")</f>
        <v>OTROS DELITOS CONTRA LA PROPIEDAD</v>
      </c>
      <c r="IM64" s="207" t="str">
        <f>IFERROR(INDEX($A$2:$A$113,MATCH(ROWS($EQ$2:EQ64),$EQ$2:$EQ$113,0)),"")</f>
        <v>OTROS DELITOS CONTRA LA PROPIEDAD</v>
      </c>
      <c r="IN64" s="207" t="str">
        <f>IFERROR(INDEX($A$2:$A$113,MATCH(ROWS($ER$2:ER64),$ER$2:$ER$113,0)),"")</f>
        <v>OTROS DELITOS CONTRA LA PROPIEDAD</v>
      </c>
      <c r="IO64" s="207" t="str">
        <f>IFERROR(INDEX($A$2:$A$113,MATCH(ROWS($ES$2:ES64),$ES$2:$ES$113,0)),"")</f>
        <v>OTROS DELITOS CONTRA LA PROPIEDAD</v>
      </c>
      <c r="IP64" s="207" t="str">
        <f>IFERROR(INDEX($A$2:$A$113,MATCH(ROWS($ET$2:ET64),$ET$2:$ET$113,0)),"")</f>
        <v>OTROS DELITOS CONTRA LA PROPIEDAD</v>
      </c>
      <c r="IQ64" s="207" t="str">
        <f>IFERROR(INDEX($A$2:$A$113,MATCH(ROWS($EU$2:EU64),$EU$2:$EU$113,0)),"")</f>
        <v>OTROS DELITOS CONTRA LA PROPIEDAD</v>
      </c>
      <c r="IR64" s="207" t="str">
        <f>IFERROR(INDEX($A$2:$A$113,MATCH(ROWS($EV$2:EV64),$EV$2:$EV$113,0)),"")</f>
        <v>OTROS DELITOS CONTRA LA PROPIEDAD</v>
      </c>
      <c r="IS64" s="207" t="str">
        <f>IFERROR(INDEX($A$2:$A$113,MATCH(ROWS($EW$2:EW64),$EW$2:$EW$113,0)),"")</f>
        <v>OTROS DELITOS CONTRA LA PROPIEDAD</v>
      </c>
      <c r="IT64" s="207" t="str">
        <f>IFERROR(INDEX($A$2:$A$113,MATCH(ROWS($EX$2:EX64),$EX$2:$EX$113,0)),"")</f>
        <v>OTROS DELITOS CONTRA LA PROPIEDAD</v>
      </c>
      <c r="IU64" s="207" t="str">
        <f>IFERROR(INDEX($A$2:$A$113,MATCH(ROWS($EY$2:EY64),$EY$2:$EY$113,0)),"")</f>
        <v>OTROS DELITOS CONTRA LA PROPIEDAD</v>
      </c>
      <c r="IV64" s="207" t="str">
        <f>IFERROR(INDEX($A$2:$A$113,MATCH(ROWS($EZ$2:EZ64),$EZ$2:$EZ$113,0)),"")</f>
        <v>OTROS DELITOS CONTRA LA PROPIEDAD</v>
      </c>
      <c r="IW64" s="207" t="str">
        <f>IFERROR(INDEX($A$2:$A$113,MATCH(ROWS($FA$2:FA64),$FA$2:$FA$113,0)),"")</f>
        <v>OTROS DELITOS CONTRA LA PROPIEDAD</v>
      </c>
      <c r="IX64" s="207" t="str">
        <f>IFERROR(INDEX($A$2:$A$113,MATCH(ROWS($FB$2:FB64),$FB$2:$FB$113,0)),"")</f>
        <v>OTROS DELITOS CONTRA LA PROPIEDAD</v>
      </c>
      <c r="IY64" s="207" t="str">
        <f>IFERROR(INDEX($A$2:$A$113,MATCH(ROWS($FC$2:FC64),$FC$2:$FC$113,0)),"")</f>
        <v>OTROS DELITOS CONTRA LA PROPIEDAD</v>
      </c>
      <c r="IZ64" s="207" t="str">
        <f>IFERROR(INDEX($A$2:$A$113,MATCH(ROWS($FD$2:FD64),$FD$2:$FD$113,0)),"")</f>
        <v>OTROS DELITOS CONTRA LA PROPIEDAD</v>
      </c>
      <c r="JA64" s="207" t="str">
        <f>IFERROR(INDEX($A$2:$A$113,MATCH(ROWS($FE$2:FE64),$FE$2:$FE$113,0)),"")</f>
        <v>OTROS DELITOS CONTRA LA PROPIEDAD</v>
      </c>
      <c r="JB64" s="207" t="str">
        <f>IFERROR(INDEX($A$2:$A$113,MATCH(ROWS($FF$2:FF64),$FF$2:$FF$113,0)),"")</f>
        <v>OTROS DELITOS CONTRA LA PROPIEDAD</v>
      </c>
      <c r="JC64" s="207" t="str">
        <f>IFERROR(INDEX($A$2:$A$113,MATCH(ROWS($FG$2:FG64),$FG$2:$FG$113,0)),"")</f>
        <v>OTROS DELITOS CONTRA LA PROPIEDAD</v>
      </c>
      <c r="JD64" s="207" t="str">
        <f>IFERROR(INDEX($A$2:$A$113,MATCH(ROWS($FH$2:FH64),$FH$2:$FH$113,0)),"")</f>
        <v>OTROS DELITOS CONTRA LA PROPIEDAD</v>
      </c>
      <c r="JE64" s="207" t="str">
        <f>IFERROR(INDEX($A$2:$A$113,MATCH(ROWS($FI$2:FI64),$FI$2:$FI$113,0)),"")</f>
        <v>OTROS DELITOS CONTRA LA PROPIEDAD</v>
      </c>
      <c r="JF64" s="207" t="str">
        <f>IFERROR(INDEX($A$2:$A$113,MATCH(ROWS($FJ$2:FJ64),$FJ$2:$FJ$113,0)),"")</f>
        <v>OTROS DELITOS CONTRA LA PROPIEDAD</v>
      </c>
      <c r="JG64" s="207" t="str">
        <f>IFERROR(INDEX($A$2:$A$113,MATCH(ROWS($FK$2:FK64),$FK$2:$FK$113,0)),"")</f>
        <v>OTROS DELITOS CONTRA LA PROPIEDAD</v>
      </c>
      <c r="JH64" s="207" t="str">
        <f>IFERROR(INDEX($A$2:$A$113,MATCH(ROWS($FL$2:FL64),$FL$2:$FL$113,0)),"")</f>
        <v>OTROS DELITOS CONTRA LA PROPIEDAD</v>
      </c>
      <c r="JI64" s="207" t="str">
        <f>IFERROR(INDEX($A$2:$A$113,MATCH(ROWS($FM$2:FM64),$FM$2:$FM$113,0)),"")</f>
        <v>OTROS DELITOS CONTRA LA PROPIEDAD</v>
      </c>
      <c r="JJ64" s="207" t="str">
        <f>IFERROR(INDEX($A$2:$A$113,MATCH(ROWS($FN$2:FN64),$FN$2:$FN$113,0)),"")</f>
        <v>OTROS DELITOS CONTRA LA PROPIEDAD</v>
      </c>
      <c r="JK64" s="207" t="str">
        <f>IFERROR(INDEX($A$2:$A$113,MATCH(ROWS($FO$2:FO64),$FO$2:$FO$113,0)),"")</f>
        <v>OTROS DELITOS CONTRA LA PROPIEDAD</v>
      </c>
      <c r="JL64" s="207" t="str">
        <f>IFERROR(INDEX($A$2:$A$113,MATCH(ROWS($FP$2:FP64),$FP$2:$FP$113,0)),"")</f>
        <v>OTROS DELITOS CONTRA LA PROPIEDAD</v>
      </c>
      <c r="JM64" s="207" t="str">
        <f>IFERROR(INDEX($A$2:$A$113,MATCH(ROWS($FQ$2:FQ64),$FQ$2:$FQ$113,0)),"")</f>
        <v>OTROS DELITOS CONTRA LA PROPIEDAD</v>
      </c>
      <c r="JN64" s="207" t="str">
        <f>IFERROR(INDEX($A$2:$A$113,MATCH(ROWS($FR$2:FR64),$FR$2:$FR$113,0)),"")</f>
        <v>OTROS DELITOS CONTRA LA PROPIEDAD</v>
      </c>
      <c r="JO64" s="207" t="str">
        <f>IFERROR(INDEX($A$2:$A$113,MATCH(ROWS($FS$2:FS64),$FS$2:$FS$113,0)),"")</f>
        <v>OTROS DELITOS CONTRA LA PROPIEDAD</v>
      </c>
      <c r="JP64" s="207" t="str">
        <f>IFERROR(INDEX($A$2:$A$113,MATCH(ROWS($FT$2:FT64),$FT$2:$FT$113,0)),"")</f>
        <v>OTROS DELITOS CONTRA LA PROPIEDAD</v>
      </c>
      <c r="JQ64" s="207" t="str">
        <f>IFERROR(INDEX($A$2:$A$113,MATCH(ROWS($FU$2:FU64),$FU$2:$FU$113,0)),"")</f>
        <v>OTROS DELITOS CONTRA LA PROPIEDAD</v>
      </c>
      <c r="JR64" s="207" t="str">
        <f>IFERROR(INDEX($A$2:$A$113,MATCH(ROWS($FV$2:FV64),$FV$2:$FV$113,0)),"")</f>
        <v>OTROS DELITOS CONTRA LA PROPIEDAD</v>
      </c>
      <c r="JS64" s="207" t="str">
        <f>IFERROR(INDEX($A$2:$A$113,MATCH(ROWS($FW$2:FW64),$FW$2:$FW$113,0)),"")</f>
        <v>OTROS DELITOS CONTRA LA PROPIEDAD</v>
      </c>
      <c r="JT64" s="207" t="str">
        <f>IFERROR(INDEX($A$2:$A$113,MATCH(ROWS($FX$2:FX64),$FX$2:$FX$113,0)),"")</f>
        <v>OTROS DELITOS CONTRA LA PROPIEDAD</v>
      </c>
      <c r="JU64" s="207" t="str">
        <f>IFERROR(INDEX($A$2:$A$113,MATCH(ROWS($FY$2:FY64),$FY$2:$FY$113,0)),"")</f>
        <v>OTROS DELITOS CONTRA LA PROPIEDAD</v>
      </c>
      <c r="JV64" s="207" t="str">
        <f>IFERROR(INDEX($A$2:$A$113,MATCH(ROWS($FZ$2:FZ64),$FZ$2:$FZ$113,0)),"")</f>
        <v>OTROS DELITOS CONTRA LA PROPIEDAD</v>
      </c>
      <c r="JW64" s="207" t="str">
        <f>IFERROR(INDEX($A$2:$A$113,MATCH(ROWS($GA$2:GA64),$GA$2:$GA$113,0)),"")</f>
        <v>OTROS DELITOS CONTRA LA PROPIEDAD</v>
      </c>
      <c r="JX64" s="207" t="str">
        <f>IFERROR(INDEX($A$2:$A$113,MATCH(ROWS($GB$2:GB64),$GB$2:$GB$113,0)),"")</f>
        <v>OTROS DELITOS CONTRA LA PROPIEDAD</v>
      </c>
      <c r="JY64" s="207" t="str">
        <f>IFERROR(INDEX($A$2:$A$113,MATCH(ROWS($GC$2:GC64),$GC$2:$GC$113,0)),"")</f>
        <v>OTROS DELITOS CONTRA LA PROPIEDAD</v>
      </c>
      <c r="JZ64" s="207" t="str">
        <f>IFERROR(INDEX($A$2:$A$113,MATCH(ROWS($GD$2:GD64),$GD$2:$GD$113,0)),"")</f>
        <v>OTROS DELITOS CONTRA LA PROPIEDAD</v>
      </c>
      <c r="KA64" s="207" t="str">
        <f>IFERROR(INDEX($A$2:$A$113,MATCH(ROWS($GE$2:GE64),$GE$2:$GE$113,0)),"")</f>
        <v>OTROS DELITOS CONTRA LA PROPIEDAD</v>
      </c>
      <c r="KB64" s="207" t="str">
        <f>IFERROR(INDEX($A$2:$A$113,MATCH(ROWS($GF$2:GF64),$GF$2:$GF$113,0)),"")</f>
        <v>OTROS DELITOS CONTRA LA PROPIEDAD</v>
      </c>
      <c r="KC64" s="207" t="str">
        <f>IFERROR(INDEX($A$2:$A$113,MATCH(ROWS($GG$2:GG64),$GG$2:$GG$113,0)),"")</f>
        <v>OTROS DELITOS CONTRA LA PROPIEDAD</v>
      </c>
      <c r="KD64" s="207" t="str">
        <f>IFERROR(INDEX($A$2:$A$113,MATCH(ROWS($GH$2:GH64),$GH$2:$GH$113,0)),"")</f>
        <v>OTROS DELITOS CONTRA LA PROPIEDAD</v>
      </c>
      <c r="KE64" s="207" t="str">
        <f>IFERROR(INDEX($A$2:$A$113,MATCH(ROWS($GI$2:GI64),$GI$2:$GI$113,0)),"")</f>
        <v>OTROS DELITOS CONTRA LA PROPIEDAD</v>
      </c>
      <c r="KF64" s="207" t="str">
        <f>IFERROR(INDEX($A$2:$A$113,MATCH(ROWS($GJ$2:GJ64),$GJ$2:$GJ$113,0)),"")</f>
        <v>OTROS DELITOS CONTRA LA PROPIEDAD</v>
      </c>
      <c r="KG64" s="207" t="str">
        <f>IFERROR(INDEX($A$2:$A$113,MATCH(ROWS($GK$2:GK64),$GK$2:$GK$113,0)),"")</f>
        <v>OTROS DELITOS CONTRA LA PROPIEDAD</v>
      </c>
      <c r="KH64" s="207" t="str">
        <f>IFERROR(INDEX($A$2:$A$113,MATCH(ROWS($GL$2:GL64),$GL$2:$GL$113,0)),"")</f>
        <v>OTROS DELITOS CONTRA LA PROPIEDAD</v>
      </c>
      <c r="KI64" s="207" t="str">
        <f>IFERROR(INDEX($A$2:$A$113,MATCH(ROWS($GM$2:GM64),$GM$2:$GM$113,0)),"")</f>
        <v>OTROS DELITOS CONTRA LA PROPIEDAD</v>
      </c>
      <c r="KJ64" s="207" t="str">
        <f>IFERROR(INDEX($A$2:$A$113,MATCH(ROWS($GN$2:GN64),$GN$2:$GN$113,0)),"")</f>
        <v>OTROS DELITOS CONTRA LA PROPIEDAD</v>
      </c>
      <c r="KK64" s="207" t="str">
        <f>IFERROR(INDEX($A$2:$A$113,MATCH(ROWS($GO$2:GO64),$GO$2:$GO$113,0)),"")</f>
        <v>OTROS DELITOS CONTRA LA PROPIEDAD</v>
      </c>
      <c r="KL64" s="207" t="str">
        <f>IFERROR(INDEX($A$2:$A$113,MATCH(ROWS($GP$2:GP64),$GP$2:$GP$113,0)),"")</f>
        <v>OTROS DELITOS CONTRA LA PROPIEDAD</v>
      </c>
      <c r="KM64" s="207" t="str">
        <f>IFERROR(INDEX($A$2:$A$113,MATCH(ROWS($GQ$2:GQ64),$GQ$2:$GQ$113,0)),"")</f>
        <v>OTROS DELITOS CONTRA LA PROPIEDAD</v>
      </c>
      <c r="KN64" s="207" t="str">
        <f>IFERROR(INDEX($A$2:$A$113,MATCH(ROWS($GR$2:GR64),$GR$2:$GR$113,0)),"")</f>
        <v>OTROS DELITOS CONTRA LA PROPIEDAD</v>
      </c>
      <c r="KO64" s="207" t="str">
        <f>IFERROR(INDEX($A$2:$A$113,MATCH(ROWS($GS$2:GS64),$GS$2:$GS$113,0)),"")</f>
        <v>OTROS DELITOS CONTRA LA PROPIEDAD</v>
      </c>
      <c r="KP64" s="207" t="str">
        <f>IFERROR(INDEX($A$2:$A$113,MATCH(ROWS($GT$2:GT64),$GT$2:$GT$113,0)),"")</f>
        <v>OTROS DELITOS CONTRA LA PROPIEDAD</v>
      </c>
      <c r="KQ64" s="207" t="str">
        <f>IFERROR(INDEX($A$2:$A$113,MATCH(ROWS($GU$2:GU64),$GU$2:$GU$113,0)),"")</f>
        <v>OTROS DELITOS CONTRA LA PROPIEDAD</v>
      </c>
      <c r="KR64" s="207" t="str">
        <f>IFERROR(INDEX($A$2:$A$113,MATCH(ROWS($GV$2:GV64),$GV$2:$GV$113,0)),"")</f>
        <v>OTROS DELITOS CONTRA LA PROPIEDAD</v>
      </c>
      <c r="KS64" s="207" t="str">
        <f>IFERROR(INDEX($A$2:$A$113,MATCH(ROWS($GW$2:GW64),$GW$2:$GW$113,0)),"")</f>
        <v>OTROS DELITOS CONTRA LA PROPIEDAD</v>
      </c>
    </row>
    <row r="65" spans="1:305" x14ac:dyDescent="0.25">
      <c r="A65" s="206" t="s">
        <v>54</v>
      </c>
      <c r="B65" s="206" t="s">
        <v>98</v>
      </c>
      <c r="D65" s="206" t="s">
        <v>14</v>
      </c>
      <c r="E65" s="206" t="s">
        <v>99</v>
      </c>
      <c r="F65" s="207">
        <f>--ISNUMBER(IFERROR(SEARCH('PLANILLA DJ'!$X$3,$A65,1),""))</f>
        <v>1</v>
      </c>
      <c r="G65" s="207">
        <f>--ISNUMBER(IFERROR(SEARCH('PLANILLA DJ'!$X$4,$A65,1),""))</f>
        <v>1</v>
      </c>
      <c r="H65" s="207">
        <f>--ISNUMBER(IFERROR(SEARCH('PLANILLA DJ'!$X$5,$A65,1),""))</f>
        <v>1</v>
      </c>
      <c r="I65" s="207">
        <f>--ISNUMBER(IFERROR(SEARCH('PLANILLA DJ'!$X$6,$A65,1),""))</f>
        <v>1</v>
      </c>
      <c r="J65" s="207">
        <f>--ISNUMBER(IFERROR(SEARCH('PLANILLA DJ'!$X$7,$A65,1),""))</f>
        <v>1</v>
      </c>
      <c r="K65" s="207">
        <f>--ISNUMBER(IFERROR(SEARCH('PLANILLA DJ'!$X$8,$A65,1),""))</f>
        <v>1</v>
      </c>
      <c r="L65" s="207">
        <f>--ISNUMBER(IFERROR(SEARCH('PLANILLA DJ'!$X$9,$A65,1),""))</f>
        <v>1</v>
      </c>
      <c r="M65" s="207">
        <f>--ISNUMBER(IFERROR(SEARCH('PLANILLA DJ'!$X$10,$A65,1),""))</f>
        <v>1</v>
      </c>
      <c r="N65" s="207">
        <f>--ISNUMBER(IFERROR(SEARCH('PLANILLA DJ'!$X$11,$A65,1),""))</f>
        <v>1</v>
      </c>
      <c r="O65" s="207">
        <f>--ISNUMBER(IFERROR(SEARCH('PLANILLA DJ'!$X$12,$A65,1),""))</f>
        <v>1</v>
      </c>
      <c r="P65" s="207">
        <f>--ISNUMBER(IFERROR(SEARCH('PLANILLA DJ'!$X$13,$A65,1),""))</f>
        <v>1</v>
      </c>
      <c r="Q65" s="207">
        <f>--ISNUMBER(IFERROR(SEARCH('PLANILLA DJ'!$X$14,$A65,1),""))</f>
        <v>1</v>
      </c>
      <c r="R65" s="207">
        <f>--ISNUMBER(IFERROR(SEARCH('PLANILLA DJ'!$X$15,$A65,1),""))</f>
        <v>1</v>
      </c>
      <c r="S65" s="207">
        <f>--ISNUMBER(IFERROR(SEARCH('PLANILLA DJ'!$X$16,$A65,1),""))</f>
        <v>1</v>
      </c>
      <c r="T65" s="207">
        <f>--ISNUMBER(IFERROR(SEARCH('PLANILLA DJ'!$X$17,$A65,1),""))</f>
        <v>1</v>
      </c>
      <c r="U65" s="207">
        <f>--ISNUMBER(IFERROR(SEARCH('PLANILLA DJ'!$X$18,$A65,1),""))</f>
        <v>1</v>
      </c>
      <c r="V65" s="207">
        <f>--ISNUMBER(IFERROR(SEARCH('PLANILLA DJ'!$X$19,$A65,1),""))</f>
        <v>1</v>
      </c>
      <c r="W65" s="207">
        <f>--ISNUMBER(IFERROR(SEARCH('PLANILLA DJ'!$X$20,$A65,1),""))</f>
        <v>1</v>
      </c>
      <c r="X65" s="207">
        <f>--ISNUMBER(IFERROR(SEARCH('PLANILLA DJ'!$X$21,$A65,1),""))</f>
        <v>1</v>
      </c>
      <c r="Y65" s="207">
        <f>--ISNUMBER(IFERROR(SEARCH('PLANILLA DJ'!$X$22,$A65,1),""))</f>
        <v>1</v>
      </c>
      <c r="Z65" s="207">
        <f>--ISNUMBER(IFERROR(SEARCH('PLANILLA DJ'!$X$23,$A65,1),""))</f>
        <v>1</v>
      </c>
      <c r="AA65" s="207">
        <f>--ISNUMBER(IFERROR(SEARCH('PLANILLA DJ'!$X$24,$A65,1),""))</f>
        <v>1</v>
      </c>
      <c r="AB65" s="207">
        <f>--ISNUMBER(IFERROR(SEARCH('PLANILLA DJ'!$X$25,$A65,1),""))</f>
        <v>1</v>
      </c>
      <c r="AC65" s="207">
        <f>--ISNUMBER(IFERROR(SEARCH('PLANILLA DJ'!$X$26,$A65,1),""))</f>
        <v>1</v>
      </c>
      <c r="AD65" s="207">
        <f>--ISNUMBER(IFERROR(SEARCH('PLANILLA DJ'!$X$27,$A65,1),""))</f>
        <v>1</v>
      </c>
      <c r="AE65" s="207">
        <f>--ISNUMBER(IFERROR(SEARCH('PLANILLA DJ'!$X$28,$A65,1),""))</f>
        <v>1</v>
      </c>
      <c r="AF65" s="207">
        <f>--ISNUMBER(IFERROR(SEARCH('PLANILLA DJ'!$X$29,$A65,1),""))</f>
        <v>1</v>
      </c>
      <c r="AG65" s="207">
        <f>--ISNUMBER(IFERROR(SEARCH('PLANILLA DJ'!$X$30,$A65,1),""))</f>
        <v>1</v>
      </c>
      <c r="AH65" s="207">
        <f>--ISNUMBER(IFERROR(SEARCH('PLANILLA DJ'!$X$31,$A65,1),""))</f>
        <v>1</v>
      </c>
      <c r="AI65" s="207">
        <f>--ISNUMBER(IFERROR(SEARCH('PLANILLA DJ'!$X$32,$A65,1),""))</f>
        <v>1</v>
      </c>
      <c r="AJ65" s="207">
        <f>--ISNUMBER(IFERROR(SEARCH('PLANILLA DJ'!$X$33,$A65,1),""))</f>
        <v>1</v>
      </c>
      <c r="AK65" s="207">
        <f>--ISNUMBER(IFERROR(SEARCH('PLANILLA DJ'!$X$34,$A65,1),""))</f>
        <v>1</v>
      </c>
      <c r="AL65" s="207">
        <f>--ISNUMBER(IFERROR(SEARCH('PLANILLA DJ'!$X$35,$A65,1),""))</f>
        <v>1</v>
      </c>
      <c r="AM65" s="207">
        <f>--ISNUMBER(IFERROR(SEARCH('PLANILLA DJ'!$X$36,$A65,1),""))</f>
        <v>1</v>
      </c>
      <c r="AN65" s="207">
        <f>--ISNUMBER(IFERROR(SEARCH('PLANILLA DJ'!$X$37,$A65,1),""))</f>
        <v>1</v>
      </c>
      <c r="AO65" s="207">
        <f>--ISNUMBER(IFERROR(SEARCH('PLANILLA DJ'!$X$38,$A65,1),""))</f>
        <v>1</v>
      </c>
      <c r="AP65" s="207">
        <f>--ISNUMBER(IFERROR(SEARCH('PLANILLA DJ'!$X$39,$A65,1),""))</f>
        <v>1</v>
      </c>
      <c r="AQ65" s="207">
        <f>--ISNUMBER(IFERROR(SEARCH('PLANILLA DJ'!$X$40,$A65,1),""))</f>
        <v>1</v>
      </c>
      <c r="AR65" s="207">
        <f>--ISNUMBER(IFERROR(SEARCH('PLANILLA DJ'!$X$41,$A65,1),""))</f>
        <v>1</v>
      </c>
      <c r="AS65" s="207">
        <f>--ISNUMBER(IFERROR(SEARCH('PLANILLA DJ'!$X$42,$A65,1),""))</f>
        <v>1</v>
      </c>
      <c r="AT65" s="207">
        <f>--ISNUMBER(IFERROR(SEARCH('PLANILLA DJ'!$X$43,$A65,1),""))</f>
        <v>1</v>
      </c>
      <c r="AU65" s="207">
        <f>--ISNUMBER(IFERROR(SEARCH('PLANILLA DJ'!$X$44,$A65,1),""))</f>
        <v>1</v>
      </c>
      <c r="AV65" s="207">
        <f>--ISNUMBER(IFERROR(SEARCH('PLANILLA DJ'!$X$45,$A65,1),""))</f>
        <v>1</v>
      </c>
      <c r="AW65" s="207">
        <f>--ISNUMBER(IFERROR(SEARCH('PLANILLA DJ'!$X$46,$A65,1),""))</f>
        <v>1</v>
      </c>
      <c r="AX65" s="207">
        <f>--ISNUMBER(IFERROR(SEARCH('PLANILLA DJ'!$X$47,$A65,1),""))</f>
        <v>1</v>
      </c>
      <c r="AY65" s="207">
        <f>--ISNUMBER(IFERROR(SEARCH('PLANILLA DJ'!$X$48,$A65,1),""))</f>
        <v>1</v>
      </c>
      <c r="AZ65" s="207">
        <f>--ISNUMBER(IFERROR(SEARCH('PLANILLA DJ'!$X$49,$A65,1),""))</f>
        <v>1</v>
      </c>
      <c r="BA65" s="207">
        <f>--ISNUMBER(IFERROR(SEARCH('PLANILLA DJ'!$X$50,$A65,1),""))</f>
        <v>1</v>
      </c>
      <c r="BB65" s="207">
        <f>--ISNUMBER(IFERROR(SEARCH('PLANILLA DJ'!$X$51,$A65,1),""))</f>
        <v>1</v>
      </c>
      <c r="BC65" s="207">
        <f>--ISNUMBER(IFERROR(SEARCH('PLANILLA DJ'!$X$52,$A65,1),""))</f>
        <v>1</v>
      </c>
      <c r="BD65" s="207">
        <f>--ISNUMBER(IFERROR(SEARCH('PLANILLA DJ'!$X$53,$A65,1),""))</f>
        <v>1</v>
      </c>
      <c r="BE65" s="207">
        <f>--ISNUMBER(IFERROR(SEARCH('PLANILLA DJ'!$X$54,$A65,1),""))</f>
        <v>1</v>
      </c>
      <c r="BF65" s="207">
        <f>--ISNUMBER(IFERROR(SEARCH('PLANILLA DJ'!$X$55,$A65,1),""))</f>
        <v>1</v>
      </c>
      <c r="BG65" s="207">
        <f>--ISNUMBER(IFERROR(SEARCH('PLANILLA DJ'!$X$56,$A65,1),""))</f>
        <v>1</v>
      </c>
      <c r="BH65" s="207">
        <f>--ISNUMBER(IFERROR(SEARCH('PLANILLA DJ'!$X$57,$A65,1),""))</f>
        <v>1</v>
      </c>
      <c r="BI65" s="207">
        <f>--ISNUMBER(IFERROR(SEARCH('PLANILLA DJ'!$X$58,$A65,1),""))</f>
        <v>1</v>
      </c>
      <c r="BJ65" s="207">
        <f>--ISNUMBER(IFERROR(SEARCH('PLANILLA DJ'!$X$59,$A65,1),""))</f>
        <v>1</v>
      </c>
      <c r="BK65" s="207">
        <f>--ISNUMBER(IFERROR(SEARCH('PLANILLA DJ'!$X$60,$A65,1),""))</f>
        <v>1</v>
      </c>
      <c r="BL65" s="207">
        <f>--ISNUMBER(IFERROR(SEARCH('PLANILLA DJ'!$X$61,$A65,1),""))</f>
        <v>1</v>
      </c>
      <c r="BM65" s="207">
        <f>--ISNUMBER(IFERROR(SEARCH('PLANILLA DJ'!$X$62,$A65,1),""))</f>
        <v>1</v>
      </c>
      <c r="BN65" s="207">
        <f>--ISNUMBER(IFERROR(SEARCH('PLANILLA DJ'!$X$63,$A65,1),""))</f>
        <v>1</v>
      </c>
      <c r="BO65" s="207">
        <f>--ISNUMBER(IFERROR(SEARCH('PLANILLA DJ'!$X$64,$A65,1),""))</f>
        <v>1</v>
      </c>
      <c r="BP65" s="207">
        <f>--ISNUMBER(IFERROR(SEARCH('PLANILLA DJ'!$X$65,$A65,1),""))</f>
        <v>1</v>
      </c>
      <c r="BQ65" s="207">
        <f>--ISNUMBER(IFERROR(SEARCH('PLANILLA DJ'!$X$66,$A65,1),""))</f>
        <v>1</v>
      </c>
      <c r="BR65" s="207">
        <f>--ISNUMBER(IFERROR(SEARCH('PLANILLA DJ'!$X$67,$A65,1),""))</f>
        <v>1</v>
      </c>
      <c r="BS65" s="207">
        <f>--ISNUMBER(IFERROR(SEARCH('PLANILLA DJ'!$X$68,$A65,1),""))</f>
        <v>1</v>
      </c>
      <c r="BT65" s="207">
        <f>--ISNUMBER(IFERROR(SEARCH('PLANILLA DJ'!$X$69,$A65,1),""))</f>
        <v>1</v>
      </c>
      <c r="BU65" s="207">
        <f>--ISNUMBER(IFERROR(SEARCH('PLANILLA DJ'!$X$70,$A65,1),""))</f>
        <v>1</v>
      </c>
      <c r="BV65" s="207">
        <f>--ISNUMBER(IFERROR(SEARCH('PLANILLA DJ'!$X$71,$A65,1),""))</f>
        <v>1</v>
      </c>
      <c r="BW65" s="207">
        <f>--ISNUMBER(IFERROR(SEARCH('PLANILLA DJ'!$X$72,$A65,1),""))</f>
        <v>1</v>
      </c>
      <c r="BX65" s="207">
        <f>--ISNUMBER(IFERROR(SEARCH('PLANILLA DJ'!$X$73,$A65,1),""))</f>
        <v>1</v>
      </c>
      <c r="BY65" s="207">
        <f>--ISNUMBER(IFERROR(SEARCH('PLANILLA DJ'!$X$74,$A65,1),""))</f>
        <v>1</v>
      </c>
      <c r="BZ65" s="207">
        <f>--ISNUMBER(IFERROR(SEARCH('PLANILLA DJ'!$X$75,$A65,1),""))</f>
        <v>1</v>
      </c>
      <c r="CA65" s="207">
        <f>--ISNUMBER(IFERROR(SEARCH('PLANILLA DJ'!$X$76,$A65,1),""))</f>
        <v>1</v>
      </c>
      <c r="CB65" s="207">
        <f>--ISNUMBER(IFERROR(SEARCH('PLANILLA DJ'!$X$77,$A65,1),""))</f>
        <v>1</v>
      </c>
      <c r="CC65" s="207">
        <f>--ISNUMBER(IFERROR(SEARCH('PLANILLA DJ'!$X$78,$A65,1),""))</f>
        <v>1</v>
      </c>
      <c r="CD65" s="207">
        <f>--ISNUMBER(IFERROR(SEARCH('PLANILLA DJ'!$X$79,$A65,1),""))</f>
        <v>1</v>
      </c>
      <c r="CE65" s="207">
        <f>--ISNUMBER(IFERROR(SEARCH('PLANILLA DJ'!$X$80,$A65,1),""))</f>
        <v>1</v>
      </c>
      <c r="CF65" s="207">
        <f>--ISNUMBER(IFERROR(SEARCH('PLANILLA DJ'!$X$81,$A65,1),""))</f>
        <v>1</v>
      </c>
      <c r="CG65" s="207">
        <f>--ISNUMBER(IFERROR(SEARCH('PLANILLA DJ'!$X$82,$A65,1),""))</f>
        <v>1</v>
      </c>
      <c r="CH65" s="207">
        <f>--ISNUMBER(IFERROR(SEARCH('PLANILLA DJ'!$X$83,$A65,1),""))</f>
        <v>1</v>
      </c>
      <c r="CI65" s="207">
        <f>--ISNUMBER(IFERROR(SEARCH('PLANILLA DJ'!$X$84,$A65,1),""))</f>
        <v>1</v>
      </c>
      <c r="CJ65" s="207">
        <f>--ISNUMBER(IFERROR(SEARCH('PLANILLA DJ'!$X$85,$A65,1),""))</f>
        <v>1</v>
      </c>
      <c r="CK65" s="207">
        <f>--ISNUMBER(IFERROR(SEARCH('PLANILLA DJ'!$X$86,$A65,1),""))</f>
        <v>1</v>
      </c>
      <c r="CL65" s="207">
        <f>--ISNUMBER(IFERROR(SEARCH('PLANILLA DJ'!$X$87,$A65,1),""))</f>
        <v>1</v>
      </c>
      <c r="CM65" s="207">
        <f>--ISNUMBER(IFERROR(SEARCH('PLANILLA DJ'!$X$88,$A65,1),""))</f>
        <v>1</v>
      </c>
      <c r="CN65" s="207">
        <f>--ISNUMBER(IFERROR(SEARCH('PLANILLA DJ'!$X$89,$A65,1),""))</f>
        <v>1</v>
      </c>
      <c r="CO65" s="207">
        <f>--ISNUMBER(IFERROR(SEARCH('PLANILLA DJ'!$X$90,$A65,1),""))</f>
        <v>1</v>
      </c>
      <c r="CP65" s="207">
        <f>--ISNUMBER(IFERROR(SEARCH('PLANILLA DJ'!$X$91,$A65,1),""))</f>
        <v>1</v>
      </c>
      <c r="CQ65" s="207">
        <f>--ISNUMBER(IFERROR(SEARCH('PLANILLA DJ'!$X$92,$A65,1),""))</f>
        <v>1</v>
      </c>
      <c r="CR65" s="207">
        <f>--ISNUMBER(IFERROR(SEARCH('PLANILLA DJ'!$X$93,$A65,1),""))</f>
        <v>1</v>
      </c>
      <c r="CS65" s="207">
        <f>--ISNUMBER(IFERROR(SEARCH('PLANILLA DJ'!$X$94,$A65,1),""))</f>
        <v>1</v>
      </c>
      <c r="CT65" s="207">
        <f>--ISNUMBER(IFERROR(SEARCH('PLANILLA DJ'!$X$95,$A65,1),""))</f>
        <v>1</v>
      </c>
      <c r="CU65" s="207">
        <f>--ISNUMBER(IFERROR(SEARCH('PLANILLA DJ'!$X$96,$A65,1),""))</f>
        <v>1</v>
      </c>
      <c r="CV65" s="207">
        <f>--ISNUMBER(IFERROR(SEARCH('PLANILLA DJ'!$X$97,$A65,1),""))</f>
        <v>1</v>
      </c>
      <c r="CW65" s="207">
        <f>--ISNUMBER(IFERROR(SEARCH('PLANILLA DJ'!$X$98,$A65,1),""))</f>
        <v>1</v>
      </c>
      <c r="CX65" s="207">
        <f>--ISNUMBER(IFERROR(SEARCH('PLANILLA DJ'!$X$99,$A65,1),""))</f>
        <v>1</v>
      </c>
      <c r="CY65" s="207">
        <f>--ISNUMBER(IFERROR(SEARCH('PLANILLA DJ'!$X$100,$A65,1),""))</f>
        <v>1</v>
      </c>
      <c r="CZ65" s="207">
        <f>--ISNUMBER(IFERROR(SEARCH('PLANILLA DJ'!$X$101,$A65,1),""))</f>
        <v>1</v>
      </c>
      <c r="DA65" s="207">
        <f>--ISNUMBER(IFERROR(SEARCH('PLANILLA DJ'!$X$102,$A65,1),""))</f>
        <v>1</v>
      </c>
      <c r="DB65" s="206">
        <f>IF(F65=1,COUNTIF($F$2:F65,1),"")</f>
        <v>64</v>
      </c>
      <c r="DC65" s="206">
        <f>IF(G65=1,COUNTIF($G$2:G65,1),"")</f>
        <v>64</v>
      </c>
      <c r="DD65" s="206">
        <f>IF(H65=1,COUNTIF($H$2:H65,1),"")</f>
        <v>64</v>
      </c>
      <c r="DE65" s="206">
        <f>IF(I65=1,COUNTIF($I$2:I65,1),"")</f>
        <v>64</v>
      </c>
      <c r="DF65" s="206">
        <f>IF(J65=1,COUNTIF($J$2:J65,1),"")</f>
        <v>64</v>
      </c>
      <c r="DG65" s="206">
        <f>IF(K65=1,COUNTIF($K$2:K65,1),"")</f>
        <v>64</v>
      </c>
      <c r="DH65" s="206">
        <f>IF(L65=1,COUNTIF($L$2:L65,1),"")</f>
        <v>64</v>
      </c>
      <c r="DI65" s="206">
        <f>IF(M65=1,COUNTIF($M$2:M65,1),"")</f>
        <v>64</v>
      </c>
      <c r="DJ65" s="206">
        <f>IF(N65=1,COUNTIF($N$2:N65,1),"")</f>
        <v>64</v>
      </c>
      <c r="DK65" s="206">
        <f>IF(O65=1,COUNTIF($O$2:O65,1),"")</f>
        <v>64</v>
      </c>
      <c r="DL65" s="206">
        <f>IF(P65=1,COUNTIF($P$2:P65,1),"")</f>
        <v>64</v>
      </c>
      <c r="DM65" s="206">
        <f>IF(Q65=1,COUNTIF($Q$2:Q65,1),"")</f>
        <v>64</v>
      </c>
      <c r="DN65" s="207">
        <f>IF(R65=1,COUNTIF($R$2:R65,1),"")</f>
        <v>64</v>
      </c>
      <c r="DO65" s="207">
        <f>IF(S65=1,COUNTIF($S$2:S65,1),"")</f>
        <v>64</v>
      </c>
      <c r="DP65" s="207">
        <f>IF(T65=1,COUNTIF($T$2:T65,1),"")</f>
        <v>64</v>
      </c>
      <c r="DQ65" s="207">
        <f>IF(U65=1,COUNTIF($U$2:U65,1),"")</f>
        <v>64</v>
      </c>
      <c r="DR65" s="207">
        <f>IF(V65=1,COUNTIF($V$2:V65,1),"")</f>
        <v>64</v>
      </c>
      <c r="DS65" s="207">
        <f>IF(W65=1,COUNTIF($W$2:W65,1),"")</f>
        <v>64</v>
      </c>
      <c r="DT65" s="207">
        <f>IF(X65=1,COUNTIF($X$2:X65,1),"")</f>
        <v>64</v>
      </c>
      <c r="DU65" s="207">
        <f>IF(Y65=1,COUNTIF($Y$2:Y65,1),"")</f>
        <v>64</v>
      </c>
      <c r="DV65" s="207">
        <f>IF(Z65=1,COUNTIF(Z$2:Z65,1),"")</f>
        <v>64</v>
      </c>
      <c r="DW65" s="207">
        <f>IF(AA65=1,COUNTIF($AA$2:AA65,1),"")</f>
        <v>64</v>
      </c>
      <c r="DX65" s="207">
        <f>IF(AB65=1,COUNTIF($AB$2:AB65,1),"")</f>
        <v>64</v>
      </c>
      <c r="DY65" s="207">
        <f>IF(AC65=1,COUNTIF($AC$2:AC65,1),"")</f>
        <v>64</v>
      </c>
      <c r="DZ65" s="207">
        <f>IF(AD65=1,COUNTIF($AD$2:AD65,1),"")</f>
        <v>64</v>
      </c>
      <c r="EA65" s="207">
        <f>IF(AE65=1,COUNTIF($AE$2:AE65,1),"")</f>
        <v>64</v>
      </c>
      <c r="EB65" s="207">
        <f>IF(AF65=1,COUNTIF($AF$2:AF65,1),"")</f>
        <v>64</v>
      </c>
      <c r="EC65" s="207">
        <f>IF(AG65=1,COUNTIF($AG$2:AG65,1),"")</f>
        <v>64</v>
      </c>
      <c r="ED65" s="207">
        <f>IF(AH65=1,COUNTIF($AH$2:AH65,1),"")</f>
        <v>64</v>
      </c>
      <c r="EE65" s="207">
        <f>IF(AI65=1,COUNTIF($AI$2:AI65,1),"")</f>
        <v>64</v>
      </c>
      <c r="EF65" s="207">
        <f>IF(AJ65=1,COUNTIF($AJ$2:AJ65,1),"")</f>
        <v>64</v>
      </c>
      <c r="EG65" s="207">
        <f>IF(AK65=1,COUNTIF($AK$2:AK65,1),"")</f>
        <v>64</v>
      </c>
      <c r="EH65" s="207">
        <f>IF(AL65=1,COUNTIF($AL$2:AL65,1),"")</f>
        <v>64</v>
      </c>
      <c r="EI65" s="207">
        <f>IF(AM65=1,COUNTIF($AM$2:AM65,1),"")</f>
        <v>64</v>
      </c>
      <c r="EJ65" s="207">
        <f>IF(AN65=1,COUNTIF($AN$2:AN65,1),"")</f>
        <v>64</v>
      </c>
      <c r="EK65" s="207">
        <f>IF(AO65=1,COUNTIF($AO$2:AO65,1),"")</f>
        <v>64</v>
      </c>
      <c r="EL65" s="207">
        <f>IF(AP65=1,COUNTIF($AP$2:AP65,1),"")</f>
        <v>64</v>
      </c>
      <c r="EM65" s="207">
        <f>IF(AQ65=1,COUNTIF($AQ$2:AQ65,1),"")</f>
        <v>64</v>
      </c>
      <c r="EN65" s="207">
        <f>IF(AR65=1,COUNTIF($AR$2:AR65,1),"")</f>
        <v>64</v>
      </c>
      <c r="EO65" s="207">
        <f>IF(AS65=1,COUNTIF($AS$2:AS65,1),"")</f>
        <v>64</v>
      </c>
      <c r="EP65" s="207">
        <f>IF(AT65=1,COUNTIF($AT$2:AT65,1),"")</f>
        <v>64</v>
      </c>
      <c r="EQ65" s="207">
        <f>IF(AU65=1,COUNTIF($AU$2:AU65,1),"")</f>
        <v>64</v>
      </c>
      <c r="ER65" s="207">
        <f>IF(AV65=1,COUNTIF($AV$2:AV65,1),"")</f>
        <v>64</v>
      </c>
      <c r="ES65" s="207">
        <f>IF(AW65=1,COUNTIF($AW$2:AW65,1),"")</f>
        <v>64</v>
      </c>
      <c r="ET65" s="207">
        <f>IF(AX65=1,COUNTIF($AX$2:AX65,1),"")</f>
        <v>64</v>
      </c>
      <c r="EU65" s="207">
        <f>IF(AY65=1,COUNTIF($AY$2:AY65,1),"")</f>
        <v>64</v>
      </c>
      <c r="EV65" s="207">
        <f>IF(AZ65=1,COUNTIF($AZ$2:AZ65,1),"")</f>
        <v>64</v>
      </c>
      <c r="EW65" s="207">
        <f>IF(BA65=1,COUNTIF($BA$2:BA65,1),"")</f>
        <v>64</v>
      </c>
      <c r="EX65" s="207">
        <f>IF(BB65=1,COUNTIF($BB$2:BB65,1),"")</f>
        <v>64</v>
      </c>
      <c r="EY65" s="207">
        <f>IF(BC65=1,COUNTIF($BC$2:BC65,1),"")</f>
        <v>64</v>
      </c>
      <c r="EZ65" s="207">
        <f>IF(BD65=1,COUNTIF($BD$2:BD65,1),"")</f>
        <v>64</v>
      </c>
      <c r="FA65" s="207">
        <f>IF(BE65=1,COUNTIF($BE$2:BE65,1),"")</f>
        <v>64</v>
      </c>
      <c r="FB65" s="207">
        <f>IF(BF65=1,COUNTIF($BF$2:BF65,1),"")</f>
        <v>64</v>
      </c>
      <c r="FC65" s="207">
        <f>IF(BG65=1,COUNTIF($BG$2:BG65,1),"")</f>
        <v>64</v>
      </c>
      <c r="FD65" s="207">
        <f>IF(BH65=1,COUNTIF($BH$2:BH65,1),"")</f>
        <v>64</v>
      </c>
      <c r="FE65" s="207">
        <f>IF(BI65=1,COUNTIF($BI$2:BI65,1),"")</f>
        <v>64</v>
      </c>
      <c r="FF65" s="207">
        <f>IF(BJ65=1,COUNTIF($BJ$2:BJ65,1),"")</f>
        <v>64</v>
      </c>
      <c r="FG65" s="207">
        <f>IF(BK65=1,COUNTIF($BK$2:BK65,1),"")</f>
        <v>64</v>
      </c>
      <c r="FH65" s="207">
        <f>IF(BL65=1,COUNTIF($BL$2:BL65,1),"")</f>
        <v>64</v>
      </c>
      <c r="FI65" s="207">
        <f>IF(BM65=1,COUNTIF($BM$2:BM65,1),"")</f>
        <v>64</v>
      </c>
      <c r="FJ65" s="207">
        <f>IF(BN65=1,COUNTIF($BN$2:BN65,1),"")</f>
        <v>64</v>
      </c>
      <c r="FK65" s="207">
        <f>IF(BO65=1,COUNTIF($BO$2:BO65,1),"")</f>
        <v>64</v>
      </c>
      <c r="FL65" s="207">
        <f>IF(BP65=1,COUNTIF($BP$2:BP65,1),"")</f>
        <v>64</v>
      </c>
      <c r="FM65" s="207">
        <f>IF(BQ65=1,COUNTIF($BQ$2:BQ65,1),"")</f>
        <v>64</v>
      </c>
      <c r="FN65" s="207">
        <f>IF(BR65=1,COUNTIF($BR$2:BR65,1),"")</f>
        <v>64</v>
      </c>
      <c r="FO65" s="207">
        <f>IF(BS65=1,COUNTIF($BS$2:BS65,1),"")</f>
        <v>64</v>
      </c>
      <c r="FP65" s="207">
        <f>IF(BT65=1,COUNTIF($BT$2:BT65,1),"")</f>
        <v>64</v>
      </c>
      <c r="FQ65" s="207">
        <f>IF(BU65=1,COUNTIF($BU$2:BU65,1),"")</f>
        <v>64</v>
      </c>
      <c r="FR65" s="207">
        <f>IF(BV65=1,COUNTIF($BV$2:BV65,1),"")</f>
        <v>64</v>
      </c>
      <c r="FS65" s="207">
        <f>IF(BW65=1,COUNTIF($BW$2:BW65,1),"")</f>
        <v>64</v>
      </c>
      <c r="FT65" s="207">
        <f>IF(BX65=1,COUNTIF($BX$2:BX65,1),"")</f>
        <v>64</v>
      </c>
      <c r="FU65" s="207">
        <f>IF(BY65=1,COUNTIF($BY$2:BY65,1),"")</f>
        <v>64</v>
      </c>
      <c r="FV65" s="207">
        <f>IF(BZ65=1,COUNTIF($BZ$2:BZ65,1),"")</f>
        <v>64</v>
      </c>
      <c r="FW65" s="207">
        <f>IF(CA65=1,COUNTIF($CA$2:CA65,1),"")</f>
        <v>64</v>
      </c>
      <c r="FX65" s="207">
        <f>IF(CB65=1,COUNTIF($CB$2:CB65,1),"")</f>
        <v>64</v>
      </c>
      <c r="FY65" s="207">
        <f>IF(CC65=1,COUNTIF($CC$2:CC65,1),"")</f>
        <v>64</v>
      </c>
      <c r="FZ65" s="207">
        <f>IF(CD65=1,COUNTIF($CD$2:CD65,1),"")</f>
        <v>64</v>
      </c>
      <c r="GA65" s="207">
        <f>IF(CE65=1,COUNTIF($CE$2:CE65,1),"")</f>
        <v>64</v>
      </c>
      <c r="GB65" s="207">
        <f>IF(CF65=1,COUNTIF($CF$2:CF65,1),"")</f>
        <v>64</v>
      </c>
      <c r="GC65" s="207">
        <f>IF(CG65=1,COUNTIF($CG$2:CG65,1),"")</f>
        <v>64</v>
      </c>
      <c r="GD65" s="207">
        <f>IF(CH65=1,COUNTIF($CH$2:CH65,1),"")</f>
        <v>64</v>
      </c>
      <c r="GE65" s="207">
        <f>IF(CI65=1,COUNTIF($CI$2:CI65,1),"")</f>
        <v>64</v>
      </c>
      <c r="GF65" s="207">
        <f>IF(CJ65=1,COUNTIF($CJ$2:CJ65,1),"")</f>
        <v>64</v>
      </c>
      <c r="GG65" s="207">
        <f>IF(CK65=1,COUNTIF($CK$2:CK65,1),"")</f>
        <v>64</v>
      </c>
      <c r="GH65" s="207">
        <f>IF(CL65=1,COUNTIF($CL$2:CL65,1),"")</f>
        <v>64</v>
      </c>
      <c r="GI65" s="207">
        <f>IF(CM65=1,COUNTIF($CM$2:CM65,1),"")</f>
        <v>64</v>
      </c>
      <c r="GJ65" s="207">
        <f>IF(CN65=1,COUNTIF($CN$2:CN65,1),"")</f>
        <v>64</v>
      </c>
      <c r="GK65" s="207">
        <f>IF(CO65=1,COUNTIF($CO$2:CO65,1),"")</f>
        <v>64</v>
      </c>
      <c r="GL65" s="207">
        <f>IF(CP65=1,COUNTIF($CP$2:CP65,1),"")</f>
        <v>64</v>
      </c>
      <c r="GM65" s="207">
        <f>IF(CQ65=1,COUNTIF($CQ$2:CQ65,1),"")</f>
        <v>64</v>
      </c>
      <c r="GN65" s="207">
        <f>IF(CR65=1,COUNTIF($CR$2:CR65,1),"")</f>
        <v>64</v>
      </c>
      <c r="GO65" s="207">
        <f>IF(CS65=1,COUNTIF($CS$2:CS65,1),"")</f>
        <v>64</v>
      </c>
      <c r="GP65" s="207">
        <f>IF(CT65=1,COUNTIF($CT$2:CT65,1),"")</f>
        <v>64</v>
      </c>
      <c r="GQ65" s="207">
        <f>IF(CU65=1,COUNTIF($CU$2:CU65,1),"")</f>
        <v>64</v>
      </c>
      <c r="GR65" s="207">
        <f>IF(CV65=1,COUNTIF($CV$2:CV65,1),"")</f>
        <v>64</v>
      </c>
      <c r="GS65" s="207">
        <f>IF(CW65=1,COUNTIF($CW$2:CW65,1),"")</f>
        <v>64</v>
      </c>
      <c r="GT65" s="207">
        <f>IF(CX65=1,COUNTIF($CX$2:CX65,1),"")</f>
        <v>64</v>
      </c>
      <c r="GU65" s="207">
        <f>IF(CY65=1,COUNTIF($CY$2:CY65,1),"")</f>
        <v>64</v>
      </c>
      <c r="GV65" s="207">
        <f>IF(CZ65=1,COUNTIF($CZ$2:CZ65,1),"")</f>
        <v>64</v>
      </c>
      <c r="GW65" s="207">
        <f>IF(DA65=1,COUNTIF($DA$2:DA65,1),"")</f>
        <v>64</v>
      </c>
      <c r="GX65" s="206" t="str">
        <f>IFERROR(INDEX($A$2:$A$113,MATCH(ROWS($DB$2:DB65),$DB$2:$DB$113,0)),"")</f>
        <v>OTROS INCENDIOS O ESTRAGOS</v>
      </c>
      <c r="GY65" s="206" t="str">
        <f>IFERROR(INDEX($A$2:$A$113,MATCH(ROWS($DC$2:DC65),$DC$2:$DC$113,0)),"")</f>
        <v>OTROS INCENDIOS O ESTRAGOS</v>
      </c>
      <c r="GZ65" s="206" t="str">
        <f>IFERROR(INDEX($A$2:$A$113,MATCH(ROWS($DD$2:DD65),$DD$2:$DD$113,0)),"")</f>
        <v>OTROS INCENDIOS O ESTRAGOS</v>
      </c>
      <c r="HA65" s="206" t="str">
        <f>IFERROR(INDEX($A$2:$A$113,MATCH(ROWS($DE$2:DE65),$DE$2:$DE$113,0)),"")</f>
        <v>OTROS INCENDIOS O ESTRAGOS</v>
      </c>
      <c r="HB65" s="206" t="str">
        <f>IFERROR(INDEX($A$2:$A$113,MATCH(ROWS($DF$2:DF65),$DF$2:$DF$113,0)),"")</f>
        <v>OTROS INCENDIOS O ESTRAGOS</v>
      </c>
      <c r="HC65" s="206" t="str">
        <f>IFERROR(INDEX($A$2:$A$113,MATCH(ROWS($DG$2:DG65),$DG$2:$DG$113,0)),"")</f>
        <v>OTROS INCENDIOS O ESTRAGOS</v>
      </c>
      <c r="HD65" s="206" t="str">
        <f>IFERROR(INDEX($A$2:$A$113,MATCH(ROWS($DH$2:DH65),$DH$2:$DH$113,0)),"")</f>
        <v>OTROS INCENDIOS O ESTRAGOS</v>
      </c>
      <c r="HE65" s="206" t="str">
        <f>IFERROR(INDEX($A$2:$A$113,MATCH(ROWS($DI$2:DI65),$DI$2:$DI$113,0)),"")</f>
        <v>OTROS INCENDIOS O ESTRAGOS</v>
      </c>
      <c r="HF65" s="206" t="str">
        <f>IFERROR(INDEX($A$2:$A$113,MATCH(ROWS($DJ$2:DJ65),$DJ$2:$DJ$113,0)),"")</f>
        <v>OTROS INCENDIOS O ESTRAGOS</v>
      </c>
      <c r="HG65" s="206" t="str">
        <f>IFERROR(INDEX($A$2:$A$113,MATCH(ROWS($DK$2:DK65),$DK$2:$DK$113,0)),"")</f>
        <v>OTROS INCENDIOS O ESTRAGOS</v>
      </c>
      <c r="HH65" s="206" t="str">
        <f>IFERROR(INDEX($A$2:$A$113,MATCH(ROWS($DL$2:DL65),$DL$2:$DL$113,0)),"")</f>
        <v>OTROS INCENDIOS O ESTRAGOS</v>
      </c>
      <c r="HI65" s="206" t="str">
        <f>IFERROR(INDEX($A$2:$A$113,MATCH(ROWS($DM$2:DM65),$DM$2:$DM$113,0)),"")</f>
        <v>OTROS INCENDIOS O ESTRAGOS</v>
      </c>
      <c r="HJ65" s="206" t="str">
        <f>IFERROR(INDEX($A$2:$A$113,MATCH(ROWS($DN$2:DN65),$DN$2:$DN$113,0)),"")</f>
        <v>OTROS INCENDIOS O ESTRAGOS</v>
      </c>
      <c r="HK65" s="206" t="str">
        <f>IFERROR(INDEX($A$2:$A$113,MATCH(ROWS($DO$2:DO65),$DO$2:$DO$113,0)),"")</f>
        <v>OTROS INCENDIOS O ESTRAGOS</v>
      </c>
      <c r="HL65" s="206" t="str">
        <f>IFERROR(INDEX($A$2:$A$113,MATCH(ROWS($DP$2:DP65),$DP$2:$DP$113,0)),"")</f>
        <v>OTROS INCENDIOS O ESTRAGOS</v>
      </c>
      <c r="HM65" s="206" t="str">
        <f>IFERROR(INDEX($A$2:$A$113,MATCH(ROWS($DQ$2:DQ65),$DQ$2:$DQ$113,0)),"")</f>
        <v>OTROS INCENDIOS O ESTRAGOS</v>
      </c>
      <c r="HN65" s="206" t="str">
        <f>IFERROR(INDEX($A$2:$A$113,MATCH(ROWS($DR$2:DR65),$DR$2:$DR$113,0)),"")</f>
        <v>OTROS INCENDIOS O ESTRAGOS</v>
      </c>
      <c r="HO65" s="206" t="str">
        <f>IFERROR(INDEX($A$2:$A$113,MATCH(ROWS($DS$2:DS65),$DS$2:$DS$113,0)),"")</f>
        <v>OTROS INCENDIOS O ESTRAGOS</v>
      </c>
      <c r="HP65" s="206" t="str">
        <f>IFERROR(INDEX($A$2:$A$113,MATCH(ROWS($DT$2:DT65),$DT$2:$DT$113,0)),"")</f>
        <v>OTROS INCENDIOS O ESTRAGOS</v>
      </c>
      <c r="HQ65" s="206" t="str">
        <f>IFERROR(INDEX($A$2:$A$113,MATCH(ROWS($DU$2:DU65),$DU$2:$DU$113,0)),"")</f>
        <v>OTROS INCENDIOS O ESTRAGOS</v>
      </c>
      <c r="HR65" s="206" t="str">
        <f>IFERROR(INDEX($A$2:$A$113,MATCH(ROWS($DV$2:DV65),$DV$2:$DV$113,0)),"")</f>
        <v>OTROS INCENDIOS O ESTRAGOS</v>
      </c>
      <c r="HS65" s="206" t="str">
        <f>IFERROR(INDEX($A$2:$A$113,MATCH(ROWS($DW$2:DW65),$DW$2:$DW$113,0)),"")</f>
        <v>OTROS INCENDIOS O ESTRAGOS</v>
      </c>
      <c r="HT65" s="206" t="str">
        <f>IFERROR(INDEX($A$2:$A$113,MATCH(ROWS($DX$2:DX65),$DX$2:$DX$113,0)),"")</f>
        <v>OTROS INCENDIOS O ESTRAGOS</v>
      </c>
      <c r="HU65" s="206" t="str">
        <f>IFERROR(INDEX($A$2:$A$113,MATCH(ROWS($DY$2:DY65),$DY$2:$DY$113,0)),"")</f>
        <v>OTROS INCENDIOS O ESTRAGOS</v>
      </c>
      <c r="HV65" s="206" t="str">
        <f>IFERROR(INDEX($A$2:$A$113,MATCH(ROWS($DZ$2:DZ65),$DZ$2:$DZ$113,0)),"")</f>
        <v>OTROS INCENDIOS O ESTRAGOS</v>
      </c>
      <c r="HW65" s="206" t="str">
        <f>IFERROR(INDEX($A$2:$A$113,MATCH(ROWS($EA$2:EA65),$EA$2:$EA$113,0)),"")</f>
        <v>OTROS INCENDIOS O ESTRAGOS</v>
      </c>
      <c r="HX65" s="206" t="str">
        <f>IFERROR(INDEX($A$2:$A$113,MATCH(ROWS($EB$2:EB65),$EB$2:$EB$113,0)),"")</f>
        <v>OTROS INCENDIOS O ESTRAGOS</v>
      </c>
      <c r="HY65" s="206" t="str">
        <f>IFERROR(INDEX($A$2:$A$113,MATCH(ROWS($EC$2:EC65),$EC$2:$EC$113,0)),"")</f>
        <v>OTROS INCENDIOS O ESTRAGOS</v>
      </c>
      <c r="HZ65" s="206" t="str">
        <f>IFERROR(INDEX($A$2:$A$113,MATCH(ROWS($ED$2:ED65),$ED$2:$ED$113,0)),"")</f>
        <v>OTROS INCENDIOS O ESTRAGOS</v>
      </c>
      <c r="IA65" s="206" t="str">
        <f>IFERROR(INDEX($A$2:$A$113,MATCH(ROWS($EE$2:EE65),$EE$2:$EE$113,0)),"")</f>
        <v>OTROS INCENDIOS O ESTRAGOS</v>
      </c>
      <c r="IB65" s="206" t="str">
        <f>IFERROR(INDEX($A$2:$A$113,MATCH(ROWS($EF$2:EF65),$EF$2:$EF$113,0)),"")</f>
        <v>OTROS INCENDIOS O ESTRAGOS</v>
      </c>
      <c r="IC65" s="206" t="str">
        <f>IFERROR(INDEX($A$2:$A$113,MATCH(ROWS($EG$2:EG65),$EG$2:$EG$113,0)),"")</f>
        <v>OTROS INCENDIOS O ESTRAGOS</v>
      </c>
      <c r="ID65" s="206" t="str">
        <f>IFERROR(INDEX($A$2:$A$113,MATCH(ROWS($EH$2:EH65),$EH$2:$EH$113,0)),"")</f>
        <v>OTROS INCENDIOS O ESTRAGOS</v>
      </c>
      <c r="IE65" s="206" t="str">
        <f>IFERROR(INDEX($A$2:$A$113,MATCH(ROWS($EI$2:EI65),$EI$2:$EI$113,0)),"")</f>
        <v>OTROS INCENDIOS O ESTRAGOS</v>
      </c>
      <c r="IF65" s="206" t="str">
        <f>IFERROR(INDEX($A$2:$A$113,MATCH(ROWS($EJ$2:EJ65),$EJ$2:$EJ$113,0)),"")</f>
        <v>OTROS INCENDIOS O ESTRAGOS</v>
      </c>
      <c r="IG65" s="206" t="str">
        <f>IFERROR(INDEX($A$2:$A$113,MATCH(ROWS($EK$2:EK65),$EK$2:$EK$113,0)),"")</f>
        <v>OTROS INCENDIOS O ESTRAGOS</v>
      </c>
      <c r="IH65" s="206" t="str">
        <f>IFERROR(INDEX($A$2:$A$113,MATCH(ROWS($EL$2:EL65),$EL$2:$EL$113,0)),"")</f>
        <v>OTROS INCENDIOS O ESTRAGOS</v>
      </c>
      <c r="II65" s="206" t="str">
        <f>IFERROR(INDEX($A$2:$A$113,MATCH(ROWS($EM$2:EM65),$EM$2:$EM$113,0)),"")</f>
        <v>OTROS INCENDIOS O ESTRAGOS</v>
      </c>
      <c r="IJ65" s="206" t="str">
        <f>IFERROR(INDEX($A$2:$A$113,MATCH(ROWS($EN$2:EN65),$EN$2:$EN$113,0)),"")</f>
        <v>OTROS INCENDIOS O ESTRAGOS</v>
      </c>
      <c r="IK65" s="207" t="str">
        <f>IFERROR(INDEX($A$2:$A$113,MATCH(ROWS($EO$2:EO65),$EO$2:$EO$113,0)),"")</f>
        <v>OTROS INCENDIOS O ESTRAGOS</v>
      </c>
      <c r="IL65" s="207" t="str">
        <f>IFERROR(INDEX($A$2:$A$113,MATCH(ROWS($EP$2:EP65),$EP$2:$EP$113,0)),"")</f>
        <v>OTROS INCENDIOS O ESTRAGOS</v>
      </c>
      <c r="IM65" s="207" t="str">
        <f>IFERROR(INDEX($A$2:$A$113,MATCH(ROWS($EQ$2:EQ65),$EQ$2:$EQ$113,0)),"")</f>
        <v>OTROS INCENDIOS O ESTRAGOS</v>
      </c>
      <c r="IN65" s="207" t="str">
        <f>IFERROR(INDEX($A$2:$A$113,MATCH(ROWS($ER$2:ER65),$ER$2:$ER$113,0)),"")</f>
        <v>OTROS INCENDIOS O ESTRAGOS</v>
      </c>
      <c r="IO65" s="207" t="str">
        <f>IFERROR(INDEX($A$2:$A$113,MATCH(ROWS($ES$2:ES65),$ES$2:$ES$113,0)),"")</f>
        <v>OTROS INCENDIOS O ESTRAGOS</v>
      </c>
      <c r="IP65" s="207" t="str">
        <f>IFERROR(INDEX($A$2:$A$113,MATCH(ROWS($ET$2:ET65),$ET$2:$ET$113,0)),"")</f>
        <v>OTROS INCENDIOS O ESTRAGOS</v>
      </c>
      <c r="IQ65" s="207" t="str">
        <f>IFERROR(INDEX($A$2:$A$113,MATCH(ROWS($EU$2:EU65),$EU$2:$EU$113,0)),"")</f>
        <v>OTROS INCENDIOS O ESTRAGOS</v>
      </c>
      <c r="IR65" s="207" t="str">
        <f>IFERROR(INDEX($A$2:$A$113,MATCH(ROWS($EV$2:EV65),$EV$2:$EV$113,0)),"")</f>
        <v>OTROS INCENDIOS O ESTRAGOS</v>
      </c>
      <c r="IS65" s="207" t="str">
        <f>IFERROR(INDEX($A$2:$A$113,MATCH(ROWS($EW$2:EW65),$EW$2:$EW$113,0)),"")</f>
        <v>OTROS INCENDIOS O ESTRAGOS</v>
      </c>
      <c r="IT65" s="207" t="str">
        <f>IFERROR(INDEX($A$2:$A$113,MATCH(ROWS($EX$2:EX65),$EX$2:$EX$113,0)),"")</f>
        <v>OTROS INCENDIOS O ESTRAGOS</v>
      </c>
      <c r="IU65" s="207" t="str">
        <f>IFERROR(INDEX($A$2:$A$113,MATCH(ROWS($EY$2:EY65),$EY$2:$EY$113,0)),"")</f>
        <v>OTROS INCENDIOS O ESTRAGOS</v>
      </c>
      <c r="IV65" s="207" t="str">
        <f>IFERROR(INDEX($A$2:$A$113,MATCH(ROWS($EZ$2:EZ65),$EZ$2:$EZ$113,0)),"")</f>
        <v>OTROS INCENDIOS O ESTRAGOS</v>
      </c>
      <c r="IW65" s="207" t="str">
        <f>IFERROR(INDEX($A$2:$A$113,MATCH(ROWS($FA$2:FA65),$FA$2:$FA$113,0)),"")</f>
        <v>OTROS INCENDIOS O ESTRAGOS</v>
      </c>
      <c r="IX65" s="207" t="str">
        <f>IFERROR(INDEX($A$2:$A$113,MATCH(ROWS($FB$2:FB65),$FB$2:$FB$113,0)),"")</f>
        <v>OTROS INCENDIOS O ESTRAGOS</v>
      </c>
      <c r="IY65" s="207" t="str">
        <f>IFERROR(INDEX($A$2:$A$113,MATCH(ROWS($FC$2:FC65),$FC$2:$FC$113,0)),"")</f>
        <v>OTROS INCENDIOS O ESTRAGOS</v>
      </c>
      <c r="IZ65" s="207" t="str">
        <f>IFERROR(INDEX($A$2:$A$113,MATCH(ROWS($FD$2:FD65),$FD$2:$FD$113,0)),"")</f>
        <v>OTROS INCENDIOS O ESTRAGOS</v>
      </c>
      <c r="JA65" s="207" t="str">
        <f>IFERROR(INDEX($A$2:$A$113,MATCH(ROWS($FE$2:FE65),$FE$2:$FE$113,0)),"")</f>
        <v>OTROS INCENDIOS O ESTRAGOS</v>
      </c>
      <c r="JB65" s="207" t="str">
        <f>IFERROR(INDEX($A$2:$A$113,MATCH(ROWS($FF$2:FF65),$FF$2:$FF$113,0)),"")</f>
        <v>OTROS INCENDIOS O ESTRAGOS</v>
      </c>
      <c r="JC65" s="207" t="str">
        <f>IFERROR(INDEX($A$2:$A$113,MATCH(ROWS($FG$2:FG65),$FG$2:$FG$113,0)),"")</f>
        <v>OTROS INCENDIOS O ESTRAGOS</v>
      </c>
      <c r="JD65" s="207" t="str">
        <f>IFERROR(INDEX($A$2:$A$113,MATCH(ROWS($FH$2:FH65),$FH$2:$FH$113,0)),"")</f>
        <v>OTROS INCENDIOS O ESTRAGOS</v>
      </c>
      <c r="JE65" s="207" t="str">
        <f>IFERROR(INDEX($A$2:$A$113,MATCH(ROWS($FI$2:FI65),$FI$2:$FI$113,0)),"")</f>
        <v>OTROS INCENDIOS O ESTRAGOS</v>
      </c>
      <c r="JF65" s="207" t="str">
        <f>IFERROR(INDEX($A$2:$A$113,MATCH(ROWS($FJ$2:FJ65),$FJ$2:$FJ$113,0)),"")</f>
        <v>OTROS INCENDIOS O ESTRAGOS</v>
      </c>
      <c r="JG65" s="207" t="str">
        <f>IFERROR(INDEX($A$2:$A$113,MATCH(ROWS($FK$2:FK65),$FK$2:$FK$113,0)),"")</f>
        <v>OTROS INCENDIOS O ESTRAGOS</v>
      </c>
      <c r="JH65" s="207" t="str">
        <f>IFERROR(INDEX($A$2:$A$113,MATCH(ROWS($FL$2:FL65),$FL$2:$FL$113,0)),"")</f>
        <v>OTROS INCENDIOS O ESTRAGOS</v>
      </c>
      <c r="JI65" s="207" t="str">
        <f>IFERROR(INDEX($A$2:$A$113,MATCH(ROWS($FM$2:FM65),$FM$2:$FM$113,0)),"")</f>
        <v>OTROS INCENDIOS O ESTRAGOS</v>
      </c>
      <c r="JJ65" s="207" t="str">
        <f>IFERROR(INDEX($A$2:$A$113,MATCH(ROWS($FN$2:FN65),$FN$2:$FN$113,0)),"")</f>
        <v>OTROS INCENDIOS O ESTRAGOS</v>
      </c>
      <c r="JK65" s="207" t="str">
        <f>IFERROR(INDEX($A$2:$A$113,MATCH(ROWS($FO$2:FO65),$FO$2:$FO$113,0)),"")</f>
        <v>OTROS INCENDIOS O ESTRAGOS</v>
      </c>
      <c r="JL65" s="207" t="str">
        <f>IFERROR(INDEX($A$2:$A$113,MATCH(ROWS($FP$2:FP65),$FP$2:$FP$113,0)),"")</f>
        <v>OTROS INCENDIOS O ESTRAGOS</v>
      </c>
      <c r="JM65" s="207" t="str">
        <f>IFERROR(INDEX($A$2:$A$113,MATCH(ROWS($FQ$2:FQ65),$FQ$2:$FQ$113,0)),"")</f>
        <v>OTROS INCENDIOS O ESTRAGOS</v>
      </c>
      <c r="JN65" s="207" t="str">
        <f>IFERROR(INDEX($A$2:$A$113,MATCH(ROWS($FR$2:FR65),$FR$2:$FR$113,0)),"")</f>
        <v>OTROS INCENDIOS O ESTRAGOS</v>
      </c>
      <c r="JO65" s="207" t="str">
        <f>IFERROR(INDEX($A$2:$A$113,MATCH(ROWS($FS$2:FS65),$FS$2:$FS$113,0)),"")</f>
        <v>OTROS INCENDIOS O ESTRAGOS</v>
      </c>
      <c r="JP65" s="207" t="str">
        <f>IFERROR(INDEX($A$2:$A$113,MATCH(ROWS($FT$2:FT65),$FT$2:$FT$113,0)),"")</f>
        <v>OTROS INCENDIOS O ESTRAGOS</v>
      </c>
      <c r="JQ65" s="207" t="str">
        <f>IFERROR(INDEX($A$2:$A$113,MATCH(ROWS($FU$2:FU65),$FU$2:$FU$113,0)),"")</f>
        <v>OTROS INCENDIOS O ESTRAGOS</v>
      </c>
      <c r="JR65" s="207" t="str">
        <f>IFERROR(INDEX($A$2:$A$113,MATCH(ROWS($FV$2:FV65),$FV$2:$FV$113,0)),"")</f>
        <v>OTROS INCENDIOS O ESTRAGOS</v>
      </c>
      <c r="JS65" s="207" t="str">
        <f>IFERROR(INDEX($A$2:$A$113,MATCH(ROWS($FW$2:FW65),$FW$2:$FW$113,0)),"")</f>
        <v>OTROS INCENDIOS O ESTRAGOS</v>
      </c>
      <c r="JT65" s="207" t="str">
        <f>IFERROR(INDEX($A$2:$A$113,MATCH(ROWS($FX$2:FX65),$FX$2:$FX$113,0)),"")</f>
        <v>OTROS INCENDIOS O ESTRAGOS</v>
      </c>
      <c r="JU65" s="207" t="str">
        <f>IFERROR(INDEX($A$2:$A$113,MATCH(ROWS($FY$2:FY65),$FY$2:$FY$113,0)),"")</f>
        <v>OTROS INCENDIOS O ESTRAGOS</v>
      </c>
      <c r="JV65" s="207" t="str">
        <f>IFERROR(INDEX($A$2:$A$113,MATCH(ROWS($FZ$2:FZ65),$FZ$2:$FZ$113,0)),"")</f>
        <v>OTROS INCENDIOS O ESTRAGOS</v>
      </c>
      <c r="JW65" s="207" t="str">
        <f>IFERROR(INDEX($A$2:$A$113,MATCH(ROWS($GA$2:GA65),$GA$2:$GA$113,0)),"")</f>
        <v>OTROS INCENDIOS O ESTRAGOS</v>
      </c>
      <c r="JX65" s="207" t="str">
        <f>IFERROR(INDEX($A$2:$A$113,MATCH(ROWS($GB$2:GB65),$GB$2:$GB$113,0)),"")</f>
        <v>OTROS INCENDIOS O ESTRAGOS</v>
      </c>
      <c r="JY65" s="207" t="str">
        <f>IFERROR(INDEX($A$2:$A$113,MATCH(ROWS($GC$2:GC65),$GC$2:$GC$113,0)),"")</f>
        <v>OTROS INCENDIOS O ESTRAGOS</v>
      </c>
      <c r="JZ65" s="207" t="str">
        <f>IFERROR(INDEX($A$2:$A$113,MATCH(ROWS($GD$2:GD65),$GD$2:$GD$113,0)),"")</f>
        <v>OTROS INCENDIOS O ESTRAGOS</v>
      </c>
      <c r="KA65" s="207" t="str">
        <f>IFERROR(INDEX($A$2:$A$113,MATCH(ROWS($GE$2:GE65),$GE$2:$GE$113,0)),"")</f>
        <v>OTROS INCENDIOS O ESTRAGOS</v>
      </c>
      <c r="KB65" s="207" t="str">
        <f>IFERROR(INDEX($A$2:$A$113,MATCH(ROWS($GF$2:GF65),$GF$2:$GF$113,0)),"")</f>
        <v>OTROS INCENDIOS O ESTRAGOS</v>
      </c>
      <c r="KC65" s="207" t="str">
        <f>IFERROR(INDEX($A$2:$A$113,MATCH(ROWS($GG$2:GG65),$GG$2:$GG$113,0)),"")</f>
        <v>OTROS INCENDIOS O ESTRAGOS</v>
      </c>
      <c r="KD65" s="207" t="str">
        <f>IFERROR(INDEX($A$2:$A$113,MATCH(ROWS($GH$2:GH65),$GH$2:$GH$113,0)),"")</f>
        <v>OTROS INCENDIOS O ESTRAGOS</v>
      </c>
      <c r="KE65" s="207" t="str">
        <f>IFERROR(INDEX($A$2:$A$113,MATCH(ROWS($GI$2:GI65),$GI$2:$GI$113,0)),"")</f>
        <v>OTROS INCENDIOS O ESTRAGOS</v>
      </c>
      <c r="KF65" s="207" t="str">
        <f>IFERROR(INDEX($A$2:$A$113,MATCH(ROWS($GJ$2:GJ65),$GJ$2:$GJ$113,0)),"")</f>
        <v>OTROS INCENDIOS O ESTRAGOS</v>
      </c>
      <c r="KG65" s="207" t="str">
        <f>IFERROR(INDEX($A$2:$A$113,MATCH(ROWS($GK$2:GK65),$GK$2:$GK$113,0)),"")</f>
        <v>OTROS INCENDIOS O ESTRAGOS</v>
      </c>
      <c r="KH65" s="207" t="str">
        <f>IFERROR(INDEX($A$2:$A$113,MATCH(ROWS($GL$2:GL65),$GL$2:$GL$113,0)),"")</f>
        <v>OTROS INCENDIOS O ESTRAGOS</v>
      </c>
      <c r="KI65" s="207" t="str">
        <f>IFERROR(INDEX($A$2:$A$113,MATCH(ROWS($GM$2:GM65),$GM$2:$GM$113,0)),"")</f>
        <v>OTROS INCENDIOS O ESTRAGOS</v>
      </c>
      <c r="KJ65" s="207" t="str">
        <f>IFERROR(INDEX($A$2:$A$113,MATCH(ROWS($GN$2:GN65),$GN$2:$GN$113,0)),"")</f>
        <v>OTROS INCENDIOS O ESTRAGOS</v>
      </c>
      <c r="KK65" s="207" t="str">
        <f>IFERROR(INDEX($A$2:$A$113,MATCH(ROWS($GO$2:GO65),$GO$2:$GO$113,0)),"")</f>
        <v>OTROS INCENDIOS O ESTRAGOS</v>
      </c>
      <c r="KL65" s="207" t="str">
        <f>IFERROR(INDEX($A$2:$A$113,MATCH(ROWS($GP$2:GP65),$GP$2:$GP$113,0)),"")</f>
        <v>OTROS INCENDIOS O ESTRAGOS</v>
      </c>
      <c r="KM65" s="207" t="str">
        <f>IFERROR(INDEX($A$2:$A$113,MATCH(ROWS($GQ$2:GQ65),$GQ$2:$GQ$113,0)),"")</f>
        <v>OTROS INCENDIOS O ESTRAGOS</v>
      </c>
      <c r="KN65" s="207" t="str">
        <f>IFERROR(INDEX($A$2:$A$113,MATCH(ROWS($GR$2:GR65),$GR$2:$GR$113,0)),"")</f>
        <v>OTROS INCENDIOS O ESTRAGOS</v>
      </c>
      <c r="KO65" s="207" t="str">
        <f>IFERROR(INDEX($A$2:$A$113,MATCH(ROWS($GS$2:GS65),$GS$2:$GS$113,0)),"")</f>
        <v>OTROS INCENDIOS O ESTRAGOS</v>
      </c>
      <c r="KP65" s="207" t="str">
        <f>IFERROR(INDEX($A$2:$A$113,MATCH(ROWS($GT$2:GT65),$GT$2:$GT$113,0)),"")</f>
        <v>OTROS INCENDIOS O ESTRAGOS</v>
      </c>
      <c r="KQ65" s="207" t="str">
        <f>IFERROR(INDEX($A$2:$A$113,MATCH(ROWS($GU$2:GU65),$GU$2:$GU$113,0)),"")</f>
        <v>OTROS INCENDIOS O ESTRAGOS</v>
      </c>
      <c r="KR65" s="207" t="str">
        <f>IFERROR(INDEX($A$2:$A$113,MATCH(ROWS($GV$2:GV65),$GV$2:$GV$113,0)),"")</f>
        <v>OTROS INCENDIOS O ESTRAGOS</v>
      </c>
      <c r="KS65" s="207" t="str">
        <f>IFERROR(INDEX($A$2:$A$113,MATCH(ROWS($GW$2:GW65),$GW$2:$GW$113,0)),"")</f>
        <v>OTROS INCENDIOS O ESTRAGOS</v>
      </c>
    </row>
    <row r="66" spans="1:305" x14ac:dyDescent="0.25">
      <c r="A66" s="206" t="s">
        <v>901</v>
      </c>
      <c r="B66" s="206" t="s">
        <v>100</v>
      </c>
      <c r="D66" s="206" t="s">
        <v>14</v>
      </c>
      <c r="E66" s="206" t="s">
        <v>99</v>
      </c>
      <c r="F66" s="207">
        <f>--ISNUMBER(IFERROR(SEARCH('PLANILLA DJ'!$X$3,$A66,1),""))</f>
        <v>1</v>
      </c>
      <c r="G66" s="207">
        <f>--ISNUMBER(IFERROR(SEARCH('PLANILLA DJ'!$X$4,$A66,1),""))</f>
        <v>1</v>
      </c>
      <c r="H66" s="207">
        <f>--ISNUMBER(IFERROR(SEARCH('PLANILLA DJ'!$X$5,$A66,1),""))</f>
        <v>1</v>
      </c>
      <c r="I66" s="207">
        <f>--ISNUMBER(IFERROR(SEARCH('PLANILLA DJ'!$X$6,$A66,1),""))</f>
        <v>1</v>
      </c>
      <c r="J66" s="207">
        <f>--ISNUMBER(IFERROR(SEARCH('PLANILLA DJ'!$X$7,$A66,1),""))</f>
        <v>1</v>
      </c>
      <c r="K66" s="207">
        <f>--ISNUMBER(IFERROR(SEARCH('PLANILLA DJ'!$X$8,$A66,1),""))</f>
        <v>1</v>
      </c>
      <c r="L66" s="207">
        <f>--ISNUMBER(IFERROR(SEARCH('PLANILLA DJ'!$X$9,$A66,1),""))</f>
        <v>1</v>
      </c>
      <c r="M66" s="207">
        <f>--ISNUMBER(IFERROR(SEARCH('PLANILLA DJ'!$X$10,$A66,1),""))</f>
        <v>1</v>
      </c>
      <c r="N66" s="207">
        <f>--ISNUMBER(IFERROR(SEARCH('PLANILLA DJ'!$X$11,$A66,1),""))</f>
        <v>1</v>
      </c>
      <c r="O66" s="207">
        <f>--ISNUMBER(IFERROR(SEARCH('PLANILLA DJ'!$X$12,$A66,1),""))</f>
        <v>1</v>
      </c>
      <c r="P66" s="207">
        <f>--ISNUMBER(IFERROR(SEARCH('PLANILLA DJ'!$X$13,$A66,1),""))</f>
        <v>1</v>
      </c>
      <c r="Q66" s="207">
        <f>--ISNUMBER(IFERROR(SEARCH('PLANILLA DJ'!$X$14,$A66,1),""))</f>
        <v>1</v>
      </c>
      <c r="R66" s="207">
        <f>--ISNUMBER(IFERROR(SEARCH('PLANILLA DJ'!$X$15,$A66,1),""))</f>
        <v>1</v>
      </c>
      <c r="S66" s="207">
        <f>--ISNUMBER(IFERROR(SEARCH('PLANILLA DJ'!$X$16,$A66,1),""))</f>
        <v>1</v>
      </c>
      <c r="T66" s="207">
        <f>--ISNUMBER(IFERROR(SEARCH('PLANILLA DJ'!$X$17,$A66,1),""))</f>
        <v>1</v>
      </c>
      <c r="U66" s="207">
        <f>--ISNUMBER(IFERROR(SEARCH('PLANILLA DJ'!$X$18,$A66,1),""))</f>
        <v>1</v>
      </c>
      <c r="V66" s="207">
        <f>--ISNUMBER(IFERROR(SEARCH('PLANILLA DJ'!$X$19,$A66,1),""))</f>
        <v>1</v>
      </c>
      <c r="W66" s="207">
        <f>--ISNUMBER(IFERROR(SEARCH('PLANILLA DJ'!$X$20,$A66,1),""))</f>
        <v>1</v>
      </c>
      <c r="X66" s="207">
        <f>--ISNUMBER(IFERROR(SEARCH('PLANILLA DJ'!$X$21,$A66,1),""))</f>
        <v>1</v>
      </c>
      <c r="Y66" s="207">
        <f>--ISNUMBER(IFERROR(SEARCH('PLANILLA DJ'!$X$22,$A66,1),""))</f>
        <v>1</v>
      </c>
      <c r="Z66" s="207">
        <f>--ISNUMBER(IFERROR(SEARCH('PLANILLA DJ'!$X$23,$A66,1),""))</f>
        <v>1</v>
      </c>
      <c r="AA66" s="207">
        <f>--ISNUMBER(IFERROR(SEARCH('PLANILLA DJ'!$X$24,$A66,1),""))</f>
        <v>1</v>
      </c>
      <c r="AB66" s="207">
        <f>--ISNUMBER(IFERROR(SEARCH('PLANILLA DJ'!$X$25,$A66,1),""))</f>
        <v>1</v>
      </c>
      <c r="AC66" s="207">
        <f>--ISNUMBER(IFERROR(SEARCH('PLANILLA DJ'!$X$26,$A66,1),""))</f>
        <v>1</v>
      </c>
      <c r="AD66" s="207">
        <f>--ISNUMBER(IFERROR(SEARCH('PLANILLA DJ'!$X$27,$A66,1),""))</f>
        <v>1</v>
      </c>
      <c r="AE66" s="207">
        <f>--ISNUMBER(IFERROR(SEARCH('PLANILLA DJ'!$X$28,$A66,1),""))</f>
        <v>1</v>
      </c>
      <c r="AF66" s="207">
        <f>--ISNUMBER(IFERROR(SEARCH('PLANILLA DJ'!$X$29,$A66,1),""))</f>
        <v>1</v>
      </c>
      <c r="AG66" s="207">
        <f>--ISNUMBER(IFERROR(SEARCH('PLANILLA DJ'!$X$30,$A66,1),""))</f>
        <v>1</v>
      </c>
      <c r="AH66" s="207">
        <f>--ISNUMBER(IFERROR(SEARCH('PLANILLA DJ'!$X$31,$A66,1),""))</f>
        <v>1</v>
      </c>
      <c r="AI66" s="207">
        <f>--ISNUMBER(IFERROR(SEARCH('PLANILLA DJ'!$X$32,$A66,1),""))</f>
        <v>1</v>
      </c>
      <c r="AJ66" s="207">
        <f>--ISNUMBER(IFERROR(SEARCH('PLANILLA DJ'!$X$33,$A66,1),""))</f>
        <v>1</v>
      </c>
      <c r="AK66" s="207">
        <f>--ISNUMBER(IFERROR(SEARCH('PLANILLA DJ'!$X$34,$A66,1),""))</f>
        <v>1</v>
      </c>
      <c r="AL66" s="207">
        <f>--ISNUMBER(IFERROR(SEARCH('PLANILLA DJ'!$X$35,$A66,1),""))</f>
        <v>1</v>
      </c>
      <c r="AM66" s="207">
        <f>--ISNUMBER(IFERROR(SEARCH('PLANILLA DJ'!$X$36,$A66,1),""))</f>
        <v>1</v>
      </c>
      <c r="AN66" s="207">
        <f>--ISNUMBER(IFERROR(SEARCH('PLANILLA DJ'!$X$37,$A66,1),""))</f>
        <v>1</v>
      </c>
      <c r="AO66" s="207">
        <f>--ISNUMBER(IFERROR(SEARCH('PLANILLA DJ'!$X$38,$A66,1),""))</f>
        <v>1</v>
      </c>
      <c r="AP66" s="207">
        <f>--ISNUMBER(IFERROR(SEARCH('PLANILLA DJ'!$X$39,$A66,1),""))</f>
        <v>1</v>
      </c>
      <c r="AQ66" s="207">
        <f>--ISNUMBER(IFERROR(SEARCH('PLANILLA DJ'!$X$40,$A66,1),""))</f>
        <v>1</v>
      </c>
      <c r="AR66" s="207">
        <f>--ISNUMBER(IFERROR(SEARCH('PLANILLA DJ'!$X$41,$A66,1),""))</f>
        <v>1</v>
      </c>
      <c r="AS66" s="207">
        <f>--ISNUMBER(IFERROR(SEARCH('PLANILLA DJ'!$X$42,$A66,1),""))</f>
        <v>1</v>
      </c>
      <c r="AT66" s="207">
        <f>--ISNUMBER(IFERROR(SEARCH('PLANILLA DJ'!$X$43,$A66,1),""))</f>
        <v>1</v>
      </c>
      <c r="AU66" s="207">
        <f>--ISNUMBER(IFERROR(SEARCH('PLANILLA DJ'!$X$44,$A66,1),""))</f>
        <v>1</v>
      </c>
      <c r="AV66" s="207">
        <f>--ISNUMBER(IFERROR(SEARCH('PLANILLA DJ'!$X$45,$A66,1),""))</f>
        <v>1</v>
      </c>
      <c r="AW66" s="207">
        <f>--ISNUMBER(IFERROR(SEARCH('PLANILLA DJ'!$X$46,$A66,1),""))</f>
        <v>1</v>
      </c>
      <c r="AX66" s="207">
        <f>--ISNUMBER(IFERROR(SEARCH('PLANILLA DJ'!$X$47,$A66,1),""))</f>
        <v>1</v>
      </c>
      <c r="AY66" s="207">
        <f>--ISNUMBER(IFERROR(SEARCH('PLANILLA DJ'!$X$48,$A66,1),""))</f>
        <v>1</v>
      </c>
      <c r="AZ66" s="207">
        <f>--ISNUMBER(IFERROR(SEARCH('PLANILLA DJ'!$X$49,$A66,1),""))</f>
        <v>1</v>
      </c>
      <c r="BA66" s="207">
        <f>--ISNUMBER(IFERROR(SEARCH('PLANILLA DJ'!$X$50,$A66,1),""))</f>
        <v>1</v>
      </c>
      <c r="BB66" s="207">
        <f>--ISNUMBER(IFERROR(SEARCH('PLANILLA DJ'!$X$51,$A66,1),""))</f>
        <v>1</v>
      </c>
      <c r="BC66" s="207">
        <f>--ISNUMBER(IFERROR(SEARCH('PLANILLA DJ'!$X$52,$A66,1),""))</f>
        <v>1</v>
      </c>
      <c r="BD66" s="207">
        <f>--ISNUMBER(IFERROR(SEARCH('PLANILLA DJ'!$X$53,$A66,1),""))</f>
        <v>1</v>
      </c>
      <c r="BE66" s="207">
        <f>--ISNUMBER(IFERROR(SEARCH('PLANILLA DJ'!$X$54,$A66,1),""))</f>
        <v>1</v>
      </c>
      <c r="BF66" s="207">
        <f>--ISNUMBER(IFERROR(SEARCH('PLANILLA DJ'!$X$55,$A66,1),""))</f>
        <v>1</v>
      </c>
      <c r="BG66" s="207">
        <f>--ISNUMBER(IFERROR(SEARCH('PLANILLA DJ'!$X$56,$A66,1),""))</f>
        <v>1</v>
      </c>
      <c r="BH66" s="207">
        <f>--ISNUMBER(IFERROR(SEARCH('PLANILLA DJ'!$X$57,$A66,1),""))</f>
        <v>1</v>
      </c>
      <c r="BI66" s="207">
        <f>--ISNUMBER(IFERROR(SEARCH('PLANILLA DJ'!$X$58,$A66,1),""))</f>
        <v>1</v>
      </c>
      <c r="BJ66" s="207">
        <f>--ISNUMBER(IFERROR(SEARCH('PLANILLA DJ'!$X$59,$A66,1),""))</f>
        <v>1</v>
      </c>
      <c r="BK66" s="207">
        <f>--ISNUMBER(IFERROR(SEARCH('PLANILLA DJ'!$X$60,$A66,1),""))</f>
        <v>1</v>
      </c>
      <c r="BL66" s="207">
        <f>--ISNUMBER(IFERROR(SEARCH('PLANILLA DJ'!$X$61,$A66,1),""))</f>
        <v>1</v>
      </c>
      <c r="BM66" s="207">
        <f>--ISNUMBER(IFERROR(SEARCH('PLANILLA DJ'!$X$62,$A66,1),""))</f>
        <v>1</v>
      </c>
      <c r="BN66" s="207">
        <f>--ISNUMBER(IFERROR(SEARCH('PLANILLA DJ'!$X$63,$A66,1),""))</f>
        <v>1</v>
      </c>
      <c r="BO66" s="207">
        <f>--ISNUMBER(IFERROR(SEARCH('PLANILLA DJ'!$X$64,$A66,1),""))</f>
        <v>1</v>
      </c>
      <c r="BP66" s="207">
        <f>--ISNUMBER(IFERROR(SEARCH('PLANILLA DJ'!$X$65,$A66,1),""))</f>
        <v>1</v>
      </c>
      <c r="BQ66" s="207">
        <f>--ISNUMBER(IFERROR(SEARCH('PLANILLA DJ'!$X$66,$A66,1),""))</f>
        <v>1</v>
      </c>
      <c r="BR66" s="207">
        <f>--ISNUMBER(IFERROR(SEARCH('PLANILLA DJ'!$X$67,$A66,1),""))</f>
        <v>1</v>
      </c>
      <c r="BS66" s="207">
        <f>--ISNUMBER(IFERROR(SEARCH('PLANILLA DJ'!$X$68,$A66,1),""))</f>
        <v>1</v>
      </c>
      <c r="BT66" s="207">
        <f>--ISNUMBER(IFERROR(SEARCH('PLANILLA DJ'!$X$69,$A66,1),""))</f>
        <v>1</v>
      </c>
      <c r="BU66" s="207">
        <f>--ISNUMBER(IFERROR(SEARCH('PLANILLA DJ'!$X$70,$A66,1),""))</f>
        <v>1</v>
      </c>
      <c r="BV66" s="207">
        <f>--ISNUMBER(IFERROR(SEARCH('PLANILLA DJ'!$X$71,$A66,1),""))</f>
        <v>1</v>
      </c>
      <c r="BW66" s="207">
        <f>--ISNUMBER(IFERROR(SEARCH('PLANILLA DJ'!$X$72,$A66,1),""))</f>
        <v>1</v>
      </c>
      <c r="BX66" s="207">
        <f>--ISNUMBER(IFERROR(SEARCH('PLANILLA DJ'!$X$73,$A66,1),""))</f>
        <v>1</v>
      </c>
      <c r="BY66" s="207">
        <f>--ISNUMBER(IFERROR(SEARCH('PLANILLA DJ'!$X$74,$A66,1),""))</f>
        <v>1</v>
      </c>
      <c r="BZ66" s="207">
        <f>--ISNUMBER(IFERROR(SEARCH('PLANILLA DJ'!$X$75,$A66,1),""))</f>
        <v>1</v>
      </c>
      <c r="CA66" s="207">
        <f>--ISNUMBER(IFERROR(SEARCH('PLANILLA DJ'!$X$76,$A66,1),""))</f>
        <v>1</v>
      </c>
      <c r="CB66" s="207">
        <f>--ISNUMBER(IFERROR(SEARCH('PLANILLA DJ'!$X$77,$A66,1),""))</f>
        <v>1</v>
      </c>
      <c r="CC66" s="207">
        <f>--ISNUMBER(IFERROR(SEARCH('PLANILLA DJ'!$X$78,$A66,1),""))</f>
        <v>1</v>
      </c>
      <c r="CD66" s="207">
        <f>--ISNUMBER(IFERROR(SEARCH('PLANILLA DJ'!$X$79,$A66,1),""))</f>
        <v>1</v>
      </c>
      <c r="CE66" s="207">
        <f>--ISNUMBER(IFERROR(SEARCH('PLANILLA DJ'!$X$80,$A66,1),""))</f>
        <v>1</v>
      </c>
      <c r="CF66" s="207">
        <f>--ISNUMBER(IFERROR(SEARCH('PLANILLA DJ'!$X$81,$A66,1),""))</f>
        <v>1</v>
      </c>
      <c r="CG66" s="207">
        <f>--ISNUMBER(IFERROR(SEARCH('PLANILLA DJ'!$X$82,$A66,1),""))</f>
        <v>1</v>
      </c>
      <c r="CH66" s="207">
        <f>--ISNUMBER(IFERROR(SEARCH('PLANILLA DJ'!$X$83,$A66,1),""))</f>
        <v>1</v>
      </c>
      <c r="CI66" s="207">
        <f>--ISNUMBER(IFERROR(SEARCH('PLANILLA DJ'!$X$84,$A66,1),""))</f>
        <v>1</v>
      </c>
      <c r="CJ66" s="207">
        <f>--ISNUMBER(IFERROR(SEARCH('PLANILLA DJ'!$X$85,$A66,1),""))</f>
        <v>1</v>
      </c>
      <c r="CK66" s="207">
        <f>--ISNUMBER(IFERROR(SEARCH('PLANILLA DJ'!$X$86,$A66,1),""))</f>
        <v>1</v>
      </c>
      <c r="CL66" s="207">
        <f>--ISNUMBER(IFERROR(SEARCH('PLANILLA DJ'!$X$87,$A66,1),""))</f>
        <v>1</v>
      </c>
      <c r="CM66" s="207">
        <f>--ISNUMBER(IFERROR(SEARCH('PLANILLA DJ'!$X$88,$A66,1),""))</f>
        <v>1</v>
      </c>
      <c r="CN66" s="207">
        <f>--ISNUMBER(IFERROR(SEARCH('PLANILLA DJ'!$X$89,$A66,1),""))</f>
        <v>1</v>
      </c>
      <c r="CO66" s="207">
        <f>--ISNUMBER(IFERROR(SEARCH('PLANILLA DJ'!$X$90,$A66,1),""))</f>
        <v>1</v>
      </c>
      <c r="CP66" s="207">
        <f>--ISNUMBER(IFERROR(SEARCH('PLANILLA DJ'!$X$91,$A66,1),""))</f>
        <v>1</v>
      </c>
      <c r="CQ66" s="207">
        <f>--ISNUMBER(IFERROR(SEARCH('PLANILLA DJ'!$X$92,$A66,1),""))</f>
        <v>1</v>
      </c>
      <c r="CR66" s="207">
        <f>--ISNUMBER(IFERROR(SEARCH('PLANILLA DJ'!$X$93,$A66,1),""))</f>
        <v>1</v>
      </c>
      <c r="CS66" s="207">
        <f>--ISNUMBER(IFERROR(SEARCH('PLANILLA DJ'!$X$94,$A66,1),""))</f>
        <v>1</v>
      </c>
      <c r="CT66" s="207">
        <f>--ISNUMBER(IFERROR(SEARCH('PLANILLA DJ'!$X$95,$A66,1),""))</f>
        <v>1</v>
      </c>
      <c r="CU66" s="207">
        <f>--ISNUMBER(IFERROR(SEARCH('PLANILLA DJ'!$X$96,$A66,1),""))</f>
        <v>1</v>
      </c>
      <c r="CV66" s="207">
        <f>--ISNUMBER(IFERROR(SEARCH('PLANILLA DJ'!$X$97,$A66,1),""))</f>
        <v>1</v>
      </c>
      <c r="CW66" s="207">
        <f>--ISNUMBER(IFERROR(SEARCH('PLANILLA DJ'!$X$98,$A66,1),""))</f>
        <v>1</v>
      </c>
      <c r="CX66" s="207">
        <f>--ISNUMBER(IFERROR(SEARCH('PLANILLA DJ'!$X$99,$A66,1),""))</f>
        <v>1</v>
      </c>
      <c r="CY66" s="207">
        <f>--ISNUMBER(IFERROR(SEARCH('PLANILLA DJ'!$X$100,$A66,1),""))</f>
        <v>1</v>
      </c>
      <c r="CZ66" s="207">
        <f>--ISNUMBER(IFERROR(SEARCH('PLANILLA DJ'!$X$101,$A66,1),""))</f>
        <v>1</v>
      </c>
      <c r="DA66" s="207">
        <f>--ISNUMBER(IFERROR(SEARCH('PLANILLA DJ'!$X$102,$A66,1),""))</f>
        <v>1</v>
      </c>
      <c r="DB66" s="206">
        <f>IF(F66=1,COUNTIF($F$2:F66,1),"")</f>
        <v>65</v>
      </c>
      <c r="DC66" s="206">
        <f>IF(G66=1,COUNTIF($G$2:G66,1),"")</f>
        <v>65</v>
      </c>
      <c r="DD66" s="206">
        <f>IF(H66=1,COUNTIF($H$2:H66,1),"")</f>
        <v>65</v>
      </c>
      <c r="DE66" s="206">
        <f>IF(I66=1,COUNTIF($I$2:I66,1),"")</f>
        <v>65</v>
      </c>
      <c r="DF66" s="206">
        <f>IF(J66=1,COUNTIF($J$2:J66,1),"")</f>
        <v>65</v>
      </c>
      <c r="DG66" s="206">
        <f>IF(K66=1,COUNTIF($K$2:K66,1),"")</f>
        <v>65</v>
      </c>
      <c r="DH66" s="206">
        <f>IF(L66=1,COUNTIF($L$2:L66,1),"")</f>
        <v>65</v>
      </c>
      <c r="DI66" s="206">
        <f>IF(M66=1,COUNTIF($M$2:M66,1),"")</f>
        <v>65</v>
      </c>
      <c r="DJ66" s="206">
        <f>IF(N66=1,COUNTIF($N$2:N66,1),"")</f>
        <v>65</v>
      </c>
      <c r="DK66" s="206">
        <f>IF(O66=1,COUNTIF($O$2:O66,1),"")</f>
        <v>65</v>
      </c>
      <c r="DL66" s="206">
        <f>IF(P66=1,COUNTIF($P$2:P66,1),"")</f>
        <v>65</v>
      </c>
      <c r="DM66" s="206">
        <f>IF(Q66=1,COUNTIF($Q$2:Q66,1),"")</f>
        <v>65</v>
      </c>
      <c r="DN66" s="207">
        <f>IF(R66=1,COUNTIF($R$2:R66,1),"")</f>
        <v>65</v>
      </c>
      <c r="DO66" s="207">
        <f>IF(S66=1,COUNTIF($S$2:S66,1),"")</f>
        <v>65</v>
      </c>
      <c r="DP66" s="207">
        <f>IF(T66=1,COUNTIF($T$2:T66,1),"")</f>
        <v>65</v>
      </c>
      <c r="DQ66" s="207">
        <f>IF(U66=1,COUNTIF($U$2:U66,1),"")</f>
        <v>65</v>
      </c>
      <c r="DR66" s="207">
        <f>IF(V66=1,COUNTIF($V$2:V66,1),"")</f>
        <v>65</v>
      </c>
      <c r="DS66" s="207">
        <f>IF(W66=1,COUNTIF($W$2:W66,1),"")</f>
        <v>65</v>
      </c>
      <c r="DT66" s="207">
        <f>IF(X66=1,COUNTIF($X$2:X66,1),"")</f>
        <v>65</v>
      </c>
      <c r="DU66" s="207">
        <f>IF(Y66=1,COUNTIF($Y$2:Y66,1),"")</f>
        <v>65</v>
      </c>
      <c r="DV66" s="207">
        <f>IF(Z66=1,COUNTIF(Z$2:Z66,1),"")</f>
        <v>65</v>
      </c>
      <c r="DW66" s="207">
        <f>IF(AA66=1,COUNTIF($AA$2:AA66,1),"")</f>
        <v>65</v>
      </c>
      <c r="DX66" s="207">
        <f>IF(AB66=1,COUNTIF($AB$2:AB66,1),"")</f>
        <v>65</v>
      </c>
      <c r="DY66" s="207">
        <f>IF(AC66=1,COUNTIF($AC$2:AC66,1),"")</f>
        <v>65</v>
      </c>
      <c r="DZ66" s="207">
        <f>IF(AD66=1,COUNTIF($AD$2:AD66,1),"")</f>
        <v>65</v>
      </c>
      <c r="EA66" s="207">
        <f>IF(AE66=1,COUNTIF($AE$2:AE66,1),"")</f>
        <v>65</v>
      </c>
      <c r="EB66" s="207">
        <f>IF(AF66=1,COUNTIF($AF$2:AF66,1),"")</f>
        <v>65</v>
      </c>
      <c r="EC66" s="207">
        <f>IF(AG66=1,COUNTIF($AG$2:AG66,1),"")</f>
        <v>65</v>
      </c>
      <c r="ED66" s="207">
        <f>IF(AH66=1,COUNTIF($AH$2:AH66,1),"")</f>
        <v>65</v>
      </c>
      <c r="EE66" s="207">
        <f>IF(AI66=1,COUNTIF($AI$2:AI66,1),"")</f>
        <v>65</v>
      </c>
      <c r="EF66" s="207">
        <f>IF(AJ66=1,COUNTIF($AJ$2:AJ66,1),"")</f>
        <v>65</v>
      </c>
      <c r="EG66" s="207">
        <f>IF(AK66=1,COUNTIF($AK$2:AK66,1),"")</f>
        <v>65</v>
      </c>
      <c r="EH66" s="207">
        <f>IF(AL66=1,COUNTIF($AL$2:AL66,1),"")</f>
        <v>65</v>
      </c>
      <c r="EI66" s="207">
        <f>IF(AM66=1,COUNTIF($AM$2:AM66,1),"")</f>
        <v>65</v>
      </c>
      <c r="EJ66" s="207">
        <f>IF(AN66=1,COUNTIF($AN$2:AN66,1),"")</f>
        <v>65</v>
      </c>
      <c r="EK66" s="207">
        <f>IF(AO66=1,COUNTIF($AO$2:AO66,1),"")</f>
        <v>65</v>
      </c>
      <c r="EL66" s="207">
        <f>IF(AP66=1,COUNTIF($AP$2:AP66,1),"")</f>
        <v>65</v>
      </c>
      <c r="EM66" s="207">
        <f>IF(AQ66=1,COUNTIF($AQ$2:AQ66,1),"")</f>
        <v>65</v>
      </c>
      <c r="EN66" s="207">
        <f>IF(AR66=1,COUNTIF($AR$2:AR66,1),"")</f>
        <v>65</v>
      </c>
      <c r="EO66" s="207">
        <f>IF(AS66=1,COUNTIF($AS$2:AS66,1),"")</f>
        <v>65</v>
      </c>
      <c r="EP66" s="207">
        <f>IF(AT66=1,COUNTIF($AT$2:AT66,1),"")</f>
        <v>65</v>
      </c>
      <c r="EQ66" s="207">
        <f>IF(AU66=1,COUNTIF($AU$2:AU66,1),"")</f>
        <v>65</v>
      </c>
      <c r="ER66" s="207">
        <f>IF(AV66=1,COUNTIF($AV$2:AV66,1),"")</f>
        <v>65</v>
      </c>
      <c r="ES66" s="207">
        <f>IF(AW66=1,COUNTIF($AW$2:AW66,1),"")</f>
        <v>65</v>
      </c>
      <c r="ET66" s="207">
        <f>IF(AX66=1,COUNTIF($AX$2:AX66,1),"")</f>
        <v>65</v>
      </c>
      <c r="EU66" s="207">
        <f>IF(AY66=1,COUNTIF($AY$2:AY66,1),"")</f>
        <v>65</v>
      </c>
      <c r="EV66" s="207">
        <f>IF(AZ66=1,COUNTIF($AZ$2:AZ66,1),"")</f>
        <v>65</v>
      </c>
      <c r="EW66" s="207">
        <f>IF(BA66=1,COUNTIF($BA$2:BA66,1),"")</f>
        <v>65</v>
      </c>
      <c r="EX66" s="207">
        <f>IF(BB66=1,COUNTIF($BB$2:BB66,1),"")</f>
        <v>65</v>
      </c>
      <c r="EY66" s="207">
        <f>IF(BC66=1,COUNTIF($BC$2:BC66,1),"")</f>
        <v>65</v>
      </c>
      <c r="EZ66" s="207">
        <f>IF(BD66=1,COUNTIF($BD$2:BD66,1),"")</f>
        <v>65</v>
      </c>
      <c r="FA66" s="207">
        <f>IF(BE66=1,COUNTIF($BE$2:BE66,1),"")</f>
        <v>65</v>
      </c>
      <c r="FB66" s="207">
        <f>IF(BF66=1,COUNTIF($BF$2:BF66,1),"")</f>
        <v>65</v>
      </c>
      <c r="FC66" s="207">
        <f>IF(BG66=1,COUNTIF($BG$2:BG66,1),"")</f>
        <v>65</v>
      </c>
      <c r="FD66" s="207">
        <f>IF(BH66=1,COUNTIF($BH$2:BH66,1),"")</f>
        <v>65</v>
      </c>
      <c r="FE66" s="207">
        <f>IF(BI66=1,COUNTIF($BI$2:BI66,1),"")</f>
        <v>65</v>
      </c>
      <c r="FF66" s="207">
        <f>IF(BJ66=1,COUNTIF($BJ$2:BJ66,1),"")</f>
        <v>65</v>
      </c>
      <c r="FG66" s="207">
        <f>IF(BK66=1,COUNTIF($BK$2:BK66,1),"")</f>
        <v>65</v>
      </c>
      <c r="FH66" s="207">
        <f>IF(BL66=1,COUNTIF($BL$2:BL66,1),"")</f>
        <v>65</v>
      </c>
      <c r="FI66" s="207">
        <f>IF(BM66=1,COUNTIF($BM$2:BM66,1),"")</f>
        <v>65</v>
      </c>
      <c r="FJ66" s="207">
        <f>IF(BN66=1,COUNTIF($BN$2:BN66,1),"")</f>
        <v>65</v>
      </c>
      <c r="FK66" s="207">
        <f>IF(BO66=1,COUNTIF($BO$2:BO66,1),"")</f>
        <v>65</v>
      </c>
      <c r="FL66" s="207">
        <f>IF(BP66=1,COUNTIF($BP$2:BP66,1),"")</f>
        <v>65</v>
      </c>
      <c r="FM66" s="207">
        <f>IF(BQ66=1,COUNTIF($BQ$2:BQ66,1),"")</f>
        <v>65</v>
      </c>
      <c r="FN66" s="207">
        <f>IF(BR66=1,COUNTIF($BR$2:BR66,1),"")</f>
        <v>65</v>
      </c>
      <c r="FO66" s="207">
        <f>IF(BS66=1,COUNTIF($BS$2:BS66,1),"")</f>
        <v>65</v>
      </c>
      <c r="FP66" s="207">
        <f>IF(BT66=1,COUNTIF($BT$2:BT66,1),"")</f>
        <v>65</v>
      </c>
      <c r="FQ66" s="207">
        <f>IF(BU66=1,COUNTIF($BU$2:BU66,1),"")</f>
        <v>65</v>
      </c>
      <c r="FR66" s="207">
        <f>IF(BV66=1,COUNTIF($BV$2:BV66,1),"")</f>
        <v>65</v>
      </c>
      <c r="FS66" s="207">
        <f>IF(BW66=1,COUNTIF($BW$2:BW66,1),"")</f>
        <v>65</v>
      </c>
      <c r="FT66" s="207">
        <f>IF(BX66=1,COUNTIF($BX$2:BX66,1),"")</f>
        <v>65</v>
      </c>
      <c r="FU66" s="207">
        <f>IF(BY66=1,COUNTIF($BY$2:BY66,1),"")</f>
        <v>65</v>
      </c>
      <c r="FV66" s="207">
        <f>IF(BZ66=1,COUNTIF($BZ$2:BZ66,1),"")</f>
        <v>65</v>
      </c>
      <c r="FW66" s="207">
        <f>IF(CA66=1,COUNTIF($CA$2:CA66,1),"")</f>
        <v>65</v>
      </c>
      <c r="FX66" s="207">
        <f>IF(CB66=1,COUNTIF($CB$2:CB66,1),"")</f>
        <v>65</v>
      </c>
      <c r="FY66" s="207">
        <f>IF(CC66=1,COUNTIF($CC$2:CC66,1),"")</f>
        <v>65</v>
      </c>
      <c r="FZ66" s="207">
        <f>IF(CD66=1,COUNTIF($CD$2:CD66,1),"")</f>
        <v>65</v>
      </c>
      <c r="GA66" s="207">
        <f>IF(CE66=1,COUNTIF($CE$2:CE66,1),"")</f>
        <v>65</v>
      </c>
      <c r="GB66" s="207">
        <f>IF(CF66=1,COUNTIF($CF$2:CF66,1),"")</f>
        <v>65</v>
      </c>
      <c r="GC66" s="207">
        <f>IF(CG66=1,COUNTIF($CG$2:CG66,1),"")</f>
        <v>65</v>
      </c>
      <c r="GD66" s="207">
        <f>IF(CH66=1,COUNTIF($CH$2:CH66,1),"")</f>
        <v>65</v>
      </c>
      <c r="GE66" s="207">
        <f>IF(CI66=1,COUNTIF($CI$2:CI66,1),"")</f>
        <v>65</v>
      </c>
      <c r="GF66" s="207">
        <f>IF(CJ66=1,COUNTIF($CJ$2:CJ66,1),"")</f>
        <v>65</v>
      </c>
      <c r="GG66" s="207">
        <f>IF(CK66=1,COUNTIF($CK$2:CK66,1),"")</f>
        <v>65</v>
      </c>
      <c r="GH66" s="207">
        <f>IF(CL66=1,COUNTIF($CL$2:CL66,1),"")</f>
        <v>65</v>
      </c>
      <c r="GI66" s="207">
        <f>IF(CM66=1,COUNTIF($CM$2:CM66,1),"")</f>
        <v>65</v>
      </c>
      <c r="GJ66" s="207">
        <f>IF(CN66=1,COUNTIF($CN$2:CN66,1),"")</f>
        <v>65</v>
      </c>
      <c r="GK66" s="207">
        <f>IF(CO66=1,COUNTIF($CO$2:CO66,1),"")</f>
        <v>65</v>
      </c>
      <c r="GL66" s="207">
        <f>IF(CP66=1,COUNTIF($CP$2:CP66,1),"")</f>
        <v>65</v>
      </c>
      <c r="GM66" s="207">
        <f>IF(CQ66=1,COUNTIF($CQ$2:CQ66,1),"")</f>
        <v>65</v>
      </c>
      <c r="GN66" s="207">
        <f>IF(CR66=1,COUNTIF($CR$2:CR66,1),"")</f>
        <v>65</v>
      </c>
      <c r="GO66" s="207">
        <f>IF(CS66=1,COUNTIF($CS$2:CS66,1),"")</f>
        <v>65</v>
      </c>
      <c r="GP66" s="207">
        <f>IF(CT66=1,COUNTIF($CT$2:CT66,1),"")</f>
        <v>65</v>
      </c>
      <c r="GQ66" s="207">
        <f>IF(CU66=1,COUNTIF($CU$2:CU66,1),"")</f>
        <v>65</v>
      </c>
      <c r="GR66" s="207">
        <f>IF(CV66=1,COUNTIF($CV$2:CV66,1),"")</f>
        <v>65</v>
      </c>
      <c r="GS66" s="207">
        <f>IF(CW66=1,COUNTIF($CW$2:CW66,1),"")</f>
        <v>65</v>
      </c>
      <c r="GT66" s="207">
        <f>IF(CX66=1,COUNTIF($CX$2:CX66,1),"")</f>
        <v>65</v>
      </c>
      <c r="GU66" s="207">
        <f>IF(CY66=1,COUNTIF($CY$2:CY66,1),"")</f>
        <v>65</v>
      </c>
      <c r="GV66" s="207">
        <f>IF(CZ66=1,COUNTIF($CZ$2:CZ66,1),"")</f>
        <v>65</v>
      </c>
      <c r="GW66" s="207">
        <f>IF(DA66=1,COUNTIF($DA$2:DA66,1),"")</f>
        <v>65</v>
      </c>
      <c r="GX66" s="206" t="str">
        <f>IFERROR(INDEX($A$2:$A$113,MATCH(ROWS($DB$2:DB66),$DB$2:$DB$113,0)),"")</f>
        <v>FABRICACION, ADQUISICION, TRANSFERENCIA Y TENENCIA DE EXPLOSIVOS Y OTROS MATERIALES PELIGROSOS</v>
      </c>
      <c r="GY66" s="206" t="str">
        <f>IFERROR(INDEX($A$2:$A$113,MATCH(ROWS($DC$2:DC66),$DC$2:$DC$113,0)),"")</f>
        <v>FABRICACION, ADQUISICION, TRANSFERENCIA Y TENENCIA DE EXPLOSIVOS Y OTROS MATERIALES PELIGROSOS</v>
      </c>
      <c r="GZ66" s="206" t="str">
        <f>IFERROR(INDEX($A$2:$A$113,MATCH(ROWS($DD$2:DD66),$DD$2:$DD$113,0)),"")</f>
        <v>FABRICACION, ADQUISICION, TRANSFERENCIA Y TENENCIA DE EXPLOSIVOS Y OTROS MATERIALES PELIGROSOS</v>
      </c>
      <c r="HA66" s="206" t="str">
        <f>IFERROR(INDEX($A$2:$A$113,MATCH(ROWS($DE$2:DE66),$DE$2:$DE$113,0)),"")</f>
        <v>FABRICACION, ADQUISICION, TRANSFERENCIA Y TENENCIA DE EXPLOSIVOS Y OTROS MATERIALES PELIGROSOS</v>
      </c>
      <c r="HB66" s="206" t="str">
        <f>IFERROR(INDEX($A$2:$A$113,MATCH(ROWS($DF$2:DF66),$DF$2:$DF$113,0)),"")</f>
        <v>FABRICACION, ADQUISICION, TRANSFERENCIA Y TENENCIA DE EXPLOSIVOS Y OTROS MATERIALES PELIGROSOS</v>
      </c>
      <c r="HC66" s="206" t="str">
        <f>IFERROR(INDEX($A$2:$A$113,MATCH(ROWS($DG$2:DG66),$DG$2:$DG$113,0)),"")</f>
        <v>FABRICACION, ADQUISICION, TRANSFERENCIA Y TENENCIA DE EXPLOSIVOS Y OTROS MATERIALES PELIGROSOS</v>
      </c>
      <c r="HD66" s="206" t="str">
        <f>IFERROR(INDEX($A$2:$A$113,MATCH(ROWS($DH$2:DH66),$DH$2:$DH$113,0)),"")</f>
        <v>FABRICACION, ADQUISICION, TRANSFERENCIA Y TENENCIA DE EXPLOSIVOS Y OTROS MATERIALES PELIGROSOS</v>
      </c>
      <c r="HE66" s="206" t="str">
        <f>IFERROR(INDEX($A$2:$A$113,MATCH(ROWS($DI$2:DI66),$DI$2:$DI$113,0)),"")</f>
        <v>FABRICACION, ADQUISICION, TRANSFERENCIA Y TENENCIA DE EXPLOSIVOS Y OTROS MATERIALES PELIGROSOS</v>
      </c>
      <c r="HF66" s="206" t="str">
        <f>IFERROR(INDEX($A$2:$A$113,MATCH(ROWS($DJ$2:DJ66),$DJ$2:$DJ$113,0)),"")</f>
        <v>FABRICACION, ADQUISICION, TRANSFERENCIA Y TENENCIA DE EXPLOSIVOS Y OTROS MATERIALES PELIGROSOS</v>
      </c>
      <c r="HG66" s="206" t="str">
        <f>IFERROR(INDEX($A$2:$A$113,MATCH(ROWS($DK$2:DK66),$DK$2:$DK$113,0)),"")</f>
        <v>FABRICACION, ADQUISICION, TRANSFERENCIA Y TENENCIA DE EXPLOSIVOS Y OTROS MATERIALES PELIGROSOS</v>
      </c>
      <c r="HH66" s="206" t="str">
        <f>IFERROR(INDEX($A$2:$A$113,MATCH(ROWS($DL$2:DL66),$DL$2:$DL$113,0)),"")</f>
        <v>FABRICACION, ADQUISICION, TRANSFERENCIA Y TENENCIA DE EXPLOSIVOS Y OTROS MATERIALES PELIGROSOS</v>
      </c>
      <c r="HI66" s="206" t="str">
        <f>IFERROR(INDEX($A$2:$A$113,MATCH(ROWS($DM$2:DM66),$DM$2:$DM$113,0)),"")</f>
        <v>FABRICACION, ADQUISICION, TRANSFERENCIA Y TENENCIA DE EXPLOSIVOS Y OTROS MATERIALES PELIGROSOS</v>
      </c>
      <c r="HJ66" s="206" t="str">
        <f>IFERROR(INDEX($A$2:$A$113,MATCH(ROWS($DN$2:DN66),$DN$2:$DN$113,0)),"")</f>
        <v>FABRICACION, ADQUISICION, TRANSFERENCIA Y TENENCIA DE EXPLOSIVOS Y OTROS MATERIALES PELIGROSOS</v>
      </c>
      <c r="HK66" s="206" t="str">
        <f>IFERROR(INDEX($A$2:$A$113,MATCH(ROWS($DO$2:DO66),$DO$2:$DO$113,0)),"")</f>
        <v>FABRICACION, ADQUISICION, TRANSFERENCIA Y TENENCIA DE EXPLOSIVOS Y OTROS MATERIALES PELIGROSOS</v>
      </c>
      <c r="HL66" s="206" t="str">
        <f>IFERROR(INDEX($A$2:$A$113,MATCH(ROWS($DP$2:DP66),$DP$2:$DP$113,0)),"")</f>
        <v>FABRICACION, ADQUISICION, TRANSFERENCIA Y TENENCIA DE EXPLOSIVOS Y OTROS MATERIALES PELIGROSOS</v>
      </c>
      <c r="HM66" s="206" t="str">
        <f>IFERROR(INDEX($A$2:$A$113,MATCH(ROWS($DQ$2:DQ66),$DQ$2:$DQ$113,0)),"")</f>
        <v>FABRICACION, ADQUISICION, TRANSFERENCIA Y TENENCIA DE EXPLOSIVOS Y OTROS MATERIALES PELIGROSOS</v>
      </c>
      <c r="HN66" s="206" t="str">
        <f>IFERROR(INDEX($A$2:$A$113,MATCH(ROWS($DR$2:DR66),$DR$2:$DR$113,0)),"")</f>
        <v>FABRICACION, ADQUISICION, TRANSFERENCIA Y TENENCIA DE EXPLOSIVOS Y OTROS MATERIALES PELIGROSOS</v>
      </c>
      <c r="HO66" s="206" t="str">
        <f>IFERROR(INDEX($A$2:$A$113,MATCH(ROWS($DS$2:DS66),$DS$2:$DS$113,0)),"")</f>
        <v>FABRICACION, ADQUISICION, TRANSFERENCIA Y TENENCIA DE EXPLOSIVOS Y OTROS MATERIALES PELIGROSOS</v>
      </c>
      <c r="HP66" s="206" t="str">
        <f>IFERROR(INDEX($A$2:$A$113,MATCH(ROWS($DT$2:DT66),$DT$2:$DT$113,0)),"")</f>
        <v>FABRICACION, ADQUISICION, TRANSFERENCIA Y TENENCIA DE EXPLOSIVOS Y OTROS MATERIALES PELIGROSOS</v>
      </c>
      <c r="HQ66" s="206" t="str">
        <f>IFERROR(INDEX($A$2:$A$113,MATCH(ROWS($DU$2:DU66),$DU$2:$DU$113,0)),"")</f>
        <v>FABRICACION, ADQUISICION, TRANSFERENCIA Y TENENCIA DE EXPLOSIVOS Y OTROS MATERIALES PELIGROSOS</v>
      </c>
      <c r="HR66" s="206" t="str">
        <f>IFERROR(INDEX($A$2:$A$113,MATCH(ROWS($DV$2:DV66),$DV$2:$DV$113,0)),"")</f>
        <v>FABRICACION, ADQUISICION, TRANSFERENCIA Y TENENCIA DE EXPLOSIVOS Y OTROS MATERIALES PELIGROSOS</v>
      </c>
      <c r="HS66" s="206" t="str">
        <f>IFERROR(INDEX($A$2:$A$113,MATCH(ROWS($DW$2:DW66),$DW$2:$DW$113,0)),"")</f>
        <v>FABRICACION, ADQUISICION, TRANSFERENCIA Y TENENCIA DE EXPLOSIVOS Y OTROS MATERIALES PELIGROSOS</v>
      </c>
      <c r="HT66" s="206" t="str">
        <f>IFERROR(INDEX($A$2:$A$113,MATCH(ROWS($DX$2:DX66),$DX$2:$DX$113,0)),"")</f>
        <v>FABRICACION, ADQUISICION, TRANSFERENCIA Y TENENCIA DE EXPLOSIVOS Y OTROS MATERIALES PELIGROSOS</v>
      </c>
      <c r="HU66" s="206" t="str">
        <f>IFERROR(INDEX($A$2:$A$113,MATCH(ROWS($DY$2:DY66),$DY$2:$DY$113,0)),"")</f>
        <v>FABRICACION, ADQUISICION, TRANSFERENCIA Y TENENCIA DE EXPLOSIVOS Y OTROS MATERIALES PELIGROSOS</v>
      </c>
      <c r="HV66" s="206" t="str">
        <f>IFERROR(INDEX($A$2:$A$113,MATCH(ROWS($DZ$2:DZ66),$DZ$2:$DZ$113,0)),"")</f>
        <v>FABRICACION, ADQUISICION, TRANSFERENCIA Y TENENCIA DE EXPLOSIVOS Y OTROS MATERIALES PELIGROSOS</v>
      </c>
      <c r="HW66" s="206" t="str">
        <f>IFERROR(INDEX($A$2:$A$113,MATCH(ROWS($EA$2:EA66),$EA$2:$EA$113,0)),"")</f>
        <v>FABRICACION, ADQUISICION, TRANSFERENCIA Y TENENCIA DE EXPLOSIVOS Y OTROS MATERIALES PELIGROSOS</v>
      </c>
      <c r="HX66" s="206" t="str">
        <f>IFERROR(INDEX($A$2:$A$113,MATCH(ROWS($EB$2:EB66),$EB$2:$EB$113,0)),"")</f>
        <v>FABRICACION, ADQUISICION, TRANSFERENCIA Y TENENCIA DE EXPLOSIVOS Y OTROS MATERIALES PELIGROSOS</v>
      </c>
      <c r="HY66" s="206" t="str">
        <f>IFERROR(INDEX($A$2:$A$113,MATCH(ROWS($EC$2:EC66),$EC$2:$EC$113,0)),"")</f>
        <v>FABRICACION, ADQUISICION, TRANSFERENCIA Y TENENCIA DE EXPLOSIVOS Y OTROS MATERIALES PELIGROSOS</v>
      </c>
      <c r="HZ66" s="206" t="str">
        <f>IFERROR(INDEX($A$2:$A$113,MATCH(ROWS($ED$2:ED66),$ED$2:$ED$113,0)),"")</f>
        <v>FABRICACION, ADQUISICION, TRANSFERENCIA Y TENENCIA DE EXPLOSIVOS Y OTROS MATERIALES PELIGROSOS</v>
      </c>
      <c r="IA66" s="206" t="str">
        <f>IFERROR(INDEX($A$2:$A$113,MATCH(ROWS($EE$2:EE66),$EE$2:$EE$113,0)),"")</f>
        <v>FABRICACION, ADQUISICION, TRANSFERENCIA Y TENENCIA DE EXPLOSIVOS Y OTROS MATERIALES PELIGROSOS</v>
      </c>
      <c r="IB66" s="206" t="str">
        <f>IFERROR(INDEX($A$2:$A$113,MATCH(ROWS($EF$2:EF66),$EF$2:$EF$113,0)),"")</f>
        <v>FABRICACION, ADQUISICION, TRANSFERENCIA Y TENENCIA DE EXPLOSIVOS Y OTROS MATERIALES PELIGROSOS</v>
      </c>
      <c r="IC66" s="206" t="str">
        <f>IFERROR(INDEX($A$2:$A$113,MATCH(ROWS($EG$2:EG66),$EG$2:$EG$113,0)),"")</f>
        <v>FABRICACION, ADQUISICION, TRANSFERENCIA Y TENENCIA DE EXPLOSIVOS Y OTROS MATERIALES PELIGROSOS</v>
      </c>
      <c r="ID66" s="206" t="str">
        <f>IFERROR(INDEX($A$2:$A$113,MATCH(ROWS($EH$2:EH66),$EH$2:$EH$113,0)),"")</f>
        <v>FABRICACION, ADQUISICION, TRANSFERENCIA Y TENENCIA DE EXPLOSIVOS Y OTROS MATERIALES PELIGROSOS</v>
      </c>
      <c r="IE66" s="206" t="str">
        <f>IFERROR(INDEX($A$2:$A$113,MATCH(ROWS($EI$2:EI66),$EI$2:$EI$113,0)),"")</f>
        <v>FABRICACION, ADQUISICION, TRANSFERENCIA Y TENENCIA DE EXPLOSIVOS Y OTROS MATERIALES PELIGROSOS</v>
      </c>
      <c r="IF66" s="206" t="str">
        <f>IFERROR(INDEX($A$2:$A$113,MATCH(ROWS($EJ$2:EJ66),$EJ$2:$EJ$113,0)),"")</f>
        <v>FABRICACION, ADQUISICION, TRANSFERENCIA Y TENENCIA DE EXPLOSIVOS Y OTROS MATERIALES PELIGROSOS</v>
      </c>
      <c r="IG66" s="206" t="str">
        <f>IFERROR(INDEX($A$2:$A$113,MATCH(ROWS($EK$2:EK66),$EK$2:$EK$113,0)),"")</f>
        <v>FABRICACION, ADQUISICION, TRANSFERENCIA Y TENENCIA DE EXPLOSIVOS Y OTROS MATERIALES PELIGROSOS</v>
      </c>
      <c r="IH66" s="206" t="str">
        <f>IFERROR(INDEX($A$2:$A$113,MATCH(ROWS($EL$2:EL66),$EL$2:$EL$113,0)),"")</f>
        <v>FABRICACION, ADQUISICION, TRANSFERENCIA Y TENENCIA DE EXPLOSIVOS Y OTROS MATERIALES PELIGROSOS</v>
      </c>
      <c r="II66" s="206" t="str">
        <f>IFERROR(INDEX($A$2:$A$113,MATCH(ROWS($EM$2:EM66),$EM$2:$EM$113,0)),"")</f>
        <v>FABRICACION, ADQUISICION, TRANSFERENCIA Y TENENCIA DE EXPLOSIVOS Y OTROS MATERIALES PELIGROSOS</v>
      </c>
      <c r="IJ66" s="206" t="str">
        <f>IFERROR(INDEX($A$2:$A$113,MATCH(ROWS($EN$2:EN66),$EN$2:$EN$113,0)),"")</f>
        <v>FABRICACION, ADQUISICION, TRANSFERENCIA Y TENENCIA DE EXPLOSIVOS Y OTROS MATERIALES PELIGROSOS</v>
      </c>
      <c r="IK66" s="207" t="str">
        <f>IFERROR(INDEX($A$2:$A$113,MATCH(ROWS($EO$2:EO66),$EO$2:$EO$113,0)),"")</f>
        <v>FABRICACION, ADQUISICION, TRANSFERENCIA Y TENENCIA DE EXPLOSIVOS Y OTROS MATERIALES PELIGROSOS</v>
      </c>
      <c r="IL66" s="207" t="str">
        <f>IFERROR(INDEX($A$2:$A$113,MATCH(ROWS($EP$2:EP66),$EP$2:$EP$113,0)),"")</f>
        <v>FABRICACION, ADQUISICION, TRANSFERENCIA Y TENENCIA DE EXPLOSIVOS Y OTROS MATERIALES PELIGROSOS</v>
      </c>
      <c r="IM66" s="207" t="str">
        <f>IFERROR(INDEX($A$2:$A$113,MATCH(ROWS($EQ$2:EQ66),$EQ$2:$EQ$113,0)),"")</f>
        <v>FABRICACION, ADQUISICION, TRANSFERENCIA Y TENENCIA DE EXPLOSIVOS Y OTROS MATERIALES PELIGROSOS</v>
      </c>
      <c r="IN66" s="207" t="str">
        <f>IFERROR(INDEX($A$2:$A$113,MATCH(ROWS($ER$2:ER66),$ER$2:$ER$113,0)),"")</f>
        <v>FABRICACION, ADQUISICION, TRANSFERENCIA Y TENENCIA DE EXPLOSIVOS Y OTROS MATERIALES PELIGROSOS</v>
      </c>
      <c r="IO66" s="207" t="str">
        <f>IFERROR(INDEX($A$2:$A$113,MATCH(ROWS($ES$2:ES66),$ES$2:$ES$113,0)),"")</f>
        <v>FABRICACION, ADQUISICION, TRANSFERENCIA Y TENENCIA DE EXPLOSIVOS Y OTROS MATERIALES PELIGROSOS</v>
      </c>
      <c r="IP66" s="207" t="str">
        <f>IFERROR(INDEX($A$2:$A$113,MATCH(ROWS($ET$2:ET66),$ET$2:$ET$113,0)),"")</f>
        <v>FABRICACION, ADQUISICION, TRANSFERENCIA Y TENENCIA DE EXPLOSIVOS Y OTROS MATERIALES PELIGROSOS</v>
      </c>
      <c r="IQ66" s="207" t="str">
        <f>IFERROR(INDEX($A$2:$A$113,MATCH(ROWS($EU$2:EU66),$EU$2:$EU$113,0)),"")</f>
        <v>FABRICACION, ADQUISICION, TRANSFERENCIA Y TENENCIA DE EXPLOSIVOS Y OTROS MATERIALES PELIGROSOS</v>
      </c>
      <c r="IR66" s="207" t="str">
        <f>IFERROR(INDEX($A$2:$A$113,MATCH(ROWS($EV$2:EV66),$EV$2:$EV$113,0)),"")</f>
        <v>FABRICACION, ADQUISICION, TRANSFERENCIA Y TENENCIA DE EXPLOSIVOS Y OTROS MATERIALES PELIGROSOS</v>
      </c>
      <c r="IS66" s="207" t="str">
        <f>IFERROR(INDEX($A$2:$A$113,MATCH(ROWS($EW$2:EW66),$EW$2:$EW$113,0)),"")</f>
        <v>FABRICACION, ADQUISICION, TRANSFERENCIA Y TENENCIA DE EXPLOSIVOS Y OTROS MATERIALES PELIGROSOS</v>
      </c>
      <c r="IT66" s="207" t="str">
        <f>IFERROR(INDEX($A$2:$A$113,MATCH(ROWS($EX$2:EX66),$EX$2:$EX$113,0)),"")</f>
        <v>FABRICACION, ADQUISICION, TRANSFERENCIA Y TENENCIA DE EXPLOSIVOS Y OTROS MATERIALES PELIGROSOS</v>
      </c>
      <c r="IU66" s="207" t="str">
        <f>IFERROR(INDEX($A$2:$A$113,MATCH(ROWS($EY$2:EY66),$EY$2:$EY$113,0)),"")</f>
        <v>FABRICACION, ADQUISICION, TRANSFERENCIA Y TENENCIA DE EXPLOSIVOS Y OTROS MATERIALES PELIGROSOS</v>
      </c>
      <c r="IV66" s="207" t="str">
        <f>IFERROR(INDEX($A$2:$A$113,MATCH(ROWS($EZ$2:EZ66),$EZ$2:$EZ$113,0)),"")</f>
        <v>FABRICACION, ADQUISICION, TRANSFERENCIA Y TENENCIA DE EXPLOSIVOS Y OTROS MATERIALES PELIGROSOS</v>
      </c>
      <c r="IW66" s="207" t="str">
        <f>IFERROR(INDEX($A$2:$A$113,MATCH(ROWS($FA$2:FA66),$FA$2:$FA$113,0)),"")</f>
        <v>FABRICACION, ADQUISICION, TRANSFERENCIA Y TENENCIA DE EXPLOSIVOS Y OTROS MATERIALES PELIGROSOS</v>
      </c>
      <c r="IX66" s="207" t="str">
        <f>IFERROR(INDEX($A$2:$A$113,MATCH(ROWS($FB$2:FB66),$FB$2:$FB$113,0)),"")</f>
        <v>FABRICACION, ADQUISICION, TRANSFERENCIA Y TENENCIA DE EXPLOSIVOS Y OTROS MATERIALES PELIGROSOS</v>
      </c>
      <c r="IY66" s="207" t="str">
        <f>IFERROR(INDEX($A$2:$A$113,MATCH(ROWS($FC$2:FC66),$FC$2:$FC$113,0)),"")</f>
        <v>FABRICACION, ADQUISICION, TRANSFERENCIA Y TENENCIA DE EXPLOSIVOS Y OTROS MATERIALES PELIGROSOS</v>
      </c>
      <c r="IZ66" s="207" t="str">
        <f>IFERROR(INDEX($A$2:$A$113,MATCH(ROWS($FD$2:FD66),$FD$2:$FD$113,0)),"")</f>
        <v>FABRICACION, ADQUISICION, TRANSFERENCIA Y TENENCIA DE EXPLOSIVOS Y OTROS MATERIALES PELIGROSOS</v>
      </c>
      <c r="JA66" s="207" t="str">
        <f>IFERROR(INDEX($A$2:$A$113,MATCH(ROWS($FE$2:FE66),$FE$2:$FE$113,0)),"")</f>
        <v>FABRICACION, ADQUISICION, TRANSFERENCIA Y TENENCIA DE EXPLOSIVOS Y OTROS MATERIALES PELIGROSOS</v>
      </c>
      <c r="JB66" s="207" t="str">
        <f>IFERROR(INDEX($A$2:$A$113,MATCH(ROWS($FF$2:FF66),$FF$2:$FF$113,0)),"")</f>
        <v>FABRICACION, ADQUISICION, TRANSFERENCIA Y TENENCIA DE EXPLOSIVOS Y OTROS MATERIALES PELIGROSOS</v>
      </c>
      <c r="JC66" s="207" t="str">
        <f>IFERROR(INDEX($A$2:$A$113,MATCH(ROWS($FG$2:FG66),$FG$2:$FG$113,0)),"")</f>
        <v>FABRICACION, ADQUISICION, TRANSFERENCIA Y TENENCIA DE EXPLOSIVOS Y OTROS MATERIALES PELIGROSOS</v>
      </c>
      <c r="JD66" s="207" t="str">
        <f>IFERROR(INDEX($A$2:$A$113,MATCH(ROWS($FH$2:FH66),$FH$2:$FH$113,0)),"")</f>
        <v>FABRICACION, ADQUISICION, TRANSFERENCIA Y TENENCIA DE EXPLOSIVOS Y OTROS MATERIALES PELIGROSOS</v>
      </c>
      <c r="JE66" s="207" t="str">
        <f>IFERROR(INDEX($A$2:$A$113,MATCH(ROWS($FI$2:FI66),$FI$2:$FI$113,0)),"")</f>
        <v>FABRICACION, ADQUISICION, TRANSFERENCIA Y TENENCIA DE EXPLOSIVOS Y OTROS MATERIALES PELIGROSOS</v>
      </c>
      <c r="JF66" s="207" t="str">
        <f>IFERROR(INDEX($A$2:$A$113,MATCH(ROWS($FJ$2:FJ66),$FJ$2:$FJ$113,0)),"")</f>
        <v>FABRICACION, ADQUISICION, TRANSFERENCIA Y TENENCIA DE EXPLOSIVOS Y OTROS MATERIALES PELIGROSOS</v>
      </c>
      <c r="JG66" s="207" t="str">
        <f>IFERROR(INDEX($A$2:$A$113,MATCH(ROWS($FK$2:FK66),$FK$2:$FK$113,0)),"")</f>
        <v>FABRICACION, ADQUISICION, TRANSFERENCIA Y TENENCIA DE EXPLOSIVOS Y OTROS MATERIALES PELIGROSOS</v>
      </c>
      <c r="JH66" s="207" t="str">
        <f>IFERROR(INDEX($A$2:$A$113,MATCH(ROWS($FL$2:FL66),$FL$2:$FL$113,0)),"")</f>
        <v>FABRICACION, ADQUISICION, TRANSFERENCIA Y TENENCIA DE EXPLOSIVOS Y OTROS MATERIALES PELIGROSOS</v>
      </c>
      <c r="JI66" s="207" t="str">
        <f>IFERROR(INDEX($A$2:$A$113,MATCH(ROWS($FM$2:FM66),$FM$2:$FM$113,0)),"")</f>
        <v>FABRICACION, ADQUISICION, TRANSFERENCIA Y TENENCIA DE EXPLOSIVOS Y OTROS MATERIALES PELIGROSOS</v>
      </c>
      <c r="JJ66" s="207" t="str">
        <f>IFERROR(INDEX($A$2:$A$113,MATCH(ROWS($FN$2:FN66),$FN$2:$FN$113,0)),"")</f>
        <v>FABRICACION, ADQUISICION, TRANSFERENCIA Y TENENCIA DE EXPLOSIVOS Y OTROS MATERIALES PELIGROSOS</v>
      </c>
      <c r="JK66" s="207" t="str">
        <f>IFERROR(INDEX($A$2:$A$113,MATCH(ROWS($FO$2:FO66),$FO$2:$FO$113,0)),"")</f>
        <v>FABRICACION, ADQUISICION, TRANSFERENCIA Y TENENCIA DE EXPLOSIVOS Y OTROS MATERIALES PELIGROSOS</v>
      </c>
      <c r="JL66" s="207" t="str">
        <f>IFERROR(INDEX($A$2:$A$113,MATCH(ROWS($FP$2:FP66),$FP$2:$FP$113,0)),"")</f>
        <v>FABRICACION, ADQUISICION, TRANSFERENCIA Y TENENCIA DE EXPLOSIVOS Y OTROS MATERIALES PELIGROSOS</v>
      </c>
      <c r="JM66" s="207" t="str">
        <f>IFERROR(INDEX($A$2:$A$113,MATCH(ROWS($FQ$2:FQ66),$FQ$2:$FQ$113,0)),"")</f>
        <v>FABRICACION, ADQUISICION, TRANSFERENCIA Y TENENCIA DE EXPLOSIVOS Y OTROS MATERIALES PELIGROSOS</v>
      </c>
      <c r="JN66" s="207" t="str">
        <f>IFERROR(INDEX($A$2:$A$113,MATCH(ROWS($FR$2:FR66),$FR$2:$FR$113,0)),"")</f>
        <v>FABRICACION, ADQUISICION, TRANSFERENCIA Y TENENCIA DE EXPLOSIVOS Y OTROS MATERIALES PELIGROSOS</v>
      </c>
      <c r="JO66" s="207" t="str">
        <f>IFERROR(INDEX($A$2:$A$113,MATCH(ROWS($FS$2:FS66),$FS$2:$FS$113,0)),"")</f>
        <v>FABRICACION, ADQUISICION, TRANSFERENCIA Y TENENCIA DE EXPLOSIVOS Y OTROS MATERIALES PELIGROSOS</v>
      </c>
      <c r="JP66" s="207" t="str">
        <f>IFERROR(INDEX($A$2:$A$113,MATCH(ROWS($FT$2:FT66),$FT$2:$FT$113,0)),"")</f>
        <v>FABRICACION, ADQUISICION, TRANSFERENCIA Y TENENCIA DE EXPLOSIVOS Y OTROS MATERIALES PELIGROSOS</v>
      </c>
      <c r="JQ66" s="207" t="str">
        <f>IFERROR(INDEX($A$2:$A$113,MATCH(ROWS($FU$2:FU66),$FU$2:$FU$113,0)),"")</f>
        <v>FABRICACION, ADQUISICION, TRANSFERENCIA Y TENENCIA DE EXPLOSIVOS Y OTROS MATERIALES PELIGROSOS</v>
      </c>
      <c r="JR66" s="207" t="str">
        <f>IFERROR(INDEX($A$2:$A$113,MATCH(ROWS($FV$2:FV66),$FV$2:$FV$113,0)),"")</f>
        <v>FABRICACION, ADQUISICION, TRANSFERENCIA Y TENENCIA DE EXPLOSIVOS Y OTROS MATERIALES PELIGROSOS</v>
      </c>
      <c r="JS66" s="207" t="str">
        <f>IFERROR(INDEX($A$2:$A$113,MATCH(ROWS($FW$2:FW66),$FW$2:$FW$113,0)),"")</f>
        <v>FABRICACION, ADQUISICION, TRANSFERENCIA Y TENENCIA DE EXPLOSIVOS Y OTROS MATERIALES PELIGROSOS</v>
      </c>
      <c r="JT66" s="207" t="str">
        <f>IFERROR(INDEX($A$2:$A$113,MATCH(ROWS($FX$2:FX66),$FX$2:$FX$113,0)),"")</f>
        <v>FABRICACION, ADQUISICION, TRANSFERENCIA Y TENENCIA DE EXPLOSIVOS Y OTROS MATERIALES PELIGROSOS</v>
      </c>
      <c r="JU66" s="207" t="str">
        <f>IFERROR(INDEX($A$2:$A$113,MATCH(ROWS($FY$2:FY66),$FY$2:$FY$113,0)),"")</f>
        <v>FABRICACION, ADQUISICION, TRANSFERENCIA Y TENENCIA DE EXPLOSIVOS Y OTROS MATERIALES PELIGROSOS</v>
      </c>
      <c r="JV66" s="207" t="str">
        <f>IFERROR(INDEX($A$2:$A$113,MATCH(ROWS($FZ$2:FZ66),$FZ$2:$FZ$113,0)),"")</f>
        <v>FABRICACION, ADQUISICION, TRANSFERENCIA Y TENENCIA DE EXPLOSIVOS Y OTROS MATERIALES PELIGROSOS</v>
      </c>
      <c r="JW66" s="207" t="str">
        <f>IFERROR(INDEX($A$2:$A$113,MATCH(ROWS($GA$2:GA66),$GA$2:$GA$113,0)),"")</f>
        <v>FABRICACION, ADQUISICION, TRANSFERENCIA Y TENENCIA DE EXPLOSIVOS Y OTROS MATERIALES PELIGROSOS</v>
      </c>
      <c r="JX66" s="207" t="str">
        <f>IFERROR(INDEX($A$2:$A$113,MATCH(ROWS($GB$2:GB66),$GB$2:$GB$113,0)),"")</f>
        <v>FABRICACION, ADQUISICION, TRANSFERENCIA Y TENENCIA DE EXPLOSIVOS Y OTROS MATERIALES PELIGROSOS</v>
      </c>
      <c r="JY66" s="207" t="str">
        <f>IFERROR(INDEX($A$2:$A$113,MATCH(ROWS($GC$2:GC66),$GC$2:$GC$113,0)),"")</f>
        <v>FABRICACION, ADQUISICION, TRANSFERENCIA Y TENENCIA DE EXPLOSIVOS Y OTROS MATERIALES PELIGROSOS</v>
      </c>
      <c r="JZ66" s="207" t="str">
        <f>IFERROR(INDEX($A$2:$A$113,MATCH(ROWS($GD$2:GD66),$GD$2:$GD$113,0)),"")</f>
        <v>FABRICACION, ADQUISICION, TRANSFERENCIA Y TENENCIA DE EXPLOSIVOS Y OTROS MATERIALES PELIGROSOS</v>
      </c>
      <c r="KA66" s="207" t="str">
        <f>IFERROR(INDEX($A$2:$A$113,MATCH(ROWS($GE$2:GE66),$GE$2:$GE$113,0)),"")</f>
        <v>FABRICACION, ADQUISICION, TRANSFERENCIA Y TENENCIA DE EXPLOSIVOS Y OTROS MATERIALES PELIGROSOS</v>
      </c>
      <c r="KB66" s="207" t="str">
        <f>IFERROR(INDEX($A$2:$A$113,MATCH(ROWS($GF$2:GF66),$GF$2:$GF$113,0)),"")</f>
        <v>FABRICACION, ADQUISICION, TRANSFERENCIA Y TENENCIA DE EXPLOSIVOS Y OTROS MATERIALES PELIGROSOS</v>
      </c>
      <c r="KC66" s="207" t="str">
        <f>IFERROR(INDEX($A$2:$A$113,MATCH(ROWS($GG$2:GG66),$GG$2:$GG$113,0)),"")</f>
        <v>FABRICACION, ADQUISICION, TRANSFERENCIA Y TENENCIA DE EXPLOSIVOS Y OTROS MATERIALES PELIGROSOS</v>
      </c>
      <c r="KD66" s="207" t="str">
        <f>IFERROR(INDEX($A$2:$A$113,MATCH(ROWS($GH$2:GH66),$GH$2:$GH$113,0)),"")</f>
        <v>FABRICACION, ADQUISICION, TRANSFERENCIA Y TENENCIA DE EXPLOSIVOS Y OTROS MATERIALES PELIGROSOS</v>
      </c>
      <c r="KE66" s="207" t="str">
        <f>IFERROR(INDEX($A$2:$A$113,MATCH(ROWS($GI$2:GI66),$GI$2:$GI$113,0)),"")</f>
        <v>FABRICACION, ADQUISICION, TRANSFERENCIA Y TENENCIA DE EXPLOSIVOS Y OTROS MATERIALES PELIGROSOS</v>
      </c>
      <c r="KF66" s="207" t="str">
        <f>IFERROR(INDEX($A$2:$A$113,MATCH(ROWS($GJ$2:GJ66),$GJ$2:$GJ$113,0)),"")</f>
        <v>FABRICACION, ADQUISICION, TRANSFERENCIA Y TENENCIA DE EXPLOSIVOS Y OTROS MATERIALES PELIGROSOS</v>
      </c>
      <c r="KG66" s="207" t="str">
        <f>IFERROR(INDEX($A$2:$A$113,MATCH(ROWS($GK$2:GK66),$GK$2:$GK$113,0)),"")</f>
        <v>FABRICACION, ADQUISICION, TRANSFERENCIA Y TENENCIA DE EXPLOSIVOS Y OTROS MATERIALES PELIGROSOS</v>
      </c>
      <c r="KH66" s="207" t="str">
        <f>IFERROR(INDEX($A$2:$A$113,MATCH(ROWS($GL$2:GL66),$GL$2:$GL$113,0)),"")</f>
        <v>FABRICACION, ADQUISICION, TRANSFERENCIA Y TENENCIA DE EXPLOSIVOS Y OTROS MATERIALES PELIGROSOS</v>
      </c>
      <c r="KI66" s="207" t="str">
        <f>IFERROR(INDEX($A$2:$A$113,MATCH(ROWS($GM$2:GM66),$GM$2:$GM$113,0)),"")</f>
        <v>FABRICACION, ADQUISICION, TRANSFERENCIA Y TENENCIA DE EXPLOSIVOS Y OTROS MATERIALES PELIGROSOS</v>
      </c>
      <c r="KJ66" s="207" t="str">
        <f>IFERROR(INDEX($A$2:$A$113,MATCH(ROWS($GN$2:GN66),$GN$2:$GN$113,0)),"")</f>
        <v>FABRICACION, ADQUISICION, TRANSFERENCIA Y TENENCIA DE EXPLOSIVOS Y OTROS MATERIALES PELIGROSOS</v>
      </c>
      <c r="KK66" s="207" t="str">
        <f>IFERROR(INDEX($A$2:$A$113,MATCH(ROWS($GO$2:GO66),$GO$2:$GO$113,0)),"")</f>
        <v>FABRICACION, ADQUISICION, TRANSFERENCIA Y TENENCIA DE EXPLOSIVOS Y OTROS MATERIALES PELIGROSOS</v>
      </c>
      <c r="KL66" s="207" t="str">
        <f>IFERROR(INDEX($A$2:$A$113,MATCH(ROWS($GP$2:GP66),$GP$2:$GP$113,0)),"")</f>
        <v>FABRICACION, ADQUISICION, TRANSFERENCIA Y TENENCIA DE EXPLOSIVOS Y OTROS MATERIALES PELIGROSOS</v>
      </c>
      <c r="KM66" s="207" t="str">
        <f>IFERROR(INDEX($A$2:$A$113,MATCH(ROWS($GQ$2:GQ66),$GQ$2:$GQ$113,0)),"")</f>
        <v>FABRICACION, ADQUISICION, TRANSFERENCIA Y TENENCIA DE EXPLOSIVOS Y OTROS MATERIALES PELIGROSOS</v>
      </c>
      <c r="KN66" s="207" t="str">
        <f>IFERROR(INDEX($A$2:$A$113,MATCH(ROWS($GR$2:GR66),$GR$2:$GR$113,0)),"")</f>
        <v>FABRICACION, ADQUISICION, TRANSFERENCIA Y TENENCIA DE EXPLOSIVOS Y OTROS MATERIALES PELIGROSOS</v>
      </c>
      <c r="KO66" s="207" t="str">
        <f>IFERROR(INDEX($A$2:$A$113,MATCH(ROWS($GS$2:GS66),$GS$2:$GS$113,0)),"")</f>
        <v>FABRICACION, ADQUISICION, TRANSFERENCIA Y TENENCIA DE EXPLOSIVOS Y OTROS MATERIALES PELIGROSOS</v>
      </c>
      <c r="KP66" s="207" t="str">
        <f>IFERROR(INDEX($A$2:$A$113,MATCH(ROWS($GT$2:GT66),$GT$2:$GT$113,0)),"")</f>
        <v>FABRICACION, ADQUISICION, TRANSFERENCIA Y TENENCIA DE EXPLOSIVOS Y OTROS MATERIALES PELIGROSOS</v>
      </c>
      <c r="KQ66" s="207" t="str">
        <f>IFERROR(INDEX($A$2:$A$113,MATCH(ROWS($GU$2:GU66),$GU$2:$GU$113,0)),"")</f>
        <v>FABRICACION, ADQUISICION, TRANSFERENCIA Y TENENCIA DE EXPLOSIVOS Y OTROS MATERIALES PELIGROSOS</v>
      </c>
      <c r="KR66" s="207" t="str">
        <f>IFERROR(INDEX($A$2:$A$113,MATCH(ROWS($GV$2:GV66),$GV$2:$GV$113,0)),"")</f>
        <v>FABRICACION, ADQUISICION, TRANSFERENCIA Y TENENCIA DE EXPLOSIVOS Y OTROS MATERIALES PELIGROSOS</v>
      </c>
      <c r="KS66" s="207" t="str">
        <f>IFERROR(INDEX($A$2:$A$113,MATCH(ROWS($GW$2:GW66),$GW$2:$GW$113,0)),"")</f>
        <v>FABRICACION, ADQUISICION, TRANSFERENCIA Y TENENCIA DE EXPLOSIVOS Y OTROS MATERIALES PELIGROSOS</v>
      </c>
    </row>
    <row r="67" spans="1:305" x14ac:dyDescent="0.25">
      <c r="A67" s="206" t="s">
        <v>101</v>
      </c>
      <c r="B67" s="206" t="s">
        <v>102</v>
      </c>
      <c r="D67" s="206" t="s">
        <v>14</v>
      </c>
      <c r="E67" s="206" t="s">
        <v>99</v>
      </c>
      <c r="F67" s="207">
        <f>--ISNUMBER(IFERROR(SEARCH('PLANILLA DJ'!$X$3,$A67,1),""))</f>
        <v>1</v>
      </c>
      <c r="G67" s="207">
        <f>--ISNUMBER(IFERROR(SEARCH('PLANILLA DJ'!$X$4,$A67,1),""))</f>
        <v>1</v>
      </c>
      <c r="H67" s="207">
        <f>--ISNUMBER(IFERROR(SEARCH('PLANILLA DJ'!$X$5,$A67,1),""))</f>
        <v>1</v>
      </c>
      <c r="I67" s="207">
        <f>--ISNUMBER(IFERROR(SEARCH('PLANILLA DJ'!$X$6,$A67,1),""))</f>
        <v>1</v>
      </c>
      <c r="J67" s="207">
        <f>--ISNUMBER(IFERROR(SEARCH('PLANILLA DJ'!$X$7,$A67,1),""))</f>
        <v>1</v>
      </c>
      <c r="K67" s="207">
        <f>--ISNUMBER(IFERROR(SEARCH('PLANILLA DJ'!$X$8,$A67,1),""))</f>
        <v>1</v>
      </c>
      <c r="L67" s="207">
        <f>--ISNUMBER(IFERROR(SEARCH('PLANILLA DJ'!$X$9,$A67,1),""))</f>
        <v>1</v>
      </c>
      <c r="M67" s="207">
        <f>--ISNUMBER(IFERROR(SEARCH('PLANILLA DJ'!$X$10,$A67,1),""))</f>
        <v>1</v>
      </c>
      <c r="N67" s="207">
        <f>--ISNUMBER(IFERROR(SEARCH('PLANILLA DJ'!$X$11,$A67,1),""))</f>
        <v>1</v>
      </c>
      <c r="O67" s="207">
        <f>--ISNUMBER(IFERROR(SEARCH('PLANILLA DJ'!$X$12,$A67,1),""))</f>
        <v>1</v>
      </c>
      <c r="P67" s="207">
        <f>--ISNUMBER(IFERROR(SEARCH('PLANILLA DJ'!$X$13,$A67,1),""))</f>
        <v>1</v>
      </c>
      <c r="Q67" s="207">
        <f>--ISNUMBER(IFERROR(SEARCH('PLANILLA DJ'!$X$14,$A67,1),""))</f>
        <v>1</v>
      </c>
      <c r="R67" s="207">
        <f>--ISNUMBER(IFERROR(SEARCH('PLANILLA DJ'!$X$15,$A67,1),""))</f>
        <v>1</v>
      </c>
      <c r="S67" s="207">
        <f>--ISNUMBER(IFERROR(SEARCH('PLANILLA DJ'!$X$16,$A67,1),""))</f>
        <v>1</v>
      </c>
      <c r="T67" s="207">
        <f>--ISNUMBER(IFERROR(SEARCH('PLANILLA DJ'!$X$17,$A67,1),""))</f>
        <v>1</v>
      </c>
      <c r="U67" s="207">
        <f>--ISNUMBER(IFERROR(SEARCH('PLANILLA DJ'!$X$18,$A67,1),""))</f>
        <v>1</v>
      </c>
      <c r="V67" s="207">
        <f>--ISNUMBER(IFERROR(SEARCH('PLANILLA DJ'!$X$19,$A67,1),""))</f>
        <v>1</v>
      </c>
      <c r="W67" s="207">
        <f>--ISNUMBER(IFERROR(SEARCH('PLANILLA DJ'!$X$20,$A67,1),""))</f>
        <v>1</v>
      </c>
      <c r="X67" s="207">
        <f>--ISNUMBER(IFERROR(SEARCH('PLANILLA DJ'!$X$21,$A67,1),""))</f>
        <v>1</v>
      </c>
      <c r="Y67" s="207">
        <f>--ISNUMBER(IFERROR(SEARCH('PLANILLA DJ'!$X$22,$A67,1),""))</f>
        <v>1</v>
      </c>
      <c r="Z67" s="207">
        <f>--ISNUMBER(IFERROR(SEARCH('PLANILLA DJ'!$X$23,$A67,1),""))</f>
        <v>1</v>
      </c>
      <c r="AA67" s="207">
        <f>--ISNUMBER(IFERROR(SEARCH('PLANILLA DJ'!$X$24,$A67,1),""))</f>
        <v>1</v>
      </c>
      <c r="AB67" s="207">
        <f>--ISNUMBER(IFERROR(SEARCH('PLANILLA DJ'!$X$25,$A67,1),""))</f>
        <v>1</v>
      </c>
      <c r="AC67" s="207">
        <f>--ISNUMBER(IFERROR(SEARCH('PLANILLA DJ'!$X$26,$A67,1),""))</f>
        <v>1</v>
      </c>
      <c r="AD67" s="207">
        <f>--ISNUMBER(IFERROR(SEARCH('PLANILLA DJ'!$X$27,$A67,1),""))</f>
        <v>1</v>
      </c>
      <c r="AE67" s="207">
        <f>--ISNUMBER(IFERROR(SEARCH('PLANILLA DJ'!$X$28,$A67,1),""))</f>
        <v>1</v>
      </c>
      <c r="AF67" s="207">
        <f>--ISNUMBER(IFERROR(SEARCH('PLANILLA DJ'!$X$29,$A67,1),""))</f>
        <v>1</v>
      </c>
      <c r="AG67" s="207">
        <f>--ISNUMBER(IFERROR(SEARCH('PLANILLA DJ'!$X$30,$A67,1),""))</f>
        <v>1</v>
      </c>
      <c r="AH67" s="207">
        <f>--ISNUMBER(IFERROR(SEARCH('PLANILLA DJ'!$X$31,$A67,1),""))</f>
        <v>1</v>
      </c>
      <c r="AI67" s="207">
        <f>--ISNUMBER(IFERROR(SEARCH('PLANILLA DJ'!$X$32,$A67,1),""))</f>
        <v>1</v>
      </c>
      <c r="AJ67" s="207">
        <f>--ISNUMBER(IFERROR(SEARCH('PLANILLA DJ'!$X$33,$A67,1),""))</f>
        <v>1</v>
      </c>
      <c r="AK67" s="207">
        <f>--ISNUMBER(IFERROR(SEARCH('PLANILLA DJ'!$X$34,$A67,1),""))</f>
        <v>1</v>
      </c>
      <c r="AL67" s="207">
        <f>--ISNUMBER(IFERROR(SEARCH('PLANILLA DJ'!$X$35,$A67,1),""))</f>
        <v>1</v>
      </c>
      <c r="AM67" s="207">
        <f>--ISNUMBER(IFERROR(SEARCH('PLANILLA DJ'!$X$36,$A67,1),""))</f>
        <v>1</v>
      </c>
      <c r="AN67" s="207">
        <f>--ISNUMBER(IFERROR(SEARCH('PLANILLA DJ'!$X$37,$A67,1),""))</f>
        <v>1</v>
      </c>
      <c r="AO67" s="207">
        <f>--ISNUMBER(IFERROR(SEARCH('PLANILLA DJ'!$X$38,$A67,1),""))</f>
        <v>1</v>
      </c>
      <c r="AP67" s="207">
        <f>--ISNUMBER(IFERROR(SEARCH('PLANILLA DJ'!$X$39,$A67,1),""))</f>
        <v>1</v>
      </c>
      <c r="AQ67" s="207">
        <f>--ISNUMBER(IFERROR(SEARCH('PLANILLA DJ'!$X$40,$A67,1),""))</f>
        <v>1</v>
      </c>
      <c r="AR67" s="207">
        <f>--ISNUMBER(IFERROR(SEARCH('PLANILLA DJ'!$X$41,$A67,1),""))</f>
        <v>1</v>
      </c>
      <c r="AS67" s="207">
        <f>--ISNUMBER(IFERROR(SEARCH('PLANILLA DJ'!$X$42,$A67,1),""))</f>
        <v>1</v>
      </c>
      <c r="AT67" s="207">
        <f>--ISNUMBER(IFERROR(SEARCH('PLANILLA DJ'!$X$43,$A67,1),""))</f>
        <v>1</v>
      </c>
      <c r="AU67" s="207">
        <f>--ISNUMBER(IFERROR(SEARCH('PLANILLA DJ'!$X$44,$A67,1),""))</f>
        <v>1</v>
      </c>
      <c r="AV67" s="207">
        <f>--ISNUMBER(IFERROR(SEARCH('PLANILLA DJ'!$X$45,$A67,1),""))</f>
        <v>1</v>
      </c>
      <c r="AW67" s="207">
        <f>--ISNUMBER(IFERROR(SEARCH('PLANILLA DJ'!$X$46,$A67,1),""))</f>
        <v>1</v>
      </c>
      <c r="AX67" s="207">
        <f>--ISNUMBER(IFERROR(SEARCH('PLANILLA DJ'!$X$47,$A67,1),""))</f>
        <v>1</v>
      </c>
      <c r="AY67" s="207">
        <f>--ISNUMBER(IFERROR(SEARCH('PLANILLA DJ'!$X$48,$A67,1),""))</f>
        <v>1</v>
      </c>
      <c r="AZ67" s="207">
        <f>--ISNUMBER(IFERROR(SEARCH('PLANILLA DJ'!$X$49,$A67,1),""))</f>
        <v>1</v>
      </c>
      <c r="BA67" s="207">
        <f>--ISNUMBER(IFERROR(SEARCH('PLANILLA DJ'!$X$50,$A67,1),""))</f>
        <v>1</v>
      </c>
      <c r="BB67" s="207">
        <f>--ISNUMBER(IFERROR(SEARCH('PLANILLA DJ'!$X$51,$A67,1),""))</f>
        <v>1</v>
      </c>
      <c r="BC67" s="207">
        <f>--ISNUMBER(IFERROR(SEARCH('PLANILLA DJ'!$X$52,$A67,1),""))</f>
        <v>1</v>
      </c>
      <c r="BD67" s="207">
        <f>--ISNUMBER(IFERROR(SEARCH('PLANILLA DJ'!$X$53,$A67,1),""))</f>
        <v>1</v>
      </c>
      <c r="BE67" s="207">
        <f>--ISNUMBER(IFERROR(SEARCH('PLANILLA DJ'!$X$54,$A67,1),""))</f>
        <v>1</v>
      </c>
      <c r="BF67" s="207">
        <f>--ISNUMBER(IFERROR(SEARCH('PLANILLA DJ'!$X$55,$A67,1),""))</f>
        <v>1</v>
      </c>
      <c r="BG67" s="207">
        <f>--ISNUMBER(IFERROR(SEARCH('PLANILLA DJ'!$X$56,$A67,1),""))</f>
        <v>1</v>
      </c>
      <c r="BH67" s="207">
        <f>--ISNUMBER(IFERROR(SEARCH('PLANILLA DJ'!$X$57,$A67,1),""))</f>
        <v>1</v>
      </c>
      <c r="BI67" s="207">
        <f>--ISNUMBER(IFERROR(SEARCH('PLANILLA DJ'!$X$58,$A67,1),""))</f>
        <v>1</v>
      </c>
      <c r="BJ67" s="207">
        <f>--ISNUMBER(IFERROR(SEARCH('PLANILLA DJ'!$X$59,$A67,1),""))</f>
        <v>1</v>
      </c>
      <c r="BK67" s="207">
        <f>--ISNUMBER(IFERROR(SEARCH('PLANILLA DJ'!$X$60,$A67,1),""))</f>
        <v>1</v>
      </c>
      <c r="BL67" s="207">
        <f>--ISNUMBER(IFERROR(SEARCH('PLANILLA DJ'!$X$61,$A67,1),""))</f>
        <v>1</v>
      </c>
      <c r="BM67" s="207">
        <f>--ISNUMBER(IFERROR(SEARCH('PLANILLA DJ'!$X$62,$A67,1),""))</f>
        <v>1</v>
      </c>
      <c r="BN67" s="207">
        <f>--ISNUMBER(IFERROR(SEARCH('PLANILLA DJ'!$X$63,$A67,1),""))</f>
        <v>1</v>
      </c>
      <c r="BO67" s="207">
        <f>--ISNUMBER(IFERROR(SEARCH('PLANILLA DJ'!$X$64,$A67,1),""))</f>
        <v>1</v>
      </c>
      <c r="BP67" s="207">
        <f>--ISNUMBER(IFERROR(SEARCH('PLANILLA DJ'!$X$65,$A67,1),""))</f>
        <v>1</v>
      </c>
      <c r="BQ67" s="207">
        <f>--ISNUMBER(IFERROR(SEARCH('PLANILLA DJ'!$X$66,$A67,1),""))</f>
        <v>1</v>
      </c>
      <c r="BR67" s="207">
        <f>--ISNUMBER(IFERROR(SEARCH('PLANILLA DJ'!$X$67,$A67,1),""))</f>
        <v>1</v>
      </c>
      <c r="BS67" s="207">
        <f>--ISNUMBER(IFERROR(SEARCH('PLANILLA DJ'!$X$68,$A67,1),""))</f>
        <v>1</v>
      </c>
      <c r="BT67" s="207">
        <f>--ISNUMBER(IFERROR(SEARCH('PLANILLA DJ'!$X$69,$A67,1),""))</f>
        <v>1</v>
      </c>
      <c r="BU67" s="207">
        <f>--ISNUMBER(IFERROR(SEARCH('PLANILLA DJ'!$X$70,$A67,1),""))</f>
        <v>1</v>
      </c>
      <c r="BV67" s="207">
        <f>--ISNUMBER(IFERROR(SEARCH('PLANILLA DJ'!$X$71,$A67,1),""))</f>
        <v>1</v>
      </c>
      <c r="BW67" s="207">
        <f>--ISNUMBER(IFERROR(SEARCH('PLANILLA DJ'!$X$72,$A67,1),""))</f>
        <v>1</v>
      </c>
      <c r="BX67" s="207">
        <f>--ISNUMBER(IFERROR(SEARCH('PLANILLA DJ'!$X$73,$A67,1),""))</f>
        <v>1</v>
      </c>
      <c r="BY67" s="207">
        <f>--ISNUMBER(IFERROR(SEARCH('PLANILLA DJ'!$X$74,$A67,1),""))</f>
        <v>1</v>
      </c>
      <c r="BZ67" s="207">
        <f>--ISNUMBER(IFERROR(SEARCH('PLANILLA DJ'!$X$75,$A67,1),""))</f>
        <v>1</v>
      </c>
      <c r="CA67" s="207">
        <f>--ISNUMBER(IFERROR(SEARCH('PLANILLA DJ'!$X$76,$A67,1),""))</f>
        <v>1</v>
      </c>
      <c r="CB67" s="207">
        <f>--ISNUMBER(IFERROR(SEARCH('PLANILLA DJ'!$X$77,$A67,1),""))</f>
        <v>1</v>
      </c>
      <c r="CC67" s="207">
        <f>--ISNUMBER(IFERROR(SEARCH('PLANILLA DJ'!$X$78,$A67,1),""))</f>
        <v>1</v>
      </c>
      <c r="CD67" s="207">
        <f>--ISNUMBER(IFERROR(SEARCH('PLANILLA DJ'!$X$79,$A67,1),""))</f>
        <v>1</v>
      </c>
      <c r="CE67" s="207">
        <f>--ISNUMBER(IFERROR(SEARCH('PLANILLA DJ'!$X$80,$A67,1),""))</f>
        <v>1</v>
      </c>
      <c r="CF67" s="207">
        <f>--ISNUMBER(IFERROR(SEARCH('PLANILLA DJ'!$X$81,$A67,1),""))</f>
        <v>1</v>
      </c>
      <c r="CG67" s="207">
        <f>--ISNUMBER(IFERROR(SEARCH('PLANILLA DJ'!$X$82,$A67,1),""))</f>
        <v>1</v>
      </c>
      <c r="CH67" s="207">
        <f>--ISNUMBER(IFERROR(SEARCH('PLANILLA DJ'!$X$83,$A67,1),""))</f>
        <v>1</v>
      </c>
      <c r="CI67" s="207">
        <f>--ISNUMBER(IFERROR(SEARCH('PLANILLA DJ'!$X$84,$A67,1),""))</f>
        <v>1</v>
      </c>
      <c r="CJ67" s="207">
        <f>--ISNUMBER(IFERROR(SEARCH('PLANILLA DJ'!$X$85,$A67,1),""))</f>
        <v>1</v>
      </c>
      <c r="CK67" s="207">
        <f>--ISNUMBER(IFERROR(SEARCH('PLANILLA DJ'!$X$86,$A67,1),""))</f>
        <v>1</v>
      </c>
      <c r="CL67" s="207">
        <f>--ISNUMBER(IFERROR(SEARCH('PLANILLA DJ'!$X$87,$A67,1),""))</f>
        <v>1</v>
      </c>
      <c r="CM67" s="207">
        <f>--ISNUMBER(IFERROR(SEARCH('PLANILLA DJ'!$X$88,$A67,1),""))</f>
        <v>1</v>
      </c>
      <c r="CN67" s="207">
        <f>--ISNUMBER(IFERROR(SEARCH('PLANILLA DJ'!$X$89,$A67,1),""))</f>
        <v>1</v>
      </c>
      <c r="CO67" s="207">
        <f>--ISNUMBER(IFERROR(SEARCH('PLANILLA DJ'!$X$90,$A67,1),""))</f>
        <v>1</v>
      </c>
      <c r="CP67" s="207">
        <f>--ISNUMBER(IFERROR(SEARCH('PLANILLA DJ'!$X$91,$A67,1),""))</f>
        <v>1</v>
      </c>
      <c r="CQ67" s="207">
        <f>--ISNUMBER(IFERROR(SEARCH('PLANILLA DJ'!$X$92,$A67,1),""))</f>
        <v>1</v>
      </c>
      <c r="CR67" s="207">
        <f>--ISNUMBER(IFERROR(SEARCH('PLANILLA DJ'!$X$93,$A67,1),""))</f>
        <v>1</v>
      </c>
      <c r="CS67" s="207">
        <f>--ISNUMBER(IFERROR(SEARCH('PLANILLA DJ'!$X$94,$A67,1),""))</f>
        <v>1</v>
      </c>
      <c r="CT67" s="207">
        <f>--ISNUMBER(IFERROR(SEARCH('PLANILLA DJ'!$X$95,$A67,1),""))</f>
        <v>1</v>
      </c>
      <c r="CU67" s="207">
        <f>--ISNUMBER(IFERROR(SEARCH('PLANILLA DJ'!$X$96,$A67,1),""))</f>
        <v>1</v>
      </c>
      <c r="CV67" s="207">
        <f>--ISNUMBER(IFERROR(SEARCH('PLANILLA DJ'!$X$97,$A67,1),""))</f>
        <v>1</v>
      </c>
      <c r="CW67" s="207">
        <f>--ISNUMBER(IFERROR(SEARCH('PLANILLA DJ'!$X$98,$A67,1),""))</f>
        <v>1</v>
      </c>
      <c r="CX67" s="207">
        <f>--ISNUMBER(IFERROR(SEARCH('PLANILLA DJ'!$X$99,$A67,1),""))</f>
        <v>1</v>
      </c>
      <c r="CY67" s="207">
        <f>--ISNUMBER(IFERROR(SEARCH('PLANILLA DJ'!$X$100,$A67,1),""))</f>
        <v>1</v>
      </c>
      <c r="CZ67" s="207">
        <f>--ISNUMBER(IFERROR(SEARCH('PLANILLA DJ'!$X$101,$A67,1),""))</f>
        <v>1</v>
      </c>
      <c r="DA67" s="207">
        <f>--ISNUMBER(IFERROR(SEARCH('PLANILLA DJ'!$X$102,$A67,1),""))</f>
        <v>1</v>
      </c>
      <c r="DB67" s="206">
        <f>IF(F67=1,COUNTIF($F$2:F67,1),"")</f>
        <v>66</v>
      </c>
      <c r="DC67" s="206">
        <f>IF(G67=1,COUNTIF($G$2:G67,1),"")</f>
        <v>66</v>
      </c>
      <c r="DD67" s="206">
        <f>IF(H67=1,COUNTIF($H$2:H67,1),"")</f>
        <v>66</v>
      </c>
      <c r="DE67" s="206">
        <f>IF(I67=1,COUNTIF($I$2:I67,1),"")</f>
        <v>66</v>
      </c>
      <c r="DF67" s="206">
        <f>IF(J67=1,COUNTIF($J$2:J67,1),"")</f>
        <v>66</v>
      </c>
      <c r="DG67" s="206">
        <f>IF(K67=1,COUNTIF($K$2:K67,1),"")</f>
        <v>66</v>
      </c>
      <c r="DH67" s="206">
        <f>IF(L67=1,COUNTIF($L$2:L67,1),"")</f>
        <v>66</v>
      </c>
      <c r="DI67" s="206">
        <f>IF(M67=1,COUNTIF($M$2:M67,1),"")</f>
        <v>66</v>
      </c>
      <c r="DJ67" s="206">
        <f>IF(N67=1,COUNTIF($N$2:N67,1),"")</f>
        <v>66</v>
      </c>
      <c r="DK67" s="206">
        <f>IF(O67=1,COUNTIF($O$2:O67,1),"")</f>
        <v>66</v>
      </c>
      <c r="DL67" s="206">
        <f>IF(P67=1,COUNTIF($P$2:P67,1),"")</f>
        <v>66</v>
      </c>
      <c r="DM67" s="206">
        <f>IF(Q67=1,COUNTIF($Q$2:Q67,1),"")</f>
        <v>66</v>
      </c>
      <c r="DN67" s="207">
        <f>IF(R67=1,COUNTIF($R$2:R67,1),"")</f>
        <v>66</v>
      </c>
      <c r="DO67" s="207">
        <f>IF(S67=1,COUNTIF($S$2:S67,1),"")</f>
        <v>66</v>
      </c>
      <c r="DP67" s="207">
        <f>IF(T67=1,COUNTIF($T$2:T67,1),"")</f>
        <v>66</v>
      </c>
      <c r="DQ67" s="207">
        <f>IF(U67=1,COUNTIF($U$2:U67,1),"")</f>
        <v>66</v>
      </c>
      <c r="DR67" s="207">
        <f>IF(V67=1,COUNTIF($V$2:V67,1),"")</f>
        <v>66</v>
      </c>
      <c r="DS67" s="207">
        <f>IF(W67=1,COUNTIF($W$2:W67,1),"")</f>
        <v>66</v>
      </c>
      <c r="DT67" s="207">
        <f>IF(X67=1,COUNTIF($X$2:X67,1),"")</f>
        <v>66</v>
      </c>
      <c r="DU67" s="207">
        <f>IF(Y67=1,COUNTIF($Y$2:Y67,1),"")</f>
        <v>66</v>
      </c>
      <c r="DV67" s="207">
        <f>IF(Z67=1,COUNTIF(Z$2:Z67,1),"")</f>
        <v>66</v>
      </c>
      <c r="DW67" s="207">
        <f>IF(AA67=1,COUNTIF($AA$2:AA67,1),"")</f>
        <v>66</v>
      </c>
      <c r="DX67" s="207">
        <f>IF(AB67=1,COUNTIF($AB$2:AB67,1),"")</f>
        <v>66</v>
      </c>
      <c r="DY67" s="207">
        <f>IF(AC67=1,COUNTIF($AC$2:AC67,1),"")</f>
        <v>66</v>
      </c>
      <c r="DZ67" s="207">
        <f>IF(AD67=1,COUNTIF($AD$2:AD67,1),"")</f>
        <v>66</v>
      </c>
      <c r="EA67" s="207">
        <f>IF(AE67=1,COUNTIF($AE$2:AE67,1),"")</f>
        <v>66</v>
      </c>
      <c r="EB67" s="207">
        <f>IF(AF67=1,COUNTIF($AF$2:AF67,1),"")</f>
        <v>66</v>
      </c>
      <c r="EC67" s="207">
        <f>IF(AG67=1,COUNTIF($AG$2:AG67,1),"")</f>
        <v>66</v>
      </c>
      <c r="ED67" s="207">
        <f>IF(AH67=1,COUNTIF($AH$2:AH67,1),"")</f>
        <v>66</v>
      </c>
      <c r="EE67" s="207">
        <f>IF(AI67=1,COUNTIF($AI$2:AI67,1),"")</f>
        <v>66</v>
      </c>
      <c r="EF67" s="207">
        <f>IF(AJ67=1,COUNTIF($AJ$2:AJ67,1),"")</f>
        <v>66</v>
      </c>
      <c r="EG67" s="207">
        <f>IF(AK67=1,COUNTIF($AK$2:AK67,1),"")</f>
        <v>66</v>
      </c>
      <c r="EH67" s="207">
        <f>IF(AL67=1,COUNTIF($AL$2:AL67,1),"")</f>
        <v>66</v>
      </c>
      <c r="EI67" s="207">
        <f>IF(AM67=1,COUNTIF($AM$2:AM67,1),"")</f>
        <v>66</v>
      </c>
      <c r="EJ67" s="207">
        <f>IF(AN67=1,COUNTIF($AN$2:AN67,1),"")</f>
        <v>66</v>
      </c>
      <c r="EK67" s="207">
        <f>IF(AO67=1,COUNTIF($AO$2:AO67,1),"")</f>
        <v>66</v>
      </c>
      <c r="EL67" s="207">
        <f>IF(AP67=1,COUNTIF($AP$2:AP67,1),"")</f>
        <v>66</v>
      </c>
      <c r="EM67" s="207">
        <f>IF(AQ67=1,COUNTIF($AQ$2:AQ67,1),"")</f>
        <v>66</v>
      </c>
      <c r="EN67" s="207">
        <f>IF(AR67=1,COUNTIF($AR$2:AR67,1),"")</f>
        <v>66</v>
      </c>
      <c r="EO67" s="207">
        <f>IF(AS67=1,COUNTIF($AS$2:AS67,1),"")</f>
        <v>66</v>
      </c>
      <c r="EP67" s="207">
        <f>IF(AT67=1,COUNTIF($AT$2:AT67,1),"")</f>
        <v>66</v>
      </c>
      <c r="EQ67" s="207">
        <f>IF(AU67=1,COUNTIF($AU$2:AU67,1),"")</f>
        <v>66</v>
      </c>
      <c r="ER67" s="207">
        <f>IF(AV67=1,COUNTIF($AV$2:AV67,1),"")</f>
        <v>66</v>
      </c>
      <c r="ES67" s="207">
        <f>IF(AW67=1,COUNTIF($AW$2:AW67,1),"")</f>
        <v>66</v>
      </c>
      <c r="ET67" s="207">
        <f>IF(AX67=1,COUNTIF($AX$2:AX67,1),"")</f>
        <v>66</v>
      </c>
      <c r="EU67" s="207">
        <f>IF(AY67=1,COUNTIF($AY$2:AY67,1),"")</f>
        <v>66</v>
      </c>
      <c r="EV67" s="207">
        <f>IF(AZ67=1,COUNTIF($AZ$2:AZ67,1),"")</f>
        <v>66</v>
      </c>
      <c r="EW67" s="207">
        <f>IF(BA67=1,COUNTIF($BA$2:BA67,1),"")</f>
        <v>66</v>
      </c>
      <c r="EX67" s="207">
        <f>IF(BB67=1,COUNTIF($BB$2:BB67,1),"")</f>
        <v>66</v>
      </c>
      <c r="EY67" s="207">
        <f>IF(BC67=1,COUNTIF($BC$2:BC67,1),"")</f>
        <v>66</v>
      </c>
      <c r="EZ67" s="207">
        <f>IF(BD67=1,COUNTIF($BD$2:BD67,1),"")</f>
        <v>66</v>
      </c>
      <c r="FA67" s="207">
        <f>IF(BE67=1,COUNTIF($BE$2:BE67,1),"")</f>
        <v>66</v>
      </c>
      <c r="FB67" s="207">
        <f>IF(BF67=1,COUNTIF($BF$2:BF67,1),"")</f>
        <v>66</v>
      </c>
      <c r="FC67" s="207">
        <f>IF(BG67=1,COUNTIF($BG$2:BG67,1),"")</f>
        <v>66</v>
      </c>
      <c r="FD67" s="207">
        <f>IF(BH67=1,COUNTIF($BH$2:BH67,1),"")</f>
        <v>66</v>
      </c>
      <c r="FE67" s="207">
        <f>IF(BI67=1,COUNTIF($BI$2:BI67,1),"")</f>
        <v>66</v>
      </c>
      <c r="FF67" s="207">
        <f>IF(BJ67=1,COUNTIF($BJ$2:BJ67,1),"")</f>
        <v>66</v>
      </c>
      <c r="FG67" s="207">
        <f>IF(BK67=1,COUNTIF($BK$2:BK67,1),"")</f>
        <v>66</v>
      </c>
      <c r="FH67" s="207">
        <f>IF(BL67=1,COUNTIF($BL$2:BL67,1),"")</f>
        <v>66</v>
      </c>
      <c r="FI67" s="207">
        <f>IF(BM67=1,COUNTIF($BM$2:BM67,1),"")</f>
        <v>66</v>
      </c>
      <c r="FJ67" s="207">
        <f>IF(BN67=1,COUNTIF($BN$2:BN67,1),"")</f>
        <v>66</v>
      </c>
      <c r="FK67" s="207">
        <f>IF(BO67=1,COUNTIF($BO$2:BO67,1),"")</f>
        <v>66</v>
      </c>
      <c r="FL67" s="207">
        <f>IF(BP67=1,COUNTIF($BP$2:BP67,1),"")</f>
        <v>66</v>
      </c>
      <c r="FM67" s="207">
        <f>IF(BQ67=1,COUNTIF($BQ$2:BQ67,1),"")</f>
        <v>66</v>
      </c>
      <c r="FN67" s="207">
        <f>IF(BR67=1,COUNTIF($BR$2:BR67,1),"")</f>
        <v>66</v>
      </c>
      <c r="FO67" s="207">
        <f>IF(BS67=1,COUNTIF($BS$2:BS67,1),"")</f>
        <v>66</v>
      </c>
      <c r="FP67" s="207">
        <f>IF(BT67=1,COUNTIF($BT$2:BT67,1),"")</f>
        <v>66</v>
      </c>
      <c r="FQ67" s="207">
        <f>IF(BU67=1,COUNTIF($BU$2:BU67,1),"")</f>
        <v>66</v>
      </c>
      <c r="FR67" s="207">
        <f>IF(BV67=1,COUNTIF($BV$2:BV67,1),"")</f>
        <v>66</v>
      </c>
      <c r="FS67" s="207">
        <f>IF(BW67=1,COUNTIF($BW$2:BW67,1),"")</f>
        <v>66</v>
      </c>
      <c r="FT67" s="207">
        <f>IF(BX67=1,COUNTIF($BX$2:BX67,1),"")</f>
        <v>66</v>
      </c>
      <c r="FU67" s="207">
        <f>IF(BY67=1,COUNTIF($BY$2:BY67,1),"")</f>
        <v>66</v>
      </c>
      <c r="FV67" s="207">
        <f>IF(BZ67=1,COUNTIF($BZ$2:BZ67,1),"")</f>
        <v>66</v>
      </c>
      <c r="FW67" s="207">
        <f>IF(CA67=1,COUNTIF($CA$2:CA67,1),"")</f>
        <v>66</v>
      </c>
      <c r="FX67" s="207">
        <f>IF(CB67=1,COUNTIF($CB$2:CB67,1),"")</f>
        <v>66</v>
      </c>
      <c r="FY67" s="207">
        <f>IF(CC67=1,COUNTIF($CC$2:CC67,1),"")</f>
        <v>66</v>
      </c>
      <c r="FZ67" s="207">
        <f>IF(CD67=1,COUNTIF($CD$2:CD67,1),"")</f>
        <v>66</v>
      </c>
      <c r="GA67" s="207">
        <f>IF(CE67=1,COUNTIF($CE$2:CE67,1),"")</f>
        <v>66</v>
      </c>
      <c r="GB67" s="207">
        <f>IF(CF67=1,COUNTIF($CF$2:CF67,1),"")</f>
        <v>66</v>
      </c>
      <c r="GC67" s="207">
        <f>IF(CG67=1,COUNTIF($CG$2:CG67,1),"")</f>
        <v>66</v>
      </c>
      <c r="GD67" s="207">
        <f>IF(CH67=1,COUNTIF($CH$2:CH67,1),"")</f>
        <v>66</v>
      </c>
      <c r="GE67" s="207">
        <f>IF(CI67=1,COUNTIF($CI$2:CI67,1),"")</f>
        <v>66</v>
      </c>
      <c r="GF67" s="207">
        <f>IF(CJ67=1,COUNTIF($CJ$2:CJ67,1),"")</f>
        <v>66</v>
      </c>
      <c r="GG67" s="207">
        <f>IF(CK67=1,COUNTIF($CK$2:CK67,1),"")</f>
        <v>66</v>
      </c>
      <c r="GH67" s="207">
        <f>IF(CL67=1,COUNTIF($CL$2:CL67,1),"")</f>
        <v>66</v>
      </c>
      <c r="GI67" s="207">
        <f>IF(CM67=1,COUNTIF($CM$2:CM67,1),"")</f>
        <v>66</v>
      </c>
      <c r="GJ67" s="207">
        <f>IF(CN67=1,COUNTIF($CN$2:CN67,1),"")</f>
        <v>66</v>
      </c>
      <c r="GK67" s="207">
        <f>IF(CO67=1,COUNTIF($CO$2:CO67,1),"")</f>
        <v>66</v>
      </c>
      <c r="GL67" s="207">
        <f>IF(CP67=1,COUNTIF($CP$2:CP67,1),"")</f>
        <v>66</v>
      </c>
      <c r="GM67" s="207">
        <f>IF(CQ67=1,COUNTIF($CQ$2:CQ67,1),"")</f>
        <v>66</v>
      </c>
      <c r="GN67" s="207">
        <f>IF(CR67=1,COUNTIF($CR$2:CR67,1),"")</f>
        <v>66</v>
      </c>
      <c r="GO67" s="207">
        <f>IF(CS67=1,COUNTIF($CS$2:CS67,1),"")</f>
        <v>66</v>
      </c>
      <c r="GP67" s="207">
        <f>IF(CT67=1,COUNTIF($CT$2:CT67,1),"")</f>
        <v>66</v>
      </c>
      <c r="GQ67" s="207">
        <f>IF(CU67=1,COUNTIF($CU$2:CU67,1),"")</f>
        <v>66</v>
      </c>
      <c r="GR67" s="207">
        <f>IF(CV67=1,COUNTIF($CV$2:CV67,1),"")</f>
        <v>66</v>
      </c>
      <c r="GS67" s="207">
        <f>IF(CW67=1,COUNTIF($CW$2:CW67,1),"")</f>
        <v>66</v>
      </c>
      <c r="GT67" s="207">
        <f>IF(CX67=1,COUNTIF($CX$2:CX67,1),"")</f>
        <v>66</v>
      </c>
      <c r="GU67" s="207">
        <f>IF(CY67=1,COUNTIF($CY$2:CY67,1),"")</f>
        <v>66</v>
      </c>
      <c r="GV67" s="207">
        <f>IF(CZ67=1,COUNTIF($CZ$2:CZ67,1),"")</f>
        <v>66</v>
      </c>
      <c r="GW67" s="207">
        <f>IF(DA67=1,COUNTIF($DA$2:DA67,1),"")</f>
        <v>66</v>
      </c>
      <c r="GX67" s="206" t="str">
        <f>IFERROR(INDEX($A$2:$A$113,MATCH(ROWS($DB$2:DB67),$DB$2:$DB$113,0)),"")</f>
        <v>TENENCIA ILEGAL DE ARMAS DE FUEGO</v>
      </c>
      <c r="GY67" s="206" t="str">
        <f>IFERROR(INDEX($A$2:$A$113,MATCH(ROWS($DC$2:DC67),$DC$2:$DC$113,0)),"")</f>
        <v>TENENCIA ILEGAL DE ARMAS DE FUEGO</v>
      </c>
      <c r="GZ67" s="206" t="str">
        <f>IFERROR(INDEX($A$2:$A$113,MATCH(ROWS($DD$2:DD67),$DD$2:$DD$113,0)),"")</f>
        <v>TENENCIA ILEGAL DE ARMAS DE FUEGO</v>
      </c>
      <c r="HA67" s="206" t="str">
        <f>IFERROR(INDEX($A$2:$A$113,MATCH(ROWS($DE$2:DE67),$DE$2:$DE$113,0)),"")</f>
        <v>TENENCIA ILEGAL DE ARMAS DE FUEGO</v>
      </c>
      <c r="HB67" s="206" t="str">
        <f>IFERROR(INDEX($A$2:$A$113,MATCH(ROWS($DF$2:DF67),$DF$2:$DF$113,0)),"")</f>
        <v>TENENCIA ILEGAL DE ARMAS DE FUEGO</v>
      </c>
      <c r="HC67" s="206" t="str">
        <f>IFERROR(INDEX($A$2:$A$113,MATCH(ROWS($DG$2:DG67),$DG$2:$DG$113,0)),"")</f>
        <v>TENENCIA ILEGAL DE ARMAS DE FUEGO</v>
      </c>
      <c r="HD67" s="206" t="str">
        <f>IFERROR(INDEX($A$2:$A$113,MATCH(ROWS($DH$2:DH67),$DH$2:$DH$113,0)),"")</f>
        <v>TENENCIA ILEGAL DE ARMAS DE FUEGO</v>
      </c>
      <c r="HE67" s="206" t="str">
        <f>IFERROR(INDEX($A$2:$A$113,MATCH(ROWS($DI$2:DI67),$DI$2:$DI$113,0)),"")</f>
        <v>TENENCIA ILEGAL DE ARMAS DE FUEGO</v>
      </c>
      <c r="HF67" s="206" t="str">
        <f>IFERROR(INDEX($A$2:$A$113,MATCH(ROWS($DJ$2:DJ67),$DJ$2:$DJ$113,0)),"")</f>
        <v>TENENCIA ILEGAL DE ARMAS DE FUEGO</v>
      </c>
      <c r="HG67" s="206" t="str">
        <f>IFERROR(INDEX($A$2:$A$113,MATCH(ROWS($DK$2:DK67),$DK$2:$DK$113,0)),"")</f>
        <v>TENENCIA ILEGAL DE ARMAS DE FUEGO</v>
      </c>
      <c r="HH67" s="206" t="str">
        <f>IFERROR(INDEX($A$2:$A$113,MATCH(ROWS($DL$2:DL67),$DL$2:$DL$113,0)),"")</f>
        <v>TENENCIA ILEGAL DE ARMAS DE FUEGO</v>
      </c>
      <c r="HI67" s="206" t="str">
        <f>IFERROR(INDEX($A$2:$A$113,MATCH(ROWS($DM$2:DM67),$DM$2:$DM$113,0)),"")</f>
        <v>TENENCIA ILEGAL DE ARMAS DE FUEGO</v>
      </c>
      <c r="HJ67" s="206" t="str">
        <f>IFERROR(INDEX($A$2:$A$113,MATCH(ROWS($DN$2:DN67),$DN$2:$DN$113,0)),"")</f>
        <v>TENENCIA ILEGAL DE ARMAS DE FUEGO</v>
      </c>
      <c r="HK67" s="206" t="str">
        <f>IFERROR(INDEX($A$2:$A$113,MATCH(ROWS($DO$2:DO67),$DO$2:$DO$113,0)),"")</f>
        <v>TENENCIA ILEGAL DE ARMAS DE FUEGO</v>
      </c>
      <c r="HL67" s="206" t="str">
        <f>IFERROR(INDEX($A$2:$A$113,MATCH(ROWS($DP$2:DP67),$DP$2:$DP$113,0)),"")</f>
        <v>TENENCIA ILEGAL DE ARMAS DE FUEGO</v>
      </c>
      <c r="HM67" s="206" t="str">
        <f>IFERROR(INDEX($A$2:$A$113,MATCH(ROWS($DQ$2:DQ67),$DQ$2:$DQ$113,0)),"")</f>
        <v>TENENCIA ILEGAL DE ARMAS DE FUEGO</v>
      </c>
      <c r="HN67" s="206" t="str">
        <f>IFERROR(INDEX($A$2:$A$113,MATCH(ROWS($DR$2:DR67),$DR$2:$DR$113,0)),"")</f>
        <v>TENENCIA ILEGAL DE ARMAS DE FUEGO</v>
      </c>
      <c r="HO67" s="206" t="str">
        <f>IFERROR(INDEX($A$2:$A$113,MATCH(ROWS($DS$2:DS67),$DS$2:$DS$113,0)),"")</f>
        <v>TENENCIA ILEGAL DE ARMAS DE FUEGO</v>
      </c>
      <c r="HP67" s="206" t="str">
        <f>IFERROR(INDEX($A$2:$A$113,MATCH(ROWS($DT$2:DT67),$DT$2:$DT$113,0)),"")</f>
        <v>TENENCIA ILEGAL DE ARMAS DE FUEGO</v>
      </c>
      <c r="HQ67" s="206" t="str">
        <f>IFERROR(INDEX($A$2:$A$113,MATCH(ROWS($DU$2:DU67),$DU$2:$DU$113,0)),"")</f>
        <v>TENENCIA ILEGAL DE ARMAS DE FUEGO</v>
      </c>
      <c r="HR67" s="206" t="str">
        <f>IFERROR(INDEX($A$2:$A$113,MATCH(ROWS($DV$2:DV67),$DV$2:$DV$113,0)),"")</f>
        <v>TENENCIA ILEGAL DE ARMAS DE FUEGO</v>
      </c>
      <c r="HS67" s="206" t="str">
        <f>IFERROR(INDEX($A$2:$A$113,MATCH(ROWS($DW$2:DW67),$DW$2:$DW$113,0)),"")</f>
        <v>TENENCIA ILEGAL DE ARMAS DE FUEGO</v>
      </c>
      <c r="HT67" s="206" t="str">
        <f>IFERROR(INDEX($A$2:$A$113,MATCH(ROWS($DX$2:DX67),$DX$2:$DX$113,0)),"")</f>
        <v>TENENCIA ILEGAL DE ARMAS DE FUEGO</v>
      </c>
      <c r="HU67" s="206" t="str">
        <f>IFERROR(INDEX($A$2:$A$113,MATCH(ROWS($DY$2:DY67),$DY$2:$DY$113,0)),"")</f>
        <v>TENENCIA ILEGAL DE ARMAS DE FUEGO</v>
      </c>
      <c r="HV67" s="206" t="str">
        <f>IFERROR(INDEX($A$2:$A$113,MATCH(ROWS($DZ$2:DZ67),$DZ$2:$DZ$113,0)),"")</f>
        <v>TENENCIA ILEGAL DE ARMAS DE FUEGO</v>
      </c>
      <c r="HW67" s="206" t="str">
        <f>IFERROR(INDEX($A$2:$A$113,MATCH(ROWS($EA$2:EA67),$EA$2:$EA$113,0)),"")</f>
        <v>TENENCIA ILEGAL DE ARMAS DE FUEGO</v>
      </c>
      <c r="HX67" s="206" t="str">
        <f>IFERROR(INDEX($A$2:$A$113,MATCH(ROWS($EB$2:EB67),$EB$2:$EB$113,0)),"")</f>
        <v>TENENCIA ILEGAL DE ARMAS DE FUEGO</v>
      </c>
      <c r="HY67" s="206" t="str">
        <f>IFERROR(INDEX($A$2:$A$113,MATCH(ROWS($EC$2:EC67),$EC$2:$EC$113,0)),"")</f>
        <v>TENENCIA ILEGAL DE ARMAS DE FUEGO</v>
      </c>
      <c r="HZ67" s="206" t="str">
        <f>IFERROR(INDEX($A$2:$A$113,MATCH(ROWS($ED$2:ED67),$ED$2:$ED$113,0)),"")</f>
        <v>TENENCIA ILEGAL DE ARMAS DE FUEGO</v>
      </c>
      <c r="IA67" s="206" t="str">
        <f>IFERROR(INDEX($A$2:$A$113,MATCH(ROWS($EE$2:EE67),$EE$2:$EE$113,0)),"")</f>
        <v>TENENCIA ILEGAL DE ARMAS DE FUEGO</v>
      </c>
      <c r="IB67" s="206" t="str">
        <f>IFERROR(INDEX($A$2:$A$113,MATCH(ROWS($EF$2:EF67),$EF$2:$EF$113,0)),"")</f>
        <v>TENENCIA ILEGAL DE ARMAS DE FUEGO</v>
      </c>
      <c r="IC67" s="206" t="str">
        <f>IFERROR(INDEX($A$2:$A$113,MATCH(ROWS($EG$2:EG67),$EG$2:$EG$113,0)),"")</f>
        <v>TENENCIA ILEGAL DE ARMAS DE FUEGO</v>
      </c>
      <c r="ID67" s="206" t="str">
        <f>IFERROR(INDEX($A$2:$A$113,MATCH(ROWS($EH$2:EH67),$EH$2:$EH$113,0)),"")</f>
        <v>TENENCIA ILEGAL DE ARMAS DE FUEGO</v>
      </c>
      <c r="IE67" s="206" t="str">
        <f>IFERROR(INDEX($A$2:$A$113,MATCH(ROWS($EI$2:EI67),$EI$2:$EI$113,0)),"")</f>
        <v>TENENCIA ILEGAL DE ARMAS DE FUEGO</v>
      </c>
      <c r="IF67" s="206" t="str">
        <f>IFERROR(INDEX($A$2:$A$113,MATCH(ROWS($EJ$2:EJ67),$EJ$2:$EJ$113,0)),"")</f>
        <v>TENENCIA ILEGAL DE ARMAS DE FUEGO</v>
      </c>
      <c r="IG67" s="206" t="str">
        <f>IFERROR(INDEX($A$2:$A$113,MATCH(ROWS($EK$2:EK67),$EK$2:$EK$113,0)),"")</f>
        <v>TENENCIA ILEGAL DE ARMAS DE FUEGO</v>
      </c>
      <c r="IH67" s="206" t="str">
        <f>IFERROR(INDEX($A$2:$A$113,MATCH(ROWS($EL$2:EL67),$EL$2:$EL$113,0)),"")</f>
        <v>TENENCIA ILEGAL DE ARMAS DE FUEGO</v>
      </c>
      <c r="II67" s="206" t="str">
        <f>IFERROR(INDEX($A$2:$A$113,MATCH(ROWS($EM$2:EM67),$EM$2:$EM$113,0)),"")</f>
        <v>TENENCIA ILEGAL DE ARMAS DE FUEGO</v>
      </c>
      <c r="IJ67" s="206" t="str">
        <f>IFERROR(INDEX($A$2:$A$113,MATCH(ROWS($EN$2:EN67),$EN$2:$EN$113,0)),"")</f>
        <v>TENENCIA ILEGAL DE ARMAS DE FUEGO</v>
      </c>
      <c r="IK67" s="207" t="str">
        <f>IFERROR(INDEX($A$2:$A$113,MATCH(ROWS($EO$2:EO67),$EO$2:$EO$113,0)),"")</f>
        <v>TENENCIA ILEGAL DE ARMAS DE FUEGO</v>
      </c>
      <c r="IL67" s="207" t="str">
        <f>IFERROR(INDEX($A$2:$A$113,MATCH(ROWS($EP$2:EP67),$EP$2:$EP$113,0)),"")</f>
        <v>TENENCIA ILEGAL DE ARMAS DE FUEGO</v>
      </c>
      <c r="IM67" s="207" t="str">
        <f>IFERROR(INDEX($A$2:$A$113,MATCH(ROWS($EQ$2:EQ67),$EQ$2:$EQ$113,0)),"")</f>
        <v>TENENCIA ILEGAL DE ARMAS DE FUEGO</v>
      </c>
      <c r="IN67" s="207" t="str">
        <f>IFERROR(INDEX($A$2:$A$113,MATCH(ROWS($ER$2:ER67),$ER$2:$ER$113,0)),"")</f>
        <v>TENENCIA ILEGAL DE ARMAS DE FUEGO</v>
      </c>
      <c r="IO67" s="207" t="str">
        <f>IFERROR(INDEX($A$2:$A$113,MATCH(ROWS($ES$2:ES67),$ES$2:$ES$113,0)),"")</f>
        <v>TENENCIA ILEGAL DE ARMAS DE FUEGO</v>
      </c>
      <c r="IP67" s="207" t="str">
        <f>IFERROR(INDEX($A$2:$A$113,MATCH(ROWS($ET$2:ET67),$ET$2:$ET$113,0)),"")</f>
        <v>TENENCIA ILEGAL DE ARMAS DE FUEGO</v>
      </c>
      <c r="IQ67" s="207" t="str">
        <f>IFERROR(INDEX($A$2:$A$113,MATCH(ROWS($EU$2:EU67),$EU$2:$EU$113,0)),"")</f>
        <v>TENENCIA ILEGAL DE ARMAS DE FUEGO</v>
      </c>
      <c r="IR67" s="207" t="str">
        <f>IFERROR(INDEX($A$2:$A$113,MATCH(ROWS($EV$2:EV67),$EV$2:$EV$113,0)),"")</f>
        <v>TENENCIA ILEGAL DE ARMAS DE FUEGO</v>
      </c>
      <c r="IS67" s="207" t="str">
        <f>IFERROR(INDEX($A$2:$A$113,MATCH(ROWS($EW$2:EW67),$EW$2:$EW$113,0)),"")</f>
        <v>TENENCIA ILEGAL DE ARMAS DE FUEGO</v>
      </c>
      <c r="IT67" s="207" t="str">
        <f>IFERROR(INDEX($A$2:$A$113,MATCH(ROWS($EX$2:EX67),$EX$2:$EX$113,0)),"")</f>
        <v>TENENCIA ILEGAL DE ARMAS DE FUEGO</v>
      </c>
      <c r="IU67" s="207" t="str">
        <f>IFERROR(INDEX($A$2:$A$113,MATCH(ROWS($EY$2:EY67),$EY$2:$EY$113,0)),"")</f>
        <v>TENENCIA ILEGAL DE ARMAS DE FUEGO</v>
      </c>
      <c r="IV67" s="207" t="str">
        <f>IFERROR(INDEX($A$2:$A$113,MATCH(ROWS($EZ$2:EZ67),$EZ$2:$EZ$113,0)),"")</f>
        <v>TENENCIA ILEGAL DE ARMAS DE FUEGO</v>
      </c>
      <c r="IW67" s="207" t="str">
        <f>IFERROR(INDEX($A$2:$A$113,MATCH(ROWS($FA$2:FA67),$FA$2:$FA$113,0)),"")</f>
        <v>TENENCIA ILEGAL DE ARMAS DE FUEGO</v>
      </c>
      <c r="IX67" s="207" t="str">
        <f>IFERROR(INDEX($A$2:$A$113,MATCH(ROWS($FB$2:FB67),$FB$2:$FB$113,0)),"")</f>
        <v>TENENCIA ILEGAL DE ARMAS DE FUEGO</v>
      </c>
      <c r="IY67" s="207" t="str">
        <f>IFERROR(INDEX($A$2:$A$113,MATCH(ROWS($FC$2:FC67),$FC$2:$FC$113,0)),"")</f>
        <v>TENENCIA ILEGAL DE ARMAS DE FUEGO</v>
      </c>
      <c r="IZ67" s="207" t="str">
        <f>IFERROR(INDEX($A$2:$A$113,MATCH(ROWS($FD$2:FD67),$FD$2:$FD$113,0)),"")</f>
        <v>TENENCIA ILEGAL DE ARMAS DE FUEGO</v>
      </c>
      <c r="JA67" s="207" t="str">
        <f>IFERROR(INDEX($A$2:$A$113,MATCH(ROWS($FE$2:FE67),$FE$2:$FE$113,0)),"")</f>
        <v>TENENCIA ILEGAL DE ARMAS DE FUEGO</v>
      </c>
      <c r="JB67" s="207" t="str">
        <f>IFERROR(INDEX($A$2:$A$113,MATCH(ROWS($FF$2:FF67),$FF$2:$FF$113,0)),"")</f>
        <v>TENENCIA ILEGAL DE ARMAS DE FUEGO</v>
      </c>
      <c r="JC67" s="207" t="str">
        <f>IFERROR(INDEX($A$2:$A$113,MATCH(ROWS($FG$2:FG67),$FG$2:$FG$113,0)),"")</f>
        <v>TENENCIA ILEGAL DE ARMAS DE FUEGO</v>
      </c>
      <c r="JD67" s="207" t="str">
        <f>IFERROR(INDEX($A$2:$A$113,MATCH(ROWS($FH$2:FH67),$FH$2:$FH$113,0)),"")</f>
        <v>TENENCIA ILEGAL DE ARMAS DE FUEGO</v>
      </c>
      <c r="JE67" s="207" t="str">
        <f>IFERROR(INDEX($A$2:$A$113,MATCH(ROWS($FI$2:FI67),$FI$2:$FI$113,0)),"")</f>
        <v>TENENCIA ILEGAL DE ARMAS DE FUEGO</v>
      </c>
      <c r="JF67" s="207" t="str">
        <f>IFERROR(INDEX($A$2:$A$113,MATCH(ROWS($FJ$2:FJ67),$FJ$2:$FJ$113,0)),"")</f>
        <v>TENENCIA ILEGAL DE ARMAS DE FUEGO</v>
      </c>
      <c r="JG67" s="207" t="str">
        <f>IFERROR(INDEX($A$2:$A$113,MATCH(ROWS($FK$2:FK67),$FK$2:$FK$113,0)),"")</f>
        <v>TENENCIA ILEGAL DE ARMAS DE FUEGO</v>
      </c>
      <c r="JH67" s="207" t="str">
        <f>IFERROR(INDEX($A$2:$A$113,MATCH(ROWS($FL$2:FL67),$FL$2:$FL$113,0)),"")</f>
        <v>TENENCIA ILEGAL DE ARMAS DE FUEGO</v>
      </c>
      <c r="JI67" s="207" t="str">
        <f>IFERROR(INDEX($A$2:$A$113,MATCH(ROWS($FM$2:FM67),$FM$2:$FM$113,0)),"")</f>
        <v>TENENCIA ILEGAL DE ARMAS DE FUEGO</v>
      </c>
      <c r="JJ67" s="207" t="str">
        <f>IFERROR(INDEX($A$2:$A$113,MATCH(ROWS($FN$2:FN67),$FN$2:$FN$113,0)),"")</f>
        <v>TENENCIA ILEGAL DE ARMAS DE FUEGO</v>
      </c>
      <c r="JK67" s="207" t="str">
        <f>IFERROR(INDEX($A$2:$A$113,MATCH(ROWS($FO$2:FO67),$FO$2:$FO$113,0)),"")</f>
        <v>TENENCIA ILEGAL DE ARMAS DE FUEGO</v>
      </c>
      <c r="JL67" s="207" t="str">
        <f>IFERROR(INDEX($A$2:$A$113,MATCH(ROWS($FP$2:FP67),$FP$2:$FP$113,0)),"")</f>
        <v>TENENCIA ILEGAL DE ARMAS DE FUEGO</v>
      </c>
      <c r="JM67" s="207" t="str">
        <f>IFERROR(INDEX($A$2:$A$113,MATCH(ROWS($FQ$2:FQ67),$FQ$2:$FQ$113,0)),"")</f>
        <v>TENENCIA ILEGAL DE ARMAS DE FUEGO</v>
      </c>
      <c r="JN67" s="207" t="str">
        <f>IFERROR(INDEX($A$2:$A$113,MATCH(ROWS($FR$2:FR67),$FR$2:$FR$113,0)),"")</f>
        <v>TENENCIA ILEGAL DE ARMAS DE FUEGO</v>
      </c>
      <c r="JO67" s="207" t="str">
        <f>IFERROR(INDEX($A$2:$A$113,MATCH(ROWS($FS$2:FS67),$FS$2:$FS$113,0)),"")</f>
        <v>TENENCIA ILEGAL DE ARMAS DE FUEGO</v>
      </c>
      <c r="JP67" s="207" t="str">
        <f>IFERROR(INDEX($A$2:$A$113,MATCH(ROWS($FT$2:FT67),$FT$2:$FT$113,0)),"")</f>
        <v>TENENCIA ILEGAL DE ARMAS DE FUEGO</v>
      </c>
      <c r="JQ67" s="207" t="str">
        <f>IFERROR(INDEX($A$2:$A$113,MATCH(ROWS($FU$2:FU67),$FU$2:$FU$113,0)),"")</f>
        <v>TENENCIA ILEGAL DE ARMAS DE FUEGO</v>
      </c>
      <c r="JR67" s="207" t="str">
        <f>IFERROR(INDEX($A$2:$A$113,MATCH(ROWS($FV$2:FV67),$FV$2:$FV$113,0)),"")</f>
        <v>TENENCIA ILEGAL DE ARMAS DE FUEGO</v>
      </c>
      <c r="JS67" s="207" t="str">
        <f>IFERROR(INDEX($A$2:$A$113,MATCH(ROWS($FW$2:FW67),$FW$2:$FW$113,0)),"")</f>
        <v>TENENCIA ILEGAL DE ARMAS DE FUEGO</v>
      </c>
      <c r="JT67" s="207" t="str">
        <f>IFERROR(INDEX($A$2:$A$113,MATCH(ROWS($FX$2:FX67),$FX$2:$FX$113,0)),"")</f>
        <v>TENENCIA ILEGAL DE ARMAS DE FUEGO</v>
      </c>
      <c r="JU67" s="207" t="str">
        <f>IFERROR(INDEX($A$2:$A$113,MATCH(ROWS($FY$2:FY67),$FY$2:$FY$113,0)),"")</f>
        <v>TENENCIA ILEGAL DE ARMAS DE FUEGO</v>
      </c>
      <c r="JV67" s="207" t="str">
        <f>IFERROR(INDEX($A$2:$A$113,MATCH(ROWS($FZ$2:FZ67),$FZ$2:$FZ$113,0)),"")</f>
        <v>TENENCIA ILEGAL DE ARMAS DE FUEGO</v>
      </c>
      <c r="JW67" s="207" t="str">
        <f>IFERROR(INDEX($A$2:$A$113,MATCH(ROWS($GA$2:GA67),$GA$2:$GA$113,0)),"")</f>
        <v>TENENCIA ILEGAL DE ARMAS DE FUEGO</v>
      </c>
      <c r="JX67" s="207" t="str">
        <f>IFERROR(INDEX($A$2:$A$113,MATCH(ROWS($GB$2:GB67),$GB$2:$GB$113,0)),"")</f>
        <v>TENENCIA ILEGAL DE ARMAS DE FUEGO</v>
      </c>
      <c r="JY67" s="207" t="str">
        <f>IFERROR(INDEX($A$2:$A$113,MATCH(ROWS($GC$2:GC67),$GC$2:$GC$113,0)),"")</f>
        <v>TENENCIA ILEGAL DE ARMAS DE FUEGO</v>
      </c>
      <c r="JZ67" s="207" t="str">
        <f>IFERROR(INDEX($A$2:$A$113,MATCH(ROWS($GD$2:GD67),$GD$2:$GD$113,0)),"")</f>
        <v>TENENCIA ILEGAL DE ARMAS DE FUEGO</v>
      </c>
      <c r="KA67" s="207" t="str">
        <f>IFERROR(INDEX($A$2:$A$113,MATCH(ROWS($GE$2:GE67),$GE$2:$GE$113,0)),"")</f>
        <v>TENENCIA ILEGAL DE ARMAS DE FUEGO</v>
      </c>
      <c r="KB67" s="207" t="str">
        <f>IFERROR(INDEX($A$2:$A$113,MATCH(ROWS($GF$2:GF67),$GF$2:$GF$113,0)),"")</f>
        <v>TENENCIA ILEGAL DE ARMAS DE FUEGO</v>
      </c>
      <c r="KC67" s="207" t="str">
        <f>IFERROR(INDEX($A$2:$A$113,MATCH(ROWS($GG$2:GG67),$GG$2:$GG$113,0)),"")</f>
        <v>TENENCIA ILEGAL DE ARMAS DE FUEGO</v>
      </c>
      <c r="KD67" s="207" t="str">
        <f>IFERROR(INDEX($A$2:$A$113,MATCH(ROWS($GH$2:GH67),$GH$2:$GH$113,0)),"")</f>
        <v>TENENCIA ILEGAL DE ARMAS DE FUEGO</v>
      </c>
      <c r="KE67" s="207" t="str">
        <f>IFERROR(INDEX($A$2:$A$113,MATCH(ROWS($GI$2:GI67),$GI$2:$GI$113,0)),"")</f>
        <v>TENENCIA ILEGAL DE ARMAS DE FUEGO</v>
      </c>
      <c r="KF67" s="207" t="str">
        <f>IFERROR(INDEX($A$2:$A$113,MATCH(ROWS($GJ$2:GJ67),$GJ$2:$GJ$113,0)),"")</f>
        <v>TENENCIA ILEGAL DE ARMAS DE FUEGO</v>
      </c>
      <c r="KG67" s="207" t="str">
        <f>IFERROR(INDEX($A$2:$A$113,MATCH(ROWS($GK$2:GK67),$GK$2:$GK$113,0)),"")</f>
        <v>TENENCIA ILEGAL DE ARMAS DE FUEGO</v>
      </c>
      <c r="KH67" s="207" t="str">
        <f>IFERROR(INDEX($A$2:$A$113,MATCH(ROWS($GL$2:GL67),$GL$2:$GL$113,0)),"")</f>
        <v>TENENCIA ILEGAL DE ARMAS DE FUEGO</v>
      </c>
      <c r="KI67" s="207" t="str">
        <f>IFERROR(INDEX($A$2:$A$113,MATCH(ROWS($GM$2:GM67),$GM$2:$GM$113,0)),"")</f>
        <v>TENENCIA ILEGAL DE ARMAS DE FUEGO</v>
      </c>
      <c r="KJ67" s="207" t="str">
        <f>IFERROR(INDEX($A$2:$A$113,MATCH(ROWS($GN$2:GN67),$GN$2:$GN$113,0)),"")</f>
        <v>TENENCIA ILEGAL DE ARMAS DE FUEGO</v>
      </c>
      <c r="KK67" s="207" t="str">
        <f>IFERROR(INDEX($A$2:$A$113,MATCH(ROWS($GO$2:GO67),$GO$2:$GO$113,0)),"")</f>
        <v>TENENCIA ILEGAL DE ARMAS DE FUEGO</v>
      </c>
      <c r="KL67" s="207" t="str">
        <f>IFERROR(INDEX($A$2:$A$113,MATCH(ROWS($GP$2:GP67),$GP$2:$GP$113,0)),"")</f>
        <v>TENENCIA ILEGAL DE ARMAS DE FUEGO</v>
      </c>
      <c r="KM67" s="207" t="str">
        <f>IFERROR(INDEX($A$2:$A$113,MATCH(ROWS($GQ$2:GQ67),$GQ$2:$GQ$113,0)),"")</f>
        <v>TENENCIA ILEGAL DE ARMAS DE FUEGO</v>
      </c>
      <c r="KN67" s="207" t="str">
        <f>IFERROR(INDEX($A$2:$A$113,MATCH(ROWS($GR$2:GR67),$GR$2:$GR$113,0)),"")</f>
        <v>TENENCIA ILEGAL DE ARMAS DE FUEGO</v>
      </c>
      <c r="KO67" s="207" t="str">
        <f>IFERROR(INDEX($A$2:$A$113,MATCH(ROWS($GS$2:GS67),$GS$2:$GS$113,0)),"")</f>
        <v>TENENCIA ILEGAL DE ARMAS DE FUEGO</v>
      </c>
      <c r="KP67" s="207" t="str">
        <f>IFERROR(INDEX($A$2:$A$113,MATCH(ROWS($GT$2:GT67),$GT$2:$GT$113,0)),"")</f>
        <v>TENENCIA ILEGAL DE ARMAS DE FUEGO</v>
      </c>
      <c r="KQ67" s="207" t="str">
        <f>IFERROR(INDEX($A$2:$A$113,MATCH(ROWS($GU$2:GU67),$GU$2:$GU$113,0)),"")</f>
        <v>TENENCIA ILEGAL DE ARMAS DE FUEGO</v>
      </c>
      <c r="KR67" s="207" t="str">
        <f>IFERROR(INDEX($A$2:$A$113,MATCH(ROWS($GV$2:GV67),$GV$2:$GV$113,0)),"")</f>
        <v>TENENCIA ILEGAL DE ARMAS DE FUEGO</v>
      </c>
      <c r="KS67" s="207" t="str">
        <f>IFERROR(INDEX($A$2:$A$113,MATCH(ROWS($GW$2:GW67),$GW$2:$GW$113,0)),"")</f>
        <v>TENENCIA ILEGAL DE ARMAS DE FUEGO</v>
      </c>
    </row>
    <row r="68" spans="1:305" x14ac:dyDescent="0.25">
      <c r="A68" s="206" t="s">
        <v>902</v>
      </c>
      <c r="B68" s="206" t="s">
        <v>103</v>
      </c>
      <c r="D68" s="206" t="s">
        <v>14</v>
      </c>
      <c r="E68" s="206" t="s">
        <v>99</v>
      </c>
      <c r="F68" s="207">
        <f>--ISNUMBER(IFERROR(SEARCH('PLANILLA DJ'!$X$3,$A68,1),""))</f>
        <v>1</v>
      </c>
      <c r="G68" s="207">
        <f>--ISNUMBER(IFERROR(SEARCH('PLANILLA DJ'!$X$4,$A68,1),""))</f>
        <v>1</v>
      </c>
      <c r="H68" s="207">
        <f>--ISNUMBER(IFERROR(SEARCH('PLANILLA DJ'!$X$5,$A68,1),""))</f>
        <v>1</v>
      </c>
      <c r="I68" s="207">
        <f>--ISNUMBER(IFERROR(SEARCH('PLANILLA DJ'!$X$6,$A68,1),""))</f>
        <v>1</v>
      </c>
      <c r="J68" s="207">
        <f>--ISNUMBER(IFERROR(SEARCH('PLANILLA DJ'!$X$7,$A68,1),""))</f>
        <v>1</v>
      </c>
      <c r="K68" s="207">
        <f>--ISNUMBER(IFERROR(SEARCH('PLANILLA DJ'!$X$8,$A68,1),""))</f>
        <v>1</v>
      </c>
      <c r="L68" s="207">
        <f>--ISNUMBER(IFERROR(SEARCH('PLANILLA DJ'!$X$9,$A68,1),""))</f>
        <v>1</v>
      </c>
      <c r="M68" s="207">
        <f>--ISNUMBER(IFERROR(SEARCH('PLANILLA DJ'!$X$10,$A68,1),""))</f>
        <v>1</v>
      </c>
      <c r="N68" s="207">
        <f>--ISNUMBER(IFERROR(SEARCH('PLANILLA DJ'!$X$11,$A68,1),""))</f>
        <v>1</v>
      </c>
      <c r="O68" s="207">
        <f>--ISNUMBER(IFERROR(SEARCH('PLANILLA DJ'!$X$12,$A68,1),""))</f>
        <v>1</v>
      </c>
      <c r="P68" s="207">
        <f>--ISNUMBER(IFERROR(SEARCH('PLANILLA DJ'!$X$13,$A68,1),""))</f>
        <v>1</v>
      </c>
      <c r="Q68" s="207">
        <f>--ISNUMBER(IFERROR(SEARCH('PLANILLA DJ'!$X$14,$A68,1),""))</f>
        <v>1</v>
      </c>
      <c r="R68" s="207">
        <f>--ISNUMBER(IFERROR(SEARCH('PLANILLA DJ'!$X$15,$A68,1),""))</f>
        <v>1</v>
      </c>
      <c r="S68" s="207">
        <f>--ISNUMBER(IFERROR(SEARCH('PLANILLA DJ'!$X$16,$A68,1),""))</f>
        <v>1</v>
      </c>
      <c r="T68" s="207">
        <f>--ISNUMBER(IFERROR(SEARCH('PLANILLA DJ'!$X$17,$A68,1),""))</f>
        <v>1</v>
      </c>
      <c r="U68" s="207">
        <f>--ISNUMBER(IFERROR(SEARCH('PLANILLA DJ'!$X$18,$A68,1),""))</f>
        <v>1</v>
      </c>
      <c r="V68" s="207">
        <f>--ISNUMBER(IFERROR(SEARCH('PLANILLA DJ'!$X$19,$A68,1),""))</f>
        <v>1</v>
      </c>
      <c r="W68" s="207">
        <f>--ISNUMBER(IFERROR(SEARCH('PLANILLA DJ'!$X$20,$A68,1),""))</f>
        <v>1</v>
      </c>
      <c r="X68" s="207">
        <f>--ISNUMBER(IFERROR(SEARCH('PLANILLA DJ'!$X$21,$A68,1),""))</f>
        <v>1</v>
      </c>
      <c r="Y68" s="207">
        <f>--ISNUMBER(IFERROR(SEARCH('PLANILLA DJ'!$X$22,$A68,1),""))</f>
        <v>1</v>
      </c>
      <c r="Z68" s="207">
        <f>--ISNUMBER(IFERROR(SEARCH('PLANILLA DJ'!$X$23,$A68,1),""))</f>
        <v>1</v>
      </c>
      <c r="AA68" s="207">
        <f>--ISNUMBER(IFERROR(SEARCH('PLANILLA DJ'!$X$24,$A68,1),""))</f>
        <v>1</v>
      </c>
      <c r="AB68" s="207">
        <f>--ISNUMBER(IFERROR(SEARCH('PLANILLA DJ'!$X$25,$A68,1),""))</f>
        <v>1</v>
      </c>
      <c r="AC68" s="207">
        <f>--ISNUMBER(IFERROR(SEARCH('PLANILLA DJ'!$X$26,$A68,1),""))</f>
        <v>1</v>
      </c>
      <c r="AD68" s="207">
        <f>--ISNUMBER(IFERROR(SEARCH('PLANILLA DJ'!$X$27,$A68,1),""))</f>
        <v>1</v>
      </c>
      <c r="AE68" s="207">
        <f>--ISNUMBER(IFERROR(SEARCH('PLANILLA DJ'!$X$28,$A68,1),""))</f>
        <v>1</v>
      </c>
      <c r="AF68" s="207">
        <f>--ISNUMBER(IFERROR(SEARCH('PLANILLA DJ'!$X$29,$A68,1),""))</f>
        <v>1</v>
      </c>
      <c r="AG68" s="207">
        <f>--ISNUMBER(IFERROR(SEARCH('PLANILLA DJ'!$X$30,$A68,1),""))</f>
        <v>1</v>
      </c>
      <c r="AH68" s="207">
        <f>--ISNUMBER(IFERROR(SEARCH('PLANILLA DJ'!$X$31,$A68,1),""))</f>
        <v>1</v>
      </c>
      <c r="AI68" s="207">
        <f>--ISNUMBER(IFERROR(SEARCH('PLANILLA DJ'!$X$32,$A68,1),""))</f>
        <v>1</v>
      </c>
      <c r="AJ68" s="207">
        <f>--ISNUMBER(IFERROR(SEARCH('PLANILLA DJ'!$X$33,$A68,1),""))</f>
        <v>1</v>
      </c>
      <c r="AK68" s="207">
        <f>--ISNUMBER(IFERROR(SEARCH('PLANILLA DJ'!$X$34,$A68,1),""))</f>
        <v>1</v>
      </c>
      <c r="AL68" s="207">
        <f>--ISNUMBER(IFERROR(SEARCH('PLANILLA DJ'!$X$35,$A68,1),""))</f>
        <v>1</v>
      </c>
      <c r="AM68" s="207">
        <f>--ISNUMBER(IFERROR(SEARCH('PLANILLA DJ'!$X$36,$A68,1),""))</f>
        <v>1</v>
      </c>
      <c r="AN68" s="207">
        <f>--ISNUMBER(IFERROR(SEARCH('PLANILLA DJ'!$X$37,$A68,1),""))</f>
        <v>1</v>
      </c>
      <c r="AO68" s="207">
        <f>--ISNUMBER(IFERROR(SEARCH('PLANILLA DJ'!$X$38,$A68,1),""))</f>
        <v>1</v>
      </c>
      <c r="AP68" s="207">
        <f>--ISNUMBER(IFERROR(SEARCH('PLANILLA DJ'!$X$39,$A68,1),""))</f>
        <v>1</v>
      </c>
      <c r="AQ68" s="207">
        <f>--ISNUMBER(IFERROR(SEARCH('PLANILLA DJ'!$X$40,$A68,1),""))</f>
        <v>1</v>
      </c>
      <c r="AR68" s="207">
        <f>--ISNUMBER(IFERROR(SEARCH('PLANILLA DJ'!$X$41,$A68,1),""))</f>
        <v>1</v>
      </c>
      <c r="AS68" s="207">
        <f>--ISNUMBER(IFERROR(SEARCH('PLANILLA DJ'!$X$42,$A68,1),""))</f>
        <v>1</v>
      </c>
      <c r="AT68" s="207">
        <f>--ISNUMBER(IFERROR(SEARCH('PLANILLA DJ'!$X$43,$A68,1),""))</f>
        <v>1</v>
      </c>
      <c r="AU68" s="207">
        <f>--ISNUMBER(IFERROR(SEARCH('PLANILLA DJ'!$X$44,$A68,1),""))</f>
        <v>1</v>
      </c>
      <c r="AV68" s="207">
        <f>--ISNUMBER(IFERROR(SEARCH('PLANILLA DJ'!$X$45,$A68,1),""))</f>
        <v>1</v>
      </c>
      <c r="AW68" s="207">
        <f>--ISNUMBER(IFERROR(SEARCH('PLANILLA DJ'!$X$46,$A68,1),""))</f>
        <v>1</v>
      </c>
      <c r="AX68" s="207">
        <f>--ISNUMBER(IFERROR(SEARCH('PLANILLA DJ'!$X$47,$A68,1),""))</f>
        <v>1</v>
      </c>
      <c r="AY68" s="207">
        <f>--ISNUMBER(IFERROR(SEARCH('PLANILLA DJ'!$X$48,$A68,1),""))</f>
        <v>1</v>
      </c>
      <c r="AZ68" s="207">
        <f>--ISNUMBER(IFERROR(SEARCH('PLANILLA DJ'!$X$49,$A68,1),""))</f>
        <v>1</v>
      </c>
      <c r="BA68" s="207">
        <f>--ISNUMBER(IFERROR(SEARCH('PLANILLA DJ'!$X$50,$A68,1),""))</f>
        <v>1</v>
      </c>
      <c r="BB68" s="207">
        <f>--ISNUMBER(IFERROR(SEARCH('PLANILLA DJ'!$X$51,$A68,1),""))</f>
        <v>1</v>
      </c>
      <c r="BC68" s="207">
        <f>--ISNUMBER(IFERROR(SEARCH('PLANILLA DJ'!$X$52,$A68,1),""))</f>
        <v>1</v>
      </c>
      <c r="BD68" s="207">
        <f>--ISNUMBER(IFERROR(SEARCH('PLANILLA DJ'!$X$53,$A68,1),""))</f>
        <v>1</v>
      </c>
      <c r="BE68" s="207">
        <f>--ISNUMBER(IFERROR(SEARCH('PLANILLA DJ'!$X$54,$A68,1),""))</f>
        <v>1</v>
      </c>
      <c r="BF68" s="207">
        <f>--ISNUMBER(IFERROR(SEARCH('PLANILLA DJ'!$X$55,$A68,1),""))</f>
        <v>1</v>
      </c>
      <c r="BG68" s="207">
        <f>--ISNUMBER(IFERROR(SEARCH('PLANILLA DJ'!$X$56,$A68,1),""))</f>
        <v>1</v>
      </c>
      <c r="BH68" s="207">
        <f>--ISNUMBER(IFERROR(SEARCH('PLANILLA DJ'!$X$57,$A68,1),""))</f>
        <v>1</v>
      </c>
      <c r="BI68" s="207">
        <f>--ISNUMBER(IFERROR(SEARCH('PLANILLA DJ'!$X$58,$A68,1),""))</f>
        <v>1</v>
      </c>
      <c r="BJ68" s="207">
        <f>--ISNUMBER(IFERROR(SEARCH('PLANILLA DJ'!$X$59,$A68,1),""))</f>
        <v>1</v>
      </c>
      <c r="BK68" s="207">
        <f>--ISNUMBER(IFERROR(SEARCH('PLANILLA DJ'!$X$60,$A68,1),""))</f>
        <v>1</v>
      </c>
      <c r="BL68" s="207">
        <f>--ISNUMBER(IFERROR(SEARCH('PLANILLA DJ'!$X$61,$A68,1),""))</f>
        <v>1</v>
      </c>
      <c r="BM68" s="207">
        <f>--ISNUMBER(IFERROR(SEARCH('PLANILLA DJ'!$X$62,$A68,1),""))</f>
        <v>1</v>
      </c>
      <c r="BN68" s="207">
        <f>--ISNUMBER(IFERROR(SEARCH('PLANILLA DJ'!$X$63,$A68,1),""))</f>
        <v>1</v>
      </c>
      <c r="BO68" s="207">
        <f>--ISNUMBER(IFERROR(SEARCH('PLANILLA DJ'!$X$64,$A68,1),""))</f>
        <v>1</v>
      </c>
      <c r="BP68" s="207">
        <f>--ISNUMBER(IFERROR(SEARCH('PLANILLA DJ'!$X$65,$A68,1),""))</f>
        <v>1</v>
      </c>
      <c r="BQ68" s="207">
        <f>--ISNUMBER(IFERROR(SEARCH('PLANILLA DJ'!$X$66,$A68,1),""))</f>
        <v>1</v>
      </c>
      <c r="BR68" s="207">
        <f>--ISNUMBER(IFERROR(SEARCH('PLANILLA DJ'!$X$67,$A68,1),""))</f>
        <v>1</v>
      </c>
      <c r="BS68" s="207">
        <f>--ISNUMBER(IFERROR(SEARCH('PLANILLA DJ'!$X$68,$A68,1),""))</f>
        <v>1</v>
      </c>
      <c r="BT68" s="207">
        <f>--ISNUMBER(IFERROR(SEARCH('PLANILLA DJ'!$X$69,$A68,1),""))</f>
        <v>1</v>
      </c>
      <c r="BU68" s="207">
        <f>--ISNUMBER(IFERROR(SEARCH('PLANILLA DJ'!$X$70,$A68,1),""))</f>
        <v>1</v>
      </c>
      <c r="BV68" s="207">
        <f>--ISNUMBER(IFERROR(SEARCH('PLANILLA DJ'!$X$71,$A68,1),""))</f>
        <v>1</v>
      </c>
      <c r="BW68" s="207">
        <f>--ISNUMBER(IFERROR(SEARCH('PLANILLA DJ'!$X$72,$A68,1),""))</f>
        <v>1</v>
      </c>
      <c r="BX68" s="207">
        <f>--ISNUMBER(IFERROR(SEARCH('PLANILLA DJ'!$X$73,$A68,1),""))</f>
        <v>1</v>
      </c>
      <c r="BY68" s="207">
        <f>--ISNUMBER(IFERROR(SEARCH('PLANILLA DJ'!$X$74,$A68,1),""))</f>
        <v>1</v>
      </c>
      <c r="BZ68" s="207">
        <f>--ISNUMBER(IFERROR(SEARCH('PLANILLA DJ'!$X$75,$A68,1),""))</f>
        <v>1</v>
      </c>
      <c r="CA68" s="207">
        <f>--ISNUMBER(IFERROR(SEARCH('PLANILLA DJ'!$X$76,$A68,1),""))</f>
        <v>1</v>
      </c>
      <c r="CB68" s="207">
        <f>--ISNUMBER(IFERROR(SEARCH('PLANILLA DJ'!$X$77,$A68,1),""))</f>
        <v>1</v>
      </c>
      <c r="CC68" s="207">
        <f>--ISNUMBER(IFERROR(SEARCH('PLANILLA DJ'!$X$78,$A68,1),""))</f>
        <v>1</v>
      </c>
      <c r="CD68" s="207">
        <f>--ISNUMBER(IFERROR(SEARCH('PLANILLA DJ'!$X$79,$A68,1),""))</f>
        <v>1</v>
      </c>
      <c r="CE68" s="207">
        <f>--ISNUMBER(IFERROR(SEARCH('PLANILLA DJ'!$X$80,$A68,1),""))</f>
        <v>1</v>
      </c>
      <c r="CF68" s="207">
        <f>--ISNUMBER(IFERROR(SEARCH('PLANILLA DJ'!$X$81,$A68,1),""))</f>
        <v>1</v>
      </c>
      <c r="CG68" s="207">
        <f>--ISNUMBER(IFERROR(SEARCH('PLANILLA DJ'!$X$82,$A68,1),""))</f>
        <v>1</v>
      </c>
      <c r="CH68" s="207">
        <f>--ISNUMBER(IFERROR(SEARCH('PLANILLA DJ'!$X$83,$A68,1),""))</f>
        <v>1</v>
      </c>
      <c r="CI68" s="207">
        <f>--ISNUMBER(IFERROR(SEARCH('PLANILLA DJ'!$X$84,$A68,1),""))</f>
        <v>1</v>
      </c>
      <c r="CJ68" s="207">
        <f>--ISNUMBER(IFERROR(SEARCH('PLANILLA DJ'!$X$85,$A68,1),""))</f>
        <v>1</v>
      </c>
      <c r="CK68" s="207">
        <f>--ISNUMBER(IFERROR(SEARCH('PLANILLA DJ'!$X$86,$A68,1),""))</f>
        <v>1</v>
      </c>
      <c r="CL68" s="207">
        <f>--ISNUMBER(IFERROR(SEARCH('PLANILLA DJ'!$X$87,$A68,1),""))</f>
        <v>1</v>
      </c>
      <c r="CM68" s="207">
        <f>--ISNUMBER(IFERROR(SEARCH('PLANILLA DJ'!$X$88,$A68,1),""))</f>
        <v>1</v>
      </c>
      <c r="CN68" s="207">
        <f>--ISNUMBER(IFERROR(SEARCH('PLANILLA DJ'!$X$89,$A68,1),""))</f>
        <v>1</v>
      </c>
      <c r="CO68" s="207">
        <f>--ISNUMBER(IFERROR(SEARCH('PLANILLA DJ'!$X$90,$A68,1),""))</f>
        <v>1</v>
      </c>
      <c r="CP68" s="207">
        <f>--ISNUMBER(IFERROR(SEARCH('PLANILLA DJ'!$X$91,$A68,1),""))</f>
        <v>1</v>
      </c>
      <c r="CQ68" s="207">
        <f>--ISNUMBER(IFERROR(SEARCH('PLANILLA DJ'!$X$92,$A68,1),""))</f>
        <v>1</v>
      </c>
      <c r="CR68" s="207">
        <f>--ISNUMBER(IFERROR(SEARCH('PLANILLA DJ'!$X$93,$A68,1),""))</f>
        <v>1</v>
      </c>
      <c r="CS68" s="207">
        <f>--ISNUMBER(IFERROR(SEARCH('PLANILLA DJ'!$X$94,$A68,1),""))</f>
        <v>1</v>
      </c>
      <c r="CT68" s="207">
        <f>--ISNUMBER(IFERROR(SEARCH('PLANILLA DJ'!$X$95,$A68,1),""))</f>
        <v>1</v>
      </c>
      <c r="CU68" s="207">
        <f>--ISNUMBER(IFERROR(SEARCH('PLANILLA DJ'!$X$96,$A68,1),""))</f>
        <v>1</v>
      </c>
      <c r="CV68" s="207">
        <f>--ISNUMBER(IFERROR(SEARCH('PLANILLA DJ'!$X$97,$A68,1),""))</f>
        <v>1</v>
      </c>
      <c r="CW68" s="207">
        <f>--ISNUMBER(IFERROR(SEARCH('PLANILLA DJ'!$X$98,$A68,1),""))</f>
        <v>1</v>
      </c>
      <c r="CX68" s="207">
        <f>--ISNUMBER(IFERROR(SEARCH('PLANILLA DJ'!$X$99,$A68,1),""))</f>
        <v>1</v>
      </c>
      <c r="CY68" s="207">
        <f>--ISNUMBER(IFERROR(SEARCH('PLANILLA DJ'!$X$100,$A68,1),""))</f>
        <v>1</v>
      </c>
      <c r="CZ68" s="207">
        <f>--ISNUMBER(IFERROR(SEARCH('PLANILLA DJ'!$X$101,$A68,1),""))</f>
        <v>1</v>
      </c>
      <c r="DA68" s="207">
        <f>--ISNUMBER(IFERROR(SEARCH('PLANILLA DJ'!$X$102,$A68,1),""))</f>
        <v>1</v>
      </c>
      <c r="DB68" s="206">
        <f>IF(F68=1,COUNTIF($F$2:F68,1),"")</f>
        <v>67</v>
      </c>
      <c r="DC68" s="206">
        <f>IF(G68=1,COUNTIF($G$2:G68,1),"")</f>
        <v>67</v>
      </c>
      <c r="DD68" s="206">
        <f>IF(H68=1,COUNTIF($H$2:H68,1),"")</f>
        <v>67</v>
      </c>
      <c r="DE68" s="206">
        <f>IF(I68=1,COUNTIF($I$2:I68,1),"")</f>
        <v>67</v>
      </c>
      <c r="DF68" s="206">
        <f>IF(J68=1,COUNTIF($J$2:J68,1),"")</f>
        <v>67</v>
      </c>
      <c r="DG68" s="206">
        <f>IF(K68=1,COUNTIF($K$2:K68,1),"")</f>
        <v>67</v>
      </c>
      <c r="DH68" s="206">
        <f>IF(L68=1,COUNTIF($L$2:L68,1),"")</f>
        <v>67</v>
      </c>
      <c r="DI68" s="206">
        <f>IF(M68=1,COUNTIF($M$2:M68,1),"")</f>
        <v>67</v>
      </c>
      <c r="DJ68" s="206">
        <f>IF(N68=1,COUNTIF($N$2:N68,1),"")</f>
        <v>67</v>
      </c>
      <c r="DK68" s="206">
        <f>IF(O68=1,COUNTIF($O$2:O68,1),"")</f>
        <v>67</v>
      </c>
      <c r="DL68" s="206">
        <f>IF(P68=1,COUNTIF($P$2:P68,1),"")</f>
        <v>67</v>
      </c>
      <c r="DM68" s="206">
        <f>IF(Q68=1,COUNTIF($Q$2:Q68,1),"")</f>
        <v>67</v>
      </c>
      <c r="DN68" s="207">
        <f>IF(R68=1,COUNTIF($R$2:R68,1),"")</f>
        <v>67</v>
      </c>
      <c r="DO68" s="207">
        <f>IF(S68=1,COUNTIF($S$2:S68,1),"")</f>
        <v>67</v>
      </c>
      <c r="DP68" s="207">
        <f>IF(T68=1,COUNTIF($T$2:T68,1),"")</f>
        <v>67</v>
      </c>
      <c r="DQ68" s="207">
        <f>IF(U68=1,COUNTIF($U$2:U68,1),"")</f>
        <v>67</v>
      </c>
      <c r="DR68" s="207">
        <f>IF(V68=1,COUNTIF($V$2:V68,1),"")</f>
        <v>67</v>
      </c>
      <c r="DS68" s="207">
        <f>IF(W68=1,COUNTIF($W$2:W68,1),"")</f>
        <v>67</v>
      </c>
      <c r="DT68" s="207">
        <f>IF(X68=1,COUNTIF($X$2:X68,1),"")</f>
        <v>67</v>
      </c>
      <c r="DU68" s="207">
        <f>IF(Y68=1,COUNTIF($Y$2:Y68,1),"")</f>
        <v>67</v>
      </c>
      <c r="DV68" s="207">
        <f>IF(Z68=1,COUNTIF(Z$2:Z68,1),"")</f>
        <v>67</v>
      </c>
      <c r="DW68" s="207">
        <f>IF(AA68=1,COUNTIF($AA$2:AA68,1),"")</f>
        <v>67</v>
      </c>
      <c r="DX68" s="207">
        <f>IF(AB68=1,COUNTIF($AB$2:AB68,1),"")</f>
        <v>67</v>
      </c>
      <c r="DY68" s="207">
        <f>IF(AC68=1,COUNTIF($AC$2:AC68,1),"")</f>
        <v>67</v>
      </c>
      <c r="DZ68" s="207">
        <f>IF(AD68=1,COUNTIF($AD$2:AD68,1),"")</f>
        <v>67</v>
      </c>
      <c r="EA68" s="207">
        <f>IF(AE68=1,COUNTIF($AE$2:AE68,1),"")</f>
        <v>67</v>
      </c>
      <c r="EB68" s="207">
        <f>IF(AF68=1,COUNTIF($AF$2:AF68,1),"")</f>
        <v>67</v>
      </c>
      <c r="EC68" s="207">
        <f>IF(AG68=1,COUNTIF($AG$2:AG68,1),"")</f>
        <v>67</v>
      </c>
      <c r="ED68" s="207">
        <f>IF(AH68=1,COUNTIF($AH$2:AH68,1),"")</f>
        <v>67</v>
      </c>
      <c r="EE68" s="207">
        <f>IF(AI68=1,COUNTIF($AI$2:AI68,1),"")</f>
        <v>67</v>
      </c>
      <c r="EF68" s="207">
        <f>IF(AJ68=1,COUNTIF($AJ$2:AJ68,1),"")</f>
        <v>67</v>
      </c>
      <c r="EG68" s="207">
        <f>IF(AK68=1,COUNTIF($AK$2:AK68,1),"")</f>
        <v>67</v>
      </c>
      <c r="EH68" s="207">
        <f>IF(AL68=1,COUNTIF($AL$2:AL68,1),"")</f>
        <v>67</v>
      </c>
      <c r="EI68" s="207">
        <f>IF(AM68=1,COUNTIF($AM$2:AM68,1),"")</f>
        <v>67</v>
      </c>
      <c r="EJ68" s="207">
        <f>IF(AN68=1,COUNTIF($AN$2:AN68,1),"")</f>
        <v>67</v>
      </c>
      <c r="EK68" s="207">
        <f>IF(AO68=1,COUNTIF($AO$2:AO68,1),"")</f>
        <v>67</v>
      </c>
      <c r="EL68" s="207">
        <f>IF(AP68=1,COUNTIF($AP$2:AP68,1),"")</f>
        <v>67</v>
      </c>
      <c r="EM68" s="207">
        <f>IF(AQ68=1,COUNTIF($AQ$2:AQ68,1),"")</f>
        <v>67</v>
      </c>
      <c r="EN68" s="207">
        <f>IF(AR68=1,COUNTIF($AR$2:AR68,1),"")</f>
        <v>67</v>
      </c>
      <c r="EO68" s="207">
        <f>IF(AS68=1,COUNTIF($AS$2:AS68,1),"")</f>
        <v>67</v>
      </c>
      <c r="EP68" s="207">
        <f>IF(AT68=1,COUNTIF($AT$2:AT68,1),"")</f>
        <v>67</v>
      </c>
      <c r="EQ68" s="207">
        <f>IF(AU68=1,COUNTIF($AU$2:AU68,1),"")</f>
        <v>67</v>
      </c>
      <c r="ER68" s="207">
        <f>IF(AV68=1,COUNTIF($AV$2:AV68,1),"")</f>
        <v>67</v>
      </c>
      <c r="ES68" s="207">
        <f>IF(AW68=1,COUNTIF($AW$2:AW68,1),"")</f>
        <v>67</v>
      </c>
      <c r="ET68" s="207">
        <f>IF(AX68=1,COUNTIF($AX$2:AX68,1),"")</f>
        <v>67</v>
      </c>
      <c r="EU68" s="207">
        <f>IF(AY68=1,COUNTIF($AY$2:AY68,1),"")</f>
        <v>67</v>
      </c>
      <c r="EV68" s="207">
        <f>IF(AZ68=1,COUNTIF($AZ$2:AZ68,1),"")</f>
        <v>67</v>
      </c>
      <c r="EW68" s="207">
        <f>IF(BA68=1,COUNTIF($BA$2:BA68,1),"")</f>
        <v>67</v>
      </c>
      <c r="EX68" s="207">
        <f>IF(BB68=1,COUNTIF($BB$2:BB68,1),"")</f>
        <v>67</v>
      </c>
      <c r="EY68" s="207">
        <f>IF(BC68=1,COUNTIF($BC$2:BC68,1),"")</f>
        <v>67</v>
      </c>
      <c r="EZ68" s="207">
        <f>IF(BD68=1,COUNTIF($BD$2:BD68,1),"")</f>
        <v>67</v>
      </c>
      <c r="FA68" s="207">
        <f>IF(BE68=1,COUNTIF($BE$2:BE68,1),"")</f>
        <v>67</v>
      </c>
      <c r="FB68" s="207">
        <f>IF(BF68=1,COUNTIF($BF$2:BF68,1),"")</f>
        <v>67</v>
      </c>
      <c r="FC68" s="207">
        <f>IF(BG68=1,COUNTIF($BG$2:BG68,1),"")</f>
        <v>67</v>
      </c>
      <c r="FD68" s="207">
        <f>IF(BH68=1,COUNTIF($BH$2:BH68,1),"")</f>
        <v>67</v>
      </c>
      <c r="FE68" s="207">
        <f>IF(BI68=1,COUNTIF($BI$2:BI68,1),"")</f>
        <v>67</v>
      </c>
      <c r="FF68" s="207">
        <f>IF(BJ68=1,COUNTIF($BJ$2:BJ68,1),"")</f>
        <v>67</v>
      </c>
      <c r="FG68" s="207">
        <f>IF(BK68=1,COUNTIF($BK$2:BK68,1),"")</f>
        <v>67</v>
      </c>
      <c r="FH68" s="207">
        <f>IF(BL68=1,COUNTIF($BL$2:BL68,1),"")</f>
        <v>67</v>
      </c>
      <c r="FI68" s="207">
        <f>IF(BM68=1,COUNTIF($BM$2:BM68,1),"")</f>
        <v>67</v>
      </c>
      <c r="FJ68" s="207">
        <f>IF(BN68=1,COUNTIF($BN$2:BN68,1),"")</f>
        <v>67</v>
      </c>
      <c r="FK68" s="207">
        <f>IF(BO68=1,COUNTIF($BO$2:BO68,1),"")</f>
        <v>67</v>
      </c>
      <c r="FL68" s="207">
        <f>IF(BP68=1,COUNTIF($BP$2:BP68,1),"")</f>
        <v>67</v>
      </c>
      <c r="FM68" s="207">
        <f>IF(BQ68=1,COUNTIF($BQ$2:BQ68,1),"")</f>
        <v>67</v>
      </c>
      <c r="FN68" s="207">
        <f>IF(BR68=1,COUNTIF($BR$2:BR68,1),"")</f>
        <v>67</v>
      </c>
      <c r="FO68" s="207">
        <f>IF(BS68=1,COUNTIF($BS$2:BS68,1),"")</f>
        <v>67</v>
      </c>
      <c r="FP68" s="207">
        <f>IF(BT68=1,COUNTIF($BT$2:BT68,1),"")</f>
        <v>67</v>
      </c>
      <c r="FQ68" s="207">
        <f>IF(BU68=1,COUNTIF($BU$2:BU68,1),"")</f>
        <v>67</v>
      </c>
      <c r="FR68" s="207">
        <f>IF(BV68=1,COUNTIF($BV$2:BV68,1),"")</f>
        <v>67</v>
      </c>
      <c r="FS68" s="207">
        <f>IF(BW68=1,COUNTIF($BW$2:BW68,1),"")</f>
        <v>67</v>
      </c>
      <c r="FT68" s="207">
        <f>IF(BX68=1,COUNTIF($BX$2:BX68,1),"")</f>
        <v>67</v>
      </c>
      <c r="FU68" s="207">
        <f>IF(BY68=1,COUNTIF($BY$2:BY68,1),"")</f>
        <v>67</v>
      </c>
      <c r="FV68" s="207">
        <f>IF(BZ68=1,COUNTIF($BZ$2:BZ68,1),"")</f>
        <v>67</v>
      </c>
      <c r="FW68" s="207">
        <f>IF(CA68=1,COUNTIF($CA$2:CA68,1),"")</f>
        <v>67</v>
      </c>
      <c r="FX68" s="207">
        <f>IF(CB68=1,COUNTIF($CB$2:CB68,1),"")</f>
        <v>67</v>
      </c>
      <c r="FY68" s="207">
        <f>IF(CC68=1,COUNTIF($CC$2:CC68,1),"")</f>
        <v>67</v>
      </c>
      <c r="FZ68" s="207">
        <f>IF(CD68=1,COUNTIF($CD$2:CD68,1),"")</f>
        <v>67</v>
      </c>
      <c r="GA68" s="207">
        <f>IF(CE68=1,COUNTIF($CE$2:CE68,1),"")</f>
        <v>67</v>
      </c>
      <c r="GB68" s="207">
        <f>IF(CF68=1,COUNTIF($CF$2:CF68,1),"")</f>
        <v>67</v>
      </c>
      <c r="GC68" s="207">
        <f>IF(CG68=1,COUNTIF($CG$2:CG68,1),"")</f>
        <v>67</v>
      </c>
      <c r="GD68" s="207">
        <f>IF(CH68=1,COUNTIF($CH$2:CH68,1),"")</f>
        <v>67</v>
      </c>
      <c r="GE68" s="207">
        <f>IF(CI68=1,COUNTIF($CI$2:CI68,1),"")</f>
        <v>67</v>
      </c>
      <c r="GF68" s="207">
        <f>IF(CJ68=1,COUNTIF($CJ$2:CJ68,1),"")</f>
        <v>67</v>
      </c>
      <c r="GG68" s="207">
        <f>IF(CK68=1,COUNTIF($CK$2:CK68,1),"")</f>
        <v>67</v>
      </c>
      <c r="GH68" s="207">
        <f>IF(CL68=1,COUNTIF($CL$2:CL68,1),"")</f>
        <v>67</v>
      </c>
      <c r="GI68" s="207">
        <f>IF(CM68=1,COUNTIF($CM$2:CM68,1),"")</f>
        <v>67</v>
      </c>
      <c r="GJ68" s="207">
        <f>IF(CN68=1,COUNTIF($CN$2:CN68,1),"")</f>
        <v>67</v>
      </c>
      <c r="GK68" s="207">
        <f>IF(CO68=1,COUNTIF($CO$2:CO68,1),"")</f>
        <v>67</v>
      </c>
      <c r="GL68" s="207">
        <f>IF(CP68=1,COUNTIF($CP$2:CP68,1),"")</f>
        <v>67</v>
      </c>
      <c r="GM68" s="207">
        <f>IF(CQ68=1,COUNTIF($CQ$2:CQ68,1),"")</f>
        <v>67</v>
      </c>
      <c r="GN68" s="207">
        <f>IF(CR68=1,COUNTIF($CR$2:CR68,1),"")</f>
        <v>67</v>
      </c>
      <c r="GO68" s="207">
        <f>IF(CS68=1,COUNTIF($CS$2:CS68,1),"")</f>
        <v>67</v>
      </c>
      <c r="GP68" s="207">
        <f>IF(CT68=1,COUNTIF($CT$2:CT68,1),"")</f>
        <v>67</v>
      </c>
      <c r="GQ68" s="207">
        <f>IF(CU68=1,COUNTIF($CU$2:CU68,1),"")</f>
        <v>67</v>
      </c>
      <c r="GR68" s="207">
        <f>IF(CV68=1,COUNTIF($CV$2:CV68,1),"")</f>
        <v>67</v>
      </c>
      <c r="GS68" s="207">
        <f>IF(CW68=1,COUNTIF($CW$2:CW68,1),"")</f>
        <v>67</v>
      </c>
      <c r="GT68" s="207">
        <f>IF(CX68=1,COUNTIF($CX$2:CX68,1),"")</f>
        <v>67</v>
      </c>
      <c r="GU68" s="207">
        <f>IF(CY68=1,COUNTIF($CY$2:CY68,1),"")</f>
        <v>67</v>
      </c>
      <c r="GV68" s="207">
        <f>IF(CZ68=1,COUNTIF($CZ$2:CZ68,1),"")</f>
        <v>67</v>
      </c>
      <c r="GW68" s="207">
        <f>IF(DA68=1,COUNTIF($DA$2:DA68,1),"")</f>
        <v>67</v>
      </c>
      <c r="GX68" s="206" t="str">
        <f>IFERROR(INDEX($A$2:$A$113,MATCH(ROWS($DB$2:DB68),$DB$2:$DB$113,0)),"")</f>
        <v>PORTACION ILEGAL DE ARMAS DE FUEGO</v>
      </c>
      <c r="GY68" s="206" t="str">
        <f>IFERROR(INDEX($A$2:$A$113,MATCH(ROWS($DC$2:DC68),$DC$2:$DC$113,0)),"")</f>
        <v>PORTACION ILEGAL DE ARMAS DE FUEGO</v>
      </c>
      <c r="GZ68" s="206" t="str">
        <f>IFERROR(INDEX($A$2:$A$113,MATCH(ROWS($DD$2:DD68),$DD$2:$DD$113,0)),"")</f>
        <v>PORTACION ILEGAL DE ARMAS DE FUEGO</v>
      </c>
      <c r="HA68" s="206" t="str">
        <f>IFERROR(INDEX($A$2:$A$113,MATCH(ROWS($DE$2:DE68),$DE$2:$DE$113,0)),"")</f>
        <v>PORTACION ILEGAL DE ARMAS DE FUEGO</v>
      </c>
      <c r="HB68" s="206" t="str">
        <f>IFERROR(INDEX($A$2:$A$113,MATCH(ROWS($DF$2:DF68),$DF$2:$DF$113,0)),"")</f>
        <v>PORTACION ILEGAL DE ARMAS DE FUEGO</v>
      </c>
      <c r="HC68" s="206" t="str">
        <f>IFERROR(INDEX($A$2:$A$113,MATCH(ROWS($DG$2:DG68),$DG$2:$DG$113,0)),"")</f>
        <v>PORTACION ILEGAL DE ARMAS DE FUEGO</v>
      </c>
      <c r="HD68" s="206" t="str">
        <f>IFERROR(INDEX($A$2:$A$113,MATCH(ROWS($DH$2:DH68),$DH$2:$DH$113,0)),"")</f>
        <v>PORTACION ILEGAL DE ARMAS DE FUEGO</v>
      </c>
      <c r="HE68" s="206" t="str">
        <f>IFERROR(INDEX($A$2:$A$113,MATCH(ROWS($DI$2:DI68),$DI$2:$DI$113,0)),"")</f>
        <v>PORTACION ILEGAL DE ARMAS DE FUEGO</v>
      </c>
      <c r="HF68" s="206" t="str">
        <f>IFERROR(INDEX($A$2:$A$113,MATCH(ROWS($DJ$2:DJ68),$DJ$2:$DJ$113,0)),"")</f>
        <v>PORTACION ILEGAL DE ARMAS DE FUEGO</v>
      </c>
      <c r="HG68" s="206" t="str">
        <f>IFERROR(INDEX($A$2:$A$113,MATCH(ROWS($DK$2:DK68),$DK$2:$DK$113,0)),"")</f>
        <v>PORTACION ILEGAL DE ARMAS DE FUEGO</v>
      </c>
      <c r="HH68" s="206" t="str">
        <f>IFERROR(INDEX($A$2:$A$113,MATCH(ROWS($DL$2:DL68),$DL$2:$DL$113,0)),"")</f>
        <v>PORTACION ILEGAL DE ARMAS DE FUEGO</v>
      </c>
      <c r="HI68" s="206" t="str">
        <f>IFERROR(INDEX($A$2:$A$113,MATCH(ROWS($DM$2:DM68),$DM$2:$DM$113,0)),"")</f>
        <v>PORTACION ILEGAL DE ARMAS DE FUEGO</v>
      </c>
      <c r="HJ68" s="206" t="str">
        <f>IFERROR(INDEX($A$2:$A$113,MATCH(ROWS($DN$2:DN68),$DN$2:$DN$113,0)),"")</f>
        <v>PORTACION ILEGAL DE ARMAS DE FUEGO</v>
      </c>
      <c r="HK68" s="206" t="str">
        <f>IFERROR(INDEX($A$2:$A$113,MATCH(ROWS($DO$2:DO68),$DO$2:$DO$113,0)),"")</f>
        <v>PORTACION ILEGAL DE ARMAS DE FUEGO</v>
      </c>
      <c r="HL68" s="206" t="str">
        <f>IFERROR(INDEX($A$2:$A$113,MATCH(ROWS($DP$2:DP68),$DP$2:$DP$113,0)),"")</f>
        <v>PORTACION ILEGAL DE ARMAS DE FUEGO</v>
      </c>
      <c r="HM68" s="206" t="str">
        <f>IFERROR(INDEX($A$2:$A$113,MATCH(ROWS($DQ$2:DQ68),$DQ$2:$DQ$113,0)),"")</f>
        <v>PORTACION ILEGAL DE ARMAS DE FUEGO</v>
      </c>
      <c r="HN68" s="206" t="str">
        <f>IFERROR(INDEX($A$2:$A$113,MATCH(ROWS($DR$2:DR68),$DR$2:$DR$113,0)),"")</f>
        <v>PORTACION ILEGAL DE ARMAS DE FUEGO</v>
      </c>
      <c r="HO68" s="206" t="str">
        <f>IFERROR(INDEX($A$2:$A$113,MATCH(ROWS($DS$2:DS68),$DS$2:$DS$113,0)),"")</f>
        <v>PORTACION ILEGAL DE ARMAS DE FUEGO</v>
      </c>
      <c r="HP68" s="206" t="str">
        <f>IFERROR(INDEX($A$2:$A$113,MATCH(ROWS($DT$2:DT68),$DT$2:$DT$113,0)),"")</f>
        <v>PORTACION ILEGAL DE ARMAS DE FUEGO</v>
      </c>
      <c r="HQ68" s="206" t="str">
        <f>IFERROR(INDEX($A$2:$A$113,MATCH(ROWS($DU$2:DU68),$DU$2:$DU$113,0)),"")</f>
        <v>PORTACION ILEGAL DE ARMAS DE FUEGO</v>
      </c>
      <c r="HR68" s="206" t="str">
        <f>IFERROR(INDEX($A$2:$A$113,MATCH(ROWS($DV$2:DV68),$DV$2:$DV$113,0)),"")</f>
        <v>PORTACION ILEGAL DE ARMAS DE FUEGO</v>
      </c>
      <c r="HS68" s="206" t="str">
        <f>IFERROR(INDEX($A$2:$A$113,MATCH(ROWS($DW$2:DW68),$DW$2:$DW$113,0)),"")</f>
        <v>PORTACION ILEGAL DE ARMAS DE FUEGO</v>
      </c>
      <c r="HT68" s="206" t="str">
        <f>IFERROR(INDEX($A$2:$A$113,MATCH(ROWS($DX$2:DX68),$DX$2:$DX$113,0)),"")</f>
        <v>PORTACION ILEGAL DE ARMAS DE FUEGO</v>
      </c>
      <c r="HU68" s="206" t="str">
        <f>IFERROR(INDEX($A$2:$A$113,MATCH(ROWS($DY$2:DY68),$DY$2:$DY$113,0)),"")</f>
        <v>PORTACION ILEGAL DE ARMAS DE FUEGO</v>
      </c>
      <c r="HV68" s="206" t="str">
        <f>IFERROR(INDEX($A$2:$A$113,MATCH(ROWS($DZ$2:DZ68),$DZ$2:$DZ$113,0)),"")</f>
        <v>PORTACION ILEGAL DE ARMAS DE FUEGO</v>
      </c>
      <c r="HW68" s="206" t="str">
        <f>IFERROR(INDEX($A$2:$A$113,MATCH(ROWS($EA$2:EA68),$EA$2:$EA$113,0)),"")</f>
        <v>PORTACION ILEGAL DE ARMAS DE FUEGO</v>
      </c>
      <c r="HX68" s="206" t="str">
        <f>IFERROR(INDEX($A$2:$A$113,MATCH(ROWS($EB$2:EB68),$EB$2:$EB$113,0)),"")</f>
        <v>PORTACION ILEGAL DE ARMAS DE FUEGO</v>
      </c>
      <c r="HY68" s="206" t="str">
        <f>IFERROR(INDEX($A$2:$A$113,MATCH(ROWS($EC$2:EC68),$EC$2:$EC$113,0)),"")</f>
        <v>PORTACION ILEGAL DE ARMAS DE FUEGO</v>
      </c>
      <c r="HZ68" s="206" t="str">
        <f>IFERROR(INDEX($A$2:$A$113,MATCH(ROWS($ED$2:ED68),$ED$2:$ED$113,0)),"")</f>
        <v>PORTACION ILEGAL DE ARMAS DE FUEGO</v>
      </c>
      <c r="IA68" s="206" t="str">
        <f>IFERROR(INDEX($A$2:$A$113,MATCH(ROWS($EE$2:EE68),$EE$2:$EE$113,0)),"")</f>
        <v>PORTACION ILEGAL DE ARMAS DE FUEGO</v>
      </c>
      <c r="IB68" s="206" t="str">
        <f>IFERROR(INDEX($A$2:$A$113,MATCH(ROWS($EF$2:EF68),$EF$2:$EF$113,0)),"")</f>
        <v>PORTACION ILEGAL DE ARMAS DE FUEGO</v>
      </c>
      <c r="IC68" s="206" t="str">
        <f>IFERROR(INDEX($A$2:$A$113,MATCH(ROWS($EG$2:EG68),$EG$2:$EG$113,0)),"")</f>
        <v>PORTACION ILEGAL DE ARMAS DE FUEGO</v>
      </c>
      <c r="ID68" s="206" t="str">
        <f>IFERROR(INDEX($A$2:$A$113,MATCH(ROWS($EH$2:EH68),$EH$2:$EH$113,0)),"")</f>
        <v>PORTACION ILEGAL DE ARMAS DE FUEGO</v>
      </c>
      <c r="IE68" s="206" t="str">
        <f>IFERROR(INDEX($A$2:$A$113,MATCH(ROWS($EI$2:EI68),$EI$2:$EI$113,0)),"")</f>
        <v>PORTACION ILEGAL DE ARMAS DE FUEGO</v>
      </c>
      <c r="IF68" s="206" t="str">
        <f>IFERROR(INDEX($A$2:$A$113,MATCH(ROWS($EJ$2:EJ68),$EJ$2:$EJ$113,0)),"")</f>
        <v>PORTACION ILEGAL DE ARMAS DE FUEGO</v>
      </c>
      <c r="IG68" s="206" t="str">
        <f>IFERROR(INDEX($A$2:$A$113,MATCH(ROWS($EK$2:EK68),$EK$2:$EK$113,0)),"")</f>
        <v>PORTACION ILEGAL DE ARMAS DE FUEGO</v>
      </c>
      <c r="IH68" s="206" t="str">
        <f>IFERROR(INDEX($A$2:$A$113,MATCH(ROWS($EL$2:EL68),$EL$2:$EL$113,0)),"")</f>
        <v>PORTACION ILEGAL DE ARMAS DE FUEGO</v>
      </c>
      <c r="II68" s="206" t="str">
        <f>IFERROR(INDEX($A$2:$A$113,MATCH(ROWS($EM$2:EM68),$EM$2:$EM$113,0)),"")</f>
        <v>PORTACION ILEGAL DE ARMAS DE FUEGO</v>
      </c>
      <c r="IJ68" s="206" t="str">
        <f>IFERROR(INDEX($A$2:$A$113,MATCH(ROWS($EN$2:EN68),$EN$2:$EN$113,0)),"")</f>
        <v>PORTACION ILEGAL DE ARMAS DE FUEGO</v>
      </c>
      <c r="IK68" s="207" t="str">
        <f>IFERROR(INDEX($A$2:$A$113,MATCH(ROWS($EO$2:EO68),$EO$2:$EO$113,0)),"")</f>
        <v>PORTACION ILEGAL DE ARMAS DE FUEGO</v>
      </c>
      <c r="IL68" s="207" t="str">
        <f>IFERROR(INDEX($A$2:$A$113,MATCH(ROWS($EP$2:EP68),$EP$2:$EP$113,0)),"")</f>
        <v>PORTACION ILEGAL DE ARMAS DE FUEGO</v>
      </c>
      <c r="IM68" s="207" t="str">
        <f>IFERROR(INDEX($A$2:$A$113,MATCH(ROWS($EQ$2:EQ68),$EQ$2:$EQ$113,0)),"")</f>
        <v>PORTACION ILEGAL DE ARMAS DE FUEGO</v>
      </c>
      <c r="IN68" s="207" t="str">
        <f>IFERROR(INDEX($A$2:$A$113,MATCH(ROWS($ER$2:ER68),$ER$2:$ER$113,0)),"")</f>
        <v>PORTACION ILEGAL DE ARMAS DE FUEGO</v>
      </c>
      <c r="IO68" s="207" t="str">
        <f>IFERROR(INDEX($A$2:$A$113,MATCH(ROWS($ES$2:ES68),$ES$2:$ES$113,0)),"")</f>
        <v>PORTACION ILEGAL DE ARMAS DE FUEGO</v>
      </c>
      <c r="IP68" s="207" t="str">
        <f>IFERROR(INDEX($A$2:$A$113,MATCH(ROWS($ET$2:ET68),$ET$2:$ET$113,0)),"")</f>
        <v>PORTACION ILEGAL DE ARMAS DE FUEGO</v>
      </c>
      <c r="IQ68" s="207" t="str">
        <f>IFERROR(INDEX($A$2:$A$113,MATCH(ROWS($EU$2:EU68),$EU$2:$EU$113,0)),"")</f>
        <v>PORTACION ILEGAL DE ARMAS DE FUEGO</v>
      </c>
      <c r="IR68" s="207" t="str">
        <f>IFERROR(INDEX($A$2:$A$113,MATCH(ROWS($EV$2:EV68),$EV$2:$EV$113,0)),"")</f>
        <v>PORTACION ILEGAL DE ARMAS DE FUEGO</v>
      </c>
      <c r="IS68" s="207" t="str">
        <f>IFERROR(INDEX($A$2:$A$113,MATCH(ROWS($EW$2:EW68),$EW$2:$EW$113,0)),"")</f>
        <v>PORTACION ILEGAL DE ARMAS DE FUEGO</v>
      </c>
      <c r="IT68" s="207" t="str">
        <f>IFERROR(INDEX($A$2:$A$113,MATCH(ROWS($EX$2:EX68),$EX$2:$EX$113,0)),"")</f>
        <v>PORTACION ILEGAL DE ARMAS DE FUEGO</v>
      </c>
      <c r="IU68" s="207" t="str">
        <f>IFERROR(INDEX($A$2:$A$113,MATCH(ROWS($EY$2:EY68),$EY$2:$EY$113,0)),"")</f>
        <v>PORTACION ILEGAL DE ARMAS DE FUEGO</v>
      </c>
      <c r="IV68" s="207" t="str">
        <f>IFERROR(INDEX($A$2:$A$113,MATCH(ROWS($EZ$2:EZ68),$EZ$2:$EZ$113,0)),"")</f>
        <v>PORTACION ILEGAL DE ARMAS DE FUEGO</v>
      </c>
      <c r="IW68" s="207" t="str">
        <f>IFERROR(INDEX($A$2:$A$113,MATCH(ROWS($FA$2:FA68),$FA$2:$FA$113,0)),"")</f>
        <v>PORTACION ILEGAL DE ARMAS DE FUEGO</v>
      </c>
      <c r="IX68" s="207" t="str">
        <f>IFERROR(INDEX($A$2:$A$113,MATCH(ROWS($FB$2:FB68),$FB$2:$FB$113,0)),"")</f>
        <v>PORTACION ILEGAL DE ARMAS DE FUEGO</v>
      </c>
      <c r="IY68" s="207" t="str">
        <f>IFERROR(INDEX($A$2:$A$113,MATCH(ROWS($FC$2:FC68),$FC$2:$FC$113,0)),"")</f>
        <v>PORTACION ILEGAL DE ARMAS DE FUEGO</v>
      </c>
      <c r="IZ68" s="207" t="str">
        <f>IFERROR(INDEX($A$2:$A$113,MATCH(ROWS($FD$2:FD68),$FD$2:$FD$113,0)),"")</f>
        <v>PORTACION ILEGAL DE ARMAS DE FUEGO</v>
      </c>
      <c r="JA68" s="207" t="str">
        <f>IFERROR(INDEX($A$2:$A$113,MATCH(ROWS($FE$2:FE68),$FE$2:$FE$113,0)),"")</f>
        <v>PORTACION ILEGAL DE ARMAS DE FUEGO</v>
      </c>
      <c r="JB68" s="207" t="str">
        <f>IFERROR(INDEX($A$2:$A$113,MATCH(ROWS($FF$2:FF68),$FF$2:$FF$113,0)),"")</f>
        <v>PORTACION ILEGAL DE ARMAS DE FUEGO</v>
      </c>
      <c r="JC68" s="207" t="str">
        <f>IFERROR(INDEX($A$2:$A$113,MATCH(ROWS($FG$2:FG68),$FG$2:$FG$113,0)),"")</f>
        <v>PORTACION ILEGAL DE ARMAS DE FUEGO</v>
      </c>
      <c r="JD68" s="207" t="str">
        <f>IFERROR(INDEX($A$2:$A$113,MATCH(ROWS($FH$2:FH68),$FH$2:$FH$113,0)),"")</f>
        <v>PORTACION ILEGAL DE ARMAS DE FUEGO</v>
      </c>
      <c r="JE68" s="207" t="str">
        <f>IFERROR(INDEX($A$2:$A$113,MATCH(ROWS($FI$2:FI68),$FI$2:$FI$113,0)),"")</f>
        <v>PORTACION ILEGAL DE ARMAS DE FUEGO</v>
      </c>
      <c r="JF68" s="207" t="str">
        <f>IFERROR(INDEX($A$2:$A$113,MATCH(ROWS($FJ$2:FJ68),$FJ$2:$FJ$113,0)),"")</f>
        <v>PORTACION ILEGAL DE ARMAS DE FUEGO</v>
      </c>
      <c r="JG68" s="207" t="str">
        <f>IFERROR(INDEX($A$2:$A$113,MATCH(ROWS($FK$2:FK68),$FK$2:$FK$113,0)),"")</f>
        <v>PORTACION ILEGAL DE ARMAS DE FUEGO</v>
      </c>
      <c r="JH68" s="207" t="str">
        <f>IFERROR(INDEX($A$2:$A$113,MATCH(ROWS($FL$2:FL68),$FL$2:$FL$113,0)),"")</f>
        <v>PORTACION ILEGAL DE ARMAS DE FUEGO</v>
      </c>
      <c r="JI68" s="207" t="str">
        <f>IFERROR(INDEX($A$2:$A$113,MATCH(ROWS($FM$2:FM68),$FM$2:$FM$113,0)),"")</f>
        <v>PORTACION ILEGAL DE ARMAS DE FUEGO</v>
      </c>
      <c r="JJ68" s="207" t="str">
        <f>IFERROR(INDEX($A$2:$A$113,MATCH(ROWS($FN$2:FN68),$FN$2:$FN$113,0)),"")</f>
        <v>PORTACION ILEGAL DE ARMAS DE FUEGO</v>
      </c>
      <c r="JK68" s="207" t="str">
        <f>IFERROR(INDEX($A$2:$A$113,MATCH(ROWS($FO$2:FO68),$FO$2:$FO$113,0)),"")</f>
        <v>PORTACION ILEGAL DE ARMAS DE FUEGO</v>
      </c>
      <c r="JL68" s="207" t="str">
        <f>IFERROR(INDEX($A$2:$A$113,MATCH(ROWS($FP$2:FP68),$FP$2:$FP$113,0)),"")</f>
        <v>PORTACION ILEGAL DE ARMAS DE FUEGO</v>
      </c>
      <c r="JM68" s="207" t="str">
        <f>IFERROR(INDEX($A$2:$A$113,MATCH(ROWS($FQ$2:FQ68),$FQ$2:$FQ$113,0)),"")</f>
        <v>PORTACION ILEGAL DE ARMAS DE FUEGO</v>
      </c>
      <c r="JN68" s="207" t="str">
        <f>IFERROR(INDEX($A$2:$A$113,MATCH(ROWS($FR$2:FR68),$FR$2:$FR$113,0)),"")</f>
        <v>PORTACION ILEGAL DE ARMAS DE FUEGO</v>
      </c>
      <c r="JO68" s="207" t="str">
        <f>IFERROR(INDEX($A$2:$A$113,MATCH(ROWS($FS$2:FS68),$FS$2:$FS$113,0)),"")</f>
        <v>PORTACION ILEGAL DE ARMAS DE FUEGO</v>
      </c>
      <c r="JP68" s="207" t="str">
        <f>IFERROR(INDEX($A$2:$A$113,MATCH(ROWS($FT$2:FT68),$FT$2:$FT$113,0)),"")</f>
        <v>PORTACION ILEGAL DE ARMAS DE FUEGO</v>
      </c>
      <c r="JQ68" s="207" t="str">
        <f>IFERROR(INDEX($A$2:$A$113,MATCH(ROWS($FU$2:FU68),$FU$2:$FU$113,0)),"")</f>
        <v>PORTACION ILEGAL DE ARMAS DE FUEGO</v>
      </c>
      <c r="JR68" s="207" t="str">
        <f>IFERROR(INDEX($A$2:$A$113,MATCH(ROWS($FV$2:FV68),$FV$2:$FV$113,0)),"")</f>
        <v>PORTACION ILEGAL DE ARMAS DE FUEGO</v>
      </c>
      <c r="JS68" s="207" t="str">
        <f>IFERROR(INDEX($A$2:$A$113,MATCH(ROWS($FW$2:FW68),$FW$2:$FW$113,0)),"")</f>
        <v>PORTACION ILEGAL DE ARMAS DE FUEGO</v>
      </c>
      <c r="JT68" s="207" t="str">
        <f>IFERROR(INDEX($A$2:$A$113,MATCH(ROWS($FX$2:FX68),$FX$2:$FX$113,0)),"")</f>
        <v>PORTACION ILEGAL DE ARMAS DE FUEGO</v>
      </c>
      <c r="JU68" s="207" t="str">
        <f>IFERROR(INDEX($A$2:$A$113,MATCH(ROWS($FY$2:FY68),$FY$2:$FY$113,0)),"")</f>
        <v>PORTACION ILEGAL DE ARMAS DE FUEGO</v>
      </c>
      <c r="JV68" s="207" t="str">
        <f>IFERROR(INDEX($A$2:$A$113,MATCH(ROWS($FZ$2:FZ68),$FZ$2:$FZ$113,0)),"")</f>
        <v>PORTACION ILEGAL DE ARMAS DE FUEGO</v>
      </c>
      <c r="JW68" s="207" t="str">
        <f>IFERROR(INDEX($A$2:$A$113,MATCH(ROWS($GA$2:GA68),$GA$2:$GA$113,0)),"")</f>
        <v>PORTACION ILEGAL DE ARMAS DE FUEGO</v>
      </c>
      <c r="JX68" s="207" t="str">
        <f>IFERROR(INDEX($A$2:$A$113,MATCH(ROWS($GB$2:GB68),$GB$2:$GB$113,0)),"")</f>
        <v>PORTACION ILEGAL DE ARMAS DE FUEGO</v>
      </c>
      <c r="JY68" s="207" t="str">
        <f>IFERROR(INDEX($A$2:$A$113,MATCH(ROWS($GC$2:GC68),$GC$2:$GC$113,0)),"")</f>
        <v>PORTACION ILEGAL DE ARMAS DE FUEGO</v>
      </c>
      <c r="JZ68" s="207" t="str">
        <f>IFERROR(INDEX($A$2:$A$113,MATCH(ROWS($GD$2:GD68),$GD$2:$GD$113,0)),"")</f>
        <v>PORTACION ILEGAL DE ARMAS DE FUEGO</v>
      </c>
      <c r="KA68" s="207" t="str">
        <f>IFERROR(INDEX($A$2:$A$113,MATCH(ROWS($GE$2:GE68),$GE$2:$GE$113,0)),"")</f>
        <v>PORTACION ILEGAL DE ARMAS DE FUEGO</v>
      </c>
      <c r="KB68" s="207" t="str">
        <f>IFERROR(INDEX($A$2:$A$113,MATCH(ROWS($GF$2:GF68),$GF$2:$GF$113,0)),"")</f>
        <v>PORTACION ILEGAL DE ARMAS DE FUEGO</v>
      </c>
      <c r="KC68" s="207" t="str">
        <f>IFERROR(INDEX($A$2:$A$113,MATCH(ROWS($GG$2:GG68),$GG$2:$GG$113,0)),"")</f>
        <v>PORTACION ILEGAL DE ARMAS DE FUEGO</v>
      </c>
      <c r="KD68" s="207" t="str">
        <f>IFERROR(INDEX($A$2:$A$113,MATCH(ROWS($GH$2:GH68),$GH$2:$GH$113,0)),"")</f>
        <v>PORTACION ILEGAL DE ARMAS DE FUEGO</v>
      </c>
      <c r="KE68" s="207" t="str">
        <f>IFERROR(INDEX($A$2:$A$113,MATCH(ROWS($GI$2:GI68),$GI$2:$GI$113,0)),"")</f>
        <v>PORTACION ILEGAL DE ARMAS DE FUEGO</v>
      </c>
      <c r="KF68" s="207" t="str">
        <f>IFERROR(INDEX($A$2:$A$113,MATCH(ROWS($GJ$2:GJ68),$GJ$2:$GJ$113,0)),"")</f>
        <v>PORTACION ILEGAL DE ARMAS DE FUEGO</v>
      </c>
      <c r="KG68" s="207" t="str">
        <f>IFERROR(INDEX($A$2:$A$113,MATCH(ROWS($GK$2:GK68),$GK$2:$GK$113,0)),"")</f>
        <v>PORTACION ILEGAL DE ARMAS DE FUEGO</v>
      </c>
      <c r="KH68" s="207" t="str">
        <f>IFERROR(INDEX($A$2:$A$113,MATCH(ROWS($GL$2:GL68),$GL$2:$GL$113,0)),"")</f>
        <v>PORTACION ILEGAL DE ARMAS DE FUEGO</v>
      </c>
      <c r="KI68" s="207" t="str">
        <f>IFERROR(INDEX($A$2:$A$113,MATCH(ROWS($GM$2:GM68),$GM$2:$GM$113,0)),"")</f>
        <v>PORTACION ILEGAL DE ARMAS DE FUEGO</v>
      </c>
      <c r="KJ68" s="207" t="str">
        <f>IFERROR(INDEX($A$2:$A$113,MATCH(ROWS($GN$2:GN68),$GN$2:$GN$113,0)),"")</f>
        <v>PORTACION ILEGAL DE ARMAS DE FUEGO</v>
      </c>
      <c r="KK68" s="207" t="str">
        <f>IFERROR(INDEX($A$2:$A$113,MATCH(ROWS($GO$2:GO68),$GO$2:$GO$113,0)),"")</f>
        <v>PORTACION ILEGAL DE ARMAS DE FUEGO</v>
      </c>
      <c r="KL68" s="207" t="str">
        <f>IFERROR(INDEX($A$2:$A$113,MATCH(ROWS($GP$2:GP68),$GP$2:$GP$113,0)),"")</f>
        <v>PORTACION ILEGAL DE ARMAS DE FUEGO</v>
      </c>
      <c r="KM68" s="207" t="str">
        <f>IFERROR(INDEX($A$2:$A$113,MATCH(ROWS($GQ$2:GQ68),$GQ$2:$GQ$113,0)),"")</f>
        <v>PORTACION ILEGAL DE ARMAS DE FUEGO</v>
      </c>
      <c r="KN68" s="207" t="str">
        <f>IFERROR(INDEX($A$2:$A$113,MATCH(ROWS($GR$2:GR68),$GR$2:$GR$113,0)),"")</f>
        <v>PORTACION ILEGAL DE ARMAS DE FUEGO</v>
      </c>
      <c r="KO68" s="207" t="str">
        <f>IFERROR(INDEX($A$2:$A$113,MATCH(ROWS($GS$2:GS68),$GS$2:$GS$113,0)),"")</f>
        <v>PORTACION ILEGAL DE ARMAS DE FUEGO</v>
      </c>
      <c r="KP68" s="207" t="str">
        <f>IFERROR(INDEX($A$2:$A$113,MATCH(ROWS($GT$2:GT68),$GT$2:$GT$113,0)),"")</f>
        <v>PORTACION ILEGAL DE ARMAS DE FUEGO</v>
      </c>
      <c r="KQ68" s="207" t="str">
        <f>IFERROR(INDEX($A$2:$A$113,MATCH(ROWS($GU$2:GU68),$GU$2:$GU$113,0)),"")</f>
        <v>PORTACION ILEGAL DE ARMAS DE FUEGO</v>
      </c>
      <c r="KR68" s="207" t="str">
        <f>IFERROR(INDEX($A$2:$A$113,MATCH(ROWS($GV$2:GV68),$GV$2:$GV$113,0)),"")</f>
        <v>PORTACION ILEGAL DE ARMAS DE FUEGO</v>
      </c>
      <c r="KS68" s="207" t="str">
        <f>IFERROR(INDEX($A$2:$A$113,MATCH(ROWS($GW$2:GW68),$GW$2:$GW$113,0)),"")</f>
        <v>PORTACION ILEGAL DE ARMAS DE FUEGO</v>
      </c>
    </row>
    <row r="69" spans="1:305" x14ac:dyDescent="0.25">
      <c r="A69" s="206" t="s">
        <v>903</v>
      </c>
      <c r="B69" s="206" t="s">
        <v>104</v>
      </c>
      <c r="D69" s="206" t="s">
        <v>14</v>
      </c>
      <c r="E69" s="206" t="s">
        <v>99</v>
      </c>
      <c r="F69" s="207">
        <f>--ISNUMBER(IFERROR(SEARCH('PLANILLA DJ'!$X$3,$A69,1),""))</f>
        <v>1</v>
      </c>
      <c r="G69" s="207">
        <f>--ISNUMBER(IFERROR(SEARCH('PLANILLA DJ'!$X$4,$A69,1),""))</f>
        <v>1</v>
      </c>
      <c r="H69" s="207">
        <f>--ISNUMBER(IFERROR(SEARCH('PLANILLA DJ'!$X$5,$A69,1),""))</f>
        <v>1</v>
      </c>
      <c r="I69" s="207">
        <f>--ISNUMBER(IFERROR(SEARCH('PLANILLA DJ'!$X$6,$A69,1),""))</f>
        <v>1</v>
      </c>
      <c r="J69" s="207">
        <f>--ISNUMBER(IFERROR(SEARCH('PLANILLA DJ'!$X$7,$A69,1),""))</f>
        <v>1</v>
      </c>
      <c r="K69" s="207">
        <f>--ISNUMBER(IFERROR(SEARCH('PLANILLA DJ'!$X$8,$A69,1),""))</f>
        <v>1</v>
      </c>
      <c r="L69" s="207">
        <f>--ISNUMBER(IFERROR(SEARCH('PLANILLA DJ'!$X$9,$A69,1),""))</f>
        <v>1</v>
      </c>
      <c r="M69" s="207">
        <f>--ISNUMBER(IFERROR(SEARCH('PLANILLA DJ'!$X$10,$A69,1),""))</f>
        <v>1</v>
      </c>
      <c r="N69" s="207">
        <f>--ISNUMBER(IFERROR(SEARCH('PLANILLA DJ'!$X$11,$A69,1),""))</f>
        <v>1</v>
      </c>
      <c r="O69" s="207">
        <f>--ISNUMBER(IFERROR(SEARCH('PLANILLA DJ'!$X$12,$A69,1),""))</f>
        <v>1</v>
      </c>
      <c r="P69" s="207">
        <f>--ISNUMBER(IFERROR(SEARCH('PLANILLA DJ'!$X$13,$A69,1),""))</f>
        <v>1</v>
      </c>
      <c r="Q69" s="207">
        <f>--ISNUMBER(IFERROR(SEARCH('PLANILLA DJ'!$X$14,$A69,1),""))</f>
        <v>1</v>
      </c>
      <c r="R69" s="207">
        <f>--ISNUMBER(IFERROR(SEARCH('PLANILLA DJ'!$X$15,$A69,1),""))</f>
        <v>1</v>
      </c>
      <c r="S69" s="207">
        <f>--ISNUMBER(IFERROR(SEARCH('PLANILLA DJ'!$X$16,$A69,1),""))</f>
        <v>1</v>
      </c>
      <c r="T69" s="207">
        <f>--ISNUMBER(IFERROR(SEARCH('PLANILLA DJ'!$X$17,$A69,1),""))</f>
        <v>1</v>
      </c>
      <c r="U69" s="207">
        <f>--ISNUMBER(IFERROR(SEARCH('PLANILLA DJ'!$X$18,$A69,1),""))</f>
        <v>1</v>
      </c>
      <c r="V69" s="207">
        <f>--ISNUMBER(IFERROR(SEARCH('PLANILLA DJ'!$X$19,$A69,1),""))</f>
        <v>1</v>
      </c>
      <c r="W69" s="207">
        <f>--ISNUMBER(IFERROR(SEARCH('PLANILLA DJ'!$X$20,$A69,1),""))</f>
        <v>1</v>
      </c>
      <c r="X69" s="207">
        <f>--ISNUMBER(IFERROR(SEARCH('PLANILLA DJ'!$X$21,$A69,1),""))</f>
        <v>1</v>
      </c>
      <c r="Y69" s="207">
        <f>--ISNUMBER(IFERROR(SEARCH('PLANILLA DJ'!$X$22,$A69,1),""))</f>
        <v>1</v>
      </c>
      <c r="Z69" s="207">
        <f>--ISNUMBER(IFERROR(SEARCH('PLANILLA DJ'!$X$23,$A69,1),""))</f>
        <v>1</v>
      </c>
      <c r="AA69" s="207">
        <f>--ISNUMBER(IFERROR(SEARCH('PLANILLA DJ'!$X$24,$A69,1),""))</f>
        <v>1</v>
      </c>
      <c r="AB69" s="207">
        <f>--ISNUMBER(IFERROR(SEARCH('PLANILLA DJ'!$X$25,$A69,1),""))</f>
        <v>1</v>
      </c>
      <c r="AC69" s="207">
        <f>--ISNUMBER(IFERROR(SEARCH('PLANILLA DJ'!$X$26,$A69,1),""))</f>
        <v>1</v>
      </c>
      <c r="AD69" s="207">
        <f>--ISNUMBER(IFERROR(SEARCH('PLANILLA DJ'!$X$27,$A69,1),""))</f>
        <v>1</v>
      </c>
      <c r="AE69" s="207">
        <f>--ISNUMBER(IFERROR(SEARCH('PLANILLA DJ'!$X$28,$A69,1),""))</f>
        <v>1</v>
      </c>
      <c r="AF69" s="207">
        <f>--ISNUMBER(IFERROR(SEARCH('PLANILLA DJ'!$X$29,$A69,1),""))</f>
        <v>1</v>
      </c>
      <c r="AG69" s="207">
        <f>--ISNUMBER(IFERROR(SEARCH('PLANILLA DJ'!$X$30,$A69,1),""))</f>
        <v>1</v>
      </c>
      <c r="AH69" s="207">
        <f>--ISNUMBER(IFERROR(SEARCH('PLANILLA DJ'!$X$31,$A69,1),""))</f>
        <v>1</v>
      </c>
      <c r="AI69" s="207">
        <f>--ISNUMBER(IFERROR(SEARCH('PLANILLA DJ'!$X$32,$A69,1),""))</f>
        <v>1</v>
      </c>
      <c r="AJ69" s="207">
        <f>--ISNUMBER(IFERROR(SEARCH('PLANILLA DJ'!$X$33,$A69,1),""))</f>
        <v>1</v>
      </c>
      <c r="AK69" s="207">
        <f>--ISNUMBER(IFERROR(SEARCH('PLANILLA DJ'!$X$34,$A69,1),""))</f>
        <v>1</v>
      </c>
      <c r="AL69" s="207">
        <f>--ISNUMBER(IFERROR(SEARCH('PLANILLA DJ'!$X$35,$A69,1),""))</f>
        <v>1</v>
      </c>
      <c r="AM69" s="207">
        <f>--ISNUMBER(IFERROR(SEARCH('PLANILLA DJ'!$X$36,$A69,1),""))</f>
        <v>1</v>
      </c>
      <c r="AN69" s="207">
        <f>--ISNUMBER(IFERROR(SEARCH('PLANILLA DJ'!$X$37,$A69,1),""))</f>
        <v>1</v>
      </c>
      <c r="AO69" s="207">
        <f>--ISNUMBER(IFERROR(SEARCH('PLANILLA DJ'!$X$38,$A69,1),""))</f>
        <v>1</v>
      </c>
      <c r="AP69" s="207">
        <f>--ISNUMBER(IFERROR(SEARCH('PLANILLA DJ'!$X$39,$A69,1),""))</f>
        <v>1</v>
      </c>
      <c r="AQ69" s="207">
        <f>--ISNUMBER(IFERROR(SEARCH('PLANILLA DJ'!$X$40,$A69,1),""))</f>
        <v>1</v>
      </c>
      <c r="AR69" s="207">
        <f>--ISNUMBER(IFERROR(SEARCH('PLANILLA DJ'!$X$41,$A69,1),""))</f>
        <v>1</v>
      </c>
      <c r="AS69" s="207">
        <f>--ISNUMBER(IFERROR(SEARCH('PLANILLA DJ'!$X$42,$A69,1),""))</f>
        <v>1</v>
      </c>
      <c r="AT69" s="207">
        <f>--ISNUMBER(IFERROR(SEARCH('PLANILLA DJ'!$X$43,$A69,1),""))</f>
        <v>1</v>
      </c>
      <c r="AU69" s="207">
        <f>--ISNUMBER(IFERROR(SEARCH('PLANILLA DJ'!$X$44,$A69,1),""))</f>
        <v>1</v>
      </c>
      <c r="AV69" s="207">
        <f>--ISNUMBER(IFERROR(SEARCH('PLANILLA DJ'!$X$45,$A69,1),""))</f>
        <v>1</v>
      </c>
      <c r="AW69" s="207">
        <f>--ISNUMBER(IFERROR(SEARCH('PLANILLA DJ'!$X$46,$A69,1),""))</f>
        <v>1</v>
      </c>
      <c r="AX69" s="207">
        <f>--ISNUMBER(IFERROR(SEARCH('PLANILLA DJ'!$X$47,$A69,1),""))</f>
        <v>1</v>
      </c>
      <c r="AY69" s="207">
        <f>--ISNUMBER(IFERROR(SEARCH('PLANILLA DJ'!$X$48,$A69,1),""))</f>
        <v>1</v>
      </c>
      <c r="AZ69" s="207">
        <f>--ISNUMBER(IFERROR(SEARCH('PLANILLA DJ'!$X$49,$A69,1),""))</f>
        <v>1</v>
      </c>
      <c r="BA69" s="207">
        <f>--ISNUMBER(IFERROR(SEARCH('PLANILLA DJ'!$X$50,$A69,1),""))</f>
        <v>1</v>
      </c>
      <c r="BB69" s="207">
        <f>--ISNUMBER(IFERROR(SEARCH('PLANILLA DJ'!$X$51,$A69,1),""))</f>
        <v>1</v>
      </c>
      <c r="BC69" s="207">
        <f>--ISNUMBER(IFERROR(SEARCH('PLANILLA DJ'!$X$52,$A69,1),""))</f>
        <v>1</v>
      </c>
      <c r="BD69" s="207">
        <f>--ISNUMBER(IFERROR(SEARCH('PLANILLA DJ'!$X$53,$A69,1),""))</f>
        <v>1</v>
      </c>
      <c r="BE69" s="207">
        <f>--ISNUMBER(IFERROR(SEARCH('PLANILLA DJ'!$X$54,$A69,1),""))</f>
        <v>1</v>
      </c>
      <c r="BF69" s="207">
        <f>--ISNUMBER(IFERROR(SEARCH('PLANILLA DJ'!$X$55,$A69,1),""))</f>
        <v>1</v>
      </c>
      <c r="BG69" s="207">
        <f>--ISNUMBER(IFERROR(SEARCH('PLANILLA DJ'!$X$56,$A69,1),""))</f>
        <v>1</v>
      </c>
      <c r="BH69" s="207">
        <f>--ISNUMBER(IFERROR(SEARCH('PLANILLA DJ'!$X$57,$A69,1),""))</f>
        <v>1</v>
      </c>
      <c r="BI69" s="207">
        <f>--ISNUMBER(IFERROR(SEARCH('PLANILLA DJ'!$X$58,$A69,1),""))</f>
        <v>1</v>
      </c>
      <c r="BJ69" s="207">
        <f>--ISNUMBER(IFERROR(SEARCH('PLANILLA DJ'!$X$59,$A69,1),""))</f>
        <v>1</v>
      </c>
      <c r="BK69" s="207">
        <f>--ISNUMBER(IFERROR(SEARCH('PLANILLA DJ'!$X$60,$A69,1),""))</f>
        <v>1</v>
      </c>
      <c r="BL69" s="207">
        <f>--ISNUMBER(IFERROR(SEARCH('PLANILLA DJ'!$X$61,$A69,1),""))</f>
        <v>1</v>
      </c>
      <c r="BM69" s="207">
        <f>--ISNUMBER(IFERROR(SEARCH('PLANILLA DJ'!$X$62,$A69,1),""))</f>
        <v>1</v>
      </c>
      <c r="BN69" s="207">
        <f>--ISNUMBER(IFERROR(SEARCH('PLANILLA DJ'!$X$63,$A69,1),""))</f>
        <v>1</v>
      </c>
      <c r="BO69" s="207">
        <f>--ISNUMBER(IFERROR(SEARCH('PLANILLA DJ'!$X$64,$A69,1),""))</f>
        <v>1</v>
      </c>
      <c r="BP69" s="207">
        <f>--ISNUMBER(IFERROR(SEARCH('PLANILLA DJ'!$X$65,$A69,1),""))</f>
        <v>1</v>
      </c>
      <c r="BQ69" s="207">
        <f>--ISNUMBER(IFERROR(SEARCH('PLANILLA DJ'!$X$66,$A69,1),""))</f>
        <v>1</v>
      </c>
      <c r="BR69" s="207">
        <f>--ISNUMBER(IFERROR(SEARCH('PLANILLA DJ'!$X$67,$A69,1),""))</f>
        <v>1</v>
      </c>
      <c r="BS69" s="207">
        <f>--ISNUMBER(IFERROR(SEARCH('PLANILLA DJ'!$X$68,$A69,1),""))</f>
        <v>1</v>
      </c>
      <c r="BT69" s="207">
        <f>--ISNUMBER(IFERROR(SEARCH('PLANILLA DJ'!$X$69,$A69,1),""))</f>
        <v>1</v>
      </c>
      <c r="BU69" s="207">
        <f>--ISNUMBER(IFERROR(SEARCH('PLANILLA DJ'!$X$70,$A69,1),""))</f>
        <v>1</v>
      </c>
      <c r="BV69" s="207">
        <f>--ISNUMBER(IFERROR(SEARCH('PLANILLA DJ'!$X$71,$A69,1),""))</f>
        <v>1</v>
      </c>
      <c r="BW69" s="207">
        <f>--ISNUMBER(IFERROR(SEARCH('PLANILLA DJ'!$X$72,$A69,1),""))</f>
        <v>1</v>
      </c>
      <c r="BX69" s="207">
        <f>--ISNUMBER(IFERROR(SEARCH('PLANILLA DJ'!$X$73,$A69,1),""))</f>
        <v>1</v>
      </c>
      <c r="BY69" s="207">
        <f>--ISNUMBER(IFERROR(SEARCH('PLANILLA DJ'!$X$74,$A69,1),""))</f>
        <v>1</v>
      </c>
      <c r="BZ69" s="207">
        <f>--ISNUMBER(IFERROR(SEARCH('PLANILLA DJ'!$X$75,$A69,1),""))</f>
        <v>1</v>
      </c>
      <c r="CA69" s="207">
        <f>--ISNUMBER(IFERROR(SEARCH('PLANILLA DJ'!$X$76,$A69,1),""))</f>
        <v>1</v>
      </c>
      <c r="CB69" s="207">
        <f>--ISNUMBER(IFERROR(SEARCH('PLANILLA DJ'!$X$77,$A69,1),""))</f>
        <v>1</v>
      </c>
      <c r="CC69" s="207">
        <f>--ISNUMBER(IFERROR(SEARCH('PLANILLA DJ'!$X$78,$A69,1),""))</f>
        <v>1</v>
      </c>
      <c r="CD69" s="207">
        <f>--ISNUMBER(IFERROR(SEARCH('PLANILLA DJ'!$X$79,$A69,1),""))</f>
        <v>1</v>
      </c>
      <c r="CE69" s="207">
        <f>--ISNUMBER(IFERROR(SEARCH('PLANILLA DJ'!$X$80,$A69,1),""))</f>
        <v>1</v>
      </c>
      <c r="CF69" s="207">
        <f>--ISNUMBER(IFERROR(SEARCH('PLANILLA DJ'!$X$81,$A69,1),""))</f>
        <v>1</v>
      </c>
      <c r="CG69" s="207">
        <f>--ISNUMBER(IFERROR(SEARCH('PLANILLA DJ'!$X$82,$A69,1),""))</f>
        <v>1</v>
      </c>
      <c r="CH69" s="207">
        <f>--ISNUMBER(IFERROR(SEARCH('PLANILLA DJ'!$X$83,$A69,1),""))</f>
        <v>1</v>
      </c>
      <c r="CI69" s="207">
        <f>--ISNUMBER(IFERROR(SEARCH('PLANILLA DJ'!$X$84,$A69,1),""))</f>
        <v>1</v>
      </c>
      <c r="CJ69" s="207">
        <f>--ISNUMBER(IFERROR(SEARCH('PLANILLA DJ'!$X$85,$A69,1),""))</f>
        <v>1</v>
      </c>
      <c r="CK69" s="207">
        <f>--ISNUMBER(IFERROR(SEARCH('PLANILLA DJ'!$X$86,$A69,1),""))</f>
        <v>1</v>
      </c>
      <c r="CL69" s="207">
        <f>--ISNUMBER(IFERROR(SEARCH('PLANILLA DJ'!$X$87,$A69,1),""))</f>
        <v>1</v>
      </c>
      <c r="CM69" s="207">
        <f>--ISNUMBER(IFERROR(SEARCH('PLANILLA DJ'!$X$88,$A69,1),""))</f>
        <v>1</v>
      </c>
      <c r="CN69" s="207">
        <f>--ISNUMBER(IFERROR(SEARCH('PLANILLA DJ'!$X$89,$A69,1),""))</f>
        <v>1</v>
      </c>
      <c r="CO69" s="207">
        <f>--ISNUMBER(IFERROR(SEARCH('PLANILLA DJ'!$X$90,$A69,1),""))</f>
        <v>1</v>
      </c>
      <c r="CP69" s="207">
        <f>--ISNUMBER(IFERROR(SEARCH('PLANILLA DJ'!$X$91,$A69,1),""))</f>
        <v>1</v>
      </c>
      <c r="CQ69" s="207">
        <f>--ISNUMBER(IFERROR(SEARCH('PLANILLA DJ'!$X$92,$A69,1),""))</f>
        <v>1</v>
      </c>
      <c r="CR69" s="207">
        <f>--ISNUMBER(IFERROR(SEARCH('PLANILLA DJ'!$X$93,$A69,1),""))</f>
        <v>1</v>
      </c>
      <c r="CS69" s="207">
        <f>--ISNUMBER(IFERROR(SEARCH('PLANILLA DJ'!$X$94,$A69,1),""))</f>
        <v>1</v>
      </c>
      <c r="CT69" s="207">
        <f>--ISNUMBER(IFERROR(SEARCH('PLANILLA DJ'!$X$95,$A69,1),""))</f>
        <v>1</v>
      </c>
      <c r="CU69" s="207">
        <f>--ISNUMBER(IFERROR(SEARCH('PLANILLA DJ'!$X$96,$A69,1),""))</f>
        <v>1</v>
      </c>
      <c r="CV69" s="207">
        <f>--ISNUMBER(IFERROR(SEARCH('PLANILLA DJ'!$X$97,$A69,1),""))</f>
        <v>1</v>
      </c>
      <c r="CW69" s="207">
        <f>--ISNUMBER(IFERROR(SEARCH('PLANILLA DJ'!$X$98,$A69,1),""))</f>
        <v>1</v>
      </c>
      <c r="CX69" s="207">
        <f>--ISNUMBER(IFERROR(SEARCH('PLANILLA DJ'!$X$99,$A69,1),""))</f>
        <v>1</v>
      </c>
      <c r="CY69" s="207">
        <f>--ISNUMBER(IFERROR(SEARCH('PLANILLA DJ'!$X$100,$A69,1),""))</f>
        <v>1</v>
      </c>
      <c r="CZ69" s="207">
        <f>--ISNUMBER(IFERROR(SEARCH('PLANILLA DJ'!$X$101,$A69,1),""))</f>
        <v>1</v>
      </c>
      <c r="DA69" s="207">
        <f>--ISNUMBER(IFERROR(SEARCH('PLANILLA DJ'!$X$102,$A69,1),""))</f>
        <v>1</v>
      </c>
      <c r="DB69" s="206">
        <f>IF(F69=1,COUNTIF($F$2:F69,1),"")</f>
        <v>68</v>
      </c>
      <c r="DC69" s="206">
        <f>IF(G69=1,COUNTIF($G$2:G69,1),"")</f>
        <v>68</v>
      </c>
      <c r="DD69" s="206">
        <f>IF(H69=1,COUNTIF($H$2:H69,1),"")</f>
        <v>68</v>
      </c>
      <c r="DE69" s="206">
        <f>IF(I69=1,COUNTIF($I$2:I69,1),"")</f>
        <v>68</v>
      </c>
      <c r="DF69" s="206">
        <f>IF(J69=1,COUNTIF($J$2:J69,1),"")</f>
        <v>68</v>
      </c>
      <c r="DG69" s="206">
        <f>IF(K69=1,COUNTIF($K$2:K69,1),"")</f>
        <v>68</v>
      </c>
      <c r="DH69" s="206">
        <f>IF(L69=1,COUNTIF($L$2:L69,1),"")</f>
        <v>68</v>
      </c>
      <c r="DI69" s="206">
        <f>IF(M69=1,COUNTIF($M$2:M69,1),"")</f>
        <v>68</v>
      </c>
      <c r="DJ69" s="206">
        <f>IF(N69=1,COUNTIF($N$2:N69,1),"")</f>
        <v>68</v>
      </c>
      <c r="DK69" s="206">
        <f>IF(O69=1,COUNTIF($O$2:O69,1),"")</f>
        <v>68</v>
      </c>
      <c r="DL69" s="206">
        <f>IF(P69=1,COUNTIF($P$2:P69,1),"")</f>
        <v>68</v>
      </c>
      <c r="DM69" s="206">
        <f>IF(Q69=1,COUNTIF($Q$2:Q69,1),"")</f>
        <v>68</v>
      </c>
      <c r="DN69" s="207">
        <f>IF(R69=1,COUNTIF($R$2:R69,1),"")</f>
        <v>68</v>
      </c>
      <c r="DO69" s="207">
        <f>IF(S69=1,COUNTIF($S$2:S69,1),"")</f>
        <v>68</v>
      </c>
      <c r="DP69" s="207">
        <f>IF(T69=1,COUNTIF($T$2:T69,1),"")</f>
        <v>68</v>
      </c>
      <c r="DQ69" s="207">
        <f>IF(U69=1,COUNTIF($U$2:U69,1),"")</f>
        <v>68</v>
      </c>
      <c r="DR69" s="207">
        <f>IF(V69=1,COUNTIF($V$2:V69,1),"")</f>
        <v>68</v>
      </c>
      <c r="DS69" s="207">
        <f>IF(W69=1,COUNTIF($W$2:W69,1),"")</f>
        <v>68</v>
      </c>
      <c r="DT69" s="207">
        <f>IF(X69=1,COUNTIF($X$2:X69,1),"")</f>
        <v>68</v>
      </c>
      <c r="DU69" s="207">
        <f>IF(Y69=1,COUNTIF($Y$2:Y69,1),"")</f>
        <v>68</v>
      </c>
      <c r="DV69" s="207">
        <f>IF(Z69=1,COUNTIF(Z$2:Z69,1),"")</f>
        <v>68</v>
      </c>
      <c r="DW69" s="207">
        <f>IF(AA69=1,COUNTIF($AA$2:AA69,1),"")</f>
        <v>68</v>
      </c>
      <c r="DX69" s="207">
        <f>IF(AB69=1,COUNTIF($AB$2:AB69,1),"")</f>
        <v>68</v>
      </c>
      <c r="DY69" s="207">
        <f>IF(AC69=1,COUNTIF($AC$2:AC69,1),"")</f>
        <v>68</v>
      </c>
      <c r="DZ69" s="207">
        <f>IF(AD69=1,COUNTIF($AD$2:AD69,1),"")</f>
        <v>68</v>
      </c>
      <c r="EA69" s="207">
        <f>IF(AE69=1,COUNTIF($AE$2:AE69,1),"")</f>
        <v>68</v>
      </c>
      <c r="EB69" s="207">
        <f>IF(AF69=1,COUNTIF($AF$2:AF69,1),"")</f>
        <v>68</v>
      </c>
      <c r="EC69" s="207">
        <f>IF(AG69=1,COUNTIF($AG$2:AG69,1),"")</f>
        <v>68</v>
      </c>
      <c r="ED69" s="207">
        <f>IF(AH69=1,COUNTIF($AH$2:AH69,1),"")</f>
        <v>68</v>
      </c>
      <c r="EE69" s="207">
        <f>IF(AI69=1,COUNTIF($AI$2:AI69,1),"")</f>
        <v>68</v>
      </c>
      <c r="EF69" s="207">
        <f>IF(AJ69=1,COUNTIF($AJ$2:AJ69,1),"")</f>
        <v>68</v>
      </c>
      <c r="EG69" s="207">
        <f>IF(AK69=1,COUNTIF($AK$2:AK69,1),"")</f>
        <v>68</v>
      </c>
      <c r="EH69" s="207">
        <f>IF(AL69=1,COUNTIF($AL$2:AL69,1),"")</f>
        <v>68</v>
      </c>
      <c r="EI69" s="207">
        <f>IF(AM69=1,COUNTIF($AM$2:AM69,1),"")</f>
        <v>68</v>
      </c>
      <c r="EJ69" s="207">
        <f>IF(AN69=1,COUNTIF($AN$2:AN69,1),"")</f>
        <v>68</v>
      </c>
      <c r="EK69" s="207">
        <f>IF(AO69=1,COUNTIF($AO$2:AO69,1),"")</f>
        <v>68</v>
      </c>
      <c r="EL69" s="207">
        <f>IF(AP69=1,COUNTIF($AP$2:AP69,1),"")</f>
        <v>68</v>
      </c>
      <c r="EM69" s="207">
        <f>IF(AQ69=1,COUNTIF($AQ$2:AQ69,1),"")</f>
        <v>68</v>
      </c>
      <c r="EN69" s="207">
        <f>IF(AR69=1,COUNTIF($AR$2:AR69,1),"")</f>
        <v>68</v>
      </c>
      <c r="EO69" s="207">
        <f>IF(AS69=1,COUNTIF($AS$2:AS69,1),"")</f>
        <v>68</v>
      </c>
      <c r="EP69" s="207">
        <f>IF(AT69=1,COUNTIF($AT$2:AT69,1),"")</f>
        <v>68</v>
      </c>
      <c r="EQ69" s="207">
        <f>IF(AU69=1,COUNTIF($AU$2:AU69,1),"")</f>
        <v>68</v>
      </c>
      <c r="ER69" s="207">
        <f>IF(AV69=1,COUNTIF($AV$2:AV69,1),"")</f>
        <v>68</v>
      </c>
      <c r="ES69" s="207">
        <f>IF(AW69=1,COUNTIF($AW$2:AW69,1),"")</f>
        <v>68</v>
      </c>
      <c r="ET69" s="207">
        <f>IF(AX69=1,COUNTIF($AX$2:AX69,1),"")</f>
        <v>68</v>
      </c>
      <c r="EU69" s="207">
        <f>IF(AY69=1,COUNTIF($AY$2:AY69,1),"")</f>
        <v>68</v>
      </c>
      <c r="EV69" s="207">
        <f>IF(AZ69=1,COUNTIF($AZ$2:AZ69,1),"")</f>
        <v>68</v>
      </c>
      <c r="EW69" s="207">
        <f>IF(BA69=1,COUNTIF($BA$2:BA69,1),"")</f>
        <v>68</v>
      </c>
      <c r="EX69" s="207">
        <f>IF(BB69=1,COUNTIF($BB$2:BB69,1),"")</f>
        <v>68</v>
      </c>
      <c r="EY69" s="207">
        <f>IF(BC69=1,COUNTIF($BC$2:BC69,1),"")</f>
        <v>68</v>
      </c>
      <c r="EZ69" s="207">
        <f>IF(BD69=1,COUNTIF($BD$2:BD69,1),"")</f>
        <v>68</v>
      </c>
      <c r="FA69" s="207">
        <f>IF(BE69=1,COUNTIF($BE$2:BE69,1),"")</f>
        <v>68</v>
      </c>
      <c r="FB69" s="207">
        <f>IF(BF69=1,COUNTIF($BF$2:BF69,1),"")</f>
        <v>68</v>
      </c>
      <c r="FC69" s="207">
        <f>IF(BG69=1,COUNTIF($BG$2:BG69,1),"")</f>
        <v>68</v>
      </c>
      <c r="FD69" s="207">
        <f>IF(BH69=1,COUNTIF($BH$2:BH69,1),"")</f>
        <v>68</v>
      </c>
      <c r="FE69" s="207">
        <f>IF(BI69=1,COUNTIF($BI$2:BI69,1),"")</f>
        <v>68</v>
      </c>
      <c r="FF69" s="207">
        <f>IF(BJ69=1,COUNTIF($BJ$2:BJ69,1),"")</f>
        <v>68</v>
      </c>
      <c r="FG69" s="207">
        <f>IF(BK69=1,COUNTIF($BK$2:BK69,1),"")</f>
        <v>68</v>
      </c>
      <c r="FH69" s="207">
        <f>IF(BL69=1,COUNTIF($BL$2:BL69,1),"")</f>
        <v>68</v>
      </c>
      <c r="FI69" s="207">
        <f>IF(BM69=1,COUNTIF($BM$2:BM69,1),"")</f>
        <v>68</v>
      </c>
      <c r="FJ69" s="207">
        <f>IF(BN69=1,COUNTIF($BN$2:BN69,1),"")</f>
        <v>68</v>
      </c>
      <c r="FK69" s="207">
        <f>IF(BO69=1,COUNTIF($BO$2:BO69,1),"")</f>
        <v>68</v>
      </c>
      <c r="FL69" s="207">
        <f>IF(BP69=1,COUNTIF($BP$2:BP69,1),"")</f>
        <v>68</v>
      </c>
      <c r="FM69" s="207">
        <f>IF(BQ69=1,COUNTIF($BQ$2:BQ69,1),"")</f>
        <v>68</v>
      </c>
      <c r="FN69" s="207">
        <f>IF(BR69=1,COUNTIF($BR$2:BR69,1),"")</f>
        <v>68</v>
      </c>
      <c r="FO69" s="207">
        <f>IF(BS69=1,COUNTIF($BS$2:BS69,1),"")</f>
        <v>68</v>
      </c>
      <c r="FP69" s="207">
        <f>IF(BT69=1,COUNTIF($BT$2:BT69,1),"")</f>
        <v>68</v>
      </c>
      <c r="FQ69" s="207">
        <f>IF(BU69=1,COUNTIF($BU$2:BU69,1),"")</f>
        <v>68</v>
      </c>
      <c r="FR69" s="207">
        <f>IF(BV69=1,COUNTIF($BV$2:BV69,1),"")</f>
        <v>68</v>
      </c>
      <c r="FS69" s="207">
        <f>IF(BW69=1,COUNTIF($BW$2:BW69,1),"")</f>
        <v>68</v>
      </c>
      <c r="FT69" s="207">
        <f>IF(BX69=1,COUNTIF($BX$2:BX69,1),"")</f>
        <v>68</v>
      </c>
      <c r="FU69" s="207">
        <f>IF(BY69=1,COUNTIF($BY$2:BY69,1),"")</f>
        <v>68</v>
      </c>
      <c r="FV69" s="207">
        <f>IF(BZ69=1,COUNTIF($BZ$2:BZ69,1),"")</f>
        <v>68</v>
      </c>
      <c r="FW69" s="207">
        <f>IF(CA69=1,COUNTIF($CA$2:CA69,1),"")</f>
        <v>68</v>
      </c>
      <c r="FX69" s="207">
        <f>IF(CB69=1,COUNTIF($CB$2:CB69,1),"")</f>
        <v>68</v>
      </c>
      <c r="FY69" s="207">
        <f>IF(CC69=1,COUNTIF($CC$2:CC69,1),"")</f>
        <v>68</v>
      </c>
      <c r="FZ69" s="207">
        <f>IF(CD69=1,COUNTIF($CD$2:CD69,1),"")</f>
        <v>68</v>
      </c>
      <c r="GA69" s="207">
        <f>IF(CE69=1,COUNTIF($CE$2:CE69,1),"")</f>
        <v>68</v>
      </c>
      <c r="GB69" s="207">
        <f>IF(CF69=1,COUNTIF($CF$2:CF69,1),"")</f>
        <v>68</v>
      </c>
      <c r="GC69" s="207">
        <f>IF(CG69=1,COUNTIF($CG$2:CG69,1),"")</f>
        <v>68</v>
      </c>
      <c r="GD69" s="207">
        <f>IF(CH69=1,COUNTIF($CH$2:CH69,1),"")</f>
        <v>68</v>
      </c>
      <c r="GE69" s="207">
        <f>IF(CI69=1,COUNTIF($CI$2:CI69,1),"")</f>
        <v>68</v>
      </c>
      <c r="GF69" s="207">
        <f>IF(CJ69=1,COUNTIF($CJ$2:CJ69,1),"")</f>
        <v>68</v>
      </c>
      <c r="GG69" s="207">
        <f>IF(CK69=1,COUNTIF($CK$2:CK69,1),"")</f>
        <v>68</v>
      </c>
      <c r="GH69" s="207">
        <f>IF(CL69=1,COUNTIF($CL$2:CL69,1),"")</f>
        <v>68</v>
      </c>
      <c r="GI69" s="207">
        <f>IF(CM69=1,COUNTIF($CM$2:CM69,1),"")</f>
        <v>68</v>
      </c>
      <c r="GJ69" s="207">
        <f>IF(CN69=1,COUNTIF($CN$2:CN69,1),"")</f>
        <v>68</v>
      </c>
      <c r="GK69" s="207">
        <f>IF(CO69=1,COUNTIF($CO$2:CO69,1),"")</f>
        <v>68</v>
      </c>
      <c r="GL69" s="207">
        <f>IF(CP69=1,COUNTIF($CP$2:CP69,1),"")</f>
        <v>68</v>
      </c>
      <c r="GM69" s="207">
        <f>IF(CQ69=1,COUNTIF($CQ$2:CQ69,1),"")</f>
        <v>68</v>
      </c>
      <c r="GN69" s="207">
        <f>IF(CR69=1,COUNTIF($CR$2:CR69,1),"")</f>
        <v>68</v>
      </c>
      <c r="GO69" s="207">
        <f>IF(CS69=1,COUNTIF($CS$2:CS69,1),"")</f>
        <v>68</v>
      </c>
      <c r="GP69" s="207">
        <f>IF(CT69=1,COUNTIF($CT$2:CT69,1),"")</f>
        <v>68</v>
      </c>
      <c r="GQ69" s="207">
        <f>IF(CU69=1,COUNTIF($CU$2:CU69,1),"")</f>
        <v>68</v>
      </c>
      <c r="GR69" s="207">
        <f>IF(CV69=1,COUNTIF($CV$2:CV69,1),"")</f>
        <v>68</v>
      </c>
      <c r="GS69" s="207">
        <f>IF(CW69=1,COUNTIF($CW$2:CW69,1),"")</f>
        <v>68</v>
      </c>
      <c r="GT69" s="207">
        <f>IF(CX69=1,COUNTIF($CX$2:CX69,1),"")</f>
        <v>68</v>
      </c>
      <c r="GU69" s="207">
        <f>IF(CY69=1,COUNTIF($CY$2:CY69,1),"")</f>
        <v>68</v>
      </c>
      <c r="GV69" s="207">
        <f>IF(CZ69=1,COUNTIF($CZ$2:CZ69,1),"")</f>
        <v>68</v>
      </c>
      <c r="GW69" s="207">
        <f>IF(DA69=1,COUNTIF($DA$2:DA69,1),"")</f>
        <v>68</v>
      </c>
      <c r="GX69" s="206" t="str">
        <f>IFERROR(INDEX($A$2:$A$113,MATCH(ROWS($DB$2:DB69),$DB$2:$DB$113,0)),"")</f>
        <v>ACOPIO Y FABRICACION ILEGAL DE ARMAS, PIEZAS Y MUNICIONES</v>
      </c>
      <c r="GY69" s="206" t="str">
        <f>IFERROR(INDEX($A$2:$A$113,MATCH(ROWS($DC$2:DC69),$DC$2:$DC$113,0)),"")</f>
        <v>ACOPIO Y FABRICACION ILEGAL DE ARMAS, PIEZAS Y MUNICIONES</v>
      </c>
      <c r="GZ69" s="206" t="str">
        <f>IFERROR(INDEX($A$2:$A$113,MATCH(ROWS($DD$2:DD69),$DD$2:$DD$113,0)),"")</f>
        <v>ACOPIO Y FABRICACION ILEGAL DE ARMAS, PIEZAS Y MUNICIONES</v>
      </c>
      <c r="HA69" s="206" t="str">
        <f>IFERROR(INDEX($A$2:$A$113,MATCH(ROWS($DE$2:DE69),$DE$2:$DE$113,0)),"")</f>
        <v>ACOPIO Y FABRICACION ILEGAL DE ARMAS, PIEZAS Y MUNICIONES</v>
      </c>
      <c r="HB69" s="206" t="str">
        <f>IFERROR(INDEX($A$2:$A$113,MATCH(ROWS($DF$2:DF69),$DF$2:$DF$113,0)),"")</f>
        <v>ACOPIO Y FABRICACION ILEGAL DE ARMAS, PIEZAS Y MUNICIONES</v>
      </c>
      <c r="HC69" s="206" t="str">
        <f>IFERROR(INDEX($A$2:$A$113,MATCH(ROWS($DG$2:DG69),$DG$2:$DG$113,0)),"")</f>
        <v>ACOPIO Y FABRICACION ILEGAL DE ARMAS, PIEZAS Y MUNICIONES</v>
      </c>
      <c r="HD69" s="206" t="str">
        <f>IFERROR(INDEX($A$2:$A$113,MATCH(ROWS($DH$2:DH69),$DH$2:$DH$113,0)),"")</f>
        <v>ACOPIO Y FABRICACION ILEGAL DE ARMAS, PIEZAS Y MUNICIONES</v>
      </c>
      <c r="HE69" s="206" t="str">
        <f>IFERROR(INDEX($A$2:$A$113,MATCH(ROWS($DI$2:DI69),$DI$2:$DI$113,0)),"")</f>
        <v>ACOPIO Y FABRICACION ILEGAL DE ARMAS, PIEZAS Y MUNICIONES</v>
      </c>
      <c r="HF69" s="206" t="str">
        <f>IFERROR(INDEX($A$2:$A$113,MATCH(ROWS($DJ$2:DJ69),$DJ$2:$DJ$113,0)),"")</f>
        <v>ACOPIO Y FABRICACION ILEGAL DE ARMAS, PIEZAS Y MUNICIONES</v>
      </c>
      <c r="HG69" s="206" t="str">
        <f>IFERROR(INDEX($A$2:$A$113,MATCH(ROWS($DK$2:DK69),$DK$2:$DK$113,0)),"")</f>
        <v>ACOPIO Y FABRICACION ILEGAL DE ARMAS, PIEZAS Y MUNICIONES</v>
      </c>
      <c r="HH69" s="206" t="str">
        <f>IFERROR(INDEX($A$2:$A$113,MATCH(ROWS($DL$2:DL69),$DL$2:$DL$113,0)),"")</f>
        <v>ACOPIO Y FABRICACION ILEGAL DE ARMAS, PIEZAS Y MUNICIONES</v>
      </c>
      <c r="HI69" s="206" t="str">
        <f>IFERROR(INDEX($A$2:$A$113,MATCH(ROWS($DM$2:DM69),$DM$2:$DM$113,0)),"")</f>
        <v>ACOPIO Y FABRICACION ILEGAL DE ARMAS, PIEZAS Y MUNICIONES</v>
      </c>
      <c r="HJ69" s="206" t="str">
        <f>IFERROR(INDEX($A$2:$A$113,MATCH(ROWS($DN$2:DN69),$DN$2:$DN$113,0)),"")</f>
        <v>ACOPIO Y FABRICACION ILEGAL DE ARMAS, PIEZAS Y MUNICIONES</v>
      </c>
      <c r="HK69" s="206" t="str">
        <f>IFERROR(INDEX($A$2:$A$113,MATCH(ROWS($DO$2:DO69),$DO$2:$DO$113,0)),"")</f>
        <v>ACOPIO Y FABRICACION ILEGAL DE ARMAS, PIEZAS Y MUNICIONES</v>
      </c>
      <c r="HL69" s="206" t="str">
        <f>IFERROR(INDEX($A$2:$A$113,MATCH(ROWS($DP$2:DP69),$DP$2:$DP$113,0)),"")</f>
        <v>ACOPIO Y FABRICACION ILEGAL DE ARMAS, PIEZAS Y MUNICIONES</v>
      </c>
      <c r="HM69" s="206" t="str">
        <f>IFERROR(INDEX($A$2:$A$113,MATCH(ROWS($DQ$2:DQ69),$DQ$2:$DQ$113,0)),"")</f>
        <v>ACOPIO Y FABRICACION ILEGAL DE ARMAS, PIEZAS Y MUNICIONES</v>
      </c>
      <c r="HN69" s="206" t="str">
        <f>IFERROR(INDEX($A$2:$A$113,MATCH(ROWS($DR$2:DR69),$DR$2:$DR$113,0)),"")</f>
        <v>ACOPIO Y FABRICACION ILEGAL DE ARMAS, PIEZAS Y MUNICIONES</v>
      </c>
      <c r="HO69" s="206" t="str">
        <f>IFERROR(INDEX($A$2:$A$113,MATCH(ROWS($DS$2:DS69),$DS$2:$DS$113,0)),"")</f>
        <v>ACOPIO Y FABRICACION ILEGAL DE ARMAS, PIEZAS Y MUNICIONES</v>
      </c>
      <c r="HP69" s="206" t="str">
        <f>IFERROR(INDEX($A$2:$A$113,MATCH(ROWS($DT$2:DT69),$DT$2:$DT$113,0)),"")</f>
        <v>ACOPIO Y FABRICACION ILEGAL DE ARMAS, PIEZAS Y MUNICIONES</v>
      </c>
      <c r="HQ69" s="206" t="str">
        <f>IFERROR(INDEX($A$2:$A$113,MATCH(ROWS($DU$2:DU69),$DU$2:$DU$113,0)),"")</f>
        <v>ACOPIO Y FABRICACION ILEGAL DE ARMAS, PIEZAS Y MUNICIONES</v>
      </c>
      <c r="HR69" s="206" t="str">
        <f>IFERROR(INDEX($A$2:$A$113,MATCH(ROWS($DV$2:DV69),$DV$2:$DV$113,0)),"")</f>
        <v>ACOPIO Y FABRICACION ILEGAL DE ARMAS, PIEZAS Y MUNICIONES</v>
      </c>
      <c r="HS69" s="206" t="str">
        <f>IFERROR(INDEX($A$2:$A$113,MATCH(ROWS($DW$2:DW69),$DW$2:$DW$113,0)),"")</f>
        <v>ACOPIO Y FABRICACION ILEGAL DE ARMAS, PIEZAS Y MUNICIONES</v>
      </c>
      <c r="HT69" s="206" t="str">
        <f>IFERROR(INDEX($A$2:$A$113,MATCH(ROWS($DX$2:DX69),$DX$2:$DX$113,0)),"")</f>
        <v>ACOPIO Y FABRICACION ILEGAL DE ARMAS, PIEZAS Y MUNICIONES</v>
      </c>
      <c r="HU69" s="206" t="str">
        <f>IFERROR(INDEX($A$2:$A$113,MATCH(ROWS($DY$2:DY69),$DY$2:$DY$113,0)),"")</f>
        <v>ACOPIO Y FABRICACION ILEGAL DE ARMAS, PIEZAS Y MUNICIONES</v>
      </c>
      <c r="HV69" s="206" t="str">
        <f>IFERROR(INDEX($A$2:$A$113,MATCH(ROWS($DZ$2:DZ69),$DZ$2:$DZ$113,0)),"")</f>
        <v>ACOPIO Y FABRICACION ILEGAL DE ARMAS, PIEZAS Y MUNICIONES</v>
      </c>
      <c r="HW69" s="206" t="str">
        <f>IFERROR(INDEX($A$2:$A$113,MATCH(ROWS($EA$2:EA69),$EA$2:$EA$113,0)),"")</f>
        <v>ACOPIO Y FABRICACION ILEGAL DE ARMAS, PIEZAS Y MUNICIONES</v>
      </c>
      <c r="HX69" s="206" t="str">
        <f>IFERROR(INDEX($A$2:$A$113,MATCH(ROWS($EB$2:EB69),$EB$2:$EB$113,0)),"")</f>
        <v>ACOPIO Y FABRICACION ILEGAL DE ARMAS, PIEZAS Y MUNICIONES</v>
      </c>
      <c r="HY69" s="206" t="str">
        <f>IFERROR(INDEX($A$2:$A$113,MATCH(ROWS($EC$2:EC69),$EC$2:$EC$113,0)),"")</f>
        <v>ACOPIO Y FABRICACION ILEGAL DE ARMAS, PIEZAS Y MUNICIONES</v>
      </c>
      <c r="HZ69" s="206" t="str">
        <f>IFERROR(INDEX($A$2:$A$113,MATCH(ROWS($ED$2:ED69),$ED$2:$ED$113,0)),"")</f>
        <v>ACOPIO Y FABRICACION ILEGAL DE ARMAS, PIEZAS Y MUNICIONES</v>
      </c>
      <c r="IA69" s="206" t="str">
        <f>IFERROR(INDEX($A$2:$A$113,MATCH(ROWS($EE$2:EE69),$EE$2:$EE$113,0)),"")</f>
        <v>ACOPIO Y FABRICACION ILEGAL DE ARMAS, PIEZAS Y MUNICIONES</v>
      </c>
      <c r="IB69" s="206" t="str">
        <f>IFERROR(INDEX($A$2:$A$113,MATCH(ROWS($EF$2:EF69),$EF$2:$EF$113,0)),"")</f>
        <v>ACOPIO Y FABRICACION ILEGAL DE ARMAS, PIEZAS Y MUNICIONES</v>
      </c>
      <c r="IC69" s="206" t="str">
        <f>IFERROR(INDEX($A$2:$A$113,MATCH(ROWS($EG$2:EG69),$EG$2:$EG$113,0)),"")</f>
        <v>ACOPIO Y FABRICACION ILEGAL DE ARMAS, PIEZAS Y MUNICIONES</v>
      </c>
      <c r="ID69" s="206" t="str">
        <f>IFERROR(INDEX($A$2:$A$113,MATCH(ROWS($EH$2:EH69),$EH$2:$EH$113,0)),"")</f>
        <v>ACOPIO Y FABRICACION ILEGAL DE ARMAS, PIEZAS Y MUNICIONES</v>
      </c>
      <c r="IE69" s="206" t="str">
        <f>IFERROR(INDEX($A$2:$A$113,MATCH(ROWS($EI$2:EI69),$EI$2:$EI$113,0)),"")</f>
        <v>ACOPIO Y FABRICACION ILEGAL DE ARMAS, PIEZAS Y MUNICIONES</v>
      </c>
      <c r="IF69" s="206" t="str">
        <f>IFERROR(INDEX($A$2:$A$113,MATCH(ROWS($EJ$2:EJ69),$EJ$2:$EJ$113,0)),"")</f>
        <v>ACOPIO Y FABRICACION ILEGAL DE ARMAS, PIEZAS Y MUNICIONES</v>
      </c>
      <c r="IG69" s="206" t="str">
        <f>IFERROR(INDEX($A$2:$A$113,MATCH(ROWS($EK$2:EK69),$EK$2:$EK$113,0)),"")</f>
        <v>ACOPIO Y FABRICACION ILEGAL DE ARMAS, PIEZAS Y MUNICIONES</v>
      </c>
      <c r="IH69" s="206" t="str">
        <f>IFERROR(INDEX($A$2:$A$113,MATCH(ROWS($EL$2:EL69),$EL$2:$EL$113,0)),"")</f>
        <v>ACOPIO Y FABRICACION ILEGAL DE ARMAS, PIEZAS Y MUNICIONES</v>
      </c>
      <c r="II69" s="206" t="str">
        <f>IFERROR(INDEX($A$2:$A$113,MATCH(ROWS($EM$2:EM69),$EM$2:$EM$113,0)),"")</f>
        <v>ACOPIO Y FABRICACION ILEGAL DE ARMAS, PIEZAS Y MUNICIONES</v>
      </c>
      <c r="IJ69" s="206" t="str">
        <f>IFERROR(INDEX($A$2:$A$113,MATCH(ROWS($EN$2:EN69),$EN$2:$EN$113,0)),"")</f>
        <v>ACOPIO Y FABRICACION ILEGAL DE ARMAS, PIEZAS Y MUNICIONES</v>
      </c>
      <c r="IK69" s="207" t="str">
        <f>IFERROR(INDEX($A$2:$A$113,MATCH(ROWS($EO$2:EO69),$EO$2:$EO$113,0)),"")</f>
        <v>ACOPIO Y FABRICACION ILEGAL DE ARMAS, PIEZAS Y MUNICIONES</v>
      </c>
      <c r="IL69" s="207" t="str">
        <f>IFERROR(INDEX($A$2:$A$113,MATCH(ROWS($EP$2:EP69),$EP$2:$EP$113,0)),"")</f>
        <v>ACOPIO Y FABRICACION ILEGAL DE ARMAS, PIEZAS Y MUNICIONES</v>
      </c>
      <c r="IM69" s="207" t="str">
        <f>IFERROR(INDEX($A$2:$A$113,MATCH(ROWS($EQ$2:EQ69),$EQ$2:$EQ$113,0)),"")</f>
        <v>ACOPIO Y FABRICACION ILEGAL DE ARMAS, PIEZAS Y MUNICIONES</v>
      </c>
      <c r="IN69" s="207" t="str">
        <f>IFERROR(INDEX($A$2:$A$113,MATCH(ROWS($ER$2:ER69),$ER$2:$ER$113,0)),"")</f>
        <v>ACOPIO Y FABRICACION ILEGAL DE ARMAS, PIEZAS Y MUNICIONES</v>
      </c>
      <c r="IO69" s="207" t="str">
        <f>IFERROR(INDEX($A$2:$A$113,MATCH(ROWS($ES$2:ES69),$ES$2:$ES$113,0)),"")</f>
        <v>ACOPIO Y FABRICACION ILEGAL DE ARMAS, PIEZAS Y MUNICIONES</v>
      </c>
      <c r="IP69" s="207" t="str">
        <f>IFERROR(INDEX($A$2:$A$113,MATCH(ROWS($ET$2:ET69),$ET$2:$ET$113,0)),"")</f>
        <v>ACOPIO Y FABRICACION ILEGAL DE ARMAS, PIEZAS Y MUNICIONES</v>
      </c>
      <c r="IQ69" s="207" t="str">
        <f>IFERROR(INDEX($A$2:$A$113,MATCH(ROWS($EU$2:EU69),$EU$2:$EU$113,0)),"")</f>
        <v>ACOPIO Y FABRICACION ILEGAL DE ARMAS, PIEZAS Y MUNICIONES</v>
      </c>
      <c r="IR69" s="207" t="str">
        <f>IFERROR(INDEX($A$2:$A$113,MATCH(ROWS($EV$2:EV69),$EV$2:$EV$113,0)),"")</f>
        <v>ACOPIO Y FABRICACION ILEGAL DE ARMAS, PIEZAS Y MUNICIONES</v>
      </c>
      <c r="IS69" s="207" t="str">
        <f>IFERROR(INDEX($A$2:$A$113,MATCH(ROWS($EW$2:EW69),$EW$2:$EW$113,0)),"")</f>
        <v>ACOPIO Y FABRICACION ILEGAL DE ARMAS, PIEZAS Y MUNICIONES</v>
      </c>
      <c r="IT69" s="207" t="str">
        <f>IFERROR(INDEX($A$2:$A$113,MATCH(ROWS($EX$2:EX69),$EX$2:$EX$113,0)),"")</f>
        <v>ACOPIO Y FABRICACION ILEGAL DE ARMAS, PIEZAS Y MUNICIONES</v>
      </c>
      <c r="IU69" s="207" t="str">
        <f>IFERROR(INDEX($A$2:$A$113,MATCH(ROWS($EY$2:EY69),$EY$2:$EY$113,0)),"")</f>
        <v>ACOPIO Y FABRICACION ILEGAL DE ARMAS, PIEZAS Y MUNICIONES</v>
      </c>
      <c r="IV69" s="207" t="str">
        <f>IFERROR(INDEX($A$2:$A$113,MATCH(ROWS($EZ$2:EZ69),$EZ$2:$EZ$113,0)),"")</f>
        <v>ACOPIO Y FABRICACION ILEGAL DE ARMAS, PIEZAS Y MUNICIONES</v>
      </c>
      <c r="IW69" s="207" t="str">
        <f>IFERROR(INDEX($A$2:$A$113,MATCH(ROWS($FA$2:FA69),$FA$2:$FA$113,0)),"")</f>
        <v>ACOPIO Y FABRICACION ILEGAL DE ARMAS, PIEZAS Y MUNICIONES</v>
      </c>
      <c r="IX69" s="207" t="str">
        <f>IFERROR(INDEX($A$2:$A$113,MATCH(ROWS($FB$2:FB69),$FB$2:$FB$113,0)),"")</f>
        <v>ACOPIO Y FABRICACION ILEGAL DE ARMAS, PIEZAS Y MUNICIONES</v>
      </c>
      <c r="IY69" s="207" t="str">
        <f>IFERROR(INDEX($A$2:$A$113,MATCH(ROWS($FC$2:FC69),$FC$2:$FC$113,0)),"")</f>
        <v>ACOPIO Y FABRICACION ILEGAL DE ARMAS, PIEZAS Y MUNICIONES</v>
      </c>
      <c r="IZ69" s="207" t="str">
        <f>IFERROR(INDEX($A$2:$A$113,MATCH(ROWS($FD$2:FD69),$FD$2:$FD$113,0)),"")</f>
        <v>ACOPIO Y FABRICACION ILEGAL DE ARMAS, PIEZAS Y MUNICIONES</v>
      </c>
      <c r="JA69" s="207" t="str">
        <f>IFERROR(INDEX($A$2:$A$113,MATCH(ROWS($FE$2:FE69),$FE$2:$FE$113,0)),"")</f>
        <v>ACOPIO Y FABRICACION ILEGAL DE ARMAS, PIEZAS Y MUNICIONES</v>
      </c>
      <c r="JB69" s="207" t="str">
        <f>IFERROR(INDEX($A$2:$A$113,MATCH(ROWS($FF$2:FF69),$FF$2:$FF$113,0)),"")</f>
        <v>ACOPIO Y FABRICACION ILEGAL DE ARMAS, PIEZAS Y MUNICIONES</v>
      </c>
      <c r="JC69" s="207" t="str">
        <f>IFERROR(INDEX($A$2:$A$113,MATCH(ROWS($FG$2:FG69),$FG$2:$FG$113,0)),"")</f>
        <v>ACOPIO Y FABRICACION ILEGAL DE ARMAS, PIEZAS Y MUNICIONES</v>
      </c>
      <c r="JD69" s="207" t="str">
        <f>IFERROR(INDEX($A$2:$A$113,MATCH(ROWS($FH$2:FH69),$FH$2:$FH$113,0)),"")</f>
        <v>ACOPIO Y FABRICACION ILEGAL DE ARMAS, PIEZAS Y MUNICIONES</v>
      </c>
      <c r="JE69" s="207" t="str">
        <f>IFERROR(INDEX($A$2:$A$113,MATCH(ROWS($FI$2:FI69),$FI$2:$FI$113,0)),"")</f>
        <v>ACOPIO Y FABRICACION ILEGAL DE ARMAS, PIEZAS Y MUNICIONES</v>
      </c>
      <c r="JF69" s="207" t="str">
        <f>IFERROR(INDEX($A$2:$A$113,MATCH(ROWS($FJ$2:FJ69),$FJ$2:$FJ$113,0)),"")</f>
        <v>ACOPIO Y FABRICACION ILEGAL DE ARMAS, PIEZAS Y MUNICIONES</v>
      </c>
      <c r="JG69" s="207" t="str">
        <f>IFERROR(INDEX($A$2:$A$113,MATCH(ROWS($FK$2:FK69),$FK$2:$FK$113,0)),"")</f>
        <v>ACOPIO Y FABRICACION ILEGAL DE ARMAS, PIEZAS Y MUNICIONES</v>
      </c>
      <c r="JH69" s="207" t="str">
        <f>IFERROR(INDEX($A$2:$A$113,MATCH(ROWS($FL$2:FL69),$FL$2:$FL$113,0)),"")</f>
        <v>ACOPIO Y FABRICACION ILEGAL DE ARMAS, PIEZAS Y MUNICIONES</v>
      </c>
      <c r="JI69" s="207" t="str">
        <f>IFERROR(INDEX($A$2:$A$113,MATCH(ROWS($FM$2:FM69),$FM$2:$FM$113,0)),"")</f>
        <v>ACOPIO Y FABRICACION ILEGAL DE ARMAS, PIEZAS Y MUNICIONES</v>
      </c>
      <c r="JJ69" s="207" t="str">
        <f>IFERROR(INDEX($A$2:$A$113,MATCH(ROWS($FN$2:FN69),$FN$2:$FN$113,0)),"")</f>
        <v>ACOPIO Y FABRICACION ILEGAL DE ARMAS, PIEZAS Y MUNICIONES</v>
      </c>
      <c r="JK69" s="207" t="str">
        <f>IFERROR(INDEX($A$2:$A$113,MATCH(ROWS($FO$2:FO69),$FO$2:$FO$113,0)),"")</f>
        <v>ACOPIO Y FABRICACION ILEGAL DE ARMAS, PIEZAS Y MUNICIONES</v>
      </c>
      <c r="JL69" s="207" t="str">
        <f>IFERROR(INDEX($A$2:$A$113,MATCH(ROWS($FP$2:FP69),$FP$2:$FP$113,0)),"")</f>
        <v>ACOPIO Y FABRICACION ILEGAL DE ARMAS, PIEZAS Y MUNICIONES</v>
      </c>
      <c r="JM69" s="207" t="str">
        <f>IFERROR(INDEX($A$2:$A$113,MATCH(ROWS($FQ$2:FQ69),$FQ$2:$FQ$113,0)),"")</f>
        <v>ACOPIO Y FABRICACION ILEGAL DE ARMAS, PIEZAS Y MUNICIONES</v>
      </c>
      <c r="JN69" s="207" t="str">
        <f>IFERROR(INDEX($A$2:$A$113,MATCH(ROWS($FR$2:FR69),$FR$2:$FR$113,0)),"")</f>
        <v>ACOPIO Y FABRICACION ILEGAL DE ARMAS, PIEZAS Y MUNICIONES</v>
      </c>
      <c r="JO69" s="207" t="str">
        <f>IFERROR(INDEX($A$2:$A$113,MATCH(ROWS($FS$2:FS69),$FS$2:$FS$113,0)),"")</f>
        <v>ACOPIO Y FABRICACION ILEGAL DE ARMAS, PIEZAS Y MUNICIONES</v>
      </c>
      <c r="JP69" s="207" t="str">
        <f>IFERROR(INDEX($A$2:$A$113,MATCH(ROWS($FT$2:FT69),$FT$2:$FT$113,0)),"")</f>
        <v>ACOPIO Y FABRICACION ILEGAL DE ARMAS, PIEZAS Y MUNICIONES</v>
      </c>
      <c r="JQ69" s="207" t="str">
        <f>IFERROR(INDEX($A$2:$A$113,MATCH(ROWS($FU$2:FU69),$FU$2:$FU$113,0)),"")</f>
        <v>ACOPIO Y FABRICACION ILEGAL DE ARMAS, PIEZAS Y MUNICIONES</v>
      </c>
      <c r="JR69" s="207" t="str">
        <f>IFERROR(INDEX($A$2:$A$113,MATCH(ROWS($FV$2:FV69),$FV$2:$FV$113,0)),"")</f>
        <v>ACOPIO Y FABRICACION ILEGAL DE ARMAS, PIEZAS Y MUNICIONES</v>
      </c>
      <c r="JS69" s="207" t="str">
        <f>IFERROR(INDEX($A$2:$A$113,MATCH(ROWS($FW$2:FW69),$FW$2:$FW$113,0)),"")</f>
        <v>ACOPIO Y FABRICACION ILEGAL DE ARMAS, PIEZAS Y MUNICIONES</v>
      </c>
      <c r="JT69" s="207" t="str">
        <f>IFERROR(INDEX($A$2:$A$113,MATCH(ROWS($FX$2:FX69),$FX$2:$FX$113,0)),"")</f>
        <v>ACOPIO Y FABRICACION ILEGAL DE ARMAS, PIEZAS Y MUNICIONES</v>
      </c>
      <c r="JU69" s="207" t="str">
        <f>IFERROR(INDEX($A$2:$A$113,MATCH(ROWS($FY$2:FY69),$FY$2:$FY$113,0)),"")</f>
        <v>ACOPIO Y FABRICACION ILEGAL DE ARMAS, PIEZAS Y MUNICIONES</v>
      </c>
      <c r="JV69" s="207" t="str">
        <f>IFERROR(INDEX($A$2:$A$113,MATCH(ROWS($FZ$2:FZ69),$FZ$2:$FZ$113,0)),"")</f>
        <v>ACOPIO Y FABRICACION ILEGAL DE ARMAS, PIEZAS Y MUNICIONES</v>
      </c>
      <c r="JW69" s="207" t="str">
        <f>IFERROR(INDEX($A$2:$A$113,MATCH(ROWS($GA$2:GA69),$GA$2:$GA$113,0)),"")</f>
        <v>ACOPIO Y FABRICACION ILEGAL DE ARMAS, PIEZAS Y MUNICIONES</v>
      </c>
      <c r="JX69" s="207" t="str">
        <f>IFERROR(INDEX($A$2:$A$113,MATCH(ROWS($GB$2:GB69),$GB$2:$GB$113,0)),"")</f>
        <v>ACOPIO Y FABRICACION ILEGAL DE ARMAS, PIEZAS Y MUNICIONES</v>
      </c>
      <c r="JY69" s="207" t="str">
        <f>IFERROR(INDEX($A$2:$A$113,MATCH(ROWS($GC$2:GC69),$GC$2:$GC$113,0)),"")</f>
        <v>ACOPIO Y FABRICACION ILEGAL DE ARMAS, PIEZAS Y MUNICIONES</v>
      </c>
      <c r="JZ69" s="207" t="str">
        <f>IFERROR(INDEX($A$2:$A$113,MATCH(ROWS($GD$2:GD69),$GD$2:$GD$113,0)),"")</f>
        <v>ACOPIO Y FABRICACION ILEGAL DE ARMAS, PIEZAS Y MUNICIONES</v>
      </c>
      <c r="KA69" s="207" t="str">
        <f>IFERROR(INDEX($A$2:$A$113,MATCH(ROWS($GE$2:GE69),$GE$2:$GE$113,0)),"")</f>
        <v>ACOPIO Y FABRICACION ILEGAL DE ARMAS, PIEZAS Y MUNICIONES</v>
      </c>
      <c r="KB69" s="207" t="str">
        <f>IFERROR(INDEX($A$2:$A$113,MATCH(ROWS($GF$2:GF69),$GF$2:$GF$113,0)),"")</f>
        <v>ACOPIO Y FABRICACION ILEGAL DE ARMAS, PIEZAS Y MUNICIONES</v>
      </c>
      <c r="KC69" s="207" t="str">
        <f>IFERROR(INDEX($A$2:$A$113,MATCH(ROWS($GG$2:GG69),$GG$2:$GG$113,0)),"")</f>
        <v>ACOPIO Y FABRICACION ILEGAL DE ARMAS, PIEZAS Y MUNICIONES</v>
      </c>
      <c r="KD69" s="207" t="str">
        <f>IFERROR(INDEX($A$2:$A$113,MATCH(ROWS($GH$2:GH69),$GH$2:$GH$113,0)),"")</f>
        <v>ACOPIO Y FABRICACION ILEGAL DE ARMAS, PIEZAS Y MUNICIONES</v>
      </c>
      <c r="KE69" s="207" t="str">
        <f>IFERROR(INDEX($A$2:$A$113,MATCH(ROWS($GI$2:GI69),$GI$2:$GI$113,0)),"")</f>
        <v>ACOPIO Y FABRICACION ILEGAL DE ARMAS, PIEZAS Y MUNICIONES</v>
      </c>
      <c r="KF69" s="207" t="str">
        <f>IFERROR(INDEX($A$2:$A$113,MATCH(ROWS($GJ$2:GJ69),$GJ$2:$GJ$113,0)),"")</f>
        <v>ACOPIO Y FABRICACION ILEGAL DE ARMAS, PIEZAS Y MUNICIONES</v>
      </c>
      <c r="KG69" s="207" t="str">
        <f>IFERROR(INDEX($A$2:$A$113,MATCH(ROWS($GK$2:GK69),$GK$2:$GK$113,0)),"")</f>
        <v>ACOPIO Y FABRICACION ILEGAL DE ARMAS, PIEZAS Y MUNICIONES</v>
      </c>
      <c r="KH69" s="207" t="str">
        <f>IFERROR(INDEX($A$2:$A$113,MATCH(ROWS($GL$2:GL69),$GL$2:$GL$113,0)),"")</f>
        <v>ACOPIO Y FABRICACION ILEGAL DE ARMAS, PIEZAS Y MUNICIONES</v>
      </c>
      <c r="KI69" s="207" t="str">
        <f>IFERROR(INDEX($A$2:$A$113,MATCH(ROWS($GM$2:GM69),$GM$2:$GM$113,0)),"")</f>
        <v>ACOPIO Y FABRICACION ILEGAL DE ARMAS, PIEZAS Y MUNICIONES</v>
      </c>
      <c r="KJ69" s="207" t="str">
        <f>IFERROR(INDEX($A$2:$A$113,MATCH(ROWS($GN$2:GN69),$GN$2:$GN$113,0)),"")</f>
        <v>ACOPIO Y FABRICACION ILEGAL DE ARMAS, PIEZAS Y MUNICIONES</v>
      </c>
      <c r="KK69" s="207" t="str">
        <f>IFERROR(INDEX($A$2:$A$113,MATCH(ROWS($GO$2:GO69),$GO$2:$GO$113,0)),"")</f>
        <v>ACOPIO Y FABRICACION ILEGAL DE ARMAS, PIEZAS Y MUNICIONES</v>
      </c>
      <c r="KL69" s="207" t="str">
        <f>IFERROR(INDEX($A$2:$A$113,MATCH(ROWS($GP$2:GP69),$GP$2:$GP$113,0)),"")</f>
        <v>ACOPIO Y FABRICACION ILEGAL DE ARMAS, PIEZAS Y MUNICIONES</v>
      </c>
      <c r="KM69" s="207" t="str">
        <f>IFERROR(INDEX($A$2:$A$113,MATCH(ROWS($GQ$2:GQ69),$GQ$2:$GQ$113,0)),"")</f>
        <v>ACOPIO Y FABRICACION ILEGAL DE ARMAS, PIEZAS Y MUNICIONES</v>
      </c>
      <c r="KN69" s="207" t="str">
        <f>IFERROR(INDEX($A$2:$A$113,MATCH(ROWS($GR$2:GR69),$GR$2:$GR$113,0)),"")</f>
        <v>ACOPIO Y FABRICACION ILEGAL DE ARMAS, PIEZAS Y MUNICIONES</v>
      </c>
      <c r="KO69" s="207" t="str">
        <f>IFERROR(INDEX($A$2:$A$113,MATCH(ROWS($GS$2:GS69),$GS$2:$GS$113,0)),"")</f>
        <v>ACOPIO Y FABRICACION ILEGAL DE ARMAS, PIEZAS Y MUNICIONES</v>
      </c>
      <c r="KP69" s="207" t="str">
        <f>IFERROR(INDEX($A$2:$A$113,MATCH(ROWS($GT$2:GT69),$GT$2:$GT$113,0)),"")</f>
        <v>ACOPIO Y FABRICACION ILEGAL DE ARMAS, PIEZAS Y MUNICIONES</v>
      </c>
      <c r="KQ69" s="207" t="str">
        <f>IFERROR(INDEX($A$2:$A$113,MATCH(ROWS($GU$2:GU69),$GU$2:$GU$113,0)),"")</f>
        <v>ACOPIO Y FABRICACION ILEGAL DE ARMAS, PIEZAS Y MUNICIONES</v>
      </c>
      <c r="KR69" s="207" t="str">
        <f>IFERROR(INDEX($A$2:$A$113,MATCH(ROWS($GV$2:GV69),$GV$2:$GV$113,0)),"")</f>
        <v>ACOPIO Y FABRICACION ILEGAL DE ARMAS, PIEZAS Y MUNICIONES</v>
      </c>
      <c r="KS69" s="207" t="str">
        <f>IFERROR(INDEX($A$2:$A$113,MATCH(ROWS($GW$2:GW69),$GW$2:$GW$113,0)),"")</f>
        <v>ACOPIO Y FABRICACION ILEGAL DE ARMAS, PIEZAS Y MUNICIONES</v>
      </c>
    </row>
    <row r="70" spans="1:305" x14ac:dyDescent="0.25">
      <c r="A70" s="206" t="s">
        <v>904</v>
      </c>
      <c r="B70" s="206" t="s">
        <v>105</v>
      </c>
      <c r="D70" s="206" t="s">
        <v>14</v>
      </c>
      <c r="E70" s="206" t="s">
        <v>99</v>
      </c>
      <c r="F70" s="207">
        <f>--ISNUMBER(IFERROR(SEARCH('PLANILLA DJ'!$X$3,$A70,1),""))</f>
        <v>1</v>
      </c>
      <c r="G70" s="207">
        <f>--ISNUMBER(IFERROR(SEARCH('PLANILLA DJ'!$X$4,$A70,1),""))</f>
        <v>1</v>
      </c>
      <c r="H70" s="207">
        <f>--ISNUMBER(IFERROR(SEARCH('PLANILLA DJ'!$X$5,$A70,1),""))</f>
        <v>1</v>
      </c>
      <c r="I70" s="207">
        <f>--ISNUMBER(IFERROR(SEARCH('PLANILLA DJ'!$X$6,$A70,1),""))</f>
        <v>1</v>
      </c>
      <c r="J70" s="207">
        <f>--ISNUMBER(IFERROR(SEARCH('PLANILLA DJ'!$X$7,$A70,1),""))</f>
        <v>1</v>
      </c>
      <c r="K70" s="207">
        <f>--ISNUMBER(IFERROR(SEARCH('PLANILLA DJ'!$X$8,$A70,1),""))</f>
        <v>1</v>
      </c>
      <c r="L70" s="207">
        <f>--ISNUMBER(IFERROR(SEARCH('PLANILLA DJ'!$X$9,$A70,1),""))</f>
        <v>1</v>
      </c>
      <c r="M70" s="207">
        <f>--ISNUMBER(IFERROR(SEARCH('PLANILLA DJ'!$X$10,$A70,1),""))</f>
        <v>1</v>
      </c>
      <c r="N70" s="207">
        <f>--ISNUMBER(IFERROR(SEARCH('PLANILLA DJ'!$X$11,$A70,1),""))</f>
        <v>1</v>
      </c>
      <c r="O70" s="207">
        <f>--ISNUMBER(IFERROR(SEARCH('PLANILLA DJ'!$X$12,$A70,1),""))</f>
        <v>1</v>
      </c>
      <c r="P70" s="207">
        <f>--ISNUMBER(IFERROR(SEARCH('PLANILLA DJ'!$X$13,$A70,1),""))</f>
        <v>1</v>
      </c>
      <c r="Q70" s="207">
        <f>--ISNUMBER(IFERROR(SEARCH('PLANILLA DJ'!$X$14,$A70,1),""))</f>
        <v>1</v>
      </c>
      <c r="R70" s="207">
        <f>--ISNUMBER(IFERROR(SEARCH('PLANILLA DJ'!$X$15,$A70,1),""))</f>
        <v>1</v>
      </c>
      <c r="S70" s="207">
        <f>--ISNUMBER(IFERROR(SEARCH('PLANILLA DJ'!$X$16,$A70,1),""))</f>
        <v>1</v>
      </c>
      <c r="T70" s="207">
        <f>--ISNUMBER(IFERROR(SEARCH('PLANILLA DJ'!$X$17,$A70,1),""))</f>
        <v>1</v>
      </c>
      <c r="U70" s="207">
        <f>--ISNUMBER(IFERROR(SEARCH('PLANILLA DJ'!$X$18,$A70,1),""))</f>
        <v>1</v>
      </c>
      <c r="V70" s="207">
        <f>--ISNUMBER(IFERROR(SEARCH('PLANILLA DJ'!$X$19,$A70,1),""))</f>
        <v>1</v>
      </c>
      <c r="W70" s="207">
        <f>--ISNUMBER(IFERROR(SEARCH('PLANILLA DJ'!$X$20,$A70,1),""))</f>
        <v>1</v>
      </c>
      <c r="X70" s="207">
        <f>--ISNUMBER(IFERROR(SEARCH('PLANILLA DJ'!$X$21,$A70,1),""))</f>
        <v>1</v>
      </c>
      <c r="Y70" s="207">
        <f>--ISNUMBER(IFERROR(SEARCH('PLANILLA DJ'!$X$22,$A70,1),""))</f>
        <v>1</v>
      </c>
      <c r="Z70" s="207">
        <f>--ISNUMBER(IFERROR(SEARCH('PLANILLA DJ'!$X$23,$A70,1),""))</f>
        <v>1</v>
      </c>
      <c r="AA70" s="207">
        <f>--ISNUMBER(IFERROR(SEARCH('PLANILLA DJ'!$X$24,$A70,1),""))</f>
        <v>1</v>
      </c>
      <c r="AB70" s="207">
        <f>--ISNUMBER(IFERROR(SEARCH('PLANILLA DJ'!$X$25,$A70,1),""))</f>
        <v>1</v>
      </c>
      <c r="AC70" s="207">
        <f>--ISNUMBER(IFERROR(SEARCH('PLANILLA DJ'!$X$26,$A70,1),""))</f>
        <v>1</v>
      </c>
      <c r="AD70" s="207">
        <f>--ISNUMBER(IFERROR(SEARCH('PLANILLA DJ'!$X$27,$A70,1),""))</f>
        <v>1</v>
      </c>
      <c r="AE70" s="207">
        <f>--ISNUMBER(IFERROR(SEARCH('PLANILLA DJ'!$X$28,$A70,1),""))</f>
        <v>1</v>
      </c>
      <c r="AF70" s="207">
        <f>--ISNUMBER(IFERROR(SEARCH('PLANILLA DJ'!$X$29,$A70,1),""))</f>
        <v>1</v>
      </c>
      <c r="AG70" s="207">
        <f>--ISNUMBER(IFERROR(SEARCH('PLANILLA DJ'!$X$30,$A70,1),""))</f>
        <v>1</v>
      </c>
      <c r="AH70" s="207">
        <f>--ISNUMBER(IFERROR(SEARCH('PLANILLA DJ'!$X$31,$A70,1),""))</f>
        <v>1</v>
      </c>
      <c r="AI70" s="207">
        <f>--ISNUMBER(IFERROR(SEARCH('PLANILLA DJ'!$X$32,$A70,1),""))</f>
        <v>1</v>
      </c>
      <c r="AJ70" s="207">
        <f>--ISNUMBER(IFERROR(SEARCH('PLANILLA DJ'!$X$33,$A70,1),""))</f>
        <v>1</v>
      </c>
      <c r="AK70" s="207">
        <f>--ISNUMBER(IFERROR(SEARCH('PLANILLA DJ'!$X$34,$A70,1),""))</f>
        <v>1</v>
      </c>
      <c r="AL70" s="207">
        <f>--ISNUMBER(IFERROR(SEARCH('PLANILLA DJ'!$X$35,$A70,1),""))</f>
        <v>1</v>
      </c>
      <c r="AM70" s="207">
        <f>--ISNUMBER(IFERROR(SEARCH('PLANILLA DJ'!$X$36,$A70,1),""))</f>
        <v>1</v>
      </c>
      <c r="AN70" s="207">
        <f>--ISNUMBER(IFERROR(SEARCH('PLANILLA DJ'!$X$37,$A70,1),""))</f>
        <v>1</v>
      </c>
      <c r="AO70" s="207">
        <f>--ISNUMBER(IFERROR(SEARCH('PLANILLA DJ'!$X$38,$A70,1),""))</f>
        <v>1</v>
      </c>
      <c r="AP70" s="207">
        <f>--ISNUMBER(IFERROR(SEARCH('PLANILLA DJ'!$X$39,$A70,1),""))</f>
        <v>1</v>
      </c>
      <c r="AQ70" s="207">
        <f>--ISNUMBER(IFERROR(SEARCH('PLANILLA DJ'!$X$40,$A70,1),""))</f>
        <v>1</v>
      </c>
      <c r="AR70" s="207">
        <f>--ISNUMBER(IFERROR(SEARCH('PLANILLA DJ'!$X$41,$A70,1),""))</f>
        <v>1</v>
      </c>
      <c r="AS70" s="207">
        <f>--ISNUMBER(IFERROR(SEARCH('PLANILLA DJ'!$X$42,$A70,1),""))</f>
        <v>1</v>
      </c>
      <c r="AT70" s="207">
        <f>--ISNUMBER(IFERROR(SEARCH('PLANILLA DJ'!$X$43,$A70,1),""))</f>
        <v>1</v>
      </c>
      <c r="AU70" s="207">
        <f>--ISNUMBER(IFERROR(SEARCH('PLANILLA DJ'!$X$44,$A70,1),""))</f>
        <v>1</v>
      </c>
      <c r="AV70" s="207">
        <f>--ISNUMBER(IFERROR(SEARCH('PLANILLA DJ'!$X$45,$A70,1),""))</f>
        <v>1</v>
      </c>
      <c r="AW70" s="207">
        <f>--ISNUMBER(IFERROR(SEARCH('PLANILLA DJ'!$X$46,$A70,1),""))</f>
        <v>1</v>
      </c>
      <c r="AX70" s="207">
        <f>--ISNUMBER(IFERROR(SEARCH('PLANILLA DJ'!$X$47,$A70,1),""))</f>
        <v>1</v>
      </c>
      <c r="AY70" s="207">
        <f>--ISNUMBER(IFERROR(SEARCH('PLANILLA DJ'!$X$48,$A70,1),""))</f>
        <v>1</v>
      </c>
      <c r="AZ70" s="207">
        <f>--ISNUMBER(IFERROR(SEARCH('PLANILLA DJ'!$X$49,$A70,1),""))</f>
        <v>1</v>
      </c>
      <c r="BA70" s="207">
        <f>--ISNUMBER(IFERROR(SEARCH('PLANILLA DJ'!$X$50,$A70,1),""))</f>
        <v>1</v>
      </c>
      <c r="BB70" s="207">
        <f>--ISNUMBER(IFERROR(SEARCH('PLANILLA DJ'!$X$51,$A70,1),""))</f>
        <v>1</v>
      </c>
      <c r="BC70" s="207">
        <f>--ISNUMBER(IFERROR(SEARCH('PLANILLA DJ'!$X$52,$A70,1),""))</f>
        <v>1</v>
      </c>
      <c r="BD70" s="207">
        <f>--ISNUMBER(IFERROR(SEARCH('PLANILLA DJ'!$X$53,$A70,1),""))</f>
        <v>1</v>
      </c>
      <c r="BE70" s="207">
        <f>--ISNUMBER(IFERROR(SEARCH('PLANILLA DJ'!$X$54,$A70,1),""))</f>
        <v>1</v>
      </c>
      <c r="BF70" s="207">
        <f>--ISNUMBER(IFERROR(SEARCH('PLANILLA DJ'!$X$55,$A70,1),""))</f>
        <v>1</v>
      </c>
      <c r="BG70" s="207">
        <f>--ISNUMBER(IFERROR(SEARCH('PLANILLA DJ'!$X$56,$A70,1),""))</f>
        <v>1</v>
      </c>
      <c r="BH70" s="207">
        <f>--ISNUMBER(IFERROR(SEARCH('PLANILLA DJ'!$X$57,$A70,1),""))</f>
        <v>1</v>
      </c>
      <c r="BI70" s="207">
        <f>--ISNUMBER(IFERROR(SEARCH('PLANILLA DJ'!$X$58,$A70,1),""))</f>
        <v>1</v>
      </c>
      <c r="BJ70" s="207">
        <f>--ISNUMBER(IFERROR(SEARCH('PLANILLA DJ'!$X$59,$A70,1),""))</f>
        <v>1</v>
      </c>
      <c r="BK70" s="207">
        <f>--ISNUMBER(IFERROR(SEARCH('PLANILLA DJ'!$X$60,$A70,1),""))</f>
        <v>1</v>
      </c>
      <c r="BL70" s="207">
        <f>--ISNUMBER(IFERROR(SEARCH('PLANILLA DJ'!$X$61,$A70,1),""))</f>
        <v>1</v>
      </c>
      <c r="BM70" s="207">
        <f>--ISNUMBER(IFERROR(SEARCH('PLANILLA DJ'!$X$62,$A70,1),""))</f>
        <v>1</v>
      </c>
      <c r="BN70" s="207">
        <f>--ISNUMBER(IFERROR(SEARCH('PLANILLA DJ'!$X$63,$A70,1),""))</f>
        <v>1</v>
      </c>
      <c r="BO70" s="207">
        <f>--ISNUMBER(IFERROR(SEARCH('PLANILLA DJ'!$X$64,$A70,1),""))</f>
        <v>1</v>
      </c>
      <c r="BP70" s="207">
        <f>--ISNUMBER(IFERROR(SEARCH('PLANILLA DJ'!$X$65,$A70,1),""))</f>
        <v>1</v>
      </c>
      <c r="BQ70" s="207">
        <f>--ISNUMBER(IFERROR(SEARCH('PLANILLA DJ'!$X$66,$A70,1),""))</f>
        <v>1</v>
      </c>
      <c r="BR70" s="207">
        <f>--ISNUMBER(IFERROR(SEARCH('PLANILLA DJ'!$X$67,$A70,1),""))</f>
        <v>1</v>
      </c>
      <c r="BS70" s="207">
        <f>--ISNUMBER(IFERROR(SEARCH('PLANILLA DJ'!$X$68,$A70,1),""))</f>
        <v>1</v>
      </c>
      <c r="BT70" s="207">
        <f>--ISNUMBER(IFERROR(SEARCH('PLANILLA DJ'!$X$69,$A70,1),""))</f>
        <v>1</v>
      </c>
      <c r="BU70" s="207">
        <f>--ISNUMBER(IFERROR(SEARCH('PLANILLA DJ'!$X$70,$A70,1),""))</f>
        <v>1</v>
      </c>
      <c r="BV70" s="207">
        <f>--ISNUMBER(IFERROR(SEARCH('PLANILLA DJ'!$X$71,$A70,1),""))</f>
        <v>1</v>
      </c>
      <c r="BW70" s="207">
        <f>--ISNUMBER(IFERROR(SEARCH('PLANILLA DJ'!$X$72,$A70,1),""))</f>
        <v>1</v>
      </c>
      <c r="BX70" s="207">
        <f>--ISNUMBER(IFERROR(SEARCH('PLANILLA DJ'!$X$73,$A70,1),""))</f>
        <v>1</v>
      </c>
      <c r="BY70" s="207">
        <f>--ISNUMBER(IFERROR(SEARCH('PLANILLA DJ'!$X$74,$A70,1),""))</f>
        <v>1</v>
      </c>
      <c r="BZ70" s="207">
        <f>--ISNUMBER(IFERROR(SEARCH('PLANILLA DJ'!$X$75,$A70,1),""))</f>
        <v>1</v>
      </c>
      <c r="CA70" s="207">
        <f>--ISNUMBER(IFERROR(SEARCH('PLANILLA DJ'!$X$76,$A70,1),""))</f>
        <v>1</v>
      </c>
      <c r="CB70" s="207">
        <f>--ISNUMBER(IFERROR(SEARCH('PLANILLA DJ'!$X$77,$A70,1),""))</f>
        <v>1</v>
      </c>
      <c r="CC70" s="207">
        <f>--ISNUMBER(IFERROR(SEARCH('PLANILLA DJ'!$X$78,$A70,1),""))</f>
        <v>1</v>
      </c>
      <c r="CD70" s="207">
        <f>--ISNUMBER(IFERROR(SEARCH('PLANILLA DJ'!$X$79,$A70,1),""))</f>
        <v>1</v>
      </c>
      <c r="CE70" s="207">
        <f>--ISNUMBER(IFERROR(SEARCH('PLANILLA DJ'!$X$80,$A70,1),""))</f>
        <v>1</v>
      </c>
      <c r="CF70" s="207">
        <f>--ISNUMBER(IFERROR(SEARCH('PLANILLA DJ'!$X$81,$A70,1),""))</f>
        <v>1</v>
      </c>
      <c r="CG70" s="207">
        <f>--ISNUMBER(IFERROR(SEARCH('PLANILLA DJ'!$X$82,$A70,1),""))</f>
        <v>1</v>
      </c>
      <c r="CH70" s="207">
        <f>--ISNUMBER(IFERROR(SEARCH('PLANILLA DJ'!$X$83,$A70,1),""))</f>
        <v>1</v>
      </c>
      <c r="CI70" s="207">
        <f>--ISNUMBER(IFERROR(SEARCH('PLANILLA DJ'!$X$84,$A70,1),""))</f>
        <v>1</v>
      </c>
      <c r="CJ70" s="207">
        <f>--ISNUMBER(IFERROR(SEARCH('PLANILLA DJ'!$X$85,$A70,1),""))</f>
        <v>1</v>
      </c>
      <c r="CK70" s="207">
        <f>--ISNUMBER(IFERROR(SEARCH('PLANILLA DJ'!$X$86,$A70,1),""))</f>
        <v>1</v>
      </c>
      <c r="CL70" s="207">
        <f>--ISNUMBER(IFERROR(SEARCH('PLANILLA DJ'!$X$87,$A70,1),""))</f>
        <v>1</v>
      </c>
      <c r="CM70" s="207">
        <f>--ISNUMBER(IFERROR(SEARCH('PLANILLA DJ'!$X$88,$A70,1),""))</f>
        <v>1</v>
      </c>
      <c r="CN70" s="207">
        <f>--ISNUMBER(IFERROR(SEARCH('PLANILLA DJ'!$X$89,$A70,1),""))</f>
        <v>1</v>
      </c>
      <c r="CO70" s="207">
        <f>--ISNUMBER(IFERROR(SEARCH('PLANILLA DJ'!$X$90,$A70,1),""))</f>
        <v>1</v>
      </c>
      <c r="CP70" s="207">
        <f>--ISNUMBER(IFERROR(SEARCH('PLANILLA DJ'!$X$91,$A70,1),""))</f>
        <v>1</v>
      </c>
      <c r="CQ70" s="207">
        <f>--ISNUMBER(IFERROR(SEARCH('PLANILLA DJ'!$X$92,$A70,1),""))</f>
        <v>1</v>
      </c>
      <c r="CR70" s="207">
        <f>--ISNUMBER(IFERROR(SEARCH('PLANILLA DJ'!$X$93,$A70,1),""))</f>
        <v>1</v>
      </c>
      <c r="CS70" s="207">
        <f>--ISNUMBER(IFERROR(SEARCH('PLANILLA DJ'!$X$94,$A70,1),""))</f>
        <v>1</v>
      </c>
      <c r="CT70" s="207">
        <f>--ISNUMBER(IFERROR(SEARCH('PLANILLA DJ'!$X$95,$A70,1),""))</f>
        <v>1</v>
      </c>
      <c r="CU70" s="207">
        <f>--ISNUMBER(IFERROR(SEARCH('PLANILLA DJ'!$X$96,$A70,1),""))</f>
        <v>1</v>
      </c>
      <c r="CV70" s="207">
        <f>--ISNUMBER(IFERROR(SEARCH('PLANILLA DJ'!$X$97,$A70,1),""))</f>
        <v>1</v>
      </c>
      <c r="CW70" s="207">
        <f>--ISNUMBER(IFERROR(SEARCH('PLANILLA DJ'!$X$98,$A70,1),""))</f>
        <v>1</v>
      </c>
      <c r="CX70" s="207">
        <f>--ISNUMBER(IFERROR(SEARCH('PLANILLA DJ'!$X$99,$A70,1),""))</f>
        <v>1</v>
      </c>
      <c r="CY70" s="207">
        <f>--ISNUMBER(IFERROR(SEARCH('PLANILLA DJ'!$X$100,$A70,1),""))</f>
        <v>1</v>
      </c>
      <c r="CZ70" s="207">
        <f>--ISNUMBER(IFERROR(SEARCH('PLANILLA DJ'!$X$101,$A70,1),""))</f>
        <v>1</v>
      </c>
      <c r="DA70" s="207">
        <f>--ISNUMBER(IFERROR(SEARCH('PLANILLA DJ'!$X$102,$A70,1),""))</f>
        <v>1</v>
      </c>
      <c r="DB70" s="206">
        <f>IF(F70=1,COUNTIF($F$2:F70,1),"")</f>
        <v>69</v>
      </c>
      <c r="DC70" s="206">
        <f>IF(G70=1,COUNTIF($G$2:G70,1),"")</f>
        <v>69</v>
      </c>
      <c r="DD70" s="206">
        <f>IF(H70=1,COUNTIF($H$2:H70,1),"")</f>
        <v>69</v>
      </c>
      <c r="DE70" s="206">
        <f>IF(I70=1,COUNTIF($I$2:I70,1),"")</f>
        <v>69</v>
      </c>
      <c r="DF70" s="206">
        <f>IF(J70=1,COUNTIF($J$2:J70,1),"")</f>
        <v>69</v>
      </c>
      <c r="DG70" s="206">
        <f>IF(K70=1,COUNTIF($K$2:K70,1),"")</f>
        <v>69</v>
      </c>
      <c r="DH70" s="206">
        <f>IF(L70=1,COUNTIF($L$2:L70,1),"")</f>
        <v>69</v>
      </c>
      <c r="DI70" s="206">
        <f>IF(M70=1,COUNTIF($M$2:M70,1),"")</f>
        <v>69</v>
      </c>
      <c r="DJ70" s="206">
        <f>IF(N70=1,COUNTIF($N$2:N70,1),"")</f>
        <v>69</v>
      </c>
      <c r="DK70" s="206">
        <f>IF(O70=1,COUNTIF($O$2:O70,1),"")</f>
        <v>69</v>
      </c>
      <c r="DL70" s="206">
        <f>IF(P70=1,COUNTIF($P$2:P70,1),"")</f>
        <v>69</v>
      </c>
      <c r="DM70" s="206">
        <f>IF(Q70=1,COUNTIF($Q$2:Q70,1),"")</f>
        <v>69</v>
      </c>
      <c r="DN70" s="207">
        <f>IF(R70=1,COUNTIF($R$2:R70,1),"")</f>
        <v>69</v>
      </c>
      <c r="DO70" s="207">
        <f>IF(S70=1,COUNTIF($S$2:S70,1),"")</f>
        <v>69</v>
      </c>
      <c r="DP70" s="207">
        <f>IF(T70=1,COUNTIF($T$2:T70,1),"")</f>
        <v>69</v>
      </c>
      <c r="DQ70" s="207">
        <f>IF(U70=1,COUNTIF($U$2:U70,1),"")</f>
        <v>69</v>
      </c>
      <c r="DR70" s="207">
        <f>IF(V70=1,COUNTIF($V$2:V70,1),"")</f>
        <v>69</v>
      </c>
      <c r="DS70" s="207">
        <f>IF(W70=1,COUNTIF($W$2:W70,1),"")</f>
        <v>69</v>
      </c>
      <c r="DT70" s="207">
        <f>IF(X70=1,COUNTIF($X$2:X70,1),"")</f>
        <v>69</v>
      </c>
      <c r="DU70" s="207">
        <f>IF(Y70=1,COUNTIF($Y$2:Y70,1),"")</f>
        <v>69</v>
      </c>
      <c r="DV70" s="207">
        <f>IF(Z70=1,COUNTIF(Z$2:Z70,1),"")</f>
        <v>69</v>
      </c>
      <c r="DW70" s="207">
        <f>IF(AA70=1,COUNTIF($AA$2:AA70,1),"")</f>
        <v>69</v>
      </c>
      <c r="DX70" s="207">
        <f>IF(AB70=1,COUNTIF($AB$2:AB70,1),"")</f>
        <v>69</v>
      </c>
      <c r="DY70" s="207">
        <f>IF(AC70=1,COUNTIF($AC$2:AC70,1),"")</f>
        <v>69</v>
      </c>
      <c r="DZ70" s="207">
        <f>IF(AD70=1,COUNTIF($AD$2:AD70,1),"")</f>
        <v>69</v>
      </c>
      <c r="EA70" s="207">
        <f>IF(AE70=1,COUNTIF($AE$2:AE70,1),"")</f>
        <v>69</v>
      </c>
      <c r="EB70" s="207">
        <f>IF(AF70=1,COUNTIF($AF$2:AF70,1),"")</f>
        <v>69</v>
      </c>
      <c r="EC70" s="207">
        <f>IF(AG70=1,COUNTIF($AG$2:AG70,1),"")</f>
        <v>69</v>
      </c>
      <c r="ED70" s="207">
        <f>IF(AH70=1,COUNTIF($AH$2:AH70,1),"")</f>
        <v>69</v>
      </c>
      <c r="EE70" s="207">
        <f>IF(AI70=1,COUNTIF($AI$2:AI70,1),"")</f>
        <v>69</v>
      </c>
      <c r="EF70" s="207">
        <f>IF(AJ70=1,COUNTIF($AJ$2:AJ70,1),"")</f>
        <v>69</v>
      </c>
      <c r="EG70" s="207">
        <f>IF(AK70=1,COUNTIF($AK$2:AK70,1),"")</f>
        <v>69</v>
      </c>
      <c r="EH70" s="207">
        <f>IF(AL70=1,COUNTIF($AL$2:AL70,1),"")</f>
        <v>69</v>
      </c>
      <c r="EI70" s="207">
        <f>IF(AM70=1,COUNTIF($AM$2:AM70,1),"")</f>
        <v>69</v>
      </c>
      <c r="EJ70" s="207">
        <f>IF(AN70=1,COUNTIF($AN$2:AN70,1),"")</f>
        <v>69</v>
      </c>
      <c r="EK70" s="207">
        <f>IF(AO70=1,COUNTIF($AO$2:AO70,1),"")</f>
        <v>69</v>
      </c>
      <c r="EL70" s="207">
        <f>IF(AP70=1,COUNTIF($AP$2:AP70,1),"")</f>
        <v>69</v>
      </c>
      <c r="EM70" s="207">
        <f>IF(AQ70=1,COUNTIF($AQ$2:AQ70,1),"")</f>
        <v>69</v>
      </c>
      <c r="EN70" s="207">
        <f>IF(AR70=1,COUNTIF($AR$2:AR70,1),"")</f>
        <v>69</v>
      </c>
      <c r="EO70" s="207">
        <f>IF(AS70=1,COUNTIF($AS$2:AS70,1),"")</f>
        <v>69</v>
      </c>
      <c r="EP70" s="207">
        <f>IF(AT70=1,COUNTIF($AT$2:AT70,1),"")</f>
        <v>69</v>
      </c>
      <c r="EQ70" s="207">
        <f>IF(AU70=1,COUNTIF($AU$2:AU70,1),"")</f>
        <v>69</v>
      </c>
      <c r="ER70" s="207">
        <f>IF(AV70=1,COUNTIF($AV$2:AV70,1),"")</f>
        <v>69</v>
      </c>
      <c r="ES70" s="207">
        <f>IF(AW70=1,COUNTIF($AW$2:AW70,1),"")</f>
        <v>69</v>
      </c>
      <c r="ET70" s="207">
        <f>IF(AX70=1,COUNTIF($AX$2:AX70,1),"")</f>
        <v>69</v>
      </c>
      <c r="EU70" s="207">
        <f>IF(AY70=1,COUNTIF($AY$2:AY70,1),"")</f>
        <v>69</v>
      </c>
      <c r="EV70" s="207">
        <f>IF(AZ70=1,COUNTIF($AZ$2:AZ70,1),"")</f>
        <v>69</v>
      </c>
      <c r="EW70" s="207">
        <f>IF(BA70=1,COUNTIF($BA$2:BA70,1),"")</f>
        <v>69</v>
      </c>
      <c r="EX70" s="207">
        <f>IF(BB70=1,COUNTIF($BB$2:BB70,1),"")</f>
        <v>69</v>
      </c>
      <c r="EY70" s="207">
        <f>IF(BC70=1,COUNTIF($BC$2:BC70,1),"")</f>
        <v>69</v>
      </c>
      <c r="EZ70" s="207">
        <f>IF(BD70=1,COUNTIF($BD$2:BD70,1),"")</f>
        <v>69</v>
      </c>
      <c r="FA70" s="207">
        <f>IF(BE70=1,COUNTIF($BE$2:BE70,1),"")</f>
        <v>69</v>
      </c>
      <c r="FB70" s="207">
        <f>IF(BF70=1,COUNTIF($BF$2:BF70,1),"")</f>
        <v>69</v>
      </c>
      <c r="FC70" s="207">
        <f>IF(BG70=1,COUNTIF($BG$2:BG70,1),"")</f>
        <v>69</v>
      </c>
      <c r="FD70" s="207">
        <f>IF(BH70=1,COUNTIF($BH$2:BH70,1),"")</f>
        <v>69</v>
      </c>
      <c r="FE70" s="207">
        <f>IF(BI70=1,COUNTIF($BI$2:BI70,1),"")</f>
        <v>69</v>
      </c>
      <c r="FF70" s="207">
        <f>IF(BJ70=1,COUNTIF($BJ$2:BJ70,1),"")</f>
        <v>69</v>
      </c>
      <c r="FG70" s="207">
        <f>IF(BK70=1,COUNTIF($BK$2:BK70,1),"")</f>
        <v>69</v>
      </c>
      <c r="FH70" s="207">
        <f>IF(BL70=1,COUNTIF($BL$2:BL70,1),"")</f>
        <v>69</v>
      </c>
      <c r="FI70" s="207">
        <f>IF(BM70=1,COUNTIF($BM$2:BM70,1),"")</f>
        <v>69</v>
      </c>
      <c r="FJ70" s="207">
        <f>IF(BN70=1,COUNTIF($BN$2:BN70,1),"")</f>
        <v>69</v>
      </c>
      <c r="FK70" s="207">
        <f>IF(BO70=1,COUNTIF($BO$2:BO70,1),"")</f>
        <v>69</v>
      </c>
      <c r="FL70" s="207">
        <f>IF(BP70=1,COUNTIF($BP$2:BP70,1),"")</f>
        <v>69</v>
      </c>
      <c r="FM70" s="207">
        <f>IF(BQ70=1,COUNTIF($BQ$2:BQ70,1),"")</f>
        <v>69</v>
      </c>
      <c r="FN70" s="207">
        <f>IF(BR70=1,COUNTIF($BR$2:BR70,1),"")</f>
        <v>69</v>
      </c>
      <c r="FO70" s="207">
        <f>IF(BS70=1,COUNTIF($BS$2:BS70,1),"")</f>
        <v>69</v>
      </c>
      <c r="FP70" s="207">
        <f>IF(BT70=1,COUNTIF($BT$2:BT70,1),"")</f>
        <v>69</v>
      </c>
      <c r="FQ70" s="207">
        <f>IF(BU70=1,COUNTIF($BU$2:BU70,1),"")</f>
        <v>69</v>
      </c>
      <c r="FR70" s="207">
        <f>IF(BV70=1,COUNTIF($BV$2:BV70,1),"")</f>
        <v>69</v>
      </c>
      <c r="FS70" s="207">
        <f>IF(BW70=1,COUNTIF($BW$2:BW70,1),"")</f>
        <v>69</v>
      </c>
      <c r="FT70" s="207">
        <f>IF(BX70=1,COUNTIF($BX$2:BX70,1),"")</f>
        <v>69</v>
      </c>
      <c r="FU70" s="207">
        <f>IF(BY70=1,COUNTIF($BY$2:BY70,1),"")</f>
        <v>69</v>
      </c>
      <c r="FV70" s="207">
        <f>IF(BZ70=1,COUNTIF($BZ$2:BZ70,1),"")</f>
        <v>69</v>
      </c>
      <c r="FW70" s="207">
        <f>IF(CA70=1,COUNTIF($CA$2:CA70,1),"")</f>
        <v>69</v>
      </c>
      <c r="FX70" s="207">
        <f>IF(CB70=1,COUNTIF($CB$2:CB70,1),"")</f>
        <v>69</v>
      </c>
      <c r="FY70" s="207">
        <f>IF(CC70=1,COUNTIF($CC$2:CC70,1),"")</f>
        <v>69</v>
      </c>
      <c r="FZ70" s="207">
        <f>IF(CD70=1,COUNTIF($CD$2:CD70,1),"")</f>
        <v>69</v>
      </c>
      <c r="GA70" s="207">
        <f>IF(CE70=1,COUNTIF($CE$2:CE70,1),"")</f>
        <v>69</v>
      </c>
      <c r="GB70" s="207">
        <f>IF(CF70=1,COUNTIF($CF$2:CF70,1),"")</f>
        <v>69</v>
      </c>
      <c r="GC70" s="207">
        <f>IF(CG70=1,COUNTIF($CG$2:CG70,1),"")</f>
        <v>69</v>
      </c>
      <c r="GD70" s="207">
        <f>IF(CH70=1,COUNTIF($CH$2:CH70,1),"")</f>
        <v>69</v>
      </c>
      <c r="GE70" s="207">
        <f>IF(CI70=1,COUNTIF($CI$2:CI70,1),"")</f>
        <v>69</v>
      </c>
      <c r="GF70" s="207">
        <f>IF(CJ70=1,COUNTIF($CJ$2:CJ70,1),"")</f>
        <v>69</v>
      </c>
      <c r="GG70" s="207">
        <f>IF(CK70=1,COUNTIF($CK$2:CK70,1),"")</f>
        <v>69</v>
      </c>
      <c r="GH70" s="207">
        <f>IF(CL70=1,COUNTIF($CL$2:CL70,1),"")</f>
        <v>69</v>
      </c>
      <c r="GI70" s="207">
        <f>IF(CM70=1,COUNTIF($CM$2:CM70,1),"")</f>
        <v>69</v>
      </c>
      <c r="GJ70" s="207">
        <f>IF(CN70=1,COUNTIF($CN$2:CN70,1),"")</f>
        <v>69</v>
      </c>
      <c r="GK70" s="207">
        <f>IF(CO70=1,COUNTIF($CO$2:CO70,1),"")</f>
        <v>69</v>
      </c>
      <c r="GL70" s="207">
        <f>IF(CP70=1,COUNTIF($CP$2:CP70,1),"")</f>
        <v>69</v>
      </c>
      <c r="GM70" s="207">
        <f>IF(CQ70=1,COUNTIF($CQ$2:CQ70,1),"")</f>
        <v>69</v>
      </c>
      <c r="GN70" s="207">
        <f>IF(CR70=1,COUNTIF($CR$2:CR70,1),"")</f>
        <v>69</v>
      </c>
      <c r="GO70" s="207">
        <f>IF(CS70=1,COUNTIF($CS$2:CS70,1),"")</f>
        <v>69</v>
      </c>
      <c r="GP70" s="207">
        <f>IF(CT70=1,COUNTIF($CT$2:CT70,1),"")</f>
        <v>69</v>
      </c>
      <c r="GQ70" s="207">
        <f>IF(CU70=1,COUNTIF($CU$2:CU70,1),"")</f>
        <v>69</v>
      </c>
      <c r="GR70" s="207">
        <f>IF(CV70=1,COUNTIF($CV$2:CV70,1),"")</f>
        <v>69</v>
      </c>
      <c r="GS70" s="207">
        <f>IF(CW70=1,COUNTIF($CW$2:CW70,1),"")</f>
        <v>69</v>
      </c>
      <c r="GT70" s="207">
        <f>IF(CX70=1,COUNTIF($CX$2:CX70,1),"")</f>
        <v>69</v>
      </c>
      <c r="GU70" s="207">
        <f>IF(CY70=1,COUNTIF($CY$2:CY70,1),"")</f>
        <v>69</v>
      </c>
      <c r="GV70" s="207">
        <f>IF(CZ70=1,COUNTIF($CZ$2:CZ70,1),"")</f>
        <v>69</v>
      </c>
      <c r="GW70" s="207">
        <f>IF(DA70=1,COUNTIF($DA$2:DA70,1),"")</f>
        <v>69</v>
      </c>
      <c r="GX70" s="206" t="str">
        <f>IFERROR(INDEX($A$2:$A$113,MATCH(ROWS($DB$2:DB70),$DB$2:$DB$113,0)),"")</f>
        <v>ENTREGA Y COMERCIALIZACION ILEGAL DE ARMAS DE FUEGO</v>
      </c>
      <c r="GY70" s="206" t="str">
        <f>IFERROR(INDEX($A$2:$A$113,MATCH(ROWS($DC$2:DC70),$DC$2:$DC$113,0)),"")</f>
        <v>ENTREGA Y COMERCIALIZACION ILEGAL DE ARMAS DE FUEGO</v>
      </c>
      <c r="GZ70" s="206" t="str">
        <f>IFERROR(INDEX($A$2:$A$113,MATCH(ROWS($DD$2:DD70),$DD$2:$DD$113,0)),"")</f>
        <v>ENTREGA Y COMERCIALIZACION ILEGAL DE ARMAS DE FUEGO</v>
      </c>
      <c r="HA70" s="206" t="str">
        <f>IFERROR(INDEX($A$2:$A$113,MATCH(ROWS($DE$2:DE70),$DE$2:$DE$113,0)),"")</f>
        <v>ENTREGA Y COMERCIALIZACION ILEGAL DE ARMAS DE FUEGO</v>
      </c>
      <c r="HB70" s="206" t="str">
        <f>IFERROR(INDEX($A$2:$A$113,MATCH(ROWS($DF$2:DF70),$DF$2:$DF$113,0)),"")</f>
        <v>ENTREGA Y COMERCIALIZACION ILEGAL DE ARMAS DE FUEGO</v>
      </c>
      <c r="HC70" s="206" t="str">
        <f>IFERROR(INDEX($A$2:$A$113,MATCH(ROWS($DG$2:DG70),$DG$2:$DG$113,0)),"")</f>
        <v>ENTREGA Y COMERCIALIZACION ILEGAL DE ARMAS DE FUEGO</v>
      </c>
      <c r="HD70" s="206" t="str">
        <f>IFERROR(INDEX($A$2:$A$113,MATCH(ROWS($DH$2:DH70),$DH$2:$DH$113,0)),"")</f>
        <v>ENTREGA Y COMERCIALIZACION ILEGAL DE ARMAS DE FUEGO</v>
      </c>
      <c r="HE70" s="206" t="str">
        <f>IFERROR(INDEX($A$2:$A$113,MATCH(ROWS($DI$2:DI70),$DI$2:$DI$113,0)),"")</f>
        <v>ENTREGA Y COMERCIALIZACION ILEGAL DE ARMAS DE FUEGO</v>
      </c>
      <c r="HF70" s="206" t="str">
        <f>IFERROR(INDEX($A$2:$A$113,MATCH(ROWS($DJ$2:DJ70),$DJ$2:$DJ$113,0)),"")</f>
        <v>ENTREGA Y COMERCIALIZACION ILEGAL DE ARMAS DE FUEGO</v>
      </c>
      <c r="HG70" s="206" t="str">
        <f>IFERROR(INDEX($A$2:$A$113,MATCH(ROWS($DK$2:DK70),$DK$2:$DK$113,0)),"")</f>
        <v>ENTREGA Y COMERCIALIZACION ILEGAL DE ARMAS DE FUEGO</v>
      </c>
      <c r="HH70" s="206" t="str">
        <f>IFERROR(INDEX($A$2:$A$113,MATCH(ROWS($DL$2:DL70),$DL$2:$DL$113,0)),"")</f>
        <v>ENTREGA Y COMERCIALIZACION ILEGAL DE ARMAS DE FUEGO</v>
      </c>
      <c r="HI70" s="206" t="str">
        <f>IFERROR(INDEX($A$2:$A$113,MATCH(ROWS($DM$2:DM70),$DM$2:$DM$113,0)),"")</f>
        <v>ENTREGA Y COMERCIALIZACION ILEGAL DE ARMAS DE FUEGO</v>
      </c>
      <c r="HJ70" s="206" t="str">
        <f>IFERROR(INDEX($A$2:$A$113,MATCH(ROWS($DN$2:DN70),$DN$2:$DN$113,0)),"")</f>
        <v>ENTREGA Y COMERCIALIZACION ILEGAL DE ARMAS DE FUEGO</v>
      </c>
      <c r="HK70" s="206" t="str">
        <f>IFERROR(INDEX($A$2:$A$113,MATCH(ROWS($DO$2:DO70),$DO$2:$DO$113,0)),"")</f>
        <v>ENTREGA Y COMERCIALIZACION ILEGAL DE ARMAS DE FUEGO</v>
      </c>
      <c r="HL70" s="206" t="str">
        <f>IFERROR(INDEX($A$2:$A$113,MATCH(ROWS($DP$2:DP70),$DP$2:$DP$113,0)),"")</f>
        <v>ENTREGA Y COMERCIALIZACION ILEGAL DE ARMAS DE FUEGO</v>
      </c>
      <c r="HM70" s="206" t="str">
        <f>IFERROR(INDEX($A$2:$A$113,MATCH(ROWS($DQ$2:DQ70),$DQ$2:$DQ$113,0)),"")</f>
        <v>ENTREGA Y COMERCIALIZACION ILEGAL DE ARMAS DE FUEGO</v>
      </c>
      <c r="HN70" s="206" t="str">
        <f>IFERROR(INDEX($A$2:$A$113,MATCH(ROWS($DR$2:DR70),$DR$2:$DR$113,0)),"")</f>
        <v>ENTREGA Y COMERCIALIZACION ILEGAL DE ARMAS DE FUEGO</v>
      </c>
      <c r="HO70" s="206" t="str">
        <f>IFERROR(INDEX($A$2:$A$113,MATCH(ROWS($DS$2:DS70),$DS$2:$DS$113,0)),"")</f>
        <v>ENTREGA Y COMERCIALIZACION ILEGAL DE ARMAS DE FUEGO</v>
      </c>
      <c r="HP70" s="206" t="str">
        <f>IFERROR(INDEX($A$2:$A$113,MATCH(ROWS($DT$2:DT70),$DT$2:$DT$113,0)),"")</f>
        <v>ENTREGA Y COMERCIALIZACION ILEGAL DE ARMAS DE FUEGO</v>
      </c>
      <c r="HQ70" s="206" t="str">
        <f>IFERROR(INDEX($A$2:$A$113,MATCH(ROWS($DU$2:DU70),$DU$2:$DU$113,0)),"")</f>
        <v>ENTREGA Y COMERCIALIZACION ILEGAL DE ARMAS DE FUEGO</v>
      </c>
      <c r="HR70" s="206" t="str">
        <f>IFERROR(INDEX($A$2:$A$113,MATCH(ROWS($DV$2:DV70),$DV$2:$DV$113,0)),"")</f>
        <v>ENTREGA Y COMERCIALIZACION ILEGAL DE ARMAS DE FUEGO</v>
      </c>
      <c r="HS70" s="206" t="str">
        <f>IFERROR(INDEX($A$2:$A$113,MATCH(ROWS($DW$2:DW70),$DW$2:$DW$113,0)),"")</f>
        <v>ENTREGA Y COMERCIALIZACION ILEGAL DE ARMAS DE FUEGO</v>
      </c>
      <c r="HT70" s="206" t="str">
        <f>IFERROR(INDEX($A$2:$A$113,MATCH(ROWS($DX$2:DX70),$DX$2:$DX$113,0)),"")</f>
        <v>ENTREGA Y COMERCIALIZACION ILEGAL DE ARMAS DE FUEGO</v>
      </c>
      <c r="HU70" s="206" t="str">
        <f>IFERROR(INDEX($A$2:$A$113,MATCH(ROWS($DY$2:DY70),$DY$2:$DY$113,0)),"")</f>
        <v>ENTREGA Y COMERCIALIZACION ILEGAL DE ARMAS DE FUEGO</v>
      </c>
      <c r="HV70" s="206" t="str">
        <f>IFERROR(INDEX($A$2:$A$113,MATCH(ROWS($DZ$2:DZ70),$DZ$2:$DZ$113,0)),"")</f>
        <v>ENTREGA Y COMERCIALIZACION ILEGAL DE ARMAS DE FUEGO</v>
      </c>
      <c r="HW70" s="206" t="str">
        <f>IFERROR(INDEX($A$2:$A$113,MATCH(ROWS($EA$2:EA70),$EA$2:$EA$113,0)),"")</f>
        <v>ENTREGA Y COMERCIALIZACION ILEGAL DE ARMAS DE FUEGO</v>
      </c>
      <c r="HX70" s="206" t="str">
        <f>IFERROR(INDEX($A$2:$A$113,MATCH(ROWS($EB$2:EB70),$EB$2:$EB$113,0)),"")</f>
        <v>ENTREGA Y COMERCIALIZACION ILEGAL DE ARMAS DE FUEGO</v>
      </c>
      <c r="HY70" s="206" t="str">
        <f>IFERROR(INDEX($A$2:$A$113,MATCH(ROWS($EC$2:EC70),$EC$2:$EC$113,0)),"")</f>
        <v>ENTREGA Y COMERCIALIZACION ILEGAL DE ARMAS DE FUEGO</v>
      </c>
      <c r="HZ70" s="206" t="str">
        <f>IFERROR(INDEX($A$2:$A$113,MATCH(ROWS($ED$2:ED70),$ED$2:$ED$113,0)),"")</f>
        <v>ENTREGA Y COMERCIALIZACION ILEGAL DE ARMAS DE FUEGO</v>
      </c>
      <c r="IA70" s="206" t="str">
        <f>IFERROR(INDEX($A$2:$A$113,MATCH(ROWS($EE$2:EE70),$EE$2:$EE$113,0)),"")</f>
        <v>ENTREGA Y COMERCIALIZACION ILEGAL DE ARMAS DE FUEGO</v>
      </c>
      <c r="IB70" s="206" t="str">
        <f>IFERROR(INDEX($A$2:$A$113,MATCH(ROWS($EF$2:EF70),$EF$2:$EF$113,0)),"")</f>
        <v>ENTREGA Y COMERCIALIZACION ILEGAL DE ARMAS DE FUEGO</v>
      </c>
      <c r="IC70" s="206" t="str">
        <f>IFERROR(INDEX($A$2:$A$113,MATCH(ROWS($EG$2:EG70),$EG$2:$EG$113,0)),"")</f>
        <v>ENTREGA Y COMERCIALIZACION ILEGAL DE ARMAS DE FUEGO</v>
      </c>
      <c r="ID70" s="206" t="str">
        <f>IFERROR(INDEX($A$2:$A$113,MATCH(ROWS($EH$2:EH70),$EH$2:$EH$113,0)),"")</f>
        <v>ENTREGA Y COMERCIALIZACION ILEGAL DE ARMAS DE FUEGO</v>
      </c>
      <c r="IE70" s="206" t="str">
        <f>IFERROR(INDEX($A$2:$A$113,MATCH(ROWS($EI$2:EI70),$EI$2:$EI$113,0)),"")</f>
        <v>ENTREGA Y COMERCIALIZACION ILEGAL DE ARMAS DE FUEGO</v>
      </c>
      <c r="IF70" s="206" t="str">
        <f>IFERROR(INDEX($A$2:$A$113,MATCH(ROWS($EJ$2:EJ70),$EJ$2:$EJ$113,0)),"")</f>
        <v>ENTREGA Y COMERCIALIZACION ILEGAL DE ARMAS DE FUEGO</v>
      </c>
      <c r="IG70" s="206" t="str">
        <f>IFERROR(INDEX($A$2:$A$113,MATCH(ROWS($EK$2:EK70),$EK$2:$EK$113,0)),"")</f>
        <v>ENTREGA Y COMERCIALIZACION ILEGAL DE ARMAS DE FUEGO</v>
      </c>
      <c r="IH70" s="206" t="str">
        <f>IFERROR(INDEX($A$2:$A$113,MATCH(ROWS($EL$2:EL70),$EL$2:$EL$113,0)),"")</f>
        <v>ENTREGA Y COMERCIALIZACION ILEGAL DE ARMAS DE FUEGO</v>
      </c>
      <c r="II70" s="206" t="str">
        <f>IFERROR(INDEX($A$2:$A$113,MATCH(ROWS($EM$2:EM70),$EM$2:$EM$113,0)),"")</f>
        <v>ENTREGA Y COMERCIALIZACION ILEGAL DE ARMAS DE FUEGO</v>
      </c>
      <c r="IJ70" s="206" t="str">
        <f>IFERROR(INDEX($A$2:$A$113,MATCH(ROWS($EN$2:EN70),$EN$2:$EN$113,0)),"")</f>
        <v>ENTREGA Y COMERCIALIZACION ILEGAL DE ARMAS DE FUEGO</v>
      </c>
      <c r="IK70" s="207" t="str">
        <f>IFERROR(INDEX($A$2:$A$113,MATCH(ROWS($EO$2:EO70),$EO$2:$EO$113,0)),"")</f>
        <v>ENTREGA Y COMERCIALIZACION ILEGAL DE ARMAS DE FUEGO</v>
      </c>
      <c r="IL70" s="207" t="str">
        <f>IFERROR(INDEX($A$2:$A$113,MATCH(ROWS($EP$2:EP70),$EP$2:$EP$113,0)),"")</f>
        <v>ENTREGA Y COMERCIALIZACION ILEGAL DE ARMAS DE FUEGO</v>
      </c>
      <c r="IM70" s="207" t="str">
        <f>IFERROR(INDEX($A$2:$A$113,MATCH(ROWS($EQ$2:EQ70),$EQ$2:$EQ$113,0)),"")</f>
        <v>ENTREGA Y COMERCIALIZACION ILEGAL DE ARMAS DE FUEGO</v>
      </c>
      <c r="IN70" s="207" t="str">
        <f>IFERROR(INDEX($A$2:$A$113,MATCH(ROWS($ER$2:ER70),$ER$2:$ER$113,0)),"")</f>
        <v>ENTREGA Y COMERCIALIZACION ILEGAL DE ARMAS DE FUEGO</v>
      </c>
      <c r="IO70" s="207" t="str">
        <f>IFERROR(INDEX($A$2:$A$113,MATCH(ROWS($ES$2:ES70),$ES$2:$ES$113,0)),"")</f>
        <v>ENTREGA Y COMERCIALIZACION ILEGAL DE ARMAS DE FUEGO</v>
      </c>
      <c r="IP70" s="207" t="str">
        <f>IFERROR(INDEX($A$2:$A$113,MATCH(ROWS($ET$2:ET70),$ET$2:$ET$113,0)),"")</f>
        <v>ENTREGA Y COMERCIALIZACION ILEGAL DE ARMAS DE FUEGO</v>
      </c>
      <c r="IQ70" s="207" t="str">
        <f>IFERROR(INDEX($A$2:$A$113,MATCH(ROWS($EU$2:EU70),$EU$2:$EU$113,0)),"")</f>
        <v>ENTREGA Y COMERCIALIZACION ILEGAL DE ARMAS DE FUEGO</v>
      </c>
      <c r="IR70" s="207" t="str">
        <f>IFERROR(INDEX($A$2:$A$113,MATCH(ROWS($EV$2:EV70),$EV$2:$EV$113,0)),"")</f>
        <v>ENTREGA Y COMERCIALIZACION ILEGAL DE ARMAS DE FUEGO</v>
      </c>
      <c r="IS70" s="207" t="str">
        <f>IFERROR(INDEX($A$2:$A$113,MATCH(ROWS($EW$2:EW70),$EW$2:$EW$113,0)),"")</f>
        <v>ENTREGA Y COMERCIALIZACION ILEGAL DE ARMAS DE FUEGO</v>
      </c>
      <c r="IT70" s="207" t="str">
        <f>IFERROR(INDEX($A$2:$A$113,MATCH(ROWS($EX$2:EX70),$EX$2:$EX$113,0)),"")</f>
        <v>ENTREGA Y COMERCIALIZACION ILEGAL DE ARMAS DE FUEGO</v>
      </c>
      <c r="IU70" s="207" t="str">
        <f>IFERROR(INDEX($A$2:$A$113,MATCH(ROWS($EY$2:EY70),$EY$2:$EY$113,0)),"")</f>
        <v>ENTREGA Y COMERCIALIZACION ILEGAL DE ARMAS DE FUEGO</v>
      </c>
      <c r="IV70" s="207" t="str">
        <f>IFERROR(INDEX($A$2:$A$113,MATCH(ROWS($EZ$2:EZ70),$EZ$2:$EZ$113,0)),"")</f>
        <v>ENTREGA Y COMERCIALIZACION ILEGAL DE ARMAS DE FUEGO</v>
      </c>
      <c r="IW70" s="207" t="str">
        <f>IFERROR(INDEX($A$2:$A$113,MATCH(ROWS($FA$2:FA70),$FA$2:$FA$113,0)),"")</f>
        <v>ENTREGA Y COMERCIALIZACION ILEGAL DE ARMAS DE FUEGO</v>
      </c>
      <c r="IX70" s="207" t="str">
        <f>IFERROR(INDEX($A$2:$A$113,MATCH(ROWS($FB$2:FB70),$FB$2:$FB$113,0)),"")</f>
        <v>ENTREGA Y COMERCIALIZACION ILEGAL DE ARMAS DE FUEGO</v>
      </c>
      <c r="IY70" s="207" t="str">
        <f>IFERROR(INDEX($A$2:$A$113,MATCH(ROWS($FC$2:FC70),$FC$2:$FC$113,0)),"")</f>
        <v>ENTREGA Y COMERCIALIZACION ILEGAL DE ARMAS DE FUEGO</v>
      </c>
      <c r="IZ70" s="207" t="str">
        <f>IFERROR(INDEX($A$2:$A$113,MATCH(ROWS($FD$2:FD70),$FD$2:$FD$113,0)),"")</f>
        <v>ENTREGA Y COMERCIALIZACION ILEGAL DE ARMAS DE FUEGO</v>
      </c>
      <c r="JA70" s="207" t="str">
        <f>IFERROR(INDEX($A$2:$A$113,MATCH(ROWS($FE$2:FE70),$FE$2:$FE$113,0)),"")</f>
        <v>ENTREGA Y COMERCIALIZACION ILEGAL DE ARMAS DE FUEGO</v>
      </c>
      <c r="JB70" s="207" t="str">
        <f>IFERROR(INDEX($A$2:$A$113,MATCH(ROWS($FF$2:FF70),$FF$2:$FF$113,0)),"")</f>
        <v>ENTREGA Y COMERCIALIZACION ILEGAL DE ARMAS DE FUEGO</v>
      </c>
      <c r="JC70" s="207" t="str">
        <f>IFERROR(INDEX($A$2:$A$113,MATCH(ROWS($FG$2:FG70),$FG$2:$FG$113,0)),"")</f>
        <v>ENTREGA Y COMERCIALIZACION ILEGAL DE ARMAS DE FUEGO</v>
      </c>
      <c r="JD70" s="207" t="str">
        <f>IFERROR(INDEX($A$2:$A$113,MATCH(ROWS($FH$2:FH70),$FH$2:$FH$113,0)),"")</f>
        <v>ENTREGA Y COMERCIALIZACION ILEGAL DE ARMAS DE FUEGO</v>
      </c>
      <c r="JE70" s="207" t="str">
        <f>IFERROR(INDEX($A$2:$A$113,MATCH(ROWS($FI$2:FI70),$FI$2:$FI$113,0)),"")</f>
        <v>ENTREGA Y COMERCIALIZACION ILEGAL DE ARMAS DE FUEGO</v>
      </c>
      <c r="JF70" s="207" t="str">
        <f>IFERROR(INDEX($A$2:$A$113,MATCH(ROWS($FJ$2:FJ70),$FJ$2:$FJ$113,0)),"")</f>
        <v>ENTREGA Y COMERCIALIZACION ILEGAL DE ARMAS DE FUEGO</v>
      </c>
      <c r="JG70" s="207" t="str">
        <f>IFERROR(INDEX($A$2:$A$113,MATCH(ROWS($FK$2:FK70),$FK$2:$FK$113,0)),"")</f>
        <v>ENTREGA Y COMERCIALIZACION ILEGAL DE ARMAS DE FUEGO</v>
      </c>
      <c r="JH70" s="207" t="str">
        <f>IFERROR(INDEX($A$2:$A$113,MATCH(ROWS($FL$2:FL70),$FL$2:$FL$113,0)),"")</f>
        <v>ENTREGA Y COMERCIALIZACION ILEGAL DE ARMAS DE FUEGO</v>
      </c>
      <c r="JI70" s="207" t="str">
        <f>IFERROR(INDEX($A$2:$A$113,MATCH(ROWS($FM$2:FM70),$FM$2:$FM$113,0)),"")</f>
        <v>ENTREGA Y COMERCIALIZACION ILEGAL DE ARMAS DE FUEGO</v>
      </c>
      <c r="JJ70" s="207" t="str">
        <f>IFERROR(INDEX($A$2:$A$113,MATCH(ROWS($FN$2:FN70),$FN$2:$FN$113,0)),"")</f>
        <v>ENTREGA Y COMERCIALIZACION ILEGAL DE ARMAS DE FUEGO</v>
      </c>
      <c r="JK70" s="207" t="str">
        <f>IFERROR(INDEX($A$2:$A$113,MATCH(ROWS($FO$2:FO70),$FO$2:$FO$113,0)),"")</f>
        <v>ENTREGA Y COMERCIALIZACION ILEGAL DE ARMAS DE FUEGO</v>
      </c>
      <c r="JL70" s="207" t="str">
        <f>IFERROR(INDEX($A$2:$A$113,MATCH(ROWS($FP$2:FP70),$FP$2:$FP$113,0)),"")</f>
        <v>ENTREGA Y COMERCIALIZACION ILEGAL DE ARMAS DE FUEGO</v>
      </c>
      <c r="JM70" s="207" t="str">
        <f>IFERROR(INDEX($A$2:$A$113,MATCH(ROWS($FQ$2:FQ70),$FQ$2:$FQ$113,0)),"")</f>
        <v>ENTREGA Y COMERCIALIZACION ILEGAL DE ARMAS DE FUEGO</v>
      </c>
      <c r="JN70" s="207" t="str">
        <f>IFERROR(INDEX($A$2:$A$113,MATCH(ROWS($FR$2:FR70),$FR$2:$FR$113,0)),"")</f>
        <v>ENTREGA Y COMERCIALIZACION ILEGAL DE ARMAS DE FUEGO</v>
      </c>
      <c r="JO70" s="207" t="str">
        <f>IFERROR(INDEX($A$2:$A$113,MATCH(ROWS($FS$2:FS70),$FS$2:$FS$113,0)),"")</f>
        <v>ENTREGA Y COMERCIALIZACION ILEGAL DE ARMAS DE FUEGO</v>
      </c>
      <c r="JP70" s="207" t="str">
        <f>IFERROR(INDEX($A$2:$A$113,MATCH(ROWS($FT$2:FT70),$FT$2:$FT$113,0)),"")</f>
        <v>ENTREGA Y COMERCIALIZACION ILEGAL DE ARMAS DE FUEGO</v>
      </c>
      <c r="JQ70" s="207" t="str">
        <f>IFERROR(INDEX($A$2:$A$113,MATCH(ROWS($FU$2:FU70),$FU$2:$FU$113,0)),"")</f>
        <v>ENTREGA Y COMERCIALIZACION ILEGAL DE ARMAS DE FUEGO</v>
      </c>
      <c r="JR70" s="207" t="str">
        <f>IFERROR(INDEX($A$2:$A$113,MATCH(ROWS($FV$2:FV70),$FV$2:$FV$113,0)),"")</f>
        <v>ENTREGA Y COMERCIALIZACION ILEGAL DE ARMAS DE FUEGO</v>
      </c>
      <c r="JS70" s="207" t="str">
        <f>IFERROR(INDEX($A$2:$A$113,MATCH(ROWS($FW$2:FW70),$FW$2:$FW$113,0)),"")</f>
        <v>ENTREGA Y COMERCIALIZACION ILEGAL DE ARMAS DE FUEGO</v>
      </c>
      <c r="JT70" s="207" t="str">
        <f>IFERROR(INDEX($A$2:$A$113,MATCH(ROWS($FX$2:FX70),$FX$2:$FX$113,0)),"")</f>
        <v>ENTREGA Y COMERCIALIZACION ILEGAL DE ARMAS DE FUEGO</v>
      </c>
      <c r="JU70" s="207" t="str">
        <f>IFERROR(INDEX($A$2:$A$113,MATCH(ROWS($FY$2:FY70),$FY$2:$FY$113,0)),"")</f>
        <v>ENTREGA Y COMERCIALIZACION ILEGAL DE ARMAS DE FUEGO</v>
      </c>
      <c r="JV70" s="207" t="str">
        <f>IFERROR(INDEX($A$2:$A$113,MATCH(ROWS($FZ$2:FZ70),$FZ$2:$FZ$113,0)),"")</f>
        <v>ENTREGA Y COMERCIALIZACION ILEGAL DE ARMAS DE FUEGO</v>
      </c>
      <c r="JW70" s="207" t="str">
        <f>IFERROR(INDEX($A$2:$A$113,MATCH(ROWS($GA$2:GA70),$GA$2:$GA$113,0)),"")</f>
        <v>ENTREGA Y COMERCIALIZACION ILEGAL DE ARMAS DE FUEGO</v>
      </c>
      <c r="JX70" s="207" t="str">
        <f>IFERROR(INDEX($A$2:$A$113,MATCH(ROWS($GB$2:GB70),$GB$2:$GB$113,0)),"")</f>
        <v>ENTREGA Y COMERCIALIZACION ILEGAL DE ARMAS DE FUEGO</v>
      </c>
      <c r="JY70" s="207" t="str">
        <f>IFERROR(INDEX($A$2:$A$113,MATCH(ROWS($GC$2:GC70),$GC$2:$GC$113,0)),"")</f>
        <v>ENTREGA Y COMERCIALIZACION ILEGAL DE ARMAS DE FUEGO</v>
      </c>
      <c r="JZ70" s="207" t="str">
        <f>IFERROR(INDEX($A$2:$A$113,MATCH(ROWS($GD$2:GD70),$GD$2:$GD$113,0)),"")</f>
        <v>ENTREGA Y COMERCIALIZACION ILEGAL DE ARMAS DE FUEGO</v>
      </c>
      <c r="KA70" s="207" t="str">
        <f>IFERROR(INDEX($A$2:$A$113,MATCH(ROWS($GE$2:GE70),$GE$2:$GE$113,0)),"")</f>
        <v>ENTREGA Y COMERCIALIZACION ILEGAL DE ARMAS DE FUEGO</v>
      </c>
      <c r="KB70" s="207" t="str">
        <f>IFERROR(INDEX($A$2:$A$113,MATCH(ROWS($GF$2:GF70),$GF$2:$GF$113,0)),"")</f>
        <v>ENTREGA Y COMERCIALIZACION ILEGAL DE ARMAS DE FUEGO</v>
      </c>
      <c r="KC70" s="207" t="str">
        <f>IFERROR(INDEX($A$2:$A$113,MATCH(ROWS($GG$2:GG70),$GG$2:$GG$113,0)),"")</f>
        <v>ENTREGA Y COMERCIALIZACION ILEGAL DE ARMAS DE FUEGO</v>
      </c>
      <c r="KD70" s="207" t="str">
        <f>IFERROR(INDEX($A$2:$A$113,MATCH(ROWS($GH$2:GH70),$GH$2:$GH$113,0)),"")</f>
        <v>ENTREGA Y COMERCIALIZACION ILEGAL DE ARMAS DE FUEGO</v>
      </c>
      <c r="KE70" s="207" t="str">
        <f>IFERROR(INDEX($A$2:$A$113,MATCH(ROWS($GI$2:GI70),$GI$2:$GI$113,0)),"")</f>
        <v>ENTREGA Y COMERCIALIZACION ILEGAL DE ARMAS DE FUEGO</v>
      </c>
      <c r="KF70" s="207" t="str">
        <f>IFERROR(INDEX($A$2:$A$113,MATCH(ROWS($GJ$2:GJ70),$GJ$2:$GJ$113,0)),"")</f>
        <v>ENTREGA Y COMERCIALIZACION ILEGAL DE ARMAS DE FUEGO</v>
      </c>
      <c r="KG70" s="207" t="str">
        <f>IFERROR(INDEX($A$2:$A$113,MATCH(ROWS($GK$2:GK70),$GK$2:$GK$113,0)),"")</f>
        <v>ENTREGA Y COMERCIALIZACION ILEGAL DE ARMAS DE FUEGO</v>
      </c>
      <c r="KH70" s="207" t="str">
        <f>IFERROR(INDEX($A$2:$A$113,MATCH(ROWS($GL$2:GL70),$GL$2:$GL$113,0)),"")</f>
        <v>ENTREGA Y COMERCIALIZACION ILEGAL DE ARMAS DE FUEGO</v>
      </c>
      <c r="KI70" s="207" t="str">
        <f>IFERROR(INDEX($A$2:$A$113,MATCH(ROWS($GM$2:GM70),$GM$2:$GM$113,0)),"")</f>
        <v>ENTREGA Y COMERCIALIZACION ILEGAL DE ARMAS DE FUEGO</v>
      </c>
      <c r="KJ70" s="207" t="str">
        <f>IFERROR(INDEX($A$2:$A$113,MATCH(ROWS($GN$2:GN70),$GN$2:$GN$113,0)),"")</f>
        <v>ENTREGA Y COMERCIALIZACION ILEGAL DE ARMAS DE FUEGO</v>
      </c>
      <c r="KK70" s="207" t="str">
        <f>IFERROR(INDEX($A$2:$A$113,MATCH(ROWS($GO$2:GO70),$GO$2:$GO$113,0)),"")</f>
        <v>ENTREGA Y COMERCIALIZACION ILEGAL DE ARMAS DE FUEGO</v>
      </c>
      <c r="KL70" s="207" t="str">
        <f>IFERROR(INDEX($A$2:$A$113,MATCH(ROWS($GP$2:GP70),$GP$2:$GP$113,0)),"")</f>
        <v>ENTREGA Y COMERCIALIZACION ILEGAL DE ARMAS DE FUEGO</v>
      </c>
      <c r="KM70" s="207" t="str">
        <f>IFERROR(INDEX($A$2:$A$113,MATCH(ROWS($GQ$2:GQ70),$GQ$2:$GQ$113,0)),"")</f>
        <v>ENTREGA Y COMERCIALIZACION ILEGAL DE ARMAS DE FUEGO</v>
      </c>
      <c r="KN70" s="207" t="str">
        <f>IFERROR(INDEX($A$2:$A$113,MATCH(ROWS($GR$2:GR70),$GR$2:$GR$113,0)),"")</f>
        <v>ENTREGA Y COMERCIALIZACION ILEGAL DE ARMAS DE FUEGO</v>
      </c>
      <c r="KO70" s="207" t="str">
        <f>IFERROR(INDEX($A$2:$A$113,MATCH(ROWS($GS$2:GS70),$GS$2:$GS$113,0)),"")</f>
        <v>ENTREGA Y COMERCIALIZACION ILEGAL DE ARMAS DE FUEGO</v>
      </c>
      <c r="KP70" s="207" t="str">
        <f>IFERROR(INDEX($A$2:$A$113,MATCH(ROWS($GT$2:GT70),$GT$2:$GT$113,0)),"")</f>
        <v>ENTREGA Y COMERCIALIZACION ILEGAL DE ARMAS DE FUEGO</v>
      </c>
      <c r="KQ70" s="207" t="str">
        <f>IFERROR(INDEX($A$2:$A$113,MATCH(ROWS($GU$2:GU70),$GU$2:$GU$113,0)),"")</f>
        <v>ENTREGA Y COMERCIALIZACION ILEGAL DE ARMAS DE FUEGO</v>
      </c>
      <c r="KR70" s="207" t="str">
        <f>IFERROR(INDEX($A$2:$A$113,MATCH(ROWS($GV$2:GV70),$GV$2:$GV$113,0)),"")</f>
        <v>ENTREGA Y COMERCIALIZACION ILEGAL DE ARMAS DE FUEGO</v>
      </c>
      <c r="KS70" s="207" t="str">
        <f>IFERROR(INDEX($A$2:$A$113,MATCH(ROWS($GW$2:GW70),$GW$2:$GW$113,0)),"")</f>
        <v>ENTREGA Y COMERCIALIZACION ILEGAL DE ARMAS DE FUEGO</v>
      </c>
    </row>
    <row r="71" spans="1:305" x14ac:dyDescent="0.25">
      <c r="A71" s="206" t="s">
        <v>905</v>
      </c>
      <c r="B71" s="206" t="s">
        <v>106</v>
      </c>
      <c r="D71" s="206" t="s">
        <v>14</v>
      </c>
      <c r="E71" s="206" t="s">
        <v>99</v>
      </c>
      <c r="F71" s="207">
        <f>--ISNUMBER(IFERROR(SEARCH('PLANILLA DJ'!$X$3,$A71,1),""))</f>
        <v>1</v>
      </c>
      <c r="G71" s="207">
        <f>--ISNUMBER(IFERROR(SEARCH('PLANILLA DJ'!$X$4,$A71,1),""))</f>
        <v>1</v>
      </c>
      <c r="H71" s="207">
        <f>--ISNUMBER(IFERROR(SEARCH('PLANILLA DJ'!$X$5,$A71,1),""))</f>
        <v>1</v>
      </c>
      <c r="I71" s="207">
        <f>--ISNUMBER(IFERROR(SEARCH('PLANILLA DJ'!$X$6,$A71,1),""))</f>
        <v>1</v>
      </c>
      <c r="J71" s="207">
        <f>--ISNUMBER(IFERROR(SEARCH('PLANILLA DJ'!$X$7,$A71,1),""))</f>
        <v>1</v>
      </c>
      <c r="K71" s="207">
        <f>--ISNUMBER(IFERROR(SEARCH('PLANILLA DJ'!$X$8,$A71,1),""))</f>
        <v>1</v>
      </c>
      <c r="L71" s="207">
        <f>--ISNUMBER(IFERROR(SEARCH('PLANILLA DJ'!$X$9,$A71,1),""))</f>
        <v>1</v>
      </c>
      <c r="M71" s="207">
        <f>--ISNUMBER(IFERROR(SEARCH('PLANILLA DJ'!$X$10,$A71,1),""))</f>
        <v>1</v>
      </c>
      <c r="N71" s="207">
        <f>--ISNUMBER(IFERROR(SEARCH('PLANILLA DJ'!$X$11,$A71,1),""))</f>
        <v>1</v>
      </c>
      <c r="O71" s="207">
        <f>--ISNUMBER(IFERROR(SEARCH('PLANILLA DJ'!$X$12,$A71,1),""))</f>
        <v>1</v>
      </c>
      <c r="P71" s="207">
        <f>--ISNUMBER(IFERROR(SEARCH('PLANILLA DJ'!$X$13,$A71,1),""))</f>
        <v>1</v>
      </c>
      <c r="Q71" s="207">
        <f>--ISNUMBER(IFERROR(SEARCH('PLANILLA DJ'!$X$14,$A71,1),""))</f>
        <v>1</v>
      </c>
      <c r="R71" s="207">
        <f>--ISNUMBER(IFERROR(SEARCH('PLANILLA DJ'!$X$15,$A71,1),""))</f>
        <v>1</v>
      </c>
      <c r="S71" s="207">
        <f>--ISNUMBER(IFERROR(SEARCH('PLANILLA DJ'!$X$16,$A71,1),""))</f>
        <v>1</v>
      </c>
      <c r="T71" s="207">
        <f>--ISNUMBER(IFERROR(SEARCH('PLANILLA DJ'!$X$17,$A71,1),""))</f>
        <v>1</v>
      </c>
      <c r="U71" s="207">
        <f>--ISNUMBER(IFERROR(SEARCH('PLANILLA DJ'!$X$18,$A71,1),""))</f>
        <v>1</v>
      </c>
      <c r="V71" s="207">
        <f>--ISNUMBER(IFERROR(SEARCH('PLANILLA DJ'!$X$19,$A71,1),""))</f>
        <v>1</v>
      </c>
      <c r="W71" s="207">
        <f>--ISNUMBER(IFERROR(SEARCH('PLANILLA DJ'!$X$20,$A71,1),""))</f>
        <v>1</v>
      </c>
      <c r="X71" s="207">
        <f>--ISNUMBER(IFERROR(SEARCH('PLANILLA DJ'!$X$21,$A71,1),""))</f>
        <v>1</v>
      </c>
      <c r="Y71" s="207">
        <f>--ISNUMBER(IFERROR(SEARCH('PLANILLA DJ'!$X$22,$A71,1),""))</f>
        <v>1</v>
      </c>
      <c r="Z71" s="207">
        <f>--ISNUMBER(IFERROR(SEARCH('PLANILLA DJ'!$X$23,$A71,1),""))</f>
        <v>1</v>
      </c>
      <c r="AA71" s="207">
        <f>--ISNUMBER(IFERROR(SEARCH('PLANILLA DJ'!$X$24,$A71,1),""))</f>
        <v>1</v>
      </c>
      <c r="AB71" s="207">
        <f>--ISNUMBER(IFERROR(SEARCH('PLANILLA DJ'!$X$25,$A71,1),""))</f>
        <v>1</v>
      </c>
      <c r="AC71" s="207">
        <f>--ISNUMBER(IFERROR(SEARCH('PLANILLA DJ'!$X$26,$A71,1),""))</f>
        <v>1</v>
      </c>
      <c r="AD71" s="207">
        <f>--ISNUMBER(IFERROR(SEARCH('PLANILLA DJ'!$X$27,$A71,1),""))</f>
        <v>1</v>
      </c>
      <c r="AE71" s="207">
        <f>--ISNUMBER(IFERROR(SEARCH('PLANILLA DJ'!$X$28,$A71,1),""))</f>
        <v>1</v>
      </c>
      <c r="AF71" s="207">
        <f>--ISNUMBER(IFERROR(SEARCH('PLANILLA DJ'!$X$29,$A71,1),""))</f>
        <v>1</v>
      </c>
      <c r="AG71" s="207">
        <f>--ISNUMBER(IFERROR(SEARCH('PLANILLA DJ'!$X$30,$A71,1),""))</f>
        <v>1</v>
      </c>
      <c r="AH71" s="207">
        <f>--ISNUMBER(IFERROR(SEARCH('PLANILLA DJ'!$X$31,$A71,1),""))</f>
        <v>1</v>
      </c>
      <c r="AI71" s="207">
        <f>--ISNUMBER(IFERROR(SEARCH('PLANILLA DJ'!$X$32,$A71,1),""))</f>
        <v>1</v>
      </c>
      <c r="AJ71" s="207">
        <f>--ISNUMBER(IFERROR(SEARCH('PLANILLA DJ'!$X$33,$A71,1),""))</f>
        <v>1</v>
      </c>
      <c r="AK71" s="207">
        <f>--ISNUMBER(IFERROR(SEARCH('PLANILLA DJ'!$X$34,$A71,1),""))</f>
        <v>1</v>
      </c>
      <c r="AL71" s="207">
        <f>--ISNUMBER(IFERROR(SEARCH('PLANILLA DJ'!$X$35,$A71,1),""))</f>
        <v>1</v>
      </c>
      <c r="AM71" s="207">
        <f>--ISNUMBER(IFERROR(SEARCH('PLANILLA DJ'!$X$36,$A71,1),""))</f>
        <v>1</v>
      </c>
      <c r="AN71" s="207">
        <f>--ISNUMBER(IFERROR(SEARCH('PLANILLA DJ'!$X$37,$A71,1),""))</f>
        <v>1</v>
      </c>
      <c r="AO71" s="207">
        <f>--ISNUMBER(IFERROR(SEARCH('PLANILLA DJ'!$X$38,$A71,1),""))</f>
        <v>1</v>
      </c>
      <c r="AP71" s="207">
        <f>--ISNUMBER(IFERROR(SEARCH('PLANILLA DJ'!$X$39,$A71,1),""))</f>
        <v>1</v>
      </c>
      <c r="AQ71" s="207">
        <f>--ISNUMBER(IFERROR(SEARCH('PLANILLA DJ'!$X$40,$A71,1),""))</f>
        <v>1</v>
      </c>
      <c r="AR71" s="207">
        <f>--ISNUMBER(IFERROR(SEARCH('PLANILLA DJ'!$X$41,$A71,1),""))</f>
        <v>1</v>
      </c>
      <c r="AS71" s="207">
        <f>--ISNUMBER(IFERROR(SEARCH('PLANILLA DJ'!$X$42,$A71,1),""))</f>
        <v>1</v>
      </c>
      <c r="AT71" s="207">
        <f>--ISNUMBER(IFERROR(SEARCH('PLANILLA DJ'!$X$43,$A71,1),""))</f>
        <v>1</v>
      </c>
      <c r="AU71" s="207">
        <f>--ISNUMBER(IFERROR(SEARCH('PLANILLA DJ'!$X$44,$A71,1),""))</f>
        <v>1</v>
      </c>
      <c r="AV71" s="207">
        <f>--ISNUMBER(IFERROR(SEARCH('PLANILLA DJ'!$X$45,$A71,1),""))</f>
        <v>1</v>
      </c>
      <c r="AW71" s="207">
        <f>--ISNUMBER(IFERROR(SEARCH('PLANILLA DJ'!$X$46,$A71,1),""))</f>
        <v>1</v>
      </c>
      <c r="AX71" s="207">
        <f>--ISNUMBER(IFERROR(SEARCH('PLANILLA DJ'!$X$47,$A71,1),""))</f>
        <v>1</v>
      </c>
      <c r="AY71" s="207">
        <f>--ISNUMBER(IFERROR(SEARCH('PLANILLA DJ'!$X$48,$A71,1),""))</f>
        <v>1</v>
      </c>
      <c r="AZ71" s="207">
        <f>--ISNUMBER(IFERROR(SEARCH('PLANILLA DJ'!$X$49,$A71,1),""))</f>
        <v>1</v>
      </c>
      <c r="BA71" s="207">
        <f>--ISNUMBER(IFERROR(SEARCH('PLANILLA DJ'!$X$50,$A71,1),""))</f>
        <v>1</v>
      </c>
      <c r="BB71" s="207">
        <f>--ISNUMBER(IFERROR(SEARCH('PLANILLA DJ'!$X$51,$A71,1),""))</f>
        <v>1</v>
      </c>
      <c r="BC71" s="207">
        <f>--ISNUMBER(IFERROR(SEARCH('PLANILLA DJ'!$X$52,$A71,1),""))</f>
        <v>1</v>
      </c>
      <c r="BD71" s="207">
        <f>--ISNUMBER(IFERROR(SEARCH('PLANILLA DJ'!$X$53,$A71,1),""))</f>
        <v>1</v>
      </c>
      <c r="BE71" s="207">
        <f>--ISNUMBER(IFERROR(SEARCH('PLANILLA DJ'!$X$54,$A71,1),""))</f>
        <v>1</v>
      </c>
      <c r="BF71" s="207">
        <f>--ISNUMBER(IFERROR(SEARCH('PLANILLA DJ'!$X$55,$A71,1),""))</f>
        <v>1</v>
      </c>
      <c r="BG71" s="207">
        <f>--ISNUMBER(IFERROR(SEARCH('PLANILLA DJ'!$X$56,$A71,1),""))</f>
        <v>1</v>
      </c>
      <c r="BH71" s="207">
        <f>--ISNUMBER(IFERROR(SEARCH('PLANILLA DJ'!$X$57,$A71,1),""))</f>
        <v>1</v>
      </c>
      <c r="BI71" s="207">
        <f>--ISNUMBER(IFERROR(SEARCH('PLANILLA DJ'!$X$58,$A71,1),""))</f>
        <v>1</v>
      </c>
      <c r="BJ71" s="207">
        <f>--ISNUMBER(IFERROR(SEARCH('PLANILLA DJ'!$X$59,$A71,1),""))</f>
        <v>1</v>
      </c>
      <c r="BK71" s="207">
        <f>--ISNUMBER(IFERROR(SEARCH('PLANILLA DJ'!$X$60,$A71,1),""))</f>
        <v>1</v>
      </c>
      <c r="BL71" s="207">
        <f>--ISNUMBER(IFERROR(SEARCH('PLANILLA DJ'!$X$61,$A71,1),""))</f>
        <v>1</v>
      </c>
      <c r="BM71" s="207">
        <f>--ISNUMBER(IFERROR(SEARCH('PLANILLA DJ'!$X$62,$A71,1),""))</f>
        <v>1</v>
      </c>
      <c r="BN71" s="207">
        <f>--ISNUMBER(IFERROR(SEARCH('PLANILLA DJ'!$X$63,$A71,1),""))</f>
        <v>1</v>
      </c>
      <c r="BO71" s="207">
        <f>--ISNUMBER(IFERROR(SEARCH('PLANILLA DJ'!$X$64,$A71,1),""))</f>
        <v>1</v>
      </c>
      <c r="BP71" s="207">
        <f>--ISNUMBER(IFERROR(SEARCH('PLANILLA DJ'!$X$65,$A71,1),""))</f>
        <v>1</v>
      </c>
      <c r="BQ71" s="207">
        <f>--ISNUMBER(IFERROR(SEARCH('PLANILLA DJ'!$X$66,$A71,1),""))</f>
        <v>1</v>
      </c>
      <c r="BR71" s="207">
        <f>--ISNUMBER(IFERROR(SEARCH('PLANILLA DJ'!$X$67,$A71,1),""))</f>
        <v>1</v>
      </c>
      <c r="BS71" s="207">
        <f>--ISNUMBER(IFERROR(SEARCH('PLANILLA DJ'!$X$68,$A71,1),""))</f>
        <v>1</v>
      </c>
      <c r="BT71" s="207">
        <f>--ISNUMBER(IFERROR(SEARCH('PLANILLA DJ'!$X$69,$A71,1),""))</f>
        <v>1</v>
      </c>
      <c r="BU71" s="207">
        <f>--ISNUMBER(IFERROR(SEARCH('PLANILLA DJ'!$X$70,$A71,1),""))</f>
        <v>1</v>
      </c>
      <c r="BV71" s="207">
        <f>--ISNUMBER(IFERROR(SEARCH('PLANILLA DJ'!$X$71,$A71,1),""))</f>
        <v>1</v>
      </c>
      <c r="BW71" s="207">
        <f>--ISNUMBER(IFERROR(SEARCH('PLANILLA DJ'!$X$72,$A71,1),""))</f>
        <v>1</v>
      </c>
      <c r="BX71" s="207">
        <f>--ISNUMBER(IFERROR(SEARCH('PLANILLA DJ'!$X$73,$A71,1),""))</f>
        <v>1</v>
      </c>
      <c r="BY71" s="207">
        <f>--ISNUMBER(IFERROR(SEARCH('PLANILLA DJ'!$X$74,$A71,1),""))</f>
        <v>1</v>
      </c>
      <c r="BZ71" s="207">
        <f>--ISNUMBER(IFERROR(SEARCH('PLANILLA DJ'!$X$75,$A71,1),""))</f>
        <v>1</v>
      </c>
      <c r="CA71" s="207">
        <f>--ISNUMBER(IFERROR(SEARCH('PLANILLA DJ'!$X$76,$A71,1),""))</f>
        <v>1</v>
      </c>
      <c r="CB71" s="207">
        <f>--ISNUMBER(IFERROR(SEARCH('PLANILLA DJ'!$X$77,$A71,1),""))</f>
        <v>1</v>
      </c>
      <c r="CC71" s="207">
        <f>--ISNUMBER(IFERROR(SEARCH('PLANILLA DJ'!$X$78,$A71,1),""))</f>
        <v>1</v>
      </c>
      <c r="CD71" s="207">
        <f>--ISNUMBER(IFERROR(SEARCH('PLANILLA DJ'!$X$79,$A71,1),""))</f>
        <v>1</v>
      </c>
      <c r="CE71" s="207">
        <f>--ISNUMBER(IFERROR(SEARCH('PLANILLA DJ'!$X$80,$A71,1),""))</f>
        <v>1</v>
      </c>
      <c r="CF71" s="207">
        <f>--ISNUMBER(IFERROR(SEARCH('PLANILLA DJ'!$X$81,$A71,1),""))</f>
        <v>1</v>
      </c>
      <c r="CG71" s="207">
        <f>--ISNUMBER(IFERROR(SEARCH('PLANILLA DJ'!$X$82,$A71,1),""))</f>
        <v>1</v>
      </c>
      <c r="CH71" s="207">
        <f>--ISNUMBER(IFERROR(SEARCH('PLANILLA DJ'!$X$83,$A71,1),""))</f>
        <v>1</v>
      </c>
      <c r="CI71" s="207">
        <f>--ISNUMBER(IFERROR(SEARCH('PLANILLA DJ'!$X$84,$A71,1),""))</f>
        <v>1</v>
      </c>
      <c r="CJ71" s="207">
        <f>--ISNUMBER(IFERROR(SEARCH('PLANILLA DJ'!$X$85,$A71,1),""))</f>
        <v>1</v>
      </c>
      <c r="CK71" s="207">
        <f>--ISNUMBER(IFERROR(SEARCH('PLANILLA DJ'!$X$86,$A71,1),""))</f>
        <v>1</v>
      </c>
      <c r="CL71" s="207">
        <f>--ISNUMBER(IFERROR(SEARCH('PLANILLA DJ'!$X$87,$A71,1),""))</f>
        <v>1</v>
      </c>
      <c r="CM71" s="207">
        <f>--ISNUMBER(IFERROR(SEARCH('PLANILLA DJ'!$X$88,$A71,1),""))</f>
        <v>1</v>
      </c>
      <c r="CN71" s="207">
        <f>--ISNUMBER(IFERROR(SEARCH('PLANILLA DJ'!$X$89,$A71,1),""))</f>
        <v>1</v>
      </c>
      <c r="CO71" s="207">
        <f>--ISNUMBER(IFERROR(SEARCH('PLANILLA DJ'!$X$90,$A71,1),""))</f>
        <v>1</v>
      </c>
      <c r="CP71" s="207">
        <f>--ISNUMBER(IFERROR(SEARCH('PLANILLA DJ'!$X$91,$A71,1),""))</f>
        <v>1</v>
      </c>
      <c r="CQ71" s="207">
        <f>--ISNUMBER(IFERROR(SEARCH('PLANILLA DJ'!$X$92,$A71,1),""))</f>
        <v>1</v>
      </c>
      <c r="CR71" s="207">
        <f>--ISNUMBER(IFERROR(SEARCH('PLANILLA DJ'!$X$93,$A71,1),""))</f>
        <v>1</v>
      </c>
      <c r="CS71" s="207">
        <f>--ISNUMBER(IFERROR(SEARCH('PLANILLA DJ'!$X$94,$A71,1),""))</f>
        <v>1</v>
      </c>
      <c r="CT71" s="207">
        <f>--ISNUMBER(IFERROR(SEARCH('PLANILLA DJ'!$X$95,$A71,1),""))</f>
        <v>1</v>
      </c>
      <c r="CU71" s="207">
        <f>--ISNUMBER(IFERROR(SEARCH('PLANILLA DJ'!$X$96,$A71,1),""))</f>
        <v>1</v>
      </c>
      <c r="CV71" s="207">
        <f>--ISNUMBER(IFERROR(SEARCH('PLANILLA DJ'!$X$97,$A71,1),""))</f>
        <v>1</v>
      </c>
      <c r="CW71" s="207">
        <f>--ISNUMBER(IFERROR(SEARCH('PLANILLA DJ'!$X$98,$A71,1),""))</f>
        <v>1</v>
      </c>
      <c r="CX71" s="207">
        <f>--ISNUMBER(IFERROR(SEARCH('PLANILLA DJ'!$X$99,$A71,1),""))</f>
        <v>1</v>
      </c>
      <c r="CY71" s="207">
        <f>--ISNUMBER(IFERROR(SEARCH('PLANILLA DJ'!$X$100,$A71,1),""))</f>
        <v>1</v>
      </c>
      <c r="CZ71" s="207">
        <f>--ISNUMBER(IFERROR(SEARCH('PLANILLA DJ'!$X$101,$A71,1),""))</f>
        <v>1</v>
      </c>
      <c r="DA71" s="207">
        <f>--ISNUMBER(IFERROR(SEARCH('PLANILLA DJ'!$X$102,$A71,1),""))</f>
        <v>1</v>
      </c>
      <c r="DB71" s="206">
        <f>IF(F71=1,COUNTIF($F$2:F71,1),"")</f>
        <v>70</v>
      </c>
      <c r="DC71" s="206">
        <f>IF(G71=1,COUNTIF($G$2:G71,1),"")</f>
        <v>70</v>
      </c>
      <c r="DD71" s="206">
        <f>IF(H71=1,COUNTIF($H$2:H71,1),"")</f>
        <v>70</v>
      </c>
      <c r="DE71" s="206">
        <f>IF(I71=1,COUNTIF($I$2:I71,1),"")</f>
        <v>70</v>
      </c>
      <c r="DF71" s="206">
        <f>IF(J71=1,COUNTIF($J$2:J71,1),"")</f>
        <v>70</v>
      </c>
      <c r="DG71" s="206">
        <f>IF(K71=1,COUNTIF($K$2:K71,1),"")</f>
        <v>70</v>
      </c>
      <c r="DH71" s="206">
        <f>IF(L71=1,COUNTIF($L$2:L71,1),"")</f>
        <v>70</v>
      </c>
      <c r="DI71" s="206">
        <f>IF(M71=1,COUNTIF($M$2:M71,1),"")</f>
        <v>70</v>
      </c>
      <c r="DJ71" s="206">
        <f>IF(N71=1,COUNTIF($N$2:N71,1),"")</f>
        <v>70</v>
      </c>
      <c r="DK71" s="206">
        <f>IF(O71=1,COUNTIF($O$2:O71,1),"")</f>
        <v>70</v>
      </c>
      <c r="DL71" s="206">
        <f>IF(P71=1,COUNTIF($P$2:P71,1),"")</f>
        <v>70</v>
      </c>
      <c r="DM71" s="206">
        <f>IF(Q71=1,COUNTIF($Q$2:Q71,1),"")</f>
        <v>70</v>
      </c>
      <c r="DN71" s="207">
        <f>IF(R71=1,COUNTIF($R$2:R71,1),"")</f>
        <v>70</v>
      </c>
      <c r="DO71" s="207">
        <f>IF(S71=1,COUNTIF($S$2:S71,1),"")</f>
        <v>70</v>
      </c>
      <c r="DP71" s="207">
        <f>IF(T71=1,COUNTIF($T$2:T71,1),"")</f>
        <v>70</v>
      </c>
      <c r="DQ71" s="207">
        <f>IF(U71=1,COUNTIF($U$2:U71,1),"")</f>
        <v>70</v>
      </c>
      <c r="DR71" s="207">
        <f>IF(V71=1,COUNTIF($V$2:V71,1),"")</f>
        <v>70</v>
      </c>
      <c r="DS71" s="207">
        <f>IF(W71=1,COUNTIF($W$2:W71,1),"")</f>
        <v>70</v>
      </c>
      <c r="DT71" s="207">
        <f>IF(X71=1,COUNTIF($X$2:X71,1),"")</f>
        <v>70</v>
      </c>
      <c r="DU71" s="207">
        <f>IF(Y71=1,COUNTIF($Y$2:Y71,1),"")</f>
        <v>70</v>
      </c>
      <c r="DV71" s="207">
        <f>IF(Z71=1,COUNTIF(Z$2:Z71,1),"")</f>
        <v>70</v>
      </c>
      <c r="DW71" s="207">
        <f>IF(AA71=1,COUNTIF($AA$2:AA71,1),"")</f>
        <v>70</v>
      </c>
      <c r="DX71" s="207">
        <f>IF(AB71=1,COUNTIF($AB$2:AB71,1),"")</f>
        <v>70</v>
      </c>
      <c r="DY71" s="207">
        <f>IF(AC71=1,COUNTIF($AC$2:AC71,1),"")</f>
        <v>70</v>
      </c>
      <c r="DZ71" s="207">
        <f>IF(AD71=1,COUNTIF($AD$2:AD71,1),"")</f>
        <v>70</v>
      </c>
      <c r="EA71" s="207">
        <f>IF(AE71=1,COUNTIF($AE$2:AE71,1),"")</f>
        <v>70</v>
      </c>
      <c r="EB71" s="207">
        <f>IF(AF71=1,COUNTIF($AF$2:AF71,1),"")</f>
        <v>70</v>
      </c>
      <c r="EC71" s="207">
        <f>IF(AG71=1,COUNTIF($AG$2:AG71,1),"")</f>
        <v>70</v>
      </c>
      <c r="ED71" s="207">
        <f>IF(AH71=1,COUNTIF($AH$2:AH71,1),"")</f>
        <v>70</v>
      </c>
      <c r="EE71" s="207">
        <f>IF(AI71=1,COUNTIF($AI$2:AI71,1),"")</f>
        <v>70</v>
      </c>
      <c r="EF71" s="207">
        <f>IF(AJ71=1,COUNTIF($AJ$2:AJ71,1),"")</f>
        <v>70</v>
      </c>
      <c r="EG71" s="207">
        <f>IF(AK71=1,COUNTIF($AK$2:AK71,1),"")</f>
        <v>70</v>
      </c>
      <c r="EH71" s="207">
        <f>IF(AL71=1,COUNTIF($AL$2:AL71,1),"")</f>
        <v>70</v>
      </c>
      <c r="EI71" s="207">
        <f>IF(AM71=1,COUNTIF($AM$2:AM71,1),"")</f>
        <v>70</v>
      </c>
      <c r="EJ71" s="207">
        <f>IF(AN71=1,COUNTIF($AN$2:AN71,1),"")</f>
        <v>70</v>
      </c>
      <c r="EK71" s="207">
        <f>IF(AO71=1,COUNTIF($AO$2:AO71,1),"")</f>
        <v>70</v>
      </c>
      <c r="EL71" s="207">
        <f>IF(AP71=1,COUNTIF($AP$2:AP71,1),"")</f>
        <v>70</v>
      </c>
      <c r="EM71" s="207">
        <f>IF(AQ71=1,COUNTIF($AQ$2:AQ71,1),"")</f>
        <v>70</v>
      </c>
      <c r="EN71" s="207">
        <f>IF(AR71=1,COUNTIF($AR$2:AR71,1),"")</f>
        <v>70</v>
      </c>
      <c r="EO71" s="207">
        <f>IF(AS71=1,COUNTIF($AS$2:AS71,1),"")</f>
        <v>70</v>
      </c>
      <c r="EP71" s="207">
        <f>IF(AT71=1,COUNTIF($AT$2:AT71,1),"")</f>
        <v>70</v>
      </c>
      <c r="EQ71" s="207">
        <f>IF(AU71=1,COUNTIF($AU$2:AU71,1),"")</f>
        <v>70</v>
      </c>
      <c r="ER71" s="207">
        <f>IF(AV71=1,COUNTIF($AV$2:AV71,1),"")</f>
        <v>70</v>
      </c>
      <c r="ES71" s="207">
        <f>IF(AW71=1,COUNTIF($AW$2:AW71,1),"")</f>
        <v>70</v>
      </c>
      <c r="ET71" s="207">
        <f>IF(AX71=1,COUNTIF($AX$2:AX71,1),"")</f>
        <v>70</v>
      </c>
      <c r="EU71" s="207">
        <f>IF(AY71=1,COUNTIF($AY$2:AY71,1),"")</f>
        <v>70</v>
      </c>
      <c r="EV71" s="207">
        <f>IF(AZ71=1,COUNTIF($AZ$2:AZ71,1),"")</f>
        <v>70</v>
      </c>
      <c r="EW71" s="207">
        <f>IF(BA71=1,COUNTIF($BA$2:BA71,1),"")</f>
        <v>70</v>
      </c>
      <c r="EX71" s="207">
        <f>IF(BB71=1,COUNTIF($BB$2:BB71,1),"")</f>
        <v>70</v>
      </c>
      <c r="EY71" s="207">
        <f>IF(BC71=1,COUNTIF($BC$2:BC71,1),"")</f>
        <v>70</v>
      </c>
      <c r="EZ71" s="207">
        <f>IF(BD71=1,COUNTIF($BD$2:BD71,1),"")</f>
        <v>70</v>
      </c>
      <c r="FA71" s="207">
        <f>IF(BE71=1,COUNTIF($BE$2:BE71,1),"")</f>
        <v>70</v>
      </c>
      <c r="FB71" s="207">
        <f>IF(BF71=1,COUNTIF($BF$2:BF71,1),"")</f>
        <v>70</v>
      </c>
      <c r="FC71" s="207">
        <f>IF(BG71=1,COUNTIF($BG$2:BG71,1),"")</f>
        <v>70</v>
      </c>
      <c r="FD71" s="207">
        <f>IF(BH71=1,COUNTIF($BH$2:BH71,1),"")</f>
        <v>70</v>
      </c>
      <c r="FE71" s="207">
        <f>IF(BI71=1,COUNTIF($BI$2:BI71,1),"")</f>
        <v>70</v>
      </c>
      <c r="FF71" s="207">
        <f>IF(BJ71=1,COUNTIF($BJ$2:BJ71,1),"")</f>
        <v>70</v>
      </c>
      <c r="FG71" s="207">
        <f>IF(BK71=1,COUNTIF($BK$2:BK71,1),"")</f>
        <v>70</v>
      </c>
      <c r="FH71" s="207">
        <f>IF(BL71=1,COUNTIF($BL$2:BL71,1),"")</f>
        <v>70</v>
      </c>
      <c r="FI71" s="207">
        <f>IF(BM71=1,COUNTIF($BM$2:BM71,1),"")</f>
        <v>70</v>
      </c>
      <c r="FJ71" s="207">
        <f>IF(BN71=1,COUNTIF($BN$2:BN71,1),"")</f>
        <v>70</v>
      </c>
      <c r="FK71" s="207">
        <f>IF(BO71=1,COUNTIF($BO$2:BO71,1),"")</f>
        <v>70</v>
      </c>
      <c r="FL71" s="207">
        <f>IF(BP71=1,COUNTIF($BP$2:BP71,1),"")</f>
        <v>70</v>
      </c>
      <c r="FM71" s="207">
        <f>IF(BQ71=1,COUNTIF($BQ$2:BQ71,1),"")</f>
        <v>70</v>
      </c>
      <c r="FN71" s="207">
        <f>IF(BR71=1,COUNTIF($BR$2:BR71,1),"")</f>
        <v>70</v>
      </c>
      <c r="FO71" s="207">
        <f>IF(BS71=1,COUNTIF($BS$2:BS71,1),"")</f>
        <v>70</v>
      </c>
      <c r="FP71" s="207">
        <f>IF(BT71=1,COUNTIF($BT$2:BT71,1),"")</f>
        <v>70</v>
      </c>
      <c r="FQ71" s="207">
        <f>IF(BU71=1,COUNTIF($BU$2:BU71,1),"")</f>
        <v>70</v>
      </c>
      <c r="FR71" s="207">
        <f>IF(BV71=1,COUNTIF($BV$2:BV71,1),"")</f>
        <v>70</v>
      </c>
      <c r="FS71" s="207">
        <f>IF(BW71=1,COUNTIF($BW$2:BW71,1),"")</f>
        <v>70</v>
      </c>
      <c r="FT71" s="207">
        <f>IF(BX71=1,COUNTIF($BX$2:BX71,1),"")</f>
        <v>70</v>
      </c>
      <c r="FU71" s="207">
        <f>IF(BY71=1,COUNTIF($BY$2:BY71,1),"")</f>
        <v>70</v>
      </c>
      <c r="FV71" s="207">
        <f>IF(BZ71=1,COUNTIF($BZ$2:BZ71,1),"")</f>
        <v>70</v>
      </c>
      <c r="FW71" s="207">
        <f>IF(CA71=1,COUNTIF($CA$2:CA71,1),"")</f>
        <v>70</v>
      </c>
      <c r="FX71" s="207">
        <f>IF(CB71=1,COUNTIF($CB$2:CB71,1),"")</f>
        <v>70</v>
      </c>
      <c r="FY71" s="207">
        <f>IF(CC71=1,COUNTIF($CC$2:CC71,1),"")</f>
        <v>70</v>
      </c>
      <c r="FZ71" s="207">
        <f>IF(CD71=1,COUNTIF($CD$2:CD71,1),"")</f>
        <v>70</v>
      </c>
      <c r="GA71" s="207">
        <f>IF(CE71=1,COUNTIF($CE$2:CE71,1),"")</f>
        <v>70</v>
      </c>
      <c r="GB71" s="207">
        <f>IF(CF71=1,COUNTIF($CF$2:CF71,1),"")</f>
        <v>70</v>
      </c>
      <c r="GC71" s="207">
        <f>IF(CG71=1,COUNTIF($CG$2:CG71,1),"")</f>
        <v>70</v>
      </c>
      <c r="GD71" s="207">
        <f>IF(CH71=1,COUNTIF($CH$2:CH71,1),"")</f>
        <v>70</v>
      </c>
      <c r="GE71" s="207">
        <f>IF(CI71=1,COUNTIF($CI$2:CI71,1),"")</f>
        <v>70</v>
      </c>
      <c r="GF71" s="207">
        <f>IF(CJ71=1,COUNTIF($CJ$2:CJ71,1),"")</f>
        <v>70</v>
      </c>
      <c r="GG71" s="207">
        <f>IF(CK71=1,COUNTIF($CK$2:CK71,1),"")</f>
        <v>70</v>
      </c>
      <c r="GH71" s="207">
        <f>IF(CL71=1,COUNTIF($CL$2:CL71,1),"")</f>
        <v>70</v>
      </c>
      <c r="GI71" s="207">
        <f>IF(CM71=1,COUNTIF($CM$2:CM71,1),"")</f>
        <v>70</v>
      </c>
      <c r="GJ71" s="207">
        <f>IF(CN71=1,COUNTIF($CN$2:CN71,1),"")</f>
        <v>70</v>
      </c>
      <c r="GK71" s="207">
        <f>IF(CO71=1,COUNTIF($CO$2:CO71,1),"")</f>
        <v>70</v>
      </c>
      <c r="GL71" s="207">
        <f>IF(CP71=1,COUNTIF($CP$2:CP71,1),"")</f>
        <v>70</v>
      </c>
      <c r="GM71" s="207">
        <f>IF(CQ71=1,COUNTIF($CQ$2:CQ71,1),"")</f>
        <v>70</v>
      </c>
      <c r="GN71" s="207">
        <f>IF(CR71=1,COUNTIF($CR$2:CR71,1),"")</f>
        <v>70</v>
      </c>
      <c r="GO71" s="207">
        <f>IF(CS71=1,COUNTIF($CS$2:CS71,1),"")</f>
        <v>70</v>
      </c>
      <c r="GP71" s="207">
        <f>IF(CT71=1,COUNTIF($CT$2:CT71,1),"")</f>
        <v>70</v>
      </c>
      <c r="GQ71" s="207">
        <f>IF(CU71=1,COUNTIF($CU$2:CU71,1),"")</f>
        <v>70</v>
      </c>
      <c r="GR71" s="207">
        <f>IF(CV71=1,COUNTIF($CV$2:CV71,1),"")</f>
        <v>70</v>
      </c>
      <c r="GS71" s="207">
        <f>IF(CW71=1,COUNTIF($CW$2:CW71,1),"")</f>
        <v>70</v>
      </c>
      <c r="GT71" s="207">
        <f>IF(CX71=1,COUNTIF($CX$2:CX71,1),"")</f>
        <v>70</v>
      </c>
      <c r="GU71" s="207">
        <f>IF(CY71=1,COUNTIF($CY$2:CY71,1),"")</f>
        <v>70</v>
      </c>
      <c r="GV71" s="207">
        <f>IF(CZ71=1,COUNTIF($CZ$2:CZ71,1),"")</f>
        <v>70</v>
      </c>
      <c r="GW71" s="207">
        <f>IF(DA71=1,COUNTIF($DA$2:DA71,1),"")</f>
        <v>70</v>
      </c>
      <c r="GX71" s="206" t="str">
        <f>IFERROR(INDEX($A$2:$A$113,MATCH(ROWS($DB$2:DB71),$DB$2:$DB$113,0)),"")</f>
        <v>OMISION, ADULTERACION Y SUPRESION DE MARCAJE</v>
      </c>
      <c r="GY71" s="206" t="str">
        <f>IFERROR(INDEX($A$2:$A$113,MATCH(ROWS($DC$2:DC71),$DC$2:$DC$113,0)),"")</f>
        <v>OMISION, ADULTERACION Y SUPRESION DE MARCAJE</v>
      </c>
      <c r="GZ71" s="206" t="str">
        <f>IFERROR(INDEX($A$2:$A$113,MATCH(ROWS($DD$2:DD71),$DD$2:$DD$113,0)),"")</f>
        <v>OMISION, ADULTERACION Y SUPRESION DE MARCAJE</v>
      </c>
      <c r="HA71" s="206" t="str">
        <f>IFERROR(INDEX($A$2:$A$113,MATCH(ROWS($DE$2:DE71),$DE$2:$DE$113,0)),"")</f>
        <v>OMISION, ADULTERACION Y SUPRESION DE MARCAJE</v>
      </c>
      <c r="HB71" s="206" t="str">
        <f>IFERROR(INDEX($A$2:$A$113,MATCH(ROWS($DF$2:DF71),$DF$2:$DF$113,0)),"")</f>
        <v>OMISION, ADULTERACION Y SUPRESION DE MARCAJE</v>
      </c>
      <c r="HC71" s="206" t="str">
        <f>IFERROR(INDEX($A$2:$A$113,MATCH(ROWS($DG$2:DG71),$DG$2:$DG$113,0)),"")</f>
        <v>OMISION, ADULTERACION Y SUPRESION DE MARCAJE</v>
      </c>
      <c r="HD71" s="206" t="str">
        <f>IFERROR(INDEX($A$2:$A$113,MATCH(ROWS($DH$2:DH71),$DH$2:$DH$113,0)),"")</f>
        <v>OMISION, ADULTERACION Y SUPRESION DE MARCAJE</v>
      </c>
      <c r="HE71" s="206" t="str">
        <f>IFERROR(INDEX($A$2:$A$113,MATCH(ROWS($DI$2:DI71),$DI$2:$DI$113,0)),"")</f>
        <v>OMISION, ADULTERACION Y SUPRESION DE MARCAJE</v>
      </c>
      <c r="HF71" s="206" t="str">
        <f>IFERROR(INDEX($A$2:$A$113,MATCH(ROWS($DJ$2:DJ71),$DJ$2:$DJ$113,0)),"")</f>
        <v>OMISION, ADULTERACION Y SUPRESION DE MARCAJE</v>
      </c>
      <c r="HG71" s="206" t="str">
        <f>IFERROR(INDEX($A$2:$A$113,MATCH(ROWS($DK$2:DK71),$DK$2:$DK$113,0)),"")</f>
        <v>OMISION, ADULTERACION Y SUPRESION DE MARCAJE</v>
      </c>
      <c r="HH71" s="206" t="str">
        <f>IFERROR(INDEX($A$2:$A$113,MATCH(ROWS($DL$2:DL71),$DL$2:$DL$113,0)),"")</f>
        <v>OMISION, ADULTERACION Y SUPRESION DE MARCAJE</v>
      </c>
      <c r="HI71" s="206" t="str">
        <f>IFERROR(INDEX($A$2:$A$113,MATCH(ROWS($DM$2:DM71),$DM$2:$DM$113,0)),"")</f>
        <v>OMISION, ADULTERACION Y SUPRESION DE MARCAJE</v>
      </c>
      <c r="HJ71" s="206" t="str">
        <f>IFERROR(INDEX($A$2:$A$113,MATCH(ROWS($DN$2:DN71),$DN$2:$DN$113,0)),"")</f>
        <v>OMISION, ADULTERACION Y SUPRESION DE MARCAJE</v>
      </c>
      <c r="HK71" s="206" t="str">
        <f>IFERROR(INDEX($A$2:$A$113,MATCH(ROWS($DO$2:DO71),$DO$2:$DO$113,0)),"")</f>
        <v>OMISION, ADULTERACION Y SUPRESION DE MARCAJE</v>
      </c>
      <c r="HL71" s="206" t="str">
        <f>IFERROR(INDEX($A$2:$A$113,MATCH(ROWS($DP$2:DP71),$DP$2:$DP$113,0)),"")</f>
        <v>OMISION, ADULTERACION Y SUPRESION DE MARCAJE</v>
      </c>
      <c r="HM71" s="206" t="str">
        <f>IFERROR(INDEX($A$2:$A$113,MATCH(ROWS($DQ$2:DQ71),$DQ$2:$DQ$113,0)),"")</f>
        <v>OMISION, ADULTERACION Y SUPRESION DE MARCAJE</v>
      </c>
      <c r="HN71" s="206" t="str">
        <f>IFERROR(INDEX($A$2:$A$113,MATCH(ROWS($DR$2:DR71),$DR$2:$DR$113,0)),"")</f>
        <v>OMISION, ADULTERACION Y SUPRESION DE MARCAJE</v>
      </c>
      <c r="HO71" s="206" t="str">
        <f>IFERROR(INDEX($A$2:$A$113,MATCH(ROWS($DS$2:DS71),$DS$2:$DS$113,0)),"")</f>
        <v>OMISION, ADULTERACION Y SUPRESION DE MARCAJE</v>
      </c>
      <c r="HP71" s="206" t="str">
        <f>IFERROR(INDEX($A$2:$A$113,MATCH(ROWS($DT$2:DT71),$DT$2:$DT$113,0)),"")</f>
        <v>OMISION, ADULTERACION Y SUPRESION DE MARCAJE</v>
      </c>
      <c r="HQ71" s="206" t="str">
        <f>IFERROR(INDEX($A$2:$A$113,MATCH(ROWS($DU$2:DU71),$DU$2:$DU$113,0)),"")</f>
        <v>OMISION, ADULTERACION Y SUPRESION DE MARCAJE</v>
      </c>
      <c r="HR71" s="206" t="str">
        <f>IFERROR(INDEX($A$2:$A$113,MATCH(ROWS($DV$2:DV71),$DV$2:$DV$113,0)),"")</f>
        <v>OMISION, ADULTERACION Y SUPRESION DE MARCAJE</v>
      </c>
      <c r="HS71" s="206" t="str">
        <f>IFERROR(INDEX($A$2:$A$113,MATCH(ROWS($DW$2:DW71),$DW$2:$DW$113,0)),"")</f>
        <v>OMISION, ADULTERACION Y SUPRESION DE MARCAJE</v>
      </c>
      <c r="HT71" s="206" t="str">
        <f>IFERROR(INDEX($A$2:$A$113,MATCH(ROWS($DX$2:DX71),$DX$2:$DX$113,0)),"")</f>
        <v>OMISION, ADULTERACION Y SUPRESION DE MARCAJE</v>
      </c>
      <c r="HU71" s="206" t="str">
        <f>IFERROR(INDEX($A$2:$A$113,MATCH(ROWS($DY$2:DY71),$DY$2:$DY$113,0)),"")</f>
        <v>OMISION, ADULTERACION Y SUPRESION DE MARCAJE</v>
      </c>
      <c r="HV71" s="206" t="str">
        <f>IFERROR(INDEX($A$2:$A$113,MATCH(ROWS($DZ$2:DZ71),$DZ$2:$DZ$113,0)),"")</f>
        <v>OMISION, ADULTERACION Y SUPRESION DE MARCAJE</v>
      </c>
      <c r="HW71" s="206" t="str">
        <f>IFERROR(INDEX($A$2:$A$113,MATCH(ROWS($EA$2:EA71),$EA$2:$EA$113,0)),"")</f>
        <v>OMISION, ADULTERACION Y SUPRESION DE MARCAJE</v>
      </c>
      <c r="HX71" s="206" t="str">
        <f>IFERROR(INDEX($A$2:$A$113,MATCH(ROWS($EB$2:EB71),$EB$2:$EB$113,0)),"")</f>
        <v>OMISION, ADULTERACION Y SUPRESION DE MARCAJE</v>
      </c>
      <c r="HY71" s="206" t="str">
        <f>IFERROR(INDEX($A$2:$A$113,MATCH(ROWS($EC$2:EC71),$EC$2:$EC$113,0)),"")</f>
        <v>OMISION, ADULTERACION Y SUPRESION DE MARCAJE</v>
      </c>
      <c r="HZ71" s="206" t="str">
        <f>IFERROR(INDEX($A$2:$A$113,MATCH(ROWS($ED$2:ED71),$ED$2:$ED$113,0)),"")</f>
        <v>OMISION, ADULTERACION Y SUPRESION DE MARCAJE</v>
      </c>
      <c r="IA71" s="206" t="str">
        <f>IFERROR(INDEX($A$2:$A$113,MATCH(ROWS($EE$2:EE71),$EE$2:$EE$113,0)),"")</f>
        <v>OMISION, ADULTERACION Y SUPRESION DE MARCAJE</v>
      </c>
      <c r="IB71" s="206" t="str">
        <f>IFERROR(INDEX($A$2:$A$113,MATCH(ROWS($EF$2:EF71),$EF$2:$EF$113,0)),"")</f>
        <v>OMISION, ADULTERACION Y SUPRESION DE MARCAJE</v>
      </c>
      <c r="IC71" s="206" t="str">
        <f>IFERROR(INDEX($A$2:$A$113,MATCH(ROWS($EG$2:EG71),$EG$2:$EG$113,0)),"")</f>
        <v>OMISION, ADULTERACION Y SUPRESION DE MARCAJE</v>
      </c>
      <c r="ID71" s="206" t="str">
        <f>IFERROR(INDEX($A$2:$A$113,MATCH(ROWS($EH$2:EH71),$EH$2:$EH$113,0)),"")</f>
        <v>OMISION, ADULTERACION Y SUPRESION DE MARCAJE</v>
      </c>
      <c r="IE71" s="206" t="str">
        <f>IFERROR(INDEX($A$2:$A$113,MATCH(ROWS($EI$2:EI71),$EI$2:$EI$113,0)),"")</f>
        <v>OMISION, ADULTERACION Y SUPRESION DE MARCAJE</v>
      </c>
      <c r="IF71" s="206" t="str">
        <f>IFERROR(INDEX($A$2:$A$113,MATCH(ROWS($EJ$2:EJ71),$EJ$2:$EJ$113,0)),"")</f>
        <v>OMISION, ADULTERACION Y SUPRESION DE MARCAJE</v>
      </c>
      <c r="IG71" s="206" t="str">
        <f>IFERROR(INDEX($A$2:$A$113,MATCH(ROWS($EK$2:EK71),$EK$2:$EK$113,0)),"")</f>
        <v>OMISION, ADULTERACION Y SUPRESION DE MARCAJE</v>
      </c>
      <c r="IH71" s="206" t="str">
        <f>IFERROR(INDEX($A$2:$A$113,MATCH(ROWS($EL$2:EL71),$EL$2:$EL$113,0)),"")</f>
        <v>OMISION, ADULTERACION Y SUPRESION DE MARCAJE</v>
      </c>
      <c r="II71" s="206" t="str">
        <f>IFERROR(INDEX($A$2:$A$113,MATCH(ROWS($EM$2:EM71),$EM$2:$EM$113,0)),"")</f>
        <v>OMISION, ADULTERACION Y SUPRESION DE MARCAJE</v>
      </c>
      <c r="IJ71" s="206" t="str">
        <f>IFERROR(INDEX($A$2:$A$113,MATCH(ROWS($EN$2:EN71),$EN$2:$EN$113,0)),"")</f>
        <v>OMISION, ADULTERACION Y SUPRESION DE MARCAJE</v>
      </c>
      <c r="IK71" s="207" t="str">
        <f>IFERROR(INDEX($A$2:$A$113,MATCH(ROWS($EO$2:EO71),$EO$2:$EO$113,0)),"")</f>
        <v>OMISION, ADULTERACION Y SUPRESION DE MARCAJE</v>
      </c>
      <c r="IL71" s="207" t="str">
        <f>IFERROR(INDEX($A$2:$A$113,MATCH(ROWS($EP$2:EP71),$EP$2:$EP$113,0)),"")</f>
        <v>OMISION, ADULTERACION Y SUPRESION DE MARCAJE</v>
      </c>
      <c r="IM71" s="207" t="str">
        <f>IFERROR(INDEX($A$2:$A$113,MATCH(ROWS($EQ$2:EQ71),$EQ$2:$EQ$113,0)),"")</f>
        <v>OMISION, ADULTERACION Y SUPRESION DE MARCAJE</v>
      </c>
      <c r="IN71" s="207" t="str">
        <f>IFERROR(INDEX($A$2:$A$113,MATCH(ROWS($ER$2:ER71),$ER$2:$ER$113,0)),"")</f>
        <v>OMISION, ADULTERACION Y SUPRESION DE MARCAJE</v>
      </c>
      <c r="IO71" s="207" t="str">
        <f>IFERROR(INDEX($A$2:$A$113,MATCH(ROWS($ES$2:ES71),$ES$2:$ES$113,0)),"")</f>
        <v>OMISION, ADULTERACION Y SUPRESION DE MARCAJE</v>
      </c>
      <c r="IP71" s="207" t="str">
        <f>IFERROR(INDEX($A$2:$A$113,MATCH(ROWS($ET$2:ET71),$ET$2:$ET$113,0)),"")</f>
        <v>OMISION, ADULTERACION Y SUPRESION DE MARCAJE</v>
      </c>
      <c r="IQ71" s="207" t="str">
        <f>IFERROR(INDEX($A$2:$A$113,MATCH(ROWS($EU$2:EU71),$EU$2:$EU$113,0)),"")</f>
        <v>OMISION, ADULTERACION Y SUPRESION DE MARCAJE</v>
      </c>
      <c r="IR71" s="207" t="str">
        <f>IFERROR(INDEX($A$2:$A$113,MATCH(ROWS($EV$2:EV71),$EV$2:$EV$113,0)),"")</f>
        <v>OMISION, ADULTERACION Y SUPRESION DE MARCAJE</v>
      </c>
      <c r="IS71" s="207" t="str">
        <f>IFERROR(INDEX($A$2:$A$113,MATCH(ROWS($EW$2:EW71),$EW$2:$EW$113,0)),"")</f>
        <v>OMISION, ADULTERACION Y SUPRESION DE MARCAJE</v>
      </c>
      <c r="IT71" s="207" t="str">
        <f>IFERROR(INDEX($A$2:$A$113,MATCH(ROWS($EX$2:EX71),$EX$2:$EX$113,0)),"")</f>
        <v>OMISION, ADULTERACION Y SUPRESION DE MARCAJE</v>
      </c>
      <c r="IU71" s="207" t="str">
        <f>IFERROR(INDEX($A$2:$A$113,MATCH(ROWS($EY$2:EY71),$EY$2:$EY$113,0)),"")</f>
        <v>OMISION, ADULTERACION Y SUPRESION DE MARCAJE</v>
      </c>
      <c r="IV71" s="207" t="str">
        <f>IFERROR(INDEX($A$2:$A$113,MATCH(ROWS($EZ$2:EZ71),$EZ$2:$EZ$113,0)),"")</f>
        <v>OMISION, ADULTERACION Y SUPRESION DE MARCAJE</v>
      </c>
      <c r="IW71" s="207" t="str">
        <f>IFERROR(INDEX($A$2:$A$113,MATCH(ROWS($FA$2:FA71),$FA$2:$FA$113,0)),"")</f>
        <v>OMISION, ADULTERACION Y SUPRESION DE MARCAJE</v>
      </c>
      <c r="IX71" s="207" t="str">
        <f>IFERROR(INDEX($A$2:$A$113,MATCH(ROWS($FB$2:FB71),$FB$2:$FB$113,0)),"")</f>
        <v>OMISION, ADULTERACION Y SUPRESION DE MARCAJE</v>
      </c>
      <c r="IY71" s="207" t="str">
        <f>IFERROR(INDEX($A$2:$A$113,MATCH(ROWS($FC$2:FC71),$FC$2:$FC$113,0)),"")</f>
        <v>OMISION, ADULTERACION Y SUPRESION DE MARCAJE</v>
      </c>
      <c r="IZ71" s="207" t="str">
        <f>IFERROR(INDEX($A$2:$A$113,MATCH(ROWS($FD$2:FD71),$FD$2:$FD$113,0)),"")</f>
        <v>OMISION, ADULTERACION Y SUPRESION DE MARCAJE</v>
      </c>
      <c r="JA71" s="207" t="str">
        <f>IFERROR(INDEX($A$2:$A$113,MATCH(ROWS($FE$2:FE71),$FE$2:$FE$113,0)),"")</f>
        <v>OMISION, ADULTERACION Y SUPRESION DE MARCAJE</v>
      </c>
      <c r="JB71" s="207" t="str">
        <f>IFERROR(INDEX($A$2:$A$113,MATCH(ROWS($FF$2:FF71),$FF$2:$FF$113,0)),"")</f>
        <v>OMISION, ADULTERACION Y SUPRESION DE MARCAJE</v>
      </c>
      <c r="JC71" s="207" t="str">
        <f>IFERROR(INDEX($A$2:$A$113,MATCH(ROWS($FG$2:FG71),$FG$2:$FG$113,0)),"")</f>
        <v>OMISION, ADULTERACION Y SUPRESION DE MARCAJE</v>
      </c>
      <c r="JD71" s="207" t="str">
        <f>IFERROR(INDEX($A$2:$A$113,MATCH(ROWS($FH$2:FH71),$FH$2:$FH$113,0)),"")</f>
        <v>OMISION, ADULTERACION Y SUPRESION DE MARCAJE</v>
      </c>
      <c r="JE71" s="207" t="str">
        <f>IFERROR(INDEX($A$2:$A$113,MATCH(ROWS($FI$2:FI71),$FI$2:$FI$113,0)),"")</f>
        <v>OMISION, ADULTERACION Y SUPRESION DE MARCAJE</v>
      </c>
      <c r="JF71" s="207" t="str">
        <f>IFERROR(INDEX($A$2:$A$113,MATCH(ROWS($FJ$2:FJ71),$FJ$2:$FJ$113,0)),"")</f>
        <v>OMISION, ADULTERACION Y SUPRESION DE MARCAJE</v>
      </c>
      <c r="JG71" s="207" t="str">
        <f>IFERROR(INDEX($A$2:$A$113,MATCH(ROWS($FK$2:FK71),$FK$2:$FK$113,0)),"")</f>
        <v>OMISION, ADULTERACION Y SUPRESION DE MARCAJE</v>
      </c>
      <c r="JH71" s="207" t="str">
        <f>IFERROR(INDEX($A$2:$A$113,MATCH(ROWS($FL$2:FL71),$FL$2:$FL$113,0)),"")</f>
        <v>OMISION, ADULTERACION Y SUPRESION DE MARCAJE</v>
      </c>
      <c r="JI71" s="207" t="str">
        <f>IFERROR(INDEX($A$2:$A$113,MATCH(ROWS($FM$2:FM71),$FM$2:$FM$113,0)),"")</f>
        <v>OMISION, ADULTERACION Y SUPRESION DE MARCAJE</v>
      </c>
      <c r="JJ71" s="207" t="str">
        <f>IFERROR(INDEX($A$2:$A$113,MATCH(ROWS($FN$2:FN71),$FN$2:$FN$113,0)),"")</f>
        <v>OMISION, ADULTERACION Y SUPRESION DE MARCAJE</v>
      </c>
      <c r="JK71" s="207" t="str">
        <f>IFERROR(INDEX($A$2:$A$113,MATCH(ROWS($FO$2:FO71),$FO$2:$FO$113,0)),"")</f>
        <v>OMISION, ADULTERACION Y SUPRESION DE MARCAJE</v>
      </c>
      <c r="JL71" s="207" t="str">
        <f>IFERROR(INDEX($A$2:$A$113,MATCH(ROWS($FP$2:FP71),$FP$2:$FP$113,0)),"")</f>
        <v>OMISION, ADULTERACION Y SUPRESION DE MARCAJE</v>
      </c>
      <c r="JM71" s="207" t="str">
        <f>IFERROR(INDEX($A$2:$A$113,MATCH(ROWS($FQ$2:FQ71),$FQ$2:$FQ$113,0)),"")</f>
        <v>OMISION, ADULTERACION Y SUPRESION DE MARCAJE</v>
      </c>
      <c r="JN71" s="207" t="str">
        <f>IFERROR(INDEX($A$2:$A$113,MATCH(ROWS($FR$2:FR71),$FR$2:$FR$113,0)),"")</f>
        <v>OMISION, ADULTERACION Y SUPRESION DE MARCAJE</v>
      </c>
      <c r="JO71" s="207" t="str">
        <f>IFERROR(INDEX($A$2:$A$113,MATCH(ROWS($FS$2:FS71),$FS$2:$FS$113,0)),"")</f>
        <v>OMISION, ADULTERACION Y SUPRESION DE MARCAJE</v>
      </c>
      <c r="JP71" s="207" t="str">
        <f>IFERROR(INDEX($A$2:$A$113,MATCH(ROWS($FT$2:FT71),$FT$2:$FT$113,0)),"")</f>
        <v>OMISION, ADULTERACION Y SUPRESION DE MARCAJE</v>
      </c>
      <c r="JQ71" s="207" t="str">
        <f>IFERROR(INDEX($A$2:$A$113,MATCH(ROWS($FU$2:FU71),$FU$2:$FU$113,0)),"")</f>
        <v>OMISION, ADULTERACION Y SUPRESION DE MARCAJE</v>
      </c>
      <c r="JR71" s="207" t="str">
        <f>IFERROR(INDEX($A$2:$A$113,MATCH(ROWS($FV$2:FV71),$FV$2:$FV$113,0)),"")</f>
        <v>OMISION, ADULTERACION Y SUPRESION DE MARCAJE</v>
      </c>
      <c r="JS71" s="207" t="str">
        <f>IFERROR(INDEX($A$2:$A$113,MATCH(ROWS($FW$2:FW71),$FW$2:$FW$113,0)),"")</f>
        <v>OMISION, ADULTERACION Y SUPRESION DE MARCAJE</v>
      </c>
      <c r="JT71" s="207" t="str">
        <f>IFERROR(INDEX($A$2:$A$113,MATCH(ROWS($FX$2:FX71),$FX$2:$FX$113,0)),"")</f>
        <v>OMISION, ADULTERACION Y SUPRESION DE MARCAJE</v>
      </c>
      <c r="JU71" s="207" t="str">
        <f>IFERROR(INDEX($A$2:$A$113,MATCH(ROWS($FY$2:FY71),$FY$2:$FY$113,0)),"")</f>
        <v>OMISION, ADULTERACION Y SUPRESION DE MARCAJE</v>
      </c>
      <c r="JV71" s="207" t="str">
        <f>IFERROR(INDEX($A$2:$A$113,MATCH(ROWS($FZ$2:FZ71),$FZ$2:$FZ$113,0)),"")</f>
        <v>OMISION, ADULTERACION Y SUPRESION DE MARCAJE</v>
      </c>
      <c r="JW71" s="207" t="str">
        <f>IFERROR(INDEX($A$2:$A$113,MATCH(ROWS($GA$2:GA71),$GA$2:$GA$113,0)),"")</f>
        <v>OMISION, ADULTERACION Y SUPRESION DE MARCAJE</v>
      </c>
      <c r="JX71" s="207" t="str">
        <f>IFERROR(INDEX($A$2:$A$113,MATCH(ROWS($GB$2:GB71),$GB$2:$GB$113,0)),"")</f>
        <v>OMISION, ADULTERACION Y SUPRESION DE MARCAJE</v>
      </c>
      <c r="JY71" s="207" t="str">
        <f>IFERROR(INDEX($A$2:$A$113,MATCH(ROWS($GC$2:GC71),$GC$2:$GC$113,0)),"")</f>
        <v>OMISION, ADULTERACION Y SUPRESION DE MARCAJE</v>
      </c>
      <c r="JZ71" s="207" t="str">
        <f>IFERROR(INDEX($A$2:$A$113,MATCH(ROWS($GD$2:GD71),$GD$2:$GD$113,0)),"")</f>
        <v>OMISION, ADULTERACION Y SUPRESION DE MARCAJE</v>
      </c>
      <c r="KA71" s="207" t="str">
        <f>IFERROR(INDEX($A$2:$A$113,MATCH(ROWS($GE$2:GE71),$GE$2:$GE$113,0)),"")</f>
        <v>OMISION, ADULTERACION Y SUPRESION DE MARCAJE</v>
      </c>
      <c r="KB71" s="207" t="str">
        <f>IFERROR(INDEX($A$2:$A$113,MATCH(ROWS($GF$2:GF71),$GF$2:$GF$113,0)),"")</f>
        <v>OMISION, ADULTERACION Y SUPRESION DE MARCAJE</v>
      </c>
      <c r="KC71" s="207" t="str">
        <f>IFERROR(INDEX($A$2:$A$113,MATCH(ROWS($GG$2:GG71),$GG$2:$GG$113,0)),"")</f>
        <v>OMISION, ADULTERACION Y SUPRESION DE MARCAJE</v>
      </c>
      <c r="KD71" s="207" t="str">
        <f>IFERROR(INDEX($A$2:$A$113,MATCH(ROWS($GH$2:GH71),$GH$2:$GH$113,0)),"")</f>
        <v>OMISION, ADULTERACION Y SUPRESION DE MARCAJE</v>
      </c>
      <c r="KE71" s="207" t="str">
        <f>IFERROR(INDEX($A$2:$A$113,MATCH(ROWS($GI$2:GI71),$GI$2:$GI$113,0)),"")</f>
        <v>OMISION, ADULTERACION Y SUPRESION DE MARCAJE</v>
      </c>
      <c r="KF71" s="207" t="str">
        <f>IFERROR(INDEX($A$2:$A$113,MATCH(ROWS($GJ$2:GJ71),$GJ$2:$GJ$113,0)),"")</f>
        <v>OMISION, ADULTERACION Y SUPRESION DE MARCAJE</v>
      </c>
      <c r="KG71" s="207" t="str">
        <f>IFERROR(INDEX($A$2:$A$113,MATCH(ROWS($GK$2:GK71),$GK$2:$GK$113,0)),"")</f>
        <v>OMISION, ADULTERACION Y SUPRESION DE MARCAJE</v>
      </c>
      <c r="KH71" s="207" t="str">
        <f>IFERROR(INDEX($A$2:$A$113,MATCH(ROWS($GL$2:GL71),$GL$2:$GL$113,0)),"")</f>
        <v>OMISION, ADULTERACION Y SUPRESION DE MARCAJE</v>
      </c>
      <c r="KI71" s="207" t="str">
        <f>IFERROR(INDEX($A$2:$A$113,MATCH(ROWS($GM$2:GM71),$GM$2:$GM$113,0)),"")</f>
        <v>OMISION, ADULTERACION Y SUPRESION DE MARCAJE</v>
      </c>
      <c r="KJ71" s="207" t="str">
        <f>IFERROR(INDEX($A$2:$A$113,MATCH(ROWS($GN$2:GN71),$GN$2:$GN$113,0)),"")</f>
        <v>OMISION, ADULTERACION Y SUPRESION DE MARCAJE</v>
      </c>
      <c r="KK71" s="207" t="str">
        <f>IFERROR(INDEX($A$2:$A$113,MATCH(ROWS($GO$2:GO71),$GO$2:$GO$113,0)),"")</f>
        <v>OMISION, ADULTERACION Y SUPRESION DE MARCAJE</v>
      </c>
      <c r="KL71" s="207" t="str">
        <f>IFERROR(INDEX($A$2:$A$113,MATCH(ROWS($GP$2:GP71),$GP$2:$GP$113,0)),"")</f>
        <v>OMISION, ADULTERACION Y SUPRESION DE MARCAJE</v>
      </c>
      <c r="KM71" s="207" t="str">
        <f>IFERROR(INDEX($A$2:$A$113,MATCH(ROWS($GQ$2:GQ71),$GQ$2:$GQ$113,0)),"")</f>
        <v>OMISION, ADULTERACION Y SUPRESION DE MARCAJE</v>
      </c>
      <c r="KN71" s="207" t="str">
        <f>IFERROR(INDEX($A$2:$A$113,MATCH(ROWS($GR$2:GR71),$GR$2:$GR$113,0)),"")</f>
        <v>OMISION, ADULTERACION Y SUPRESION DE MARCAJE</v>
      </c>
      <c r="KO71" s="207" t="str">
        <f>IFERROR(INDEX($A$2:$A$113,MATCH(ROWS($GS$2:GS71),$GS$2:$GS$113,0)),"")</f>
        <v>OMISION, ADULTERACION Y SUPRESION DE MARCAJE</v>
      </c>
      <c r="KP71" s="207" t="str">
        <f>IFERROR(INDEX($A$2:$A$113,MATCH(ROWS($GT$2:GT71),$GT$2:$GT$113,0)),"")</f>
        <v>OMISION, ADULTERACION Y SUPRESION DE MARCAJE</v>
      </c>
      <c r="KQ71" s="207" t="str">
        <f>IFERROR(INDEX($A$2:$A$113,MATCH(ROWS($GU$2:GU71),$GU$2:$GU$113,0)),"")</f>
        <v>OMISION, ADULTERACION Y SUPRESION DE MARCAJE</v>
      </c>
      <c r="KR71" s="207" t="str">
        <f>IFERROR(INDEX($A$2:$A$113,MATCH(ROWS($GV$2:GV71),$GV$2:$GV$113,0)),"")</f>
        <v>OMISION, ADULTERACION Y SUPRESION DE MARCAJE</v>
      </c>
      <c r="KS71" s="207" t="str">
        <f>IFERROR(INDEX($A$2:$A$113,MATCH(ROWS($GW$2:GW71),$GW$2:$GW$113,0)),"")</f>
        <v>OMISION, ADULTERACION Y SUPRESION DE MARCAJE</v>
      </c>
    </row>
    <row r="72" spans="1:305" x14ac:dyDescent="0.25">
      <c r="A72" s="206" t="s">
        <v>906</v>
      </c>
      <c r="B72" s="206" t="s">
        <v>98</v>
      </c>
      <c r="D72" s="206" t="s">
        <v>15</v>
      </c>
      <c r="E72" s="206" t="s">
        <v>99</v>
      </c>
      <c r="F72" s="207">
        <f>--ISNUMBER(IFERROR(SEARCH('PLANILLA DJ'!$X$3,$A72,1),""))</f>
        <v>1</v>
      </c>
      <c r="G72" s="207">
        <f>--ISNUMBER(IFERROR(SEARCH('PLANILLA DJ'!$X$4,$A72,1),""))</f>
        <v>1</v>
      </c>
      <c r="H72" s="207">
        <f>--ISNUMBER(IFERROR(SEARCH('PLANILLA DJ'!$X$5,$A72,1),""))</f>
        <v>1</v>
      </c>
      <c r="I72" s="207">
        <f>--ISNUMBER(IFERROR(SEARCH('PLANILLA DJ'!$X$6,$A72,1),""))</f>
        <v>1</v>
      </c>
      <c r="J72" s="207">
        <f>--ISNUMBER(IFERROR(SEARCH('PLANILLA DJ'!$X$7,$A72,1),""))</f>
        <v>1</v>
      </c>
      <c r="K72" s="207">
        <f>--ISNUMBER(IFERROR(SEARCH('PLANILLA DJ'!$X$8,$A72,1),""))</f>
        <v>1</v>
      </c>
      <c r="L72" s="207">
        <f>--ISNUMBER(IFERROR(SEARCH('PLANILLA DJ'!$X$9,$A72,1),""))</f>
        <v>1</v>
      </c>
      <c r="M72" s="207">
        <f>--ISNUMBER(IFERROR(SEARCH('PLANILLA DJ'!$X$10,$A72,1),""))</f>
        <v>1</v>
      </c>
      <c r="N72" s="207">
        <f>--ISNUMBER(IFERROR(SEARCH('PLANILLA DJ'!$X$11,$A72,1),""))</f>
        <v>1</v>
      </c>
      <c r="O72" s="207">
        <f>--ISNUMBER(IFERROR(SEARCH('PLANILLA DJ'!$X$12,$A72,1),""))</f>
        <v>1</v>
      </c>
      <c r="P72" s="207">
        <f>--ISNUMBER(IFERROR(SEARCH('PLANILLA DJ'!$X$13,$A72,1),""))</f>
        <v>1</v>
      </c>
      <c r="Q72" s="207">
        <f>--ISNUMBER(IFERROR(SEARCH('PLANILLA DJ'!$X$14,$A72,1),""))</f>
        <v>1</v>
      </c>
      <c r="R72" s="207">
        <f>--ISNUMBER(IFERROR(SEARCH('PLANILLA DJ'!$X$15,$A72,1),""))</f>
        <v>1</v>
      </c>
      <c r="S72" s="207">
        <f>--ISNUMBER(IFERROR(SEARCH('PLANILLA DJ'!$X$16,$A72,1),""))</f>
        <v>1</v>
      </c>
      <c r="T72" s="207">
        <f>--ISNUMBER(IFERROR(SEARCH('PLANILLA DJ'!$X$17,$A72,1),""))</f>
        <v>1</v>
      </c>
      <c r="U72" s="207">
        <f>--ISNUMBER(IFERROR(SEARCH('PLANILLA DJ'!$X$18,$A72,1),""))</f>
        <v>1</v>
      </c>
      <c r="V72" s="207">
        <f>--ISNUMBER(IFERROR(SEARCH('PLANILLA DJ'!$X$19,$A72,1),""))</f>
        <v>1</v>
      </c>
      <c r="W72" s="207">
        <f>--ISNUMBER(IFERROR(SEARCH('PLANILLA DJ'!$X$20,$A72,1),""))</f>
        <v>1</v>
      </c>
      <c r="X72" s="207">
        <f>--ISNUMBER(IFERROR(SEARCH('PLANILLA DJ'!$X$21,$A72,1),""))</f>
        <v>1</v>
      </c>
      <c r="Y72" s="207">
        <f>--ISNUMBER(IFERROR(SEARCH('PLANILLA DJ'!$X$22,$A72,1),""))</f>
        <v>1</v>
      </c>
      <c r="Z72" s="207">
        <f>--ISNUMBER(IFERROR(SEARCH('PLANILLA DJ'!$X$23,$A72,1),""))</f>
        <v>1</v>
      </c>
      <c r="AA72" s="207">
        <f>--ISNUMBER(IFERROR(SEARCH('PLANILLA DJ'!$X$24,$A72,1),""))</f>
        <v>1</v>
      </c>
      <c r="AB72" s="207">
        <f>--ISNUMBER(IFERROR(SEARCH('PLANILLA DJ'!$X$25,$A72,1),""))</f>
        <v>1</v>
      </c>
      <c r="AC72" s="207">
        <f>--ISNUMBER(IFERROR(SEARCH('PLANILLA DJ'!$X$26,$A72,1),""))</f>
        <v>1</v>
      </c>
      <c r="AD72" s="207">
        <f>--ISNUMBER(IFERROR(SEARCH('PLANILLA DJ'!$X$27,$A72,1),""))</f>
        <v>1</v>
      </c>
      <c r="AE72" s="207">
        <f>--ISNUMBER(IFERROR(SEARCH('PLANILLA DJ'!$X$28,$A72,1),""))</f>
        <v>1</v>
      </c>
      <c r="AF72" s="207">
        <f>--ISNUMBER(IFERROR(SEARCH('PLANILLA DJ'!$X$29,$A72,1),""))</f>
        <v>1</v>
      </c>
      <c r="AG72" s="207">
        <f>--ISNUMBER(IFERROR(SEARCH('PLANILLA DJ'!$X$30,$A72,1),""))</f>
        <v>1</v>
      </c>
      <c r="AH72" s="207">
        <f>--ISNUMBER(IFERROR(SEARCH('PLANILLA DJ'!$X$31,$A72,1),""))</f>
        <v>1</v>
      </c>
      <c r="AI72" s="207">
        <f>--ISNUMBER(IFERROR(SEARCH('PLANILLA DJ'!$X$32,$A72,1),""))</f>
        <v>1</v>
      </c>
      <c r="AJ72" s="207">
        <f>--ISNUMBER(IFERROR(SEARCH('PLANILLA DJ'!$X$33,$A72,1),""))</f>
        <v>1</v>
      </c>
      <c r="AK72" s="207">
        <f>--ISNUMBER(IFERROR(SEARCH('PLANILLA DJ'!$X$34,$A72,1),""))</f>
        <v>1</v>
      </c>
      <c r="AL72" s="207">
        <f>--ISNUMBER(IFERROR(SEARCH('PLANILLA DJ'!$X$35,$A72,1),""))</f>
        <v>1</v>
      </c>
      <c r="AM72" s="207">
        <f>--ISNUMBER(IFERROR(SEARCH('PLANILLA DJ'!$X$36,$A72,1),""))</f>
        <v>1</v>
      </c>
      <c r="AN72" s="207">
        <f>--ISNUMBER(IFERROR(SEARCH('PLANILLA DJ'!$X$37,$A72,1),""))</f>
        <v>1</v>
      </c>
      <c r="AO72" s="207">
        <f>--ISNUMBER(IFERROR(SEARCH('PLANILLA DJ'!$X$38,$A72,1),""))</f>
        <v>1</v>
      </c>
      <c r="AP72" s="207">
        <f>--ISNUMBER(IFERROR(SEARCH('PLANILLA DJ'!$X$39,$A72,1),""))</f>
        <v>1</v>
      </c>
      <c r="AQ72" s="207">
        <f>--ISNUMBER(IFERROR(SEARCH('PLANILLA DJ'!$X$40,$A72,1),""))</f>
        <v>1</v>
      </c>
      <c r="AR72" s="207">
        <f>--ISNUMBER(IFERROR(SEARCH('PLANILLA DJ'!$X$41,$A72,1),""))</f>
        <v>1</v>
      </c>
      <c r="AS72" s="207">
        <f>--ISNUMBER(IFERROR(SEARCH('PLANILLA DJ'!$X$42,$A72,1),""))</f>
        <v>1</v>
      </c>
      <c r="AT72" s="207">
        <f>--ISNUMBER(IFERROR(SEARCH('PLANILLA DJ'!$X$43,$A72,1),""))</f>
        <v>1</v>
      </c>
      <c r="AU72" s="207">
        <f>--ISNUMBER(IFERROR(SEARCH('PLANILLA DJ'!$X$44,$A72,1),""))</f>
        <v>1</v>
      </c>
      <c r="AV72" s="207">
        <f>--ISNUMBER(IFERROR(SEARCH('PLANILLA DJ'!$X$45,$A72,1),""))</f>
        <v>1</v>
      </c>
      <c r="AW72" s="207">
        <f>--ISNUMBER(IFERROR(SEARCH('PLANILLA DJ'!$X$46,$A72,1),""))</f>
        <v>1</v>
      </c>
      <c r="AX72" s="207">
        <f>--ISNUMBER(IFERROR(SEARCH('PLANILLA DJ'!$X$47,$A72,1),""))</f>
        <v>1</v>
      </c>
      <c r="AY72" s="207">
        <f>--ISNUMBER(IFERROR(SEARCH('PLANILLA DJ'!$X$48,$A72,1),""))</f>
        <v>1</v>
      </c>
      <c r="AZ72" s="207">
        <f>--ISNUMBER(IFERROR(SEARCH('PLANILLA DJ'!$X$49,$A72,1),""))</f>
        <v>1</v>
      </c>
      <c r="BA72" s="207">
        <f>--ISNUMBER(IFERROR(SEARCH('PLANILLA DJ'!$X$50,$A72,1),""))</f>
        <v>1</v>
      </c>
      <c r="BB72" s="207">
        <f>--ISNUMBER(IFERROR(SEARCH('PLANILLA DJ'!$X$51,$A72,1),""))</f>
        <v>1</v>
      </c>
      <c r="BC72" s="207">
        <f>--ISNUMBER(IFERROR(SEARCH('PLANILLA DJ'!$X$52,$A72,1),""))</f>
        <v>1</v>
      </c>
      <c r="BD72" s="207">
        <f>--ISNUMBER(IFERROR(SEARCH('PLANILLA DJ'!$X$53,$A72,1),""))</f>
        <v>1</v>
      </c>
      <c r="BE72" s="207">
        <f>--ISNUMBER(IFERROR(SEARCH('PLANILLA DJ'!$X$54,$A72,1),""))</f>
        <v>1</v>
      </c>
      <c r="BF72" s="207">
        <f>--ISNUMBER(IFERROR(SEARCH('PLANILLA DJ'!$X$55,$A72,1),""))</f>
        <v>1</v>
      </c>
      <c r="BG72" s="207">
        <f>--ISNUMBER(IFERROR(SEARCH('PLANILLA DJ'!$X$56,$A72,1),""))</f>
        <v>1</v>
      </c>
      <c r="BH72" s="207">
        <f>--ISNUMBER(IFERROR(SEARCH('PLANILLA DJ'!$X$57,$A72,1),""))</f>
        <v>1</v>
      </c>
      <c r="BI72" s="207">
        <f>--ISNUMBER(IFERROR(SEARCH('PLANILLA DJ'!$X$58,$A72,1),""))</f>
        <v>1</v>
      </c>
      <c r="BJ72" s="207">
        <f>--ISNUMBER(IFERROR(SEARCH('PLANILLA DJ'!$X$59,$A72,1),""))</f>
        <v>1</v>
      </c>
      <c r="BK72" s="207">
        <f>--ISNUMBER(IFERROR(SEARCH('PLANILLA DJ'!$X$60,$A72,1),""))</f>
        <v>1</v>
      </c>
      <c r="BL72" s="207">
        <f>--ISNUMBER(IFERROR(SEARCH('PLANILLA DJ'!$X$61,$A72,1),""))</f>
        <v>1</v>
      </c>
      <c r="BM72" s="207">
        <f>--ISNUMBER(IFERROR(SEARCH('PLANILLA DJ'!$X$62,$A72,1),""))</f>
        <v>1</v>
      </c>
      <c r="BN72" s="207">
        <f>--ISNUMBER(IFERROR(SEARCH('PLANILLA DJ'!$X$63,$A72,1),""))</f>
        <v>1</v>
      </c>
      <c r="BO72" s="207">
        <f>--ISNUMBER(IFERROR(SEARCH('PLANILLA DJ'!$X$64,$A72,1),""))</f>
        <v>1</v>
      </c>
      <c r="BP72" s="207">
        <f>--ISNUMBER(IFERROR(SEARCH('PLANILLA DJ'!$X$65,$A72,1),""))</f>
        <v>1</v>
      </c>
      <c r="BQ72" s="207">
        <f>--ISNUMBER(IFERROR(SEARCH('PLANILLA DJ'!$X$66,$A72,1),""))</f>
        <v>1</v>
      </c>
      <c r="BR72" s="207">
        <f>--ISNUMBER(IFERROR(SEARCH('PLANILLA DJ'!$X$67,$A72,1),""))</f>
        <v>1</v>
      </c>
      <c r="BS72" s="207">
        <f>--ISNUMBER(IFERROR(SEARCH('PLANILLA DJ'!$X$68,$A72,1),""))</f>
        <v>1</v>
      </c>
      <c r="BT72" s="207">
        <f>--ISNUMBER(IFERROR(SEARCH('PLANILLA DJ'!$X$69,$A72,1),""))</f>
        <v>1</v>
      </c>
      <c r="BU72" s="207">
        <f>--ISNUMBER(IFERROR(SEARCH('PLANILLA DJ'!$X$70,$A72,1),""))</f>
        <v>1</v>
      </c>
      <c r="BV72" s="207">
        <f>--ISNUMBER(IFERROR(SEARCH('PLANILLA DJ'!$X$71,$A72,1),""))</f>
        <v>1</v>
      </c>
      <c r="BW72" s="207">
        <f>--ISNUMBER(IFERROR(SEARCH('PLANILLA DJ'!$X$72,$A72,1),""))</f>
        <v>1</v>
      </c>
      <c r="BX72" s="207">
        <f>--ISNUMBER(IFERROR(SEARCH('PLANILLA DJ'!$X$73,$A72,1),""))</f>
        <v>1</v>
      </c>
      <c r="BY72" s="207">
        <f>--ISNUMBER(IFERROR(SEARCH('PLANILLA DJ'!$X$74,$A72,1),""))</f>
        <v>1</v>
      </c>
      <c r="BZ72" s="207">
        <f>--ISNUMBER(IFERROR(SEARCH('PLANILLA DJ'!$X$75,$A72,1),""))</f>
        <v>1</v>
      </c>
      <c r="CA72" s="207">
        <f>--ISNUMBER(IFERROR(SEARCH('PLANILLA DJ'!$X$76,$A72,1),""))</f>
        <v>1</v>
      </c>
      <c r="CB72" s="207">
        <f>--ISNUMBER(IFERROR(SEARCH('PLANILLA DJ'!$X$77,$A72,1),""))</f>
        <v>1</v>
      </c>
      <c r="CC72" s="207">
        <f>--ISNUMBER(IFERROR(SEARCH('PLANILLA DJ'!$X$78,$A72,1),""))</f>
        <v>1</v>
      </c>
      <c r="CD72" s="207">
        <f>--ISNUMBER(IFERROR(SEARCH('PLANILLA DJ'!$X$79,$A72,1),""))</f>
        <v>1</v>
      </c>
      <c r="CE72" s="207">
        <f>--ISNUMBER(IFERROR(SEARCH('PLANILLA DJ'!$X$80,$A72,1),""))</f>
        <v>1</v>
      </c>
      <c r="CF72" s="207">
        <f>--ISNUMBER(IFERROR(SEARCH('PLANILLA DJ'!$X$81,$A72,1),""))</f>
        <v>1</v>
      </c>
      <c r="CG72" s="207">
        <f>--ISNUMBER(IFERROR(SEARCH('PLANILLA DJ'!$X$82,$A72,1),""))</f>
        <v>1</v>
      </c>
      <c r="CH72" s="207">
        <f>--ISNUMBER(IFERROR(SEARCH('PLANILLA DJ'!$X$83,$A72,1),""))</f>
        <v>1</v>
      </c>
      <c r="CI72" s="207">
        <f>--ISNUMBER(IFERROR(SEARCH('PLANILLA DJ'!$X$84,$A72,1),""))</f>
        <v>1</v>
      </c>
      <c r="CJ72" s="207">
        <f>--ISNUMBER(IFERROR(SEARCH('PLANILLA DJ'!$X$85,$A72,1),""))</f>
        <v>1</v>
      </c>
      <c r="CK72" s="207">
        <f>--ISNUMBER(IFERROR(SEARCH('PLANILLA DJ'!$X$86,$A72,1),""))</f>
        <v>1</v>
      </c>
      <c r="CL72" s="207">
        <f>--ISNUMBER(IFERROR(SEARCH('PLANILLA DJ'!$X$87,$A72,1),""))</f>
        <v>1</v>
      </c>
      <c r="CM72" s="207">
        <f>--ISNUMBER(IFERROR(SEARCH('PLANILLA DJ'!$X$88,$A72,1),""))</f>
        <v>1</v>
      </c>
      <c r="CN72" s="207">
        <f>--ISNUMBER(IFERROR(SEARCH('PLANILLA DJ'!$X$89,$A72,1),""))</f>
        <v>1</v>
      </c>
      <c r="CO72" s="207">
        <f>--ISNUMBER(IFERROR(SEARCH('PLANILLA DJ'!$X$90,$A72,1),""))</f>
        <v>1</v>
      </c>
      <c r="CP72" s="207">
        <f>--ISNUMBER(IFERROR(SEARCH('PLANILLA DJ'!$X$91,$A72,1),""))</f>
        <v>1</v>
      </c>
      <c r="CQ72" s="207">
        <f>--ISNUMBER(IFERROR(SEARCH('PLANILLA DJ'!$X$92,$A72,1),""))</f>
        <v>1</v>
      </c>
      <c r="CR72" s="207">
        <f>--ISNUMBER(IFERROR(SEARCH('PLANILLA DJ'!$X$93,$A72,1),""))</f>
        <v>1</v>
      </c>
      <c r="CS72" s="207">
        <f>--ISNUMBER(IFERROR(SEARCH('PLANILLA DJ'!$X$94,$A72,1),""))</f>
        <v>1</v>
      </c>
      <c r="CT72" s="207">
        <f>--ISNUMBER(IFERROR(SEARCH('PLANILLA DJ'!$X$95,$A72,1),""))</f>
        <v>1</v>
      </c>
      <c r="CU72" s="207">
        <f>--ISNUMBER(IFERROR(SEARCH('PLANILLA DJ'!$X$96,$A72,1),""))</f>
        <v>1</v>
      </c>
      <c r="CV72" s="207">
        <f>--ISNUMBER(IFERROR(SEARCH('PLANILLA DJ'!$X$97,$A72,1),""))</f>
        <v>1</v>
      </c>
      <c r="CW72" s="207">
        <f>--ISNUMBER(IFERROR(SEARCH('PLANILLA DJ'!$X$98,$A72,1),""))</f>
        <v>1</v>
      </c>
      <c r="CX72" s="207">
        <f>--ISNUMBER(IFERROR(SEARCH('PLANILLA DJ'!$X$99,$A72,1),""))</f>
        <v>1</v>
      </c>
      <c r="CY72" s="207">
        <f>--ISNUMBER(IFERROR(SEARCH('PLANILLA DJ'!$X$100,$A72,1),""))</f>
        <v>1</v>
      </c>
      <c r="CZ72" s="207">
        <f>--ISNUMBER(IFERROR(SEARCH('PLANILLA DJ'!$X$101,$A72,1),""))</f>
        <v>1</v>
      </c>
      <c r="DA72" s="207">
        <f>--ISNUMBER(IFERROR(SEARCH('PLANILLA DJ'!$X$102,$A72,1),""))</f>
        <v>1</v>
      </c>
      <c r="DB72" s="206">
        <f>IF(F72=1,COUNTIF($F$2:F72,1),"")</f>
        <v>71</v>
      </c>
      <c r="DC72" s="206">
        <f>IF(G72=1,COUNTIF($G$2:G72,1),"")</f>
        <v>71</v>
      </c>
      <c r="DD72" s="206">
        <f>IF(H72=1,COUNTIF($H$2:H72,1),"")</f>
        <v>71</v>
      </c>
      <c r="DE72" s="206">
        <f>IF(I72=1,COUNTIF($I$2:I72,1),"")</f>
        <v>71</v>
      </c>
      <c r="DF72" s="206">
        <f>IF(J72=1,COUNTIF($J$2:J72,1),"")</f>
        <v>71</v>
      </c>
      <c r="DG72" s="206">
        <f>IF(K72=1,COUNTIF($K$2:K72,1),"")</f>
        <v>71</v>
      </c>
      <c r="DH72" s="206">
        <f>IF(L72=1,COUNTIF($L$2:L72,1),"")</f>
        <v>71</v>
      </c>
      <c r="DI72" s="206">
        <f>IF(M72=1,COUNTIF($M$2:M72,1),"")</f>
        <v>71</v>
      </c>
      <c r="DJ72" s="206">
        <f>IF(N72=1,COUNTIF($N$2:N72,1),"")</f>
        <v>71</v>
      </c>
      <c r="DK72" s="206">
        <f>IF(O72=1,COUNTIF($O$2:O72,1),"")</f>
        <v>71</v>
      </c>
      <c r="DL72" s="206">
        <f>IF(P72=1,COUNTIF($P$2:P72,1),"")</f>
        <v>71</v>
      </c>
      <c r="DM72" s="206">
        <f>IF(Q72=1,COUNTIF($Q$2:Q72,1),"")</f>
        <v>71</v>
      </c>
      <c r="DN72" s="207">
        <f>IF(R72=1,COUNTIF($R$2:R72,1),"")</f>
        <v>71</v>
      </c>
      <c r="DO72" s="207">
        <f>IF(S72=1,COUNTIF($S$2:S72,1),"")</f>
        <v>71</v>
      </c>
      <c r="DP72" s="207">
        <f>IF(T72=1,COUNTIF($T$2:T72,1),"")</f>
        <v>71</v>
      </c>
      <c r="DQ72" s="207">
        <f>IF(U72=1,COUNTIF($U$2:U72,1),"")</f>
        <v>71</v>
      </c>
      <c r="DR72" s="207">
        <f>IF(V72=1,COUNTIF($V$2:V72,1),"")</f>
        <v>71</v>
      </c>
      <c r="DS72" s="207">
        <f>IF(W72=1,COUNTIF($W$2:W72,1),"")</f>
        <v>71</v>
      </c>
      <c r="DT72" s="207">
        <f>IF(X72=1,COUNTIF($X$2:X72,1),"")</f>
        <v>71</v>
      </c>
      <c r="DU72" s="207">
        <f>IF(Y72=1,COUNTIF($Y$2:Y72,1),"")</f>
        <v>71</v>
      </c>
      <c r="DV72" s="207">
        <f>IF(Z72=1,COUNTIF(Z$2:Z72,1),"")</f>
        <v>71</v>
      </c>
      <c r="DW72" s="207">
        <f>IF(AA72=1,COUNTIF($AA$2:AA72,1),"")</f>
        <v>71</v>
      </c>
      <c r="DX72" s="207">
        <f>IF(AB72=1,COUNTIF($AB$2:AB72,1),"")</f>
        <v>71</v>
      </c>
      <c r="DY72" s="207">
        <f>IF(AC72=1,COUNTIF($AC$2:AC72,1),"")</f>
        <v>71</v>
      </c>
      <c r="DZ72" s="207">
        <f>IF(AD72=1,COUNTIF($AD$2:AD72,1),"")</f>
        <v>71</v>
      </c>
      <c r="EA72" s="207">
        <f>IF(AE72=1,COUNTIF($AE$2:AE72,1),"")</f>
        <v>71</v>
      </c>
      <c r="EB72" s="207">
        <f>IF(AF72=1,COUNTIF($AF$2:AF72,1),"")</f>
        <v>71</v>
      </c>
      <c r="EC72" s="207">
        <f>IF(AG72=1,COUNTIF($AG$2:AG72,1),"")</f>
        <v>71</v>
      </c>
      <c r="ED72" s="207">
        <f>IF(AH72=1,COUNTIF($AH$2:AH72,1),"")</f>
        <v>71</v>
      </c>
      <c r="EE72" s="207">
        <f>IF(AI72=1,COUNTIF($AI$2:AI72,1),"")</f>
        <v>71</v>
      </c>
      <c r="EF72" s="207">
        <f>IF(AJ72=1,COUNTIF($AJ$2:AJ72,1),"")</f>
        <v>71</v>
      </c>
      <c r="EG72" s="207">
        <f>IF(AK72=1,COUNTIF($AK$2:AK72,1),"")</f>
        <v>71</v>
      </c>
      <c r="EH72" s="207">
        <f>IF(AL72=1,COUNTIF($AL$2:AL72,1),"")</f>
        <v>71</v>
      </c>
      <c r="EI72" s="207">
        <f>IF(AM72=1,COUNTIF($AM$2:AM72,1),"")</f>
        <v>71</v>
      </c>
      <c r="EJ72" s="207">
        <f>IF(AN72=1,COUNTIF($AN$2:AN72,1),"")</f>
        <v>71</v>
      </c>
      <c r="EK72" s="207">
        <f>IF(AO72=1,COUNTIF($AO$2:AO72,1),"")</f>
        <v>71</v>
      </c>
      <c r="EL72" s="207">
        <f>IF(AP72=1,COUNTIF($AP$2:AP72,1),"")</f>
        <v>71</v>
      </c>
      <c r="EM72" s="207">
        <f>IF(AQ72=1,COUNTIF($AQ$2:AQ72,1),"")</f>
        <v>71</v>
      </c>
      <c r="EN72" s="207">
        <f>IF(AR72=1,COUNTIF($AR$2:AR72,1),"")</f>
        <v>71</v>
      </c>
      <c r="EO72" s="207">
        <f>IF(AS72=1,COUNTIF($AS$2:AS72,1),"")</f>
        <v>71</v>
      </c>
      <c r="EP72" s="207">
        <f>IF(AT72=1,COUNTIF($AT$2:AT72,1),"")</f>
        <v>71</v>
      </c>
      <c r="EQ72" s="207">
        <f>IF(AU72=1,COUNTIF($AU$2:AU72,1),"")</f>
        <v>71</v>
      </c>
      <c r="ER72" s="207">
        <f>IF(AV72=1,COUNTIF($AV$2:AV72,1),"")</f>
        <v>71</v>
      </c>
      <c r="ES72" s="207">
        <f>IF(AW72=1,COUNTIF($AW$2:AW72,1),"")</f>
        <v>71</v>
      </c>
      <c r="ET72" s="207">
        <f>IF(AX72=1,COUNTIF($AX$2:AX72,1),"")</f>
        <v>71</v>
      </c>
      <c r="EU72" s="207">
        <f>IF(AY72=1,COUNTIF($AY$2:AY72,1),"")</f>
        <v>71</v>
      </c>
      <c r="EV72" s="207">
        <f>IF(AZ72=1,COUNTIF($AZ$2:AZ72,1),"")</f>
        <v>71</v>
      </c>
      <c r="EW72" s="207">
        <f>IF(BA72=1,COUNTIF($BA$2:BA72,1),"")</f>
        <v>71</v>
      </c>
      <c r="EX72" s="207">
        <f>IF(BB72=1,COUNTIF($BB$2:BB72,1),"")</f>
        <v>71</v>
      </c>
      <c r="EY72" s="207">
        <f>IF(BC72=1,COUNTIF($BC$2:BC72,1),"")</f>
        <v>71</v>
      </c>
      <c r="EZ72" s="207">
        <f>IF(BD72=1,COUNTIF($BD$2:BD72,1),"")</f>
        <v>71</v>
      </c>
      <c r="FA72" s="207">
        <f>IF(BE72=1,COUNTIF($BE$2:BE72,1),"")</f>
        <v>71</v>
      </c>
      <c r="FB72" s="207">
        <f>IF(BF72=1,COUNTIF($BF$2:BF72,1),"")</f>
        <v>71</v>
      </c>
      <c r="FC72" s="207">
        <f>IF(BG72=1,COUNTIF($BG$2:BG72,1),"")</f>
        <v>71</v>
      </c>
      <c r="FD72" s="207">
        <f>IF(BH72=1,COUNTIF($BH$2:BH72,1),"")</f>
        <v>71</v>
      </c>
      <c r="FE72" s="207">
        <f>IF(BI72=1,COUNTIF($BI$2:BI72,1),"")</f>
        <v>71</v>
      </c>
      <c r="FF72" s="207">
        <f>IF(BJ72=1,COUNTIF($BJ$2:BJ72,1),"")</f>
        <v>71</v>
      </c>
      <c r="FG72" s="207">
        <f>IF(BK72=1,COUNTIF($BK$2:BK72,1),"")</f>
        <v>71</v>
      </c>
      <c r="FH72" s="207">
        <f>IF(BL72=1,COUNTIF($BL$2:BL72,1),"")</f>
        <v>71</v>
      </c>
      <c r="FI72" s="207">
        <f>IF(BM72=1,COUNTIF($BM$2:BM72,1),"")</f>
        <v>71</v>
      </c>
      <c r="FJ72" s="207">
        <f>IF(BN72=1,COUNTIF($BN$2:BN72,1),"")</f>
        <v>71</v>
      </c>
      <c r="FK72" s="207">
        <f>IF(BO72=1,COUNTIF($BO$2:BO72,1),"")</f>
        <v>71</v>
      </c>
      <c r="FL72" s="207">
        <f>IF(BP72=1,COUNTIF($BP$2:BP72,1),"")</f>
        <v>71</v>
      </c>
      <c r="FM72" s="207">
        <f>IF(BQ72=1,COUNTIF($BQ$2:BQ72,1),"")</f>
        <v>71</v>
      </c>
      <c r="FN72" s="207">
        <f>IF(BR72=1,COUNTIF($BR$2:BR72,1),"")</f>
        <v>71</v>
      </c>
      <c r="FO72" s="207">
        <f>IF(BS72=1,COUNTIF($BS$2:BS72,1),"")</f>
        <v>71</v>
      </c>
      <c r="FP72" s="207">
        <f>IF(BT72=1,COUNTIF($BT$2:BT72,1),"")</f>
        <v>71</v>
      </c>
      <c r="FQ72" s="207">
        <f>IF(BU72=1,COUNTIF($BU$2:BU72,1),"")</f>
        <v>71</v>
      </c>
      <c r="FR72" s="207">
        <f>IF(BV72=1,COUNTIF($BV$2:BV72,1),"")</f>
        <v>71</v>
      </c>
      <c r="FS72" s="207">
        <f>IF(BW72=1,COUNTIF($BW$2:BW72,1),"")</f>
        <v>71</v>
      </c>
      <c r="FT72" s="207">
        <f>IF(BX72=1,COUNTIF($BX$2:BX72,1),"")</f>
        <v>71</v>
      </c>
      <c r="FU72" s="207">
        <f>IF(BY72=1,COUNTIF($BY$2:BY72,1),"")</f>
        <v>71</v>
      </c>
      <c r="FV72" s="207">
        <f>IF(BZ72=1,COUNTIF($BZ$2:BZ72,1),"")</f>
        <v>71</v>
      </c>
      <c r="FW72" s="207">
        <f>IF(CA72=1,COUNTIF($CA$2:CA72,1),"")</f>
        <v>71</v>
      </c>
      <c r="FX72" s="207">
        <f>IF(CB72=1,COUNTIF($CB$2:CB72,1),"")</f>
        <v>71</v>
      </c>
      <c r="FY72" s="207">
        <f>IF(CC72=1,COUNTIF($CC$2:CC72,1),"")</f>
        <v>71</v>
      </c>
      <c r="FZ72" s="207">
        <f>IF(CD72=1,COUNTIF($CD$2:CD72,1),"")</f>
        <v>71</v>
      </c>
      <c r="GA72" s="207">
        <f>IF(CE72=1,COUNTIF($CE$2:CE72,1),"")</f>
        <v>71</v>
      </c>
      <c r="GB72" s="207">
        <f>IF(CF72=1,COUNTIF($CF$2:CF72,1),"")</f>
        <v>71</v>
      </c>
      <c r="GC72" s="207">
        <f>IF(CG72=1,COUNTIF($CG$2:CG72,1),"")</f>
        <v>71</v>
      </c>
      <c r="GD72" s="207">
        <f>IF(CH72=1,COUNTIF($CH$2:CH72,1),"")</f>
        <v>71</v>
      </c>
      <c r="GE72" s="207">
        <f>IF(CI72=1,COUNTIF($CI$2:CI72,1),"")</f>
        <v>71</v>
      </c>
      <c r="GF72" s="207">
        <f>IF(CJ72=1,COUNTIF($CJ$2:CJ72,1),"")</f>
        <v>71</v>
      </c>
      <c r="GG72" s="207">
        <f>IF(CK72=1,COUNTIF($CK$2:CK72,1),"")</f>
        <v>71</v>
      </c>
      <c r="GH72" s="207">
        <f>IF(CL72=1,COUNTIF($CL$2:CL72,1),"")</f>
        <v>71</v>
      </c>
      <c r="GI72" s="207">
        <f>IF(CM72=1,COUNTIF($CM$2:CM72,1),"")</f>
        <v>71</v>
      </c>
      <c r="GJ72" s="207">
        <f>IF(CN72=1,COUNTIF($CN$2:CN72,1),"")</f>
        <v>71</v>
      </c>
      <c r="GK72" s="207">
        <f>IF(CO72=1,COUNTIF($CO$2:CO72,1),"")</f>
        <v>71</v>
      </c>
      <c r="GL72" s="207">
        <f>IF(CP72=1,COUNTIF($CP$2:CP72,1),"")</f>
        <v>71</v>
      </c>
      <c r="GM72" s="207">
        <f>IF(CQ72=1,COUNTIF($CQ$2:CQ72,1),"")</f>
        <v>71</v>
      </c>
      <c r="GN72" s="207">
        <f>IF(CR72=1,COUNTIF($CR$2:CR72,1),"")</f>
        <v>71</v>
      </c>
      <c r="GO72" s="207">
        <f>IF(CS72=1,COUNTIF($CS$2:CS72,1),"")</f>
        <v>71</v>
      </c>
      <c r="GP72" s="207">
        <f>IF(CT72=1,COUNTIF($CT$2:CT72,1),"")</f>
        <v>71</v>
      </c>
      <c r="GQ72" s="207">
        <f>IF(CU72=1,COUNTIF($CU$2:CU72,1),"")</f>
        <v>71</v>
      </c>
      <c r="GR72" s="207">
        <f>IF(CV72=1,COUNTIF($CV$2:CV72,1),"")</f>
        <v>71</v>
      </c>
      <c r="GS72" s="207">
        <f>IF(CW72=1,COUNTIF($CW$2:CW72,1),"")</f>
        <v>71</v>
      </c>
      <c r="GT72" s="207">
        <f>IF(CX72=1,COUNTIF($CX$2:CX72,1),"")</f>
        <v>71</v>
      </c>
      <c r="GU72" s="207">
        <f>IF(CY72=1,COUNTIF($CY$2:CY72,1),"")</f>
        <v>71</v>
      </c>
      <c r="GV72" s="207">
        <f>IF(CZ72=1,COUNTIF($CZ$2:CZ72,1),"")</f>
        <v>71</v>
      </c>
      <c r="GW72" s="207">
        <f>IF(DA72=1,COUNTIF($DA$2:DA72,1),"")</f>
        <v>71</v>
      </c>
      <c r="GX72" s="206" t="str">
        <f>IFERROR(INDEX($A$2:$A$113,MATCH(ROWS($DB$2:DB72),$DB$2:$DB$113,0)),"")</f>
        <v>OTROS DELITOS CONTRA LA SEGURIDAD DE TRANSITO, MEDIO DE TRANSPORTE O COMUNICACION</v>
      </c>
      <c r="GY72" s="206" t="str">
        <f>IFERROR(INDEX($A$2:$A$113,MATCH(ROWS($DC$2:DC72),$DC$2:$DC$113,0)),"")</f>
        <v>OTROS DELITOS CONTRA LA SEGURIDAD DE TRANSITO, MEDIO DE TRANSPORTE O COMUNICACION</v>
      </c>
      <c r="GZ72" s="206" t="str">
        <f>IFERROR(INDEX($A$2:$A$113,MATCH(ROWS($DD$2:DD72),$DD$2:$DD$113,0)),"")</f>
        <v>OTROS DELITOS CONTRA LA SEGURIDAD DE TRANSITO, MEDIO DE TRANSPORTE O COMUNICACION</v>
      </c>
      <c r="HA72" s="206" t="str">
        <f>IFERROR(INDEX($A$2:$A$113,MATCH(ROWS($DE$2:DE72),$DE$2:$DE$113,0)),"")</f>
        <v>OTROS DELITOS CONTRA LA SEGURIDAD DE TRANSITO, MEDIO DE TRANSPORTE O COMUNICACION</v>
      </c>
      <c r="HB72" s="206" t="str">
        <f>IFERROR(INDEX($A$2:$A$113,MATCH(ROWS($DF$2:DF72),$DF$2:$DF$113,0)),"")</f>
        <v>OTROS DELITOS CONTRA LA SEGURIDAD DE TRANSITO, MEDIO DE TRANSPORTE O COMUNICACION</v>
      </c>
      <c r="HC72" s="206" t="str">
        <f>IFERROR(INDEX($A$2:$A$113,MATCH(ROWS($DG$2:DG72),$DG$2:$DG$113,0)),"")</f>
        <v>OTROS DELITOS CONTRA LA SEGURIDAD DE TRANSITO, MEDIO DE TRANSPORTE O COMUNICACION</v>
      </c>
      <c r="HD72" s="206" t="str">
        <f>IFERROR(INDEX($A$2:$A$113,MATCH(ROWS($DH$2:DH72),$DH$2:$DH$113,0)),"")</f>
        <v>OTROS DELITOS CONTRA LA SEGURIDAD DE TRANSITO, MEDIO DE TRANSPORTE O COMUNICACION</v>
      </c>
      <c r="HE72" s="206" t="str">
        <f>IFERROR(INDEX($A$2:$A$113,MATCH(ROWS($DI$2:DI72),$DI$2:$DI$113,0)),"")</f>
        <v>OTROS DELITOS CONTRA LA SEGURIDAD DE TRANSITO, MEDIO DE TRANSPORTE O COMUNICACION</v>
      </c>
      <c r="HF72" s="206" t="str">
        <f>IFERROR(INDEX($A$2:$A$113,MATCH(ROWS($DJ$2:DJ72),$DJ$2:$DJ$113,0)),"")</f>
        <v>OTROS DELITOS CONTRA LA SEGURIDAD DE TRANSITO, MEDIO DE TRANSPORTE O COMUNICACION</v>
      </c>
      <c r="HG72" s="206" t="str">
        <f>IFERROR(INDEX($A$2:$A$113,MATCH(ROWS($DK$2:DK72),$DK$2:$DK$113,0)),"")</f>
        <v>OTROS DELITOS CONTRA LA SEGURIDAD DE TRANSITO, MEDIO DE TRANSPORTE O COMUNICACION</v>
      </c>
      <c r="HH72" s="206" t="str">
        <f>IFERROR(INDEX($A$2:$A$113,MATCH(ROWS($DL$2:DL72),$DL$2:$DL$113,0)),"")</f>
        <v>OTROS DELITOS CONTRA LA SEGURIDAD DE TRANSITO, MEDIO DE TRANSPORTE O COMUNICACION</v>
      </c>
      <c r="HI72" s="206" t="str">
        <f>IFERROR(INDEX($A$2:$A$113,MATCH(ROWS($DM$2:DM72),$DM$2:$DM$113,0)),"")</f>
        <v>OTROS DELITOS CONTRA LA SEGURIDAD DE TRANSITO, MEDIO DE TRANSPORTE O COMUNICACION</v>
      </c>
      <c r="HJ72" s="206" t="str">
        <f>IFERROR(INDEX($A$2:$A$113,MATCH(ROWS($DN$2:DN72),$DN$2:$DN$113,0)),"")</f>
        <v>OTROS DELITOS CONTRA LA SEGURIDAD DE TRANSITO, MEDIO DE TRANSPORTE O COMUNICACION</v>
      </c>
      <c r="HK72" s="206" t="str">
        <f>IFERROR(INDEX($A$2:$A$113,MATCH(ROWS($DO$2:DO72),$DO$2:$DO$113,0)),"")</f>
        <v>OTROS DELITOS CONTRA LA SEGURIDAD DE TRANSITO, MEDIO DE TRANSPORTE O COMUNICACION</v>
      </c>
      <c r="HL72" s="206" t="str">
        <f>IFERROR(INDEX($A$2:$A$113,MATCH(ROWS($DP$2:DP72),$DP$2:$DP$113,0)),"")</f>
        <v>OTROS DELITOS CONTRA LA SEGURIDAD DE TRANSITO, MEDIO DE TRANSPORTE O COMUNICACION</v>
      </c>
      <c r="HM72" s="206" t="str">
        <f>IFERROR(INDEX($A$2:$A$113,MATCH(ROWS($DQ$2:DQ72),$DQ$2:$DQ$113,0)),"")</f>
        <v>OTROS DELITOS CONTRA LA SEGURIDAD DE TRANSITO, MEDIO DE TRANSPORTE O COMUNICACION</v>
      </c>
      <c r="HN72" s="206" t="str">
        <f>IFERROR(INDEX($A$2:$A$113,MATCH(ROWS($DR$2:DR72),$DR$2:$DR$113,0)),"")</f>
        <v>OTROS DELITOS CONTRA LA SEGURIDAD DE TRANSITO, MEDIO DE TRANSPORTE O COMUNICACION</v>
      </c>
      <c r="HO72" s="206" t="str">
        <f>IFERROR(INDEX($A$2:$A$113,MATCH(ROWS($DS$2:DS72),$DS$2:$DS$113,0)),"")</f>
        <v>OTROS DELITOS CONTRA LA SEGURIDAD DE TRANSITO, MEDIO DE TRANSPORTE O COMUNICACION</v>
      </c>
      <c r="HP72" s="206" t="str">
        <f>IFERROR(INDEX($A$2:$A$113,MATCH(ROWS($DT$2:DT72),$DT$2:$DT$113,0)),"")</f>
        <v>OTROS DELITOS CONTRA LA SEGURIDAD DE TRANSITO, MEDIO DE TRANSPORTE O COMUNICACION</v>
      </c>
      <c r="HQ72" s="206" t="str">
        <f>IFERROR(INDEX($A$2:$A$113,MATCH(ROWS($DU$2:DU72),$DU$2:$DU$113,0)),"")</f>
        <v>OTROS DELITOS CONTRA LA SEGURIDAD DE TRANSITO, MEDIO DE TRANSPORTE O COMUNICACION</v>
      </c>
      <c r="HR72" s="206" t="str">
        <f>IFERROR(INDEX($A$2:$A$113,MATCH(ROWS($DV$2:DV72),$DV$2:$DV$113,0)),"")</f>
        <v>OTROS DELITOS CONTRA LA SEGURIDAD DE TRANSITO, MEDIO DE TRANSPORTE O COMUNICACION</v>
      </c>
      <c r="HS72" s="206" t="str">
        <f>IFERROR(INDEX($A$2:$A$113,MATCH(ROWS($DW$2:DW72),$DW$2:$DW$113,0)),"")</f>
        <v>OTROS DELITOS CONTRA LA SEGURIDAD DE TRANSITO, MEDIO DE TRANSPORTE O COMUNICACION</v>
      </c>
      <c r="HT72" s="206" t="str">
        <f>IFERROR(INDEX($A$2:$A$113,MATCH(ROWS($DX$2:DX72),$DX$2:$DX$113,0)),"")</f>
        <v>OTROS DELITOS CONTRA LA SEGURIDAD DE TRANSITO, MEDIO DE TRANSPORTE O COMUNICACION</v>
      </c>
      <c r="HU72" s="206" t="str">
        <f>IFERROR(INDEX($A$2:$A$113,MATCH(ROWS($DY$2:DY72),$DY$2:$DY$113,0)),"")</f>
        <v>OTROS DELITOS CONTRA LA SEGURIDAD DE TRANSITO, MEDIO DE TRANSPORTE O COMUNICACION</v>
      </c>
      <c r="HV72" s="206" t="str">
        <f>IFERROR(INDEX($A$2:$A$113,MATCH(ROWS($DZ$2:DZ72),$DZ$2:$DZ$113,0)),"")</f>
        <v>OTROS DELITOS CONTRA LA SEGURIDAD DE TRANSITO, MEDIO DE TRANSPORTE O COMUNICACION</v>
      </c>
      <c r="HW72" s="206" t="str">
        <f>IFERROR(INDEX($A$2:$A$113,MATCH(ROWS($EA$2:EA72),$EA$2:$EA$113,0)),"")</f>
        <v>OTROS DELITOS CONTRA LA SEGURIDAD DE TRANSITO, MEDIO DE TRANSPORTE O COMUNICACION</v>
      </c>
      <c r="HX72" s="206" t="str">
        <f>IFERROR(INDEX($A$2:$A$113,MATCH(ROWS($EB$2:EB72),$EB$2:$EB$113,0)),"")</f>
        <v>OTROS DELITOS CONTRA LA SEGURIDAD DE TRANSITO, MEDIO DE TRANSPORTE O COMUNICACION</v>
      </c>
      <c r="HY72" s="206" t="str">
        <f>IFERROR(INDEX($A$2:$A$113,MATCH(ROWS($EC$2:EC72),$EC$2:$EC$113,0)),"")</f>
        <v>OTROS DELITOS CONTRA LA SEGURIDAD DE TRANSITO, MEDIO DE TRANSPORTE O COMUNICACION</v>
      </c>
      <c r="HZ72" s="206" t="str">
        <f>IFERROR(INDEX($A$2:$A$113,MATCH(ROWS($ED$2:ED72),$ED$2:$ED$113,0)),"")</f>
        <v>OTROS DELITOS CONTRA LA SEGURIDAD DE TRANSITO, MEDIO DE TRANSPORTE O COMUNICACION</v>
      </c>
      <c r="IA72" s="206" t="str">
        <f>IFERROR(INDEX($A$2:$A$113,MATCH(ROWS($EE$2:EE72),$EE$2:$EE$113,0)),"")</f>
        <v>OTROS DELITOS CONTRA LA SEGURIDAD DE TRANSITO, MEDIO DE TRANSPORTE O COMUNICACION</v>
      </c>
      <c r="IB72" s="206" t="str">
        <f>IFERROR(INDEX($A$2:$A$113,MATCH(ROWS($EF$2:EF72),$EF$2:$EF$113,0)),"")</f>
        <v>OTROS DELITOS CONTRA LA SEGURIDAD DE TRANSITO, MEDIO DE TRANSPORTE O COMUNICACION</v>
      </c>
      <c r="IC72" s="206" t="str">
        <f>IFERROR(INDEX($A$2:$A$113,MATCH(ROWS($EG$2:EG72),$EG$2:$EG$113,0)),"")</f>
        <v>OTROS DELITOS CONTRA LA SEGURIDAD DE TRANSITO, MEDIO DE TRANSPORTE O COMUNICACION</v>
      </c>
      <c r="ID72" s="206" t="str">
        <f>IFERROR(INDEX($A$2:$A$113,MATCH(ROWS($EH$2:EH72),$EH$2:$EH$113,0)),"")</f>
        <v>OTROS DELITOS CONTRA LA SEGURIDAD DE TRANSITO, MEDIO DE TRANSPORTE O COMUNICACION</v>
      </c>
      <c r="IE72" s="206" t="str">
        <f>IFERROR(INDEX($A$2:$A$113,MATCH(ROWS($EI$2:EI72),$EI$2:$EI$113,0)),"")</f>
        <v>OTROS DELITOS CONTRA LA SEGURIDAD DE TRANSITO, MEDIO DE TRANSPORTE O COMUNICACION</v>
      </c>
      <c r="IF72" s="206" t="str">
        <f>IFERROR(INDEX($A$2:$A$113,MATCH(ROWS($EJ$2:EJ72),$EJ$2:$EJ$113,0)),"")</f>
        <v>OTROS DELITOS CONTRA LA SEGURIDAD DE TRANSITO, MEDIO DE TRANSPORTE O COMUNICACION</v>
      </c>
      <c r="IG72" s="206" t="str">
        <f>IFERROR(INDEX($A$2:$A$113,MATCH(ROWS($EK$2:EK72),$EK$2:$EK$113,0)),"")</f>
        <v>OTROS DELITOS CONTRA LA SEGURIDAD DE TRANSITO, MEDIO DE TRANSPORTE O COMUNICACION</v>
      </c>
      <c r="IH72" s="206" t="str">
        <f>IFERROR(INDEX($A$2:$A$113,MATCH(ROWS($EL$2:EL72),$EL$2:$EL$113,0)),"")</f>
        <v>OTROS DELITOS CONTRA LA SEGURIDAD DE TRANSITO, MEDIO DE TRANSPORTE O COMUNICACION</v>
      </c>
      <c r="II72" s="206" t="str">
        <f>IFERROR(INDEX($A$2:$A$113,MATCH(ROWS($EM$2:EM72),$EM$2:$EM$113,0)),"")</f>
        <v>OTROS DELITOS CONTRA LA SEGURIDAD DE TRANSITO, MEDIO DE TRANSPORTE O COMUNICACION</v>
      </c>
      <c r="IJ72" s="206" t="str">
        <f>IFERROR(INDEX($A$2:$A$113,MATCH(ROWS($EN$2:EN72),$EN$2:$EN$113,0)),"")</f>
        <v>OTROS DELITOS CONTRA LA SEGURIDAD DE TRANSITO, MEDIO DE TRANSPORTE O COMUNICACION</v>
      </c>
      <c r="IK72" s="207" t="str">
        <f>IFERROR(INDEX($A$2:$A$113,MATCH(ROWS($EO$2:EO72),$EO$2:$EO$113,0)),"")</f>
        <v>OTROS DELITOS CONTRA LA SEGURIDAD DE TRANSITO, MEDIO DE TRANSPORTE O COMUNICACION</v>
      </c>
      <c r="IL72" s="207" t="str">
        <f>IFERROR(INDEX($A$2:$A$113,MATCH(ROWS($EP$2:EP72),$EP$2:$EP$113,0)),"")</f>
        <v>OTROS DELITOS CONTRA LA SEGURIDAD DE TRANSITO, MEDIO DE TRANSPORTE O COMUNICACION</v>
      </c>
      <c r="IM72" s="207" t="str">
        <f>IFERROR(INDEX($A$2:$A$113,MATCH(ROWS($EQ$2:EQ72),$EQ$2:$EQ$113,0)),"")</f>
        <v>OTROS DELITOS CONTRA LA SEGURIDAD DE TRANSITO, MEDIO DE TRANSPORTE O COMUNICACION</v>
      </c>
      <c r="IN72" s="207" t="str">
        <f>IFERROR(INDEX($A$2:$A$113,MATCH(ROWS($ER$2:ER72),$ER$2:$ER$113,0)),"")</f>
        <v>OTROS DELITOS CONTRA LA SEGURIDAD DE TRANSITO, MEDIO DE TRANSPORTE O COMUNICACION</v>
      </c>
      <c r="IO72" s="207" t="str">
        <f>IFERROR(INDEX($A$2:$A$113,MATCH(ROWS($ES$2:ES72),$ES$2:$ES$113,0)),"")</f>
        <v>OTROS DELITOS CONTRA LA SEGURIDAD DE TRANSITO, MEDIO DE TRANSPORTE O COMUNICACION</v>
      </c>
      <c r="IP72" s="207" t="str">
        <f>IFERROR(INDEX($A$2:$A$113,MATCH(ROWS($ET$2:ET72),$ET$2:$ET$113,0)),"")</f>
        <v>OTROS DELITOS CONTRA LA SEGURIDAD DE TRANSITO, MEDIO DE TRANSPORTE O COMUNICACION</v>
      </c>
      <c r="IQ72" s="207" t="str">
        <f>IFERROR(INDEX($A$2:$A$113,MATCH(ROWS($EU$2:EU72),$EU$2:$EU$113,0)),"")</f>
        <v>OTROS DELITOS CONTRA LA SEGURIDAD DE TRANSITO, MEDIO DE TRANSPORTE O COMUNICACION</v>
      </c>
      <c r="IR72" s="207" t="str">
        <f>IFERROR(INDEX($A$2:$A$113,MATCH(ROWS($EV$2:EV72),$EV$2:$EV$113,0)),"")</f>
        <v>OTROS DELITOS CONTRA LA SEGURIDAD DE TRANSITO, MEDIO DE TRANSPORTE O COMUNICACION</v>
      </c>
      <c r="IS72" s="207" t="str">
        <f>IFERROR(INDEX($A$2:$A$113,MATCH(ROWS($EW$2:EW72),$EW$2:$EW$113,0)),"")</f>
        <v>OTROS DELITOS CONTRA LA SEGURIDAD DE TRANSITO, MEDIO DE TRANSPORTE O COMUNICACION</v>
      </c>
      <c r="IT72" s="207" t="str">
        <f>IFERROR(INDEX($A$2:$A$113,MATCH(ROWS($EX$2:EX72),$EX$2:$EX$113,0)),"")</f>
        <v>OTROS DELITOS CONTRA LA SEGURIDAD DE TRANSITO, MEDIO DE TRANSPORTE O COMUNICACION</v>
      </c>
      <c r="IU72" s="207" t="str">
        <f>IFERROR(INDEX($A$2:$A$113,MATCH(ROWS($EY$2:EY72),$EY$2:$EY$113,0)),"")</f>
        <v>OTROS DELITOS CONTRA LA SEGURIDAD DE TRANSITO, MEDIO DE TRANSPORTE O COMUNICACION</v>
      </c>
      <c r="IV72" s="207" t="str">
        <f>IFERROR(INDEX($A$2:$A$113,MATCH(ROWS($EZ$2:EZ72),$EZ$2:$EZ$113,0)),"")</f>
        <v>OTROS DELITOS CONTRA LA SEGURIDAD DE TRANSITO, MEDIO DE TRANSPORTE O COMUNICACION</v>
      </c>
      <c r="IW72" s="207" t="str">
        <f>IFERROR(INDEX($A$2:$A$113,MATCH(ROWS($FA$2:FA72),$FA$2:$FA$113,0)),"")</f>
        <v>OTROS DELITOS CONTRA LA SEGURIDAD DE TRANSITO, MEDIO DE TRANSPORTE O COMUNICACION</v>
      </c>
      <c r="IX72" s="207" t="str">
        <f>IFERROR(INDEX($A$2:$A$113,MATCH(ROWS($FB$2:FB72),$FB$2:$FB$113,0)),"")</f>
        <v>OTROS DELITOS CONTRA LA SEGURIDAD DE TRANSITO, MEDIO DE TRANSPORTE O COMUNICACION</v>
      </c>
      <c r="IY72" s="207" t="str">
        <f>IFERROR(INDEX($A$2:$A$113,MATCH(ROWS($FC$2:FC72),$FC$2:$FC$113,0)),"")</f>
        <v>OTROS DELITOS CONTRA LA SEGURIDAD DE TRANSITO, MEDIO DE TRANSPORTE O COMUNICACION</v>
      </c>
      <c r="IZ72" s="207" t="str">
        <f>IFERROR(INDEX($A$2:$A$113,MATCH(ROWS($FD$2:FD72),$FD$2:$FD$113,0)),"")</f>
        <v>OTROS DELITOS CONTRA LA SEGURIDAD DE TRANSITO, MEDIO DE TRANSPORTE O COMUNICACION</v>
      </c>
      <c r="JA72" s="207" t="str">
        <f>IFERROR(INDEX($A$2:$A$113,MATCH(ROWS($FE$2:FE72),$FE$2:$FE$113,0)),"")</f>
        <v>OTROS DELITOS CONTRA LA SEGURIDAD DE TRANSITO, MEDIO DE TRANSPORTE O COMUNICACION</v>
      </c>
      <c r="JB72" s="207" t="str">
        <f>IFERROR(INDEX($A$2:$A$113,MATCH(ROWS($FF$2:FF72),$FF$2:$FF$113,0)),"")</f>
        <v>OTROS DELITOS CONTRA LA SEGURIDAD DE TRANSITO, MEDIO DE TRANSPORTE O COMUNICACION</v>
      </c>
      <c r="JC72" s="207" t="str">
        <f>IFERROR(INDEX($A$2:$A$113,MATCH(ROWS($FG$2:FG72),$FG$2:$FG$113,0)),"")</f>
        <v>OTROS DELITOS CONTRA LA SEGURIDAD DE TRANSITO, MEDIO DE TRANSPORTE O COMUNICACION</v>
      </c>
      <c r="JD72" s="207" t="str">
        <f>IFERROR(INDEX($A$2:$A$113,MATCH(ROWS($FH$2:FH72),$FH$2:$FH$113,0)),"")</f>
        <v>OTROS DELITOS CONTRA LA SEGURIDAD DE TRANSITO, MEDIO DE TRANSPORTE O COMUNICACION</v>
      </c>
      <c r="JE72" s="207" t="str">
        <f>IFERROR(INDEX($A$2:$A$113,MATCH(ROWS($FI$2:FI72),$FI$2:$FI$113,0)),"")</f>
        <v>OTROS DELITOS CONTRA LA SEGURIDAD DE TRANSITO, MEDIO DE TRANSPORTE O COMUNICACION</v>
      </c>
      <c r="JF72" s="207" t="str">
        <f>IFERROR(INDEX($A$2:$A$113,MATCH(ROWS($FJ$2:FJ72),$FJ$2:$FJ$113,0)),"")</f>
        <v>OTROS DELITOS CONTRA LA SEGURIDAD DE TRANSITO, MEDIO DE TRANSPORTE O COMUNICACION</v>
      </c>
      <c r="JG72" s="207" t="str">
        <f>IFERROR(INDEX($A$2:$A$113,MATCH(ROWS($FK$2:FK72),$FK$2:$FK$113,0)),"")</f>
        <v>OTROS DELITOS CONTRA LA SEGURIDAD DE TRANSITO, MEDIO DE TRANSPORTE O COMUNICACION</v>
      </c>
      <c r="JH72" s="207" t="str">
        <f>IFERROR(INDEX($A$2:$A$113,MATCH(ROWS($FL$2:FL72),$FL$2:$FL$113,0)),"")</f>
        <v>OTROS DELITOS CONTRA LA SEGURIDAD DE TRANSITO, MEDIO DE TRANSPORTE O COMUNICACION</v>
      </c>
      <c r="JI72" s="207" t="str">
        <f>IFERROR(INDEX($A$2:$A$113,MATCH(ROWS($FM$2:FM72),$FM$2:$FM$113,0)),"")</f>
        <v>OTROS DELITOS CONTRA LA SEGURIDAD DE TRANSITO, MEDIO DE TRANSPORTE O COMUNICACION</v>
      </c>
      <c r="JJ72" s="207" t="str">
        <f>IFERROR(INDEX($A$2:$A$113,MATCH(ROWS($FN$2:FN72),$FN$2:$FN$113,0)),"")</f>
        <v>OTROS DELITOS CONTRA LA SEGURIDAD DE TRANSITO, MEDIO DE TRANSPORTE O COMUNICACION</v>
      </c>
      <c r="JK72" s="207" t="str">
        <f>IFERROR(INDEX($A$2:$A$113,MATCH(ROWS($FO$2:FO72),$FO$2:$FO$113,0)),"")</f>
        <v>OTROS DELITOS CONTRA LA SEGURIDAD DE TRANSITO, MEDIO DE TRANSPORTE O COMUNICACION</v>
      </c>
      <c r="JL72" s="207" t="str">
        <f>IFERROR(INDEX($A$2:$A$113,MATCH(ROWS($FP$2:FP72),$FP$2:$FP$113,0)),"")</f>
        <v>OTROS DELITOS CONTRA LA SEGURIDAD DE TRANSITO, MEDIO DE TRANSPORTE O COMUNICACION</v>
      </c>
      <c r="JM72" s="207" t="str">
        <f>IFERROR(INDEX($A$2:$A$113,MATCH(ROWS($FQ$2:FQ72),$FQ$2:$FQ$113,0)),"")</f>
        <v>OTROS DELITOS CONTRA LA SEGURIDAD DE TRANSITO, MEDIO DE TRANSPORTE O COMUNICACION</v>
      </c>
      <c r="JN72" s="207" t="str">
        <f>IFERROR(INDEX($A$2:$A$113,MATCH(ROWS($FR$2:FR72),$FR$2:$FR$113,0)),"")</f>
        <v>OTROS DELITOS CONTRA LA SEGURIDAD DE TRANSITO, MEDIO DE TRANSPORTE O COMUNICACION</v>
      </c>
      <c r="JO72" s="207" t="str">
        <f>IFERROR(INDEX($A$2:$A$113,MATCH(ROWS($FS$2:FS72),$FS$2:$FS$113,0)),"")</f>
        <v>OTROS DELITOS CONTRA LA SEGURIDAD DE TRANSITO, MEDIO DE TRANSPORTE O COMUNICACION</v>
      </c>
      <c r="JP72" s="207" t="str">
        <f>IFERROR(INDEX($A$2:$A$113,MATCH(ROWS($FT$2:FT72),$FT$2:$FT$113,0)),"")</f>
        <v>OTROS DELITOS CONTRA LA SEGURIDAD DE TRANSITO, MEDIO DE TRANSPORTE O COMUNICACION</v>
      </c>
      <c r="JQ72" s="207" t="str">
        <f>IFERROR(INDEX($A$2:$A$113,MATCH(ROWS($FU$2:FU72),$FU$2:$FU$113,0)),"")</f>
        <v>OTROS DELITOS CONTRA LA SEGURIDAD DE TRANSITO, MEDIO DE TRANSPORTE O COMUNICACION</v>
      </c>
      <c r="JR72" s="207" t="str">
        <f>IFERROR(INDEX($A$2:$A$113,MATCH(ROWS($FV$2:FV72),$FV$2:$FV$113,0)),"")</f>
        <v>OTROS DELITOS CONTRA LA SEGURIDAD DE TRANSITO, MEDIO DE TRANSPORTE O COMUNICACION</v>
      </c>
      <c r="JS72" s="207" t="str">
        <f>IFERROR(INDEX($A$2:$A$113,MATCH(ROWS($FW$2:FW72),$FW$2:$FW$113,0)),"")</f>
        <v>OTROS DELITOS CONTRA LA SEGURIDAD DE TRANSITO, MEDIO DE TRANSPORTE O COMUNICACION</v>
      </c>
      <c r="JT72" s="207" t="str">
        <f>IFERROR(INDEX($A$2:$A$113,MATCH(ROWS($FX$2:FX72),$FX$2:$FX$113,0)),"")</f>
        <v>OTROS DELITOS CONTRA LA SEGURIDAD DE TRANSITO, MEDIO DE TRANSPORTE O COMUNICACION</v>
      </c>
      <c r="JU72" s="207" t="str">
        <f>IFERROR(INDEX($A$2:$A$113,MATCH(ROWS($FY$2:FY72),$FY$2:$FY$113,0)),"")</f>
        <v>OTROS DELITOS CONTRA LA SEGURIDAD DE TRANSITO, MEDIO DE TRANSPORTE O COMUNICACION</v>
      </c>
      <c r="JV72" s="207" t="str">
        <f>IFERROR(INDEX($A$2:$A$113,MATCH(ROWS($FZ$2:FZ72),$FZ$2:$FZ$113,0)),"")</f>
        <v>OTROS DELITOS CONTRA LA SEGURIDAD DE TRANSITO, MEDIO DE TRANSPORTE O COMUNICACION</v>
      </c>
      <c r="JW72" s="207" t="str">
        <f>IFERROR(INDEX($A$2:$A$113,MATCH(ROWS($GA$2:GA72),$GA$2:$GA$113,0)),"")</f>
        <v>OTROS DELITOS CONTRA LA SEGURIDAD DE TRANSITO, MEDIO DE TRANSPORTE O COMUNICACION</v>
      </c>
      <c r="JX72" s="207" t="str">
        <f>IFERROR(INDEX($A$2:$A$113,MATCH(ROWS($GB$2:GB72),$GB$2:$GB$113,0)),"")</f>
        <v>OTROS DELITOS CONTRA LA SEGURIDAD DE TRANSITO, MEDIO DE TRANSPORTE O COMUNICACION</v>
      </c>
      <c r="JY72" s="207" t="str">
        <f>IFERROR(INDEX($A$2:$A$113,MATCH(ROWS($GC$2:GC72),$GC$2:$GC$113,0)),"")</f>
        <v>OTROS DELITOS CONTRA LA SEGURIDAD DE TRANSITO, MEDIO DE TRANSPORTE O COMUNICACION</v>
      </c>
      <c r="JZ72" s="207" t="str">
        <f>IFERROR(INDEX($A$2:$A$113,MATCH(ROWS($GD$2:GD72),$GD$2:$GD$113,0)),"")</f>
        <v>OTROS DELITOS CONTRA LA SEGURIDAD DE TRANSITO, MEDIO DE TRANSPORTE O COMUNICACION</v>
      </c>
      <c r="KA72" s="207" t="str">
        <f>IFERROR(INDEX($A$2:$A$113,MATCH(ROWS($GE$2:GE72),$GE$2:$GE$113,0)),"")</f>
        <v>OTROS DELITOS CONTRA LA SEGURIDAD DE TRANSITO, MEDIO DE TRANSPORTE O COMUNICACION</v>
      </c>
      <c r="KB72" s="207" t="str">
        <f>IFERROR(INDEX($A$2:$A$113,MATCH(ROWS($GF$2:GF72),$GF$2:$GF$113,0)),"")</f>
        <v>OTROS DELITOS CONTRA LA SEGURIDAD DE TRANSITO, MEDIO DE TRANSPORTE O COMUNICACION</v>
      </c>
      <c r="KC72" s="207" t="str">
        <f>IFERROR(INDEX($A$2:$A$113,MATCH(ROWS($GG$2:GG72),$GG$2:$GG$113,0)),"")</f>
        <v>OTROS DELITOS CONTRA LA SEGURIDAD DE TRANSITO, MEDIO DE TRANSPORTE O COMUNICACION</v>
      </c>
      <c r="KD72" s="207" t="str">
        <f>IFERROR(INDEX($A$2:$A$113,MATCH(ROWS($GH$2:GH72),$GH$2:$GH$113,0)),"")</f>
        <v>OTROS DELITOS CONTRA LA SEGURIDAD DE TRANSITO, MEDIO DE TRANSPORTE O COMUNICACION</v>
      </c>
      <c r="KE72" s="207" t="str">
        <f>IFERROR(INDEX($A$2:$A$113,MATCH(ROWS($GI$2:GI72),$GI$2:$GI$113,0)),"")</f>
        <v>OTROS DELITOS CONTRA LA SEGURIDAD DE TRANSITO, MEDIO DE TRANSPORTE O COMUNICACION</v>
      </c>
      <c r="KF72" s="207" t="str">
        <f>IFERROR(INDEX($A$2:$A$113,MATCH(ROWS($GJ$2:GJ72),$GJ$2:$GJ$113,0)),"")</f>
        <v>OTROS DELITOS CONTRA LA SEGURIDAD DE TRANSITO, MEDIO DE TRANSPORTE O COMUNICACION</v>
      </c>
      <c r="KG72" s="207" t="str">
        <f>IFERROR(INDEX($A$2:$A$113,MATCH(ROWS($GK$2:GK72),$GK$2:$GK$113,0)),"")</f>
        <v>OTROS DELITOS CONTRA LA SEGURIDAD DE TRANSITO, MEDIO DE TRANSPORTE O COMUNICACION</v>
      </c>
      <c r="KH72" s="207" t="str">
        <f>IFERROR(INDEX($A$2:$A$113,MATCH(ROWS($GL$2:GL72),$GL$2:$GL$113,0)),"")</f>
        <v>OTROS DELITOS CONTRA LA SEGURIDAD DE TRANSITO, MEDIO DE TRANSPORTE O COMUNICACION</v>
      </c>
      <c r="KI72" s="207" t="str">
        <f>IFERROR(INDEX($A$2:$A$113,MATCH(ROWS($GM$2:GM72),$GM$2:$GM$113,0)),"")</f>
        <v>OTROS DELITOS CONTRA LA SEGURIDAD DE TRANSITO, MEDIO DE TRANSPORTE O COMUNICACION</v>
      </c>
      <c r="KJ72" s="207" t="str">
        <f>IFERROR(INDEX($A$2:$A$113,MATCH(ROWS($GN$2:GN72),$GN$2:$GN$113,0)),"")</f>
        <v>OTROS DELITOS CONTRA LA SEGURIDAD DE TRANSITO, MEDIO DE TRANSPORTE O COMUNICACION</v>
      </c>
      <c r="KK72" s="207" t="str">
        <f>IFERROR(INDEX($A$2:$A$113,MATCH(ROWS($GO$2:GO72),$GO$2:$GO$113,0)),"")</f>
        <v>OTROS DELITOS CONTRA LA SEGURIDAD DE TRANSITO, MEDIO DE TRANSPORTE O COMUNICACION</v>
      </c>
      <c r="KL72" s="207" t="str">
        <f>IFERROR(INDEX($A$2:$A$113,MATCH(ROWS($GP$2:GP72),$GP$2:$GP$113,0)),"")</f>
        <v>OTROS DELITOS CONTRA LA SEGURIDAD DE TRANSITO, MEDIO DE TRANSPORTE O COMUNICACION</v>
      </c>
      <c r="KM72" s="207" t="str">
        <f>IFERROR(INDEX($A$2:$A$113,MATCH(ROWS($GQ$2:GQ72),$GQ$2:$GQ$113,0)),"")</f>
        <v>OTROS DELITOS CONTRA LA SEGURIDAD DE TRANSITO, MEDIO DE TRANSPORTE O COMUNICACION</v>
      </c>
      <c r="KN72" s="207" t="str">
        <f>IFERROR(INDEX($A$2:$A$113,MATCH(ROWS($GR$2:GR72),$GR$2:$GR$113,0)),"")</f>
        <v>OTROS DELITOS CONTRA LA SEGURIDAD DE TRANSITO, MEDIO DE TRANSPORTE O COMUNICACION</v>
      </c>
      <c r="KO72" s="207" t="str">
        <f>IFERROR(INDEX($A$2:$A$113,MATCH(ROWS($GS$2:GS72),$GS$2:$GS$113,0)),"")</f>
        <v>OTROS DELITOS CONTRA LA SEGURIDAD DE TRANSITO, MEDIO DE TRANSPORTE O COMUNICACION</v>
      </c>
      <c r="KP72" s="207" t="str">
        <f>IFERROR(INDEX($A$2:$A$113,MATCH(ROWS($GT$2:GT72),$GT$2:$GT$113,0)),"")</f>
        <v>OTROS DELITOS CONTRA LA SEGURIDAD DE TRANSITO, MEDIO DE TRANSPORTE O COMUNICACION</v>
      </c>
      <c r="KQ72" s="207" t="str">
        <f>IFERROR(INDEX($A$2:$A$113,MATCH(ROWS($GU$2:GU72),$GU$2:$GU$113,0)),"")</f>
        <v>OTROS DELITOS CONTRA LA SEGURIDAD DE TRANSITO, MEDIO DE TRANSPORTE O COMUNICACION</v>
      </c>
      <c r="KR72" s="207" t="str">
        <f>IFERROR(INDEX($A$2:$A$113,MATCH(ROWS($GV$2:GV72),$GV$2:$GV$113,0)),"")</f>
        <v>OTROS DELITOS CONTRA LA SEGURIDAD DE TRANSITO, MEDIO DE TRANSPORTE O COMUNICACION</v>
      </c>
      <c r="KS72" s="207" t="str">
        <f>IFERROR(INDEX($A$2:$A$113,MATCH(ROWS($GW$2:GW72),$GW$2:$GW$113,0)),"")</f>
        <v>OTROS DELITOS CONTRA LA SEGURIDAD DE TRANSITO, MEDIO DE TRANSPORTE O COMUNICACION</v>
      </c>
    </row>
    <row r="73" spans="1:305" x14ac:dyDescent="0.25">
      <c r="A73" s="206" t="s">
        <v>922</v>
      </c>
      <c r="B73" s="206" t="s">
        <v>98</v>
      </c>
      <c r="D73" s="206" t="s">
        <v>107</v>
      </c>
      <c r="E73" s="206" t="s">
        <v>99</v>
      </c>
      <c r="F73" s="207">
        <f>--ISNUMBER(IFERROR(SEARCH('PLANILLA DJ'!$X$3,$A73,1),""))</f>
        <v>1</v>
      </c>
      <c r="G73" s="207">
        <f>--ISNUMBER(IFERROR(SEARCH('PLANILLA DJ'!$X$4,$A73,1),""))</f>
        <v>1</v>
      </c>
      <c r="H73" s="207">
        <f>--ISNUMBER(IFERROR(SEARCH('PLANILLA DJ'!$X$5,$A73,1),""))</f>
        <v>1</v>
      </c>
      <c r="I73" s="207">
        <f>--ISNUMBER(IFERROR(SEARCH('PLANILLA DJ'!$X$6,$A73,1),""))</f>
        <v>1</v>
      </c>
      <c r="J73" s="207">
        <f>--ISNUMBER(IFERROR(SEARCH('PLANILLA DJ'!$X$7,$A73,1),""))</f>
        <v>1</v>
      </c>
      <c r="K73" s="207">
        <f>--ISNUMBER(IFERROR(SEARCH('PLANILLA DJ'!$X$8,$A73,1),""))</f>
        <v>1</v>
      </c>
      <c r="L73" s="207">
        <f>--ISNUMBER(IFERROR(SEARCH('PLANILLA DJ'!$X$9,$A73,1),""))</f>
        <v>1</v>
      </c>
      <c r="M73" s="207">
        <f>--ISNUMBER(IFERROR(SEARCH('PLANILLA DJ'!$X$10,$A73,1),""))</f>
        <v>1</v>
      </c>
      <c r="N73" s="207">
        <f>--ISNUMBER(IFERROR(SEARCH('PLANILLA DJ'!$X$11,$A73,1),""))</f>
        <v>1</v>
      </c>
      <c r="O73" s="207">
        <f>--ISNUMBER(IFERROR(SEARCH('PLANILLA DJ'!$X$12,$A73,1),""))</f>
        <v>1</v>
      </c>
      <c r="P73" s="207">
        <f>--ISNUMBER(IFERROR(SEARCH('PLANILLA DJ'!$X$13,$A73,1),""))</f>
        <v>1</v>
      </c>
      <c r="Q73" s="207">
        <f>--ISNUMBER(IFERROR(SEARCH('PLANILLA DJ'!$X$14,$A73,1),""))</f>
        <v>1</v>
      </c>
      <c r="R73" s="207">
        <f>--ISNUMBER(IFERROR(SEARCH('PLANILLA DJ'!$X$15,$A73,1),""))</f>
        <v>1</v>
      </c>
      <c r="S73" s="207">
        <f>--ISNUMBER(IFERROR(SEARCH('PLANILLA DJ'!$X$16,$A73,1),""))</f>
        <v>1</v>
      </c>
      <c r="T73" s="207">
        <f>--ISNUMBER(IFERROR(SEARCH('PLANILLA DJ'!$X$17,$A73,1),""))</f>
        <v>1</v>
      </c>
      <c r="U73" s="207">
        <f>--ISNUMBER(IFERROR(SEARCH('PLANILLA DJ'!$X$18,$A73,1),""))</f>
        <v>1</v>
      </c>
      <c r="V73" s="207">
        <f>--ISNUMBER(IFERROR(SEARCH('PLANILLA DJ'!$X$19,$A73,1),""))</f>
        <v>1</v>
      </c>
      <c r="W73" s="207">
        <f>--ISNUMBER(IFERROR(SEARCH('PLANILLA DJ'!$X$20,$A73,1),""))</f>
        <v>1</v>
      </c>
      <c r="X73" s="207">
        <f>--ISNUMBER(IFERROR(SEARCH('PLANILLA DJ'!$X$21,$A73,1),""))</f>
        <v>1</v>
      </c>
      <c r="Y73" s="207">
        <f>--ISNUMBER(IFERROR(SEARCH('PLANILLA DJ'!$X$22,$A73,1),""))</f>
        <v>1</v>
      </c>
      <c r="Z73" s="207">
        <f>--ISNUMBER(IFERROR(SEARCH('PLANILLA DJ'!$X$23,$A73,1),""))</f>
        <v>1</v>
      </c>
      <c r="AA73" s="207">
        <f>--ISNUMBER(IFERROR(SEARCH('PLANILLA DJ'!$X$24,$A73,1),""))</f>
        <v>1</v>
      </c>
      <c r="AB73" s="207">
        <f>--ISNUMBER(IFERROR(SEARCH('PLANILLA DJ'!$X$25,$A73,1),""))</f>
        <v>1</v>
      </c>
      <c r="AC73" s="207">
        <f>--ISNUMBER(IFERROR(SEARCH('PLANILLA DJ'!$X$26,$A73,1),""))</f>
        <v>1</v>
      </c>
      <c r="AD73" s="207">
        <f>--ISNUMBER(IFERROR(SEARCH('PLANILLA DJ'!$X$27,$A73,1),""))</f>
        <v>1</v>
      </c>
      <c r="AE73" s="207">
        <f>--ISNUMBER(IFERROR(SEARCH('PLANILLA DJ'!$X$28,$A73,1),""))</f>
        <v>1</v>
      </c>
      <c r="AF73" s="207">
        <f>--ISNUMBER(IFERROR(SEARCH('PLANILLA DJ'!$X$29,$A73,1),""))</f>
        <v>1</v>
      </c>
      <c r="AG73" s="207">
        <f>--ISNUMBER(IFERROR(SEARCH('PLANILLA DJ'!$X$30,$A73,1),""))</f>
        <v>1</v>
      </c>
      <c r="AH73" s="207">
        <f>--ISNUMBER(IFERROR(SEARCH('PLANILLA DJ'!$X$31,$A73,1),""))</f>
        <v>1</v>
      </c>
      <c r="AI73" s="207">
        <f>--ISNUMBER(IFERROR(SEARCH('PLANILLA DJ'!$X$32,$A73,1),""))</f>
        <v>1</v>
      </c>
      <c r="AJ73" s="207">
        <f>--ISNUMBER(IFERROR(SEARCH('PLANILLA DJ'!$X$33,$A73,1),""))</f>
        <v>1</v>
      </c>
      <c r="AK73" s="207">
        <f>--ISNUMBER(IFERROR(SEARCH('PLANILLA DJ'!$X$34,$A73,1),""))</f>
        <v>1</v>
      </c>
      <c r="AL73" s="207">
        <f>--ISNUMBER(IFERROR(SEARCH('PLANILLA DJ'!$X$35,$A73,1),""))</f>
        <v>1</v>
      </c>
      <c r="AM73" s="207">
        <f>--ISNUMBER(IFERROR(SEARCH('PLANILLA DJ'!$X$36,$A73,1),""))</f>
        <v>1</v>
      </c>
      <c r="AN73" s="207">
        <f>--ISNUMBER(IFERROR(SEARCH('PLANILLA DJ'!$X$37,$A73,1),""))</f>
        <v>1</v>
      </c>
      <c r="AO73" s="207">
        <f>--ISNUMBER(IFERROR(SEARCH('PLANILLA DJ'!$X$38,$A73,1),""))</f>
        <v>1</v>
      </c>
      <c r="AP73" s="207">
        <f>--ISNUMBER(IFERROR(SEARCH('PLANILLA DJ'!$X$39,$A73,1),""))</f>
        <v>1</v>
      </c>
      <c r="AQ73" s="207">
        <f>--ISNUMBER(IFERROR(SEARCH('PLANILLA DJ'!$X$40,$A73,1),""))</f>
        <v>1</v>
      </c>
      <c r="AR73" s="207">
        <f>--ISNUMBER(IFERROR(SEARCH('PLANILLA DJ'!$X$41,$A73,1),""))</f>
        <v>1</v>
      </c>
      <c r="AS73" s="207">
        <f>--ISNUMBER(IFERROR(SEARCH('PLANILLA DJ'!$X$42,$A73,1),""))</f>
        <v>1</v>
      </c>
      <c r="AT73" s="207">
        <f>--ISNUMBER(IFERROR(SEARCH('PLANILLA DJ'!$X$43,$A73,1),""))</f>
        <v>1</v>
      </c>
      <c r="AU73" s="207">
        <f>--ISNUMBER(IFERROR(SEARCH('PLANILLA DJ'!$X$44,$A73,1),""))</f>
        <v>1</v>
      </c>
      <c r="AV73" s="207">
        <f>--ISNUMBER(IFERROR(SEARCH('PLANILLA DJ'!$X$45,$A73,1),""))</f>
        <v>1</v>
      </c>
      <c r="AW73" s="207">
        <f>--ISNUMBER(IFERROR(SEARCH('PLANILLA DJ'!$X$46,$A73,1),""))</f>
        <v>1</v>
      </c>
      <c r="AX73" s="207">
        <f>--ISNUMBER(IFERROR(SEARCH('PLANILLA DJ'!$X$47,$A73,1),""))</f>
        <v>1</v>
      </c>
      <c r="AY73" s="207">
        <f>--ISNUMBER(IFERROR(SEARCH('PLANILLA DJ'!$X$48,$A73,1),""))</f>
        <v>1</v>
      </c>
      <c r="AZ73" s="207">
        <f>--ISNUMBER(IFERROR(SEARCH('PLANILLA DJ'!$X$49,$A73,1),""))</f>
        <v>1</v>
      </c>
      <c r="BA73" s="207">
        <f>--ISNUMBER(IFERROR(SEARCH('PLANILLA DJ'!$X$50,$A73,1),""))</f>
        <v>1</v>
      </c>
      <c r="BB73" s="207">
        <f>--ISNUMBER(IFERROR(SEARCH('PLANILLA DJ'!$X$51,$A73,1),""))</f>
        <v>1</v>
      </c>
      <c r="BC73" s="207">
        <f>--ISNUMBER(IFERROR(SEARCH('PLANILLA DJ'!$X$52,$A73,1),""))</f>
        <v>1</v>
      </c>
      <c r="BD73" s="207">
        <f>--ISNUMBER(IFERROR(SEARCH('PLANILLA DJ'!$X$53,$A73,1),""))</f>
        <v>1</v>
      </c>
      <c r="BE73" s="207">
        <f>--ISNUMBER(IFERROR(SEARCH('PLANILLA DJ'!$X$54,$A73,1),""))</f>
        <v>1</v>
      </c>
      <c r="BF73" s="207">
        <f>--ISNUMBER(IFERROR(SEARCH('PLANILLA DJ'!$X$55,$A73,1),""))</f>
        <v>1</v>
      </c>
      <c r="BG73" s="207">
        <f>--ISNUMBER(IFERROR(SEARCH('PLANILLA DJ'!$X$56,$A73,1),""))</f>
        <v>1</v>
      </c>
      <c r="BH73" s="207">
        <f>--ISNUMBER(IFERROR(SEARCH('PLANILLA DJ'!$X$57,$A73,1),""))</f>
        <v>1</v>
      </c>
      <c r="BI73" s="207">
        <f>--ISNUMBER(IFERROR(SEARCH('PLANILLA DJ'!$X$58,$A73,1),""))</f>
        <v>1</v>
      </c>
      <c r="BJ73" s="207">
        <f>--ISNUMBER(IFERROR(SEARCH('PLANILLA DJ'!$X$59,$A73,1),""))</f>
        <v>1</v>
      </c>
      <c r="BK73" s="207">
        <f>--ISNUMBER(IFERROR(SEARCH('PLANILLA DJ'!$X$60,$A73,1),""))</f>
        <v>1</v>
      </c>
      <c r="BL73" s="207">
        <f>--ISNUMBER(IFERROR(SEARCH('PLANILLA DJ'!$X$61,$A73,1),""))</f>
        <v>1</v>
      </c>
      <c r="BM73" s="207">
        <f>--ISNUMBER(IFERROR(SEARCH('PLANILLA DJ'!$X$62,$A73,1),""))</f>
        <v>1</v>
      </c>
      <c r="BN73" s="207">
        <f>--ISNUMBER(IFERROR(SEARCH('PLANILLA DJ'!$X$63,$A73,1),""))</f>
        <v>1</v>
      </c>
      <c r="BO73" s="207">
        <f>--ISNUMBER(IFERROR(SEARCH('PLANILLA DJ'!$X$64,$A73,1),""))</f>
        <v>1</v>
      </c>
      <c r="BP73" s="207">
        <f>--ISNUMBER(IFERROR(SEARCH('PLANILLA DJ'!$X$65,$A73,1),""))</f>
        <v>1</v>
      </c>
      <c r="BQ73" s="207">
        <f>--ISNUMBER(IFERROR(SEARCH('PLANILLA DJ'!$X$66,$A73,1),""))</f>
        <v>1</v>
      </c>
      <c r="BR73" s="207">
        <f>--ISNUMBER(IFERROR(SEARCH('PLANILLA DJ'!$X$67,$A73,1),""))</f>
        <v>1</v>
      </c>
      <c r="BS73" s="207">
        <f>--ISNUMBER(IFERROR(SEARCH('PLANILLA DJ'!$X$68,$A73,1),""))</f>
        <v>1</v>
      </c>
      <c r="BT73" s="207">
        <f>--ISNUMBER(IFERROR(SEARCH('PLANILLA DJ'!$X$69,$A73,1),""))</f>
        <v>1</v>
      </c>
      <c r="BU73" s="207">
        <f>--ISNUMBER(IFERROR(SEARCH('PLANILLA DJ'!$X$70,$A73,1),""))</f>
        <v>1</v>
      </c>
      <c r="BV73" s="207">
        <f>--ISNUMBER(IFERROR(SEARCH('PLANILLA DJ'!$X$71,$A73,1),""))</f>
        <v>1</v>
      </c>
      <c r="BW73" s="207">
        <f>--ISNUMBER(IFERROR(SEARCH('PLANILLA DJ'!$X$72,$A73,1),""))</f>
        <v>1</v>
      </c>
      <c r="BX73" s="207">
        <f>--ISNUMBER(IFERROR(SEARCH('PLANILLA DJ'!$X$73,$A73,1),""))</f>
        <v>1</v>
      </c>
      <c r="BY73" s="207">
        <f>--ISNUMBER(IFERROR(SEARCH('PLANILLA DJ'!$X$74,$A73,1),""))</f>
        <v>1</v>
      </c>
      <c r="BZ73" s="207">
        <f>--ISNUMBER(IFERROR(SEARCH('PLANILLA DJ'!$X$75,$A73,1),""))</f>
        <v>1</v>
      </c>
      <c r="CA73" s="207">
        <f>--ISNUMBER(IFERROR(SEARCH('PLANILLA DJ'!$X$76,$A73,1),""))</f>
        <v>1</v>
      </c>
      <c r="CB73" s="207">
        <f>--ISNUMBER(IFERROR(SEARCH('PLANILLA DJ'!$X$77,$A73,1),""))</f>
        <v>1</v>
      </c>
      <c r="CC73" s="207">
        <f>--ISNUMBER(IFERROR(SEARCH('PLANILLA DJ'!$X$78,$A73,1),""))</f>
        <v>1</v>
      </c>
      <c r="CD73" s="207">
        <f>--ISNUMBER(IFERROR(SEARCH('PLANILLA DJ'!$X$79,$A73,1),""))</f>
        <v>1</v>
      </c>
      <c r="CE73" s="207">
        <f>--ISNUMBER(IFERROR(SEARCH('PLANILLA DJ'!$X$80,$A73,1),""))</f>
        <v>1</v>
      </c>
      <c r="CF73" s="207">
        <f>--ISNUMBER(IFERROR(SEARCH('PLANILLA DJ'!$X$81,$A73,1),""))</f>
        <v>1</v>
      </c>
      <c r="CG73" s="207">
        <f>--ISNUMBER(IFERROR(SEARCH('PLANILLA DJ'!$X$82,$A73,1),""))</f>
        <v>1</v>
      </c>
      <c r="CH73" s="207">
        <f>--ISNUMBER(IFERROR(SEARCH('PLANILLA DJ'!$X$83,$A73,1),""))</f>
        <v>1</v>
      </c>
      <c r="CI73" s="207">
        <f>--ISNUMBER(IFERROR(SEARCH('PLANILLA DJ'!$X$84,$A73,1),""))</f>
        <v>1</v>
      </c>
      <c r="CJ73" s="207">
        <f>--ISNUMBER(IFERROR(SEARCH('PLANILLA DJ'!$X$85,$A73,1),""))</f>
        <v>1</v>
      </c>
      <c r="CK73" s="207">
        <f>--ISNUMBER(IFERROR(SEARCH('PLANILLA DJ'!$X$86,$A73,1),""))</f>
        <v>1</v>
      </c>
      <c r="CL73" s="207">
        <f>--ISNUMBER(IFERROR(SEARCH('PLANILLA DJ'!$X$87,$A73,1),""))</f>
        <v>1</v>
      </c>
      <c r="CM73" s="207">
        <f>--ISNUMBER(IFERROR(SEARCH('PLANILLA DJ'!$X$88,$A73,1),""))</f>
        <v>1</v>
      </c>
      <c r="CN73" s="207">
        <f>--ISNUMBER(IFERROR(SEARCH('PLANILLA DJ'!$X$89,$A73,1),""))</f>
        <v>1</v>
      </c>
      <c r="CO73" s="207">
        <f>--ISNUMBER(IFERROR(SEARCH('PLANILLA DJ'!$X$90,$A73,1),""))</f>
        <v>1</v>
      </c>
      <c r="CP73" s="207">
        <f>--ISNUMBER(IFERROR(SEARCH('PLANILLA DJ'!$X$91,$A73,1),""))</f>
        <v>1</v>
      </c>
      <c r="CQ73" s="207">
        <f>--ISNUMBER(IFERROR(SEARCH('PLANILLA DJ'!$X$92,$A73,1),""))</f>
        <v>1</v>
      </c>
      <c r="CR73" s="207">
        <f>--ISNUMBER(IFERROR(SEARCH('PLANILLA DJ'!$X$93,$A73,1),""))</f>
        <v>1</v>
      </c>
      <c r="CS73" s="207">
        <f>--ISNUMBER(IFERROR(SEARCH('PLANILLA DJ'!$X$94,$A73,1),""))</f>
        <v>1</v>
      </c>
      <c r="CT73" s="207">
        <f>--ISNUMBER(IFERROR(SEARCH('PLANILLA DJ'!$X$95,$A73,1),""))</f>
        <v>1</v>
      </c>
      <c r="CU73" s="207">
        <f>--ISNUMBER(IFERROR(SEARCH('PLANILLA DJ'!$X$96,$A73,1),""))</f>
        <v>1</v>
      </c>
      <c r="CV73" s="207">
        <f>--ISNUMBER(IFERROR(SEARCH('PLANILLA DJ'!$X$97,$A73,1),""))</f>
        <v>1</v>
      </c>
      <c r="CW73" s="207">
        <f>--ISNUMBER(IFERROR(SEARCH('PLANILLA DJ'!$X$98,$A73,1),""))</f>
        <v>1</v>
      </c>
      <c r="CX73" s="207">
        <f>--ISNUMBER(IFERROR(SEARCH('PLANILLA DJ'!$X$99,$A73,1),""))</f>
        <v>1</v>
      </c>
      <c r="CY73" s="207">
        <f>--ISNUMBER(IFERROR(SEARCH('PLANILLA DJ'!$X$100,$A73,1),""))</f>
        <v>1</v>
      </c>
      <c r="CZ73" s="207">
        <f>--ISNUMBER(IFERROR(SEARCH('PLANILLA DJ'!$X$101,$A73,1),""))</f>
        <v>1</v>
      </c>
      <c r="DA73" s="207">
        <f>--ISNUMBER(IFERROR(SEARCH('PLANILLA DJ'!$X$102,$A73,1),""))</f>
        <v>1</v>
      </c>
      <c r="DB73" s="206">
        <f>IF(F73=1,COUNTIF($F$2:F73,1),"")</f>
        <v>72</v>
      </c>
      <c r="DC73" s="206">
        <f>IF(G73=1,COUNTIF($G$2:G73,1),"")</f>
        <v>72</v>
      </c>
      <c r="DD73" s="206">
        <f>IF(H73=1,COUNTIF($H$2:H73,1),"")</f>
        <v>72</v>
      </c>
      <c r="DE73" s="206">
        <f>IF(I73=1,COUNTIF($I$2:I73,1),"")</f>
        <v>72</v>
      </c>
      <c r="DF73" s="206">
        <f>IF(J73=1,COUNTIF($J$2:J73,1),"")</f>
        <v>72</v>
      </c>
      <c r="DG73" s="206">
        <f>IF(K73=1,COUNTIF($K$2:K73,1),"")</f>
        <v>72</v>
      </c>
      <c r="DH73" s="206">
        <f>IF(L73=1,COUNTIF($L$2:L73,1),"")</f>
        <v>72</v>
      </c>
      <c r="DI73" s="206">
        <f>IF(M73=1,COUNTIF($M$2:M73,1),"")</f>
        <v>72</v>
      </c>
      <c r="DJ73" s="206">
        <f>IF(N73=1,COUNTIF($N$2:N73,1),"")</f>
        <v>72</v>
      </c>
      <c r="DK73" s="206">
        <f>IF(O73=1,COUNTIF($O$2:O73,1),"")</f>
        <v>72</v>
      </c>
      <c r="DL73" s="206">
        <f>IF(P73=1,COUNTIF($P$2:P73,1),"")</f>
        <v>72</v>
      </c>
      <c r="DM73" s="206">
        <f>IF(Q73=1,COUNTIF($Q$2:Q73,1),"")</f>
        <v>72</v>
      </c>
      <c r="DN73" s="207">
        <f>IF(R73=1,COUNTIF($R$2:R73,1),"")</f>
        <v>72</v>
      </c>
      <c r="DO73" s="207">
        <f>IF(S73=1,COUNTIF($S$2:S73,1),"")</f>
        <v>72</v>
      </c>
      <c r="DP73" s="207">
        <f>IF(T73=1,COUNTIF($T$2:T73,1),"")</f>
        <v>72</v>
      </c>
      <c r="DQ73" s="207">
        <f>IF(U73=1,COUNTIF($U$2:U73,1),"")</f>
        <v>72</v>
      </c>
      <c r="DR73" s="207">
        <f>IF(V73=1,COUNTIF($V$2:V73,1),"")</f>
        <v>72</v>
      </c>
      <c r="DS73" s="207">
        <f>IF(W73=1,COUNTIF($W$2:W73,1),"")</f>
        <v>72</v>
      </c>
      <c r="DT73" s="207">
        <f>IF(X73=1,COUNTIF($X$2:X73,1),"")</f>
        <v>72</v>
      </c>
      <c r="DU73" s="207">
        <f>IF(Y73=1,COUNTIF($Y$2:Y73,1),"")</f>
        <v>72</v>
      </c>
      <c r="DV73" s="207">
        <f>IF(Z73=1,COUNTIF(Z$2:Z73,1),"")</f>
        <v>72</v>
      </c>
      <c r="DW73" s="207">
        <f>IF(AA73=1,COUNTIF($AA$2:AA73,1),"")</f>
        <v>72</v>
      </c>
      <c r="DX73" s="207">
        <f>IF(AB73=1,COUNTIF($AB$2:AB73,1),"")</f>
        <v>72</v>
      </c>
      <c r="DY73" s="207">
        <f>IF(AC73=1,COUNTIF($AC$2:AC73,1),"")</f>
        <v>72</v>
      </c>
      <c r="DZ73" s="207">
        <f>IF(AD73=1,COUNTIF($AD$2:AD73,1),"")</f>
        <v>72</v>
      </c>
      <c r="EA73" s="207">
        <f>IF(AE73=1,COUNTIF($AE$2:AE73,1),"")</f>
        <v>72</v>
      </c>
      <c r="EB73" s="207">
        <f>IF(AF73=1,COUNTIF($AF$2:AF73,1),"")</f>
        <v>72</v>
      </c>
      <c r="EC73" s="207">
        <f>IF(AG73=1,COUNTIF($AG$2:AG73,1),"")</f>
        <v>72</v>
      </c>
      <c r="ED73" s="207">
        <f>IF(AH73=1,COUNTIF($AH$2:AH73,1),"")</f>
        <v>72</v>
      </c>
      <c r="EE73" s="207">
        <f>IF(AI73=1,COUNTIF($AI$2:AI73,1),"")</f>
        <v>72</v>
      </c>
      <c r="EF73" s="207">
        <f>IF(AJ73=1,COUNTIF($AJ$2:AJ73,1),"")</f>
        <v>72</v>
      </c>
      <c r="EG73" s="207">
        <f>IF(AK73=1,COUNTIF($AK$2:AK73,1),"")</f>
        <v>72</v>
      </c>
      <c r="EH73" s="207">
        <f>IF(AL73=1,COUNTIF($AL$2:AL73,1),"")</f>
        <v>72</v>
      </c>
      <c r="EI73" s="207">
        <f>IF(AM73=1,COUNTIF($AM$2:AM73,1),"")</f>
        <v>72</v>
      </c>
      <c r="EJ73" s="207">
        <f>IF(AN73=1,COUNTIF($AN$2:AN73,1),"")</f>
        <v>72</v>
      </c>
      <c r="EK73" s="207">
        <f>IF(AO73=1,COUNTIF($AO$2:AO73,1),"")</f>
        <v>72</v>
      </c>
      <c r="EL73" s="207">
        <f>IF(AP73=1,COUNTIF($AP$2:AP73,1),"")</f>
        <v>72</v>
      </c>
      <c r="EM73" s="207">
        <f>IF(AQ73=1,COUNTIF($AQ$2:AQ73,1),"")</f>
        <v>72</v>
      </c>
      <c r="EN73" s="207">
        <f>IF(AR73=1,COUNTIF($AR$2:AR73,1),"")</f>
        <v>72</v>
      </c>
      <c r="EO73" s="207">
        <f>IF(AS73=1,COUNTIF($AS$2:AS73,1),"")</f>
        <v>72</v>
      </c>
      <c r="EP73" s="207">
        <f>IF(AT73=1,COUNTIF($AT$2:AT73,1),"")</f>
        <v>72</v>
      </c>
      <c r="EQ73" s="207">
        <f>IF(AU73=1,COUNTIF($AU$2:AU73,1),"")</f>
        <v>72</v>
      </c>
      <c r="ER73" s="207">
        <f>IF(AV73=1,COUNTIF($AV$2:AV73,1),"")</f>
        <v>72</v>
      </c>
      <c r="ES73" s="207">
        <f>IF(AW73=1,COUNTIF($AW$2:AW73,1),"")</f>
        <v>72</v>
      </c>
      <c r="ET73" s="207">
        <f>IF(AX73=1,COUNTIF($AX$2:AX73,1),"")</f>
        <v>72</v>
      </c>
      <c r="EU73" s="207">
        <f>IF(AY73=1,COUNTIF($AY$2:AY73,1),"")</f>
        <v>72</v>
      </c>
      <c r="EV73" s="207">
        <f>IF(AZ73=1,COUNTIF($AZ$2:AZ73,1),"")</f>
        <v>72</v>
      </c>
      <c r="EW73" s="207">
        <f>IF(BA73=1,COUNTIF($BA$2:BA73,1),"")</f>
        <v>72</v>
      </c>
      <c r="EX73" s="207">
        <f>IF(BB73=1,COUNTIF($BB$2:BB73,1),"")</f>
        <v>72</v>
      </c>
      <c r="EY73" s="207">
        <f>IF(BC73=1,COUNTIF($BC$2:BC73,1),"")</f>
        <v>72</v>
      </c>
      <c r="EZ73" s="207">
        <f>IF(BD73=1,COUNTIF($BD$2:BD73,1),"")</f>
        <v>72</v>
      </c>
      <c r="FA73" s="207">
        <f>IF(BE73=1,COUNTIF($BE$2:BE73,1),"")</f>
        <v>72</v>
      </c>
      <c r="FB73" s="207">
        <f>IF(BF73=1,COUNTIF($BF$2:BF73,1),"")</f>
        <v>72</v>
      </c>
      <c r="FC73" s="207">
        <f>IF(BG73=1,COUNTIF($BG$2:BG73,1),"")</f>
        <v>72</v>
      </c>
      <c r="FD73" s="207">
        <f>IF(BH73=1,COUNTIF($BH$2:BH73,1),"")</f>
        <v>72</v>
      </c>
      <c r="FE73" s="207">
        <f>IF(BI73=1,COUNTIF($BI$2:BI73,1),"")</f>
        <v>72</v>
      </c>
      <c r="FF73" s="207">
        <f>IF(BJ73=1,COUNTIF($BJ$2:BJ73,1),"")</f>
        <v>72</v>
      </c>
      <c r="FG73" s="207">
        <f>IF(BK73=1,COUNTIF($BK$2:BK73,1),"")</f>
        <v>72</v>
      </c>
      <c r="FH73" s="207">
        <f>IF(BL73=1,COUNTIF($BL$2:BL73,1),"")</f>
        <v>72</v>
      </c>
      <c r="FI73" s="207">
        <f>IF(BM73=1,COUNTIF($BM$2:BM73,1),"")</f>
        <v>72</v>
      </c>
      <c r="FJ73" s="207">
        <f>IF(BN73=1,COUNTIF($BN$2:BN73,1),"")</f>
        <v>72</v>
      </c>
      <c r="FK73" s="207">
        <f>IF(BO73=1,COUNTIF($BO$2:BO73,1),"")</f>
        <v>72</v>
      </c>
      <c r="FL73" s="207">
        <f>IF(BP73=1,COUNTIF($BP$2:BP73,1),"")</f>
        <v>72</v>
      </c>
      <c r="FM73" s="207">
        <f>IF(BQ73=1,COUNTIF($BQ$2:BQ73,1),"")</f>
        <v>72</v>
      </c>
      <c r="FN73" s="207">
        <f>IF(BR73=1,COUNTIF($BR$2:BR73,1),"")</f>
        <v>72</v>
      </c>
      <c r="FO73" s="207">
        <f>IF(BS73=1,COUNTIF($BS$2:BS73,1),"")</f>
        <v>72</v>
      </c>
      <c r="FP73" s="207">
        <f>IF(BT73=1,COUNTIF($BT$2:BT73,1),"")</f>
        <v>72</v>
      </c>
      <c r="FQ73" s="207">
        <f>IF(BU73=1,COUNTIF($BU$2:BU73,1),"")</f>
        <v>72</v>
      </c>
      <c r="FR73" s="207">
        <f>IF(BV73=1,COUNTIF($BV$2:BV73,1),"")</f>
        <v>72</v>
      </c>
      <c r="FS73" s="207">
        <f>IF(BW73=1,COUNTIF($BW$2:BW73,1),"")</f>
        <v>72</v>
      </c>
      <c r="FT73" s="207">
        <f>IF(BX73=1,COUNTIF($BX$2:BX73,1),"")</f>
        <v>72</v>
      </c>
      <c r="FU73" s="207">
        <f>IF(BY73=1,COUNTIF($BY$2:BY73,1),"")</f>
        <v>72</v>
      </c>
      <c r="FV73" s="207">
        <f>IF(BZ73=1,COUNTIF($BZ$2:BZ73,1),"")</f>
        <v>72</v>
      </c>
      <c r="FW73" s="207">
        <f>IF(CA73=1,COUNTIF($CA$2:CA73,1),"")</f>
        <v>72</v>
      </c>
      <c r="FX73" s="207">
        <f>IF(CB73=1,COUNTIF($CB$2:CB73,1),"")</f>
        <v>72</v>
      </c>
      <c r="FY73" s="207">
        <f>IF(CC73=1,COUNTIF($CC$2:CC73,1),"")</f>
        <v>72</v>
      </c>
      <c r="FZ73" s="207">
        <f>IF(CD73=1,COUNTIF($CD$2:CD73,1),"")</f>
        <v>72</v>
      </c>
      <c r="GA73" s="207">
        <f>IF(CE73=1,COUNTIF($CE$2:CE73,1),"")</f>
        <v>72</v>
      </c>
      <c r="GB73" s="207">
        <f>IF(CF73=1,COUNTIF($CF$2:CF73,1),"")</f>
        <v>72</v>
      </c>
      <c r="GC73" s="207">
        <f>IF(CG73=1,COUNTIF($CG$2:CG73,1),"")</f>
        <v>72</v>
      </c>
      <c r="GD73" s="207">
        <f>IF(CH73=1,COUNTIF($CH$2:CH73,1),"")</f>
        <v>72</v>
      </c>
      <c r="GE73" s="207">
        <f>IF(CI73=1,COUNTIF($CI$2:CI73,1),"")</f>
        <v>72</v>
      </c>
      <c r="GF73" s="207">
        <f>IF(CJ73=1,COUNTIF($CJ$2:CJ73,1),"")</f>
        <v>72</v>
      </c>
      <c r="GG73" s="207">
        <f>IF(CK73=1,COUNTIF($CK$2:CK73,1),"")</f>
        <v>72</v>
      </c>
      <c r="GH73" s="207">
        <f>IF(CL73=1,COUNTIF($CL$2:CL73,1),"")</f>
        <v>72</v>
      </c>
      <c r="GI73" s="207">
        <f>IF(CM73=1,COUNTIF($CM$2:CM73,1),"")</f>
        <v>72</v>
      </c>
      <c r="GJ73" s="207">
        <f>IF(CN73=1,COUNTIF($CN$2:CN73,1),"")</f>
        <v>72</v>
      </c>
      <c r="GK73" s="207">
        <f>IF(CO73=1,COUNTIF($CO$2:CO73,1),"")</f>
        <v>72</v>
      </c>
      <c r="GL73" s="207">
        <f>IF(CP73=1,COUNTIF($CP$2:CP73,1),"")</f>
        <v>72</v>
      </c>
      <c r="GM73" s="207">
        <f>IF(CQ73=1,COUNTIF($CQ$2:CQ73,1),"")</f>
        <v>72</v>
      </c>
      <c r="GN73" s="207">
        <f>IF(CR73=1,COUNTIF($CR$2:CR73,1),"")</f>
        <v>72</v>
      </c>
      <c r="GO73" s="207">
        <f>IF(CS73=1,COUNTIF($CS$2:CS73,1),"")</f>
        <v>72</v>
      </c>
      <c r="GP73" s="207">
        <f>IF(CT73=1,COUNTIF($CT$2:CT73,1),"")</f>
        <v>72</v>
      </c>
      <c r="GQ73" s="207">
        <f>IF(CU73=1,COUNTIF($CU$2:CU73,1),"")</f>
        <v>72</v>
      </c>
      <c r="GR73" s="207">
        <f>IF(CV73=1,COUNTIF($CV$2:CV73,1),"")</f>
        <v>72</v>
      </c>
      <c r="GS73" s="207">
        <f>IF(CW73=1,COUNTIF($CW$2:CW73,1),"")</f>
        <v>72</v>
      </c>
      <c r="GT73" s="207">
        <f>IF(CX73=1,COUNTIF($CX$2:CX73,1),"")</f>
        <v>72</v>
      </c>
      <c r="GU73" s="207">
        <f>IF(CY73=1,COUNTIF($CY$2:CY73,1),"")</f>
        <v>72</v>
      </c>
      <c r="GV73" s="207">
        <f>IF(CZ73=1,COUNTIF($CZ$2:CZ73,1),"")</f>
        <v>72</v>
      </c>
      <c r="GW73" s="207">
        <f>IF(DA73=1,COUNTIF($DA$2:DA73,1),"")</f>
        <v>72</v>
      </c>
      <c r="GX73" s="206" t="str">
        <f>IFERROR(INDEX($A$2:$A$113,MATCH(ROWS($DB$2:DB73),$DB$2:$DB$113,0)),"")</f>
        <v xml:space="preserve">OTROS CLASIFICACIONES DE DELITOS CONTRA LA SALUD PUBLICA </v>
      </c>
      <c r="GY73" s="206" t="str">
        <f>IFERROR(INDEX($A$2:$A$113,MATCH(ROWS($DC$2:DC73),$DC$2:$DC$113,0)),"")</f>
        <v xml:space="preserve">OTROS CLASIFICACIONES DE DELITOS CONTRA LA SALUD PUBLICA </v>
      </c>
      <c r="GZ73" s="206" t="str">
        <f>IFERROR(INDEX($A$2:$A$113,MATCH(ROWS($DD$2:DD73),$DD$2:$DD$113,0)),"")</f>
        <v xml:space="preserve">OTROS CLASIFICACIONES DE DELITOS CONTRA LA SALUD PUBLICA </v>
      </c>
      <c r="HA73" s="206" t="str">
        <f>IFERROR(INDEX($A$2:$A$113,MATCH(ROWS($DE$2:DE73),$DE$2:$DE$113,0)),"")</f>
        <v xml:space="preserve">OTROS CLASIFICACIONES DE DELITOS CONTRA LA SALUD PUBLICA </v>
      </c>
      <c r="HB73" s="206" t="str">
        <f>IFERROR(INDEX($A$2:$A$113,MATCH(ROWS($DF$2:DF73),$DF$2:$DF$113,0)),"")</f>
        <v xml:space="preserve">OTROS CLASIFICACIONES DE DELITOS CONTRA LA SALUD PUBLICA </v>
      </c>
      <c r="HC73" s="206" t="str">
        <f>IFERROR(INDEX($A$2:$A$113,MATCH(ROWS($DG$2:DG73),$DG$2:$DG$113,0)),"")</f>
        <v xml:space="preserve">OTROS CLASIFICACIONES DE DELITOS CONTRA LA SALUD PUBLICA </v>
      </c>
      <c r="HD73" s="206" t="str">
        <f>IFERROR(INDEX($A$2:$A$113,MATCH(ROWS($DH$2:DH73),$DH$2:$DH$113,0)),"")</f>
        <v xml:space="preserve">OTROS CLASIFICACIONES DE DELITOS CONTRA LA SALUD PUBLICA </v>
      </c>
      <c r="HE73" s="206" t="str">
        <f>IFERROR(INDEX($A$2:$A$113,MATCH(ROWS($DI$2:DI73),$DI$2:$DI$113,0)),"")</f>
        <v xml:space="preserve">OTROS CLASIFICACIONES DE DELITOS CONTRA LA SALUD PUBLICA </v>
      </c>
      <c r="HF73" s="206" t="str">
        <f>IFERROR(INDEX($A$2:$A$113,MATCH(ROWS($DJ$2:DJ73),$DJ$2:$DJ$113,0)),"")</f>
        <v xml:space="preserve">OTROS CLASIFICACIONES DE DELITOS CONTRA LA SALUD PUBLICA </v>
      </c>
      <c r="HG73" s="206" t="str">
        <f>IFERROR(INDEX($A$2:$A$113,MATCH(ROWS($DK$2:DK73),$DK$2:$DK$113,0)),"")</f>
        <v xml:space="preserve">OTROS CLASIFICACIONES DE DELITOS CONTRA LA SALUD PUBLICA </v>
      </c>
      <c r="HH73" s="206" t="str">
        <f>IFERROR(INDEX($A$2:$A$113,MATCH(ROWS($DL$2:DL73),$DL$2:$DL$113,0)),"")</f>
        <v xml:space="preserve">OTROS CLASIFICACIONES DE DELITOS CONTRA LA SALUD PUBLICA </v>
      </c>
      <c r="HI73" s="206" t="str">
        <f>IFERROR(INDEX($A$2:$A$113,MATCH(ROWS($DM$2:DM73),$DM$2:$DM$113,0)),"")</f>
        <v xml:space="preserve">OTROS CLASIFICACIONES DE DELITOS CONTRA LA SALUD PUBLICA </v>
      </c>
      <c r="HJ73" s="206" t="str">
        <f>IFERROR(INDEX($A$2:$A$113,MATCH(ROWS($DN$2:DN73),$DN$2:$DN$113,0)),"")</f>
        <v xml:space="preserve">OTROS CLASIFICACIONES DE DELITOS CONTRA LA SALUD PUBLICA </v>
      </c>
      <c r="HK73" s="206" t="str">
        <f>IFERROR(INDEX($A$2:$A$113,MATCH(ROWS($DO$2:DO73),$DO$2:$DO$113,0)),"")</f>
        <v xml:space="preserve">OTROS CLASIFICACIONES DE DELITOS CONTRA LA SALUD PUBLICA </v>
      </c>
      <c r="HL73" s="206" t="str">
        <f>IFERROR(INDEX($A$2:$A$113,MATCH(ROWS($DP$2:DP73),$DP$2:$DP$113,0)),"")</f>
        <v xml:space="preserve">OTROS CLASIFICACIONES DE DELITOS CONTRA LA SALUD PUBLICA </v>
      </c>
      <c r="HM73" s="206" t="str">
        <f>IFERROR(INDEX($A$2:$A$113,MATCH(ROWS($DQ$2:DQ73),$DQ$2:$DQ$113,0)),"")</f>
        <v xml:space="preserve">OTROS CLASIFICACIONES DE DELITOS CONTRA LA SALUD PUBLICA </v>
      </c>
      <c r="HN73" s="206" t="str">
        <f>IFERROR(INDEX($A$2:$A$113,MATCH(ROWS($DR$2:DR73),$DR$2:$DR$113,0)),"")</f>
        <v xml:space="preserve">OTROS CLASIFICACIONES DE DELITOS CONTRA LA SALUD PUBLICA </v>
      </c>
      <c r="HO73" s="206" t="str">
        <f>IFERROR(INDEX($A$2:$A$113,MATCH(ROWS($DS$2:DS73),$DS$2:$DS$113,0)),"")</f>
        <v xml:space="preserve">OTROS CLASIFICACIONES DE DELITOS CONTRA LA SALUD PUBLICA </v>
      </c>
      <c r="HP73" s="206" t="str">
        <f>IFERROR(INDEX($A$2:$A$113,MATCH(ROWS($DT$2:DT73),$DT$2:$DT$113,0)),"")</f>
        <v xml:space="preserve">OTROS CLASIFICACIONES DE DELITOS CONTRA LA SALUD PUBLICA </v>
      </c>
      <c r="HQ73" s="206" t="str">
        <f>IFERROR(INDEX($A$2:$A$113,MATCH(ROWS($DU$2:DU73),$DU$2:$DU$113,0)),"")</f>
        <v xml:space="preserve">OTROS CLASIFICACIONES DE DELITOS CONTRA LA SALUD PUBLICA </v>
      </c>
      <c r="HR73" s="206" t="str">
        <f>IFERROR(INDEX($A$2:$A$113,MATCH(ROWS($DV$2:DV73),$DV$2:$DV$113,0)),"")</f>
        <v xml:space="preserve">OTROS CLASIFICACIONES DE DELITOS CONTRA LA SALUD PUBLICA </v>
      </c>
      <c r="HS73" s="206" t="str">
        <f>IFERROR(INDEX($A$2:$A$113,MATCH(ROWS($DW$2:DW73),$DW$2:$DW$113,0)),"")</f>
        <v xml:space="preserve">OTROS CLASIFICACIONES DE DELITOS CONTRA LA SALUD PUBLICA </v>
      </c>
      <c r="HT73" s="206" t="str">
        <f>IFERROR(INDEX($A$2:$A$113,MATCH(ROWS($DX$2:DX73),$DX$2:$DX$113,0)),"")</f>
        <v xml:space="preserve">OTROS CLASIFICACIONES DE DELITOS CONTRA LA SALUD PUBLICA </v>
      </c>
      <c r="HU73" s="206" t="str">
        <f>IFERROR(INDEX($A$2:$A$113,MATCH(ROWS($DY$2:DY73),$DY$2:$DY$113,0)),"")</f>
        <v xml:space="preserve">OTROS CLASIFICACIONES DE DELITOS CONTRA LA SALUD PUBLICA </v>
      </c>
      <c r="HV73" s="206" t="str">
        <f>IFERROR(INDEX($A$2:$A$113,MATCH(ROWS($DZ$2:DZ73),$DZ$2:$DZ$113,0)),"")</f>
        <v xml:space="preserve">OTROS CLASIFICACIONES DE DELITOS CONTRA LA SALUD PUBLICA </v>
      </c>
      <c r="HW73" s="206" t="str">
        <f>IFERROR(INDEX($A$2:$A$113,MATCH(ROWS($EA$2:EA73),$EA$2:$EA$113,0)),"")</f>
        <v xml:space="preserve">OTROS CLASIFICACIONES DE DELITOS CONTRA LA SALUD PUBLICA </v>
      </c>
      <c r="HX73" s="206" t="str">
        <f>IFERROR(INDEX($A$2:$A$113,MATCH(ROWS($EB$2:EB73),$EB$2:$EB$113,0)),"")</f>
        <v xml:space="preserve">OTROS CLASIFICACIONES DE DELITOS CONTRA LA SALUD PUBLICA </v>
      </c>
      <c r="HY73" s="206" t="str">
        <f>IFERROR(INDEX($A$2:$A$113,MATCH(ROWS($EC$2:EC73),$EC$2:$EC$113,0)),"")</f>
        <v xml:space="preserve">OTROS CLASIFICACIONES DE DELITOS CONTRA LA SALUD PUBLICA </v>
      </c>
      <c r="HZ73" s="206" t="str">
        <f>IFERROR(INDEX($A$2:$A$113,MATCH(ROWS($ED$2:ED73),$ED$2:$ED$113,0)),"")</f>
        <v xml:space="preserve">OTROS CLASIFICACIONES DE DELITOS CONTRA LA SALUD PUBLICA </v>
      </c>
      <c r="IA73" s="206" t="str">
        <f>IFERROR(INDEX($A$2:$A$113,MATCH(ROWS($EE$2:EE73),$EE$2:$EE$113,0)),"")</f>
        <v xml:space="preserve">OTROS CLASIFICACIONES DE DELITOS CONTRA LA SALUD PUBLICA </v>
      </c>
      <c r="IB73" s="206" t="str">
        <f>IFERROR(INDEX($A$2:$A$113,MATCH(ROWS($EF$2:EF73),$EF$2:$EF$113,0)),"")</f>
        <v xml:space="preserve">OTROS CLASIFICACIONES DE DELITOS CONTRA LA SALUD PUBLICA </v>
      </c>
      <c r="IC73" s="206" t="str">
        <f>IFERROR(INDEX($A$2:$A$113,MATCH(ROWS($EG$2:EG73),$EG$2:$EG$113,0)),"")</f>
        <v xml:space="preserve">OTROS CLASIFICACIONES DE DELITOS CONTRA LA SALUD PUBLICA </v>
      </c>
      <c r="ID73" s="206" t="str">
        <f>IFERROR(INDEX($A$2:$A$113,MATCH(ROWS($EH$2:EH73),$EH$2:$EH$113,0)),"")</f>
        <v xml:space="preserve">OTROS CLASIFICACIONES DE DELITOS CONTRA LA SALUD PUBLICA </v>
      </c>
      <c r="IE73" s="206" t="str">
        <f>IFERROR(INDEX($A$2:$A$113,MATCH(ROWS($EI$2:EI73),$EI$2:$EI$113,0)),"")</f>
        <v xml:space="preserve">OTROS CLASIFICACIONES DE DELITOS CONTRA LA SALUD PUBLICA </v>
      </c>
      <c r="IF73" s="206" t="str">
        <f>IFERROR(INDEX($A$2:$A$113,MATCH(ROWS($EJ$2:EJ73),$EJ$2:$EJ$113,0)),"")</f>
        <v xml:space="preserve">OTROS CLASIFICACIONES DE DELITOS CONTRA LA SALUD PUBLICA </v>
      </c>
      <c r="IG73" s="206" t="str">
        <f>IFERROR(INDEX($A$2:$A$113,MATCH(ROWS($EK$2:EK73),$EK$2:$EK$113,0)),"")</f>
        <v xml:space="preserve">OTROS CLASIFICACIONES DE DELITOS CONTRA LA SALUD PUBLICA </v>
      </c>
      <c r="IH73" s="206" t="str">
        <f>IFERROR(INDEX($A$2:$A$113,MATCH(ROWS($EL$2:EL73),$EL$2:$EL$113,0)),"")</f>
        <v xml:space="preserve">OTROS CLASIFICACIONES DE DELITOS CONTRA LA SALUD PUBLICA </v>
      </c>
      <c r="II73" s="206" t="str">
        <f>IFERROR(INDEX($A$2:$A$113,MATCH(ROWS($EM$2:EM73),$EM$2:$EM$113,0)),"")</f>
        <v xml:space="preserve">OTROS CLASIFICACIONES DE DELITOS CONTRA LA SALUD PUBLICA </v>
      </c>
      <c r="IJ73" s="206" t="str">
        <f>IFERROR(INDEX($A$2:$A$113,MATCH(ROWS($EN$2:EN73),$EN$2:$EN$113,0)),"")</f>
        <v xml:space="preserve">OTROS CLASIFICACIONES DE DELITOS CONTRA LA SALUD PUBLICA </v>
      </c>
      <c r="IK73" s="207" t="str">
        <f>IFERROR(INDEX($A$2:$A$113,MATCH(ROWS($EO$2:EO73),$EO$2:$EO$113,0)),"")</f>
        <v xml:space="preserve">OTROS CLASIFICACIONES DE DELITOS CONTRA LA SALUD PUBLICA </v>
      </c>
      <c r="IL73" s="207" t="str">
        <f>IFERROR(INDEX($A$2:$A$113,MATCH(ROWS($EP$2:EP73),$EP$2:$EP$113,0)),"")</f>
        <v xml:space="preserve">OTROS CLASIFICACIONES DE DELITOS CONTRA LA SALUD PUBLICA </v>
      </c>
      <c r="IM73" s="207" t="str">
        <f>IFERROR(INDEX($A$2:$A$113,MATCH(ROWS($EQ$2:EQ73),$EQ$2:$EQ$113,0)),"")</f>
        <v xml:space="preserve">OTROS CLASIFICACIONES DE DELITOS CONTRA LA SALUD PUBLICA </v>
      </c>
      <c r="IN73" s="207" t="str">
        <f>IFERROR(INDEX($A$2:$A$113,MATCH(ROWS($ER$2:ER73),$ER$2:$ER$113,0)),"")</f>
        <v xml:space="preserve">OTROS CLASIFICACIONES DE DELITOS CONTRA LA SALUD PUBLICA </v>
      </c>
      <c r="IO73" s="207" t="str">
        <f>IFERROR(INDEX($A$2:$A$113,MATCH(ROWS($ES$2:ES73),$ES$2:$ES$113,0)),"")</f>
        <v xml:space="preserve">OTROS CLASIFICACIONES DE DELITOS CONTRA LA SALUD PUBLICA </v>
      </c>
      <c r="IP73" s="207" t="str">
        <f>IFERROR(INDEX($A$2:$A$113,MATCH(ROWS($ET$2:ET73),$ET$2:$ET$113,0)),"")</f>
        <v xml:space="preserve">OTROS CLASIFICACIONES DE DELITOS CONTRA LA SALUD PUBLICA </v>
      </c>
      <c r="IQ73" s="207" t="str">
        <f>IFERROR(INDEX($A$2:$A$113,MATCH(ROWS($EU$2:EU73),$EU$2:$EU$113,0)),"")</f>
        <v xml:space="preserve">OTROS CLASIFICACIONES DE DELITOS CONTRA LA SALUD PUBLICA </v>
      </c>
      <c r="IR73" s="207" t="str">
        <f>IFERROR(INDEX($A$2:$A$113,MATCH(ROWS($EV$2:EV73),$EV$2:$EV$113,0)),"")</f>
        <v xml:space="preserve">OTROS CLASIFICACIONES DE DELITOS CONTRA LA SALUD PUBLICA </v>
      </c>
      <c r="IS73" s="207" t="str">
        <f>IFERROR(INDEX($A$2:$A$113,MATCH(ROWS($EW$2:EW73),$EW$2:$EW$113,0)),"")</f>
        <v xml:space="preserve">OTROS CLASIFICACIONES DE DELITOS CONTRA LA SALUD PUBLICA </v>
      </c>
      <c r="IT73" s="207" t="str">
        <f>IFERROR(INDEX($A$2:$A$113,MATCH(ROWS($EX$2:EX73),$EX$2:$EX$113,0)),"")</f>
        <v xml:space="preserve">OTROS CLASIFICACIONES DE DELITOS CONTRA LA SALUD PUBLICA </v>
      </c>
      <c r="IU73" s="207" t="str">
        <f>IFERROR(INDEX($A$2:$A$113,MATCH(ROWS($EY$2:EY73),$EY$2:$EY$113,0)),"")</f>
        <v xml:space="preserve">OTROS CLASIFICACIONES DE DELITOS CONTRA LA SALUD PUBLICA </v>
      </c>
      <c r="IV73" s="207" t="str">
        <f>IFERROR(INDEX($A$2:$A$113,MATCH(ROWS($EZ$2:EZ73),$EZ$2:$EZ$113,0)),"")</f>
        <v xml:space="preserve">OTROS CLASIFICACIONES DE DELITOS CONTRA LA SALUD PUBLICA </v>
      </c>
      <c r="IW73" s="207" t="str">
        <f>IFERROR(INDEX($A$2:$A$113,MATCH(ROWS($FA$2:FA73),$FA$2:$FA$113,0)),"")</f>
        <v xml:space="preserve">OTROS CLASIFICACIONES DE DELITOS CONTRA LA SALUD PUBLICA </v>
      </c>
      <c r="IX73" s="207" t="str">
        <f>IFERROR(INDEX($A$2:$A$113,MATCH(ROWS($FB$2:FB73),$FB$2:$FB$113,0)),"")</f>
        <v xml:space="preserve">OTROS CLASIFICACIONES DE DELITOS CONTRA LA SALUD PUBLICA </v>
      </c>
      <c r="IY73" s="207" t="str">
        <f>IFERROR(INDEX($A$2:$A$113,MATCH(ROWS($FC$2:FC73),$FC$2:$FC$113,0)),"")</f>
        <v xml:space="preserve">OTROS CLASIFICACIONES DE DELITOS CONTRA LA SALUD PUBLICA </v>
      </c>
      <c r="IZ73" s="207" t="str">
        <f>IFERROR(INDEX($A$2:$A$113,MATCH(ROWS($FD$2:FD73),$FD$2:$FD$113,0)),"")</f>
        <v xml:space="preserve">OTROS CLASIFICACIONES DE DELITOS CONTRA LA SALUD PUBLICA </v>
      </c>
      <c r="JA73" s="207" t="str">
        <f>IFERROR(INDEX($A$2:$A$113,MATCH(ROWS($FE$2:FE73),$FE$2:$FE$113,0)),"")</f>
        <v xml:space="preserve">OTROS CLASIFICACIONES DE DELITOS CONTRA LA SALUD PUBLICA </v>
      </c>
      <c r="JB73" s="207" t="str">
        <f>IFERROR(INDEX($A$2:$A$113,MATCH(ROWS($FF$2:FF73),$FF$2:$FF$113,0)),"")</f>
        <v xml:space="preserve">OTROS CLASIFICACIONES DE DELITOS CONTRA LA SALUD PUBLICA </v>
      </c>
      <c r="JC73" s="207" t="str">
        <f>IFERROR(INDEX($A$2:$A$113,MATCH(ROWS($FG$2:FG73),$FG$2:$FG$113,0)),"")</f>
        <v xml:space="preserve">OTROS CLASIFICACIONES DE DELITOS CONTRA LA SALUD PUBLICA </v>
      </c>
      <c r="JD73" s="207" t="str">
        <f>IFERROR(INDEX($A$2:$A$113,MATCH(ROWS($FH$2:FH73),$FH$2:$FH$113,0)),"")</f>
        <v xml:space="preserve">OTROS CLASIFICACIONES DE DELITOS CONTRA LA SALUD PUBLICA </v>
      </c>
      <c r="JE73" s="207" t="str">
        <f>IFERROR(INDEX($A$2:$A$113,MATCH(ROWS($FI$2:FI73),$FI$2:$FI$113,0)),"")</f>
        <v xml:space="preserve">OTROS CLASIFICACIONES DE DELITOS CONTRA LA SALUD PUBLICA </v>
      </c>
      <c r="JF73" s="207" t="str">
        <f>IFERROR(INDEX($A$2:$A$113,MATCH(ROWS($FJ$2:FJ73),$FJ$2:$FJ$113,0)),"")</f>
        <v xml:space="preserve">OTROS CLASIFICACIONES DE DELITOS CONTRA LA SALUD PUBLICA </v>
      </c>
      <c r="JG73" s="207" t="str">
        <f>IFERROR(INDEX($A$2:$A$113,MATCH(ROWS($FK$2:FK73),$FK$2:$FK$113,0)),"")</f>
        <v xml:space="preserve">OTROS CLASIFICACIONES DE DELITOS CONTRA LA SALUD PUBLICA </v>
      </c>
      <c r="JH73" s="207" t="str">
        <f>IFERROR(INDEX($A$2:$A$113,MATCH(ROWS($FL$2:FL73),$FL$2:$FL$113,0)),"")</f>
        <v xml:space="preserve">OTROS CLASIFICACIONES DE DELITOS CONTRA LA SALUD PUBLICA </v>
      </c>
      <c r="JI73" s="207" t="str">
        <f>IFERROR(INDEX($A$2:$A$113,MATCH(ROWS($FM$2:FM73),$FM$2:$FM$113,0)),"")</f>
        <v xml:space="preserve">OTROS CLASIFICACIONES DE DELITOS CONTRA LA SALUD PUBLICA </v>
      </c>
      <c r="JJ73" s="207" t="str">
        <f>IFERROR(INDEX($A$2:$A$113,MATCH(ROWS($FN$2:FN73),$FN$2:$FN$113,0)),"")</f>
        <v xml:space="preserve">OTROS CLASIFICACIONES DE DELITOS CONTRA LA SALUD PUBLICA </v>
      </c>
      <c r="JK73" s="207" t="str">
        <f>IFERROR(INDEX($A$2:$A$113,MATCH(ROWS($FO$2:FO73),$FO$2:$FO$113,0)),"")</f>
        <v xml:space="preserve">OTROS CLASIFICACIONES DE DELITOS CONTRA LA SALUD PUBLICA </v>
      </c>
      <c r="JL73" s="207" t="str">
        <f>IFERROR(INDEX($A$2:$A$113,MATCH(ROWS($FP$2:FP73),$FP$2:$FP$113,0)),"")</f>
        <v xml:space="preserve">OTROS CLASIFICACIONES DE DELITOS CONTRA LA SALUD PUBLICA </v>
      </c>
      <c r="JM73" s="207" t="str">
        <f>IFERROR(INDEX($A$2:$A$113,MATCH(ROWS($FQ$2:FQ73),$FQ$2:$FQ$113,0)),"")</f>
        <v xml:space="preserve">OTROS CLASIFICACIONES DE DELITOS CONTRA LA SALUD PUBLICA </v>
      </c>
      <c r="JN73" s="207" t="str">
        <f>IFERROR(INDEX($A$2:$A$113,MATCH(ROWS($FR$2:FR73),$FR$2:$FR$113,0)),"")</f>
        <v xml:space="preserve">OTROS CLASIFICACIONES DE DELITOS CONTRA LA SALUD PUBLICA </v>
      </c>
      <c r="JO73" s="207" t="str">
        <f>IFERROR(INDEX($A$2:$A$113,MATCH(ROWS($FS$2:FS73),$FS$2:$FS$113,0)),"")</f>
        <v xml:space="preserve">OTROS CLASIFICACIONES DE DELITOS CONTRA LA SALUD PUBLICA </v>
      </c>
      <c r="JP73" s="207" t="str">
        <f>IFERROR(INDEX($A$2:$A$113,MATCH(ROWS($FT$2:FT73),$FT$2:$FT$113,0)),"")</f>
        <v xml:space="preserve">OTROS CLASIFICACIONES DE DELITOS CONTRA LA SALUD PUBLICA </v>
      </c>
      <c r="JQ73" s="207" t="str">
        <f>IFERROR(INDEX($A$2:$A$113,MATCH(ROWS($FU$2:FU73),$FU$2:$FU$113,0)),"")</f>
        <v xml:space="preserve">OTROS CLASIFICACIONES DE DELITOS CONTRA LA SALUD PUBLICA </v>
      </c>
      <c r="JR73" s="207" t="str">
        <f>IFERROR(INDEX($A$2:$A$113,MATCH(ROWS($FV$2:FV73),$FV$2:$FV$113,0)),"")</f>
        <v xml:space="preserve">OTROS CLASIFICACIONES DE DELITOS CONTRA LA SALUD PUBLICA </v>
      </c>
      <c r="JS73" s="207" t="str">
        <f>IFERROR(INDEX($A$2:$A$113,MATCH(ROWS($FW$2:FW73),$FW$2:$FW$113,0)),"")</f>
        <v xml:space="preserve">OTROS CLASIFICACIONES DE DELITOS CONTRA LA SALUD PUBLICA </v>
      </c>
      <c r="JT73" s="207" t="str">
        <f>IFERROR(INDEX($A$2:$A$113,MATCH(ROWS($FX$2:FX73),$FX$2:$FX$113,0)),"")</f>
        <v xml:space="preserve">OTROS CLASIFICACIONES DE DELITOS CONTRA LA SALUD PUBLICA </v>
      </c>
      <c r="JU73" s="207" t="str">
        <f>IFERROR(INDEX($A$2:$A$113,MATCH(ROWS($FY$2:FY73),$FY$2:$FY$113,0)),"")</f>
        <v xml:space="preserve">OTROS CLASIFICACIONES DE DELITOS CONTRA LA SALUD PUBLICA </v>
      </c>
      <c r="JV73" s="207" t="str">
        <f>IFERROR(INDEX($A$2:$A$113,MATCH(ROWS($FZ$2:FZ73),$FZ$2:$FZ$113,0)),"")</f>
        <v xml:space="preserve">OTROS CLASIFICACIONES DE DELITOS CONTRA LA SALUD PUBLICA </v>
      </c>
      <c r="JW73" s="207" t="str">
        <f>IFERROR(INDEX($A$2:$A$113,MATCH(ROWS($GA$2:GA73),$GA$2:$GA$113,0)),"")</f>
        <v xml:space="preserve">OTROS CLASIFICACIONES DE DELITOS CONTRA LA SALUD PUBLICA </v>
      </c>
      <c r="JX73" s="207" t="str">
        <f>IFERROR(INDEX($A$2:$A$113,MATCH(ROWS($GB$2:GB73),$GB$2:$GB$113,0)),"")</f>
        <v xml:space="preserve">OTROS CLASIFICACIONES DE DELITOS CONTRA LA SALUD PUBLICA </v>
      </c>
      <c r="JY73" s="207" t="str">
        <f>IFERROR(INDEX($A$2:$A$113,MATCH(ROWS($GC$2:GC73),$GC$2:$GC$113,0)),"")</f>
        <v xml:space="preserve">OTROS CLASIFICACIONES DE DELITOS CONTRA LA SALUD PUBLICA </v>
      </c>
      <c r="JZ73" s="207" t="str">
        <f>IFERROR(INDEX($A$2:$A$113,MATCH(ROWS($GD$2:GD73),$GD$2:$GD$113,0)),"")</f>
        <v xml:space="preserve">OTROS CLASIFICACIONES DE DELITOS CONTRA LA SALUD PUBLICA </v>
      </c>
      <c r="KA73" s="207" t="str">
        <f>IFERROR(INDEX($A$2:$A$113,MATCH(ROWS($GE$2:GE73),$GE$2:$GE$113,0)),"")</f>
        <v xml:space="preserve">OTROS CLASIFICACIONES DE DELITOS CONTRA LA SALUD PUBLICA </v>
      </c>
      <c r="KB73" s="207" t="str">
        <f>IFERROR(INDEX($A$2:$A$113,MATCH(ROWS($GF$2:GF73),$GF$2:$GF$113,0)),"")</f>
        <v xml:space="preserve">OTROS CLASIFICACIONES DE DELITOS CONTRA LA SALUD PUBLICA </v>
      </c>
      <c r="KC73" s="207" t="str">
        <f>IFERROR(INDEX($A$2:$A$113,MATCH(ROWS($GG$2:GG73),$GG$2:$GG$113,0)),"")</f>
        <v xml:space="preserve">OTROS CLASIFICACIONES DE DELITOS CONTRA LA SALUD PUBLICA </v>
      </c>
      <c r="KD73" s="207" t="str">
        <f>IFERROR(INDEX($A$2:$A$113,MATCH(ROWS($GH$2:GH73),$GH$2:$GH$113,0)),"")</f>
        <v xml:space="preserve">OTROS CLASIFICACIONES DE DELITOS CONTRA LA SALUD PUBLICA </v>
      </c>
      <c r="KE73" s="207" t="str">
        <f>IFERROR(INDEX($A$2:$A$113,MATCH(ROWS($GI$2:GI73),$GI$2:$GI$113,0)),"")</f>
        <v xml:space="preserve">OTROS CLASIFICACIONES DE DELITOS CONTRA LA SALUD PUBLICA </v>
      </c>
      <c r="KF73" s="207" t="str">
        <f>IFERROR(INDEX($A$2:$A$113,MATCH(ROWS($GJ$2:GJ73),$GJ$2:$GJ$113,0)),"")</f>
        <v xml:space="preserve">OTROS CLASIFICACIONES DE DELITOS CONTRA LA SALUD PUBLICA </v>
      </c>
      <c r="KG73" s="207" t="str">
        <f>IFERROR(INDEX($A$2:$A$113,MATCH(ROWS($GK$2:GK73),$GK$2:$GK$113,0)),"")</f>
        <v xml:space="preserve">OTROS CLASIFICACIONES DE DELITOS CONTRA LA SALUD PUBLICA </v>
      </c>
      <c r="KH73" s="207" t="str">
        <f>IFERROR(INDEX($A$2:$A$113,MATCH(ROWS($GL$2:GL73),$GL$2:$GL$113,0)),"")</f>
        <v xml:space="preserve">OTROS CLASIFICACIONES DE DELITOS CONTRA LA SALUD PUBLICA </v>
      </c>
      <c r="KI73" s="207" t="str">
        <f>IFERROR(INDEX($A$2:$A$113,MATCH(ROWS($GM$2:GM73),$GM$2:$GM$113,0)),"")</f>
        <v xml:space="preserve">OTROS CLASIFICACIONES DE DELITOS CONTRA LA SALUD PUBLICA </v>
      </c>
      <c r="KJ73" s="207" t="str">
        <f>IFERROR(INDEX($A$2:$A$113,MATCH(ROWS($GN$2:GN73),$GN$2:$GN$113,0)),"")</f>
        <v xml:space="preserve">OTROS CLASIFICACIONES DE DELITOS CONTRA LA SALUD PUBLICA </v>
      </c>
      <c r="KK73" s="207" t="str">
        <f>IFERROR(INDEX($A$2:$A$113,MATCH(ROWS($GO$2:GO73),$GO$2:$GO$113,0)),"")</f>
        <v xml:space="preserve">OTROS CLASIFICACIONES DE DELITOS CONTRA LA SALUD PUBLICA </v>
      </c>
      <c r="KL73" s="207" t="str">
        <f>IFERROR(INDEX($A$2:$A$113,MATCH(ROWS($GP$2:GP73),$GP$2:$GP$113,0)),"")</f>
        <v xml:space="preserve">OTROS CLASIFICACIONES DE DELITOS CONTRA LA SALUD PUBLICA </v>
      </c>
      <c r="KM73" s="207" t="str">
        <f>IFERROR(INDEX($A$2:$A$113,MATCH(ROWS($GQ$2:GQ73),$GQ$2:$GQ$113,0)),"")</f>
        <v xml:space="preserve">OTROS CLASIFICACIONES DE DELITOS CONTRA LA SALUD PUBLICA </v>
      </c>
      <c r="KN73" s="207" t="str">
        <f>IFERROR(INDEX($A$2:$A$113,MATCH(ROWS($GR$2:GR73),$GR$2:$GR$113,0)),"")</f>
        <v xml:space="preserve">OTROS CLASIFICACIONES DE DELITOS CONTRA LA SALUD PUBLICA </v>
      </c>
      <c r="KO73" s="207" t="str">
        <f>IFERROR(INDEX($A$2:$A$113,MATCH(ROWS($GS$2:GS73),$GS$2:$GS$113,0)),"")</f>
        <v xml:space="preserve">OTROS CLASIFICACIONES DE DELITOS CONTRA LA SALUD PUBLICA </v>
      </c>
      <c r="KP73" s="207" t="str">
        <f>IFERROR(INDEX($A$2:$A$113,MATCH(ROWS($GT$2:GT73),$GT$2:$GT$113,0)),"")</f>
        <v xml:space="preserve">OTROS CLASIFICACIONES DE DELITOS CONTRA LA SALUD PUBLICA </v>
      </c>
      <c r="KQ73" s="207" t="str">
        <f>IFERROR(INDEX($A$2:$A$113,MATCH(ROWS($GU$2:GU73),$GU$2:$GU$113,0)),"")</f>
        <v xml:space="preserve">OTROS CLASIFICACIONES DE DELITOS CONTRA LA SALUD PUBLICA </v>
      </c>
      <c r="KR73" s="207" t="str">
        <f>IFERROR(INDEX($A$2:$A$113,MATCH(ROWS($GV$2:GV73),$GV$2:$GV$113,0)),"")</f>
        <v xml:space="preserve">OTROS CLASIFICACIONES DE DELITOS CONTRA LA SALUD PUBLICA </v>
      </c>
      <c r="KS73" s="207" t="str">
        <f>IFERROR(INDEX($A$2:$A$113,MATCH(ROWS($GW$2:GW73),$GW$2:$GW$113,0)),"")</f>
        <v xml:space="preserve">OTROS CLASIFICACIONES DE DELITOS CONTRA LA SALUD PUBLICA </v>
      </c>
    </row>
    <row r="74" spans="1:305" x14ac:dyDescent="0.25">
      <c r="A74" s="206" t="s">
        <v>907</v>
      </c>
      <c r="B74" s="206">
        <v>23</v>
      </c>
      <c r="D74" s="206" t="s">
        <v>16</v>
      </c>
      <c r="E74" s="206" t="s">
        <v>108</v>
      </c>
      <c r="F74" s="207">
        <f>--ISNUMBER(IFERROR(SEARCH('PLANILLA DJ'!$X$3,$A74,1),""))</f>
        <v>1</v>
      </c>
      <c r="G74" s="207">
        <f>--ISNUMBER(IFERROR(SEARCH('PLANILLA DJ'!$X$4,$A74,1),""))</f>
        <v>1</v>
      </c>
      <c r="H74" s="207">
        <f>--ISNUMBER(IFERROR(SEARCH('PLANILLA DJ'!$X$5,$A74,1),""))</f>
        <v>1</v>
      </c>
      <c r="I74" s="207">
        <f>--ISNUMBER(IFERROR(SEARCH('PLANILLA DJ'!$X$6,$A74,1),""))</f>
        <v>1</v>
      </c>
      <c r="J74" s="207">
        <f>--ISNUMBER(IFERROR(SEARCH('PLANILLA DJ'!$X$7,$A74,1),""))</f>
        <v>1</v>
      </c>
      <c r="K74" s="207">
        <f>--ISNUMBER(IFERROR(SEARCH('PLANILLA DJ'!$X$8,$A74,1),""))</f>
        <v>1</v>
      </c>
      <c r="L74" s="207">
        <f>--ISNUMBER(IFERROR(SEARCH('PLANILLA DJ'!$X$9,$A74,1),""))</f>
        <v>1</v>
      </c>
      <c r="M74" s="207">
        <f>--ISNUMBER(IFERROR(SEARCH('PLANILLA DJ'!$X$10,$A74,1),""))</f>
        <v>1</v>
      </c>
      <c r="N74" s="207">
        <f>--ISNUMBER(IFERROR(SEARCH('PLANILLA DJ'!$X$11,$A74,1),""))</f>
        <v>1</v>
      </c>
      <c r="O74" s="207">
        <f>--ISNUMBER(IFERROR(SEARCH('PLANILLA DJ'!$X$12,$A74,1),""))</f>
        <v>1</v>
      </c>
      <c r="P74" s="207">
        <f>--ISNUMBER(IFERROR(SEARCH('PLANILLA DJ'!$X$13,$A74,1),""))</f>
        <v>1</v>
      </c>
      <c r="Q74" s="207">
        <f>--ISNUMBER(IFERROR(SEARCH('PLANILLA DJ'!$X$14,$A74,1),""))</f>
        <v>1</v>
      </c>
      <c r="R74" s="207">
        <f>--ISNUMBER(IFERROR(SEARCH('PLANILLA DJ'!$X$15,$A74,1),""))</f>
        <v>1</v>
      </c>
      <c r="S74" s="207">
        <f>--ISNUMBER(IFERROR(SEARCH('PLANILLA DJ'!$X$16,$A74,1),""))</f>
        <v>1</v>
      </c>
      <c r="T74" s="207">
        <f>--ISNUMBER(IFERROR(SEARCH('PLANILLA DJ'!$X$17,$A74,1),""))</f>
        <v>1</v>
      </c>
      <c r="U74" s="207">
        <f>--ISNUMBER(IFERROR(SEARCH('PLANILLA DJ'!$X$18,$A74,1),""))</f>
        <v>1</v>
      </c>
      <c r="V74" s="207">
        <f>--ISNUMBER(IFERROR(SEARCH('PLANILLA DJ'!$X$19,$A74,1),""))</f>
        <v>1</v>
      </c>
      <c r="W74" s="207">
        <f>--ISNUMBER(IFERROR(SEARCH('PLANILLA DJ'!$X$20,$A74,1),""))</f>
        <v>1</v>
      </c>
      <c r="X74" s="207">
        <f>--ISNUMBER(IFERROR(SEARCH('PLANILLA DJ'!$X$21,$A74,1),""))</f>
        <v>1</v>
      </c>
      <c r="Y74" s="207">
        <f>--ISNUMBER(IFERROR(SEARCH('PLANILLA DJ'!$X$22,$A74,1),""))</f>
        <v>1</v>
      </c>
      <c r="Z74" s="207">
        <f>--ISNUMBER(IFERROR(SEARCH('PLANILLA DJ'!$X$23,$A74,1),""))</f>
        <v>1</v>
      </c>
      <c r="AA74" s="207">
        <f>--ISNUMBER(IFERROR(SEARCH('PLANILLA DJ'!$X$24,$A74,1),""))</f>
        <v>1</v>
      </c>
      <c r="AB74" s="207">
        <f>--ISNUMBER(IFERROR(SEARCH('PLANILLA DJ'!$X$25,$A74,1),""))</f>
        <v>1</v>
      </c>
      <c r="AC74" s="207">
        <f>--ISNUMBER(IFERROR(SEARCH('PLANILLA DJ'!$X$26,$A74,1),""))</f>
        <v>1</v>
      </c>
      <c r="AD74" s="207">
        <f>--ISNUMBER(IFERROR(SEARCH('PLANILLA DJ'!$X$27,$A74,1),""))</f>
        <v>1</v>
      </c>
      <c r="AE74" s="207">
        <f>--ISNUMBER(IFERROR(SEARCH('PLANILLA DJ'!$X$28,$A74,1),""))</f>
        <v>1</v>
      </c>
      <c r="AF74" s="207">
        <f>--ISNUMBER(IFERROR(SEARCH('PLANILLA DJ'!$X$29,$A74,1),""))</f>
        <v>1</v>
      </c>
      <c r="AG74" s="207">
        <f>--ISNUMBER(IFERROR(SEARCH('PLANILLA DJ'!$X$30,$A74,1),""))</f>
        <v>1</v>
      </c>
      <c r="AH74" s="207">
        <f>--ISNUMBER(IFERROR(SEARCH('PLANILLA DJ'!$X$31,$A74,1),""))</f>
        <v>1</v>
      </c>
      <c r="AI74" s="207">
        <f>--ISNUMBER(IFERROR(SEARCH('PLANILLA DJ'!$X$32,$A74,1),""))</f>
        <v>1</v>
      </c>
      <c r="AJ74" s="207">
        <f>--ISNUMBER(IFERROR(SEARCH('PLANILLA DJ'!$X$33,$A74,1),""))</f>
        <v>1</v>
      </c>
      <c r="AK74" s="207">
        <f>--ISNUMBER(IFERROR(SEARCH('PLANILLA DJ'!$X$34,$A74,1),""))</f>
        <v>1</v>
      </c>
      <c r="AL74" s="207">
        <f>--ISNUMBER(IFERROR(SEARCH('PLANILLA DJ'!$X$35,$A74,1),""))</f>
        <v>1</v>
      </c>
      <c r="AM74" s="207">
        <f>--ISNUMBER(IFERROR(SEARCH('PLANILLA DJ'!$X$36,$A74,1),""))</f>
        <v>1</v>
      </c>
      <c r="AN74" s="207">
        <f>--ISNUMBER(IFERROR(SEARCH('PLANILLA DJ'!$X$37,$A74,1),""))</f>
        <v>1</v>
      </c>
      <c r="AO74" s="207">
        <f>--ISNUMBER(IFERROR(SEARCH('PLANILLA DJ'!$X$38,$A74,1),""))</f>
        <v>1</v>
      </c>
      <c r="AP74" s="207">
        <f>--ISNUMBER(IFERROR(SEARCH('PLANILLA DJ'!$X$39,$A74,1),""))</f>
        <v>1</v>
      </c>
      <c r="AQ74" s="207">
        <f>--ISNUMBER(IFERROR(SEARCH('PLANILLA DJ'!$X$40,$A74,1),""))</f>
        <v>1</v>
      </c>
      <c r="AR74" s="207">
        <f>--ISNUMBER(IFERROR(SEARCH('PLANILLA DJ'!$X$41,$A74,1),""))</f>
        <v>1</v>
      </c>
      <c r="AS74" s="207">
        <f>--ISNUMBER(IFERROR(SEARCH('PLANILLA DJ'!$X$42,$A74,1),""))</f>
        <v>1</v>
      </c>
      <c r="AT74" s="207">
        <f>--ISNUMBER(IFERROR(SEARCH('PLANILLA DJ'!$X$43,$A74,1),""))</f>
        <v>1</v>
      </c>
      <c r="AU74" s="207">
        <f>--ISNUMBER(IFERROR(SEARCH('PLANILLA DJ'!$X$44,$A74,1),""))</f>
        <v>1</v>
      </c>
      <c r="AV74" s="207">
        <f>--ISNUMBER(IFERROR(SEARCH('PLANILLA DJ'!$X$45,$A74,1),""))</f>
        <v>1</v>
      </c>
      <c r="AW74" s="207">
        <f>--ISNUMBER(IFERROR(SEARCH('PLANILLA DJ'!$X$46,$A74,1),""))</f>
        <v>1</v>
      </c>
      <c r="AX74" s="207">
        <f>--ISNUMBER(IFERROR(SEARCH('PLANILLA DJ'!$X$47,$A74,1),""))</f>
        <v>1</v>
      </c>
      <c r="AY74" s="207">
        <f>--ISNUMBER(IFERROR(SEARCH('PLANILLA DJ'!$X$48,$A74,1),""))</f>
        <v>1</v>
      </c>
      <c r="AZ74" s="207">
        <f>--ISNUMBER(IFERROR(SEARCH('PLANILLA DJ'!$X$49,$A74,1),""))</f>
        <v>1</v>
      </c>
      <c r="BA74" s="207">
        <f>--ISNUMBER(IFERROR(SEARCH('PLANILLA DJ'!$X$50,$A74,1),""))</f>
        <v>1</v>
      </c>
      <c r="BB74" s="207">
        <f>--ISNUMBER(IFERROR(SEARCH('PLANILLA DJ'!$X$51,$A74,1),""))</f>
        <v>1</v>
      </c>
      <c r="BC74" s="207">
        <f>--ISNUMBER(IFERROR(SEARCH('PLANILLA DJ'!$X$52,$A74,1),""))</f>
        <v>1</v>
      </c>
      <c r="BD74" s="207">
        <f>--ISNUMBER(IFERROR(SEARCH('PLANILLA DJ'!$X$53,$A74,1),""))</f>
        <v>1</v>
      </c>
      <c r="BE74" s="207">
        <f>--ISNUMBER(IFERROR(SEARCH('PLANILLA DJ'!$X$54,$A74,1),""))</f>
        <v>1</v>
      </c>
      <c r="BF74" s="207">
        <f>--ISNUMBER(IFERROR(SEARCH('PLANILLA DJ'!$X$55,$A74,1),""))</f>
        <v>1</v>
      </c>
      <c r="BG74" s="207">
        <f>--ISNUMBER(IFERROR(SEARCH('PLANILLA DJ'!$X$56,$A74,1),""))</f>
        <v>1</v>
      </c>
      <c r="BH74" s="207">
        <f>--ISNUMBER(IFERROR(SEARCH('PLANILLA DJ'!$X$57,$A74,1),""))</f>
        <v>1</v>
      </c>
      <c r="BI74" s="207">
        <f>--ISNUMBER(IFERROR(SEARCH('PLANILLA DJ'!$X$58,$A74,1),""))</f>
        <v>1</v>
      </c>
      <c r="BJ74" s="207">
        <f>--ISNUMBER(IFERROR(SEARCH('PLANILLA DJ'!$X$59,$A74,1),""))</f>
        <v>1</v>
      </c>
      <c r="BK74" s="207">
        <f>--ISNUMBER(IFERROR(SEARCH('PLANILLA DJ'!$X$60,$A74,1),""))</f>
        <v>1</v>
      </c>
      <c r="BL74" s="207">
        <f>--ISNUMBER(IFERROR(SEARCH('PLANILLA DJ'!$X$61,$A74,1),""))</f>
        <v>1</v>
      </c>
      <c r="BM74" s="207">
        <f>--ISNUMBER(IFERROR(SEARCH('PLANILLA DJ'!$X$62,$A74,1),""))</f>
        <v>1</v>
      </c>
      <c r="BN74" s="207">
        <f>--ISNUMBER(IFERROR(SEARCH('PLANILLA DJ'!$X$63,$A74,1),""))</f>
        <v>1</v>
      </c>
      <c r="BO74" s="207">
        <f>--ISNUMBER(IFERROR(SEARCH('PLANILLA DJ'!$X$64,$A74,1),""))</f>
        <v>1</v>
      </c>
      <c r="BP74" s="207">
        <f>--ISNUMBER(IFERROR(SEARCH('PLANILLA DJ'!$X$65,$A74,1),""))</f>
        <v>1</v>
      </c>
      <c r="BQ74" s="207">
        <f>--ISNUMBER(IFERROR(SEARCH('PLANILLA DJ'!$X$66,$A74,1),""))</f>
        <v>1</v>
      </c>
      <c r="BR74" s="207">
        <f>--ISNUMBER(IFERROR(SEARCH('PLANILLA DJ'!$X$67,$A74,1),""))</f>
        <v>1</v>
      </c>
      <c r="BS74" s="207">
        <f>--ISNUMBER(IFERROR(SEARCH('PLANILLA DJ'!$X$68,$A74,1),""))</f>
        <v>1</v>
      </c>
      <c r="BT74" s="207">
        <f>--ISNUMBER(IFERROR(SEARCH('PLANILLA DJ'!$X$69,$A74,1),""))</f>
        <v>1</v>
      </c>
      <c r="BU74" s="207">
        <f>--ISNUMBER(IFERROR(SEARCH('PLANILLA DJ'!$X$70,$A74,1),""))</f>
        <v>1</v>
      </c>
      <c r="BV74" s="207">
        <f>--ISNUMBER(IFERROR(SEARCH('PLANILLA DJ'!$X$71,$A74,1),""))</f>
        <v>1</v>
      </c>
      <c r="BW74" s="207">
        <f>--ISNUMBER(IFERROR(SEARCH('PLANILLA DJ'!$X$72,$A74,1),""))</f>
        <v>1</v>
      </c>
      <c r="BX74" s="207">
        <f>--ISNUMBER(IFERROR(SEARCH('PLANILLA DJ'!$X$73,$A74,1),""))</f>
        <v>1</v>
      </c>
      <c r="BY74" s="207">
        <f>--ISNUMBER(IFERROR(SEARCH('PLANILLA DJ'!$X$74,$A74,1),""))</f>
        <v>1</v>
      </c>
      <c r="BZ74" s="207">
        <f>--ISNUMBER(IFERROR(SEARCH('PLANILLA DJ'!$X$75,$A74,1),""))</f>
        <v>1</v>
      </c>
      <c r="CA74" s="207">
        <f>--ISNUMBER(IFERROR(SEARCH('PLANILLA DJ'!$X$76,$A74,1),""))</f>
        <v>1</v>
      </c>
      <c r="CB74" s="207">
        <f>--ISNUMBER(IFERROR(SEARCH('PLANILLA DJ'!$X$77,$A74,1),""))</f>
        <v>1</v>
      </c>
      <c r="CC74" s="207">
        <f>--ISNUMBER(IFERROR(SEARCH('PLANILLA DJ'!$X$78,$A74,1),""))</f>
        <v>1</v>
      </c>
      <c r="CD74" s="207">
        <f>--ISNUMBER(IFERROR(SEARCH('PLANILLA DJ'!$X$79,$A74,1),""))</f>
        <v>1</v>
      </c>
      <c r="CE74" s="207">
        <f>--ISNUMBER(IFERROR(SEARCH('PLANILLA DJ'!$X$80,$A74,1),""))</f>
        <v>1</v>
      </c>
      <c r="CF74" s="207">
        <f>--ISNUMBER(IFERROR(SEARCH('PLANILLA DJ'!$X$81,$A74,1),""))</f>
        <v>1</v>
      </c>
      <c r="CG74" s="207">
        <f>--ISNUMBER(IFERROR(SEARCH('PLANILLA DJ'!$X$82,$A74,1),""))</f>
        <v>1</v>
      </c>
      <c r="CH74" s="207">
        <f>--ISNUMBER(IFERROR(SEARCH('PLANILLA DJ'!$X$83,$A74,1),""))</f>
        <v>1</v>
      </c>
      <c r="CI74" s="207">
        <f>--ISNUMBER(IFERROR(SEARCH('PLANILLA DJ'!$X$84,$A74,1),""))</f>
        <v>1</v>
      </c>
      <c r="CJ74" s="207">
        <f>--ISNUMBER(IFERROR(SEARCH('PLANILLA DJ'!$X$85,$A74,1),""))</f>
        <v>1</v>
      </c>
      <c r="CK74" s="207">
        <f>--ISNUMBER(IFERROR(SEARCH('PLANILLA DJ'!$X$86,$A74,1),""))</f>
        <v>1</v>
      </c>
      <c r="CL74" s="207">
        <f>--ISNUMBER(IFERROR(SEARCH('PLANILLA DJ'!$X$87,$A74,1),""))</f>
        <v>1</v>
      </c>
      <c r="CM74" s="207">
        <f>--ISNUMBER(IFERROR(SEARCH('PLANILLA DJ'!$X$88,$A74,1),""))</f>
        <v>1</v>
      </c>
      <c r="CN74" s="207">
        <f>--ISNUMBER(IFERROR(SEARCH('PLANILLA DJ'!$X$89,$A74,1),""))</f>
        <v>1</v>
      </c>
      <c r="CO74" s="207">
        <f>--ISNUMBER(IFERROR(SEARCH('PLANILLA DJ'!$X$90,$A74,1),""))</f>
        <v>1</v>
      </c>
      <c r="CP74" s="207">
        <f>--ISNUMBER(IFERROR(SEARCH('PLANILLA DJ'!$X$91,$A74,1),""))</f>
        <v>1</v>
      </c>
      <c r="CQ74" s="207">
        <f>--ISNUMBER(IFERROR(SEARCH('PLANILLA DJ'!$X$92,$A74,1),""))</f>
        <v>1</v>
      </c>
      <c r="CR74" s="207">
        <f>--ISNUMBER(IFERROR(SEARCH('PLANILLA DJ'!$X$93,$A74,1),""))</f>
        <v>1</v>
      </c>
      <c r="CS74" s="207">
        <f>--ISNUMBER(IFERROR(SEARCH('PLANILLA DJ'!$X$94,$A74,1),""))</f>
        <v>1</v>
      </c>
      <c r="CT74" s="207">
        <f>--ISNUMBER(IFERROR(SEARCH('PLANILLA DJ'!$X$95,$A74,1),""))</f>
        <v>1</v>
      </c>
      <c r="CU74" s="207">
        <f>--ISNUMBER(IFERROR(SEARCH('PLANILLA DJ'!$X$96,$A74,1),""))</f>
        <v>1</v>
      </c>
      <c r="CV74" s="207">
        <f>--ISNUMBER(IFERROR(SEARCH('PLANILLA DJ'!$X$97,$A74,1),""))</f>
        <v>1</v>
      </c>
      <c r="CW74" s="207">
        <f>--ISNUMBER(IFERROR(SEARCH('PLANILLA DJ'!$X$98,$A74,1),""))</f>
        <v>1</v>
      </c>
      <c r="CX74" s="207">
        <f>--ISNUMBER(IFERROR(SEARCH('PLANILLA DJ'!$X$99,$A74,1),""))</f>
        <v>1</v>
      </c>
      <c r="CY74" s="207">
        <f>--ISNUMBER(IFERROR(SEARCH('PLANILLA DJ'!$X$100,$A74,1),""))</f>
        <v>1</v>
      </c>
      <c r="CZ74" s="207">
        <f>--ISNUMBER(IFERROR(SEARCH('PLANILLA DJ'!$X$101,$A74,1),""))</f>
        <v>1</v>
      </c>
      <c r="DA74" s="207">
        <f>--ISNUMBER(IFERROR(SEARCH('PLANILLA DJ'!$X$102,$A74,1),""))</f>
        <v>1</v>
      </c>
      <c r="DB74" s="206">
        <f>IF(F74=1,COUNTIF($F$2:F74,1),"")</f>
        <v>73</v>
      </c>
      <c r="DC74" s="206">
        <f>IF(G74=1,COUNTIF($G$2:G74,1),"")</f>
        <v>73</v>
      </c>
      <c r="DD74" s="206">
        <f>IF(H74=1,COUNTIF($H$2:H74,1),"")</f>
        <v>73</v>
      </c>
      <c r="DE74" s="206">
        <f>IF(I74=1,COUNTIF($I$2:I74,1),"")</f>
        <v>73</v>
      </c>
      <c r="DF74" s="206">
        <f>IF(J74=1,COUNTIF($J$2:J74,1),"")</f>
        <v>73</v>
      </c>
      <c r="DG74" s="206">
        <f>IF(K74=1,COUNTIF($K$2:K74,1),"")</f>
        <v>73</v>
      </c>
      <c r="DH74" s="206">
        <f>IF(L74=1,COUNTIF($L$2:L74,1),"")</f>
        <v>73</v>
      </c>
      <c r="DI74" s="206">
        <f>IF(M74=1,COUNTIF($M$2:M74,1),"")</f>
        <v>73</v>
      </c>
      <c r="DJ74" s="206">
        <f>IF(N74=1,COUNTIF($N$2:N74,1),"")</f>
        <v>73</v>
      </c>
      <c r="DK74" s="206">
        <f>IF(O74=1,COUNTIF($O$2:O74,1),"")</f>
        <v>73</v>
      </c>
      <c r="DL74" s="206">
        <f>IF(P74=1,COUNTIF($P$2:P74,1),"")</f>
        <v>73</v>
      </c>
      <c r="DM74" s="206">
        <f>IF(Q74=1,COUNTIF($Q$2:Q74,1),"")</f>
        <v>73</v>
      </c>
      <c r="DN74" s="207">
        <f>IF(R74=1,COUNTIF($R$2:R74,1),"")</f>
        <v>73</v>
      </c>
      <c r="DO74" s="207">
        <f>IF(S74=1,COUNTIF($S$2:S74,1),"")</f>
        <v>73</v>
      </c>
      <c r="DP74" s="207">
        <f>IF(T74=1,COUNTIF($T$2:T74,1),"")</f>
        <v>73</v>
      </c>
      <c r="DQ74" s="207">
        <f>IF(U74=1,COUNTIF($U$2:U74,1),"")</f>
        <v>73</v>
      </c>
      <c r="DR74" s="207">
        <f>IF(V74=1,COUNTIF($V$2:V74,1),"")</f>
        <v>73</v>
      </c>
      <c r="DS74" s="207">
        <f>IF(W74=1,COUNTIF($W$2:W74,1),"")</f>
        <v>73</v>
      </c>
      <c r="DT74" s="207">
        <f>IF(X74=1,COUNTIF($X$2:X74,1),"")</f>
        <v>73</v>
      </c>
      <c r="DU74" s="207">
        <f>IF(Y74=1,COUNTIF($Y$2:Y74,1),"")</f>
        <v>73</v>
      </c>
      <c r="DV74" s="207">
        <f>IF(Z74=1,COUNTIF(Z$2:Z74,1),"")</f>
        <v>73</v>
      </c>
      <c r="DW74" s="207">
        <f>IF(AA74=1,COUNTIF($AA$2:AA74,1),"")</f>
        <v>73</v>
      </c>
      <c r="DX74" s="207">
        <f>IF(AB74=1,COUNTIF($AB$2:AB74,1),"")</f>
        <v>73</v>
      </c>
      <c r="DY74" s="207">
        <f>IF(AC74=1,COUNTIF($AC$2:AC74,1),"")</f>
        <v>73</v>
      </c>
      <c r="DZ74" s="207">
        <f>IF(AD74=1,COUNTIF($AD$2:AD74,1),"")</f>
        <v>73</v>
      </c>
      <c r="EA74" s="207">
        <f>IF(AE74=1,COUNTIF($AE$2:AE74,1),"")</f>
        <v>73</v>
      </c>
      <c r="EB74" s="207">
        <f>IF(AF74=1,COUNTIF($AF$2:AF74,1),"")</f>
        <v>73</v>
      </c>
      <c r="EC74" s="207">
        <f>IF(AG74=1,COUNTIF($AG$2:AG74,1),"")</f>
        <v>73</v>
      </c>
      <c r="ED74" s="207">
        <f>IF(AH74=1,COUNTIF($AH$2:AH74,1),"")</f>
        <v>73</v>
      </c>
      <c r="EE74" s="207">
        <f>IF(AI74=1,COUNTIF($AI$2:AI74,1),"")</f>
        <v>73</v>
      </c>
      <c r="EF74" s="207">
        <f>IF(AJ74=1,COUNTIF($AJ$2:AJ74,1),"")</f>
        <v>73</v>
      </c>
      <c r="EG74" s="207">
        <f>IF(AK74=1,COUNTIF($AK$2:AK74,1),"")</f>
        <v>73</v>
      </c>
      <c r="EH74" s="207">
        <f>IF(AL74=1,COUNTIF($AL$2:AL74,1),"")</f>
        <v>73</v>
      </c>
      <c r="EI74" s="207">
        <f>IF(AM74=1,COUNTIF($AM$2:AM74,1),"")</f>
        <v>73</v>
      </c>
      <c r="EJ74" s="207">
        <f>IF(AN74=1,COUNTIF($AN$2:AN74,1),"")</f>
        <v>73</v>
      </c>
      <c r="EK74" s="207">
        <f>IF(AO74=1,COUNTIF($AO$2:AO74,1),"")</f>
        <v>73</v>
      </c>
      <c r="EL74" s="207">
        <f>IF(AP74=1,COUNTIF($AP$2:AP74,1),"")</f>
        <v>73</v>
      </c>
      <c r="EM74" s="207">
        <f>IF(AQ74=1,COUNTIF($AQ$2:AQ74,1),"")</f>
        <v>73</v>
      </c>
      <c r="EN74" s="207">
        <f>IF(AR74=1,COUNTIF($AR$2:AR74,1),"")</f>
        <v>73</v>
      </c>
      <c r="EO74" s="207">
        <f>IF(AS74=1,COUNTIF($AS$2:AS74,1),"")</f>
        <v>73</v>
      </c>
      <c r="EP74" s="207">
        <f>IF(AT74=1,COUNTIF($AT$2:AT74,1),"")</f>
        <v>73</v>
      </c>
      <c r="EQ74" s="207">
        <f>IF(AU74=1,COUNTIF($AU$2:AU74,1),"")</f>
        <v>73</v>
      </c>
      <c r="ER74" s="207">
        <f>IF(AV74=1,COUNTIF($AV$2:AV74,1),"")</f>
        <v>73</v>
      </c>
      <c r="ES74" s="207">
        <f>IF(AW74=1,COUNTIF($AW$2:AW74,1),"")</f>
        <v>73</v>
      </c>
      <c r="ET74" s="207">
        <f>IF(AX74=1,COUNTIF($AX$2:AX74,1),"")</f>
        <v>73</v>
      </c>
      <c r="EU74" s="207">
        <f>IF(AY74=1,COUNTIF($AY$2:AY74,1),"")</f>
        <v>73</v>
      </c>
      <c r="EV74" s="207">
        <f>IF(AZ74=1,COUNTIF($AZ$2:AZ74,1),"")</f>
        <v>73</v>
      </c>
      <c r="EW74" s="207">
        <f>IF(BA74=1,COUNTIF($BA$2:BA74,1),"")</f>
        <v>73</v>
      </c>
      <c r="EX74" s="207">
        <f>IF(BB74=1,COUNTIF($BB$2:BB74,1),"")</f>
        <v>73</v>
      </c>
      <c r="EY74" s="207">
        <f>IF(BC74=1,COUNTIF($BC$2:BC74,1),"")</f>
        <v>73</v>
      </c>
      <c r="EZ74" s="207">
        <f>IF(BD74=1,COUNTIF($BD$2:BD74,1),"")</f>
        <v>73</v>
      </c>
      <c r="FA74" s="207">
        <f>IF(BE74=1,COUNTIF($BE$2:BE74,1),"")</f>
        <v>73</v>
      </c>
      <c r="FB74" s="207">
        <f>IF(BF74=1,COUNTIF($BF$2:BF74,1),"")</f>
        <v>73</v>
      </c>
      <c r="FC74" s="207">
        <f>IF(BG74=1,COUNTIF($BG$2:BG74,1),"")</f>
        <v>73</v>
      </c>
      <c r="FD74" s="207">
        <f>IF(BH74=1,COUNTIF($BH$2:BH74,1),"")</f>
        <v>73</v>
      </c>
      <c r="FE74" s="207">
        <f>IF(BI74=1,COUNTIF($BI$2:BI74,1),"")</f>
        <v>73</v>
      </c>
      <c r="FF74" s="207">
        <f>IF(BJ74=1,COUNTIF($BJ$2:BJ74,1),"")</f>
        <v>73</v>
      </c>
      <c r="FG74" s="207">
        <f>IF(BK74=1,COUNTIF($BK$2:BK74,1),"")</f>
        <v>73</v>
      </c>
      <c r="FH74" s="207">
        <f>IF(BL74=1,COUNTIF($BL$2:BL74,1),"")</f>
        <v>73</v>
      </c>
      <c r="FI74" s="207">
        <f>IF(BM74=1,COUNTIF($BM$2:BM74,1),"")</f>
        <v>73</v>
      </c>
      <c r="FJ74" s="207">
        <f>IF(BN74=1,COUNTIF($BN$2:BN74,1),"")</f>
        <v>73</v>
      </c>
      <c r="FK74" s="207">
        <f>IF(BO74=1,COUNTIF($BO$2:BO74,1),"")</f>
        <v>73</v>
      </c>
      <c r="FL74" s="207">
        <f>IF(BP74=1,COUNTIF($BP$2:BP74,1),"")</f>
        <v>73</v>
      </c>
      <c r="FM74" s="207">
        <f>IF(BQ74=1,COUNTIF($BQ$2:BQ74,1),"")</f>
        <v>73</v>
      </c>
      <c r="FN74" s="207">
        <f>IF(BR74=1,COUNTIF($BR$2:BR74,1),"")</f>
        <v>73</v>
      </c>
      <c r="FO74" s="207">
        <f>IF(BS74=1,COUNTIF($BS$2:BS74,1),"")</f>
        <v>73</v>
      </c>
      <c r="FP74" s="207">
        <f>IF(BT74=1,COUNTIF($BT$2:BT74,1),"")</f>
        <v>73</v>
      </c>
      <c r="FQ74" s="207">
        <f>IF(BU74=1,COUNTIF($BU$2:BU74,1),"")</f>
        <v>73</v>
      </c>
      <c r="FR74" s="207">
        <f>IF(BV74=1,COUNTIF($BV$2:BV74,1),"")</f>
        <v>73</v>
      </c>
      <c r="FS74" s="207">
        <f>IF(BW74=1,COUNTIF($BW$2:BW74,1),"")</f>
        <v>73</v>
      </c>
      <c r="FT74" s="207">
        <f>IF(BX74=1,COUNTIF($BX$2:BX74,1),"")</f>
        <v>73</v>
      </c>
      <c r="FU74" s="207">
        <f>IF(BY74=1,COUNTIF($BY$2:BY74,1),"")</f>
        <v>73</v>
      </c>
      <c r="FV74" s="207">
        <f>IF(BZ74=1,COUNTIF($BZ$2:BZ74,1),"")</f>
        <v>73</v>
      </c>
      <c r="FW74" s="207">
        <f>IF(CA74=1,COUNTIF($CA$2:CA74,1),"")</f>
        <v>73</v>
      </c>
      <c r="FX74" s="207">
        <f>IF(CB74=1,COUNTIF($CB$2:CB74,1),"")</f>
        <v>73</v>
      </c>
      <c r="FY74" s="207">
        <f>IF(CC74=1,COUNTIF($CC$2:CC74,1),"")</f>
        <v>73</v>
      </c>
      <c r="FZ74" s="207">
        <f>IF(CD74=1,COUNTIF($CD$2:CD74,1),"")</f>
        <v>73</v>
      </c>
      <c r="GA74" s="207">
        <f>IF(CE74=1,COUNTIF($CE$2:CE74,1),"")</f>
        <v>73</v>
      </c>
      <c r="GB74" s="207">
        <f>IF(CF74=1,COUNTIF($CF$2:CF74,1),"")</f>
        <v>73</v>
      </c>
      <c r="GC74" s="207">
        <f>IF(CG74=1,COUNTIF($CG$2:CG74,1),"")</f>
        <v>73</v>
      </c>
      <c r="GD74" s="207">
        <f>IF(CH74=1,COUNTIF($CH$2:CH74,1),"")</f>
        <v>73</v>
      </c>
      <c r="GE74" s="207">
        <f>IF(CI74=1,COUNTIF($CI$2:CI74,1),"")</f>
        <v>73</v>
      </c>
      <c r="GF74" s="207">
        <f>IF(CJ74=1,COUNTIF($CJ$2:CJ74,1),"")</f>
        <v>73</v>
      </c>
      <c r="GG74" s="207">
        <f>IF(CK74=1,COUNTIF($CK$2:CK74,1),"")</f>
        <v>73</v>
      </c>
      <c r="GH74" s="207">
        <f>IF(CL74=1,COUNTIF($CL$2:CL74,1),"")</f>
        <v>73</v>
      </c>
      <c r="GI74" s="207">
        <f>IF(CM74=1,COUNTIF($CM$2:CM74,1),"")</f>
        <v>73</v>
      </c>
      <c r="GJ74" s="207">
        <f>IF(CN74=1,COUNTIF($CN$2:CN74,1),"")</f>
        <v>73</v>
      </c>
      <c r="GK74" s="207">
        <f>IF(CO74=1,COUNTIF($CO$2:CO74,1),"")</f>
        <v>73</v>
      </c>
      <c r="GL74" s="207">
        <f>IF(CP74=1,COUNTIF($CP$2:CP74,1),"")</f>
        <v>73</v>
      </c>
      <c r="GM74" s="207">
        <f>IF(CQ74=1,COUNTIF($CQ$2:CQ74,1),"")</f>
        <v>73</v>
      </c>
      <c r="GN74" s="207">
        <f>IF(CR74=1,COUNTIF($CR$2:CR74,1),"")</f>
        <v>73</v>
      </c>
      <c r="GO74" s="207">
        <f>IF(CS74=1,COUNTIF($CS$2:CS74,1),"")</f>
        <v>73</v>
      </c>
      <c r="GP74" s="207">
        <f>IF(CT74=1,COUNTIF($CT$2:CT74,1),"")</f>
        <v>73</v>
      </c>
      <c r="GQ74" s="207">
        <f>IF(CU74=1,COUNTIF($CU$2:CU74,1),"")</f>
        <v>73</v>
      </c>
      <c r="GR74" s="207">
        <f>IF(CV74=1,COUNTIF($CV$2:CV74,1),"")</f>
        <v>73</v>
      </c>
      <c r="GS74" s="207">
        <f>IF(CW74=1,COUNTIF($CW$2:CW74,1),"")</f>
        <v>73</v>
      </c>
      <c r="GT74" s="207">
        <f>IF(CX74=1,COUNTIF($CX$2:CX74,1),"")</f>
        <v>73</v>
      </c>
      <c r="GU74" s="207">
        <f>IF(CY74=1,COUNTIF($CY$2:CY74,1),"")</f>
        <v>73</v>
      </c>
      <c r="GV74" s="207">
        <f>IF(CZ74=1,COUNTIF($CZ$2:CZ74,1),"")</f>
        <v>73</v>
      </c>
      <c r="GW74" s="207">
        <f>IF(DA74=1,COUNTIF($DA$2:DA74,1),"")</f>
        <v>73</v>
      </c>
      <c r="GX74" s="206" t="str">
        <f>IFERROR(INDEX($A$2:$A$113,MATCH(ROWS($DB$2:DB74),$DB$2:$DB$113,0)),"")</f>
        <v xml:space="preserve">INSTIGACION A COMETER DELITOS </v>
      </c>
      <c r="GY74" s="206" t="str">
        <f>IFERROR(INDEX($A$2:$A$113,MATCH(ROWS($DC$2:DC74),$DC$2:$DC$113,0)),"")</f>
        <v xml:space="preserve">INSTIGACION A COMETER DELITOS </v>
      </c>
      <c r="GZ74" s="206" t="str">
        <f>IFERROR(INDEX($A$2:$A$113,MATCH(ROWS($DD$2:DD74),$DD$2:$DD$113,0)),"")</f>
        <v xml:space="preserve">INSTIGACION A COMETER DELITOS </v>
      </c>
      <c r="HA74" s="206" t="str">
        <f>IFERROR(INDEX($A$2:$A$113,MATCH(ROWS($DE$2:DE74),$DE$2:$DE$113,0)),"")</f>
        <v xml:space="preserve">INSTIGACION A COMETER DELITOS </v>
      </c>
      <c r="HB74" s="206" t="str">
        <f>IFERROR(INDEX($A$2:$A$113,MATCH(ROWS($DF$2:DF74),$DF$2:$DF$113,0)),"")</f>
        <v xml:space="preserve">INSTIGACION A COMETER DELITOS </v>
      </c>
      <c r="HC74" s="206" t="str">
        <f>IFERROR(INDEX($A$2:$A$113,MATCH(ROWS($DG$2:DG74),$DG$2:$DG$113,0)),"")</f>
        <v xml:space="preserve">INSTIGACION A COMETER DELITOS </v>
      </c>
      <c r="HD74" s="206" t="str">
        <f>IFERROR(INDEX($A$2:$A$113,MATCH(ROWS($DH$2:DH74),$DH$2:$DH$113,0)),"")</f>
        <v xml:space="preserve">INSTIGACION A COMETER DELITOS </v>
      </c>
      <c r="HE74" s="206" t="str">
        <f>IFERROR(INDEX($A$2:$A$113,MATCH(ROWS($DI$2:DI74),$DI$2:$DI$113,0)),"")</f>
        <v xml:space="preserve">INSTIGACION A COMETER DELITOS </v>
      </c>
      <c r="HF74" s="206" t="str">
        <f>IFERROR(INDEX($A$2:$A$113,MATCH(ROWS($DJ$2:DJ74),$DJ$2:$DJ$113,0)),"")</f>
        <v xml:space="preserve">INSTIGACION A COMETER DELITOS </v>
      </c>
      <c r="HG74" s="206" t="str">
        <f>IFERROR(INDEX($A$2:$A$113,MATCH(ROWS($DK$2:DK74),$DK$2:$DK$113,0)),"")</f>
        <v xml:space="preserve">INSTIGACION A COMETER DELITOS </v>
      </c>
      <c r="HH74" s="206" t="str">
        <f>IFERROR(INDEX($A$2:$A$113,MATCH(ROWS($DL$2:DL74),$DL$2:$DL$113,0)),"")</f>
        <v xml:space="preserve">INSTIGACION A COMETER DELITOS </v>
      </c>
      <c r="HI74" s="206" t="str">
        <f>IFERROR(INDEX($A$2:$A$113,MATCH(ROWS($DM$2:DM74),$DM$2:$DM$113,0)),"")</f>
        <v xml:space="preserve">INSTIGACION A COMETER DELITOS </v>
      </c>
      <c r="HJ74" s="206" t="str">
        <f>IFERROR(INDEX($A$2:$A$113,MATCH(ROWS($DN$2:DN74),$DN$2:$DN$113,0)),"")</f>
        <v xml:space="preserve">INSTIGACION A COMETER DELITOS </v>
      </c>
      <c r="HK74" s="206" t="str">
        <f>IFERROR(INDEX($A$2:$A$113,MATCH(ROWS($DO$2:DO74),$DO$2:$DO$113,0)),"")</f>
        <v xml:space="preserve">INSTIGACION A COMETER DELITOS </v>
      </c>
      <c r="HL74" s="206" t="str">
        <f>IFERROR(INDEX($A$2:$A$113,MATCH(ROWS($DP$2:DP74),$DP$2:$DP$113,0)),"")</f>
        <v xml:space="preserve">INSTIGACION A COMETER DELITOS </v>
      </c>
      <c r="HM74" s="206" t="str">
        <f>IFERROR(INDEX($A$2:$A$113,MATCH(ROWS($DQ$2:DQ74),$DQ$2:$DQ$113,0)),"")</f>
        <v xml:space="preserve">INSTIGACION A COMETER DELITOS </v>
      </c>
      <c r="HN74" s="206" t="str">
        <f>IFERROR(INDEX($A$2:$A$113,MATCH(ROWS($DR$2:DR74),$DR$2:$DR$113,0)),"")</f>
        <v xml:space="preserve">INSTIGACION A COMETER DELITOS </v>
      </c>
      <c r="HO74" s="206" t="str">
        <f>IFERROR(INDEX($A$2:$A$113,MATCH(ROWS($DS$2:DS74),$DS$2:$DS$113,0)),"")</f>
        <v xml:space="preserve">INSTIGACION A COMETER DELITOS </v>
      </c>
      <c r="HP74" s="206" t="str">
        <f>IFERROR(INDEX($A$2:$A$113,MATCH(ROWS($DT$2:DT74),$DT$2:$DT$113,0)),"")</f>
        <v xml:space="preserve">INSTIGACION A COMETER DELITOS </v>
      </c>
      <c r="HQ74" s="206" t="str">
        <f>IFERROR(INDEX($A$2:$A$113,MATCH(ROWS($DU$2:DU74),$DU$2:$DU$113,0)),"")</f>
        <v xml:space="preserve">INSTIGACION A COMETER DELITOS </v>
      </c>
      <c r="HR74" s="206" t="str">
        <f>IFERROR(INDEX($A$2:$A$113,MATCH(ROWS($DV$2:DV74),$DV$2:$DV$113,0)),"")</f>
        <v xml:space="preserve">INSTIGACION A COMETER DELITOS </v>
      </c>
      <c r="HS74" s="206" t="str">
        <f>IFERROR(INDEX($A$2:$A$113,MATCH(ROWS($DW$2:DW74),$DW$2:$DW$113,0)),"")</f>
        <v xml:space="preserve">INSTIGACION A COMETER DELITOS </v>
      </c>
      <c r="HT74" s="206" t="str">
        <f>IFERROR(INDEX($A$2:$A$113,MATCH(ROWS($DX$2:DX74),$DX$2:$DX$113,0)),"")</f>
        <v xml:space="preserve">INSTIGACION A COMETER DELITOS </v>
      </c>
      <c r="HU74" s="206" t="str">
        <f>IFERROR(INDEX($A$2:$A$113,MATCH(ROWS($DY$2:DY74),$DY$2:$DY$113,0)),"")</f>
        <v xml:space="preserve">INSTIGACION A COMETER DELITOS </v>
      </c>
      <c r="HV74" s="206" t="str">
        <f>IFERROR(INDEX($A$2:$A$113,MATCH(ROWS($DZ$2:DZ74),$DZ$2:$DZ$113,0)),"")</f>
        <v xml:space="preserve">INSTIGACION A COMETER DELITOS </v>
      </c>
      <c r="HW74" s="206" t="str">
        <f>IFERROR(INDEX($A$2:$A$113,MATCH(ROWS($EA$2:EA74),$EA$2:$EA$113,0)),"")</f>
        <v xml:space="preserve">INSTIGACION A COMETER DELITOS </v>
      </c>
      <c r="HX74" s="206" t="str">
        <f>IFERROR(INDEX($A$2:$A$113,MATCH(ROWS($EB$2:EB74),$EB$2:$EB$113,0)),"")</f>
        <v xml:space="preserve">INSTIGACION A COMETER DELITOS </v>
      </c>
      <c r="HY74" s="206" t="str">
        <f>IFERROR(INDEX($A$2:$A$113,MATCH(ROWS($EC$2:EC74),$EC$2:$EC$113,0)),"")</f>
        <v xml:space="preserve">INSTIGACION A COMETER DELITOS </v>
      </c>
      <c r="HZ74" s="206" t="str">
        <f>IFERROR(INDEX($A$2:$A$113,MATCH(ROWS($ED$2:ED74),$ED$2:$ED$113,0)),"")</f>
        <v xml:space="preserve">INSTIGACION A COMETER DELITOS </v>
      </c>
      <c r="IA74" s="206" t="str">
        <f>IFERROR(INDEX($A$2:$A$113,MATCH(ROWS($EE$2:EE74),$EE$2:$EE$113,0)),"")</f>
        <v xml:space="preserve">INSTIGACION A COMETER DELITOS </v>
      </c>
      <c r="IB74" s="206" t="str">
        <f>IFERROR(INDEX($A$2:$A$113,MATCH(ROWS($EF$2:EF74),$EF$2:$EF$113,0)),"")</f>
        <v xml:space="preserve">INSTIGACION A COMETER DELITOS </v>
      </c>
      <c r="IC74" s="206" t="str">
        <f>IFERROR(INDEX($A$2:$A$113,MATCH(ROWS($EG$2:EG74),$EG$2:$EG$113,0)),"")</f>
        <v xml:space="preserve">INSTIGACION A COMETER DELITOS </v>
      </c>
      <c r="ID74" s="206" t="str">
        <f>IFERROR(INDEX($A$2:$A$113,MATCH(ROWS($EH$2:EH74),$EH$2:$EH$113,0)),"")</f>
        <v xml:space="preserve">INSTIGACION A COMETER DELITOS </v>
      </c>
      <c r="IE74" s="206" t="str">
        <f>IFERROR(INDEX($A$2:$A$113,MATCH(ROWS($EI$2:EI74),$EI$2:$EI$113,0)),"")</f>
        <v xml:space="preserve">INSTIGACION A COMETER DELITOS </v>
      </c>
      <c r="IF74" s="206" t="str">
        <f>IFERROR(INDEX($A$2:$A$113,MATCH(ROWS($EJ$2:EJ74),$EJ$2:$EJ$113,0)),"")</f>
        <v xml:space="preserve">INSTIGACION A COMETER DELITOS </v>
      </c>
      <c r="IG74" s="206" t="str">
        <f>IFERROR(INDEX($A$2:$A$113,MATCH(ROWS($EK$2:EK74),$EK$2:$EK$113,0)),"")</f>
        <v xml:space="preserve">INSTIGACION A COMETER DELITOS </v>
      </c>
      <c r="IH74" s="206" t="str">
        <f>IFERROR(INDEX($A$2:$A$113,MATCH(ROWS($EL$2:EL74),$EL$2:$EL$113,0)),"")</f>
        <v xml:space="preserve">INSTIGACION A COMETER DELITOS </v>
      </c>
      <c r="II74" s="206" t="str">
        <f>IFERROR(INDEX($A$2:$A$113,MATCH(ROWS($EM$2:EM74),$EM$2:$EM$113,0)),"")</f>
        <v xml:space="preserve">INSTIGACION A COMETER DELITOS </v>
      </c>
      <c r="IJ74" s="206" t="str">
        <f>IFERROR(INDEX($A$2:$A$113,MATCH(ROWS($EN$2:EN74),$EN$2:$EN$113,0)),"")</f>
        <v xml:space="preserve">INSTIGACION A COMETER DELITOS </v>
      </c>
      <c r="IK74" s="207" t="str">
        <f>IFERROR(INDEX($A$2:$A$113,MATCH(ROWS($EO$2:EO74),$EO$2:$EO$113,0)),"")</f>
        <v xml:space="preserve">INSTIGACION A COMETER DELITOS </v>
      </c>
      <c r="IL74" s="207" t="str">
        <f>IFERROR(INDEX($A$2:$A$113,MATCH(ROWS($EP$2:EP74),$EP$2:$EP$113,0)),"")</f>
        <v xml:space="preserve">INSTIGACION A COMETER DELITOS </v>
      </c>
      <c r="IM74" s="207" t="str">
        <f>IFERROR(INDEX($A$2:$A$113,MATCH(ROWS($EQ$2:EQ74),$EQ$2:$EQ$113,0)),"")</f>
        <v xml:space="preserve">INSTIGACION A COMETER DELITOS </v>
      </c>
      <c r="IN74" s="207" t="str">
        <f>IFERROR(INDEX($A$2:$A$113,MATCH(ROWS($ER$2:ER74),$ER$2:$ER$113,0)),"")</f>
        <v xml:space="preserve">INSTIGACION A COMETER DELITOS </v>
      </c>
      <c r="IO74" s="207" t="str">
        <f>IFERROR(INDEX($A$2:$A$113,MATCH(ROWS($ES$2:ES74),$ES$2:$ES$113,0)),"")</f>
        <v xml:space="preserve">INSTIGACION A COMETER DELITOS </v>
      </c>
      <c r="IP74" s="207" t="str">
        <f>IFERROR(INDEX($A$2:$A$113,MATCH(ROWS($ET$2:ET74),$ET$2:$ET$113,0)),"")</f>
        <v xml:space="preserve">INSTIGACION A COMETER DELITOS </v>
      </c>
      <c r="IQ74" s="207" t="str">
        <f>IFERROR(INDEX($A$2:$A$113,MATCH(ROWS($EU$2:EU74),$EU$2:$EU$113,0)),"")</f>
        <v xml:space="preserve">INSTIGACION A COMETER DELITOS </v>
      </c>
      <c r="IR74" s="207" t="str">
        <f>IFERROR(INDEX($A$2:$A$113,MATCH(ROWS($EV$2:EV74),$EV$2:$EV$113,0)),"")</f>
        <v xml:space="preserve">INSTIGACION A COMETER DELITOS </v>
      </c>
      <c r="IS74" s="207" t="str">
        <f>IFERROR(INDEX($A$2:$A$113,MATCH(ROWS($EW$2:EW74),$EW$2:$EW$113,0)),"")</f>
        <v xml:space="preserve">INSTIGACION A COMETER DELITOS </v>
      </c>
      <c r="IT74" s="207" t="str">
        <f>IFERROR(INDEX($A$2:$A$113,MATCH(ROWS($EX$2:EX74),$EX$2:$EX$113,0)),"")</f>
        <v xml:space="preserve">INSTIGACION A COMETER DELITOS </v>
      </c>
      <c r="IU74" s="207" t="str">
        <f>IFERROR(INDEX($A$2:$A$113,MATCH(ROWS($EY$2:EY74),$EY$2:$EY$113,0)),"")</f>
        <v xml:space="preserve">INSTIGACION A COMETER DELITOS </v>
      </c>
      <c r="IV74" s="207" t="str">
        <f>IFERROR(INDEX($A$2:$A$113,MATCH(ROWS($EZ$2:EZ74),$EZ$2:$EZ$113,0)),"")</f>
        <v xml:space="preserve">INSTIGACION A COMETER DELITOS </v>
      </c>
      <c r="IW74" s="207" t="str">
        <f>IFERROR(INDEX($A$2:$A$113,MATCH(ROWS($FA$2:FA74),$FA$2:$FA$113,0)),"")</f>
        <v xml:space="preserve">INSTIGACION A COMETER DELITOS </v>
      </c>
      <c r="IX74" s="207" t="str">
        <f>IFERROR(INDEX($A$2:$A$113,MATCH(ROWS($FB$2:FB74),$FB$2:$FB$113,0)),"")</f>
        <v xml:space="preserve">INSTIGACION A COMETER DELITOS </v>
      </c>
      <c r="IY74" s="207" t="str">
        <f>IFERROR(INDEX($A$2:$A$113,MATCH(ROWS($FC$2:FC74),$FC$2:$FC$113,0)),"")</f>
        <v xml:space="preserve">INSTIGACION A COMETER DELITOS </v>
      </c>
      <c r="IZ74" s="207" t="str">
        <f>IFERROR(INDEX($A$2:$A$113,MATCH(ROWS($FD$2:FD74),$FD$2:$FD$113,0)),"")</f>
        <v xml:space="preserve">INSTIGACION A COMETER DELITOS </v>
      </c>
      <c r="JA74" s="207" t="str">
        <f>IFERROR(INDEX($A$2:$A$113,MATCH(ROWS($FE$2:FE74),$FE$2:$FE$113,0)),"")</f>
        <v xml:space="preserve">INSTIGACION A COMETER DELITOS </v>
      </c>
      <c r="JB74" s="207" t="str">
        <f>IFERROR(INDEX($A$2:$A$113,MATCH(ROWS($FF$2:FF74),$FF$2:$FF$113,0)),"")</f>
        <v xml:space="preserve">INSTIGACION A COMETER DELITOS </v>
      </c>
      <c r="JC74" s="207" t="str">
        <f>IFERROR(INDEX($A$2:$A$113,MATCH(ROWS($FG$2:FG74),$FG$2:$FG$113,0)),"")</f>
        <v xml:space="preserve">INSTIGACION A COMETER DELITOS </v>
      </c>
      <c r="JD74" s="207" t="str">
        <f>IFERROR(INDEX($A$2:$A$113,MATCH(ROWS($FH$2:FH74),$FH$2:$FH$113,0)),"")</f>
        <v xml:space="preserve">INSTIGACION A COMETER DELITOS </v>
      </c>
      <c r="JE74" s="207" t="str">
        <f>IFERROR(INDEX($A$2:$A$113,MATCH(ROWS($FI$2:FI74),$FI$2:$FI$113,0)),"")</f>
        <v xml:space="preserve">INSTIGACION A COMETER DELITOS </v>
      </c>
      <c r="JF74" s="207" t="str">
        <f>IFERROR(INDEX($A$2:$A$113,MATCH(ROWS($FJ$2:FJ74),$FJ$2:$FJ$113,0)),"")</f>
        <v xml:space="preserve">INSTIGACION A COMETER DELITOS </v>
      </c>
      <c r="JG74" s="207" t="str">
        <f>IFERROR(INDEX($A$2:$A$113,MATCH(ROWS($FK$2:FK74),$FK$2:$FK$113,0)),"")</f>
        <v xml:space="preserve">INSTIGACION A COMETER DELITOS </v>
      </c>
      <c r="JH74" s="207" t="str">
        <f>IFERROR(INDEX($A$2:$A$113,MATCH(ROWS($FL$2:FL74),$FL$2:$FL$113,0)),"")</f>
        <v xml:space="preserve">INSTIGACION A COMETER DELITOS </v>
      </c>
      <c r="JI74" s="207" t="str">
        <f>IFERROR(INDEX($A$2:$A$113,MATCH(ROWS($FM$2:FM74),$FM$2:$FM$113,0)),"")</f>
        <v xml:space="preserve">INSTIGACION A COMETER DELITOS </v>
      </c>
      <c r="JJ74" s="207" t="str">
        <f>IFERROR(INDEX($A$2:$A$113,MATCH(ROWS($FN$2:FN74),$FN$2:$FN$113,0)),"")</f>
        <v xml:space="preserve">INSTIGACION A COMETER DELITOS </v>
      </c>
      <c r="JK74" s="207" t="str">
        <f>IFERROR(INDEX($A$2:$A$113,MATCH(ROWS($FO$2:FO74),$FO$2:$FO$113,0)),"")</f>
        <v xml:space="preserve">INSTIGACION A COMETER DELITOS </v>
      </c>
      <c r="JL74" s="207" t="str">
        <f>IFERROR(INDEX($A$2:$A$113,MATCH(ROWS($FP$2:FP74),$FP$2:$FP$113,0)),"")</f>
        <v xml:space="preserve">INSTIGACION A COMETER DELITOS </v>
      </c>
      <c r="JM74" s="207" t="str">
        <f>IFERROR(INDEX($A$2:$A$113,MATCH(ROWS($FQ$2:FQ74),$FQ$2:$FQ$113,0)),"")</f>
        <v xml:space="preserve">INSTIGACION A COMETER DELITOS </v>
      </c>
      <c r="JN74" s="207" t="str">
        <f>IFERROR(INDEX($A$2:$A$113,MATCH(ROWS($FR$2:FR74),$FR$2:$FR$113,0)),"")</f>
        <v xml:space="preserve">INSTIGACION A COMETER DELITOS </v>
      </c>
      <c r="JO74" s="207" t="str">
        <f>IFERROR(INDEX($A$2:$A$113,MATCH(ROWS($FS$2:FS74),$FS$2:$FS$113,0)),"")</f>
        <v xml:space="preserve">INSTIGACION A COMETER DELITOS </v>
      </c>
      <c r="JP74" s="207" t="str">
        <f>IFERROR(INDEX($A$2:$A$113,MATCH(ROWS($FT$2:FT74),$FT$2:$FT$113,0)),"")</f>
        <v xml:space="preserve">INSTIGACION A COMETER DELITOS </v>
      </c>
      <c r="JQ74" s="207" t="str">
        <f>IFERROR(INDEX($A$2:$A$113,MATCH(ROWS($FU$2:FU74),$FU$2:$FU$113,0)),"")</f>
        <v xml:space="preserve">INSTIGACION A COMETER DELITOS </v>
      </c>
      <c r="JR74" s="207" t="str">
        <f>IFERROR(INDEX($A$2:$A$113,MATCH(ROWS($FV$2:FV74),$FV$2:$FV$113,0)),"")</f>
        <v xml:space="preserve">INSTIGACION A COMETER DELITOS </v>
      </c>
      <c r="JS74" s="207" t="str">
        <f>IFERROR(INDEX($A$2:$A$113,MATCH(ROWS($FW$2:FW74),$FW$2:$FW$113,0)),"")</f>
        <v xml:space="preserve">INSTIGACION A COMETER DELITOS </v>
      </c>
      <c r="JT74" s="207" t="str">
        <f>IFERROR(INDEX($A$2:$A$113,MATCH(ROWS($FX$2:FX74),$FX$2:$FX$113,0)),"")</f>
        <v xml:space="preserve">INSTIGACION A COMETER DELITOS </v>
      </c>
      <c r="JU74" s="207" t="str">
        <f>IFERROR(INDEX($A$2:$A$113,MATCH(ROWS($FY$2:FY74),$FY$2:$FY$113,0)),"")</f>
        <v xml:space="preserve">INSTIGACION A COMETER DELITOS </v>
      </c>
      <c r="JV74" s="207" t="str">
        <f>IFERROR(INDEX($A$2:$A$113,MATCH(ROWS($FZ$2:FZ74),$FZ$2:$FZ$113,0)),"")</f>
        <v xml:space="preserve">INSTIGACION A COMETER DELITOS </v>
      </c>
      <c r="JW74" s="207" t="str">
        <f>IFERROR(INDEX($A$2:$A$113,MATCH(ROWS($GA$2:GA74),$GA$2:$GA$113,0)),"")</f>
        <v xml:space="preserve">INSTIGACION A COMETER DELITOS </v>
      </c>
      <c r="JX74" s="207" t="str">
        <f>IFERROR(INDEX($A$2:$A$113,MATCH(ROWS($GB$2:GB74),$GB$2:$GB$113,0)),"")</f>
        <v xml:space="preserve">INSTIGACION A COMETER DELITOS </v>
      </c>
      <c r="JY74" s="207" t="str">
        <f>IFERROR(INDEX($A$2:$A$113,MATCH(ROWS($GC$2:GC74),$GC$2:$GC$113,0)),"")</f>
        <v xml:space="preserve">INSTIGACION A COMETER DELITOS </v>
      </c>
      <c r="JZ74" s="207" t="str">
        <f>IFERROR(INDEX($A$2:$A$113,MATCH(ROWS($GD$2:GD74),$GD$2:$GD$113,0)),"")</f>
        <v xml:space="preserve">INSTIGACION A COMETER DELITOS </v>
      </c>
      <c r="KA74" s="207" t="str">
        <f>IFERROR(INDEX($A$2:$A$113,MATCH(ROWS($GE$2:GE74),$GE$2:$GE$113,0)),"")</f>
        <v xml:space="preserve">INSTIGACION A COMETER DELITOS </v>
      </c>
      <c r="KB74" s="207" t="str">
        <f>IFERROR(INDEX($A$2:$A$113,MATCH(ROWS($GF$2:GF74),$GF$2:$GF$113,0)),"")</f>
        <v xml:space="preserve">INSTIGACION A COMETER DELITOS </v>
      </c>
      <c r="KC74" s="207" t="str">
        <f>IFERROR(INDEX($A$2:$A$113,MATCH(ROWS($GG$2:GG74),$GG$2:$GG$113,0)),"")</f>
        <v xml:space="preserve">INSTIGACION A COMETER DELITOS </v>
      </c>
      <c r="KD74" s="207" t="str">
        <f>IFERROR(INDEX($A$2:$A$113,MATCH(ROWS($GH$2:GH74),$GH$2:$GH$113,0)),"")</f>
        <v xml:space="preserve">INSTIGACION A COMETER DELITOS </v>
      </c>
      <c r="KE74" s="207" t="str">
        <f>IFERROR(INDEX($A$2:$A$113,MATCH(ROWS($GI$2:GI74),$GI$2:$GI$113,0)),"")</f>
        <v xml:space="preserve">INSTIGACION A COMETER DELITOS </v>
      </c>
      <c r="KF74" s="207" t="str">
        <f>IFERROR(INDEX($A$2:$A$113,MATCH(ROWS($GJ$2:GJ74),$GJ$2:$GJ$113,0)),"")</f>
        <v xml:space="preserve">INSTIGACION A COMETER DELITOS </v>
      </c>
      <c r="KG74" s="207" t="str">
        <f>IFERROR(INDEX($A$2:$A$113,MATCH(ROWS($GK$2:GK74),$GK$2:$GK$113,0)),"")</f>
        <v xml:space="preserve">INSTIGACION A COMETER DELITOS </v>
      </c>
      <c r="KH74" s="207" t="str">
        <f>IFERROR(INDEX($A$2:$A$113,MATCH(ROWS($GL$2:GL74),$GL$2:$GL$113,0)),"")</f>
        <v xml:space="preserve">INSTIGACION A COMETER DELITOS </v>
      </c>
      <c r="KI74" s="207" t="str">
        <f>IFERROR(INDEX($A$2:$A$113,MATCH(ROWS($GM$2:GM74),$GM$2:$GM$113,0)),"")</f>
        <v xml:space="preserve">INSTIGACION A COMETER DELITOS </v>
      </c>
      <c r="KJ74" s="207" t="str">
        <f>IFERROR(INDEX($A$2:$A$113,MATCH(ROWS($GN$2:GN74),$GN$2:$GN$113,0)),"")</f>
        <v xml:space="preserve">INSTIGACION A COMETER DELITOS </v>
      </c>
      <c r="KK74" s="207" t="str">
        <f>IFERROR(INDEX($A$2:$A$113,MATCH(ROWS($GO$2:GO74),$GO$2:$GO$113,0)),"")</f>
        <v xml:space="preserve">INSTIGACION A COMETER DELITOS </v>
      </c>
      <c r="KL74" s="207" t="str">
        <f>IFERROR(INDEX($A$2:$A$113,MATCH(ROWS($GP$2:GP74),$GP$2:$GP$113,0)),"")</f>
        <v xml:space="preserve">INSTIGACION A COMETER DELITOS </v>
      </c>
      <c r="KM74" s="207" t="str">
        <f>IFERROR(INDEX($A$2:$A$113,MATCH(ROWS($GQ$2:GQ74),$GQ$2:$GQ$113,0)),"")</f>
        <v xml:space="preserve">INSTIGACION A COMETER DELITOS </v>
      </c>
      <c r="KN74" s="207" t="str">
        <f>IFERROR(INDEX($A$2:$A$113,MATCH(ROWS($GR$2:GR74),$GR$2:$GR$113,0)),"")</f>
        <v xml:space="preserve">INSTIGACION A COMETER DELITOS </v>
      </c>
      <c r="KO74" s="207" t="str">
        <f>IFERROR(INDEX($A$2:$A$113,MATCH(ROWS($GS$2:GS74),$GS$2:$GS$113,0)),"")</f>
        <v xml:space="preserve">INSTIGACION A COMETER DELITOS </v>
      </c>
      <c r="KP74" s="207" t="str">
        <f>IFERROR(INDEX($A$2:$A$113,MATCH(ROWS($GT$2:GT74),$GT$2:$GT$113,0)),"")</f>
        <v xml:space="preserve">INSTIGACION A COMETER DELITOS </v>
      </c>
      <c r="KQ74" s="207" t="str">
        <f>IFERROR(INDEX($A$2:$A$113,MATCH(ROWS($GU$2:GU74),$GU$2:$GU$113,0)),"")</f>
        <v xml:space="preserve">INSTIGACION A COMETER DELITOS </v>
      </c>
      <c r="KR74" s="207" t="str">
        <f>IFERROR(INDEX($A$2:$A$113,MATCH(ROWS($GV$2:GV74),$GV$2:$GV$113,0)),"")</f>
        <v xml:space="preserve">INSTIGACION A COMETER DELITOS </v>
      </c>
      <c r="KS74" s="207" t="str">
        <f>IFERROR(INDEX($A$2:$A$113,MATCH(ROWS($GW$2:GW74),$GW$2:$GW$113,0)),"")</f>
        <v xml:space="preserve">INSTIGACION A COMETER DELITOS </v>
      </c>
    </row>
    <row r="75" spans="1:305" x14ac:dyDescent="0.25">
      <c r="A75" s="206" t="s">
        <v>431</v>
      </c>
      <c r="B75" s="206">
        <v>23</v>
      </c>
      <c r="D75" s="206" t="s">
        <v>109</v>
      </c>
      <c r="E75" s="206" t="s">
        <v>108</v>
      </c>
      <c r="F75" s="207">
        <f>--ISNUMBER(IFERROR(SEARCH('PLANILLA DJ'!$X$3,$A75,1),""))</f>
        <v>1</v>
      </c>
      <c r="G75" s="207">
        <f>--ISNUMBER(IFERROR(SEARCH('PLANILLA DJ'!$X$4,$A75,1),""))</f>
        <v>1</v>
      </c>
      <c r="H75" s="207">
        <f>--ISNUMBER(IFERROR(SEARCH('PLANILLA DJ'!$X$5,$A75,1),""))</f>
        <v>1</v>
      </c>
      <c r="I75" s="207">
        <f>--ISNUMBER(IFERROR(SEARCH('PLANILLA DJ'!$X$6,$A75,1),""))</f>
        <v>1</v>
      </c>
      <c r="J75" s="207">
        <f>--ISNUMBER(IFERROR(SEARCH('PLANILLA DJ'!$X$7,$A75,1),""))</f>
        <v>1</v>
      </c>
      <c r="K75" s="207">
        <f>--ISNUMBER(IFERROR(SEARCH('PLANILLA DJ'!$X$8,$A75,1),""))</f>
        <v>1</v>
      </c>
      <c r="L75" s="207">
        <f>--ISNUMBER(IFERROR(SEARCH('PLANILLA DJ'!$X$9,$A75,1),""))</f>
        <v>1</v>
      </c>
      <c r="M75" s="207">
        <f>--ISNUMBER(IFERROR(SEARCH('PLANILLA DJ'!$X$10,$A75,1),""))</f>
        <v>1</v>
      </c>
      <c r="N75" s="207">
        <f>--ISNUMBER(IFERROR(SEARCH('PLANILLA DJ'!$X$11,$A75,1),""))</f>
        <v>1</v>
      </c>
      <c r="O75" s="207">
        <f>--ISNUMBER(IFERROR(SEARCH('PLANILLA DJ'!$X$12,$A75,1),""))</f>
        <v>1</v>
      </c>
      <c r="P75" s="207">
        <f>--ISNUMBER(IFERROR(SEARCH('PLANILLA DJ'!$X$13,$A75,1),""))</f>
        <v>1</v>
      </c>
      <c r="Q75" s="207">
        <f>--ISNUMBER(IFERROR(SEARCH('PLANILLA DJ'!$X$14,$A75,1),""))</f>
        <v>1</v>
      </c>
      <c r="R75" s="207">
        <f>--ISNUMBER(IFERROR(SEARCH('PLANILLA DJ'!$X$15,$A75,1),""))</f>
        <v>1</v>
      </c>
      <c r="S75" s="207">
        <f>--ISNUMBER(IFERROR(SEARCH('PLANILLA DJ'!$X$16,$A75,1),""))</f>
        <v>1</v>
      </c>
      <c r="T75" s="207">
        <f>--ISNUMBER(IFERROR(SEARCH('PLANILLA DJ'!$X$17,$A75,1),""))</f>
        <v>1</v>
      </c>
      <c r="U75" s="207">
        <f>--ISNUMBER(IFERROR(SEARCH('PLANILLA DJ'!$X$18,$A75,1),""))</f>
        <v>1</v>
      </c>
      <c r="V75" s="207">
        <f>--ISNUMBER(IFERROR(SEARCH('PLANILLA DJ'!$X$19,$A75,1),""))</f>
        <v>1</v>
      </c>
      <c r="W75" s="207">
        <f>--ISNUMBER(IFERROR(SEARCH('PLANILLA DJ'!$X$20,$A75,1),""))</f>
        <v>1</v>
      </c>
      <c r="X75" s="207">
        <f>--ISNUMBER(IFERROR(SEARCH('PLANILLA DJ'!$X$21,$A75,1),""))</f>
        <v>1</v>
      </c>
      <c r="Y75" s="207">
        <f>--ISNUMBER(IFERROR(SEARCH('PLANILLA DJ'!$X$22,$A75,1),""))</f>
        <v>1</v>
      </c>
      <c r="Z75" s="207">
        <f>--ISNUMBER(IFERROR(SEARCH('PLANILLA DJ'!$X$23,$A75,1),""))</f>
        <v>1</v>
      </c>
      <c r="AA75" s="207">
        <f>--ISNUMBER(IFERROR(SEARCH('PLANILLA DJ'!$X$24,$A75,1),""))</f>
        <v>1</v>
      </c>
      <c r="AB75" s="207">
        <f>--ISNUMBER(IFERROR(SEARCH('PLANILLA DJ'!$X$25,$A75,1),""))</f>
        <v>1</v>
      </c>
      <c r="AC75" s="207">
        <f>--ISNUMBER(IFERROR(SEARCH('PLANILLA DJ'!$X$26,$A75,1),""))</f>
        <v>1</v>
      </c>
      <c r="AD75" s="207">
        <f>--ISNUMBER(IFERROR(SEARCH('PLANILLA DJ'!$X$27,$A75,1),""))</f>
        <v>1</v>
      </c>
      <c r="AE75" s="207">
        <f>--ISNUMBER(IFERROR(SEARCH('PLANILLA DJ'!$X$28,$A75,1),""))</f>
        <v>1</v>
      </c>
      <c r="AF75" s="207">
        <f>--ISNUMBER(IFERROR(SEARCH('PLANILLA DJ'!$X$29,$A75,1),""))</f>
        <v>1</v>
      </c>
      <c r="AG75" s="207">
        <f>--ISNUMBER(IFERROR(SEARCH('PLANILLA DJ'!$X$30,$A75,1),""))</f>
        <v>1</v>
      </c>
      <c r="AH75" s="207">
        <f>--ISNUMBER(IFERROR(SEARCH('PLANILLA DJ'!$X$31,$A75,1),""))</f>
        <v>1</v>
      </c>
      <c r="AI75" s="207">
        <f>--ISNUMBER(IFERROR(SEARCH('PLANILLA DJ'!$X$32,$A75,1),""))</f>
        <v>1</v>
      </c>
      <c r="AJ75" s="207">
        <f>--ISNUMBER(IFERROR(SEARCH('PLANILLA DJ'!$X$33,$A75,1),""))</f>
        <v>1</v>
      </c>
      <c r="AK75" s="207">
        <f>--ISNUMBER(IFERROR(SEARCH('PLANILLA DJ'!$X$34,$A75,1),""))</f>
        <v>1</v>
      </c>
      <c r="AL75" s="207">
        <f>--ISNUMBER(IFERROR(SEARCH('PLANILLA DJ'!$X$35,$A75,1),""))</f>
        <v>1</v>
      </c>
      <c r="AM75" s="207">
        <f>--ISNUMBER(IFERROR(SEARCH('PLANILLA DJ'!$X$36,$A75,1),""))</f>
        <v>1</v>
      </c>
      <c r="AN75" s="207">
        <f>--ISNUMBER(IFERROR(SEARCH('PLANILLA DJ'!$X$37,$A75,1),""))</f>
        <v>1</v>
      </c>
      <c r="AO75" s="207">
        <f>--ISNUMBER(IFERROR(SEARCH('PLANILLA DJ'!$X$38,$A75,1),""))</f>
        <v>1</v>
      </c>
      <c r="AP75" s="207">
        <f>--ISNUMBER(IFERROR(SEARCH('PLANILLA DJ'!$X$39,$A75,1),""))</f>
        <v>1</v>
      </c>
      <c r="AQ75" s="207">
        <f>--ISNUMBER(IFERROR(SEARCH('PLANILLA DJ'!$X$40,$A75,1),""))</f>
        <v>1</v>
      </c>
      <c r="AR75" s="207">
        <f>--ISNUMBER(IFERROR(SEARCH('PLANILLA DJ'!$X$41,$A75,1),""))</f>
        <v>1</v>
      </c>
      <c r="AS75" s="207">
        <f>--ISNUMBER(IFERROR(SEARCH('PLANILLA DJ'!$X$42,$A75,1),""))</f>
        <v>1</v>
      </c>
      <c r="AT75" s="207">
        <f>--ISNUMBER(IFERROR(SEARCH('PLANILLA DJ'!$X$43,$A75,1),""))</f>
        <v>1</v>
      </c>
      <c r="AU75" s="207">
        <f>--ISNUMBER(IFERROR(SEARCH('PLANILLA DJ'!$X$44,$A75,1),""))</f>
        <v>1</v>
      </c>
      <c r="AV75" s="207">
        <f>--ISNUMBER(IFERROR(SEARCH('PLANILLA DJ'!$X$45,$A75,1),""))</f>
        <v>1</v>
      </c>
      <c r="AW75" s="207">
        <f>--ISNUMBER(IFERROR(SEARCH('PLANILLA DJ'!$X$46,$A75,1),""))</f>
        <v>1</v>
      </c>
      <c r="AX75" s="207">
        <f>--ISNUMBER(IFERROR(SEARCH('PLANILLA DJ'!$X$47,$A75,1),""))</f>
        <v>1</v>
      </c>
      <c r="AY75" s="207">
        <f>--ISNUMBER(IFERROR(SEARCH('PLANILLA DJ'!$X$48,$A75,1),""))</f>
        <v>1</v>
      </c>
      <c r="AZ75" s="207">
        <f>--ISNUMBER(IFERROR(SEARCH('PLANILLA DJ'!$X$49,$A75,1),""))</f>
        <v>1</v>
      </c>
      <c r="BA75" s="207">
        <f>--ISNUMBER(IFERROR(SEARCH('PLANILLA DJ'!$X$50,$A75,1),""))</f>
        <v>1</v>
      </c>
      <c r="BB75" s="207">
        <f>--ISNUMBER(IFERROR(SEARCH('PLANILLA DJ'!$X$51,$A75,1),""))</f>
        <v>1</v>
      </c>
      <c r="BC75" s="207">
        <f>--ISNUMBER(IFERROR(SEARCH('PLANILLA DJ'!$X$52,$A75,1),""))</f>
        <v>1</v>
      </c>
      <c r="BD75" s="207">
        <f>--ISNUMBER(IFERROR(SEARCH('PLANILLA DJ'!$X$53,$A75,1),""))</f>
        <v>1</v>
      </c>
      <c r="BE75" s="207">
        <f>--ISNUMBER(IFERROR(SEARCH('PLANILLA DJ'!$X$54,$A75,1),""))</f>
        <v>1</v>
      </c>
      <c r="BF75" s="207">
        <f>--ISNUMBER(IFERROR(SEARCH('PLANILLA DJ'!$X$55,$A75,1),""))</f>
        <v>1</v>
      </c>
      <c r="BG75" s="207">
        <f>--ISNUMBER(IFERROR(SEARCH('PLANILLA DJ'!$X$56,$A75,1),""))</f>
        <v>1</v>
      </c>
      <c r="BH75" s="207">
        <f>--ISNUMBER(IFERROR(SEARCH('PLANILLA DJ'!$X$57,$A75,1),""))</f>
        <v>1</v>
      </c>
      <c r="BI75" s="207">
        <f>--ISNUMBER(IFERROR(SEARCH('PLANILLA DJ'!$X$58,$A75,1),""))</f>
        <v>1</v>
      </c>
      <c r="BJ75" s="207">
        <f>--ISNUMBER(IFERROR(SEARCH('PLANILLA DJ'!$X$59,$A75,1),""))</f>
        <v>1</v>
      </c>
      <c r="BK75" s="207">
        <f>--ISNUMBER(IFERROR(SEARCH('PLANILLA DJ'!$X$60,$A75,1),""))</f>
        <v>1</v>
      </c>
      <c r="BL75" s="207">
        <f>--ISNUMBER(IFERROR(SEARCH('PLANILLA DJ'!$X$61,$A75,1),""))</f>
        <v>1</v>
      </c>
      <c r="BM75" s="207">
        <f>--ISNUMBER(IFERROR(SEARCH('PLANILLA DJ'!$X$62,$A75,1),""))</f>
        <v>1</v>
      </c>
      <c r="BN75" s="207">
        <f>--ISNUMBER(IFERROR(SEARCH('PLANILLA DJ'!$X$63,$A75,1),""))</f>
        <v>1</v>
      </c>
      <c r="BO75" s="207">
        <f>--ISNUMBER(IFERROR(SEARCH('PLANILLA DJ'!$X$64,$A75,1),""))</f>
        <v>1</v>
      </c>
      <c r="BP75" s="207">
        <f>--ISNUMBER(IFERROR(SEARCH('PLANILLA DJ'!$X$65,$A75,1),""))</f>
        <v>1</v>
      </c>
      <c r="BQ75" s="207">
        <f>--ISNUMBER(IFERROR(SEARCH('PLANILLA DJ'!$X$66,$A75,1),""))</f>
        <v>1</v>
      </c>
      <c r="BR75" s="207">
        <f>--ISNUMBER(IFERROR(SEARCH('PLANILLA DJ'!$X$67,$A75,1),""))</f>
        <v>1</v>
      </c>
      <c r="BS75" s="207">
        <f>--ISNUMBER(IFERROR(SEARCH('PLANILLA DJ'!$X$68,$A75,1),""))</f>
        <v>1</v>
      </c>
      <c r="BT75" s="207">
        <f>--ISNUMBER(IFERROR(SEARCH('PLANILLA DJ'!$X$69,$A75,1),""))</f>
        <v>1</v>
      </c>
      <c r="BU75" s="207">
        <f>--ISNUMBER(IFERROR(SEARCH('PLANILLA DJ'!$X$70,$A75,1),""))</f>
        <v>1</v>
      </c>
      <c r="BV75" s="207">
        <f>--ISNUMBER(IFERROR(SEARCH('PLANILLA DJ'!$X$71,$A75,1),""))</f>
        <v>1</v>
      </c>
      <c r="BW75" s="207">
        <f>--ISNUMBER(IFERROR(SEARCH('PLANILLA DJ'!$X$72,$A75,1),""))</f>
        <v>1</v>
      </c>
      <c r="BX75" s="207">
        <f>--ISNUMBER(IFERROR(SEARCH('PLANILLA DJ'!$X$73,$A75,1),""))</f>
        <v>1</v>
      </c>
      <c r="BY75" s="207">
        <f>--ISNUMBER(IFERROR(SEARCH('PLANILLA DJ'!$X$74,$A75,1),""))</f>
        <v>1</v>
      </c>
      <c r="BZ75" s="207">
        <f>--ISNUMBER(IFERROR(SEARCH('PLANILLA DJ'!$X$75,$A75,1),""))</f>
        <v>1</v>
      </c>
      <c r="CA75" s="207">
        <f>--ISNUMBER(IFERROR(SEARCH('PLANILLA DJ'!$X$76,$A75,1),""))</f>
        <v>1</v>
      </c>
      <c r="CB75" s="207">
        <f>--ISNUMBER(IFERROR(SEARCH('PLANILLA DJ'!$X$77,$A75,1),""))</f>
        <v>1</v>
      </c>
      <c r="CC75" s="207">
        <f>--ISNUMBER(IFERROR(SEARCH('PLANILLA DJ'!$X$78,$A75,1),""))</f>
        <v>1</v>
      </c>
      <c r="CD75" s="207">
        <f>--ISNUMBER(IFERROR(SEARCH('PLANILLA DJ'!$X$79,$A75,1),""))</f>
        <v>1</v>
      </c>
      <c r="CE75" s="207">
        <f>--ISNUMBER(IFERROR(SEARCH('PLANILLA DJ'!$X$80,$A75,1),""))</f>
        <v>1</v>
      </c>
      <c r="CF75" s="207">
        <f>--ISNUMBER(IFERROR(SEARCH('PLANILLA DJ'!$X$81,$A75,1),""))</f>
        <v>1</v>
      </c>
      <c r="CG75" s="207">
        <f>--ISNUMBER(IFERROR(SEARCH('PLANILLA DJ'!$X$82,$A75,1),""))</f>
        <v>1</v>
      </c>
      <c r="CH75" s="207">
        <f>--ISNUMBER(IFERROR(SEARCH('PLANILLA DJ'!$X$83,$A75,1),""))</f>
        <v>1</v>
      </c>
      <c r="CI75" s="207">
        <f>--ISNUMBER(IFERROR(SEARCH('PLANILLA DJ'!$X$84,$A75,1),""))</f>
        <v>1</v>
      </c>
      <c r="CJ75" s="207">
        <f>--ISNUMBER(IFERROR(SEARCH('PLANILLA DJ'!$X$85,$A75,1),""))</f>
        <v>1</v>
      </c>
      <c r="CK75" s="207">
        <f>--ISNUMBER(IFERROR(SEARCH('PLANILLA DJ'!$X$86,$A75,1),""))</f>
        <v>1</v>
      </c>
      <c r="CL75" s="207">
        <f>--ISNUMBER(IFERROR(SEARCH('PLANILLA DJ'!$X$87,$A75,1),""))</f>
        <v>1</v>
      </c>
      <c r="CM75" s="207">
        <f>--ISNUMBER(IFERROR(SEARCH('PLANILLA DJ'!$X$88,$A75,1),""))</f>
        <v>1</v>
      </c>
      <c r="CN75" s="207">
        <f>--ISNUMBER(IFERROR(SEARCH('PLANILLA DJ'!$X$89,$A75,1),""))</f>
        <v>1</v>
      </c>
      <c r="CO75" s="207">
        <f>--ISNUMBER(IFERROR(SEARCH('PLANILLA DJ'!$X$90,$A75,1),""))</f>
        <v>1</v>
      </c>
      <c r="CP75" s="207">
        <f>--ISNUMBER(IFERROR(SEARCH('PLANILLA DJ'!$X$91,$A75,1),""))</f>
        <v>1</v>
      </c>
      <c r="CQ75" s="207">
        <f>--ISNUMBER(IFERROR(SEARCH('PLANILLA DJ'!$X$92,$A75,1),""))</f>
        <v>1</v>
      </c>
      <c r="CR75" s="207">
        <f>--ISNUMBER(IFERROR(SEARCH('PLANILLA DJ'!$X$93,$A75,1),""))</f>
        <v>1</v>
      </c>
      <c r="CS75" s="207">
        <f>--ISNUMBER(IFERROR(SEARCH('PLANILLA DJ'!$X$94,$A75,1),""))</f>
        <v>1</v>
      </c>
      <c r="CT75" s="207">
        <f>--ISNUMBER(IFERROR(SEARCH('PLANILLA DJ'!$X$95,$A75,1),""))</f>
        <v>1</v>
      </c>
      <c r="CU75" s="207">
        <f>--ISNUMBER(IFERROR(SEARCH('PLANILLA DJ'!$X$96,$A75,1),""))</f>
        <v>1</v>
      </c>
      <c r="CV75" s="207">
        <f>--ISNUMBER(IFERROR(SEARCH('PLANILLA DJ'!$X$97,$A75,1),""))</f>
        <v>1</v>
      </c>
      <c r="CW75" s="207">
        <f>--ISNUMBER(IFERROR(SEARCH('PLANILLA DJ'!$X$98,$A75,1),""))</f>
        <v>1</v>
      </c>
      <c r="CX75" s="207">
        <f>--ISNUMBER(IFERROR(SEARCH('PLANILLA DJ'!$X$99,$A75,1),""))</f>
        <v>1</v>
      </c>
      <c r="CY75" s="207">
        <f>--ISNUMBER(IFERROR(SEARCH('PLANILLA DJ'!$X$100,$A75,1),""))</f>
        <v>1</v>
      </c>
      <c r="CZ75" s="207">
        <f>--ISNUMBER(IFERROR(SEARCH('PLANILLA DJ'!$X$101,$A75,1),""))</f>
        <v>1</v>
      </c>
      <c r="DA75" s="207">
        <f>--ISNUMBER(IFERROR(SEARCH('PLANILLA DJ'!$X$102,$A75,1),""))</f>
        <v>1</v>
      </c>
      <c r="DB75" s="206">
        <f>IF(F75=1,COUNTIF($F$2:F75,1),"")</f>
        <v>74</v>
      </c>
      <c r="DC75" s="206">
        <f>IF(G75=1,COUNTIF($G$2:G75,1),"")</f>
        <v>74</v>
      </c>
      <c r="DD75" s="206">
        <f>IF(H75=1,COUNTIF($H$2:H75,1),"")</f>
        <v>74</v>
      </c>
      <c r="DE75" s="206">
        <f>IF(I75=1,COUNTIF($I$2:I75,1),"")</f>
        <v>74</v>
      </c>
      <c r="DF75" s="206">
        <f>IF(J75=1,COUNTIF($J$2:J75,1),"")</f>
        <v>74</v>
      </c>
      <c r="DG75" s="206">
        <f>IF(K75=1,COUNTIF($K$2:K75,1),"")</f>
        <v>74</v>
      </c>
      <c r="DH75" s="206">
        <f>IF(L75=1,COUNTIF($L$2:L75,1),"")</f>
        <v>74</v>
      </c>
      <c r="DI75" s="206">
        <f>IF(M75=1,COUNTIF($M$2:M75,1),"")</f>
        <v>74</v>
      </c>
      <c r="DJ75" s="206">
        <f>IF(N75=1,COUNTIF($N$2:N75,1),"")</f>
        <v>74</v>
      </c>
      <c r="DK75" s="206">
        <f>IF(O75=1,COUNTIF($O$2:O75,1),"")</f>
        <v>74</v>
      </c>
      <c r="DL75" s="206">
        <f>IF(P75=1,COUNTIF($P$2:P75,1),"")</f>
        <v>74</v>
      </c>
      <c r="DM75" s="206">
        <f>IF(Q75=1,COUNTIF($Q$2:Q75,1),"")</f>
        <v>74</v>
      </c>
      <c r="DN75" s="207">
        <f>IF(R75=1,COUNTIF($R$2:R75,1),"")</f>
        <v>74</v>
      </c>
      <c r="DO75" s="207">
        <f>IF(S75=1,COUNTIF($S$2:S75,1),"")</f>
        <v>74</v>
      </c>
      <c r="DP75" s="207">
        <f>IF(T75=1,COUNTIF($T$2:T75,1),"")</f>
        <v>74</v>
      </c>
      <c r="DQ75" s="207">
        <f>IF(U75=1,COUNTIF($U$2:U75,1),"")</f>
        <v>74</v>
      </c>
      <c r="DR75" s="207">
        <f>IF(V75=1,COUNTIF($V$2:V75,1),"")</f>
        <v>74</v>
      </c>
      <c r="DS75" s="207">
        <f>IF(W75=1,COUNTIF($W$2:W75,1),"")</f>
        <v>74</v>
      </c>
      <c r="DT75" s="207">
        <f>IF(X75=1,COUNTIF($X$2:X75,1),"")</f>
        <v>74</v>
      </c>
      <c r="DU75" s="207">
        <f>IF(Y75=1,COUNTIF($Y$2:Y75,1),"")</f>
        <v>74</v>
      </c>
      <c r="DV75" s="207">
        <f>IF(Z75=1,COUNTIF(Z$2:Z75,1),"")</f>
        <v>74</v>
      </c>
      <c r="DW75" s="207">
        <f>IF(AA75=1,COUNTIF($AA$2:AA75,1),"")</f>
        <v>74</v>
      </c>
      <c r="DX75" s="207">
        <f>IF(AB75=1,COUNTIF($AB$2:AB75,1),"")</f>
        <v>74</v>
      </c>
      <c r="DY75" s="207">
        <f>IF(AC75=1,COUNTIF($AC$2:AC75,1),"")</f>
        <v>74</v>
      </c>
      <c r="DZ75" s="207">
        <f>IF(AD75=1,COUNTIF($AD$2:AD75,1),"")</f>
        <v>74</v>
      </c>
      <c r="EA75" s="207">
        <f>IF(AE75=1,COUNTIF($AE$2:AE75,1),"")</f>
        <v>74</v>
      </c>
      <c r="EB75" s="207">
        <f>IF(AF75=1,COUNTIF($AF$2:AF75,1),"")</f>
        <v>74</v>
      </c>
      <c r="EC75" s="207">
        <f>IF(AG75=1,COUNTIF($AG$2:AG75,1),"")</f>
        <v>74</v>
      </c>
      <c r="ED75" s="207">
        <f>IF(AH75=1,COUNTIF($AH$2:AH75,1),"")</f>
        <v>74</v>
      </c>
      <c r="EE75" s="207">
        <f>IF(AI75=1,COUNTIF($AI$2:AI75,1),"")</f>
        <v>74</v>
      </c>
      <c r="EF75" s="207">
        <f>IF(AJ75=1,COUNTIF($AJ$2:AJ75,1),"")</f>
        <v>74</v>
      </c>
      <c r="EG75" s="207">
        <f>IF(AK75=1,COUNTIF($AK$2:AK75,1),"")</f>
        <v>74</v>
      </c>
      <c r="EH75" s="207">
        <f>IF(AL75=1,COUNTIF($AL$2:AL75,1),"")</f>
        <v>74</v>
      </c>
      <c r="EI75" s="207">
        <f>IF(AM75=1,COUNTIF($AM$2:AM75,1),"")</f>
        <v>74</v>
      </c>
      <c r="EJ75" s="207">
        <f>IF(AN75=1,COUNTIF($AN$2:AN75,1),"")</f>
        <v>74</v>
      </c>
      <c r="EK75" s="207">
        <f>IF(AO75=1,COUNTIF($AO$2:AO75,1),"")</f>
        <v>74</v>
      </c>
      <c r="EL75" s="207">
        <f>IF(AP75=1,COUNTIF($AP$2:AP75,1),"")</f>
        <v>74</v>
      </c>
      <c r="EM75" s="207">
        <f>IF(AQ75=1,COUNTIF($AQ$2:AQ75,1),"")</f>
        <v>74</v>
      </c>
      <c r="EN75" s="207">
        <f>IF(AR75=1,COUNTIF($AR$2:AR75,1),"")</f>
        <v>74</v>
      </c>
      <c r="EO75" s="207">
        <f>IF(AS75=1,COUNTIF($AS$2:AS75,1),"")</f>
        <v>74</v>
      </c>
      <c r="EP75" s="207">
        <f>IF(AT75=1,COUNTIF($AT$2:AT75,1),"")</f>
        <v>74</v>
      </c>
      <c r="EQ75" s="207">
        <f>IF(AU75=1,COUNTIF($AU$2:AU75,1),"")</f>
        <v>74</v>
      </c>
      <c r="ER75" s="207">
        <f>IF(AV75=1,COUNTIF($AV$2:AV75,1),"")</f>
        <v>74</v>
      </c>
      <c r="ES75" s="207">
        <f>IF(AW75=1,COUNTIF($AW$2:AW75,1),"")</f>
        <v>74</v>
      </c>
      <c r="ET75" s="207">
        <f>IF(AX75=1,COUNTIF($AX$2:AX75,1),"")</f>
        <v>74</v>
      </c>
      <c r="EU75" s="207">
        <f>IF(AY75=1,COUNTIF($AY$2:AY75,1),"")</f>
        <v>74</v>
      </c>
      <c r="EV75" s="207">
        <f>IF(AZ75=1,COUNTIF($AZ$2:AZ75,1),"")</f>
        <v>74</v>
      </c>
      <c r="EW75" s="207">
        <f>IF(BA75=1,COUNTIF($BA$2:BA75,1),"")</f>
        <v>74</v>
      </c>
      <c r="EX75" s="207">
        <f>IF(BB75=1,COUNTIF($BB$2:BB75,1),"")</f>
        <v>74</v>
      </c>
      <c r="EY75" s="207">
        <f>IF(BC75=1,COUNTIF($BC$2:BC75,1),"")</f>
        <v>74</v>
      </c>
      <c r="EZ75" s="207">
        <f>IF(BD75=1,COUNTIF($BD$2:BD75,1),"")</f>
        <v>74</v>
      </c>
      <c r="FA75" s="207">
        <f>IF(BE75=1,COUNTIF($BE$2:BE75,1),"")</f>
        <v>74</v>
      </c>
      <c r="FB75" s="207">
        <f>IF(BF75=1,COUNTIF($BF$2:BF75,1),"")</f>
        <v>74</v>
      </c>
      <c r="FC75" s="207">
        <f>IF(BG75=1,COUNTIF($BG$2:BG75,1),"")</f>
        <v>74</v>
      </c>
      <c r="FD75" s="207">
        <f>IF(BH75=1,COUNTIF($BH$2:BH75,1),"")</f>
        <v>74</v>
      </c>
      <c r="FE75" s="207">
        <f>IF(BI75=1,COUNTIF($BI$2:BI75,1),"")</f>
        <v>74</v>
      </c>
      <c r="FF75" s="207">
        <f>IF(BJ75=1,COUNTIF($BJ$2:BJ75,1),"")</f>
        <v>74</v>
      </c>
      <c r="FG75" s="207">
        <f>IF(BK75=1,COUNTIF($BK$2:BK75,1),"")</f>
        <v>74</v>
      </c>
      <c r="FH75" s="207">
        <f>IF(BL75=1,COUNTIF($BL$2:BL75,1),"")</f>
        <v>74</v>
      </c>
      <c r="FI75" s="207">
        <f>IF(BM75=1,COUNTIF($BM$2:BM75,1),"")</f>
        <v>74</v>
      </c>
      <c r="FJ75" s="207">
        <f>IF(BN75=1,COUNTIF($BN$2:BN75,1),"")</f>
        <v>74</v>
      </c>
      <c r="FK75" s="207">
        <f>IF(BO75=1,COUNTIF($BO$2:BO75,1),"")</f>
        <v>74</v>
      </c>
      <c r="FL75" s="207">
        <f>IF(BP75=1,COUNTIF($BP$2:BP75,1),"")</f>
        <v>74</v>
      </c>
      <c r="FM75" s="207">
        <f>IF(BQ75=1,COUNTIF($BQ$2:BQ75,1),"")</f>
        <v>74</v>
      </c>
      <c r="FN75" s="207">
        <f>IF(BR75=1,COUNTIF($BR$2:BR75,1),"")</f>
        <v>74</v>
      </c>
      <c r="FO75" s="207">
        <f>IF(BS75=1,COUNTIF($BS$2:BS75,1),"")</f>
        <v>74</v>
      </c>
      <c r="FP75" s="207">
        <f>IF(BT75=1,COUNTIF($BT$2:BT75,1),"")</f>
        <v>74</v>
      </c>
      <c r="FQ75" s="207">
        <f>IF(BU75=1,COUNTIF($BU$2:BU75,1),"")</f>
        <v>74</v>
      </c>
      <c r="FR75" s="207">
        <f>IF(BV75=1,COUNTIF($BV$2:BV75,1),"")</f>
        <v>74</v>
      </c>
      <c r="FS75" s="207">
        <f>IF(BW75=1,COUNTIF($BW$2:BW75,1),"")</f>
        <v>74</v>
      </c>
      <c r="FT75" s="207">
        <f>IF(BX75=1,COUNTIF($BX$2:BX75,1),"")</f>
        <v>74</v>
      </c>
      <c r="FU75" s="207">
        <f>IF(BY75=1,COUNTIF($BY$2:BY75,1),"")</f>
        <v>74</v>
      </c>
      <c r="FV75" s="207">
        <f>IF(BZ75=1,COUNTIF($BZ$2:BZ75,1),"")</f>
        <v>74</v>
      </c>
      <c r="FW75" s="207">
        <f>IF(CA75=1,COUNTIF($CA$2:CA75,1),"")</f>
        <v>74</v>
      </c>
      <c r="FX75" s="207">
        <f>IF(CB75=1,COUNTIF($CB$2:CB75,1),"")</f>
        <v>74</v>
      </c>
      <c r="FY75" s="207">
        <f>IF(CC75=1,COUNTIF($CC$2:CC75,1),"")</f>
        <v>74</v>
      </c>
      <c r="FZ75" s="207">
        <f>IF(CD75=1,COUNTIF($CD$2:CD75,1),"")</f>
        <v>74</v>
      </c>
      <c r="GA75" s="207">
        <f>IF(CE75=1,COUNTIF($CE$2:CE75,1),"")</f>
        <v>74</v>
      </c>
      <c r="GB75" s="207">
        <f>IF(CF75=1,COUNTIF($CF$2:CF75,1),"")</f>
        <v>74</v>
      </c>
      <c r="GC75" s="207">
        <f>IF(CG75=1,COUNTIF($CG$2:CG75,1),"")</f>
        <v>74</v>
      </c>
      <c r="GD75" s="207">
        <f>IF(CH75=1,COUNTIF($CH$2:CH75,1),"")</f>
        <v>74</v>
      </c>
      <c r="GE75" s="207">
        <f>IF(CI75=1,COUNTIF($CI$2:CI75,1),"")</f>
        <v>74</v>
      </c>
      <c r="GF75" s="207">
        <f>IF(CJ75=1,COUNTIF($CJ$2:CJ75,1),"")</f>
        <v>74</v>
      </c>
      <c r="GG75" s="207">
        <f>IF(CK75=1,COUNTIF($CK$2:CK75,1),"")</f>
        <v>74</v>
      </c>
      <c r="GH75" s="207">
        <f>IF(CL75=1,COUNTIF($CL$2:CL75,1),"")</f>
        <v>74</v>
      </c>
      <c r="GI75" s="207">
        <f>IF(CM75=1,COUNTIF($CM$2:CM75,1),"")</f>
        <v>74</v>
      </c>
      <c r="GJ75" s="207">
        <f>IF(CN75=1,COUNTIF($CN$2:CN75,1),"")</f>
        <v>74</v>
      </c>
      <c r="GK75" s="207">
        <f>IF(CO75=1,COUNTIF($CO$2:CO75,1),"")</f>
        <v>74</v>
      </c>
      <c r="GL75" s="207">
        <f>IF(CP75=1,COUNTIF($CP$2:CP75,1),"")</f>
        <v>74</v>
      </c>
      <c r="GM75" s="207">
        <f>IF(CQ75=1,COUNTIF($CQ$2:CQ75,1),"")</f>
        <v>74</v>
      </c>
      <c r="GN75" s="207">
        <f>IF(CR75=1,COUNTIF($CR$2:CR75,1),"")</f>
        <v>74</v>
      </c>
      <c r="GO75" s="207">
        <f>IF(CS75=1,COUNTIF($CS$2:CS75,1),"")</f>
        <v>74</v>
      </c>
      <c r="GP75" s="207">
        <f>IF(CT75=1,COUNTIF($CT$2:CT75,1),"")</f>
        <v>74</v>
      </c>
      <c r="GQ75" s="207">
        <f>IF(CU75=1,COUNTIF($CU$2:CU75,1),"")</f>
        <v>74</v>
      </c>
      <c r="GR75" s="207">
        <f>IF(CV75=1,COUNTIF($CV$2:CV75,1),"")</f>
        <v>74</v>
      </c>
      <c r="GS75" s="207">
        <f>IF(CW75=1,COUNTIF($CW$2:CW75,1),"")</f>
        <v>74</v>
      </c>
      <c r="GT75" s="207">
        <f>IF(CX75=1,COUNTIF($CX$2:CX75,1),"")</f>
        <v>74</v>
      </c>
      <c r="GU75" s="207">
        <f>IF(CY75=1,COUNTIF($CY$2:CY75,1),"")</f>
        <v>74</v>
      </c>
      <c r="GV75" s="207">
        <f>IF(CZ75=1,COUNTIF($CZ$2:CZ75,1),"")</f>
        <v>74</v>
      </c>
      <c r="GW75" s="207">
        <f>IF(DA75=1,COUNTIF($DA$2:DA75,1),"")</f>
        <v>74</v>
      </c>
      <c r="GX75" s="206" t="str">
        <f>IFERROR(INDEX($A$2:$A$113,MATCH(ROWS($DB$2:DB75),$DB$2:$DB$113,0)),"")</f>
        <v>ASOCIACION ILICITA SIMPLE / AGRAVADA</v>
      </c>
      <c r="GY75" s="206" t="str">
        <f>IFERROR(INDEX($A$2:$A$113,MATCH(ROWS($DC$2:DC75),$DC$2:$DC$113,0)),"")</f>
        <v>ASOCIACION ILICITA SIMPLE / AGRAVADA</v>
      </c>
      <c r="GZ75" s="206" t="str">
        <f>IFERROR(INDEX($A$2:$A$113,MATCH(ROWS($DD$2:DD75),$DD$2:$DD$113,0)),"")</f>
        <v>ASOCIACION ILICITA SIMPLE / AGRAVADA</v>
      </c>
      <c r="HA75" s="206" t="str">
        <f>IFERROR(INDEX($A$2:$A$113,MATCH(ROWS($DE$2:DE75),$DE$2:$DE$113,0)),"")</f>
        <v>ASOCIACION ILICITA SIMPLE / AGRAVADA</v>
      </c>
      <c r="HB75" s="206" t="str">
        <f>IFERROR(INDEX($A$2:$A$113,MATCH(ROWS($DF$2:DF75),$DF$2:$DF$113,0)),"")</f>
        <v>ASOCIACION ILICITA SIMPLE / AGRAVADA</v>
      </c>
      <c r="HC75" s="206" t="str">
        <f>IFERROR(INDEX($A$2:$A$113,MATCH(ROWS($DG$2:DG75),$DG$2:$DG$113,0)),"")</f>
        <v>ASOCIACION ILICITA SIMPLE / AGRAVADA</v>
      </c>
      <c r="HD75" s="206" t="str">
        <f>IFERROR(INDEX($A$2:$A$113,MATCH(ROWS($DH$2:DH75),$DH$2:$DH$113,0)),"")</f>
        <v>ASOCIACION ILICITA SIMPLE / AGRAVADA</v>
      </c>
      <c r="HE75" s="206" t="str">
        <f>IFERROR(INDEX($A$2:$A$113,MATCH(ROWS($DI$2:DI75),$DI$2:$DI$113,0)),"")</f>
        <v>ASOCIACION ILICITA SIMPLE / AGRAVADA</v>
      </c>
      <c r="HF75" s="206" t="str">
        <f>IFERROR(INDEX($A$2:$A$113,MATCH(ROWS($DJ$2:DJ75),$DJ$2:$DJ$113,0)),"")</f>
        <v>ASOCIACION ILICITA SIMPLE / AGRAVADA</v>
      </c>
      <c r="HG75" s="206" t="str">
        <f>IFERROR(INDEX($A$2:$A$113,MATCH(ROWS($DK$2:DK75),$DK$2:$DK$113,0)),"")</f>
        <v>ASOCIACION ILICITA SIMPLE / AGRAVADA</v>
      </c>
      <c r="HH75" s="206" t="str">
        <f>IFERROR(INDEX($A$2:$A$113,MATCH(ROWS($DL$2:DL75),$DL$2:$DL$113,0)),"")</f>
        <v>ASOCIACION ILICITA SIMPLE / AGRAVADA</v>
      </c>
      <c r="HI75" s="206" t="str">
        <f>IFERROR(INDEX($A$2:$A$113,MATCH(ROWS($DM$2:DM75),$DM$2:$DM$113,0)),"")</f>
        <v>ASOCIACION ILICITA SIMPLE / AGRAVADA</v>
      </c>
      <c r="HJ75" s="206" t="str">
        <f>IFERROR(INDEX($A$2:$A$113,MATCH(ROWS($DN$2:DN75),$DN$2:$DN$113,0)),"")</f>
        <v>ASOCIACION ILICITA SIMPLE / AGRAVADA</v>
      </c>
      <c r="HK75" s="206" t="str">
        <f>IFERROR(INDEX($A$2:$A$113,MATCH(ROWS($DO$2:DO75),$DO$2:$DO$113,0)),"")</f>
        <v>ASOCIACION ILICITA SIMPLE / AGRAVADA</v>
      </c>
      <c r="HL75" s="206" t="str">
        <f>IFERROR(INDEX($A$2:$A$113,MATCH(ROWS($DP$2:DP75),$DP$2:$DP$113,0)),"")</f>
        <v>ASOCIACION ILICITA SIMPLE / AGRAVADA</v>
      </c>
      <c r="HM75" s="206" t="str">
        <f>IFERROR(INDEX($A$2:$A$113,MATCH(ROWS($DQ$2:DQ75),$DQ$2:$DQ$113,0)),"")</f>
        <v>ASOCIACION ILICITA SIMPLE / AGRAVADA</v>
      </c>
      <c r="HN75" s="206" t="str">
        <f>IFERROR(INDEX($A$2:$A$113,MATCH(ROWS($DR$2:DR75),$DR$2:$DR$113,0)),"")</f>
        <v>ASOCIACION ILICITA SIMPLE / AGRAVADA</v>
      </c>
      <c r="HO75" s="206" t="str">
        <f>IFERROR(INDEX($A$2:$A$113,MATCH(ROWS($DS$2:DS75),$DS$2:$DS$113,0)),"")</f>
        <v>ASOCIACION ILICITA SIMPLE / AGRAVADA</v>
      </c>
      <c r="HP75" s="206" t="str">
        <f>IFERROR(INDEX($A$2:$A$113,MATCH(ROWS($DT$2:DT75),$DT$2:$DT$113,0)),"")</f>
        <v>ASOCIACION ILICITA SIMPLE / AGRAVADA</v>
      </c>
      <c r="HQ75" s="206" t="str">
        <f>IFERROR(INDEX($A$2:$A$113,MATCH(ROWS($DU$2:DU75),$DU$2:$DU$113,0)),"")</f>
        <v>ASOCIACION ILICITA SIMPLE / AGRAVADA</v>
      </c>
      <c r="HR75" s="206" t="str">
        <f>IFERROR(INDEX($A$2:$A$113,MATCH(ROWS($DV$2:DV75),$DV$2:$DV$113,0)),"")</f>
        <v>ASOCIACION ILICITA SIMPLE / AGRAVADA</v>
      </c>
      <c r="HS75" s="206" t="str">
        <f>IFERROR(INDEX($A$2:$A$113,MATCH(ROWS($DW$2:DW75),$DW$2:$DW$113,0)),"")</f>
        <v>ASOCIACION ILICITA SIMPLE / AGRAVADA</v>
      </c>
      <c r="HT75" s="206" t="str">
        <f>IFERROR(INDEX($A$2:$A$113,MATCH(ROWS($DX$2:DX75),$DX$2:$DX$113,0)),"")</f>
        <v>ASOCIACION ILICITA SIMPLE / AGRAVADA</v>
      </c>
      <c r="HU75" s="206" t="str">
        <f>IFERROR(INDEX($A$2:$A$113,MATCH(ROWS($DY$2:DY75),$DY$2:$DY$113,0)),"")</f>
        <v>ASOCIACION ILICITA SIMPLE / AGRAVADA</v>
      </c>
      <c r="HV75" s="206" t="str">
        <f>IFERROR(INDEX($A$2:$A$113,MATCH(ROWS($DZ$2:DZ75),$DZ$2:$DZ$113,0)),"")</f>
        <v>ASOCIACION ILICITA SIMPLE / AGRAVADA</v>
      </c>
      <c r="HW75" s="206" t="str">
        <f>IFERROR(INDEX($A$2:$A$113,MATCH(ROWS($EA$2:EA75),$EA$2:$EA$113,0)),"")</f>
        <v>ASOCIACION ILICITA SIMPLE / AGRAVADA</v>
      </c>
      <c r="HX75" s="206" t="str">
        <f>IFERROR(INDEX($A$2:$A$113,MATCH(ROWS($EB$2:EB75),$EB$2:$EB$113,0)),"")</f>
        <v>ASOCIACION ILICITA SIMPLE / AGRAVADA</v>
      </c>
      <c r="HY75" s="206" t="str">
        <f>IFERROR(INDEX($A$2:$A$113,MATCH(ROWS($EC$2:EC75),$EC$2:$EC$113,0)),"")</f>
        <v>ASOCIACION ILICITA SIMPLE / AGRAVADA</v>
      </c>
      <c r="HZ75" s="206" t="str">
        <f>IFERROR(INDEX($A$2:$A$113,MATCH(ROWS($ED$2:ED75),$ED$2:$ED$113,0)),"")</f>
        <v>ASOCIACION ILICITA SIMPLE / AGRAVADA</v>
      </c>
      <c r="IA75" s="206" t="str">
        <f>IFERROR(INDEX($A$2:$A$113,MATCH(ROWS($EE$2:EE75),$EE$2:$EE$113,0)),"")</f>
        <v>ASOCIACION ILICITA SIMPLE / AGRAVADA</v>
      </c>
      <c r="IB75" s="206" t="str">
        <f>IFERROR(INDEX($A$2:$A$113,MATCH(ROWS($EF$2:EF75),$EF$2:$EF$113,0)),"")</f>
        <v>ASOCIACION ILICITA SIMPLE / AGRAVADA</v>
      </c>
      <c r="IC75" s="206" t="str">
        <f>IFERROR(INDEX($A$2:$A$113,MATCH(ROWS($EG$2:EG75),$EG$2:$EG$113,0)),"")</f>
        <v>ASOCIACION ILICITA SIMPLE / AGRAVADA</v>
      </c>
      <c r="ID75" s="206" t="str">
        <f>IFERROR(INDEX($A$2:$A$113,MATCH(ROWS($EH$2:EH75),$EH$2:$EH$113,0)),"")</f>
        <v>ASOCIACION ILICITA SIMPLE / AGRAVADA</v>
      </c>
      <c r="IE75" s="206" t="str">
        <f>IFERROR(INDEX($A$2:$A$113,MATCH(ROWS($EI$2:EI75),$EI$2:$EI$113,0)),"")</f>
        <v>ASOCIACION ILICITA SIMPLE / AGRAVADA</v>
      </c>
      <c r="IF75" s="206" t="str">
        <f>IFERROR(INDEX($A$2:$A$113,MATCH(ROWS($EJ$2:EJ75),$EJ$2:$EJ$113,0)),"")</f>
        <v>ASOCIACION ILICITA SIMPLE / AGRAVADA</v>
      </c>
      <c r="IG75" s="206" t="str">
        <f>IFERROR(INDEX($A$2:$A$113,MATCH(ROWS($EK$2:EK75),$EK$2:$EK$113,0)),"")</f>
        <v>ASOCIACION ILICITA SIMPLE / AGRAVADA</v>
      </c>
      <c r="IH75" s="206" t="str">
        <f>IFERROR(INDEX($A$2:$A$113,MATCH(ROWS($EL$2:EL75),$EL$2:$EL$113,0)),"")</f>
        <v>ASOCIACION ILICITA SIMPLE / AGRAVADA</v>
      </c>
      <c r="II75" s="206" t="str">
        <f>IFERROR(INDEX($A$2:$A$113,MATCH(ROWS($EM$2:EM75),$EM$2:$EM$113,0)),"")</f>
        <v>ASOCIACION ILICITA SIMPLE / AGRAVADA</v>
      </c>
      <c r="IJ75" s="206" t="str">
        <f>IFERROR(INDEX($A$2:$A$113,MATCH(ROWS($EN$2:EN75),$EN$2:$EN$113,0)),"")</f>
        <v>ASOCIACION ILICITA SIMPLE / AGRAVADA</v>
      </c>
      <c r="IK75" s="207" t="str">
        <f>IFERROR(INDEX($A$2:$A$113,MATCH(ROWS($EO$2:EO75),$EO$2:$EO$113,0)),"")</f>
        <v>ASOCIACION ILICITA SIMPLE / AGRAVADA</v>
      </c>
      <c r="IL75" s="207" t="str">
        <f>IFERROR(INDEX($A$2:$A$113,MATCH(ROWS($EP$2:EP75),$EP$2:$EP$113,0)),"")</f>
        <v>ASOCIACION ILICITA SIMPLE / AGRAVADA</v>
      </c>
      <c r="IM75" s="207" t="str">
        <f>IFERROR(INDEX($A$2:$A$113,MATCH(ROWS($EQ$2:EQ75),$EQ$2:$EQ$113,0)),"")</f>
        <v>ASOCIACION ILICITA SIMPLE / AGRAVADA</v>
      </c>
      <c r="IN75" s="207" t="str">
        <f>IFERROR(INDEX($A$2:$A$113,MATCH(ROWS($ER$2:ER75),$ER$2:$ER$113,0)),"")</f>
        <v>ASOCIACION ILICITA SIMPLE / AGRAVADA</v>
      </c>
      <c r="IO75" s="207" t="str">
        <f>IFERROR(INDEX($A$2:$A$113,MATCH(ROWS($ES$2:ES75),$ES$2:$ES$113,0)),"")</f>
        <v>ASOCIACION ILICITA SIMPLE / AGRAVADA</v>
      </c>
      <c r="IP75" s="207" t="str">
        <f>IFERROR(INDEX($A$2:$A$113,MATCH(ROWS($ET$2:ET75),$ET$2:$ET$113,0)),"")</f>
        <v>ASOCIACION ILICITA SIMPLE / AGRAVADA</v>
      </c>
      <c r="IQ75" s="207" t="str">
        <f>IFERROR(INDEX($A$2:$A$113,MATCH(ROWS($EU$2:EU75),$EU$2:$EU$113,0)),"")</f>
        <v>ASOCIACION ILICITA SIMPLE / AGRAVADA</v>
      </c>
      <c r="IR75" s="207" t="str">
        <f>IFERROR(INDEX($A$2:$A$113,MATCH(ROWS($EV$2:EV75),$EV$2:$EV$113,0)),"")</f>
        <v>ASOCIACION ILICITA SIMPLE / AGRAVADA</v>
      </c>
      <c r="IS75" s="207" t="str">
        <f>IFERROR(INDEX($A$2:$A$113,MATCH(ROWS($EW$2:EW75),$EW$2:$EW$113,0)),"")</f>
        <v>ASOCIACION ILICITA SIMPLE / AGRAVADA</v>
      </c>
      <c r="IT75" s="207" t="str">
        <f>IFERROR(INDEX($A$2:$A$113,MATCH(ROWS($EX$2:EX75),$EX$2:$EX$113,0)),"")</f>
        <v>ASOCIACION ILICITA SIMPLE / AGRAVADA</v>
      </c>
      <c r="IU75" s="207" t="str">
        <f>IFERROR(INDEX($A$2:$A$113,MATCH(ROWS($EY$2:EY75),$EY$2:$EY$113,0)),"")</f>
        <v>ASOCIACION ILICITA SIMPLE / AGRAVADA</v>
      </c>
      <c r="IV75" s="207" t="str">
        <f>IFERROR(INDEX($A$2:$A$113,MATCH(ROWS($EZ$2:EZ75),$EZ$2:$EZ$113,0)),"")</f>
        <v>ASOCIACION ILICITA SIMPLE / AGRAVADA</v>
      </c>
      <c r="IW75" s="207" t="str">
        <f>IFERROR(INDEX($A$2:$A$113,MATCH(ROWS($FA$2:FA75),$FA$2:$FA$113,0)),"")</f>
        <v>ASOCIACION ILICITA SIMPLE / AGRAVADA</v>
      </c>
      <c r="IX75" s="207" t="str">
        <f>IFERROR(INDEX($A$2:$A$113,MATCH(ROWS($FB$2:FB75),$FB$2:$FB$113,0)),"")</f>
        <v>ASOCIACION ILICITA SIMPLE / AGRAVADA</v>
      </c>
      <c r="IY75" s="207" t="str">
        <f>IFERROR(INDEX($A$2:$A$113,MATCH(ROWS($FC$2:FC75),$FC$2:$FC$113,0)),"")</f>
        <v>ASOCIACION ILICITA SIMPLE / AGRAVADA</v>
      </c>
      <c r="IZ75" s="207" t="str">
        <f>IFERROR(INDEX($A$2:$A$113,MATCH(ROWS($FD$2:FD75),$FD$2:$FD$113,0)),"")</f>
        <v>ASOCIACION ILICITA SIMPLE / AGRAVADA</v>
      </c>
      <c r="JA75" s="207" t="str">
        <f>IFERROR(INDEX($A$2:$A$113,MATCH(ROWS($FE$2:FE75),$FE$2:$FE$113,0)),"")</f>
        <v>ASOCIACION ILICITA SIMPLE / AGRAVADA</v>
      </c>
      <c r="JB75" s="207" t="str">
        <f>IFERROR(INDEX($A$2:$A$113,MATCH(ROWS($FF$2:FF75),$FF$2:$FF$113,0)),"")</f>
        <v>ASOCIACION ILICITA SIMPLE / AGRAVADA</v>
      </c>
      <c r="JC75" s="207" t="str">
        <f>IFERROR(INDEX($A$2:$A$113,MATCH(ROWS($FG$2:FG75),$FG$2:$FG$113,0)),"")</f>
        <v>ASOCIACION ILICITA SIMPLE / AGRAVADA</v>
      </c>
      <c r="JD75" s="207" t="str">
        <f>IFERROR(INDEX($A$2:$A$113,MATCH(ROWS($FH$2:FH75),$FH$2:$FH$113,0)),"")</f>
        <v>ASOCIACION ILICITA SIMPLE / AGRAVADA</v>
      </c>
      <c r="JE75" s="207" t="str">
        <f>IFERROR(INDEX($A$2:$A$113,MATCH(ROWS($FI$2:FI75),$FI$2:$FI$113,0)),"")</f>
        <v>ASOCIACION ILICITA SIMPLE / AGRAVADA</v>
      </c>
      <c r="JF75" s="207" t="str">
        <f>IFERROR(INDEX($A$2:$A$113,MATCH(ROWS($FJ$2:FJ75),$FJ$2:$FJ$113,0)),"")</f>
        <v>ASOCIACION ILICITA SIMPLE / AGRAVADA</v>
      </c>
      <c r="JG75" s="207" t="str">
        <f>IFERROR(INDEX($A$2:$A$113,MATCH(ROWS($FK$2:FK75),$FK$2:$FK$113,0)),"")</f>
        <v>ASOCIACION ILICITA SIMPLE / AGRAVADA</v>
      </c>
      <c r="JH75" s="207" t="str">
        <f>IFERROR(INDEX($A$2:$A$113,MATCH(ROWS($FL$2:FL75),$FL$2:$FL$113,0)),"")</f>
        <v>ASOCIACION ILICITA SIMPLE / AGRAVADA</v>
      </c>
      <c r="JI75" s="207" t="str">
        <f>IFERROR(INDEX($A$2:$A$113,MATCH(ROWS($FM$2:FM75),$FM$2:$FM$113,0)),"")</f>
        <v>ASOCIACION ILICITA SIMPLE / AGRAVADA</v>
      </c>
      <c r="JJ75" s="207" t="str">
        <f>IFERROR(INDEX($A$2:$A$113,MATCH(ROWS($FN$2:FN75),$FN$2:$FN$113,0)),"")</f>
        <v>ASOCIACION ILICITA SIMPLE / AGRAVADA</v>
      </c>
      <c r="JK75" s="207" t="str">
        <f>IFERROR(INDEX($A$2:$A$113,MATCH(ROWS($FO$2:FO75),$FO$2:$FO$113,0)),"")</f>
        <v>ASOCIACION ILICITA SIMPLE / AGRAVADA</v>
      </c>
      <c r="JL75" s="207" t="str">
        <f>IFERROR(INDEX($A$2:$A$113,MATCH(ROWS($FP$2:FP75),$FP$2:$FP$113,0)),"")</f>
        <v>ASOCIACION ILICITA SIMPLE / AGRAVADA</v>
      </c>
      <c r="JM75" s="207" t="str">
        <f>IFERROR(INDEX($A$2:$A$113,MATCH(ROWS($FQ$2:FQ75),$FQ$2:$FQ$113,0)),"")</f>
        <v>ASOCIACION ILICITA SIMPLE / AGRAVADA</v>
      </c>
      <c r="JN75" s="207" t="str">
        <f>IFERROR(INDEX($A$2:$A$113,MATCH(ROWS($FR$2:FR75),$FR$2:$FR$113,0)),"")</f>
        <v>ASOCIACION ILICITA SIMPLE / AGRAVADA</v>
      </c>
      <c r="JO75" s="207" t="str">
        <f>IFERROR(INDEX($A$2:$A$113,MATCH(ROWS($FS$2:FS75),$FS$2:$FS$113,0)),"")</f>
        <v>ASOCIACION ILICITA SIMPLE / AGRAVADA</v>
      </c>
      <c r="JP75" s="207" t="str">
        <f>IFERROR(INDEX($A$2:$A$113,MATCH(ROWS($FT$2:FT75),$FT$2:$FT$113,0)),"")</f>
        <v>ASOCIACION ILICITA SIMPLE / AGRAVADA</v>
      </c>
      <c r="JQ75" s="207" t="str">
        <f>IFERROR(INDEX($A$2:$A$113,MATCH(ROWS($FU$2:FU75),$FU$2:$FU$113,0)),"")</f>
        <v>ASOCIACION ILICITA SIMPLE / AGRAVADA</v>
      </c>
      <c r="JR75" s="207" t="str">
        <f>IFERROR(INDEX($A$2:$A$113,MATCH(ROWS($FV$2:FV75),$FV$2:$FV$113,0)),"")</f>
        <v>ASOCIACION ILICITA SIMPLE / AGRAVADA</v>
      </c>
      <c r="JS75" s="207" t="str">
        <f>IFERROR(INDEX($A$2:$A$113,MATCH(ROWS($FW$2:FW75),$FW$2:$FW$113,0)),"")</f>
        <v>ASOCIACION ILICITA SIMPLE / AGRAVADA</v>
      </c>
      <c r="JT75" s="207" t="str">
        <f>IFERROR(INDEX($A$2:$A$113,MATCH(ROWS($FX$2:FX75),$FX$2:$FX$113,0)),"")</f>
        <v>ASOCIACION ILICITA SIMPLE / AGRAVADA</v>
      </c>
      <c r="JU75" s="207" t="str">
        <f>IFERROR(INDEX($A$2:$A$113,MATCH(ROWS($FY$2:FY75),$FY$2:$FY$113,0)),"")</f>
        <v>ASOCIACION ILICITA SIMPLE / AGRAVADA</v>
      </c>
      <c r="JV75" s="207" t="str">
        <f>IFERROR(INDEX($A$2:$A$113,MATCH(ROWS($FZ$2:FZ75),$FZ$2:$FZ$113,0)),"")</f>
        <v>ASOCIACION ILICITA SIMPLE / AGRAVADA</v>
      </c>
      <c r="JW75" s="207" t="str">
        <f>IFERROR(INDEX($A$2:$A$113,MATCH(ROWS($GA$2:GA75),$GA$2:$GA$113,0)),"")</f>
        <v>ASOCIACION ILICITA SIMPLE / AGRAVADA</v>
      </c>
      <c r="JX75" s="207" t="str">
        <f>IFERROR(INDEX($A$2:$A$113,MATCH(ROWS($GB$2:GB75),$GB$2:$GB$113,0)),"")</f>
        <v>ASOCIACION ILICITA SIMPLE / AGRAVADA</v>
      </c>
      <c r="JY75" s="207" t="str">
        <f>IFERROR(INDEX($A$2:$A$113,MATCH(ROWS($GC$2:GC75),$GC$2:$GC$113,0)),"")</f>
        <v>ASOCIACION ILICITA SIMPLE / AGRAVADA</v>
      </c>
      <c r="JZ75" s="207" t="str">
        <f>IFERROR(INDEX($A$2:$A$113,MATCH(ROWS($GD$2:GD75),$GD$2:$GD$113,0)),"")</f>
        <v>ASOCIACION ILICITA SIMPLE / AGRAVADA</v>
      </c>
      <c r="KA75" s="207" t="str">
        <f>IFERROR(INDEX($A$2:$A$113,MATCH(ROWS($GE$2:GE75),$GE$2:$GE$113,0)),"")</f>
        <v>ASOCIACION ILICITA SIMPLE / AGRAVADA</v>
      </c>
      <c r="KB75" s="207" t="str">
        <f>IFERROR(INDEX($A$2:$A$113,MATCH(ROWS($GF$2:GF75),$GF$2:$GF$113,0)),"")</f>
        <v>ASOCIACION ILICITA SIMPLE / AGRAVADA</v>
      </c>
      <c r="KC75" s="207" t="str">
        <f>IFERROR(INDEX($A$2:$A$113,MATCH(ROWS($GG$2:GG75),$GG$2:$GG$113,0)),"")</f>
        <v>ASOCIACION ILICITA SIMPLE / AGRAVADA</v>
      </c>
      <c r="KD75" s="207" t="str">
        <f>IFERROR(INDEX($A$2:$A$113,MATCH(ROWS($GH$2:GH75),$GH$2:$GH$113,0)),"")</f>
        <v>ASOCIACION ILICITA SIMPLE / AGRAVADA</v>
      </c>
      <c r="KE75" s="207" t="str">
        <f>IFERROR(INDEX($A$2:$A$113,MATCH(ROWS($GI$2:GI75),$GI$2:$GI$113,0)),"")</f>
        <v>ASOCIACION ILICITA SIMPLE / AGRAVADA</v>
      </c>
      <c r="KF75" s="207" t="str">
        <f>IFERROR(INDEX($A$2:$A$113,MATCH(ROWS($GJ$2:GJ75),$GJ$2:$GJ$113,0)),"")</f>
        <v>ASOCIACION ILICITA SIMPLE / AGRAVADA</v>
      </c>
      <c r="KG75" s="207" t="str">
        <f>IFERROR(INDEX($A$2:$A$113,MATCH(ROWS($GK$2:GK75),$GK$2:$GK$113,0)),"")</f>
        <v>ASOCIACION ILICITA SIMPLE / AGRAVADA</v>
      </c>
      <c r="KH75" s="207" t="str">
        <f>IFERROR(INDEX($A$2:$A$113,MATCH(ROWS($GL$2:GL75),$GL$2:$GL$113,0)),"")</f>
        <v>ASOCIACION ILICITA SIMPLE / AGRAVADA</v>
      </c>
      <c r="KI75" s="207" t="str">
        <f>IFERROR(INDEX($A$2:$A$113,MATCH(ROWS($GM$2:GM75),$GM$2:$GM$113,0)),"")</f>
        <v>ASOCIACION ILICITA SIMPLE / AGRAVADA</v>
      </c>
      <c r="KJ75" s="207" t="str">
        <f>IFERROR(INDEX($A$2:$A$113,MATCH(ROWS($GN$2:GN75),$GN$2:$GN$113,0)),"")</f>
        <v>ASOCIACION ILICITA SIMPLE / AGRAVADA</v>
      </c>
      <c r="KK75" s="207" t="str">
        <f>IFERROR(INDEX($A$2:$A$113,MATCH(ROWS($GO$2:GO75),$GO$2:$GO$113,0)),"")</f>
        <v>ASOCIACION ILICITA SIMPLE / AGRAVADA</v>
      </c>
      <c r="KL75" s="207" t="str">
        <f>IFERROR(INDEX($A$2:$A$113,MATCH(ROWS($GP$2:GP75),$GP$2:$GP$113,0)),"")</f>
        <v>ASOCIACION ILICITA SIMPLE / AGRAVADA</v>
      </c>
      <c r="KM75" s="207" t="str">
        <f>IFERROR(INDEX($A$2:$A$113,MATCH(ROWS($GQ$2:GQ75),$GQ$2:$GQ$113,0)),"")</f>
        <v>ASOCIACION ILICITA SIMPLE / AGRAVADA</v>
      </c>
      <c r="KN75" s="207" t="str">
        <f>IFERROR(INDEX($A$2:$A$113,MATCH(ROWS($GR$2:GR75),$GR$2:$GR$113,0)),"")</f>
        <v>ASOCIACION ILICITA SIMPLE / AGRAVADA</v>
      </c>
      <c r="KO75" s="207" t="str">
        <f>IFERROR(INDEX($A$2:$A$113,MATCH(ROWS($GS$2:GS75),$GS$2:$GS$113,0)),"")</f>
        <v>ASOCIACION ILICITA SIMPLE / AGRAVADA</v>
      </c>
      <c r="KP75" s="207" t="str">
        <f>IFERROR(INDEX($A$2:$A$113,MATCH(ROWS($GT$2:GT75),$GT$2:$GT$113,0)),"")</f>
        <v>ASOCIACION ILICITA SIMPLE / AGRAVADA</v>
      </c>
      <c r="KQ75" s="207" t="str">
        <f>IFERROR(INDEX($A$2:$A$113,MATCH(ROWS($GU$2:GU75),$GU$2:$GU$113,0)),"")</f>
        <v>ASOCIACION ILICITA SIMPLE / AGRAVADA</v>
      </c>
      <c r="KR75" s="207" t="str">
        <f>IFERROR(INDEX($A$2:$A$113,MATCH(ROWS($GV$2:GV75),$GV$2:$GV$113,0)),"")</f>
        <v>ASOCIACION ILICITA SIMPLE / AGRAVADA</v>
      </c>
      <c r="KS75" s="207" t="str">
        <f>IFERROR(INDEX($A$2:$A$113,MATCH(ROWS($GW$2:GW75),$GW$2:$GW$113,0)),"")</f>
        <v>ASOCIACION ILICITA SIMPLE / AGRAVADA</v>
      </c>
    </row>
    <row r="76" spans="1:305" x14ac:dyDescent="0.25">
      <c r="A76" s="206" t="s">
        <v>923</v>
      </c>
      <c r="B76" s="206">
        <v>23</v>
      </c>
      <c r="D76" s="206" t="s">
        <v>17</v>
      </c>
      <c r="E76" s="206" t="s">
        <v>108</v>
      </c>
      <c r="F76" s="207">
        <f>--ISNUMBER(IFERROR(SEARCH('PLANILLA DJ'!$X$3,$A76,1),""))</f>
        <v>1</v>
      </c>
      <c r="G76" s="207">
        <f>--ISNUMBER(IFERROR(SEARCH('PLANILLA DJ'!$X$4,$A76,1),""))</f>
        <v>1</v>
      </c>
      <c r="H76" s="207">
        <f>--ISNUMBER(IFERROR(SEARCH('PLANILLA DJ'!$X$5,$A76,1),""))</f>
        <v>1</v>
      </c>
      <c r="I76" s="207">
        <f>--ISNUMBER(IFERROR(SEARCH('PLANILLA DJ'!$X$6,$A76,1),""))</f>
        <v>1</v>
      </c>
      <c r="J76" s="207">
        <f>--ISNUMBER(IFERROR(SEARCH('PLANILLA DJ'!$X$7,$A76,1),""))</f>
        <v>1</v>
      </c>
      <c r="K76" s="207">
        <f>--ISNUMBER(IFERROR(SEARCH('PLANILLA DJ'!$X$8,$A76,1),""))</f>
        <v>1</v>
      </c>
      <c r="L76" s="207">
        <f>--ISNUMBER(IFERROR(SEARCH('PLANILLA DJ'!$X$9,$A76,1),""))</f>
        <v>1</v>
      </c>
      <c r="M76" s="207">
        <f>--ISNUMBER(IFERROR(SEARCH('PLANILLA DJ'!$X$10,$A76,1),""))</f>
        <v>1</v>
      </c>
      <c r="N76" s="207">
        <f>--ISNUMBER(IFERROR(SEARCH('PLANILLA DJ'!$X$11,$A76,1),""))</f>
        <v>1</v>
      </c>
      <c r="O76" s="207">
        <f>--ISNUMBER(IFERROR(SEARCH('PLANILLA DJ'!$X$12,$A76,1),""))</f>
        <v>1</v>
      </c>
      <c r="P76" s="207">
        <f>--ISNUMBER(IFERROR(SEARCH('PLANILLA DJ'!$X$13,$A76,1),""))</f>
        <v>1</v>
      </c>
      <c r="Q76" s="207">
        <f>--ISNUMBER(IFERROR(SEARCH('PLANILLA DJ'!$X$14,$A76,1),""))</f>
        <v>1</v>
      </c>
      <c r="R76" s="207">
        <f>--ISNUMBER(IFERROR(SEARCH('PLANILLA DJ'!$X$15,$A76,1),""))</f>
        <v>1</v>
      </c>
      <c r="S76" s="207">
        <f>--ISNUMBER(IFERROR(SEARCH('PLANILLA DJ'!$X$16,$A76,1),""))</f>
        <v>1</v>
      </c>
      <c r="T76" s="207">
        <f>--ISNUMBER(IFERROR(SEARCH('PLANILLA DJ'!$X$17,$A76,1),""))</f>
        <v>1</v>
      </c>
      <c r="U76" s="207">
        <f>--ISNUMBER(IFERROR(SEARCH('PLANILLA DJ'!$X$18,$A76,1),""))</f>
        <v>1</v>
      </c>
      <c r="V76" s="207">
        <f>--ISNUMBER(IFERROR(SEARCH('PLANILLA DJ'!$X$19,$A76,1),""))</f>
        <v>1</v>
      </c>
      <c r="W76" s="207">
        <f>--ISNUMBER(IFERROR(SEARCH('PLANILLA DJ'!$X$20,$A76,1),""))</f>
        <v>1</v>
      </c>
      <c r="X76" s="207">
        <f>--ISNUMBER(IFERROR(SEARCH('PLANILLA DJ'!$X$21,$A76,1),""))</f>
        <v>1</v>
      </c>
      <c r="Y76" s="207">
        <f>--ISNUMBER(IFERROR(SEARCH('PLANILLA DJ'!$X$22,$A76,1),""))</f>
        <v>1</v>
      </c>
      <c r="Z76" s="207">
        <f>--ISNUMBER(IFERROR(SEARCH('PLANILLA DJ'!$X$23,$A76,1),""))</f>
        <v>1</v>
      </c>
      <c r="AA76" s="207">
        <f>--ISNUMBER(IFERROR(SEARCH('PLANILLA DJ'!$X$24,$A76,1),""))</f>
        <v>1</v>
      </c>
      <c r="AB76" s="207">
        <f>--ISNUMBER(IFERROR(SEARCH('PLANILLA DJ'!$X$25,$A76,1),""))</f>
        <v>1</v>
      </c>
      <c r="AC76" s="207">
        <f>--ISNUMBER(IFERROR(SEARCH('PLANILLA DJ'!$X$26,$A76,1),""))</f>
        <v>1</v>
      </c>
      <c r="AD76" s="207">
        <f>--ISNUMBER(IFERROR(SEARCH('PLANILLA DJ'!$X$27,$A76,1),""))</f>
        <v>1</v>
      </c>
      <c r="AE76" s="207">
        <f>--ISNUMBER(IFERROR(SEARCH('PLANILLA DJ'!$X$28,$A76,1),""))</f>
        <v>1</v>
      </c>
      <c r="AF76" s="207">
        <f>--ISNUMBER(IFERROR(SEARCH('PLANILLA DJ'!$X$29,$A76,1),""))</f>
        <v>1</v>
      </c>
      <c r="AG76" s="207">
        <f>--ISNUMBER(IFERROR(SEARCH('PLANILLA DJ'!$X$30,$A76,1),""))</f>
        <v>1</v>
      </c>
      <c r="AH76" s="207">
        <f>--ISNUMBER(IFERROR(SEARCH('PLANILLA DJ'!$X$31,$A76,1),""))</f>
        <v>1</v>
      </c>
      <c r="AI76" s="207">
        <f>--ISNUMBER(IFERROR(SEARCH('PLANILLA DJ'!$X$32,$A76,1),""))</f>
        <v>1</v>
      </c>
      <c r="AJ76" s="207">
        <f>--ISNUMBER(IFERROR(SEARCH('PLANILLA DJ'!$X$33,$A76,1),""))</f>
        <v>1</v>
      </c>
      <c r="AK76" s="207">
        <f>--ISNUMBER(IFERROR(SEARCH('PLANILLA DJ'!$X$34,$A76,1),""))</f>
        <v>1</v>
      </c>
      <c r="AL76" s="207">
        <f>--ISNUMBER(IFERROR(SEARCH('PLANILLA DJ'!$X$35,$A76,1),""))</f>
        <v>1</v>
      </c>
      <c r="AM76" s="207">
        <f>--ISNUMBER(IFERROR(SEARCH('PLANILLA DJ'!$X$36,$A76,1),""))</f>
        <v>1</v>
      </c>
      <c r="AN76" s="207">
        <f>--ISNUMBER(IFERROR(SEARCH('PLANILLA DJ'!$X$37,$A76,1),""))</f>
        <v>1</v>
      </c>
      <c r="AO76" s="207">
        <f>--ISNUMBER(IFERROR(SEARCH('PLANILLA DJ'!$X$38,$A76,1),""))</f>
        <v>1</v>
      </c>
      <c r="AP76" s="207">
        <f>--ISNUMBER(IFERROR(SEARCH('PLANILLA DJ'!$X$39,$A76,1),""))</f>
        <v>1</v>
      </c>
      <c r="AQ76" s="207">
        <f>--ISNUMBER(IFERROR(SEARCH('PLANILLA DJ'!$X$40,$A76,1),""))</f>
        <v>1</v>
      </c>
      <c r="AR76" s="207">
        <f>--ISNUMBER(IFERROR(SEARCH('PLANILLA DJ'!$X$41,$A76,1),""))</f>
        <v>1</v>
      </c>
      <c r="AS76" s="207">
        <f>--ISNUMBER(IFERROR(SEARCH('PLANILLA DJ'!$X$42,$A76,1),""))</f>
        <v>1</v>
      </c>
      <c r="AT76" s="207">
        <f>--ISNUMBER(IFERROR(SEARCH('PLANILLA DJ'!$X$43,$A76,1),""))</f>
        <v>1</v>
      </c>
      <c r="AU76" s="207">
        <f>--ISNUMBER(IFERROR(SEARCH('PLANILLA DJ'!$X$44,$A76,1),""))</f>
        <v>1</v>
      </c>
      <c r="AV76" s="207">
        <f>--ISNUMBER(IFERROR(SEARCH('PLANILLA DJ'!$X$45,$A76,1),""))</f>
        <v>1</v>
      </c>
      <c r="AW76" s="207">
        <f>--ISNUMBER(IFERROR(SEARCH('PLANILLA DJ'!$X$46,$A76,1),""))</f>
        <v>1</v>
      </c>
      <c r="AX76" s="207">
        <f>--ISNUMBER(IFERROR(SEARCH('PLANILLA DJ'!$X$47,$A76,1),""))</f>
        <v>1</v>
      </c>
      <c r="AY76" s="207">
        <f>--ISNUMBER(IFERROR(SEARCH('PLANILLA DJ'!$X$48,$A76,1),""))</f>
        <v>1</v>
      </c>
      <c r="AZ76" s="207">
        <f>--ISNUMBER(IFERROR(SEARCH('PLANILLA DJ'!$X$49,$A76,1),""))</f>
        <v>1</v>
      </c>
      <c r="BA76" s="207">
        <f>--ISNUMBER(IFERROR(SEARCH('PLANILLA DJ'!$X$50,$A76,1),""))</f>
        <v>1</v>
      </c>
      <c r="BB76" s="207">
        <f>--ISNUMBER(IFERROR(SEARCH('PLANILLA DJ'!$X$51,$A76,1),""))</f>
        <v>1</v>
      </c>
      <c r="BC76" s="207">
        <f>--ISNUMBER(IFERROR(SEARCH('PLANILLA DJ'!$X$52,$A76,1),""))</f>
        <v>1</v>
      </c>
      <c r="BD76" s="207">
        <f>--ISNUMBER(IFERROR(SEARCH('PLANILLA DJ'!$X$53,$A76,1),""))</f>
        <v>1</v>
      </c>
      <c r="BE76" s="207">
        <f>--ISNUMBER(IFERROR(SEARCH('PLANILLA DJ'!$X$54,$A76,1),""))</f>
        <v>1</v>
      </c>
      <c r="BF76" s="207">
        <f>--ISNUMBER(IFERROR(SEARCH('PLANILLA DJ'!$X$55,$A76,1),""))</f>
        <v>1</v>
      </c>
      <c r="BG76" s="207">
        <f>--ISNUMBER(IFERROR(SEARCH('PLANILLA DJ'!$X$56,$A76,1),""))</f>
        <v>1</v>
      </c>
      <c r="BH76" s="207">
        <f>--ISNUMBER(IFERROR(SEARCH('PLANILLA DJ'!$X$57,$A76,1),""))</f>
        <v>1</v>
      </c>
      <c r="BI76" s="207">
        <f>--ISNUMBER(IFERROR(SEARCH('PLANILLA DJ'!$X$58,$A76,1),""))</f>
        <v>1</v>
      </c>
      <c r="BJ76" s="207">
        <f>--ISNUMBER(IFERROR(SEARCH('PLANILLA DJ'!$X$59,$A76,1),""))</f>
        <v>1</v>
      </c>
      <c r="BK76" s="207">
        <f>--ISNUMBER(IFERROR(SEARCH('PLANILLA DJ'!$X$60,$A76,1),""))</f>
        <v>1</v>
      </c>
      <c r="BL76" s="207">
        <f>--ISNUMBER(IFERROR(SEARCH('PLANILLA DJ'!$X$61,$A76,1),""))</f>
        <v>1</v>
      </c>
      <c r="BM76" s="207">
        <f>--ISNUMBER(IFERROR(SEARCH('PLANILLA DJ'!$X$62,$A76,1),""))</f>
        <v>1</v>
      </c>
      <c r="BN76" s="207">
        <f>--ISNUMBER(IFERROR(SEARCH('PLANILLA DJ'!$X$63,$A76,1),""))</f>
        <v>1</v>
      </c>
      <c r="BO76" s="207">
        <f>--ISNUMBER(IFERROR(SEARCH('PLANILLA DJ'!$X$64,$A76,1),""))</f>
        <v>1</v>
      </c>
      <c r="BP76" s="207">
        <f>--ISNUMBER(IFERROR(SEARCH('PLANILLA DJ'!$X$65,$A76,1),""))</f>
        <v>1</v>
      </c>
      <c r="BQ76" s="207">
        <f>--ISNUMBER(IFERROR(SEARCH('PLANILLA DJ'!$X$66,$A76,1),""))</f>
        <v>1</v>
      </c>
      <c r="BR76" s="207">
        <f>--ISNUMBER(IFERROR(SEARCH('PLANILLA DJ'!$X$67,$A76,1),""))</f>
        <v>1</v>
      </c>
      <c r="BS76" s="207">
        <f>--ISNUMBER(IFERROR(SEARCH('PLANILLA DJ'!$X$68,$A76,1),""))</f>
        <v>1</v>
      </c>
      <c r="BT76" s="207">
        <f>--ISNUMBER(IFERROR(SEARCH('PLANILLA DJ'!$X$69,$A76,1),""))</f>
        <v>1</v>
      </c>
      <c r="BU76" s="207">
        <f>--ISNUMBER(IFERROR(SEARCH('PLANILLA DJ'!$X$70,$A76,1),""))</f>
        <v>1</v>
      </c>
      <c r="BV76" s="207">
        <f>--ISNUMBER(IFERROR(SEARCH('PLANILLA DJ'!$X$71,$A76,1),""))</f>
        <v>1</v>
      </c>
      <c r="BW76" s="207">
        <f>--ISNUMBER(IFERROR(SEARCH('PLANILLA DJ'!$X$72,$A76,1),""))</f>
        <v>1</v>
      </c>
      <c r="BX76" s="207">
        <f>--ISNUMBER(IFERROR(SEARCH('PLANILLA DJ'!$X$73,$A76,1),""))</f>
        <v>1</v>
      </c>
      <c r="BY76" s="207">
        <f>--ISNUMBER(IFERROR(SEARCH('PLANILLA DJ'!$X$74,$A76,1),""))</f>
        <v>1</v>
      </c>
      <c r="BZ76" s="207">
        <f>--ISNUMBER(IFERROR(SEARCH('PLANILLA DJ'!$X$75,$A76,1),""))</f>
        <v>1</v>
      </c>
      <c r="CA76" s="207">
        <f>--ISNUMBER(IFERROR(SEARCH('PLANILLA DJ'!$X$76,$A76,1),""))</f>
        <v>1</v>
      </c>
      <c r="CB76" s="207">
        <f>--ISNUMBER(IFERROR(SEARCH('PLANILLA DJ'!$X$77,$A76,1),""))</f>
        <v>1</v>
      </c>
      <c r="CC76" s="207">
        <f>--ISNUMBER(IFERROR(SEARCH('PLANILLA DJ'!$X$78,$A76,1),""))</f>
        <v>1</v>
      </c>
      <c r="CD76" s="207">
        <f>--ISNUMBER(IFERROR(SEARCH('PLANILLA DJ'!$X$79,$A76,1),""))</f>
        <v>1</v>
      </c>
      <c r="CE76" s="207">
        <f>--ISNUMBER(IFERROR(SEARCH('PLANILLA DJ'!$X$80,$A76,1),""))</f>
        <v>1</v>
      </c>
      <c r="CF76" s="207">
        <f>--ISNUMBER(IFERROR(SEARCH('PLANILLA DJ'!$X$81,$A76,1),""))</f>
        <v>1</v>
      </c>
      <c r="CG76" s="207">
        <f>--ISNUMBER(IFERROR(SEARCH('PLANILLA DJ'!$X$82,$A76,1),""))</f>
        <v>1</v>
      </c>
      <c r="CH76" s="207">
        <f>--ISNUMBER(IFERROR(SEARCH('PLANILLA DJ'!$X$83,$A76,1),""))</f>
        <v>1</v>
      </c>
      <c r="CI76" s="207">
        <f>--ISNUMBER(IFERROR(SEARCH('PLANILLA DJ'!$X$84,$A76,1),""))</f>
        <v>1</v>
      </c>
      <c r="CJ76" s="207">
        <f>--ISNUMBER(IFERROR(SEARCH('PLANILLA DJ'!$X$85,$A76,1),""))</f>
        <v>1</v>
      </c>
      <c r="CK76" s="207">
        <f>--ISNUMBER(IFERROR(SEARCH('PLANILLA DJ'!$X$86,$A76,1),""))</f>
        <v>1</v>
      </c>
      <c r="CL76" s="207">
        <f>--ISNUMBER(IFERROR(SEARCH('PLANILLA DJ'!$X$87,$A76,1),""))</f>
        <v>1</v>
      </c>
      <c r="CM76" s="207">
        <f>--ISNUMBER(IFERROR(SEARCH('PLANILLA DJ'!$X$88,$A76,1),""))</f>
        <v>1</v>
      </c>
      <c r="CN76" s="207">
        <f>--ISNUMBER(IFERROR(SEARCH('PLANILLA DJ'!$X$89,$A76,1),""))</f>
        <v>1</v>
      </c>
      <c r="CO76" s="207">
        <f>--ISNUMBER(IFERROR(SEARCH('PLANILLA DJ'!$X$90,$A76,1),""))</f>
        <v>1</v>
      </c>
      <c r="CP76" s="207">
        <f>--ISNUMBER(IFERROR(SEARCH('PLANILLA DJ'!$X$91,$A76,1),""))</f>
        <v>1</v>
      </c>
      <c r="CQ76" s="207">
        <f>--ISNUMBER(IFERROR(SEARCH('PLANILLA DJ'!$X$92,$A76,1),""))</f>
        <v>1</v>
      </c>
      <c r="CR76" s="207">
        <f>--ISNUMBER(IFERROR(SEARCH('PLANILLA DJ'!$X$93,$A76,1),""))</f>
        <v>1</v>
      </c>
      <c r="CS76" s="207">
        <f>--ISNUMBER(IFERROR(SEARCH('PLANILLA DJ'!$X$94,$A76,1),""))</f>
        <v>1</v>
      </c>
      <c r="CT76" s="207">
        <f>--ISNUMBER(IFERROR(SEARCH('PLANILLA DJ'!$X$95,$A76,1),""))</f>
        <v>1</v>
      </c>
      <c r="CU76" s="207">
        <f>--ISNUMBER(IFERROR(SEARCH('PLANILLA DJ'!$X$96,$A76,1),""))</f>
        <v>1</v>
      </c>
      <c r="CV76" s="207">
        <f>--ISNUMBER(IFERROR(SEARCH('PLANILLA DJ'!$X$97,$A76,1),""))</f>
        <v>1</v>
      </c>
      <c r="CW76" s="207">
        <f>--ISNUMBER(IFERROR(SEARCH('PLANILLA DJ'!$X$98,$A76,1),""))</f>
        <v>1</v>
      </c>
      <c r="CX76" s="207">
        <f>--ISNUMBER(IFERROR(SEARCH('PLANILLA DJ'!$X$99,$A76,1),""))</f>
        <v>1</v>
      </c>
      <c r="CY76" s="207">
        <f>--ISNUMBER(IFERROR(SEARCH('PLANILLA DJ'!$X$100,$A76,1),""))</f>
        <v>1</v>
      </c>
      <c r="CZ76" s="207">
        <f>--ISNUMBER(IFERROR(SEARCH('PLANILLA DJ'!$X$101,$A76,1),""))</f>
        <v>1</v>
      </c>
      <c r="DA76" s="207">
        <f>--ISNUMBER(IFERROR(SEARCH('PLANILLA DJ'!$X$102,$A76,1),""))</f>
        <v>1</v>
      </c>
      <c r="DB76" s="206">
        <f>IF(F76=1,COUNTIF($F$2:F76,1),"")</f>
        <v>75</v>
      </c>
      <c r="DC76" s="206">
        <f>IF(G76=1,COUNTIF($G$2:G76,1),"")</f>
        <v>75</v>
      </c>
      <c r="DD76" s="206">
        <f>IF(H76=1,COUNTIF($H$2:H76,1),"")</f>
        <v>75</v>
      </c>
      <c r="DE76" s="206">
        <f>IF(I76=1,COUNTIF($I$2:I76,1),"")</f>
        <v>75</v>
      </c>
      <c r="DF76" s="206">
        <f>IF(J76=1,COUNTIF($J$2:J76,1),"")</f>
        <v>75</v>
      </c>
      <c r="DG76" s="206">
        <f>IF(K76=1,COUNTIF($K$2:K76,1),"")</f>
        <v>75</v>
      </c>
      <c r="DH76" s="206">
        <f>IF(L76=1,COUNTIF($L$2:L76,1),"")</f>
        <v>75</v>
      </c>
      <c r="DI76" s="206">
        <f>IF(M76=1,COUNTIF($M$2:M76,1),"")</f>
        <v>75</v>
      </c>
      <c r="DJ76" s="206">
        <f>IF(N76=1,COUNTIF($N$2:N76,1),"")</f>
        <v>75</v>
      </c>
      <c r="DK76" s="206">
        <f>IF(O76=1,COUNTIF($O$2:O76,1),"")</f>
        <v>75</v>
      </c>
      <c r="DL76" s="206">
        <f>IF(P76=1,COUNTIF($P$2:P76,1),"")</f>
        <v>75</v>
      </c>
      <c r="DM76" s="206">
        <f>IF(Q76=1,COUNTIF($Q$2:Q76,1),"")</f>
        <v>75</v>
      </c>
      <c r="DN76" s="207">
        <f>IF(R76=1,COUNTIF($R$2:R76,1),"")</f>
        <v>75</v>
      </c>
      <c r="DO76" s="207">
        <f>IF(S76=1,COUNTIF($S$2:S76,1),"")</f>
        <v>75</v>
      </c>
      <c r="DP76" s="207">
        <f>IF(T76=1,COUNTIF($T$2:T76,1),"")</f>
        <v>75</v>
      </c>
      <c r="DQ76" s="207">
        <f>IF(U76=1,COUNTIF($U$2:U76,1),"")</f>
        <v>75</v>
      </c>
      <c r="DR76" s="207">
        <f>IF(V76=1,COUNTIF($V$2:V76,1),"")</f>
        <v>75</v>
      </c>
      <c r="DS76" s="207">
        <f>IF(W76=1,COUNTIF($W$2:W76,1),"")</f>
        <v>75</v>
      </c>
      <c r="DT76" s="207">
        <f>IF(X76=1,COUNTIF($X$2:X76,1),"")</f>
        <v>75</v>
      </c>
      <c r="DU76" s="207">
        <f>IF(Y76=1,COUNTIF($Y$2:Y76,1),"")</f>
        <v>75</v>
      </c>
      <c r="DV76" s="207">
        <f>IF(Z76=1,COUNTIF(Z$2:Z76,1),"")</f>
        <v>75</v>
      </c>
      <c r="DW76" s="207">
        <f>IF(AA76=1,COUNTIF($AA$2:AA76,1),"")</f>
        <v>75</v>
      </c>
      <c r="DX76" s="207">
        <f>IF(AB76=1,COUNTIF($AB$2:AB76,1),"")</f>
        <v>75</v>
      </c>
      <c r="DY76" s="207">
        <f>IF(AC76=1,COUNTIF($AC$2:AC76,1),"")</f>
        <v>75</v>
      </c>
      <c r="DZ76" s="207">
        <f>IF(AD76=1,COUNTIF($AD$2:AD76,1),"")</f>
        <v>75</v>
      </c>
      <c r="EA76" s="207">
        <f>IF(AE76=1,COUNTIF($AE$2:AE76,1),"")</f>
        <v>75</v>
      </c>
      <c r="EB76" s="207">
        <f>IF(AF76=1,COUNTIF($AF$2:AF76,1),"")</f>
        <v>75</v>
      </c>
      <c r="EC76" s="207">
        <f>IF(AG76=1,COUNTIF($AG$2:AG76,1),"")</f>
        <v>75</v>
      </c>
      <c r="ED76" s="207">
        <f>IF(AH76=1,COUNTIF($AH$2:AH76,1),"")</f>
        <v>75</v>
      </c>
      <c r="EE76" s="207">
        <f>IF(AI76=1,COUNTIF($AI$2:AI76,1),"")</f>
        <v>75</v>
      </c>
      <c r="EF76" s="207">
        <f>IF(AJ76=1,COUNTIF($AJ$2:AJ76,1),"")</f>
        <v>75</v>
      </c>
      <c r="EG76" s="207">
        <f>IF(AK76=1,COUNTIF($AK$2:AK76,1),"")</f>
        <v>75</v>
      </c>
      <c r="EH76" s="207">
        <f>IF(AL76=1,COUNTIF($AL$2:AL76,1),"")</f>
        <v>75</v>
      </c>
      <c r="EI76" s="207">
        <f>IF(AM76=1,COUNTIF($AM$2:AM76,1),"")</f>
        <v>75</v>
      </c>
      <c r="EJ76" s="207">
        <f>IF(AN76=1,COUNTIF($AN$2:AN76,1),"")</f>
        <v>75</v>
      </c>
      <c r="EK76" s="207">
        <f>IF(AO76=1,COUNTIF($AO$2:AO76,1),"")</f>
        <v>75</v>
      </c>
      <c r="EL76" s="207">
        <f>IF(AP76=1,COUNTIF($AP$2:AP76,1),"")</f>
        <v>75</v>
      </c>
      <c r="EM76" s="207">
        <f>IF(AQ76=1,COUNTIF($AQ$2:AQ76,1),"")</f>
        <v>75</v>
      </c>
      <c r="EN76" s="207">
        <f>IF(AR76=1,COUNTIF($AR$2:AR76,1),"")</f>
        <v>75</v>
      </c>
      <c r="EO76" s="207">
        <f>IF(AS76=1,COUNTIF($AS$2:AS76,1),"")</f>
        <v>75</v>
      </c>
      <c r="EP76" s="207">
        <f>IF(AT76=1,COUNTIF($AT$2:AT76,1),"")</f>
        <v>75</v>
      </c>
      <c r="EQ76" s="207">
        <f>IF(AU76=1,COUNTIF($AU$2:AU76,1),"")</f>
        <v>75</v>
      </c>
      <c r="ER76" s="207">
        <f>IF(AV76=1,COUNTIF($AV$2:AV76,1),"")</f>
        <v>75</v>
      </c>
      <c r="ES76" s="207">
        <f>IF(AW76=1,COUNTIF($AW$2:AW76,1),"")</f>
        <v>75</v>
      </c>
      <c r="ET76" s="207">
        <f>IF(AX76=1,COUNTIF($AX$2:AX76,1),"")</f>
        <v>75</v>
      </c>
      <c r="EU76" s="207">
        <f>IF(AY76=1,COUNTIF($AY$2:AY76,1),"")</f>
        <v>75</v>
      </c>
      <c r="EV76" s="207">
        <f>IF(AZ76=1,COUNTIF($AZ$2:AZ76,1),"")</f>
        <v>75</v>
      </c>
      <c r="EW76" s="207">
        <f>IF(BA76=1,COUNTIF($BA$2:BA76,1),"")</f>
        <v>75</v>
      </c>
      <c r="EX76" s="207">
        <f>IF(BB76=1,COUNTIF($BB$2:BB76,1),"")</f>
        <v>75</v>
      </c>
      <c r="EY76" s="207">
        <f>IF(BC76=1,COUNTIF($BC$2:BC76,1),"")</f>
        <v>75</v>
      </c>
      <c r="EZ76" s="207">
        <f>IF(BD76=1,COUNTIF($BD$2:BD76,1),"")</f>
        <v>75</v>
      </c>
      <c r="FA76" s="207">
        <f>IF(BE76=1,COUNTIF($BE$2:BE76,1),"")</f>
        <v>75</v>
      </c>
      <c r="FB76" s="207">
        <f>IF(BF76=1,COUNTIF($BF$2:BF76,1),"")</f>
        <v>75</v>
      </c>
      <c r="FC76" s="207">
        <f>IF(BG76=1,COUNTIF($BG$2:BG76,1),"")</f>
        <v>75</v>
      </c>
      <c r="FD76" s="207">
        <f>IF(BH76=1,COUNTIF($BH$2:BH76,1),"")</f>
        <v>75</v>
      </c>
      <c r="FE76" s="207">
        <f>IF(BI76=1,COUNTIF($BI$2:BI76,1),"")</f>
        <v>75</v>
      </c>
      <c r="FF76" s="207">
        <f>IF(BJ76=1,COUNTIF($BJ$2:BJ76,1),"")</f>
        <v>75</v>
      </c>
      <c r="FG76" s="207">
        <f>IF(BK76=1,COUNTIF($BK$2:BK76,1),"")</f>
        <v>75</v>
      </c>
      <c r="FH76" s="207">
        <f>IF(BL76=1,COUNTIF($BL$2:BL76,1),"")</f>
        <v>75</v>
      </c>
      <c r="FI76" s="207">
        <f>IF(BM76=1,COUNTIF($BM$2:BM76,1),"")</f>
        <v>75</v>
      </c>
      <c r="FJ76" s="207">
        <f>IF(BN76=1,COUNTIF($BN$2:BN76,1),"")</f>
        <v>75</v>
      </c>
      <c r="FK76" s="207">
        <f>IF(BO76=1,COUNTIF($BO$2:BO76,1),"")</f>
        <v>75</v>
      </c>
      <c r="FL76" s="207">
        <f>IF(BP76=1,COUNTIF($BP$2:BP76,1),"")</f>
        <v>75</v>
      </c>
      <c r="FM76" s="207">
        <f>IF(BQ76=1,COUNTIF($BQ$2:BQ76,1),"")</f>
        <v>75</v>
      </c>
      <c r="FN76" s="207">
        <f>IF(BR76=1,COUNTIF($BR$2:BR76,1),"")</f>
        <v>75</v>
      </c>
      <c r="FO76" s="207">
        <f>IF(BS76=1,COUNTIF($BS$2:BS76,1),"")</f>
        <v>75</v>
      </c>
      <c r="FP76" s="207">
        <f>IF(BT76=1,COUNTIF($BT$2:BT76,1),"")</f>
        <v>75</v>
      </c>
      <c r="FQ76" s="207">
        <f>IF(BU76=1,COUNTIF($BU$2:BU76,1),"")</f>
        <v>75</v>
      </c>
      <c r="FR76" s="207">
        <f>IF(BV76=1,COUNTIF($BV$2:BV76,1),"")</f>
        <v>75</v>
      </c>
      <c r="FS76" s="207">
        <f>IF(BW76=1,COUNTIF($BW$2:BW76,1),"")</f>
        <v>75</v>
      </c>
      <c r="FT76" s="207">
        <f>IF(BX76=1,COUNTIF($BX$2:BX76,1),"")</f>
        <v>75</v>
      </c>
      <c r="FU76" s="207">
        <f>IF(BY76=1,COUNTIF($BY$2:BY76,1),"")</f>
        <v>75</v>
      </c>
      <c r="FV76" s="207">
        <f>IF(BZ76=1,COUNTIF($BZ$2:BZ76,1),"")</f>
        <v>75</v>
      </c>
      <c r="FW76" s="207">
        <f>IF(CA76=1,COUNTIF($CA$2:CA76,1),"")</f>
        <v>75</v>
      </c>
      <c r="FX76" s="207">
        <f>IF(CB76=1,COUNTIF($CB$2:CB76,1),"")</f>
        <v>75</v>
      </c>
      <c r="FY76" s="207">
        <f>IF(CC76=1,COUNTIF($CC$2:CC76,1),"")</f>
        <v>75</v>
      </c>
      <c r="FZ76" s="207">
        <f>IF(CD76=1,COUNTIF($CD$2:CD76,1),"")</f>
        <v>75</v>
      </c>
      <c r="GA76" s="207">
        <f>IF(CE76=1,COUNTIF($CE$2:CE76,1),"")</f>
        <v>75</v>
      </c>
      <c r="GB76" s="207">
        <f>IF(CF76=1,COUNTIF($CF$2:CF76,1),"")</f>
        <v>75</v>
      </c>
      <c r="GC76" s="207">
        <f>IF(CG76=1,COUNTIF($CG$2:CG76,1),"")</f>
        <v>75</v>
      </c>
      <c r="GD76" s="207">
        <f>IF(CH76=1,COUNTIF($CH$2:CH76,1),"")</f>
        <v>75</v>
      </c>
      <c r="GE76" s="207">
        <f>IF(CI76=1,COUNTIF($CI$2:CI76,1),"")</f>
        <v>75</v>
      </c>
      <c r="GF76" s="207">
        <f>IF(CJ76=1,COUNTIF($CJ$2:CJ76,1),"")</f>
        <v>75</v>
      </c>
      <c r="GG76" s="207">
        <f>IF(CK76=1,COUNTIF($CK$2:CK76,1),"")</f>
        <v>75</v>
      </c>
      <c r="GH76" s="207">
        <f>IF(CL76=1,COUNTIF($CL$2:CL76,1),"")</f>
        <v>75</v>
      </c>
      <c r="GI76" s="207">
        <f>IF(CM76=1,COUNTIF($CM$2:CM76,1),"")</f>
        <v>75</v>
      </c>
      <c r="GJ76" s="207">
        <f>IF(CN76=1,COUNTIF($CN$2:CN76,1),"")</f>
        <v>75</v>
      </c>
      <c r="GK76" s="207">
        <f>IF(CO76=1,COUNTIF($CO$2:CO76,1),"")</f>
        <v>75</v>
      </c>
      <c r="GL76" s="207">
        <f>IF(CP76=1,COUNTIF($CP$2:CP76,1),"")</f>
        <v>75</v>
      </c>
      <c r="GM76" s="207">
        <f>IF(CQ76=1,COUNTIF($CQ$2:CQ76,1),"")</f>
        <v>75</v>
      </c>
      <c r="GN76" s="207">
        <f>IF(CR76=1,COUNTIF($CR$2:CR76,1),"")</f>
        <v>75</v>
      </c>
      <c r="GO76" s="207">
        <f>IF(CS76=1,COUNTIF($CS$2:CS76,1),"")</f>
        <v>75</v>
      </c>
      <c r="GP76" s="207">
        <f>IF(CT76=1,COUNTIF($CT$2:CT76,1),"")</f>
        <v>75</v>
      </c>
      <c r="GQ76" s="207">
        <f>IF(CU76=1,COUNTIF($CU$2:CU76,1),"")</f>
        <v>75</v>
      </c>
      <c r="GR76" s="207">
        <f>IF(CV76=1,COUNTIF($CV$2:CV76,1),"")</f>
        <v>75</v>
      </c>
      <c r="GS76" s="207">
        <f>IF(CW76=1,COUNTIF($CW$2:CW76,1),"")</f>
        <v>75</v>
      </c>
      <c r="GT76" s="207">
        <f>IF(CX76=1,COUNTIF($CX$2:CX76,1),"")</f>
        <v>75</v>
      </c>
      <c r="GU76" s="207">
        <f>IF(CY76=1,COUNTIF($CY$2:CY76,1),"")</f>
        <v>75</v>
      </c>
      <c r="GV76" s="207">
        <f>IF(CZ76=1,COUNTIF($CZ$2:CZ76,1),"")</f>
        <v>75</v>
      </c>
      <c r="GW76" s="207">
        <f>IF(DA76=1,COUNTIF($DA$2:DA76,1),"")</f>
        <v>75</v>
      </c>
      <c r="GX76" s="206" t="str">
        <f>IFERROR(INDEX($A$2:$A$113,MATCH(ROWS($DB$2:DB76),$DB$2:$DB$113,0)),"")</f>
        <v>INTIMIDACION PUBLICA</v>
      </c>
      <c r="GY76" s="206" t="str">
        <f>IFERROR(INDEX($A$2:$A$113,MATCH(ROWS($DC$2:DC76),$DC$2:$DC$113,0)),"")</f>
        <v>INTIMIDACION PUBLICA</v>
      </c>
      <c r="GZ76" s="206" t="str">
        <f>IFERROR(INDEX($A$2:$A$113,MATCH(ROWS($DD$2:DD76),$DD$2:$DD$113,0)),"")</f>
        <v>INTIMIDACION PUBLICA</v>
      </c>
      <c r="HA76" s="206" t="str">
        <f>IFERROR(INDEX($A$2:$A$113,MATCH(ROWS($DE$2:DE76),$DE$2:$DE$113,0)),"")</f>
        <v>INTIMIDACION PUBLICA</v>
      </c>
      <c r="HB76" s="206" t="str">
        <f>IFERROR(INDEX($A$2:$A$113,MATCH(ROWS($DF$2:DF76),$DF$2:$DF$113,0)),"")</f>
        <v>INTIMIDACION PUBLICA</v>
      </c>
      <c r="HC76" s="206" t="str">
        <f>IFERROR(INDEX($A$2:$A$113,MATCH(ROWS($DG$2:DG76),$DG$2:$DG$113,0)),"")</f>
        <v>INTIMIDACION PUBLICA</v>
      </c>
      <c r="HD76" s="206" t="str">
        <f>IFERROR(INDEX($A$2:$A$113,MATCH(ROWS($DH$2:DH76),$DH$2:$DH$113,0)),"")</f>
        <v>INTIMIDACION PUBLICA</v>
      </c>
      <c r="HE76" s="206" t="str">
        <f>IFERROR(INDEX($A$2:$A$113,MATCH(ROWS($DI$2:DI76),$DI$2:$DI$113,0)),"")</f>
        <v>INTIMIDACION PUBLICA</v>
      </c>
      <c r="HF76" s="206" t="str">
        <f>IFERROR(INDEX($A$2:$A$113,MATCH(ROWS($DJ$2:DJ76),$DJ$2:$DJ$113,0)),"")</f>
        <v>INTIMIDACION PUBLICA</v>
      </c>
      <c r="HG76" s="206" t="str">
        <f>IFERROR(INDEX($A$2:$A$113,MATCH(ROWS($DK$2:DK76),$DK$2:$DK$113,0)),"")</f>
        <v>INTIMIDACION PUBLICA</v>
      </c>
      <c r="HH76" s="206" t="str">
        <f>IFERROR(INDEX($A$2:$A$113,MATCH(ROWS($DL$2:DL76),$DL$2:$DL$113,0)),"")</f>
        <v>INTIMIDACION PUBLICA</v>
      </c>
      <c r="HI76" s="206" t="str">
        <f>IFERROR(INDEX($A$2:$A$113,MATCH(ROWS($DM$2:DM76),$DM$2:$DM$113,0)),"")</f>
        <v>INTIMIDACION PUBLICA</v>
      </c>
      <c r="HJ76" s="206" t="str">
        <f>IFERROR(INDEX($A$2:$A$113,MATCH(ROWS($DN$2:DN76),$DN$2:$DN$113,0)),"")</f>
        <v>INTIMIDACION PUBLICA</v>
      </c>
      <c r="HK76" s="206" t="str">
        <f>IFERROR(INDEX($A$2:$A$113,MATCH(ROWS($DO$2:DO76),$DO$2:$DO$113,0)),"")</f>
        <v>INTIMIDACION PUBLICA</v>
      </c>
      <c r="HL76" s="206" t="str">
        <f>IFERROR(INDEX($A$2:$A$113,MATCH(ROWS($DP$2:DP76),$DP$2:$DP$113,0)),"")</f>
        <v>INTIMIDACION PUBLICA</v>
      </c>
      <c r="HM76" s="206" t="str">
        <f>IFERROR(INDEX($A$2:$A$113,MATCH(ROWS($DQ$2:DQ76),$DQ$2:$DQ$113,0)),"")</f>
        <v>INTIMIDACION PUBLICA</v>
      </c>
      <c r="HN76" s="206" t="str">
        <f>IFERROR(INDEX($A$2:$A$113,MATCH(ROWS($DR$2:DR76),$DR$2:$DR$113,0)),"")</f>
        <v>INTIMIDACION PUBLICA</v>
      </c>
      <c r="HO76" s="206" t="str">
        <f>IFERROR(INDEX($A$2:$A$113,MATCH(ROWS($DS$2:DS76),$DS$2:$DS$113,0)),"")</f>
        <v>INTIMIDACION PUBLICA</v>
      </c>
      <c r="HP76" s="206" t="str">
        <f>IFERROR(INDEX($A$2:$A$113,MATCH(ROWS($DT$2:DT76),$DT$2:$DT$113,0)),"")</f>
        <v>INTIMIDACION PUBLICA</v>
      </c>
      <c r="HQ76" s="206" t="str">
        <f>IFERROR(INDEX($A$2:$A$113,MATCH(ROWS($DU$2:DU76),$DU$2:$DU$113,0)),"")</f>
        <v>INTIMIDACION PUBLICA</v>
      </c>
      <c r="HR76" s="206" t="str">
        <f>IFERROR(INDEX($A$2:$A$113,MATCH(ROWS($DV$2:DV76),$DV$2:$DV$113,0)),"")</f>
        <v>INTIMIDACION PUBLICA</v>
      </c>
      <c r="HS76" s="206" t="str">
        <f>IFERROR(INDEX($A$2:$A$113,MATCH(ROWS($DW$2:DW76),$DW$2:$DW$113,0)),"")</f>
        <v>INTIMIDACION PUBLICA</v>
      </c>
      <c r="HT76" s="206" t="str">
        <f>IFERROR(INDEX($A$2:$A$113,MATCH(ROWS($DX$2:DX76),$DX$2:$DX$113,0)),"")</f>
        <v>INTIMIDACION PUBLICA</v>
      </c>
      <c r="HU76" s="206" t="str">
        <f>IFERROR(INDEX($A$2:$A$113,MATCH(ROWS($DY$2:DY76),$DY$2:$DY$113,0)),"")</f>
        <v>INTIMIDACION PUBLICA</v>
      </c>
      <c r="HV76" s="206" t="str">
        <f>IFERROR(INDEX($A$2:$A$113,MATCH(ROWS($DZ$2:DZ76),$DZ$2:$DZ$113,0)),"")</f>
        <v>INTIMIDACION PUBLICA</v>
      </c>
      <c r="HW76" s="206" t="str">
        <f>IFERROR(INDEX($A$2:$A$113,MATCH(ROWS($EA$2:EA76),$EA$2:$EA$113,0)),"")</f>
        <v>INTIMIDACION PUBLICA</v>
      </c>
      <c r="HX76" s="206" t="str">
        <f>IFERROR(INDEX($A$2:$A$113,MATCH(ROWS($EB$2:EB76),$EB$2:$EB$113,0)),"")</f>
        <v>INTIMIDACION PUBLICA</v>
      </c>
      <c r="HY76" s="206" t="str">
        <f>IFERROR(INDEX($A$2:$A$113,MATCH(ROWS($EC$2:EC76),$EC$2:$EC$113,0)),"")</f>
        <v>INTIMIDACION PUBLICA</v>
      </c>
      <c r="HZ76" s="206" t="str">
        <f>IFERROR(INDEX($A$2:$A$113,MATCH(ROWS($ED$2:ED76),$ED$2:$ED$113,0)),"")</f>
        <v>INTIMIDACION PUBLICA</v>
      </c>
      <c r="IA76" s="206" t="str">
        <f>IFERROR(INDEX($A$2:$A$113,MATCH(ROWS($EE$2:EE76),$EE$2:$EE$113,0)),"")</f>
        <v>INTIMIDACION PUBLICA</v>
      </c>
      <c r="IB76" s="206" t="str">
        <f>IFERROR(INDEX($A$2:$A$113,MATCH(ROWS($EF$2:EF76),$EF$2:$EF$113,0)),"")</f>
        <v>INTIMIDACION PUBLICA</v>
      </c>
      <c r="IC76" s="206" t="str">
        <f>IFERROR(INDEX($A$2:$A$113,MATCH(ROWS($EG$2:EG76),$EG$2:$EG$113,0)),"")</f>
        <v>INTIMIDACION PUBLICA</v>
      </c>
      <c r="ID76" s="206" t="str">
        <f>IFERROR(INDEX($A$2:$A$113,MATCH(ROWS($EH$2:EH76),$EH$2:$EH$113,0)),"")</f>
        <v>INTIMIDACION PUBLICA</v>
      </c>
      <c r="IE76" s="206" t="str">
        <f>IFERROR(INDEX($A$2:$A$113,MATCH(ROWS($EI$2:EI76),$EI$2:$EI$113,0)),"")</f>
        <v>INTIMIDACION PUBLICA</v>
      </c>
      <c r="IF76" s="206" t="str">
        <f>IFERROR(INDEX($A$2:$A$113,MATCH(ROWS($EJ$2:EJ76),$EJ$2:$EJ$113,0)),"")</f>
        <v>INTIMIDACION PUBLICA</v>
      </c>
      <c r="IG76" s="206" t="str">
        <f>IFERROR(INDEX($A$2:$A$113,MATCH(ROWS($EK$2:EK76),$EK$2:$EK$113,0)),"")</f>
        <v>INTIMIDACION PUBLICA</v>
      </c>
      <c r="IH76" s="206" t="str">
        <f>IFERROR(INDEX($A$2:$A$113,MATCH(ROWS($EL$2:EL76),$EL$2:$EL$113,0)),"")</f>
        <v>INTIMIDACION PUBLICA</v>
      </c>
      <c r="II76" s="206" t="str">
        <f>IFERROR(INDEX($A$2:$A$113,MATCH(ROWS($EM$2:EM76),$EM$2:$EM$113,0)),"")</f>
        <v>INTIMIDACION PUBLICA</v>
      </c>
      <c r="IJ76" s="206" t="str">
        <f>IFERROR(INDEX($A$2:$A$113,MATCH(ROWS($EN$2:EN76),$EN$2:$EN$113,0)),"")</f>
        <v>INTIMIDACION PUBLICA</v>
      </c>
      <c r="IK76" s="207" t="str">
        <f>IFERROR(INDEX($A$2:$A$113,MATCH(ROWS($EO$2:EO76),$EO$2:$EO$113,0)),"")</f>
        <v>INTIMIDACION PUBLICA</v>
      </c>
      <c r="IL76" s="207" t="str">
        <f>IFERROR(INDEX($A$2:$A$113,MATCH(ROWS($EP$2:EP76),$EP$2:$EP$113,0)),"")</f>
        <v>INTIMIDACION PUBLICA</v>
      </c>
      <c r="IM76" s="207" t="str">
        <f>IFERROR(INDEX($A$2:$A$113,MATCH(ROWS($EQ$2:EQ76),$EQ$2:$EQ$113,0)),"")</f>
        <v>INTIMIDACION PUBLICA</v>
      </c>
      <c r="IN76" s="207" t="str">
        <f>IFERROR(INDEX($A$2:$A$113,MATCH(ROWS($ER$2:ER76),$ER$2:$ER$113,0)),"")</f>
        <v>INTIMIDACION PUBLICA</v>
      </c>
      <c r="IO76" s="207" t="str">
        <f>IFERROR(INDEX($A$2:$A$113,MATCH(ROWS($ES$2:ES76),$ES$2:$ES$113,0)),"")</f>
        <v>INTIMIDACION PUBLICA</v>
      </c>
      <c r="IP76" s="207" t="str">
        <f>IFERROR(INDEX($A$2:$A$113,MATCH(ROWS($ET$2:ET76),$ET$2:$ET$113,0)),"")</f>
        <v>INTIMIDACION PUBLICA</v>
      </c>
      <c r="IQ76" s="207" t="str">
        <f>IFERROR(INDEX($A$2:$A$113,MATCH(ROWS($EU$2:EU76),$EU$2:$EU$113,0)),"")</f>
        <v>INTIMIDACION PUBLICA</v>
      </c>
      <c r="IR76" s="207" t="str">
        <f>IFERROR(INDEX($A$2:$A$113,MATCH(ROWS($EV$2:EV76),$EV$2:$EV$113,0)),"")</f>
        <v>INTIMIDACION PUBLICA</v>
      </c>
      <c r="IS76" s="207" t="str">
        <f>IFERROR(INDEX($A$2:$A$113,MATCH(ROWS($EW$2:EW76),$EW$2:$EW$113,0)),"")</f>
        <v>INTIMIDACION PUBLICA</v>
      </c>
      <c r="IT76" s="207" t="str">
        <f>IFERROR(INDEX($A$2:$A$113,MATCH(ROWS($EX$2:EX76),$EX$2:$EX$113,0)),"")</f>
        <v>INTIMIDACION PUBLICA</v>
      </c>
      <c r="IU76" s="207" t="str">
        <f>IFERROR(INDEX($A$2:$A$113,MATCH(ROWS($EY$2:EY76),$EY$2:$EY$113,0)),"")</f>
        <v>INTIMIDACION PUBLICA</v>
      </c>
      <c r="IV76" s="207" t="str">
        <f>IFERROR(INDEX($A$2:$A$113,MATCH(ROWS($EZ$2:EZ76),$EZ$2:$EZ$113,0)),"")</f>
        <v>INTIMIDACION PUBLICA</v>
      </c>
      <c r="IW76" s="207" t="str">
        <f>IFERROR(INDEX($A$2:$A$113,MATCH(ROWS($FA$2:FA76),$FA$2:$FA$113,0)),"")</f>
        <v>INTIMIDACION PUBLICA</v>
      </c>
      <c r="IX76" s="207" t="str">
        <f>IFERROR(INDEX($A$2:$A$113,MATCH(ROWS($FB$2:FB76),$FB$2:$FB$113,0)),"")</f>
        <v>INTIMIDACION PUBLICA</v>
      </c>
      <c r="IY76" s="207" t="str">
        <f>IFERROR(INDEX($A$2:$A$113,MATCH(ROWS($FC$2:FC76),$FC$2:$FC$113,0)),"")</f>
        <v>INTIMIDACION PUBLICA</v>
      </c>
      <c r="IZ76" s="207" t="str">
        <f>IFERROR(INDEX($A$2:$A$113,MATCH(ROWS($FD$2:FD76),$FD$2:$FD$113,0)),"")</f>
        <v>INTIMIDACION PUBLICA</v>
      </c>
      <c r="JA76" s="207" t="str">
        <f>IFERROR(INDEX($A$2:$A$113,MATCH(ROWS($FE$2:FE76),$FE$2:$FE$113,0)),"")</f>
        <v>INTIMIDACION PUBLICA</v>
      </c>
      <c r="JB76" s="207" t="str">
        <f>IFERROR(INDEX($A$2:$A$113,MATCH(ROWS($FF$2:FF76),$FF$2:$FF$113,0)),"")</f>
        <v>INTIMIDACION PUBLICA</v>
      </c>
      <c r="JC76" s="207" t="str">
        <f>IFERROR(INDEX($A$2:$A$113,MATCH(ROWS($FG$2:FG76),$FG$2:$FG$113,0)),"")</f>
        <v>INTIMIDACION PUBLICA</v>
      </c>
      <c r="JD76" s="207" t="str">
        <f>IFERROR(INDEX($A$2:$A$113,MATCH(ROWS($FH$2:FH76),$FH$2:$FH$113,0)),"")</f>
        <v>INTIMIDACION PUBLICA</v>
      </c>
      <c r="JE76" s="207" t="str">
        <f>IFERROR(INDEX($A$2:$A$113,MATCH(ROWS($FI$2:FI76),$FI$2:$FI$113,0)),"")</f>
        <v>INTIMIDACION PUBLICA</v>
      </c>
      <c r="JF76" s="207" t="str">
        <f>IFERROR(INDEX($A$2:$A$113,MATCH(ROWS($FJ$2:FJ76),$FJ$2:$FJ$113,0)),"")</f>
        <v>INTIMIDACION PUBLICA</v>
      </c>
      <c r="JG76" s="207" t="str">
        <f>IFERROR(INDEX($A$2:$A$113,MATCH(ROWS($FK$2:FK76),$FK$2:$FK$113,0)),"")</f>
        <v>INTIMIDACION PUBLICA</v>
      </c>
      <c r="JH76" s="207" t="str">
        <f>IFERROR(INDEX($A$2:$A$113,MATCH(ROWS($FL$2:FL76),$FL$2:$FL$113,0)),"")</f>
        <v>INTIMIDACION PUBLICA</v>
      </c>
      <c r="JI76" s="207" t="str">
        <f>IFERROR(INDEX($A$2:$A$113,MATCH(ROWS($FM$2:FM76),$FM$2:$FM$113,0)),"")</f>
        <v>INTIMIDACION PUBLICA</v>
      </c>
      <c r="JJ76" s="207" t="str">
        <f>IFERROR(INDEX($A$2:$A$113,MATCH(ROWS($FN$2:FN76),$FN$2:$FN$113,0)),"")</f>
        <v>INTIMIDACION PUBLICA</v>
      </c>
      <c r="JK76" s="207" t="str">
        <f>IFERROR(INDEX($A$2:$A$113,MATCH(ROWS($FO$2:FO76),$FO$2:$FO$113,0)),"")</f>
        <v>INTIMIDACION PUBLICA</v>
      </c>
      <c r="JL76" s="207" t="str">
        <f>IFERROR(INDEX($A$2:$A$113,MATCH(ROWS($FP$2:FP76),$FP$2:$FP$113,0)),"")</f>
        <v>INTIMIDACION PUBLICA</v>
      </c>
      <c r="JM76" s="207" t="str">
        <f>IFERROR(INDEX($A$2:$A$113,MATCH(ROWS($FQ$2:FQ76),$FQ$2:$FQ$113,0)),"")</f>
        <v>INTIMIDACION PUBLICA</v>
      </c>
      <c r="JN76" s="207" t="str">
        <f>IFERROR(INDEX($A$2:$A$113,MATCH(ROWS($FR$2:FR76),$FR$2:$FR$113,0)),"")</f>
        <v>INTIMIDACION PUBLICA</v>
      </c>
      <c r="JO76" s="207" t="str">
        <f>IFERROR(INDEX($A$2:$A$113,MATCH(ROWS($FS$2:FS76),$FS$2:$FS$113,0)),"")</f>
        <v>INTIMIDACION PUBLICA</v>
      </c>
      <c r="JP76" s="207" t="str">
        <f>IFERROR(INDEX($A$2:$A$113,MATCH(ROWS($FT$2:FT76),$FT$2:$FT$113,0)),"")</f>
        <v>INTIMIDACION PUBLICA</v>
      </c>
      <c r="JQ76" s="207" t="str">
        <f>IFERROR(INDEX($A$2:$A$113,MATCH(ROWS($FU$2:FU76),$FU$2:$FU$113,0)),"")</f>
        <v>INTIMIDACION PUBLICA</v>
      </c>
      <c r="JR76" s="207" t="str">
        <f>IFERROR(INDEX($A$2:$A$113,MATCH(ROWS($FV$2:FV76),$FV$2:$FV$113,0)),"")</f>
        <v>INTIMIDACION PUBLICA</v>
      </c>
      <c r="JS76" s="207" t="str">
        <f>IFERROR(INDEX($A$2:$A$113,MATCH(ROWS($FW$2:FW76),$FW$2:$FW$113,0)),"")</f>
        <v>INTIMIDACION PUBLICA</v>
      </c>
      <c r="JT76" s="207" t="str">
        <f>IFERROR(INDEX($A$2:$A$113,MATCH(ROWS($FX$2:FX76),$FX$2:$FX$113,0)),"")</f>
        <v>INTIMIDACION PUBLICA</v>
      </c>
      <c r="JU76" s="207" t="str">
        <f>IFERROR(INDEX($A$2:$A$113,MATCH(ROWS($FY$2:FY76),$FY$2:$FY$113,0)),"")</f>
        <v>INTIMIDACION PUBLICA</v>
      </c>
      <c r="JV76" s="207" t="str">
        <f>IFERROR(INDEX($A$2:$A$113,MATCH(ROWS($FZ$2:FZ76),$FZ$2:$FZ$113,0)),"")</f>
        <v>INTIMIDACION PUBLICA</v>
      </c>
      <c r="JW76" s="207" t="str">
        <f>IFERROR(INDEX($A$2:$A$113,MATCH(ROWS($GA$2:GA76),$GA$2:$GA$113,0)),"")</f>
        <v>INTIMIDACION PUBLICA</v>
      </c>
      <c r="JX76" s="207" t="str">
        <f>IFERROR(INDEX($A$2:$A$113,MATCH(ROWS($GB$2:GB76),$GB$2:$GB$113,0)),"")</f>
        <v>INTIMIDACION PUBLICA</v>
      </c>
      <c r="JY76" s="207" t="str">
        <f>IFERROR(INDEX($A$2:$A$113,MATCH(ROWS($GC$2:GC76),$GC$2:$GC$113,0)),"")</f>
        <v>INTIMIDACION PUBLICA</v>
      </c>
      <c r="JZ76" s="207" t="str">
        <f>IFERROR(INDEX($A$2:$A$113,MATCH(ROWS($GD$2:GD76),$GD$2:$GD$113,0)),"")</f>
        <v>INTIMIDACION PUBLICA</v>
      </c>
      <c r="KA76" s="207" t="str">
        <f>IFERROR(INDEX($A$2:$A$113,MATCH(ROWS($GE$2:GE76),$GE$2:$GE$113,0)),"")</f>
        <v>INTIMIDACION PUBLICA</v>
      </c>
      <c r="KB76" s="207" t="str">
        <f>IFERROR(INDEX($A$2:$A$113,MATCH(ROWS($GF$2:GF76),$GF$2:$GF$113,0)),"")</f>
        <v>INTIMIDACION PUBLICA</v>
      </c>
      <c r="KC76" s="207" t="str">
        <f>IFERROR(INDEX($A$2:$A$113,MATCH(ROWS($GG$2:GG76),$GG$2:$GG$113,0)),"")</f>
        <v>INTIMIDACION PUBLICA</v>
      </c>
      <c r="KD76" s="207" t="str">
        <f>IFERROR(INDEX($A$2:$A$113,MATCH(ROWS($GH$2:GH76),$GH$2:$GH$113,0)),"")</f>
        <v>INTIMIDACION PUBLICA</v>
      </c>
      <c r="KE76" s="207" t="str">
        <f>IFERROR(INDEX($A$2:$A$113,MATCH(ROWS($GI$2:GI76),$GI$2:$GI$113,0)),"")</f>
        <v>INTIMIDACION PUBLICA</v>
      </c>
      <c r="KF76" s="207" t="str">
        <f>IFERROR(INDEX($A$2:$A$113,MATCH(ROWS($GJ$2:GJ76),$GJ$2:$GJ$113,0)),"")</f>
        <v>INTIMIDACION PUBLICA</v>
      </c>
      <c r="KG76" s="207" t="str">
        <f>IFERROR(INDEX($A$2:$A$113,MATCH(ROWS($GK$2:GK76),$GK$2:$GK$113,0)),"")</f>
        <v>INTIMIDACION PUBLICA</v>
      </c>
      <c r="KH76" s="207" t="str">
        <f>IFERROR(INDEX($A$2:$A$113,MATCH(ROWS($GL$2:GL76),$GL$2:$GL$113,0)),"")</f>
        <v>INTIMIDACION PUBLICA</v>
      </c>
      <c r="KI76" s="207" t="str">
        <f>IFERROR(INDEX($A$2:$A$113,MATCH(ROWS($GM$2:GM76),$GM$2:$GM$113,0)),"")</f>
        <v>INTIMIDACION PUBLICA</v>
      </c>
      <c r="KJ76" s="207" t="str">
        <f>IFERROR(INDEX($A$2:$A$113,MATCH(ROWS($GN$2:GN76),$GN$2:$GN$113,0)),"")</f>
        <v>INTIMIDACION PUBLICA</v>
      </c>
      <c r="KK76" s="207" t="str">
        <f>IFERROR(INDEX($A$2:$A$113,MATCH(ROWS($GO$2:GO76),$GO$2:$GO$113,0)),"")</f>
        <v>INTIMIDACION PUBLICA</v>
      </c>
      <c r="KL76" s="207" t="str">
        <f>IFERROR(INDEX($A$2:$A$113,MATCH(ROWS($GP$2:GP76),$GP$2:$GP$113,0)),"")</f>
        <v>INTIMIDACION PUBLICA</v>
      </c>
      <c r="KM76" s="207" t="str">
        <f>IFERROR(INDEX($A$2:$A$113,MATCH(ROWS($GQ$2:GQ76),$GQ$2:$GQ$113,0)),"")</f>
        <v>INTIMIDACION PUBLICA</v>
      </c>
      <c r="KN76" s="207" t="str">
        <f>IFERROR(INDEX($A$2:$A$113,MATCH(ROWS($GR$2:GR76),$GR$2:$GR$113,0)),"")</f>
        <v>INTIMIDACION PUBLICA</v>
      </c>
      <c r="KO76" s="207" t="str">
        <f>IFERROR(INDEX($A$2:$A$113,MATCH(ROWS($GS$2:GS76),$GS$2:$GS$113,0)),"")</f>
        <v>INTIMIDACION PUBLICA</v>
      </c>
      <c r="KP76" s="207" t="str">
        <f>IFERROR(INDEX($A$2:$A$113,MATCH(ROWS($GT$2:GT76),$GT$2:$GT$113,0)),"")</f>
        <v>INTIMIDACION PUBLICA</v>
      </c>
      <c r="KQ76" s="207" t="str">
        <f>IFERROR(INDEX($A$2:$A$113,MATCH(ROWS($GU$2:GU76),$GU$2:$GU$113,0)),"")</f>
        <v>INTIMIDACION PUBLICA</v>
      </c>
      <c r="KR76" s="207" t="str">
        <f>IFERROR(INDEX($A$2:$A$113,MATCH(ROWS($GV$2:GV76),$GV$2:$GV$113,0)),"")</f>
        <v>INTIMIDACION PUBLICA</v>
      </c>
      <c r="KS76" s="207" t="str">
        <f>IFERROR(INDEX($A$2:$A$113,MATCH(ROWS($GW$2:GW76),$GW$2:$GW$113,0)),"")</f>
        <v>INTIMIDACION PUBLICA</v>
      </c>
    </row>
    <row r="77" spans="1:305" x14ac:dyDescent="0.25">
      <c r="A77" s="206" t="s">
        <v>924</v>
      </c>
      <c r="B77" s="206">
        <v>23</v>
      </c>
      <c r="D77" s="206" t="s">
        <v>18</v>
      </c>
      <c r="E77" s="206" t="s">
        <v>108</v>
      </c>
      <c r="F77" s="207">
        <f>--ISNUMBER(IFERROR(SEARCH('PLANILLA DJ'!$X$3,$A77,1),""))</f>
        <v>1</v>
      </c>
      <c r="G77" s="207">
        <f>--ISNUMBER(IFERROR(SEARCH('PLANILLA DJ'!$X$4,$A77,1),""))</f>
        <v>1</v>
      </c>
      <c r="H77" s="207">
        <f>--ISNUMBER(IFERROR(SEARCH('PLANILLA DJ'!$X$5,$A77,1),""))</f>
        <v>1</v>
      </c>
      <c r="I77" s="207">
        <f>--ISNUMBER(IFERROR(SEARCH('PLANILLA DJ'!$X$6,$A77,1),""))</f>
        <v>1</v>
      </c>
      <c r="J77" s="207">
        <f>--ISNUMBER(IFERROR(SEARCH('PLANILLA DJ'!$X$7,$A77,1),""))</f>
        <v>1</v>
      </c>
      <c r="K77" s="207">
        <f>--ISNUMBER(IFERROR(SEARCH('PLANILLA DJ'!$X$8,$A77,1),""))</f>
        <v>1</v>
      </c>
      <c r="L77" s="207">
        <f>--ISNUMBER(IFERROR(SEARCH('PLANILLA DJ'!$X$9,$A77,1),""))</f>
        <v>1</v>
      </c>
      <c r="M77" s="207">
        <f>--ISNUMBER(IFERROR(SEARCH('PLANILLA DJ'!$X$10,$A77,1),""))</f>
        <v>1</v>
      </c>
      <c r="N77" s="207">
        <f>--ISNUMBER(IFERROR(SEARCH('PLANILLA DJ'!$X$11,$A77,1),""))</f>
        <v>1</v>
      </c>
      <c r="O77" s="207">
        <f>--ISNUMBER(IFERROR(SEARCH('PLANILLA DJ'!$X$12,$A77,1),""))</f>
        <v>1</v>
      </c>
      <c r="P77" s="207">
        <f>--ISNUMBER(IFERROR(SEARCH('PLANILLA DJ'!$X$13,$A77,1),""))</f>
        <v>1</v>
      </c>
      <c r="Q77" s="207">
        <f>--ISNUMBER(IFERROR(SEARCH('PLANILLA DJ'!$X$14,$A77,1),""))</f>
        <v>1</v>
      </c>
      <c r="R77" s="207">
        <f>--ISNUMBER(IFERROR(SEARCH('PLANILLA DJ'!$X$15,$A77,1),""))</f>
        <v>1</v>
      </c>
      <c r="S77" s="207">
        <f>--ISNUMBER(IFERROR(SEARCH('PLANILLA DJ'!$X$16,$A77,1),""))</f>
        <v>1</v>
      </c>
      <c r="T77" s="207">
        <f>--ISNUMBER(IFERROR(SEARCH('PLANILLA DJ'!$X$17,$A77,1),""))</f>
        <v>1</v>
      </c>
      <c r="U77" s="207">
        <f>--ISNUMBER(IFERROR(SEARCH('PLANILLA DJ'!$X$18,$A77,1),""))</f>
        <v>1</v>
      </c>
      <c r="V77" s="207">
        <f>--ISNUMBER(IFERROR(SEARCH('PLANILLA DJ'!$X$19,$A77,1),""))</f>
        <v>1</v>
      </c>
      <c r="W77" s="207">
        <f>--ISNUMBER(IFERROR(SEARCH('PLANILLA DJ'!$X$20,$A77,1),""))</f>
        <v>1</v>
      </c>
      <c r="X77" s="207">
        <f>--ISNUMBER(IFERROR(SEARCH('PLANILLA DJ'!$X$21,$A77,1),""))</f>
        <v>1</v>
      </c>
      <c r="Y77" s="207">
        <f>--ISNUMBER(IFERROR(SEARCH('PLANILLA DJ'!$X$22,$A77,1),""))</f>
        <v>1</v>
      </c>
      <c r="Z77" s="207">
        <f>--ISNUMBER(IFERROR(SEARCH('PLANILLA DJ'!$X$23,$A77,1),""))</f>
        <v>1</v>
      </c>
      <c r="AA77" s="207">
        <f>--ISNUMBER(IFERROR(SEARCH('PLANILLA DJ'!$X$24,$A77,1),""))</f>
        <v>1</v>
      </c>
      <c r="AB77" s="207">
        <f>--ISNUMBER(IFERROR(SEARCH('PLANILLA DJ'!$X$25,$A77,1),""))</f>
        <v>1</v>
      </c>
      <c r="AC77" s="207">
        <f>--ISNUMBER(IFERROR(SEARCH('PLANILLA DJ'!$X$26,$A77,1),""))</f>
        <v>1</v>
      </c>
      <c r="AD77" s="207">
        <f>--ISNUMBER(IFERROR(SEARCH('PLANILLA DJ'!$X$27,$A77,1),""))</f>
        <v>1</v>
      </c>
      <c r="AE77" s="207">
        <f>--ISNUMBER(IFERROR(SEARCH('PLANILLA DJ'!$X$28,$A77,1),""))</f>
        <v>1</v>
      </c>
      <c r="AF77" s="207">
        <f>--ISNUMBER(IFERROR(SEARCH('PLANILLA DJ'!$X$29,$A77,1),""))</f>
        <v>1</v>
      </c>
      <c r="AG77" s="207">
        <f>--ISNUMBER(IFERROR(SEARCH('PLANILLA DJ'!$X$30,$A77,1),""))</f>
        <v>1</v>
      </c>
      <c r="AH77" s="207">
        <f>--ISNUMBER(IFERROR(SEARCH('PLANILLA DJ'!$X$31,$A77,1),""))</f>
        <v>1</v>
      </c>
      <c r="AI77" s="207">
        <f>--ISNUMBER(IFERROR(SEARCH('PLANILLA DJ'!$X$32,$A77,1),""))</f>
        <v>1</v>
      </c>
      <c r="AJ77" s="207">
        <f>--ISNUMBER(IFERROR(SEARCH('PLANILLA DJ'!$X$33,$A77,1),""))</f>
        <v>1</v>
      </c>
      <c r="AK77" s="207">
        <f>--ISNUMBER(IFERROR(SEARCH('PLANILLA DJ'!$X$34,$A77,1),""))</f>
        <v>1</v>
      </c>
      <c r="AL77" s="207">
        <f>--ISNUMBER(IFERROR(SEARCH('PLANILLA DJ'!$X$35,$A77,1),""))</f>
        <v>1</v>
      </c>
      <c r="AM77" s="207">
        <f>--ISNUMBER(IFERROR(SEARCH('PLANILLA DJ'!$X$36,$A77,1),""))</f>
        <v>1</v>
      </c>
      <c r="AN77" s="207">
        <f>--ISNUMBER(IFERROR(SEARCH('PLANILLA DJ'!$X$37,$A77,1),""))</f>
        <v>1</v>
      </c>
      <c r="AO77" s="207">
        <f>--ISNUMBER(IFERROR(SEARCH('PLANILLA DJ'!$X$38,$A77,1),""))</f>
        <v>1</v>
      </c>
      <c r="AP77" s="207">
        <f>--ISNUMBER(IFERROR(SEARCH('PLANILLA DJ'!$X$39,$A77,1),""))</f>
        <v>1</v>
      </c>
      <c r="AQ77" s="207">
        <f>--ISNUMBER(IFERROR(SEARCH('PLANILLA DJ'!$X$40,$A77,1),""))</f>
        <v>1</v>
      </c>
      <c r="AR77" s="207">
        <f>--ISNUMBER(IFERROR(SEARCH('PLANILLA DJ'!$X$41,$A77,1),""))</f>
        <v>1</v>
      </c>
      <c r="AS77" s="207">
        <f>--ISNUMBER(IFERROR(SEARCH('PLANILLA DJ'!$X$42,$A77,1),""))</f>
        <v>1</v>
      </c>
      <c r="AT77" s="207">
        <f>--ISNUMBER(IFERROR(SEARCH('PLANILLA DJ'!$X$43,$A77,1),""))</f>
        <v>1</v>
      </c>
      <c r="AU77" s="207">
        <f>--ISNUMBER(IFERROR(SEARCH('PLANILLA DJ'!$X$44,$A77,1),""))</f>
        <v>1</v>
      </c>
      <c r="AV77" s="207">
        <f>--ISNUMBER(IFERROR(SEARCH('PLANILLA DJ'!$X$45,$A77,1),""))</f>
        <v>1</v>
      </c>
      <c r="AW77" s="207">
        <f>--ISNUMBER(IFERROR(SEARCH('PLANILLA DJ'!$X$46,$A77,1),""))</f>
        <v>1</v>
      </c>
      <c r="AX77" s="207">
        <f>--ISNUMBER(IFERROR(SEARCH('PLANILLA DJ'!$X$47,$A77,1),""))</f>
        <v>1</v>
      </c>
      <c r="AY77" s="207">
        <f>--ISNUMBER(IFERROR(SEARCH('PLANILLA DJ'!$X$48,$A77,1),""))</f>
        <v>1</v>
      </c>
      <c r="AZ77" s="207">
        <f>--ISNUMBER(IFERROR(SEARCH('PLANILLA DJ'!$X$49,$A77,1),""))</f>
        <v>1</v>
      </c>
      <c r="BA77" s="207">
        <f>--ISNUMBER(IFERROR(SEARCH('PLANILLA DJ'!$X$50,$A77,1),""))</f>
        <v>1</v>
      </c>
      <c r="BB77" s="207">
        <f>--ISNUMBER(IFERROR(SEARCH('PLANILLA DJ'!$X$51,$A77,1),""))</f>
        <v>1</v>
      </c>
      <c r="BC77" s="207">
        <f>--ISNUMBER(IFERROR(SEARCH('PLANILLA DJ'!$X$52,$A77,1),""))</f>
        <v>1</v>
      </c>
      <c r="BD77" s="207">
        <f>--ISNUMBER(IFERROR(SEARCH('PLANILLA DJ'!$X$53,$A77,1),""))</f>
        <v>1</v>
      </c>
      <c r="BE77" s="207">
        <f>--ISNUMBER(IFERROR(SEARCH('PLANILLA DJ'!$X$54,$A77,1),""))</f>
        <v>1</v>
      </c>
      <c r="BF77" s="207">
        <f>--ISNUMBER(IFERROR(SEARCH('PLANILLA DJ'!$X$55,$A77,1),""))</f>
        <v>1</v>
      </c>
      <c r="BG77" s="207">
        <f>--ISNUMBER(IFERROR(SEARCH('PLANILLA DJ'!$X$56,$A77,1),""))</f>
        <v>1</v>
      </c>
      <c r="BH77" s="207">
        <f>--ISNUMBER(IFERROR(SEARCH('PLANILLA DJ'!$X$57,$A77,1),""))</f>
        <v>1</v>
      </c>
      <c r="BI77" s="207">
        <f>--ISNUMBER(IFERROR(SEARCH('PLANILLA DJ'!$X$58,$A77,1),""))</f>
        <v>1</v>
      </c>
      <c r="BJ77" s="207">
        <f>--ISNUMBER(IFERROR(SEARCH('PLANILLA DJ'!$X$59,$A77,1),""))</f>
        <v>1</v>
      </c>
      <c r="BK77" s="207">
        <f>--ISNUMBER(IFERROR(SEARCH('PLANILLA DJ'!$X$60,$A77,1),""))</f>
        <v>1</v>
      </c>
      <c r="BL77" s="207">
        <f>--ISNUMBER(IFERROR(SEARCH('PLANILLA DJ'!$X$61,$A77,1),""))</f>
        <v>1</v>
      </c>
      <c r="BM77" s="207">
        <f>--ISNUMBER(IFERROR(SEARCH('PLANILLA DJ'!$X$62,$A77,1),""))</f>
        <v>1</v>
      </c>
      <c r="BN77" s="207">
        <f>--ISNUMBER(IFERROR(SEARCH('PLANILLA DJ'!$X$63,$A77,1),""))</f>
        <v>1</v>
      </c>
      <c r="BO77" s="207">
        <f>--ISNUMBER(IFERROR(SEARCH('PLANILLA DJ'!$X$64,$A77,1),""))</f>
        <v>1</v>
      </c>
      <c r="BP77" s="207">
        <f>--ISNUMBER(IFERROR(SEARCH('PLANILLA DJ'!$X$65,$A77,1),""))</f>
        <v>1</v>
      </c>
      <c r="BQ77" s="207">
        <f>--ISNUMBER(IFERROR(SEARCH('PLANILLA DJ'!$X$66,$A77,1),""))</f>
        <v>1</v>
      </c>
      <c r="BR77" s="207">
        <f>--ISNUMBER(IFERROR(SEARCH('PLANILLA DJ'!$X$67,$A77,1),""))</f>
        <v>1</v>
      </c>
      <c r="BS77" s="207">
        <f>--ISNUMBER(IFERROR(SEARCH('PLANILLA DJ'!$X$68,$A77,1),""))</f>
        <v>1</v>
      </c>
      <c r="BT77" s="207">
        <f>--ISNUMBER(IFERROR(SEARCH('PLANILLA DJ'!$X$69,$A77,1),""))</f>
        <v>1</v>
      </c>
      <c r="BU77" s="207">
        <f>--ISNUMBER(IFERROR(SEARCH('PLANILLA DJ'!$X$70,$A77,1),""))</f>
        <v>1</v>
      </c>
      <c r="BV77" s="207">
        <f>--ISNUMBER(IFERROR(SEARCH('PLANILLA DJ'!$X$71,$A77,1),""))</f>
        <v>1</v>
      </c>
      <c r="BW77" s="207">
        <f>--ISNUMBER(IFERROR(SEARCH('PLANILLA DJ'!$X$72,$A77,1),""))</f>
        <v>1</v>
      </c>
      <c r="BX77" s="207">
        <f>--ISNUMBER(IFERROR(SEARCH('PLANILLA DJ'!$X$73,$A77,1),""))</f>
        <v>1</v>
      </c>
      <c r="BY77" s="207">
        <f>--ISNUMBER(IFERROR(SEARCH('PLANILLA DJ'!$X$74,$A77,1),""))</f>
        <v>1</v>
      </c>
      <c r="BZ77" s="207">
        <f>--ISNUMBER(IFERROR(SEARCH('PLANILLA DJ'!$X$75,$A77,1),""))</f>
        <v>1</v>
      </c>
      <c r="CA77" s="207">
        <f>--ISNUMBER(IFERROR(SEARCH('PLANILLA DJ'!$X$76,$A77,1),""))</f>
        <v>1</v>
      </c>
      <c r="CB77" s="207">
        <f>--ISNUMBER(IFERROR(SEARCH('PLANILLA DJ'!$X$77,$A77,1),""))</f>
        <v>1</v>
      </c>
      <c r="CC77" s="207">
        <f>--ISNUMBER(IFERROR(SEARCH('PLANILLA DJ'!$X$78,$A77,1),""))</f>
        <v>1</v>
      </c>
      <c r="CD77" s="207">
        <f>--ISNUMBER(IFERROR(SEARCH('PLANILLA DJ'!$X$79,$A77,1),""))</f>
        <v>1</v>
      </c>
      <c r="CE77" s="207">
        <f>--ISNUMBER(IFERROR(SEARCH('PLANILLA DJ'!$X$80,$A77,1),""))</f>
        <v>1</v>
      </c>
      <c r="CF77" s="207">
        <f>--ISNUMBER(IFERROR(SEARCH('PLANILLA DJ'!$X$81,$A77,1),""))</f>
        <v>1</v>
      </c>
      <c r="CG77" s="207">
        <f>--ISNUMBER(IFERROR(SEARCH('PLANILLA DJ'!$X$82,$A77,1),""))</f>
        <v>1</v>
      </c>
      <c r="CH77" s="207">
        <f>--ISNUMBER(IFERROR(SEARCH('PLANILLA DJ'!$X$83,$A77,1),""))</f>
        <v>1</v>
      </c>
      <c r="CI77" s="207">
        <f>--ISNUMBER(IFERROR(SEARCH('PLANILLA DJ'!$X$84,$A77,1),""))</f>
        <v>1</v>
      </c>
      <c r="CJ77" s="207">
        <f>--ISNUMBER(IFERROR(SEARCH('PLANILLA DJ'!$X$85,$A77,1),""))</f>
        <v>1</v>
      </c>
      <c r="CK77" s="207">
        <f>--ISNUMBER(IFERROR(SEARCH('PLANILLA DJ'!$X$86,$A77,1),""))</f>
        <v>1</v>
      </c>
      <c r="CL77" s="207">
        <f>--ISNUMBER(IFERROR(SEARCH('PLANILLA DJ'!$X$87,$A77,1),""))</f>
        <v>1</v>
      </c>
      <c r="CM77" s="207">
        <f>--ISNUMBER(IFERROR(SEARCH('PLANILLA DJ'!$X$88,$A77,1),""))</f>
        <v>1</v>
      </c>
      <c r="CN77" s="207">
        <f>--ISNUMBER(IFERROR(SEARCH('PLANILLA DJ'!$X$89,$A77,1),""))</f>
        <v>1</v>
      </c>
      <c r="CO77" s="207">
        <f>--ISNUMBER(IFERROR(SEARCH('PLANILLA DJ'!$X$90,$A77,1),""))</f>
        <v>1</v>
      </c>
      <c r="CP77" s="207">
        <f>--ISNUMBER(IFERROR(SEARCH('PLANILLA DJ'!$X$91,$A77,1),""))</f>
        <v>1</v>
      </c>
      <c r="CQ77" s="207">
        <f>--ISNUMBER(IFERROR(SEARCH('PLANILLA DJ'!$X$92,$A77,1),""))</f>
        <v>1</v>
      </c>
      <c r="CR77" s="207">
        <f>--ISNUMBER(IFERROR(SEARCH('PLANILLA DJ'!$X$93,$A77,1),""))</f>
        <v>1</v>
      </c>
      <c r="CS77" s="207">
        <f>--ISNUMBER(IFERROR(SEARCH('PLANILLA DJ'!$X$94,$A77,1),""))</f>
        <v>1</v>
      </c>
      <c r="CT77" s="207">
        <f>--ISNUMBER(IFERROR(SEARCH('PLANILLA DJ'!$X$95,$A77,1),""))</f>
        <v>1</v>
      </c>
      <c r="CU77" s="207">
        <f>--ISNUMBER(IFERROR(SEARCH('PLANILLA DJ'!$X$96,$A77,1),""))</f>
        <v>1</v>
      </c>
      <c r="CV77" s="207">
        <f>--ISNUMBER(IFERROR(SEARCH('PLANILLA DJ'!$X$97,$A77,1),""))</f>
        <v>1</v>
      </c>
      <c r="CW77" s="207">
        <f>--ISNUMBER(IFERROR(SEARCH('PLANILLA DJ'!$X$98,$A77,1),""))</f>
        <v>1</v>
      </c>
      <c r="CX77" s="207">
        <f>--ISNUMBER(IFERROR(SEARCH('PLANILLA DJ'!$X$99,$A77,1),""))</f>
        <v>1</v>
      </c>
      <c r="CY77" s="207">
        <f>--ISNUMBER(IFERROR(SEARCH('PLANILLA DJ'!$X$100,$A77,1),""))</f>
        <v>1</v>
      </c>
      <c r="CZ77" s="207">
        <f>--ISNUMBER(IFERROR(SEARCH('PLANILLA DJ'!$X$101,$A77,1),""))</f>
        <v>1</v>
      </c>
      <c r="DA77" s="207">
        <f>--ISNUMBER(IFERROR(SEARCH('PLANILLA DJ'!$X$102,$A77,1),""))</f>
        <v>1</v>
      </c>
      <c r="DB77" s="206">
        <f>IF(F77=1,COUNTIF($F$2:F77,1),"")</f>
        <v>76</v>
      </c>
      <c r="DC77" s="206">
        <f>IF(G77=1,COUNTIF($G$2:G77,1),"")</f>
        <v>76</v>
      </c>
      <c r="DD77" s="206">
        <f>IF(H77=1,COUNTIF($H$2:H77,1),"")</f>
        <v>76</v>
      </c>
      <c r="DE77" s="206">
        <f>IF(I77=1,COUNTIF($I$2:I77,1),"")</f>
        <v>76</v>
      </c>
      <c r="DF77" s="206">
        <f>IF(J77=1,COUNTIF($J$2:J77,1),"")</f>
        <v>76</v>
      </c>
      <c r="DG77" s="206">
        <f>IF(K77=1,COUNTIF($K$2:K77,1),"")</f>
        <v>76</v>
      </c>
      <c r="DH77" s="206">
        <f>IF(L77=1,COUNTIF($L$2:L77,1),"")</f>
        <v>76</v>
      </c>
      <c r="DI77" s="206">
        <f>IF(M77=1,COUNTIF($M$2:M77,1),"")</f>
        <v>76</v>
      </c>
      <c r="DJ77" s="206">
        <f>IF(N77=1,COUNTIF($N$2:N77,1),"")</f>
        <v>76</v>
      </c>
      <c r="DK77" s="206">
        <f>IF(O77=1,COUNTIF($O$2:O77,1),"")</f>
        <v>76</v>
      </c>
      <c r="DL77" s="206">
        <f>IF(P77=1,COUNTIF($P$2:P77,1),"")</f>
        <v>76</v>
      </c>
      <c r="DM77" s="206">
        <f>IF(Q77=1,COUNTIF($Q$2:Q77,1),"")</f>
        <v>76</v>
      </c>
      <c r="DN77" s="207">
        <f>IF(R77=1,COUNTIF($R$2:R77,1),"")</f>
        <v>76</v>
      </c>
      <c r="DO77" s="207">
        <f>IF(S77=1,COUNTIF($S$2:S77,1),"")</f>
        <v>76</v>
      </c>
      <c r="DP77" s="207">
        <f>IF(T77=1,COUNTIF($T$2:T77,1),"")</f>
        <v>76</v>
      </c>
      <c r="DQ77" s="207">
        <f>IF(U77=1,COUNTIF($U$2:U77,1),"")</f>
        <v>76</v>
      </c>
      <c r="DR77" s="207">
        <f>IF(V77=1,COUNTIF($V$2:V77,1),"")</f>
        <v>76</v>
      </c>
      <c r="DS77" s="207">
        <f>IF(W77=1,COUNTIF($W$2:W77,1),"")</f>
        <v>76</v>
      </c>
      <c r="DT77" s="207">
        <f>IF(X77=1,COUNTIF($X$2:X77,1),"")</f>
        <v>76</v>
      </c>
      <c r="DU77" s="207">
        <f>IF(Y77=1,COUNTIF($Y$2:Y77,1),"")</f>
        <v>76</v>
      </c>
      <c r="DV77" s="207">
        <f>IF(Z77=1,COUNTIF(Z$2:Z77,1),"")</f>
        <v>76</v>
      </c>
      <c r="DW77" s="207">
        <f>IF(AA77=1,COUNTIF($AA$2:AA77,1),"")</f>
        <v>76</v>
      </c>
      <c r="DX77" s="207">
        <f>IF(AB77=1,COUNTIF($AB$2:AB77,1),"")</f>
        <v>76</v>
      </c>
      <c r="DY77" s="207">
        <f>IF(AC77=1,COUNTIF($AC$2:AC77,1),"")</f>
        <v>76</v>
      </c>
      <c r="DZ77" s="207">
        <f>IF(AD77=1,COUNTIF($AD$2:AD77,1),"")</f>
        <v>76</v>
      </c>
      <c r="EA77" s="207">
        <f>IF(AE77=1,COUNTIF($AE$2:AE77,1),"")</f>
        <v>76</v>
      </c>
      <c r="EB77" s="207">
        <f>IF(AF77=1,COUNTIF($AF$2:AF77,1),"")</f>
        <v>76</v>
      </c>
      <c r="EC77" s="207">
        <f>IF(AG77=1,COUNTIF($AG$2:AG77,1),"")</f>
        <v>76</v>
      </c>
      <c r="ED77" s="207">
        <f>IF(AH77=1,COUNTIF($AH$2:AH77,1),"")</f>
        <v>76</v>
      </c>
      <c r="EE77" s="207">
        <f>IF(AI77=1,COUNTIF($AI$2:AI77,1),"")</f>
        <v>76</v>
      </c>
      <c r="EF77" s="207">
        <f>IF(AJ77=1,COUNTIF($AJ$2:AJ77,1),"")</f>
        <v>76</v>
      </c>
      <c r="EG77" s="207">
        <f>IF(AK77=1,COUNTIF($AK$2:AK77,1),"")</f>
        <v>76</v>
      </c>
      <c r="EH77" s="207">
        <f>IF(AL77=1,COUNTIF($AL$2:AL77,1),"")</f>
        <v>76</v>
      </c>
      <c r="EI77" s="207">
        <f>IF(AM77=1,COUNTIF($AM$2:AM77,1),"")</f>
        <v>76</v>
      </c>
      <c r="EJ77" s="207">
        <f>IF(AN77=1,COUNTIF($AN$2:AN77,1),"")</f>
        <v>76</v>
      </c>
      <c r="EK77" s="207">
        <f>IF(AO77=1,COUNTIF($AO$2:AO77,1),"")</f>
        <v>76</v>
      </c>
      <c r="EL77" s="207">
        <f>IF(AP77=1,COUNTIF($AP$2:AP77,1),"")</f>
        <v>76</v>
      </c>
      <c r="EM77" s="207">
        <f>IF(AQ77=1,COUNTIF($AQ$2:AQ77,1),"")</f>
        <v>76</v>
      </c>
      <c r="EN77" s="207">
        <f>IF(AR77=1,COUNTIF($AR$2:AR77,1),"")</f>
        <v>76</v>
      </c>
      <c r="EO77" s="207">
        <f>IF(AS77=1,COUNTIF($AS$2:AS77,1),"")</f>
        <v>76</v>
      </c>
      <c r="EP77" s="207">
        <f>IF(AT77=1,COUNTIF($AT$2:AT77,1),"")</f>
        <v>76</v>
      </c>
      <c r="EQ77" s="207">
        <f>IF(AU77=1,COUNTIF($AU$2:AU77,1),"")</f>
        <v>76</v>
      </c>
      <c r="ER77" s="207">
        <f>IF(AV77=1,COUNTIF($AV$2:AV77,1),"")</f>
        <v>76</v>
      </c>
      <c r="ES77" s="207">
        <f>IF(AW77=1,COUNTIF($AW$2:AW77,1),"")</f>
        <v>76</v>
      </c>
      <c r="ET77" s="207">
        <f>IF(AX77=1,COUNTIF($AX$2:AX77,1),"")</f>
        <v>76</v>
      </c>
      <c r="EU77" s="207">
        <f>IF(AY77=1,COUNTIF($AY$2:AY77,1),"")</f>
        <v>76</v>
      </c>
      <c r="EV77" s="207">
        <f>IF(AZ77=1,COUNTIF($AZ$2:AZ77,1),"")</f>
        <v>76</v>
      </c>
      <c r="EW77" s="207">
        <f>IF(BA77=1,COUNTIF($BA$2:BA77,1),"")</f>
        <v>76</v>
      </c>
      <c r="EX77" s="207">
        <f>IF(BB77=1,COUNTIF($BB$2:BB77,1),"")</f>
        <v>76</v>
      </c>
      <c r="EY77" s="207">
        <f>IF(BC77=1,COUNTIF($BC$2:BC77,1),"")</f>
        <v>76</v>
      </c>
      <c r="EZ77" s="207">
        <f>IF(BD77=1,COUNTIF($BD$2:BD77,1),"")</f>
        <v>76</v>
      </c>
      <c r="FA77" s="207">
        <f>IF(BE77=1,COUNTIF($BE$2:BE77,1),"")</f>
        <v>76</v>
      </c>
      <c r="FB77" s="207">
        <f>IF(BF77=1,COUNTIF($BF$2:BF77,1),"")</f>
        <v>76</v>
      </c>
      <c r="FC77" s="207">
        <f>IF(BG77=1,COUNTIF($BG$2:BG77,1),"")</f>
        <v>76</v>
      </c>
      <c r="FD77" s="207">
        <f>IF(BH77=1,COUNTIF($BH$2:BH77,1),"")</f>
        <v>76</v>
      </c>
      <c r="FE77" s="207">
        <f>IF(BI77=1,COUNTIF($BI$2:BI77,1),"")</f>
        <v>76</v>
      </c>
      <c r="FF77" s="207">
        <f>IF(BJ77=1,COUNTIF($BJ$2:BJ77,1),"")</f>
        <v>76</v>
      </c>
      <c r="FG77" s="207">
        <f>IF(BK77=1,COUNTIF($BK$2:BK77,1),"")</f>
        <v>76</v>
      </c>
      <c r="FH77" s="207">
        <f>IF(BL77=1,COUNTIF($BL$2:BL77,1),"")</f>
        <v>76</v>
      </c>
      <c r="FI77" s="207">
        <f>IF(BM77=1,COUNTIF($BM$2:BM77,1),"")</f>
        <v>76</v>
      </c>
      <c r="FJ77" s="207">
        <f>IF(BN77=1,COUNTIF($BN$2:BN77,1),"")</f>
        <v>76</v>
      </c>
      <c r="FK77" s="207">
        <f>IF(BO77=1,COUNTIF($BO$2:BO77,1),"")</f>
        <v>76</v>
      </c>
      <c r="FL77" s="207">
        <f>IF(BP77=1,COUNTIF($BP$2:BP77,1),"")</f>
        <v>76</v>
      </c>
      <c r="FM77" s="207">
        <f>IF(BQ77=1,COUNTIF($BQ$2:BQ77,1),"")</f>
        <v>76</v>
      </c>
      <c r="FN77" s="207">
        <f>IF(BR77=1,COUNTIF($BR$2:BR77,1),"")</f>
        <v>76</v>
      </c>
      <c r="FO77" s="207">
        <f>IF(BS77=1,COUNTIF($BS$2:BS77,1),"")</f>
        <v>76</v>
      </c>
      <c r="FP77" s="207">
        <f>IF(BT77=1,COUNTIF($BT$2:BT77,1),"")</f>
        <v>76</v>
      </c>
      <c r="FQ77" s="207">
        <f>IF(BU77=1,COUNTIF($BU$2:BU77,1),"")</f>
        <v>76</v>
      </c>
      <c r="FR77" s="207">
        <f>IF(BV77=1,COUNTIF($BV$2:BV77,1),"")</f>
        <v>76</v>
      </c>
      <c r="FS77" s="207">
        <f>IF(BW77=1,COUNTIF($BW$2:BW77,1),"")</f>
        <v>76</v>
      </c>
      <c r="FT77" s="207">
        <f>IF(BX77=1,COUNTIF($BX$2:BX77,1),"")</f>
        <v>76</v>
      </c>
      <c r="FU77" s="207">
        <f>IF(BY77=1,COUNTIF($BY$2:BY77,1),"")</f>
        <v>76</v>
      </c>
      <c r="FV77" s="207">
        <f>IF(BZ77=1,COUNTIF($BZ$2:BZ77,1),"")</f>
        <v>76</v>
      </c>
      <c r="FW77" s="207">
        <f>IF(CA77=1,COUNTIF($CA$2:CA77,1),"")</f>
        <v>76</v>
      </c>
      <c r="FX77" s="207">
        <f>IF(CB77=1,COUNTIF($CB$2:CB77,1),"")</f>
        <v>76</v>
      </c>
      <c r="FY77" s="207">
        <f>IF(CC77=1,COUNTIF($CC$2:CC77,1),"")</f>
        <v>76</v>
      </c>
      <c r="FZ77" s="207">
        <f>IF(CD77=1,COUNTIF($CD$2:CD77,1),"")</f>
        <v>76</v>
      </c>
      <c r="GA77" s="207">
        <f>IF(CE77=1,COUNTIF($CE$2:CE77,1),"")</f>
        <v>76</v>
      </c>
      <c r="GB77" s="207">
        <f>IF(CF77=1,COUNTIF($CF$2:CF77,1),"")</f>
        <v>76</v>
      </c>
      <c r="GC77" s="207">
        <f>IF(CG77=1,COUNTIF($CG$2:CG77,1),"")</f>
        <v>76</v>
      </c>
      <c r="GD77" s="207">
        <f>IF(CH77=1,COUNTIF($CH$2:CH77,1),"")</f>
        <v>76</v>
      </c>
      <c r="GE77" s="207">
        <f>IF(CI77=1,COUNTIF($CI$2:CI77,1),"")</f>
        <v>76</v>
      </c>
      <c r="GF77" s="207">
        <f>IF(CJ77=1,COUNTIF($CJ$2:CJ77,1),"")</f>
        <v>76</v>
      </c>
      <c r="GG77" s="207">
        <f>IF(CK77=1,COUNTIF($CK$2:CK77,1),"")</f>
        <v>76</v>
      </c>
      <c r="GH77" s="207">
        <f>IF(CL77=1,COUNTIF($CL$2:CL77,1),"")</f>
        <v>76</v>
      </c>
      <c r="GI77" s="207">
        <f>IF(CM77=1,COUNTIF($CM$2:CM77,1),"")</f>
        <v>76</v>
      </c>
      <c r="GJ77" s="207">
        <f>IF(CN77=1,COUNTIF($CN$2:CN77,1),"")</f>
        <v>76</v>
      </c>
      <c r="GK77" s="207">
        <f>IF(CO77=1,COUNTIF($CO$2:CO77,1),"")</f>
        <v>76</v>
      </c>
      <c r="GL77" s="207">
        <f>IF(CP77=1,COUNTIF($CP$2:CP77,1),"")</f>
        <v>76</v>
      </c>
      <c r="GM77" s="207">
        <f>IF(CQ77=1,COUNTIF($CQ$2:CQ77,1),"")</f>
        <v>76</v>
      </c>
      <c r="GN77" s="207">
        <f>IF(CR77=1,COUNTIF($CR$2:CR77,1),"")</f>
        <v>76</v>
      </c>
      <c r="GO77" s="207">
        <f>IF(CS77=1,COUNTIF($CS$2:CS77,1),"")</f>
        <v>76</v>
      </c>
      <c r="GP77" s="207">
        <f>IF(CT77=1,COUNTIF($CT$2:CT77,1),"")</f>
        <v>76</v>
      </c>
      <c r="GQ77" s="207">
        <f>IF(CU77=1,COUNTIF($CU$2:CU77,1),"")</f>
        <v>76</v>
      </c>
      <c r="GR77" s="207">
        <f>IF(CV77=1,COUNTIF($CV$2:CV77,1),"")</f>
        <v>76</v>
      </c>
      <c r="GS77" s="207">
        <f>IF(CW77=1,COUNTIF($CW$2:CW77,1),"")</f>
        <v>76</v>
      </c>
      <c r="GT77" s="207">
        <f>IF(CX77=1,COUNTIF($CX$2:CX77,1),"")</f>
        <v>76</v>
      </c>
      <c r="GU77" s="207">
        <f>IF(CY77=1,COUNTIF($CY$2:CY77,1),"")</f>
        <v>76</v>
      </c>
      <c r="GV77" s="207">
        <f>IF(CZ77=1,COUNTIF($CZ$2:CZ77,1),"")</f>
        <v>76</v>
      </c>
      <c r="GW77" s="207">
        <f>IF(DA77=1,COUNTIF($DA$2:DA77,1),"")</f>
        <v>76</v>
      </c>
      <c r="GX77" s="206" t="str">
        <f>IFERROR(INDEX($A$2:$A$113,MATCH(ROWS($DB$2:DB77),$DB$2:$DB$113,0)),"")</f>
        <v>OTROS ATENTADOS CONTRA EL ORDEN PUBLICO</v>
      </c>
      <c r="GY77" s="206" t="str">
        <f>IFERROR(INDEX($A$2:$A$113,MATCH(ROWS($DC$2:DC77),$DC$2:$DC$113,0)),"")</f>
        <v>OTROS ATENTADOS CONTRA EL ORDEN PUBLICO</v>
      </c>
      <c r="GZ77" s="206" t="str">
        <f>IFERROR(INDEX($A$2:$A$113,MATCH(ROWS($DD$2:DD77),$DD$2:$DD$113,0)),"")</f>
        <v>OTROS ATENTADOS CONTRA EL ORDEN PUBLICO</v>
      </c>
      <c r="HA77" s="206" t="str">
        <f>IFERROR(INDEX($A$2:$A$113,MATCH(ROWS($DE$2:DE77),$DE$2:$DE$113,0)),"")</f>
        <v>OTROS ATENTADOS CONTRA EL ORDEN PUBLICO</v>
      </c>
      <c r="HB77" s="206" t="str">
        <f>IFERROR(INDEX($A$2:$A$113,MATCH(ROWS($DF$2:DF77),$DF$2:$DF$113,0)),"")</f>
        <v>OTROS ATENTADOS CONTRA EL ORDEN PUBLICO</v>
      </c>
      <c r="HC77" s="206" t="str">
        <f>IFERROR(INDEX($A$2:$A$113,MATCH(ROWS($DG$2:DG77),$DG$2:$DG$113,0)),"")</f>
        <v>OTROS ATENTADOS CONTRA EL ORDEN PUBLICO</v>
      </c>
      <c r="HD77" s="206" t="str">
        <f>IFERROR(INDEX($A$2:$A$113,MATCH(ROWS($DH$2:DH77),$DH$2:$DH$113,0)),"")</f>
        <v>OTROS ATENTADOS CONTRA EL ORDEN PUBLICO</v>
      </c>
      <c r="HE77" s="206" t="str">
        <f>IFERROR(INDEX($A$2:$A$113,MATCH(ROWS($DI$2:DI77),$DI$2:$DI$113,0)),"")</f>
        <v>OTROS ATENTADOS CONTRA EL ORDEN PUBLICO</v>
      </c>
      <c r="HF77" s="206" t="str">
        <f>IFERROR(INDEX($A$2:$A$113,MATCH(ROWS($DJ$2:DJ77),$DJ$2:$DJ$113,0)),"")</f>
        <v>OTROS ATENTADOS CONTRA EL ORDEN PUBLICO</v>
      </c>
      <c r="HG77" s="206" t="str">
        <f>IFERROR(INDEX($A$2:$A$113,MATCH(ROWS($DK$2:DK77),$DK$2:$DK$113,0)),"")</f>
        <v>OTROS ATENTADOS CONTRA EL ORDEN PUBLICO</v>
      </c>
      <c r="HH77" s="206" t="str">
        <f>IFERROR(INDEX($A$2:$A$113,MATCH(ROWS($DL$2:DL77),$DL$2:$DL$113,0)),"")</f>
        <v>OTROS ATENTADOS CONTRA EL ORDEN PUBLICO</v>
      </c>
      <c r="HI77" s="206" t="str">
        <f>IFERROR(INDEX($A$2:$A$113,MATCH(ROWS($DM$2:DM77),$DM$2:$DM$113,0)),"")</f>
        <v>OTROS ATENTADOS CONTRA EL ORDEN PUBLICO</v>
      </c>
      <c r="HJ77" s="206" t="str">
        <f>IFERROR(INDEX($A$2:$A$113,MATCH(ROWS($DN$2:DN77),$DN$2:$DN$113,0)),"")</f>
        <v>OTROS ATENTADOS CONTRA EL ORDEN PUBLICO</v>
      </c>
      <c r="HK77" s="206" t="str">
        <f>IFERROR(INDEX($A$2:$A$113,MATCH(ROWS($DO$2:DO77),$DO$2:$DO$113,0)),"")</f>
        <v>OTROS ATENTADOS CONTRA EL ORDEN PUBLICO</v>
      </c>
      <c r="HL77" s="206" t="str">
        <f>IFERROR(INDEX($A$2:$A$113,MATCH(ROWS($DP$2:DP77),$DP$2:$DP$113,0)),"")</f>
        <v>OTROS ATENTADOS CONTRA EL ORDEN PUBLICO</v>
      </c>
      <c r="HM77" s="206" t="str">
        <f>IFERROR(INDEX($A$2:$A$113,MATCH(ROWS($DQ$2:DQ77),$DQ$2:$DQ$113,0)),"")</f>
        <v>OTROS ATENTADOS CONTRA EL ORDEN PUBLICO</v>
      </c>
      <c r="HN77" s="206" t="str">
        <f>IFERROR(INDEX($A$2:$A$113,MATCH(ROWS($DR$2:DR77),$DR$2:$DR$113,0)),"")</f>
        <v>OTROS ATENTADOS CONTRA EL ORDEN PUBLICO</v>
      </c>
      <c r="HO77" s="206" t="str">
        <f>IFERROR(INDEX($A$2:$A$113,MATCH(ROWS($DS$2:DS77),$DS$2:$DS$113,0)),"")</f>
        <v>OTROS ATENTADOS CONTRA EL ORDEN PUBLICO</v>
      </c>
      <c r="HP77" s="206" t="str">
        <f>IFERROR(INDEX($A$2:$A$113,MATCH(ROWS($DT$2:DT77),$DT$2:$DT$113,0)),"")</f>
        <v>OTROS ATENTADOS CONTRA EL ORDEN PUBLICO</v>
      </c>
      <c r="HQ77" s="206" t="str">
        <f>IFERROR(INDEX($A$2:$A$113,MATCH(ROWS($DU$2:DU77),$DU$2:$DU$113,0)),"")</f>
        <v>OTROS ATENTADOS CONTRA EL ORDEN PUBLICO</v>
      </c>
      <c r="HR77" s="206" t="str">
        <f>IFERROR(INDEX($A$2:$A$113,MATCH(ROWS($DV$2:DV77),$DV$2:$DV$113,0)),"")</f>
        <v>OTROS ATENTADOS CONTRA EL ORDEN PUBLICO</v>
      </c>
      <c r="HS77" s="206" t="str">
        <f>IFERROR(INDEX($A$2:$A$113,MATCH(ROWS($DW$2:DW77),$DW$2:$DW$113,0)),"")</f>
        <v>OTROS ATENTADOS CONTRA EL ORDEN PUBLICO</v>
      </c>
      <c r="HT77" s="206" t="str">
        <f>IFERROR(INDEX($A$2:$A$113,MATCH(ROWS($DX$2:DX77),$DX$2:$DX$113,0)),"")</f>
        <v>OTROS ATENTADOS CONTRA EL ORDEN PUBLICO</v>
      </c>
      <c r="HU77" s="206" t="str">
        <f>IFERROR(INDEX($A$2:$A$113,MATCH(ROWS($DY$2:DY77),$DY$2:$DY$113,0)),"")</f>
        <v>OTROS ATENTADOS CONTRA EL ORDEN PUBLICO</v>
      </c>
      <c r="HV77" s="206" t="str">
        <f>IFERROR(INDEX($A$2:$A$113,MATCH(ROWS($DZ$2:DZ77),$DZ$2:$DZ$113,0)),"")</f>
        <v>OTROS ATENTADOS CONTRA EL ORDEN PUBLICO</v>
      </c>
      <c r="HW77" s="206" t="str">
        <f>IFERROR(INDEX($A$2:$A$113,MATCH(ROWS($EA$2:EA77),$EA$2:$EA$113,0)),"")</f>
        <v>OTROS ATENTADOS CONTRA EL ORDEN PUBLICO</v>
      </c>
      <c r="HX77" s="206" t="str">
        <f>IFERROR(INDEX($A$2:$A$113,MATCH(ROWS($EB$2:EB77),$EB$2:$EB$113,0)),"")</f>
        <v>OTROS ATENTADOS CONTRA EL ORDEN PUBLICO</v>
      </c>
      <c r="HY77" s="206" t="str">
        <f>IFERROR(INDEX($A$2:$A$113,MATCH(ROWS($EC$2:EC77),$EC$2:$EC$113,0)),"")</f>
        <v>OTROS ATENTADOS CONTRA EL ORDEN PUBLICO</v>
      </c>
      <c r="HZ77" s="206" t="str">
        <f>IFERROR(INDEX($A$2:$A$113,MATCH(ROWS($ED$2:ED77),$ED$2:$ED$113,0)),"")</f>
        <v>OTROS ATENTADOS CONTRA EL ORDEN PUBLICO</v>
      </c>
      <c r="IA77" s="206" t="str">
        <f>IFERROR(INDEX($A$2:$A$113,MATCH(ROWS($EE$2:EE77),$EE$2:$EE$113,0)),"")</f>
        <v>OTROS ATENTADOS CONTRA EL ORDEN PUBLICO</v>
      </c>
      <c r="IB77" s="206" t="str">
        <f>IFERROR(INDEX($A$2:$A$113,MATCH(ROWS($EF$2:EF77),$EF$2:$EF$113,0)),"")</f>
        <v>OTROS ATENTADOS CONTRA EL ORDEN PUBLICO</v>
      </c>
      <c r="IC77" s="206" t="str">
        <f>IFERROR(INDEX($A$2:$A$113,MATCH(ROWS($EG$2:EG77),$EG$2:$EG$113,0)),"")</f>
        <v>OTROS ATENTADOS CONTRA EL ORDEN PUBLICO</v>
      </c>
      <c r="ID77" s="206" t="str">
        <f>IFERROR(INDEX($A$2:$A$113,MATCH(ROWS($EH$2:EH77),$EH$2:$EH$113,0)),"")</f>
        <v>OTROS ATENTADOS CONTRA EL ORDEN PUBLICO</v>
      </c>
      <c r="IE77" s="206" t="str">
        <f>IFERROR(INDEX($A$2:$A$113,MATCH(ROWS($EI$2:EI77),$EI$2:$EI$113,0)),"")</f>
        <v>OTROS ATENTADOS CONTRA EL ORDEN PUBLICO</v>
      </c>
      <c r="IF77" s="206" t="str">
        <f>IFERROR(INDEX($A$2:$A$113,MATCH(ROWS($EJ$2:EJ77),$EJ$2:$EJ$113,0)),"")</f>
        <v>OTROS ATENTADOS CONTRA EL ORDEN PUBLICO</v>
      </c>
      <c r="IG77" s="206" t="str">
        <f>IFERROR(INDEX($A$2:$A$113,MATCH(ROWS($EK$2:EK77),$EK$2:$EK$113,0)),"")</f>
        <v>OTROS ATENTADOS CONTRA EL ORDEN PUBLICO</v>
      </c>
      <c r="IH77" s="206" t="str">
        <f>IFERROR(INDEX($A$2:$A$113,MATCH(ROWS($EL$2:EL77),$EL$2:$EL$113,0)),"")</f>
        <v>OTROS ATENTADOS CONTRA EL ORDEN PUBLICO</v>
      </c>
      <c r="II77" s="206" t="str">
        <f>IFERROR(INDEX($A$2:$A$113,MATCH(ROWS($EM$2:EM77),$EM$2:$EM$113,0)),"")</f>
        <v>OTROS ATENTADOS CONTRA EL ORDEN PUBLICO</v>
      </c>
      <c r="IJ77" s="206" t="str">
        <f>IFERROR(INDEX($A$2:$A$113,MATCH(ROWS($EN$2:EN77),$EN$2:$EN$113,0)),"")</f>
        <v>OTROS ATENTADOS CONTRA EL ORDEN PUBLICO</v>
      </c>
      <c r="IK77" s="207" t="str">
        <f>IFERROR(INDEX($A$2:$A$113,MATCH(ROWS($EO$2:EO77),$EO$2:$EO$113,0)),"")</f>
        <v>OTROS ATENTADOS CONTRA EL ORDEN PUBLICO</v>
      </c>
      <c r="IL77" s="207" t="str">
        <f>IFERROR(INDEX($A$2:$A$113,MATCH(ROWS($EP$2:EP77),$EP$2:$EP$113,0)),"")</f>
        <v>OTROS ATENTADOS CONTRA EL ORDEN PUBLICO</v>
      </c>
      <c r="IM77" s="207" t="str">
        <f>IFERROR(INDEX($A$2:$A$113,MATCH(ROWS($EQ$2:EQ77),$EQ$2:$EQ$113,0)),"")</f>
        <v>OTROS ATENTADOS CONTRA EL ORDEN PUBLICO</v>
      </c>
      <c r="IN77" s="207" t="str">
        <f>IFERROR(INDEX($A$2:$A$113,MATCH(ROWS($ER$2:ER77),$ER$2:$ER$113,0)),"")</f>
        <v>OTROS ATENTADOS CONTRA EL ORDEN PUBLICO</v>
      </c>
      <c r="IO77" s="207" t="str">
        <f>IFERROR(INDEX($A$2:$A$113,MATCH(ROWS($ES$2:ES77),$ES$2:$ES$113,0)),"")</f>
        <v>OTROS ATENTADOS CONTRA EL ORDEN PUBLICO</v>
      </c>
      <c r="IP77" s="207" t="str">
        <f>IFERROR(INDEX($A$2:$A$113,MATCH(ROWS($ET$2:ET77),$ET$2:$ET$113,0)),"")</f>
        <v>OTROS ATENTADOS CONTRA EL ORDEN PUBLICO</v>
      </c>
      <c r="IQ77" s="207" t="str">
        <f>IFERROR(INDEX($A$2:$A$113,MATCH(ROWS($EU$2:EU77),$EU$2:$EU$113,0)),"")</f>
        <v>OTROS ATENTADOS CONTRA EL ORDEN PUBLICO</v>
      </c>
      <c r="IR77" s="207" t="str">
        <f>IFERROR(INDEX($A$2:$A$113,MATCH(ROWS($EV$2:EV77),$EV$2:$EV$113,0)),"")</f>
        <v>OTROS ATENTADOS CONTRA EL ORDEN PUBLICO</v>
      </c>
      <c r="IS77" s="207" t="str">
        <f>IFERROR(INDEX($A$2:$A$113,MATCH(ROWS($EW$2:EW77),$EW$2:$EW$113,0)),"")</f>
        <v>OTROS ATENTADOS CONTRA EL ORDEN PUBLICO</v>
      </c>
      <c r="IT77" s="207" t="str">
        <f>IFERROR(INDEX($A$2:$A$113,MATCH(ROWS($EX$2:EX77),$EX$2:$EX$113,0)),"")</f>
        <v>OTROS ATENTADOS CONTRA EL ORDEN PUBLICO</v>
      </c>
      <c r="IU77" s="207" t="str">
        <f>IFERROR(INDEX($A$2:$A$113,MATCH(ROWS($EY$2:EY77),$EY$2:$EY$113,0)),"")</f>
        <v>OTROS ATENTADOS CONTRA EL ORDEN PUBLICO</v>
      </c>
      <c r="IV77" s="207" t="str">
        <f>IFERROR(INDEX($A$2:$A$113,MATCH(ROWS($EZ$2:EZ77),$EZ$2:$EZ$113,0)),"")</f>
        <v>OTROS ATENTADOS CONTRA EL ORDEN PUBLICO</v>
      </c>
      <c r="IW77" s="207" t="str">
        <f>IFERROR(INDEX($A$2:$A$113,MATCH(ROWS($FA$2:FA77),$FA$2:$FA$113,0)),"")</f>
        <v>OTROS ATENTADOS CONTRA EL ORDEN PUBLICO</v>
      </c>
      <c r="IX77" s="207" t="str">
        <f>IFERROR(INDEX($A$2:$A$113,MATCH(ROWS($FB$2:FB77),$FB$2:$FB$113,0)),"")</f>
        <v>OTROS ATENTADOS CONTRA EL ORDEN PUBLICO</v>
      </c>
      <c r="IY77" s="207" t="str">
        <f>IFERROR(INDEX($A$2:$A$113,MATCH(ROWS($FC$2:FC77),$FC$2:$FC$113,0)),"")</f>
        <v>OTROS ATENTADOS CONTRA EL ORDEN PUBLICO</v>
      </c>
      <c r="IZ77" s="207" t="str">
        <f>IFERROR(INDEX($A$2:$A$113,MATCH(ROWS($FD$2:FD77),$FD$2:$FD$113,0)),"")</f>
        <v>OTROS ATENTADOS CONTRA EL ORDEN PUBLICO</v>
      </c>
      <c r="JA77" s="207" t="str">
        <f>IFERROR(INDEX($A$2:$A$113,MATCH(ROWS($FE$2:FE77),$FE$2:$FE$113,0)),"")</f>
        <v>OTROS ATENTADOS CONTRA EL ORDEN PUBLICO</v>
      </c>
      <c r="JB77" s="207" t="str">
        <f>IFERROR(INDEX($A$2:$A$113,MATCH(ROWS($FF$2:FF77),$FF$2:$FF$113,0)),"")</f>
        <v>OTROS ATENTADOS CONTRA EL ORDEN PUBLICO</v>
      </c>
      <c r="JC77" s="207" t="str">
        <f>IFERROR(INDEX($A$2:$A$113,MATCH(ROWS($FG$2:FG77),$FG$2:$FG$113,0)),"")</f>
        <v>OTROS ATENTADOS CONTRA EL ORDEN PUBLICO</v>
      </c>
      <c r="JD77" s="207" t="str">
        <f>IFERROR(INDEX($A$2:$A$113,MATCH(ROWS($FH$2:FH77),$FH$2:$FH$113,0)),"")</f>
        <v>OTROS ATENTADOS CONTRA EL ORDEN PUBLICO</v>
      </c>
      <c r="JE77" s="207" t="str">
        <f>IFERROR(INDEX($A$2:$A$113,MATCH(ROWS($FI$2:FI77),$FI$2:$FI$113,0)),"")</f>
        <v>OTROS ATENTADOS CONTRA EL ORDEN PUBLICO</v>
      </c>
      <c r="JF77" s="207" t="str">
        <f>IFERROR(INDEX($A$2:$A$113,MATCH(ROWS($FJ$2:FJ77),$FJ$2:$FJ$113,0)),"")</f>
        <v>OTROS ATENTADOS CONTRA EL ORDEN PUBLICO</v>
      </c>
      <c r="JG77" s="207" t="str">
        <f>IFERROR(INDEX($A$2:$A$113,MATCH(ROWS($FK$2:FK77),$FK$2:$FK$113,0)),"")</f>
        <v>OTROS ATENTADOS CONTRA EL ORDEN PUBLICO</v>
      </c>
      <c r="JH77" s="207" t="str">
        <f>IFERROR(INDEX($A$2:$A$113,MATCH(ROWS($FL$2:FL77),$FL$2:$FL$113,0)),"")</f>
        <v>OTROS ATENTADOS CONTRA EL ORDEN PUBLICO</v>
      </c>
      <c r="JI77" s="207" t="str">
        <f>IFERROR(INDEX($A$2:$A$113,MATCH(ROWS($FM$2:FM77),$FM$2:$FM$113,0)),"")</f>
        <v>OTROS ATENTADOS CONTRA EL ORDEN PUBLICO</v>
      </c>
      <c r="JJ77" s="207" t="str">
        <f>IFERROR(INDEX($A$2:$A$113,MATCH(ROWS($FN$2:FN77),$FN$2:$FN$113,0)),"")</f>
        <v>OTROS ATENTADOS CONTRA EL ORDEN PUBLICO</v>
      </c>
      <c r="JK77" s="207" t="str">
        <f>IFERROR(INDEX($A$2:$A$113,MATCH(ROWS($FO$2:FO77),$FO$2:$FO$113,0)),"")</f>
        <v>OTROS ATENTADOS CONTRA EL ORDEN PUBLICO</v>
      </c>
      <c r="JL77" s="207" t="str">
        <f>IFERROR(INDEX($A$2:$A$113,MATCH(ROWS($FP$2:FP77),$FP$2:$FP$113,0)),"")</f>
        <v>OTROS ATENTADOS CONTRA EL ORDEN PUBLICO</v>
      </c>
      <c r="JM77" s="207" t="str">
        <f>IFERROR(INDEX($A$2:$A$113,MATCH(ROWS($FQ$2:FQ77),$FQ$2:$FQ$113,0)),"")</f>
        <v>OTROS ATENTADOS CONTRA EL ORDEN PUBLICO</v>
      </c>
      <c r="JN77" s="207" t="str">
        <f>IFERROR(INDEX($A$2:$A$113,MATCH(ROWS($FR$2:FR77),$FR$2:$FR$113,0)),"")</f>
        <v>OTROS ATENTADOS CONTRA EL ORDEN PUBLICO</v>
      </c>
      <c r="JO77" s="207" t="str">
        <f>IFERROR(INDEX($A$2:$A$113,MATCH(ROWS($FS$2:FS77),$FS$2:$FS$113,0)),"")</f>
        <v>OTROS ATENTADOS CONTRA EL ORDEN PUBLICO</v>
      </c>
      <c r="JP77" s="207" t="str">
        <f>IFERROR(INDEX($A$2:$A$113,MATCH(ROWS($FT$2:FT77),$FT$2:$FT$113,0)),"")</f>
        <v>OTROS ATENTADOS CONTRA EL ORDEN PUBLICO</v>
      </c>
      <c r="JQ77" s="207" t="str">
        <f>IFERROR(INDEX($A$2:$A$113,MATCH(ROWS($FU$2:FU77),$FU$2:$FU$113,0)),"")</f>
        <v>OTROS ATENTADOS CONTRA EL ORDEN PUBLICO</v>
      </c>
      <c r="JR77" s="207" t="str">
        <f>IFERROR(INDEX($A$2:$A$113,MATCH(ROWS($FV$2:FV77),$FV$2:$FV$113,0)),"")</f>
        <v>OTROS ATENTADOS CONTRA EL ORDEN PUBLICO</v>
      </c>
      <c r="JS77" s="207" t="str">
        <f>IFERROR(INDEX($A$2:$A$113,MATCH(ROWS($FW$2:FW77),$FW$2:$FW$113,0)),"")</f>
        <v>OTROS ATENTADOS CONTRA EL ORDEN PUBLICO</v>
      </c>
      <c r="JT77" s="207" t="str">
        <f>IFERROR(INDEX($A$2:$A$113,MATCH(ROWS($FX$2:FX77),$FX$2:$FX$113,0)),"")</f>
        <v>OTROS ATENTADOS CONTRA EL ORDEN PUBLICO</v>
      </c>
      <c r="JU77" s="207" t="str">
        <f>IFERROR(INDEX($A$2:$A$113,MATCH(ROWS($FY$2:FY77),$FY$2:$FY$113,0)),"")</f>
        <v>OTROS ATENTADOS CONTRA EL ORDEN PUBLICO</v>
      </c>
      <c r="JV77" s="207" t="str">
        <f>IFERROR(INDEX($A$2:$A$113,MATCH(ROWS($FZ$2:FZ77),$FZ$2:$FZ$113,0)),"")</f>
        <v>OTROS ATENTADOS CONTRA EL ORDEN PUBLICO</v>
      </c>
      <c r="JW77" s="207" t="str">
        <f>IFERROR(INDEX($A$2:$A$113,MATCH(ROWS($GA$2:GA77),$GA$2:$GA$113,0)),"")</f>
        <v>OTROS ATENTADOS CONTRA EL ORDEN PUBLICO</v>
      </c>
      <c r="JX77" s="207" t="str">
        <f>IFERROR(INDEX($A$2:$A$113,MATCH(ROWS($GB$2:GB77),$GB$2:$GB$113,0)),"")</f>
        <v>OTROS ATENTADOS CONTRA EL ORDEN PUBLICO</v>
      </c>
      <c r="JY77" s="207" t="str">
        <f>IFERROR(INDEX($A$2:$A$113,MATCH(ROWS($GC$2:GC77),$GC$2:$GC$113,0)),"")</f>
        <v>OTROS ATENTADOS CONTRA EL ORDEN PUBLICO</v>
      </c>
      <c r="JZ77" s="207" t="str">
        <f>IFERROR(INDEX($A$2:$A$113,MATCH(ROWS($GD$2:GD77),$GD$2:$GD$113,0)),"")</f>
        <v>OTROS ATENTADOS CONTRA EL ORDEN PUBLICO</v>
      </c>
      <c r="KA77" s="207" t="str">
        <f>IFERROR(INDEX($A$2:$A$113,MATCH(ROWS($GE$2:GE77),$GE$2:$GE$113,0)),"")</f>
        <v>OTROS ATENTADOS CONTRA EL ORDEN PUBLICO</v>
      </c>
      <c r="KB77" s="207" t="str">
        <f>IFERROR(INDEX($A$2:$A$113,MATCH(ROWS($GF$2:GF77),$GF$2:$GF$113,0)),"")</f>
        <v>OTROS ATENTADOS CONTRA EL ORDEN PUBLICO</v>
      </c>
      <c r="KC77" s="207" t="str">
        <f>IFERROR(INDEX($A$2:$A$113,MATCH(ROWS($GG$2:GG77),$GG$2:$GG$113,0)),"")</f>
        <v>OTROS ATENTADOS CONTRA EL ORDEN PUBLICO</v>
      </c>
      <c r="KD77" s="207" t="str">
        <f>IFERROR(INDEX($A$2:$A$113,MATCH(ROWS($GH$2:GH77),$GH$2:$GH$113,0)),"")</f>
        <v>OTROS ATENTADOS CONTRA EL ORDEN PUBLICO</v>
      </c>
      <c r="KE77" s="207" t="str">
        <f>IFERROR(INDEX($A$2:$A$113,MATCH(ROWS($GI$2:GI77),$GI$2:$GI$113,0)),"")</f>
        <v>OTROS ATENTADOS CONTRA EL ORDEN PUBLICO</v>
      </c>
      <c r="KF77" s="207" t="str">
        <f>IFERROR(INDEX($A$2:$A$113,MATCH(ROWS($GJ$2:GJ77),$GJ$2:$GJ$113,0)),"")</f>
        <v>OTROS ATENTADOS CONTRA EL ORDEN PUBLICO</v>
      </c>
      <c r="KG77" s="207" t="str">
        <f>IFERROR(INDEX($A$2:$A$113,MATCH(ROWS($GK$2:GK77),$GK$2:$GK$113,0)),"")</f>
        <v>OTROS ATENTADOS CONTRA EL ORDEN PUBLICO</v>
      </c>
      <c r="KH77" s="207" t="str">
        <f>IFERROR(INDEX($A$2:$A$113,MATCH(ROWS($GL$2:GL77),$GL$2:$GL$113,0)),"")</f>
        <v>OTROS ATENTADOS CONTRA EL ORDEN PUBLICO</v>
      </c>
      <c r="KI77" s="207" t="str">
        <f>IFERROR(INDEX($A$2:$A$113,MATCH(ROWS($GM$2:GM77),$GM$2:$GM$113,0)),"")</f>
        <v>OTROS ATENTADOS CONTRA EL ORDEN PUBLICO</v>
      </c>
      <c r="KJ77" s="207" t="str">
        <f>IFERROR(INDEX($A$2:$A$113,MATCH(ROWS($GN$2:GN77),$GN$2:$GN$113,0)),"")</f>
        <v>OTROS ATENTADOS CONTRA EL ORDEN PUBLICO</v>
      </c>
      <c r="KK77" s="207" t="str">
        <f>IFERROR(INDEX($A$2:$A$113,MATCH(ROWS($GO$2:GO77),$GO$2:$GO$113,0)),"")</f>
        <v>OTROS ATENTADOS CONTRA EL ORDEN PUBLICO</v>
      </c>
      <c r="KL77" s="207" t="str">
        <f>IFERROR(INDEX($A$2:$A$113,MATCH(ROWS($GP$2:GP77),$GP$2:$GP$113,0)),"")</f>
        <v>OTROS ATENTADOS CONTRA EL ORDEN PUBLICO</v>
      </c>
      <c r="KM77" s="207" t="str">
        <f>IFERROR(INDEX($A$2:$A$113,MATCH(ROWS($GQ$2:GQ77),$GQ$2:$GQ$113,0)),"")</f>
        <v>OTROS ATENTADOS CONTRA EL ORDEN PUBLICO</v>
      </c>
      <c r="KN77" s="207" t="str">
        <f>IFERROR(INDEX($A$2:$A$113,MATCH(ROWS($GR$2:GR77),$GR$2:$GR$113,0)),"")</f>
        <v>OTROS ATENTADOS CONTRA EL ORDEN PUBLICO</v>
      </c>
      <c r="KO77" s="207" t="str">
        <f>IFERROR(INDEX($A$2:$A$113,MATCH(ROWS($GS$2:GS77),$GS$2:$GS$113,0)),"")</f>
        <v>OTROS ATENTADOS CONTRA EL ORDEN PUBLICO</v>
      </c>
      <c r="KP77" s="207" t="str">
        <f>IFERROR(INDEX($A$2:$A$113,MATCH(ROWS($GT$2:GT77),$GT$2:$GT$113,0)),"")</f>
        <v>OTROS ATENTADOS CONTRA EL ORDEN PUBLICO</v>
      </c>
      <c r="KQ77" s="207" t="str">
        <f>IFERROR(INDEX($A$2:$A$113,MATCH(ROWS($GU$2:GU77),$GU$2:$GU$113,0)),"")</f>
        <v>OTROS ATENTADOS CONTRA EL ORDEN PUBLICO</v>
      </c>
      <c r="KR77" s="207" t="str">
        <f>IFERROR(INDEX($A$2:$A$113,MATCH(ROWS($GV$2:GV77),$GV$2:$GV$113,0)),"")</f>
        <v>OTROS ATENTADOS CONTRA EL ORDEN PUBLICO</v>
      </c>
      <c r="KS77" s="207" t="str">
        <f>IFERROR(INDEX($A$2:$A$113,MATCH(ROWS($GW$2:GW77),$GW$2:$GW$113,0)),"")</f>
        <v>OTROS ATENTADOS CONTRA EL ORDEN PUBLICO</v>
      </c>
    </row>
    <row r="78" spans="1:305" x14ac:dyDescent="0.25">
      <c r="A78" s="206" t="s">
        <v>111</v>
      </c>
      <c r="B78" s="206">
        <v>24</v>
      </c>
      <c r="D78" s="206" t="s">
        <v>110</v>
      </c>
      <c r="E78" s="206" t="s">
        <v>111</v>
      </c>
      <c r="F78" s="207">
        <f>--ISNUMBER(IFERROR(SEARCH('PLANILLA DJ'!$X$3,$A78,1),""))</f>
        <v>1</v>
      </c>
      <c r="G78" s="207">
        <f>--ISNUMBER(IFERROR(SEARCH('PLANILLA DJ'!$X$4,$A78,1),""))</f>
        <v>1</v>
      </c>
      <c r="H78" s="207">
        <f>--ISNUMBER(IFERROR(SEARCH('PLANILLA DJ'!$X$5,$A78,1),""))</f>
        <v>1</v>
      </c>
      <c r="I78" s="207">
        <f>--ISNUMBER(IFERROR(SEARCH('PLANILLA DJ'!$X$6,$A78,1),""))</f>
        <v>1</v>
      </c>
      <c r="J78" s="207">
        <f>--ISNUMBER(IFERROR(SEARCH('PLANILLA DJ'!$X$7,$A78,1),""))</f>
        <v>1</v>
      </c>
      <c r="K78" s="207">
        <f>--ISNUMBER(IFERROR(SEARCH('PLANILLA DJ'!$X$8,$A78,1),""))</f>
        <v>1</v>
      </c>
      <c r="L78" s="207">
        <f>--ISNUMBER(IFERROR(SEARCH('PLANILLA DJ'!$X$9,$A78,1),""))</f>
        <v>1</v>
      </c>
      <c r="M78" s="207">
        <f>--ISNUMBER(IFERROR(SEARCH('PLANILLA DJ'!$X$10,$A78,1),""))</f>
        <v>1</v>
      </c>
      <c r="N78" s="207">
        <f>--ISNUMBER(IFERROR(SEARCH('PLANILLA DJ'!$X$11,$A78,1),""))</f>
        <v>1</v>
      </c>
      <c r="O78" s="207">
        <f>--ISNUMBER(IFERROR(SEARCH('PLANILLA DJ'!$X$12,$A78,1),""))</f>
        <v>1</v>
      </c>
      <c r="P78" s="207">
        <f>--ISNUMBER(IFERROR(SEARCH('PLANILLA DJ'!$X$13,$A78,1),""))</f>
        <v>1</v>
      </c>
      <c r="Q78" s="207">
        <f>--ISNUMBER(IFERROR(SEARCH('PLANILLA DJ'!$X$14,$A78,1),""))</f>
        <v>1</v>
      </c>
      <c r="R78" s="207">
        <f>--ISNUMBER(IFERROR(SEARCH('PLANILLA DJ'!$X$15,$A78,1),""))</f>
        <v>1</v>
      </c>
      <c r="S78" s="207">
        <f>--ISNUMBER(IFERROR(SEARCH('PLANILLA DJ'!$X$16,$A78,1),""))</f>
        <v>1</v>
      </c>
      <c r="T78" s="207">
        <f>--ISNUMBER(IFERROR(SEARCH('PLANILLA DJ'!$X$17,$A78,1),""))</f>
        <v>1</v>
      </c>
      <c r="U78" s="207">
        <f>--ISNUMBER(IFERROR(SEARCH('PLANILLA DJ'!$X$18,$A78,1),""))</f>
        <v>1</v>
      </c>
      <c r="V78" s="207">
        <f>--ISNUMBER(IFERROR(SEARCH('PLANILLA DJ'!$X$19,$A78,1),""))</f>
        <v>1</v>
      </c>
      <c r="W78" s="207">
        <f>--ISNUMBER(IFERROR(SEARCH('PLANILLA DJ'!$X$20,$A78,1),""))</f>
        <v>1</v>
      </c>
      <c r="X78" s="207">
        <f>--ISNUMBER(IFERROR(SEARCH('PLANILLA DJ'!$X$21,$A78,1),""))</f>
        <v>1</v>
      </c>
      <c r="Y78" s="207">
        <f>--ISNUMBER(IFERROR(SEARCH('PLANILLA DJ'!$X$22,$A78,1),""))</f>
        <v>1</v>
      </c>
      <c r="Z78" s="207">
        <f>--ISNUMBER(IFERROR(SEARCH('PLANILLA DJ'!$X$23,$A78,1),""))</f>
        <v>1</v>
      </c>
      <c r="AA78" s="207">
        <f>--ISNUMBER(IFERROR(SEARCH('PLANILLA DJ'!$X$24,$A78,1),""))</f>
        <v>1</v>
      </c>
      <c r="AB78" s="207">
        <f>--ISNUMBER(IFERROR(SEARCH('PLANILLA DJ'!$X$25,$A78,1),""))</f>
        <v>1</v>
      </c>
      <c r="AC78" s="207">
        <f>--ISNUMBER(IFERROR(SEARCH('PLANILLA DJ'!$X$26,$A78,1),""))</f>
        <v>1</v>
      </c>
      <c r="AD78" s="207">
        <f>--ISNUMBER(IFERROR(SEARCH('PLANILLA DJ'!$X$27,$A78,1),""))</f>
        <v>1</v>
      </c>
      <c r="AE78" s="207">
        <f>--ISNUMBER(IFERROR(SEARCH('PLANILLA DJ'!$X$28,$A78,1),""))</f>
        <v>1</v>
      </c>
      <c r="AF78" s="207">
        <f>--ISNUMBER(IFERROR(SEARCH('PLANILLA DJ'!$X$29,$A78,1),""))</f>
        <v>1</v>
      </c>
      <c r="AG78" s="207">
        <f>--ISNUMBER(IFERROR(SEARCH('PLANILLA DJ'!$X$30,$A78,1),""))</f>
        <v>1</v>
      </c>
      <c r="AH78" s="207">
        <f>--ISNUMBER(IFERROR(SEARCH('PLANILLA DJ'!$X$31,$A78,1),""))</f>
        <v>1</v>
      </c>
      <c r="AI78" s="207">
        <f>--ISNUMBER(IFERROR(SEARCH('PLANILLA DJ'!$X$32,$A78,1),""))</f>
        <v>1</v>
      </c>
      <c r="AJ78" s="207">
        <f>--ISNUMBER(IFERROR(SEARCH('PLANILLA DJ'!$X$33,$A78,1),""))</f>
        <v>1</v>
      </c>
      <c r="AK78" s="207">
        <f>--ISNUMBER(IFERROR(SEARCH('PLANILLA DJ'!$X$34,$A78,1),""))</f>
        <v>1</v>
      </c>
      <c r="AL78" s="207">
        <f>--ISNUMBER(IFERROR(SEARCH('PLANILLA DJ'!$X$35,$A78,1),""))</f>
        <v>1</v>
      </c>
      <c r="AM78" s="207">
        <f>--ISNUMBER(IFERROR(SEARCH('PLANILLA DJ'!$X$36,$A78,1),""))</f>
        <v>1</v>
      </c>
      <c r="AN78" s="207">
        <f>--ISNUMBER(IFERROR(SEARCH('PLANILLA DJ'!$X$37,$A78,1),""))</f>
        <v>1</v>
      </c>
      <c r="AO78" s="207">
        <f>--ISNUMBER(IFERROR(SEARCH('PLANILLA DJ'!$X$38,$A78,1),""))</f>
        <v>1</v>
      </c>
      <c r="AP78" s="207">
        <f>--ISNUMBER(IFERROR(SEARCH('PLANILLA DJ'!$X$39,$A78,1),""))</f>
        <v>1</v>
      </c>
      <c r="AQ78" s="207">
        <f>--ISNUMBER(IFERROR(SEARCH('PLANILLA DJ'!$X$40,$A78,1),""))</f>
        <v>1</v>
      </c>
      <c r="AR78" s="207">
        <f>--ISNUMBER(IFERROR(SEARCH('PLANILLA DJ'!$X$41,$A78,1),""))</f>
        <v>1</v>
      </c>
      <c r="AS78" s="207">
        <f>--ISNUMBER(IFERROR(SEARCH('PLANILLA DJ'!$X$42,$A78,1),""))</f>
        <v>1</v>
      </c>
      <c r="AT78" s="207">
        <f>--ISNUMBER(IFERROR(SEARCH('PLANILLA DJ'!$X$43,$A78,1),""))</f>
        <v>1</v>
      </c>
      <c r="AU78" s="207">
        <f>--ISNUMBER(IFERROR(SEARCH('PLANILLA DJ'!$X$44,$A78,1),""))</f>
        <v>1</v>
      </c>
      <c r="AV78" s="207">
        <f>--ISNUMBER(IFERROR(SEARCH('PLANILLA DJ'!$X$45,$A78,1),""))</f>
        <v>1</v>
      </c>
      <c r="AW78" s="207">
        <f>--ISNUMBER(IFERROR(SEARCH('PLANILLA DJ'!$X$46,$A78,1),""))</f>
        <v>1</v>
      </c>
      <c r="AX78" s="207">
        <f>--ISNUMBER(IFERROR(SEARCH('PLANILLA DJ'!$X$47,$A78,1),""))</f>
        <v>1</v>
      </c>
      <c r="AY78" s="207">
        <f>--ISNUMBER(IFERROR(SEARCH('PLANILLA DJ'!$X$48,$A78,1),""))</f>
        <v>1</v>
      </c>
      <c r="AZ78" s="207">
        <f>--ISNUMBER(IFERROR(SEARCH('PLANILLA DJ'!$X$49,$A78,1),""))</f>
        <v>1</v>
      </c>
      <c r="BA78" s="207">
        <f>--ISNUMBER(IFERROR(SEARCH('PLANILLA DJ'!$X$50,$A78,1),""))</f>
        <v>1</v>
      </c>
      <c r="BB78" s="207">
        <f>--ISNUMBER(IFERROR(SEARCH('PLANILLA DJ'!$X$51,$A78,1),""))</f>
        <v>1</v>
      </c>
      <c r="BC78" s="207">
        <f>--ISNUMBER(IFERROR(SEARCH('PLANILLA DJ'!$X$52,$A78,1),""))</f>
        <v>1</v>
      </c>
      <c r="BD78" s="207">
        <f>--ISNUMBER(IFERROR(SEARCH('PLANILLA DJ'!$X$53,$A78,1),""))</f>
        <v>1</v>
      </c>
      <c r="BE78" s="207">
        <f>--ISNUMBER(IFERROR(SEARCH('PLANILLA DJ'!$X$54,$A78,1),""))</f>
        <v>1</v>
      </c>
      <c r="BF78" s="207">
        <f>--ISNUMBER(IFERROR(SEARCH('PLANILLA DJ'!$X$55,$A78,1),""))</f>
        <v>1</v>
      </c>
      <c r="BG78" s="207">
        <f>--ISNUMBER(IFERROR(SEARCH('PLANILLA DJ'!$X$56,$A78,1),""))</f>
        <v>1</v>
      </c>
      <c r="BH78" s="207">
        <f>--ISNUMBER(IFERROR(SEARCH('PLANILLA DJ'!$X$57,$A78,1),""))</f>
        <v>1</v>
      </c>
      <c r="BI78" s="207">
        <f>--ISNUMBER(IFERROR(SEARCH('PLANILLA DJ'!$X$58,$A78,1),""))</f>
        <v>1</v>
      </c>
      <c r="BJ78" s="207">
        <f>--ISNUMBER(IFERROR(SEARCH('PLANILLA DJ'!$X$59,$A78,1),""))</f>
        <v>1</v>
      </c>
      <c r="BK78" s="207">
        <f>--ISNUMBER(IFERROR(SEARCH('PLANILLA DJ'!$X$60,$A78,1),""))</f>
        <v>1</v>
      </c>
      <c r="BL78" s="207">
        <f>--ISNUMBER(IFERROR(SEARCH('PLANILLA DJ'!$X$61,$A78,1),""))</f>
        <v>1</v>
      </c>
      <c r="BM78" s="207">
        <f>--ISNUMBER(IFERROR(SEARCH('PLANILLA DJ'!$X$62,$A78,1),""))</f>
        <v>1</v>
      </c>
      <c r="BN78" s="207">
        <f>--ISNUMBER(IFERROR(SEARCH('PLANILLA DJ'!$X$63,$A78,1),""))</f>
        <v>1</v>
      </c>
      <c r="BO78" s="207">
        <f>--ISNUMBER(IFERROR(SEARCH('PLANILLA DJ'!$X$64,$A78,1),""))</f>
        <v>1</v>
      </c>
      <c r="BP78" s="207">
        <f>--ISNUMBER(IFERROR(SEARCH('PLANILLA DJ'!$X$65,$A78,1),""))</f>
        <v>1</v>
      </c>
      <c r="BQ78" s="207">
        <f>--ISNUMBER(IFERROR(SEARCH('PLANILLA DJ'!$X$66,$A78,1),""))</f>
        <v>1</v>
      </c>
      <c r="BR78" s="207">
        <f>--ISNUMBER(IFERROR(SEARCH('PLANILLA DJ'!$X$67,$A78,1),""))</f>
        <v>1</v>
      </c>
      <c r="BS78" s="207">
        <f>--ISNUMBER(IFERROR(SEARCH('PLANILLA DJ'!$X$68,$A78,1),""))</f>
        <v>1</v>
      </c>
      <c r="BT78" s="207">
        <f>--ISNUMBER(IFERROR(SEARCH('PLANILLA DJ'!$X$69,$A78,1),""))</f>
        <v>1</v>
      </c>
      <c r="BU78" s="207">
        <f>--ISNUMBER(IFERROR(SEARCH('PLANILLA DJ'!$X$70,$A78,1),""))</f>
        <v>1</v>
      </c>
      <c r="BV78" s="207">
        <f>--ISNUMBER(IFERROR(SEARCH('PLANILLA DJ'!$X$71,$A78,1),""))</f>
        <v>1</v>
      </c>
      <c r="BW78" s="207">
        <f>--ISNUMBER(IFERROR(SEARCH('PLANILLA DJ'!$X$72,$A78,1),""))</f>
        <v>1</v>
      </c>
      <c r="BX78" s="207">
        <f>--ISNUMBER(IFERROR(SEARCH('PLANILLA DJ'!$X$73,$A78,1),""))</f>
        <v>1</v>
      </c>
      <c r="BY78" s="207">
        <f>--ISNUMBER(IFERROR(SEARCH('PLANILLA DJ'!$X$74,$A78,1),""))</f>
        <v>1</v>
      </c>
      <c r="BZ78" s="207">
        <f>--ISNUMBER(IFERROR(SEARCH('PLANILLA DJ'!$X$75,$A78,1),""))</f>
        <v>1</v>
      </c>
      <c r="CA78" s="207">
        <f>--ISNUMBER(IFERROR(SEARCH('PLANILLA DJ'!$X$76,$A78,1),""))</f>
        <v>1</v>
      </c>
      <c r="CB78" s="207">
        <f>--ISNUMBER(IFERROR(SEARCH('PLANILLA DJ'!$X$77,$A78,1),""))</f>
        <v>1</v>
      </c>
      <c r="CC78" s="207">
        <f>--ISNUMBER(IFERROR(SEARCH('PLANILLA DJ'!$X$78,$A78,1),""))</f>
        <v>1</v>
      </c>
      <c r="CD78" s="207">
        <f>--ISNUMBER(IFERROR(SEARCH('PLANILLA DJ'!$X$79,$A78,1),""))</f>
        <v>1</v>
      </c>
      <c r="CE78" s="207">
        <f>--ISNUMBER(IFERROR(SEARCH('PLANILLA DJ'!$X$80,$A78,1),""))</f>
        <v>1</v>
      </c>
      <c r="CF78" s="207">
        <f>--ISNUMBER(IFERROR(SEARCH('PLANILLA DJ'!$X$81,$A78,1),""))</f>
        <v>1</v>
      </c>
      <c r="CG78" s="207">
        <f>--ISNUMBER(IFERROR(SEARCH('PLANILLA DJ'!$X$82,$A78,1),""))</f>
        <v>1</v>
      </c>
      <c r="CH78" s="207">
        <f>--ISNUMBER(IFERROR(SEARCH('PLANILLA DJ'!$X$83,$A78,1),""))</f>
        <v>1</v>
      </c>
      <c r="CI78" s="207">
        <f>--ISNUMBER(IFERROR(SEARCH('PLANILLA DJ'!$X$84,$A78,1),""))</f>
        <v>1</v>
      </c>
      <c r="CJ78" s="207">
        <f>--ISNUMBER(IFERROR(SEARCH('PLANILLA DJ'!$X$85,$A78,1),""))</f>
        <v>1</v>
      </c>
      <c r="CK78" s="207">
        <f>--ISNUMBER(IFERROR(SEARCH('PLANILLA DJ'!$X$86,$A78,1),""))</f>
        <v>1</v>
      </c>
      <c r="CL78" s="207">
        <f>--ISNUMBER(IFERROR(SEARCH('PLANILLA DJ'!$X$87,$A78,1),""))</f>
        <v>1</v>
      </c>
      <c r="CM78" s="207">
        <f>--ISNUMBER(IFERROR(SEARCH('PLANILLA DJ'!$X$88,$A78,1),""))</f>
        <v>1</v>
      </c>
      <c r="CN78" s="207">
        <f>--ISNUMBER(IFERROR(SEARCH('PLANILLA DJ'!$X$89,$A78,1),""))</f>
        <v>1</v>
      </c>
      <c r="CO78" s="207">
        <f>--ISNUMBER(IFERROR(SEARCH('PLANILLA DJ'!$X$90,$A78,1),""))</f>
        <v>1</v>
      </c>
      <c r="CP78" s="207">
        <f>--ISNUMBER(IFERROR(SEARCH('PLANILLA DJ'!$X$91,$A78,1),""))</f>
        <v>1</v>
      </c>
      <c r="CQ78" s="207">
        <f>--ISNUMBER(IFERROR(SEARCH('PLANILLA DJ'!$X$92,$A78,1),""))</f>
        <v>1</v>
      </c>
      <c r="CR78" s="207">
        <f>--ISNUMBER(IFERROR(SEARCH('PLANILLA DJ'!$X$93,$A78,1),""))</f>
        <v>1</v>
      </c>
      <c r="CS78" s="207">
        <f>--ISNUMBER(IFERROR(SEARCH('PLANILLA DJ'!$X$94,$A78,1),""))</f>
        <v>1</v>
      </c>
      <c r="CT78" s="207">
        <f>--ISNUMBER(IFERROR(SEARCH('PLANILLA DJ'!$X$95,$A78,1),""))</f>
        <v>1</v>
      </c>
      <c r="CU78" s="207">
        <f>--ISNUMBER(IFERROR(SEARCH('PLANILLA DJ'!$X$96,$A78,1),""))</f>
        <v>1</v>
      </c>
      <c r="CV78" s="207">
        <f>--ISNUMBER(IFERROR(SEARCH('PLANILLA DJ'!$X$97,$A78,1),""))</f>
        <v>1</v>
      </c>
      <c r="CW78" s="207">
        <f>--ISNUMBER(IFERROR(SEARCH('PLANILLA DJ'!$X$98,$A78,1),""))</f>
        <v>1</v>
      </c>
      <c r="CX78" s="207">
        <f>--ISNUMBER(IFERROR(SEARCH('PLANILLA DJ'!$X$99,$A78,1),""))</f>
        <v>1</v>
      </c>
      <c r="CY78" s="207">
        <f>--ISNUMBER(IFERROR(SEARCH('PLANILLA DJ'!$X$100,$A78,1),""))</f>
        <v>1</v>
      </c>
      <c r="CZ78" s="207">
        <f>--ISNUMBER(IFERROR(SEARCH('PLANILLA DJ'!$X$101,$A78,1),""))</f>
        <v>1</v>
      </c>
      <c r="DA78" s="207">
        <f>--ISNUMBER(IFERROR(SEARCH('PLANILLA DJ'!$X$102,$A78,1),""))</f>
        <v>1</v>
      </c>
      <c r="DB78" s="206">
        <f>IF(F78=1,COUNTIF($F$2:F78,1),"")</f>
        <v>77</v>
      </c>
      <c r="DC78" s="206">
        <f>IF(G78=1,COUNTIF($G$2:G78,1),"")</f>
        <v>77</v>
      </c>
      <c r="DD78" s="206">
        <f>IF(H78=1,COUNTIF($H$2:H78,1),"")</f>
        <v>77</v>
      </c>
      <c r="DE78" s="206">
        <f>IF(I78=1,COUNTIF($I$2:I78,1),"")</f>
        <v>77</v>
      </c>
      <c r="DF78" s="206">
        <f>IF(J78=1,COUNTIF($J$2:J78,1),"")</f>
        <v>77</v>
      </c>
      <c r="DG78" s="206">
        <f>IF(K78=1,COUNTIF($K$2:K78,1),"")</f>
        <v>77</v>
      </c>
      <c r="DH78" s="206">
        <f>IF(L78=1,COUNTIF($L$2:L78,1),"")</f>
        <v>77</v>
      </c>
      <c r="DI78" s="206">
        <f>IF(M78=1,COUNTIF($M$2:M78,1),"")</f>
        <v>77</v>
      </c>
      <c r="DJ78" s="206">
        <f>IF(N78=1,COUNTIF($N$2:N78,1),"")</f>
        <v>77</v>
      </c>
      <c r="DK78" s="206">
        <f>IF(O78=1,COUNTIF($O$2:O78,1),"")</f>
        <v>77</v>
      </c>
      <c r="DL78" s="206">
        <f>IF(P78=1,COUNTIF($P$2:P78,1),"")</f>
        <v>77</v>
      </c>
      <c r="DM78" s="206">
        <f>IF(Q78=1,COUNTIF($Q$2:Q78,1),"")</f>
        <v>77</v>
      </c>
      <c r="DN78" s="207">
        <f>IF(R78=1,COUNTIF($R$2:R78,1),"")</f>
        <v>77</v>
      </c>
      <c r="DO78" s="207">
        <f>IF(S78=1,COUNTIF($S$2:S78,1),"")</f>
        <v>77</v>
      </c>
      <c r="DP78" s="207">
        <f>IF(T78=1,COUNTIF($T$2:T78,1),"")</f>
        <v>77</v>
      </c>
      <c r="DQ78" s="207">
        <f>IF(U78=1,COUNTIF($U$2:U78,1),"")</f>
        <v>77</v>
      </c>
      <c r="DR78" s="207">
        <f>IF(V78=1,COUNTIF($V$2:V78,1),"")</f>
        <v>77</v>
      </c>
      <c r="DS78" s="207">
        <f>IF(W78=1,COUNTIF($W$2:W78,1),"")</f>
        <v>77</v>
      </c>
      <c r="DT78" s="207">
        <f>IF(X78=1,COUNTIF($X$2:X78,1),"")</f>
        <v>77</v>
      </c>
      <c r="DU78" s="207">
        <f>IF(Y78=1,COUNTIF($Y$2:Y78,1),"")</f>
        <v>77</v>
      </c>
      <c r="DV78" s="207">
        <f>IF(Z78=1,COUNTIF(Z$2:Z78,1),"")</f>
        <v>77</v>
      </c>
      <c r="DW78" s="207">
        <f>IF(AA78=1,COUNTIF($AA$2:AA78,1),"")</f>
        <v>77</v>
      </c>
      <c r="DX78" s="207">
        <f>IF(AB78=1,COUNTIF($AB$2:AB78,1),"")</f>
        <v>77</v>
      </c>
      <c r="DY78" s="207">
        <f>IF(AC78=1,COUNTIF($AC$2:AC78,1),"")</f>
        <v>77</v>
      </c>
      <c r="DZ78" s="207">
        <f>IF(AD78=1,COUNTIF($AD$2:AD78,1),"")</f>
        <v>77</v>
      </c>
      <c r="EA78" s="207">
        <f>IF(AE78=1,COUNTIF($AE$2:AE78,1),"")</f>
        <v>77</v>
      </c>
      <c r="EB78" s="207">
        <f>IF(AF78=1,COUNTIF($AF$2:AF78,1),"")</f>
        <v>77</v>
      </c>
      <c r="EC78" s="207">
        <f>IF(AG78=1,COUNTIF($AG$2:AG78,1),"")</f>
        <v>77</v>
      </c>
      <c r="ED78" s="207">
        <f>IF(AH78=1,COUNTIF($AH$2:AH78,1),"")</f>
        <v>77</v>
      </c>
      <c r="EE78" s="207">
        <f>IF(AI78=1,COUNTIF($AI$2:AI78,1),"")</f>
        <v>77</v>
      </c>
      <c r="EF78" s="207">
        <f>IF(AJ78=1,COUNTIF($AJ$2:AJ78,1),"")</f>
        <v>77</v>
      </c>
      <c r="EG78" s="207">
        <f>IF(AK78=1,COUNTIF($AK$2:AK78,1),"")</f>
        <v>77</v>
      </c>
      <c r="EH78" s="207">
        <f>IF(AL78=1,COUNTIF($AL$2:AL78,1),"")</f>
        <v>77</v>
      </c>
      <c r="EI78" s="207">
        <f>IF(AM78=1,COUNTIF($AM$2:AM78,1),"")</f>
        <v>77</v>
      </c>
      <c r="EJ78" s="207">
        <f>IF(AN78=1,COUNTIF($AN$2:AN78,1),"")</f>
        <v>77</v>
      </c>
      <c r="EK78" s="207">
        <f>IF(AO78=1,COUNTIF($AO$2:AO78,1),"")</f>
        <v>77</v>
      </c>
      <c r="EL78" s="207">
        <f>IF(AP78=1,COUNTIF($AP$2:AP78,1),"")</f>
        <v>77</v>
      </c>
      <c r="EM78" s="207">
        <f>IF(AQ78=1,COUNTIF($AQ$2:AQ78,1),"")</f>
        <v>77</v>
      </c>
      <c r="EN78" s="207">
        <f>IF(AR78=1,COUNTIF($AR$2:AR78,1),"")</f>
        <v>77</v>
      </c>
      <c r="EO78" s="207">
        <f>IF(AS78=1,COUNTIF($AS$2:AS78,1),"")</f>
        <v>77</v>
      </c>
      <c r="EP78" s="207">
        <f>IF(AT78=1,COUNTIF($AT$2:AT78,1),"")</f>
        <v>77</v>
      </c>
      <c r="EQ78" s="207">
        <f>IF(AU78=1,COUNTIF($AU$2:AU78,1),"")</f>
        <v>77</v>
      </c>
      <c r="ER78" s="207">
        <f>IF(AV78=1,COUNTIF($AV$2:AV78,1),"")</f>
        <v>77</v>
      </c>
      <c r="ES78" s="207">
        <f>IF(AW78=1,COUNTIF($AW$2:AW78,1),"")</f>
        <v>77</v>
      </c>
      <c r="ET78" s="207">
        <f>IF(AX78=1,COUNTIF($AX$2:AX78,1),"")</f>
        <v>77</v>
      </c>
      <c r="EU78" s="207">
        <f>IF(AY78=1,COUNTIF($AY$2:AY78,1),"")</f>
        <v>77</v>
      </c>
      <c r="EV78" s="207">
        <f>IF(AZ78=1,COUNTIF($AZ$2:AZ78,1),"")</f>
        <v>77</v>
      </c>
      <c r="EW78" s="207">
        <f>IF(BA78=1,COUNTIF($BA$2:BA78,1),"")</f>
        <v>77</v>
      </c>
      <c r="EX78" s="207">
        <f>IF(BB78=1,COUNTIF($BB$2:BB78,1),"")</f>
        <v>77</v>
      </c>
      <c r="EY78" s="207">
        <f>IF(BC78=1,COUNTIF($BC$2:BC78,1),"")</f>
        <v>77</v>
      </c>
      <c r="EZ78" s="207">
        <f>IF(BD78=1,COUNTIF($BD$2:BD78,1),"")</f>
        <v>77</v>
      </c>
      <c r="FA78" s="207">
        <f>IF(BE78=1,COUNTIF($BE$2:BE78,1),"")</f>
        <v>77</v>
      </c>
      <c r="FB78" s="207">
        <f>IF(BF78=1,COUNTIF($BF$2:BF78,1),"")</f>
        <v>77</v>
      </c>
      <c r="FC78" s="207">
        <f>IF(BG78=1,COUNTIF($BG$2:BG78,1),"")</f>
        <v>77</v>
      </c>
      <c r="FD78" s="207">
        <f>IF(BH78=1,COUNTIF($BH$2:BH78,1),"")</f>
        <v>77</v>
      </c>
      <c r="FE78" s="207">
        <f>IF(BI78=1,COUNTIF($BI$2:BI78,1),"")</f>
        <v>77</v>
      </c>
      <c r="FF78" s="207">
        <f>IF(BJ78=1,COUNTIF($BJ$2:BJ78,1),"")</f>
        <v>77</v>
      </c>
      <c r="FG78" s="207">
        <f>IF(BK78=1,COUNTIF($BK$2:BK78,1),"")</f>
        <v>77</v>
      </c>
      <c r="FH78" s="207">
        <f>IF(BL78=1,COUNTIF($BL$2:BL78,1),"")</f>
        <v>77</v>
      </c>
      <c r="FI78" s="207">
        <f>IF(BM78=1,COUNTIF($BM$2:BM78,1),"")</f>
        <v>77</v>
      </c>
      <c r="FJ78" s="207">
        <f>IF(BN78=1,COUNTIF($BN$2:BN78,1),"")</f>
        <v>77</v>
      </c>
      <c r="FK78" s="207">
        <f>IF(BO78=1,COUNTIF($BO$2:BO78,1),"")</f>
        <v>77</v>
      </c>
      <c r="FL78" s="207">
        <f>IF(BP78=1,COUNTIF($BP$2:BP78,1),"")</f>
        <v>77</v>
      </c>
      <c r="FM78" s="207">
        <f>IF(BQ78=1,COUNTIF($BQ$2:BQ78,1),"")</f>
        <v>77</v>
      </c>
      <c r="FN78" s="207">
        <f>IF(BR78=1,COUNTIF($BR$2:BR78,1),"")</f>
        <v>77</v>
      </c>
      <c r="FO78" s="207">
        <f>IF(BS78=1,COUNTIF($BS$2:BS78,1),"")</f>
        <v>77</v>
      </c>
      <c r="FP78" s="207">
        <f>IF(BT78=1,COUNTIF($BT$2:BT78,1),"")</f>
        <v>77</v>
      </c>
      <c r="FQ78" s="207">
        <f>IF(BU78=1,COUNTIF($BU$2:BU78,1),"")</f>
        <v>77</v>
      </c>
      <c r="FR78" s="207">
        <f>IF(BV78=1,COUNTIF($BV$2:BV78,1),"")</f>
        <v>77</v>
      </c>
      <c r="FS78" s="207">
        <f>IF(BW78=1,COUNTIF($BW$2:BW78,1),"")</f>
        <v>77</v>
      </c>
      <c r="FT78" s="207">
        <f>IF(BX78=1,COUNTIF($BX$2:BX78,1),"")</f>
        <v>77</v>
      </c>
      <c r="FU78" s="207">
        <f>IF(BY78=1,COUNTIF($BY$2:BY78,1),"")</f>
        <v>77</v>
      </c>
      <c r="FV78" s="207">
        <f>IF(BZ78=1,COUNTIF($BZ$2:BZ78,1),"")</f>
        <v>77</v>
      </c>
      <c r="FW78" s="207">
        <f>IF(CA78=1,COUNTIF($CA$2:CA78,1),"")</f>
        <v>77</v>
      </c>
      <c r="FX78" s="207">
        <f>IF(CB78=1,COUNTIF($CB$2:CB78,1),"")</f>
        <v>77</v>
      </c>
      <c r="FY78" s="207">
        <f>IF(CC78=1,COUNTIF($CC$2:CC78,1),"")</f>
        <v>77</v>
      </c>
      <c r="FZ78" s="207">
        <f>IF(CD78=1,COUNTIF($CD$2:CD78,1),"")</f>
        <v>77</v>
      </c>
      <c r="GA78" s="207">
        <f>IF(CE78=1,COUNTIF($CE$2:CE78,1),"")</f>
        <v>77</v>
      </c>
      <c r="GB78" s="207">
        <f>IF(CF78=1,COUNTIF($CF$2:CF78,1),"")</f>
        <v>77</v>
      </c>
      <c r="GC78" s="207">
        <f>IF(CG78=1,COUNTIF($CG$2:CG78,1),"")</f>
        <v>77</v>
      </c>
      <c r="GD78" s="207">
        <f>IF(CH78=1,COUNTIF($CH$2:CH78,1),"")</f>
        <v>77</v>
      </c>
      <c r="GE78" s="207">
        <f>IF(CI78=1,COUNTIF($CI$2:CI78,1),"")</f>
        <v>77</v>
      </c>
      <c r="GF78" s="207">
        <f>IF(CJ78=1,COUNTIF($CJ$2:CJ78,1),"")</f>
        <v>77</v>
      </c>
      <c r="GG78" s="207">
        <f>IF(CK78=1,COUNTIF($CK$2:CK78,1),"")</f>
        <v>77</v>
      </c>
      <c r="GH78" s="207">
        <f>IF(CL78=1,COUNTIF($CL$2:CL78,1),"")</f>
        <v>77</v>
      </c>
      <c r="GI78" s="207">
        <f>IF(CM78=1,COUNTIF($CM$2:CM78,1),"")</f>
        <v>77</v>
      </c>
      <c r="GJ78" s="207">
        <f>IF(CN78=1,COUNTIF($CN$2:CN78,1),"")</f>
        <v>77</v>
      </c>
      <c r="GK78" s="207">
        <f>IF(CO78=1,COUNTIF($CO$2:CO78,1),"")</f>
        <v>77</v>
      </c>
      <c r="GL78" s="207">
        <f>IF(CP78=1,COUNTIF($CP$2:CP78,1),"")</f>
        <v>77</v>
      </c>
      <c r="GM78" s="207">
        <f>IF(CQ78=1,COUNTIF($CQ$2:CQ78,1),"")</f>
        <v>77</v>
      </c>
      <c r="GN78" s="207">
        <f>IF(CR78=1,COUNTIF($CR$2:CR78,1),"")</f>
        <v>77</v>
      </c>
      <c r="GO78" s="207">
        <f>IF(CS78=1,COUNTIF($CS$2:CS78,1),"")</f>
        <v>77</v>
      </c>
      <c r="GP78" s="207">
        <f>IF(CT78=1,COUNTIF($CT$2:CT78,1),"")</f>
        <v>77</v>
      </c>
      <c r="GQ78" s="207">
        <f>IF(CU78=1,COUNTIF($CU$2:CU78,1),"")</f>
        <v>77</v>
      </c>
      <c r="GR78" s="207">
        <f>IF(CV78=1,COUNTIF($CV$2:CV78,1),"")</f>
        <v>77</v>
      </c>
      <c r="GS78" s="207">
        <f>IF(CW78=1,COUNTIF($CW$2:CW78,1),"")</f>
        <v>77</v>
      </c>
      <c r="GT78" s="207">
        <f>IF(CX78=1,COUNTIF($CX$2:CX78,1),"")</f>
        <v>77</v>
      </c>
      <c r="GU78" s="207">
        <f>IF(CY78=1,COUNTIF($CY$2:CY78,1),"")</f>
        <v>77</v>
      </c>
      <c r="GV78" s="207">
        <f>IF(CZ78=1,COUNTIF($CZ$2:CZ78,1),"")</f>
        <v>77</v>
      </c>
      <c r="GW78" s="207">
        <f>IF(DA78=1,COUNTIF($DA$2:DA78,1),"")</f>
        <v>77</v>
      </c>
      <c r="GX78" s="206" t="str">
        <f>IFERROR(INDEX($A$2:$A$113,MATCH(ROWS($DB$2:DB78),$DB$2:$DB$113,0)),"")</f>
        <v>DELITOS CONTRA LA SEGURIDAD DE LA NACION</v>
      </c>
      <c r="GY78" s="206" t="str">
        <f>IFERROR(INDEX($A$2:$A$113,MATCH(ROWS($DC$2:DC78),$DC$2:$DC$113,0)),"")</f>
        <v>DELITOS CONTRA LA SEGURIDAD DE LA NACION</v>
      </c>
      <c r="GZ78" s="206" t="str">
        <f>IFERROR(INDEX($A$2:$A$113,MATCH(ROWS($DD$2:DD78),$DD$2:$DD$113,0)),"")</f>
        <v>DELITOS CONTRA LA SEGURIDAD DE LA NACION</v>
      </c>
      <c r="HA78" s="206" t="str">
        <f>IFERROR(INDEX($A$2:$A$113,MATCH(ROWS($DE$2:DE78),$DE$2:$DE$113,0)),"")</f>
        <v>DELITOS CONTRA LA SEGURIDAD DE LA NACION</v>
      </c>
      <c r="HB78" s="206" t="str">
        <f>IFERROR(INDEX($A$2:$A$113,MATCH(ROWS($DF$2:DF78),$DF$2:$DF$113,0)),"")</f>
        <v>DELITOS CONTRA LA SEGURIDAD DE LA NACION</v>
      </c>
      <c r="HC78" s="206" t="str">
        <f>IFERROR(INDEX($A$2:$A$113,MATCH(ROWS($DG$2:DG78),$DG$2:$DG$113,0)),"")</f>
        <v>DELITOS CONTRA LA SEGURIDAD DE LA NACION</v>
      </c>
      <c r="HD78" s="206" t="str">
        <f>IFERROR(INDEX($A$2:$A$113,MATCH(ROWS($DH$2:DH78),$DH$2:$DH$113,0)),"")</f>
        <v>DELITOS CONTRA LA SEGURIDAD DE LA NACION</v>
      </c>
      <c r="HE78" s="206" t="str">
        <f>IFERROR(INDEX($A$2:$A$113,MATCH(ROWS($DI$2:DI78),$DI$2:$DI$113,0)),"")</f>
        <v>DELITOS CONTRA LA SEGURIDAD DE LA NACION</v>
      </c>
      <c r="HF78" s="206" t="str">
        <f>IFERROR(INDEX($A$2:$A$113,MATCH(ROWS($DJ$2:DJ78),$DJ$2:$DJ$113,0)),"")</f>
        <v>DELITOS CONTRA LA SEGURIDAD DE LA NACION</v>
      </c>
      <c r="HG78" s="206" t="str">
        <f>IFERROR(INDEX($A$2:$A$113,MATCH(ROWS($DK$2:DK78),$DK$2:$DK$113,0)),"")</f>
        <v>DELITOS CONTRA LA SEGURIDAD DE LA NACION</v>
      </c>
      <c r="HH78" s="206" t="str">
        <f>IFERROR(INDEX($A$2:$A$113,MATCH(ROWS($DL$2:DL78),$DL$2:$DL$113,0)),"")</f>
        <v>DELITOS CONTRA LA SEGURIDAD DE LA NACION</v>
      </c>
      <c r="HI78" s="206" t="str">
        <f>IFERROR(INDEX($A$2:$A$113,MATCH(ROWS($DM$2:DM78),$DM$2:$DM$113,0)),"")</f>
        <v>DELITOS CONTRA LA SEGURIDAD DE LA NACION</v>
      </c>
      <c r="HJ78" s="206" t="str">
        <f>IFERROR(INDEX($A$2:$A$113,MATCH(ROWS($DN$2:DN78),$DN$2:$DN$113,0)),"")</f>
        <v>DELITOS CONTRA LA SEGURIDAD DE LA NACION</v>
      </c>
      <c r="HK78" s="206" t="str">
        <f>IFERROR(INDEX($A$2:$A$113,MATCH(ROWS($DO$2:DO78),$DO$2:$DO$113,0)),"")</f>
        <v>DELITOS CONTRA LA SEGURIDAD DE LA NACION</v>
      </c>
      <c r="HL78" s="206" t="str">
        <f>IFERROR(INDEX($A$2:$A$113,MATCH(ROWS($DP$2:DP78),$DP$2:$DP$113,0)),"")</f>
        <v>DELITOS CONTRA LA SEGURIDAD DE LA NACION</v>
      </c>
      <c r="HM78" s="206" t="str">
        <f>IFERROR(INDEX($A$2:$A$113,MATCH(ROWS($DQ$2:DQ78),$DQ$2:$DQ$113,0)),"")</f>
        <v>DELITOS CONTRA LA SEGURIDAD DE LA NACION</v>
      </c>
      <c r="HN78" s="206" t="str">
        <f>IFERROR(INDEX($A$2:$A$113,MATCH(ROWS($DR$2:DR78),$DR$2:$DR$113,0)),"")</f>
        <v>DELITOS CONTRA LA SEGURIDAD DE LA NACION</v>
      </c>
      <c r="HO78" s="206" t="str">
        <f>IFERROR(INDEX($A$2:$A$113,MATCH(ROWS($DS$2:DS78),$DS$2:$DS$113,0)),"")</f>
        <v>DELITOS CONTRA LA SEGURIDAD DE LA NACION</v>
      </c>
      <c r="HP78" s="206" t="str">
        <f>IFERROR(INDEX($A$2:$A$113,MATCH(ROWS($DT$2:DT78),$DT$2:$DT$113,0)),"")</f>
        <v>DELITOS CONTRA LA SEGURIDAD DE LA NACION</v>
      </c>
      <c r="HQ78" s="206" t="str">
        <f>IFERROR(INDEX($A$2:$A$113,MATCH(ROWS($DU$2:DU78),$DU$2:$DU$113,0)),"")</f>
        <v>DELITOS CONTRA LA SEGURIDAD DE LA NACION</v>
      </c>
      <c r="HR78" s="206" t="str">
        <f>IFERROR(INDEX($A$2:$A$113,MATCH(ROWS($DV$2:DV78),$DV$2:$DV$113,0)),"")</f>
        <v>DELITOS CONTRA LA SEGURIDAD DE LA NACION</v>
      </c>
      <c r="HS78" s="206" t="str">
        <f>IFERROR(INDEX($A$2:$A$113,MATCH(ROWS($DW$2:DW78),$DW$2:$DW$113,0)),"")</f>
        <v>DELITOS CONTRA LA SEGURIDAD DE LA NACION</v>
      </c>
      <c r="HT78" s="206" t="str">
        <f>IFERROR(INDEX($A$2:$A$113,MATCH(ROWS($DX$2:DX78),$DX$2:$DX$113,0)),"")</f>
        <v>DELITOS CONTRA LA SEGURIDAD DE LA NACION</v>
      </c>
      <c r="HU78" s="206" t="str">
        <f>IFERROR(INDEX($A$2:$A$113,MATCH(ROWS($DY$2:DY78),$DY$2:$DY$113,0)),"")</f>
        <v>DELITOS CONTRA LA SEGURIDAD DE LA NACION</v>
      </c>
      <c r="HV78" s="206" t="str">
        <f>IFERROR(INDEX($A$2:$A$113,MATCH(ROWS($DZ$2:DZ78),$DZ$2:$DZ$113,0)),"")</f>
        <v>DELITOS CONTRA LA SEGURIDAD DE LA NACION</v>
      </c>
      <c r="HW78" s="206" t="str">
        <f>IFERROR(INDEX($A$2:$A$113,MATCH(ROWS($EA$2:EA78),$EA$2:$EA$113,0)),"")</f>
        <v>DELITOS CONTRA LA SEGURIDAD DE LA NACION</v>
      </c>
      <c r="HX78" s="206" t="str">
        <f>IFERROR(INDEX($A$2:$A$113,MATCH(ROWS($EB$2:EB78),$EB$2:$EB$113,0)),"")</f>
        <v>DELITOS CONTRA LA SEGURIDAD DE LA NACION</v>
      </c>
      <c r="HY78" s="206" t="str">
        <f>IFERROR(INDEX($A$2:$A$113,MATCH(ROWS($EC$2:EC78),$EC$2:$EC$113,0)),"")</f>
        <v>DELITOS CONTRA LA SEGURIDAD DE LA NACION</v>
      </c>
      <c r="HZ78" s="206" t="str">
        <f>IFERROR(INDEX($A$2:$A$113,MATCH(ROWS($ED$2:ED78),$ED$2:$ED$113,0)),"")</f>
        <v>DELITOS CONTRA LA SEGURIDAD DE LA NACION</v>
      </c>
      <c r="IA78" s="206" t="str">
        <f>IFERROR(INDEX($A$2:$A$113,MATCH(ROWS($EE$2:EE78),$EE$2:$EE$113,0)),"")</f>
        <v>DELITOS CONTRA LA SEGURIDAD DE LA NACION</v>
      </c>
      <c r="IB78" s="206" t="str">
        <f>IFERROR(INDEX($A$2:$A$113,MATCH(ROWS($EF$2:EF78),$EF$2:$EF$113,0)),"")</f>
        <v>DELITOS CONTRA LA SEGURIDAD DE LA NACION</v>
      </c>
      <c r="IC78" s="206" t="str">
        <f>IFERROR(INDEX($A$2:$A$113,MATCH(ROWS($EG$2:EG78),$EG$2:$EG$113,0)),"")</f>
        <v>DELITOS CONTRA LA SEGURIDAD DE LA NACION</v>
      </c>
      <c r="ID78" s="206" t="str">
        <f>IFERROR(INDEX($A$2:$A$113,MATCH(ROWS($EH$2:EH78),$EH$2:$EH$113,0)),"")</f>
        <v>DELITOS CONTRA LA SEGURIDAD DE LA NACION</v>
      </c>
      <c r="IE78" s="206" t="str">
        <f>IFERROR(INDEX($A$2:$A$113,MATCH(ROWS($EI$2:EI78),$EI$2:$EI$113,0)),"")</f>
        <v>DELITOS CONTRA LA SEGURIDAD DE LA NACION</v>
      </c>
      <c r="IF78" s="206" t="str">
        <f>IFERROR(INDEX($A$2:$A$113,MATCH(ROWS($EJ$2:EJ78),$EJ$2:$EJ$113,0)),"")</f>
        <v>DELITOS CONTRA LA SEGURIDAD DE LA NACION</v>
      </c>
      <c r="IG78" s="206" t="str">
        <f>IFERROR(INDEX($A$2:$A$113,MATCH(ROWS($EK$2:EK78),$EK$2:$EK$113,0)),"")</f>
        <v>DELITOS CONTRA LA SEGURIDAD DE LA NACION</v>
      </c>
      <c r="IH78" s="206" t="str">
        <f>IFERROR(INDEX($A$2:$A$113,MATCH(ROWS($EL$2:EL78),$EL$2:$EL$113,0)),"")</f>
        <v>DELITOS CONTRA LA SEGURIDAD DE LA NACION</v>
      </c>
      <c r="II78" s="206" t="str">
        <f>IFERROR(INDEX($A$2:$A$113,MATCH(ROWS($EM$2:EM78),$EM$2:$EM$113,0)),"")</f>
        <v>DELITOS CONTRA LA SEGURIDAD DE LA NACION</v>
      </c>
      <c r="IJ78" s="206" t="str">
        <f>IFERROR(INDEX($A$2:$A$113,MATCH(ROWS($EN$2:EN78),$EN$2:$EN$113,0)),"")</f>
        <v>DELITOS CONTRA LA SEGURIDAD DE LA NACION</v>
      </c>
      <c r="IK78" s="207" t="str">
        <f>IFERROR(INDEX($A$2:$A$113,MATCH(ROWS($EO$2:EO78),$EO$2:$EO$113,0)),"")</f>
        <v>DELITOS CONTRA LA SEGURIDAD DE LA NACION</v>
      </c>
      <c r="IL78" s="207" t="str">
        <f>IFERROR(INDEX($A$2:$A$113,MATCH(ROWS($EP$2:EP78),$EP$2:$EP$113,0)),"")</f>
        <v>DELITOS CONTRA LA SEGURIDAD DE LA NACION</v>
      </c>
      <c r="IM78" s="207" t="str">
        <f>IFERROR(INDEX($A$2:$A$113,MATCH(ROWS($EQ$2:EQ78),$EQ$2:$EQ$113,0)),"")</f>
        <v>DELITOS CONTRA LA SEGURIDAD DE LA NACION</v>
      </c>
      <c r="IN78" s="207" t="str">
        <f>IFERROR(INDEX($A$2:$A$113,MATCH(ROWS($ER$2:ER78),$ER$2:$ER$113,0)),"")</f>
        <v>DELITOS CONTRA LA SEGURIDAD DE LA NACION</v>
      </c>
      <c r="IO78" s="207" t="str">
        <f>IFERROR(INDEX($A$2:$A$113,MATCH(ROWS($ES$2:ES78),$ES$2:$ES$113,0)),"")</f>
        <v>DELITOS CONTRA LA SEGURIDAD DE LA NACION</v>
      </c>
      <c r="IP78" s="207" t="str">
        <f>IFERROR(INDEX($A$2:$A$113,MATCH(ROWS($ET$2:ET78),$ET$2:$ET$113,0)),"")</f>
        <v>DELITOS CONTRA LA SEGURIDAD DE LA NACION</v>
      </c>
      <c r="IQ78" s="207" t="str">
        <f>IFERROR(INDEX($A$2:$A$113,MATCH(ROWS($EU$2:EU78),$EU$2:$EU$113,0)),"")</f>
        <v>DELITOS CONTRA LA SEGURIDAD DE LA NACION</v>
      </c>
      <c r="IR78" s="207" t="str">
        <f>IFERROR(INDEX($A$2:$A$113,MATCH(ROWS($EV$2:EV78),$EV$2:$EV$113,0)),"")</f>
        <v>DELITOS CONTRA LA SEGURIDAD DE LA NACION</v>
      </c>
      <c r="IS78" s="207" t="str">
        <f>IFERROR(INDEX($A$2:$A$113,MATCH(ROWS($EW$2:EW78),$EW$2:$EW$113,0)),"")</f>
        <v>DELITOS CONTRA LA SEGURIDAD DE LA NACION</v>
      </c>
      <c r="IT78" s="207" t="str">
        <f>IFERROR(INDEX($A$2:$A$113,MATCH(ROWS($EX$2:EX78),$EX$2:$EX$113,0)),"")</f>
        <v>DELITOS CONTRA LA SEGURIDAD DE LA NACION</v>
      </c>
      <c r="IU78" s="207" t="str">
        <f>IFERROR(INDEX($A$2:$A$113,MATCH(ROWS($EY$2:EY78),$EY$2:$EY$113,0)),"")</f>
        <v>DELITOS CONTRA LA SEGURIDAD DE LA NACION</v>
      </c>
      <c r="IV78" s="207" t="str">
        <f>IFERROR(INDEX($A$2:$A$113,MATCH(ROWS($EZ$2:EZ78),$EZ$2:$EZ$113,0)),"")</f>
        <v>DELITOS CONTRA LA SEGURIDAD DE LA NACION</v>
      </c>
      <c r="IW78" s="207" t="str">
        <f>IFERROR(INDEX($A$2:$A$113,MATCH(ROWS($FA$2:FA78),$FA$2:$FA$113,0)),"")</f>
        <v>DELITOS CONTRA LA SEGURIDAD DE LA NACION</v>
      </c>
      <c r="IX78" s="207" t="str">
        <f>IFERROR(INDEX($A$2:$A$113,MATCH(ROWS($FB$2:FB78),$FB$2:$FB$113,0)),"")</f>
        <v>DELITOS CONTRA LA SEGURIDAD DE LA NACION</v>
      </c>
      <c r="IY78" s="207" t="str">
        <f>IFERROR(INDEX($A$2:$A$113,MATCH(ROWS($FC$2:FC78),$FC$2:$FC$113,0)),"")</f>
        <v>DELITOS CONTRA LA SEGURIDAD DE LA NACION</v>
      </c>
      <c r="IZ78" s="207" t="str">
        <f>IFERROR(INDEX($A$2:$A$113,MATCH(ROWS($FD$2:FD78),$FD$2:$FD$113,0)),"")</f>
        <v>DELITOS CONTRA LA SEGURIDAD DE LA NACION</v>
      </c>
      <c r="JA78" s="207" t="str">
        <f>IFERROR(INDEX($A$2:$A$113,MATCH(ROWS($FE$2:FE78),$FE$2:$FE$113,0)),"")</f>
        <v>DELITOS CONTRA LA SEGURIDAD DE LA NACION</v>
      </c>
      <c r="JB78" s="207" t="str">
        <f>IFERROR(INDEX($A$2:$A$113,MATCH(ROWS($FF$2:FF78),$FF$2:$FF$113,0)),"")</f>
        <v>DELITOS CONTRA LA SEGURIDAD DE LA NACION</v>
      </c>
      <c r="JC78" s="207" t="str">
        <f>IFERROR(INDEX($A$2:$A$113,MATCH(ROWS($FG$2:FG78),$FG$2:$FG$113,0)),"")</f>
        <v>DELITOS CONTRA LA SEGURIDAD DE LA NACION</v>
      </c>
      <c r="JD78" s="207" t="str">
        <f>IFERROR(INDEX($A$2:$A$113,MATCH(ROWS($FH$2:FH78),$FH$2:$FH$113,0)),"")</f>
        <v>DELITOS CONTRA LA SEGURIDAD DE LA NACION</v>
      </c>
      <c r="JE78" s="207" t="str">
        <f>IFERROR(INDEX($A$2:$A$113,MATCH(ROWS($FI$2:FI78),$FI$2:$FI$113,0)),"")</f>
        <v>DELITOS CONTRA LA SEGURIDAD DE LA NACION</v>
      </c>
      <c r="JF78" s="207" t="str">
        <f>IFERROR(INDEX($A$2:$A$113,MATCH(ROWS($FJ$2:FJ78),$FJ$2:$FJ$113,0)),"")</f>
        <v>DELITOS CONTRA LA SEGURIDAD DE LA NACION</v>
      </c>
      <c r="JG78" s="207" t="str">
        <f>IFERROR(INDEX($A$2:$A$113,MATCH(ROWS($FK$2:FK78),$FK$2:$FK$113,0)),"")</f>
        <v>DELITOS CONTRA LA SEGURIDAD DE LA NACION</v>
      </c>
      <c r="JH78" s="207" t="str">
        <f>IFERROR(INDEX($A$2:$A$113,MATCH(ROWS($FL$2:FL78),$FL$2:$FL$113,0)),"")</f>
        <v>DELITOS CONTRA LA SEGURIDAD DE LA NACION</v>
      </c>
      <c r="JI78" s="207" t="str">
        <f>IFERROR(INDEX($A$2:$A$113,MATCH(ROWS($FM$2:FM78),$FM$2:$FM$113,0)),"")</f>
        <v>DELITOS CONTRA LA SEGURIDAD DE LA NACION</v>
      </c>
      <c r="JJ78" s="207" t="str">
        <f>IFERROR(INDEX($A$2:$A$113,MATCH(ROWS($FN$2:FN78),$FN$2:$FN$113,0)),"")</f>
        <v>DELITOS CONTRA LA SEGURIDAD DE LA NACION</v>
      </c>
      <c r="JK78" s="207" t="str">
        <f>IFERROR(INDEX($A$2:$A$113,MATCH(ROWS($FO$2:FO78),$FO$2:$FO$113,0)),"")</f>
        <v>DELITOS CONTRA LA SEGURIDAD DE LA NACION</v>
      </c>
      <c r="JL78" s="207" t="str">
        <f>IFERROR(INDEX($A$2:$A$113,MATCH(ROWS($FP$2:FP78),$FP$2:$FP$113,0)),"")</f>
        <v>DELITOS CONTRA LA SEGURIDAD DE LA NACION</v>
      </c>
      <c r="JM78" s="207" t="str">
        <f>IFERROR(INDEX($A$2:$A$113,MATCH(ROWS($FQ$2:FQ78),$FQ$2:$FQ$113,0)),"")</f>
        <v>DELITOS CONTRA LA SEGURIDAD DE LA NACION</v>
      </c>
      <c r="JN78" s="207" t="str">
        <f>IFERROR(INDEX($A$2:$A$113,MATCH(ROWS($FR$2:FR78),$FR$2:$FR$113,0)),"")</f>
        <v>DELITOS CONTRA LA SEGURIDAD DE LA NACION</v>
      </c>
      <c r="JO78" s="207" t="str">
        <f>IFERROR(INDEX($A$2:$A$113,MATCH(ROWS($FS$2:FS78),$FS$2:$FS$113,0)),"")</f>
        <v>DELITOS CONTRA LA SEGURIDAD DE LA NACION</v>
      </c>
      <c r="JP78" s="207" t="str">
        <f>IFERROR(INDEX($A$2:$A$113,MATCH(ROWS($FT$2:FT78),$FT$2:$FT$113,0)),"")</f>
        <v>DELITOS CONTRA LA SEGURIDAD DE LA NACION</v>
      </c>
      <c r="JQ78" s="207" t="str">
        <f>IFERROR(INDEX($A$2:$A$113,MATCH(ROWS($FU$2:FU78),$FU$2:$FU$113,0)),"")</f>
        <v>DELITOS CONTRA LA SEGURIDAD DE LA NACION</v>
      </c>
      <c r="JR78" s="207" t="str">
        <f>IFERROR(INDEX($A$2:$A$113,MATCH(ROWS($FV$2:FV78),$FV$2:$FV$113,0)),"")</f>
        <v>DELITOS CONTRA LA SEGURIDAD DE LA NACION</v>
      </c>
      <c r="JS78" s="207" t="str">
        <f>IFERROR(INDEX($A$2:$A$113,MATCH(ROWS($FW$2:FW78),$FW$2:$FW$113,0)),"")</f>
        <v>DELITOS CONTRA LA SEGURIDAD DE LA NACION</v>
      </c>
      <c r="JT78" s="207" t="str">
        <f>IFERROR(INDEX($A$2:$A$113,MATCH(ROWS($FX$2:FX78),$FX$2:$FX$113,0)),"")</f>
        <v>DELITOS CONTRA LA SEGURIDAD DE LA NACION</v>
      </c>
      <c r="JU78" s="207" t="str">
        <f>IFERROR(INDEX($A$2:$A$113,MATCH(ROWS($FY$2:FY78),$FY$2:$FY$113,0)),"")</f>
        <v>DELITOS CONTRA LA SEGURIDAD DE LA NACION</v>
      </c>
      <c r="JV78" s="207" t="str">
        <f>IFERROR(INDEX($A$2:$A$113,MATCH(ROWS($FZ$2:FZ78),$FZ$2:$FZ$113,0)),"")</f>
        <v>DELITOS CONTRA LA SEGURIDAD DE LA NACION</v>
      </c>
      <c r="JW78" s="207" t="str">
        <f>IFERROR(INDEX($A$2:$A$113,MATCH(ROWS($GA$2:GA78),$GA$2:$GA$113,0)),"")</f>
        <v>DELITOS CONTRA LA SEGURIDAD DE LA NACION</v>
      </c>
      <c r="JX78" s="207" t="str">
        <f>IFERROR(INDEX($A$2:$A$113,MATCH(ROWS($GB$2:GB78),$GB$2:$GB$113,0)),"")</f>
        <v>DELITOS CONTRA LA SEGURIDAD DE LA NACION</v>
      </c>
      <c r="JY78" s="207" t="str">
        <f>IFERROR(INDEX($A$2:$A$113,MATCH(ROWS($GC$2:GC78),$GC$2:$GC$113,0)),"")</f>
        <v>DELITOS CONTRA LA SEGURIDAD DE LA NACION</v>
      </c>
      <c r="JZ78" s="207" t="str">
        <f>IFERROR(INDEX($A$2:$A$113,MATCH(ROWS($GD$2:GD78),$GD$2:$GD$113,0)),"")</f>
        <v>DELITOS CONTRA LA SEGURIDAD DE LA NACION</v>
      </c>
      <c r="KA78" s="207" t="str">
        <f>IFERROR(INDEX($A$2:$A$113,MATCH(ROWS($GE$2:GE78),$GE$2:$GE$113,0)),"")</f>
        <v>DELITOS CONTRA LA SEGURIDAD DE LA NACION</v>
      </c>
      <c r="KB78" s="207" t="str">
        <f>IFERROR(INDEX($A$2:$A$113,MATCH(ROWS($GF$2:GF78),$GF$2:$GF$113,0)),"")</f>
        <v>DELITOS CONTRA LA SEGURIDAD DE LA NACION</v>
      </c>
      <c r="KC78" s="207" t="str">
        <f>IFERROR(INDEX($A$2:$A$113,MATCH(ROWS($GG$2:GG78),$GG$2:$GG$113,0)),"")</f>
        <v>DELITOS CONTRA LA SEGURIDAD DE LA NACION</v>
      </c>
      <c r="KD78" s="207" t="str">
        <f>IFERROR(INDEX($A$2:$A$113,MATCH(ROWS($GH$2:GH78),$GH$2:$GH$113,0)),"")</f>
        <v>DELITOS CONTRA LA SEGURIDAD DE LA NACION</v>
      </c>
      <c r="KE78" s="207" t="str">
        <f>IFERROR(INDEX($A$2:$A$113,MATCH(ROWS($GI$2:GI78),$GI$2:$GI$113,0)),"")</f>
        <v>DELITOS CONTRA LA SEGURIDAD DE LA NACION</v>
      </c>
      <c r="KF78" s="207" t="str">
        <f>IFERROR(INDEX($A$2:$A$113,MATCH(ROWS($GJ$2:GJ78),$GJ$2:$GJ$113,0)),"")</f>
        <v>DELITOS CONTRA LA SEGURIDAD DE LA NACION</v>
      </c>
      <c r="KG78" s="207" t="str">
        <f>IFERROR(INDEX($A$2:$A$113,MATCH(ROWS($GK$2:GK78),$GK$2:$GK$113,0)),"")</f>
        <v>DELITOS CONTRA LA SEGURIDAD DE LA NACION</v>
      </c>
      <c r="KH78" s="207" t="str">
        <f>IFERROR(INDEX($A$2:$A$113,MATCH(ROWS($GL$2:GL78),$GL$2:$GL$113,0)),"")</f>
        <v>DELITOS CONTRA LA SEGURIDAD DE LA NACION</v>
      </c>
      <c r="KI78" s="207" t="str">
        <f>IFERROR(INDEX($A$2:$A$113,MATCH(ROWS($GM$2:GM78),$GM$2:$GM$113,0)),"")</f>
        <v>DELITOS CONTRA LA SEGURIDAD DE LA NACION</v>
      </c>
      <c r="KJ78" s="207" t="str">
        <f>IFERROR(INDEX($A$2:$A$113,MATCH(ROWS($GN$2:GN78),$GN$2:$GN$113,0)),"")</f>
        <v>DELITOS CONTRA LA SEGURIDAD DE LA NACION</v>
      </c>
      <c r="KK78" s="207" t="str">
        <f>IFERROR(INDEX($A$2:$A$113,MATCH(ROWS($GO$2:GO78),$GO$2:$GO$113,0)),"")</f>
        <v>DELITOS CONTRA LA SEGURIDAD DE LA NACION</v>
      </c>
      <c r="KL78" s="207" t="str">
        <f>IFERROR(INDEX($A$2:$A$113,MATCH(ROWS($GP$2:GP78),$GP$2:$GP$113,0)),"")</f>
        <v>DELITOS CONTRA LA SEGURIDAD DE LA NACION</v>
      </c>
      <c r="KM78" s="207" t="str">
        <f>IFERROR(INDEX($A$2:$A$113,MATCH(ROWS($GQ$2:GQ78),$GQ$2:$GQ$113,0)),"")</f>
        <v>DELITOS CONTRA LA SEGURIDAD DE LA NACION</v>
      </c>
      <c r="KN78" s="207" t="str">
        <f>IFERROR(INDEX($A$2:$A$113,MATCH(ROWS($GR$2:GR78),$GR$2:$GR$113,0)),"")</f>
        <v>DELITOS CONTRA LA SEGURIDAD DE LA NACION</v>
      </c>
      <c r="KO78" s="207" t="str">
        <f>IFERROR(INDEX($A$2:$A$113,MATCH(ROWS($GS$2:GS78),$GS$2:$GS$113,0)),"")</f>
        <v>DELITOS CONTRA LA SEGURIDAD DE LA NACION</v>
      </c>
      <c r="KP78" s="207" t="str">
        <f>IFERROR(INDEX($A$2:$A$113,MATCH(ROWS($GT$2:GT78),$GT$2:$GT$113,0)),"")</f>
        <v>DELITOS CONTRA LA SEGURIDAD DE LA NACION</v>
      </c>
      <c r="KQ78" s="207" t="str">
        <f>IFERROR(INDEX($A$2:$A$113,MATCH(ROWS($GU$2:GU78),$GU$2:$GU$113,0)),"")</f>
        <v>DELITOS CONTRA LA SEGURIDAD DE LA NACION</v>
      </c>
      <c r="KR78" s="207" t="str">
        <f>IFERROR(INDEX($A$2:$A$113,MATCH(ROWS($GV$2:GV78),$GV$2:$GV$113,0)),"")</f>
        <v>DELITOS CONTRA LA SEGURIDAD DE LA NACION</v>
      </c>
      <c r="KS78" s="207" t="str">
        <f>IFERROR(INDEX($A$2:$A$113,MATCH(ROWS($GW$2:GW78),$GW$2:$GW$113,0)),"")</f>
        <v>DELITOS CONTRA LA SEGURIDAD DE LA NACION</v>
      </c>
    </row>
    <row r="79" spans="1:305" x14ac:dyDescent="0.25">
      <c r="A79" s="206" t="s">
        <v>925</v>
      </c>
      <c r="B79" s="206">
        <v>25</v>
      </c>
      <c r="D79" s="206" t="s">
        <v>19</v>
      </c>
      <c r="E79" s="206" t="s">
        <v>112</v>
      </c>
      <c r="F79" s="207">
        <f>--ISNUMBER(IFERROR(SEARCH('PLANILLA DJ'!$X$3,$A79,1),""))</f>
        <v>1</v>
      </c>
      <c r="G79" s="207">
        <f>--ISNUMBER(IFERROR(SEARCH('PLANILLA DJ'!$X$4,$A79,1),""))</f>
        <v>1</v>
      </c>
      <c r="H79" s="207">
        <f>--ISNUMBER(IFERROR(SEARCH('PLANILLA DJ'!$X$5,$A79,1),""))</f>
        <v>1</v>
      </c>
      <c r="I79" s="207">
        <f>--ISNUMBER(IFERROR(SEARCH('PLANILLA DJ'!$X$6,$A79,1),""))</f>
        <v>1</v>
      </c>
      <c r="J79" s="207">
        <f>--ISNUMBER(IFERROR(SEARCH('PLANILLA DJ'!$X$7,$A79,1),""))</f>
        <v>1</v>
      </c>
      <c r="K79" s="207">
        <f>--ISNUMBER(IFERROR(SEARCH('PLANILLA DJ'!$X$8,$A79,1),""))</f>
        <v>1</v>
      </c>
      <c r="L79" s="207">
        <f>--ISNUMBER(IFERROR(SEARCH('PLANILLA DJ'!$X$9,$A79,1),""))</f>
        <v>1</v>
      </c>
      <c r="M79" s="207">
        <f>--ISNUMBER(IFERROR(SEARCH('PLANILLA DJ'!$X$10,$A79,1),""))</f>
        <v>1</v>
      </c>
      <c r="N79" s="207">
        <f>--ISNUMBER(IFERROR(SEARCH('PLANILLA DJ'!$X$11,$A79,1),""))</f>
        <v>1</v>
      </c>
      <c r="O79" s="207">
        <f>--ISNUMBER(IFERROR(SEARCH('PLANILLA DJ'!$X$12,$A79,1),""))</f>
        <v>1</v>
      </c>
      <c r="P79" s="207">
        <f>--ISNUMBER(IFERROR(SEARCH('PLANILLA DJ'!$X$13,$A79,1),""))</f>
        <v>1</v>
      </c>
      <c r="Q79" s="207">
        <f>--ISNUMBER(IFERROR(SEARCH('PLANILLA DJ'!$X$14,$A79,1),""))</f>
        <v>1</v>
      </c>
      <c r="R79" s="207">
        <f>--ISNUMBER(IFERROR(SEARCH('PLANILLA DJ'!$X$15,$A79,1),""))</f>
        <v>1</v>
      </c>
      <c r="S79" s="207">
        <f>--ISNUMBER(IFERROR(SEARCH('PLANILLA DJ'!$X$16,$A79,1),""))</f>
        <v>1</v>
      </c>
      <c r="T79" s="207">
        <f>--ISNUMBER(IFERROR(SEARCH('PLANILLA DJ'!$X$17,$A79,1),""))</f>
        <v>1</v>
      </c>
      <c r="U79" s="207">
        <f>--ISNUMBER(IFERROR(SEARCH('PLANILLA DJ'!$X$18,$A79,1),""))</f>
        <v>1</v>
      </c>
      <c r="V79" s="207">
        <f>--ISNUMBER(IFERROR(SEARCH('PLANILLA DJ'!$X$19,$A79,1),""))</f>
        <v>1</v>
      </c>
      <c r="W79" s="207">
        <f>--ISNUMBER(IFERROR(SEARCH('PLANILLA DJ'!$X$20,$A79,1),""))</f>
        <v>1</v>
      </c>
      <c r="X79" s="207">
        <f>--ISNUMBER(IFERROR(SEARCH('PLANILLA DJ'!$X$21,$A79,1),""))</f>
        <v>1</v>
      </c>
      <c r="Y79" s="207">
        <f>--ISNUMBER(IFERROR(SEARCH('PLANILLA DJ'!$X$22,$A79,1),""))</f>
        <v>1</v>
      </c>
      <c r="Z79" s="207">
        <f>--ISNUMBER(IFERROR(SEARCH('PLANILLA DJ'!$X$23,$A79,1),""))</f>
        <v>1</v>
      </c>
      <c r="AA79" s="207">
        <f>--ISNUMBER(IFERROR(SEARCH('PLANILLA DJ'!$X$24,$A79,1),""))</f>
        <v>1</v>
      </c>
      <c r="AB79" s="207">
        <f>--ISNUMBER(IFERROR(SEARCH('PLANILLA DJ'!$X$25,$A79,1),""))</f>
        <v>1</v>
      </c>
      <c r="AC79" s="207">
        <f>--ISNUMBER(IFERROR(SEARCH('PLANILLA DJ'!$X$26,$A79,1),""))</f>
        <v>1</v>
      </c>
      <c r="AD79" s="207">
        <f>--ISNUMBER(IFERROR(SEARCH('PLANILLA DJ'!$X$27,$A79,1),""))</f>
        <v>1</v>
      </c>
      <c r="AE79" s="207">
        <f>--ISNUMBER(IFERROR(SEARCH('PLANILLA DJ'!$X$28,$A79,1),""))</f>
        <v>1</v>
      </c>
      <c r="AF79" s="207">
        <f>--ISNUMBER(IFERROR(SEARCH('PLANILLA DJ'!$X$29,$A79,1),""))</f>
        <v>1</v>
      </c>
      <c r="AG79" s="207">
        <f>--ISNUMBER(IFERROR(SEARCH('PLANILLA DJ'!$X$30,$A79,1),""))</f>
        <v>1</v>
      </c>
      <c r="AH79" s="207">
        <f>--ISNUMBER(IFERROR(SEARCH('PLANILLA DJ'!$X$31,$A79,1),""))</f>
        <v>1</v>
      </c>
      <c r="AI79" s="207">
        <f>--ISNUMBER(IFERROR(SEARCH('PLANILLA DJ'!$X$32,$A79,1),""))</f>
        <v>1</v>
      </c>
      <c r="AJ79" s="207">
        <f>--ISNUMBER(IFERROR(SEARCH('PLANILLA DJ'!$X$33,$A79,1),""))</f>
        <v>1</v>
      </c>
      <c r="AK79" s="207">
        <f>--ISNUMBER(IFERROR(SEARCH('PLANILLA DJ'!$X$34,$A79,1),""))</f>
        <v>1</v>
      </c>
      <c r="AL79" s="207">
        <f>--ISNUMBER(IFERROR(SEARCH('PLANILLA DJ'!$X$35,$A79,1),""))</f>
        <v>1</v>
      </c>
      <c r="AM79" s="207">
        <f>--ISNUMBER(IFERROR(SEARCH('PLANILLA DJ'!$X$36,$A79,1),""))</f>
        <v>1</v>
      </c>
      <c r="AN79" s="207">
        <f>--ISNUMBER(IFERROR(SEARCH('PLANILLA DJ'!$X$37,$A79,1),""))</f>
        <v>1</v>
      </c>
      <c r="AO79" s="207">
        <f>--ISNUMBER(IFERROR(SEARCH('PLANILLA DJ'!$X$38,$A79,1),""))</f>
        <v>1</v>
      </c>
      <c r="AP79" s="207">
        <f>--ISNUMBER(IFERROR(SEARCH('PLANILLA DJ'!$X$39,$A79,1),""))</f>
        <v>1</v>
      </c>
      <c r="AQ79" s="207">
        <f>--ISNUMBER(IFERROR(SEARCH('PLANILLA DJ'!$X$40,$A79,1),""))</f>
        <v>1</v>
      </c>
      <c r="AR79" s="207">
        <f>--ISNUMBER(IFERROR(SEARCH('PLANILLA DJ'!$X$41,$A79,1),""))</f>
        <v>1</v>
      </c>
      <c r="AS79" s="207">
        <f>--ISNUMBER(IFERROR(SEARCH('PLANILLA DJ'!$X$42,$A79,1),""))</f>
        <v>1</v>
      </c>
      <c r="AT79" s="207">
        <f>--ISNUMBER(IFERROR(SEARCH('PLANILLA DJ'!$X$43,$A79,1),""))</f>
        <v>1</v>
      </c>
      <c r="AU79" s="207">
        <f>--ISNUMBER(IFERROR(SEARCH('PLANILLA DJ'!$X$44,$A79,1),""))</f>
        <v>1</v>
      </c>
      <c r="AV79" s="207">
        <f>--ISNUMBER(IFERROR(SEARCH('PLANILLA DJ'!$X$45,$A79,1),""))</f>
        <v>1</v>
      </c>
      <c r="AW79" s="207">
        <f>--ISNUMBER(IFERROR(SEARCH('PLANILLA DJ'!$X$46,$A79,1),""))</f>
        <v>1</v>
      </c>
      <c r="AX79" s="207">
        <f>--ISNUMBER(IFERROR(SEARCH('PLANILLA DJ'!$X$47,$A79,1),""))</f>
        <v>1</v>
      </c>
      <c r="AY79" s="207">
        <f>--ISNUMBER(IFERROR(SEARCH('PLANILLA DJ'!$X$48,$A79,1),""))</f>
        <v>1</v>
      </c>
      <c r="AZ79" s="207">
        <f>--ISNUMBER(IFERROR(SEARCH('PLANILLA DJ'!$X$49,$A79,1),""))</f>
        <v>1</v>
      </c>
      <c r="BA79" s="207">
        <f>--ISNUMBER(IFERROR(SEARCH('PLANILLA DJ'!$X$50,$A79,1),""))</f>
        <v>1</v>
      </c>
      <c r="BB79" s="207">
        <f>--ISNUMBER(IFERROR(SEARCH('PLANILLA DJ'!$X$51,$A79,1),""))</f>
        <v>1</v>
      </c>
      <c r="BC79" s="207">
        <f>--ISNUMBER(IFERROR(SEARCH('PLANILLA DJ'!$X$52,$A79,1),""))</f>
        <v>1</v>
      </c>
      <c r="BD79" s="207">
        <f>--ISNUMBER(IFERROR(SEARCH('PLANILLA DJ'!$X$53,$A79,1),""))</f>
        <v>1</v>
      </c>
      <c r="BE79" s="207">
        <f>--ISNUMBER(IFERROR(SEARCH('PLANILLA DJ'!$X$54,$A79,1),""))</f>
        <v>1</v>
      </c>
      <c r="BF79" s="207">
        <f>--ISNUMBER(IFERROR(SEARCH('PLANILLA DJ'!$X$55,$A79,1),""))</f>
        <v>1</v>
      </c>
      <c r="BG79" s="207">
        <f>--ISNUMBER(IFERROR(SEARCH('PLANILLA DJ'!$X$56,$A79,1),""))</f>
        <v>1</v>
      </c>
      <c r="BH79" s="207">
        <f>--ISNUMBER(IFERROR(SEARCH('PLANILLA DJ'!$X$57,$A79,1),""))</f>
        <v>1</v>
      </c>
      <c r="BI79" s="207">
        <f>--ISNUMBER(IFERROR(SEARCH('PLANILLA DJ'!$X$58,$A79,1),""))</f>
        <v>1</v>
      </c>
      <c r="BJ79" s="207">
        <f>--ISNUMBER(IFERROR(SEARCH('PLANILLA DJ'!$X$59,$A79,1),""))</f>
        <v>1</v>
      </c>
      <c r="BK79" s="207">
        <f>--ISNUMBER(IFERROR(SEARCH('PLANILLA DJ'!$X$60,$A79,1),""))</f>
        <v>1</v>
      </c>
      <c r="BL79" s="207">
        <f>--ISNUMBER(IFERROR(SEARCH('PLANILLA DJ'!$X$61,$A79,1),""))</f>
        <v>1</v>
      </c>
      <c r="BM79" s="207">
        <f>--ISNUMBER(IFERROR(SEARCH('PLANILLA DJ'!$X$62,$A79,1),""))</f>
        <v>1</v>
      </c>
      <c r="BN79" s="207">
        <f>--ISNUMBER(IFERROR(SEARCH('PLANILLA DJ'!$X$63,$A79,1),""))</f>
        <v>1</v>
      </c>
      <c r="BO79" s="207">
        <f>--ISNUMBER(IFERROR(SEARCH('PLANILLA DJ'!$X$64,$A79,1),""))</f>
        <v>1</v>
      </c>
      <c r="BP79" s="207">
        <f>--ISNUMBER(IFERROR(SEARCH('PLANILLA DJ'!$X$65,$A79,1),""))</f>
        <v>1</v>
      </c>
      <c r="BQ79" s="207">
        <f>--ISNUMBER(IFERROR(SEARCH('PLANILLA DJ'!$X$66,$A79,1),""))</f>
        <v>1</v>
      </c>
      <c r="BR79" s="207">
        <f>--ISNUMBER(IFERROR(SEARCH('PLANILLA DJ'!$X$67,$A79,1),""))</f>
        <v>1</v>
      </c>
      <c r="BS79" s="207">
        <f>--ISNUMBER(IFERROR(SEARCH('PLANILLA DJ'!$X$68,$A79,1),""))</f>
        <v>1</v>
      </c>
      <c r="BT79" s="207">
        <f>--ISNUMBER(IFERROR(SEARCH('PLANILLA DJ'!$X$69,$A79,1),""))</f>
        <v>1</v>
      </c>
      <c r="BU79" s="207">
        <f>--ISNUMBER(IFERROR(SEARCH('PLANILLA DJ'!$X$70,$A79,1),""))</f>
        <v>1</v>
      </c>
      <c r="BV79" s="207">
        <f>--ISNUMBER(IFERROR(SEARCH('PLANILLA DJ'!$X$71,$A79,1),""))</f>
        <v>1</v>
      </c>
      <c r="BW79" s="207">
        <f>--ISNUMBER(IFERROR(SEARCH('PLANILLA DJ'!$X$72,$A79,1),""))</f>
        <v>1</v>
      </c>
      <c r="BX79" s="207">
        <f>--ISNUMBER(IFERROR(SEARCH('PLANILLA DJ'!$X$73,$A79,1),""))</f>
        <v>1</v>
      </c>
      <c r="BY79" s="207">
        <f>--ISNUMBER(IFERROR(SEARCH('PLANILLA DJ'!$X$74,$A79,1),""))</f>
        <v>1</v>
      </c>
      <c r="BZ79" s="207">
        <f>--ISNUMBER(IFERROR(SEARCH('PLANILLA DJ'!$X$75,$A79,1),""))</f>
        <v>1</v>
      </c>
      <c r="CA79" s="207">
        <f>--ISNUMBER(IFERROR(SEARCH('PLANILLA DJ'!$X$76,$A79,1),""))</f>
        <v>1</v>
      </c>
      <c r="CB79" s="207">
        <f>--ISNUMBER(IFERROR(SEARCH('PLANILLA DJ'!$X$77,$A79,1),""))</f>
        <v>1</v>
      </c>
      <c r="CC79" s="207">
        <f>--ISNUMBER(IFERROR(SEARCH('PLANILLA DJ'!$X$78,$A79,1),""))</f>
        <v>1</v>
      </c>
      <c r="CD79" s="207">
        <f>--ISNUMBER(IFERROR(SEARCH('PLANILLA DJ'!$X$79,$A79,1),""))</f>
        <v>1</v>
      </c>
      <c r="CE79" s="207">
        <f>--ISNUMBER(IFERROR(SEARCH('PLANILLA DJ'!$X$80,$A79,1),""))</f>
        <v>1</v>
      </c>
      <c r="CF79" s="207">
        <f>--ISNUMBER(IFERROR(SEARCH('PLANILLA DJ'!$X$81,$A79,1),""))</f>
        <v>1</v>
      </c>
      <c r="CG79" s="207">
        <f>--ISNUMBER(IFERROR(SEARCH('PLANILLA DJ'!$X$82,$A79,1),""))</f>
        <v>1</v>
      </c>
      <c r="CH79" s="207">
        <f>--ISNUMBER(IFERROR(SEARCH('PLANILLA DJ'!$X$83,$A79,1),""))</f>
        <v>1</v>
      </c>
      <c r="CI79" s="207">
        <f>--ISNUMBER(IFERROR(SEARCH('PLANILLA DJ'!$X$84,$A79,1),""))</f>
        <v>1</v>
      </c>
      <c r="CJ79" s="207">
        <f>--ISNUMBER(IFERROR(SEARCH('PLANILLA DJ'!$X$85,$A79,1),""))</f>
        <v>1</v>
      </c>
      <c r="CK79" s="207">
        <f>--ISNUMBER(IFERROR(SEARCH('PLANILLA DJ'!$X$86,$A79,1),""))</f>
        <v>1</v>
      </c>
      <c r="CL79" s="207">
        <f>--ISNUMBER(IFERROR(SEARCH('PLANILLA DJ'!$X$87,$A79,1),""))</f>
        <v>1</v>
      </c>
      <c r="CM79" s="207">
        <f>--ISNUMBER(IFERROR(SEARCH('PLANILLA DJ'!$X$88,$A79,1),""))</f>
        <v>1</v>
      </c>
      <c r="CN79" s="207">
        <f>--ISNUMBER(IFERROR(SEARCH('PLANILLA DJ'!$X$89,$A79,1),""))</f>
        <v>1</v>
      </c>
      <c r="CO79" s="207">
        <f>--ISNUMBER(IFERROR(SEARCH('PLANILLA DJ'!$X$90,$A79,1),""))</f>
        <v>1</v>
      </c>
      <c r="CP79" s="207">
        <f>--ISNUMBER(IFERROR(SEARCH('PLANILLA DJ'!$X$91,$A79,1),""))</f>
        <v>1</v>
      </c>
      <c r="CQ79" s="207">
        <f>--ISNUMBER(IFERROR(SEARCH('PLANILLA DJ'!$X$92,$A79,1),""))</f>
        <v>1</v>
      </c>
      <c r="CR79" s="207">
        <f>--ISNUMBER(IFERROR(SEARCH('PLANILLA DJ'!$X$93,$A79,1),""))</f>
        <v>1</v>
      </c>
      <c r="CS79" s="207">
        <f>--ISNUMBER(IFERROR(SEARCH('PLANILLA DJ'!$X$94,$A79,1),""))</f>
        <v>1</v>
      </c>
      <c r="CT79" s="207">
        <f>--ISNUMBER(IFERROR(SEARCH('PLANILLA DJ'!$X$95,$A79,1),""))</f>
        <v>1</v>
      </c>
      <c r="CU79" s="207">
        <f>--ISNUMBER(IFERROR(SEARCH('PLANILLA DJ'!$X$96,$A79,1),""))</f>
        <v>1</v>
      </c>
      <c r="CV79" s="207">
        <f>--ISNUMBER(IFERROR(SEARCH('PLANILLA DJ'!$X$97,$A79,1),""))</f>
        <v>1</v>
      </c>
      <c r="CW79" s="207">
        <f>--ISNUMBER(IFERROR(SEARCH('PLANILLA DJ'!$X$98,$A79,1),""))</f>
        <v>1</v>
      </c>
      <c r="CX79" s="207">
        <f>--ISNUMBER(IFERROR(SEARCH('PLANILLA DJ'!$X$99,$A79,1),""))</f>
        <v>1</v>
      </c>
      <c r="CY79" s="207">
        <f>--ISNUMBER(IFERROR(SEARCH('PLANILLA DJ'!$X$100,$A79,1),""))</f>
        <v>1</v>
      </c>
      <c r="CZ79" s="207">
        <f>--ISNUMBER(IFERROR(SEARCH('PLANILLA DJ'!$X$101,$A79,1),""))</f>
        <v>1</v>
      </c>
      <c r="DA79" s="207">
        <f>--ISNUMBER(IFERROR(SEARCH('PLANILLA DJ'!$X$102,$A79,1),""))</f>
        <v>1</v>
      </c>
      <c r="DB79" s="206">
        <f>IF(F79=1,COUNTIF($F$2:F79,1),"")</f>
        <v>78</v>
      </c>
      <c r="DC79" s="206">
        <f>IF(G79=1,COUNTIF($G$2:G79,1),"")</f>
        <v>78</v>
      </c>
      <c r="DD79" s="206">
        <f>IF(H79=1,COUNTIF($H$2:H79,1),"")</f>
        <v>78</v>
      </c>
      <c r="DE79" s="206">
        <f>IF(I79=1,COUNTIF($I$2:I79,1),"")</f>
        <v>78</v>
      </c>
      <c r="DF79" s="206">
        <f>IF(J79=1,COUNTIF($J$2:J79,1),"")</f>
        <v>78</v>
      </c>
      <c r="DG79" s="206">
        <f>IF(K79=1,COUNTIF($K$2:K79,1),"")</f>
        <v>78</v>
      </c>
      <c r="DH79" s="206">
        <f>IF(L79=1,COUNTIF($L$2:L79,1),"")</f>
        <v>78</v>
      </c>
      <c r="DI79" s="206">
        <f>IF(M79=1,COUNTIF($M$2:M79,1),"")</f>
        <v>78</v>
      </c>
      <c r="DJ79" s="206">
        <f>IF(N79=1,COUNTIF($N$2:N79,1),"")</f>
        <v>78</v>
      </c>
      <c r="DK79" s="206">
        <f>IF(O79=1,COUNTIF($O$2:O79,1),"")</f>
        <v>78</v>
      </c>
      <c r="DL79" s="206">
        <f>IF(P79=1,COUNTIF($P$2:P79,1),"")</f>
        <v>78</v>
      </c>
      <c r="DM79" s="206">
        <f>IF(Q79=1,COUNTIF($Q$2:Q79,1),"")</f>
        <v>78</v>
      </c>
      <c r="DN79" s="207">
        <f>IF(R79=1,COUNTIF($R$2:R79,1),"")</f>
        <v>78</v>
      </c>
      <c r="DO79" s="207">
        <f>IF(S79=1,COUNTIF($S$2:S79,1),"")</f>
        <v>78</v>
      </c>
      <c r="DP79" s="207">
        <f>IF(T79=1,COUNTIF($T$2:T79,1),"")</f>
        <v>78</v>
      </c>
      <c r="DQ79" s="207">
        <f>IF(U79=1,COUNTIF($U$2:U79,1),"")</f>
        <v>78</v>
      </c>
      <c r="DR79" s="207">
        <f>IF(V79=1,COUNTIF($V$2:V79,1),"")</f>
        <v>78</v>
      </c>
      <c r="DS79" s="207">
        <f>IF(W79=1,COUNTIF($W$2:W79,1),"")</f>
        <v>78</v>
      </c>
      <c r="DT79" s="207">
        <f>IF(X79=1,COUNTIF($X$2:X79,1),"")</f>
        <v>78</v>
      </c>
      <c r="DU79" s="207">
        <f>IF(Y79=1,COUNTIF($Y$2:Y79,1),"")</f>
        <v>78</v>
      </c>
      <c r="DV79" s="207">
        <f>IF(Z79=1,COUNTIF(Z$2:Z79,1),"")</f>
        <v>78</v>
      </c>
      <c r="DW79" s="207">
        <f>IF(AA79=1,COUNTIF($AA$2:AA79,1),"")</f>
        <v>78</v>
      </c>
      <c r="DX79" s="207">
        <f>IF(AB79=1,COUNTIF($AB$2:AB79,1),"")</f>
        <v>78</v>
      </c>
      <c r="DY79" s="207">
        <f>IF(AC79=1,COUNTIF($AC$2:AC79,1),"")</f>
        <v>78</v>
      </c>
      <c r="DZ79" s="207">
        <f>IF(AD79=1,COUNTIF($AD$2:AD79,1),"")</f>
        <v>78</v>
      </c>
      <c r="EA79" s="207">
        <f>IF(AE79=1,COUNTIF($AE$2:AE79,1),"")</f>
        <v>78</v>
      </c>
      <c r="EB79" s="207">
        <f>IF(AF79=1,COUNTIF($AF$2:AF79,1),"")</f>
        <v>78</v>
      </c>
      <c r="EC79" s="207">
        <f>IF(AG79=1,COUNTIF($AG$2:AG79,1),"")</f>
        <v>78</v>
      </c>
      <c r="ED79" s="207">
        <f>IF(AH79=1,COUNTIF($AH$2:AH79,1),"")</f>
        <v>78</v>
      </c>
      <c r="EE79" s="207">
        <f>IF(AI79=1,COUNTIF($AI$2:AI79,1),"")</f>
        <v>78</v>
      </c>
      <c r="EF79" s="207">
        <f>IF(AJ79=1,COUNTIF($AJ$2:AJ79,1),"")</f>
        <v>78</v>
      </c>
      <c r="EG79" s="207">
        <f>IF(AK79=1,COUNTIF($AK$2:AK79,1),"")</f>
        <v>78</v>
      </c>
      <c r="EH79" s="207">
        <f>IF(AL79=1,COUNTIF($AL$2:AL79,1),"")</f>
        <v>78</v>
      </c>
      <c r="EI79" s="207">
        <f>IF(AM79=1,COUNTIF($AM$2:AM79,1),"")</f>
        <v>78</v>
      </c>
      <c r="EJ79" s="207">
        <f>IF(AN79=1,COUNTIF($AN$2:AN79,1),"")</f>
        <v>78</v>
      </c>
      <c r="EK79" s="207">
        <f>IF(AO79=1,COUNTIF($AO$2:AO79,1),"")</f>
        <v>78</v>
      </c>
      <c r="EL79" s="207">
        <f>IF(AP79=1,COUNTIF($AP$2:AP79,1),"")</f>
        <v>78</v>
      </c>
      <c r="EM79" s="207">
        <f>IF(AQ79=1,COUNTIF($AQ$2:AQ79,1),"")</f>
        <v>78</v>
      </c>
      <c r="EN79" s="207">
        <f>IF(AR79=1,COUNTIF($AR$2:AR79,1),"")</f>
        <v>78</v>
      </c>
      <c r="EO79" s="207">
        <f>IF(AS79=1,COUNTIF($AS$2:AS79,1),"")</f>
        <v>78</v>
      </c>
      <c r="EP79" s="207">
        <f>IF(AT79=1,COUNTIF($AT$2:AT79,1),"")</f>
        <v>78</v>
      </c>
      <c r="EQ79" s="207">
        <f>IF(AU79=1,COUNTIF($AU$2:AU79,1),"")</f>
        <v>78</v>
      </c>
      <c r="ER79" s="207">
        <f>IF(AV79=1,COUNTIF($AV$2:AV79,1),"")</f>
        <v>78</v>
      </c>
      <c r="ES79" s="207">
        <f>IF(AW79=1,COUNTIF($AW$2:AW79,1),"")</f>
        <v>78</v>
      </c>
      <c r="ET79" s="207">
        <f>IF(AX79=1,COUNTIF($AX$2:AX79,1),"")</f>
        <v>78</v>
      </c>
      <c r="EU79" s="207">
        <f>IF(AY79=1,COUNTIF($AY$2:AY79,1),"")</f>
        <v>78</v>
      </c>
      <c r="EV79" s="207">
        <f>IF(AZ79=1,COUNTIF($AZ$2:AZ79,1),"")</f>
        <v>78</v>
      </c>
      <c r="EW79" s="207">
        <f>IF(BA79=1,COUNTIF($BA$2:BA79,1),"")</f>
        <v>78</v>
      </c>
      <c r="EX79" s="207">
        <f>IF(BB79=1,COUNTIF($BB$2:BB79,1),"")</f>
        <v>78</v>
      </c>
      <c r="EY79" s="207">
        <f>IF(BC79=1,COUNTIF($BC$2:BC79,1),"")</f>
        <v>78</v>
      </c>
      <c r="EZ79" s="207">
        <f>IF(BD79=1,COUNTIF($BD$2:BD79,1),"")</f>
        <v>78</v>
      </c>
      <c r="FA79" s="207">
        <f>IF(BE79=1,COUNTIF($BE$2:BE79,1),"")</f>
        <v>78</v>
      </c>
      <c r="FB79" s="207">
        <f>IF(BF79=1,COUNTIF($BF$2:BF79,1),"")</f>
        <v>78</v>
      </c>
      <c r="FC79" s="207">
        <f>IF(BG79=1,COUNTIF($BG$2:BG79,1),"")</f>
        <v>78</v>
      </c>
      <c r="FD79" s="207">
        <f>IF(BH79=1,COUNTIF($BH$2:BH79,1),"")</f>
        <v>78</v>
      </c>
      <c r="FE79" s="207">
        <f>IF(BI79=1,COUNTIF($BI$2:BI79,1),"")</f>
        <v>78</v>
      </c>
      <c r="FF79" s="207">
        <f>IF(BJ79=1,COUNTIF($BJ$2:BJ79,1),"")</f>
        <v>78</v>
      </c>
      <c r="FG79" s="207">
        <f>IF(BK79=1,COUNTIF($BK$2:BK79,1),"")</f>
        <v>78</v>
      </c>
      <c r="FH79" s="207">
        <f>IF(BL79=1,COUNTIF($BL$2:BL79,1),"")</f>
        <v>78</v>
      </c>
      <c r="FI79" s="207">
        <f>IF(BM79=1,COUNTIF($BM$2:BM79,1),"")</f>
        <v>78</v>
      </c>
      <c r="FJ79" s="207">
        <f>IF(BN79=1,COUNTIF($BN$2:BN79,1),"")</f>
        <v>78</v>
      </c>
      <c r="FK79" s="207">
        <f>IF(BO79=1,COUNTIF($BO$2:BO79,1),"")</f>
        <v>78</v>
      </c>
      <c r="FL79" s="207">
        <f>IF(BP79=1,COUNTIF($BP$2:BP79,1),"")</f>
        <v>78</v>
      </c>
      <c r="FM79" s="207">
        <f>IF(BQ79=1,COUNTIF($BQ$2:BQ79,1),"")</f>
        <v>78</v>
      </c>
      <c r="FN79" s="207">
        <f>IF(BR79=1,COUNTIF($BR$2:BR79,1),"")</f>
        <v>78</v>
      </c>
      <c r="FO79" s="207">
        <f>IF(BS79=1,COUNTIF($BS$2:BS79,1),"")</f>
        <v>78</v>
      </c>
      <c r="FP79" s="207">
        <f>IF(BT79=1,COUNTIF($BT$2:BT79,1),"")</f>
        <v>78</v>
      </c>
      <c r="FQ79" s="207">
        <f>IF(BU79=1,COUNTIF($BU$2:BU79,1),"")</f>
        <v>78</v>
      </c>
      <c r="FR79" s="207">
        <f>IF(BV79=1,COUNTIF($BV$2:BV79,1),"")</f>
        <v>78</v>
      </c>
      <c r="FS79" s="207">
        <f>IF(BW79=1,COUNTIF($BW$2:BW79,1),"")</f>
        <v>78</v>
      </c>
      <c r="FT79" s="207">
        <f>IF(BX79=1,COUNTIF($BX$2:BX79,1),"")</f>
        <v>78</v>
      </c>
      <c r="FU79" s="207">
        <f>IF(BY79=1,COUNTIF($BY$2:BY79,1),"")</f>
        <v>78</v>
      </c>
      <c r="FV79" s="207">
        <f>IF(BZ79=1,COUNTIF($BZ$2:BZ79,1),"")</f>
        <v>78</v>
      </c>
      <c r="FW79" s="207">
        <f>IF(CA79=1,COUNTIF($CA$2:CA79,1),"")</f>
        <v>78</v>
      </c>
      <c r="FX79" s="207">
        <f>IF(CB79=1,COUNTIF($CB$2:CB79,1),"")</f>
        <v>78</v>
      </c>
      <c r="FY79" s="207">
        <f>IF(CC79=1,COUNTIF($CC$2:CC79,1),"")</f>
        <v>78</v>
      </c>
      <c r="FZ79" s="207">
        <f>IF(CD79=1,COUNTIF($CD$2:CD79,1),"")</f>
        <v>78</v>
      </c>
      <c r="GA79" s="207">
        <f>IF(CE79=1,COUNTIF($CE$2:CE79,1),"")</f>
        <v>78</v>
      </c>
      <c r="GB79" s="207">
        <f>IF(CF79=1,COUNTIF($CF$2:CF79,1),"")</f>
        <v>78</v>
      </c>
      <c r="GC79" s="207">
        <f>IF(CG79=1,COUNTIF($CG$2:CG79,1),"")</f>
        <v>78</v>
      </c>
      <c r="GD79" s="207">
        <f>IF(CH79=1,COUNTIF($CH$2:CH79,1),"")</f>
        <v>78</v>
      </c>
      <c r="GE79" s="207">
        <f>IF(CI79=1,COUNTIF($CI$2:CI79,1),"")</f>
        <v>78</v>
      </c>
      <c r="GF79" s="207">
        <f>IF(CJ79=1,COUNTIF($CJ$2:CJ79,1),"")</f>
        <v>78</v>
      </c>
      <c r="GG79" s="207">
        <f>IF(CK79=1,COUNTIF($CK$2:CK79,1),"")</f>
        <v>78</v>
      </c>
      <c r="GH79" s="207">
        <f>IF(CL79=1,COUNTIF($CL$2:CL79,1),"")</f>
        <v>78</v>
      </c>
      <c r="GI79" s="207">
        <f>IF(CM79=1,COUNTIF($CM$2:CM79,1),"")</f>
        <v>78</v>
      </c>
      <c r="GJ79" s="207">
        <f>IF(CN79=1,COUNTIF($CN$2:CN79,1),"")</f>
        <v>78</v>
      </c>
      <c r="GK79" s="207">
        <f>IF(CO79=1,COUNTIF($CO$2:CO79,1),"")</f>
        <v>78</v>
      </c>
      <c r="GL79" s="207">
        <f>IF(CP79=1,COUNTIF($CP$2:CP79,1),"")</f>
        <v>78</v>
      </c>
      <c r="GM79" s="207">
        <f>IF(CQ79=1,COUNTIF($CQ$2:CQ79,1),"")</f>
        <v>78</v>
      </c>
      <c r="GN79" s="207">
        <f>IF(CR79=1,COUNTIF($CR$2:CR79,1),"")</f>
        <v>78</v>
      </c>
      <c r="GO79" s="207">
        <f>IF(CS79=1,COUNTIF($CS$2:CS79,1),"")</f>
        <v>78</v>
      </c>
      <c r="GP79" s="207">
        <f>IF(CT79=1,COUNTIF($CT$2:CT79,1),"")</f>
        <v>78</v>
      </c>
      <c r="GQ79" s="207">
        <f>IF(CU79=1,COUNTIF($CU$2:CU79,1),"")</f>
        <v>78</v>
      </c>
      <c r="GR79" s="207">
        <f>IF(CV79=1,COUNTIF($CV$2:CV79,1),"")</f>
        <v>78</v>
      </c>
      <c r="GS79" s="207">
        <f>IF(CW79=1,COUNTIF($CW$2:CW79,1),"")</f>
        <v>78</v>
      </c>
      <c r="GT79" s="207">
        <f>IF(CX79=1,COUNTIF($CX$2:CX79,1),"")</f>
        <v>78</v>
      </c>
      <c r="GU79" s="207">
        <f>IF(CY79=1,COUNTIF($CY$2:CY79,1),"")</f>
        <v>78</v>
      </c>
      <c r="GV79" s="207">
        <f>IF(CZ79=1,COUNTIF($CZ$2:CZ79,1),"")</f>
        <v>78</v>
      </c>
      <c r="GW79" s="207">
        <f>IF(DA79=1,COUNTIF($DA$2:DA79,1),"")</f>
        <v>78</v>
      </c>
      <c r="GX79" s="206" t="str">
        <f>IFERROR(INDEX($A$2:$A$113,MATCH(ROWS($DB$2:DB79),$DB$2:$DB$113,0)),"")</f>
        <v>DELITOS CONTRA LOS PODERES PUBLICOS Y EL ORDEN CONSTITUCIONAL</v>
      </c>
      <c r="GY79" s="206" t="str">
        <f>IFERROR(INDEX($A$2:$A$113,MATCH(ROWS($DC$2:DC79),$DC$2:$DC$113,0)),"")</f>
        <v>DELITOS CONTRA LOS PODERES PUBLICOS Y EL ORDEN CONSTITUCIONAL</v>
      </c>
      <c r="GZ79" s="206" t="str">
        <f>IFERROR(INDEX($A$2:$A$113,MATCH(ROWS($DD$2:DD79),$DD$2:$DD$113,0)),"")</f>
        <v>DELITOS CONTRA LOS PODERES PUBLICOS Y EL ORDEN CONSTITUCIONAL</v>
      </c>
      <c r="HA79" s="206" t="str">
        <f>IFERROR(INDEX($A$2:$A$113,MATCH(ROWS($DE$2:DE79),$DE$2:$DE$113,0)),"")</f>
        <v>DELITOS CONTRA LOS PODERES PUBLICOS Y EL ORDEN CONSTITUCIONAL</v>
      </c>
      <c r="HB79" s="206" t="str">
        <f>IFERROR(INDEX($A$2:$A$113,MATCH(ROWS($DF$2:DF79),$DF$2:$DF$113,0)),"")</f>
        <v>DELITOS CONTRA LOS PODERES PUBLICOS Y EL ORDEN CONSTITUCIONAL</v>
      </c>
      <c r="HC79" s="206" t="str">
        <f>IFERROR(INDEX($A$2:$A$113,MATCH(ROWS($DG$2:DG79),$DG$2:$DG$113,0)),"")</f>
        <v>DELITOS CONTRA LOS PODERES PUBLICOS Y EL ORDEN CONSTITUCIONAL</v>
      </c>
      <c r="HD79" s="206" t="str">
        <f>IFERROR(INDEX($A$2:$A$113,MATCH(ROWS($DH$2:DH79),$DH$2:$DH$113,0)),"")</f>
        <v>DELITOS CONTRA LOS PODERES PUBLICOS Y EL ORDEN CONSTITUCIONAL</v>
      </c>
      <c r="HE79" s="206" t="str">
        <f>IFERROR(INDEX($A$2:$A$113,MATCH(ROWS($DI$2:DI79),$DI$2:$DI$113,0)),"")</f>
        <v>DELITOS CONTRA LOS PODERES PUBLICOS Y EL ORDEN CONSTITUCIONAL</v>
      </c>
      <c r="HF79" s="206" t="str">
        <f>IFERROR(INDEX($A$2:$A$113,MATCH(ROWS($DJ$2:DJ79),$DJ$2:$DJ$113,0)),"")</f>
        <v>DELITOS CONTRA LOS PODERES PUBLICOS Y EL ORDEN CONSTITUCIONAL</v>
      </c>
      <c r="HG79" s="206" t="str">
        <f>IFERROR(INDEX($A$2:$A$113,MATCH(ROWS($DK$2:DK79),$DK$2:$DK$113,0)),"")</f>
        <v>DELITOS CONTRA LOS PODERES PUBLICOS Y EL ORDEN CONSTITUCIONAL</v>
      </c>
      <c r="HH79" s="206" t="str">
        <f>IFERROR(INDEX($A$2:$A$113,MATCH(ROWS($DL$2:DL79),$DL$2:$DL$113,0)),"")</f>
        <v>DELITOS CONTRA LOS PODERES PUBLICOS Y EL ORDEN CONSTITUCIONAL</v>
      </c>
      <c r="HI79" s="206" t="str">
        <f>IFERROR(INDEX($A$2:$A$113,MATCH(ROWS($DM$2:DM79),$DM$2:$DM$113,0)),"")</f>
        <v>DELITOS CONTRA LOS PODERES PUBLICOS Y EL ORDEN CONSTITUCIONAL</v>
      </c>
      <c r="HJ79" s="206" t="str">
        <f>IFERROR(INDEX($A$2:$A$113,MATCH(ROWS($DN$2:DN79),$DN$2:$DN$113,0)),"")</f>
        <v>DELITOS CONTRA LOS PODERES PUBLICOS Y EL ORDEN CONSTITUCIONAL</v>
      </c>
      <c r="HK79" s="206" t="str">
        <f>IFERROR(INDEX($A$2:$A$113,MATCH(ROWS($DO$2:DO79),$DO$2:$DO$113,0)),"")</f>
        <v>DELITOS CONTRA LOS PODERES PUBLICOS Y EL ORDEN CONSTITUCIONAL</v>
      </c>
      <c r="HL79" s="206" t="str">
        <f>IFERROR(INDEX($A$2:$A$113,MATCH(ROWS($DP$2:DP79),$DP$2:$DP$113,0)),"")</f>
        <v>DELITOS CONTRA LOS PODERES PUBLICOS Y EL ORDEN CONSTITUCIONAL</v>
      </c>
      <c r="HM79" s="206" t="str">
        <f>IFERROR(INDEX($A$2:$A$113,MATCH(ROWS($DQ$2:DQ79),$DQ$2:$DQ$113,0)),"")</f>
        <v>DELITOS CONTRA LOS PODERES PUBLICOS Y EL ORDEN CONSTITUCIONAL</v>
      </c>
      <c r="HN79" s="206" t="str">
        <f>IFERROR(INDEX($A$2:$A$113,MATCH(ROWS($DR$2:DR79),$DR$2:$DR$113,0)),"")</f>
        <v>DELITOS CONTRA LOS PODERES PUBLICOS Y EL ORDEN CONSTITUCIONAL</v>
      </c>
      <c r="HO79" s="206" t="str">
        <f>IFERROR(INDEX($A$2:$A$113,MATCH(ROWS($DS$2:DS79),$DS$2:$DS$113,0)),"")</f>
        <v>DELITOS CONTRA LOS PODERES PUBLICOS Y EL ORDEN CONSTITUCIONAL</v>
      </c>
      <c r="HP79" s="206" t="str">
        <f>IFERROR(INDEX($A$2:$A$113,MATCH(ROWS($DT$2:DT79),$DT$2:$DT$113,0)),"")</f>
        <v>DELITOS CONTRA LOS PODERES PUBLICOS Y EL ORDEN CONSTITUCIONAL</v>
      </c>
      <c r="HQ79" s="206" t="str">
        <f>IFERROR(INDEX($A$2:$A$113,MATCH(ROWS($DU$2:DU79),$DU$2:$DU$113,0)),"")</f>
        <v>DELITOS CONTRA LOS PODERES PUBLICOS Y EL ORDEN CONSTITUCIONAL</v>
      </c>
      <c r="HR79" s="206" t="str">
        <f>IFERROR(INDEX($A$2:$A$113,MATCH(ROWS($DV$2:DV79),$DV$2:$DV$113,0)),"")</f>
        <v>DELITOS CONTRA LOS PODERES PUBLICOS Y EL ORDEN CONSTITUCIONAL</v>
      </c>
      <c r="HS79" s="206" t="str">
        <f>IFERROR(INDEX($A$2:$A$113,MATCH(ROWS($DW$2:DW79),$DW$2:$DW$113,0)),"")</f>
        <v>DELITOS CONTRA LOS PODERES PUBLICOS Y EL ORDEN CONSTITUCIONAL</v>
      </c>
      <c r="HT79" s="206" t="str">
        <f>IFERROR(INDEX($A$2:$A$113,MATCH(ROWS($DX$2:DX79),$DX$2:$DX$113,0)),"")</f>
        <v>DELITOS CONTRA LOS PODERES PUBLICOS Y EL ORDEN CONSTITUCIONAL</v>
      </c>
      <c r="HU79" s="206" t="str">
        <f>IFERROR(INDEX($A$2:$A$113,MATCH(ROWS($DY$2:DY79),$DY$2:$DY$113,0)),"")</f>
        <v>DELITOS CONTRA LOS PODERES PUBLICOS Y EL ORDEN CONSTITUCIONAL</v>
      </c>
      <c r="HV79" s="206" t="str">
        <f>IFERROR(INDEX($A$2:$A$113,MATCH(ROWS($DZ$2:DZ79),$DZ$2:$DZ$113,0)),"")</f>
        <v>DELITOS CONTRA LOS PODERES PUBLICOS Y EL ORDEN CONSTITUCIONAL</v>
      </c>
      <c r="HW79" s="206" t="str">
        <f>IFERROR(INDEX($A$2:$A$113,MATCH(ROWS($EA$2:EA79),$EA$2:$EA$113,0)),"")</f>
        <v>DELITOS CONTRA LOS PODERES PUBLICOS Y EL ORDEN CONSTITUCIONAL</v>
      </c>
      <c r="HX79" s="206" t="str">
        <f>IFERROR(INDEX($A$2:$A$113,MATCH(ROWS($EB$2:EB79),$EB$2:$EB$113,0)),"")</f>
        <v>DELITOS CONTRA LOS PODERES PUBLICOS Y EL ORDEN CONSTITUCIONAL</v>
      </c>
      <c r="HY79" s="206" t="str">
        <f>IFERROR(INDEX($A$2:$A$113,MATCH(ROWS($EC$2:EC79),$EC$2:$EC$113,0)),"")</f>
        <v>DELITOS CONTRA LOS PODERES PUBLICOS Y EL ORDEN CONSTITUCIONAL</v>
      </c>
      <c r="HZ79" s="206" t="str">
        <f>IFERROR(INDEX($A$2:$A$113,MATCH(ROWS($ED$2:ED79),$ED$2:$ED$113,0)),"")</f>
        <v>DELITOS CONTRA LOS PODERES PUBLICOS Y EL ORDEN CONSTITUCIONAL</v>
      </c>
      <c r="IA79" s="206" t="str">
        <f>IFERROR(INDEX($A$2:$A$113,MATCH(ROWS($EE$2:EE79),$EE$2:$EE$113,0)),"")</f>
        <v>DELITOS CONTRA LOS PODERES PUBLICOS Y EL ORDEN CONSTITUCIONAL</v>
      </c>
      <c r="IB79" s="206" t="str">
        <f>IFERROR(INDEX($A$2:$A$113,MATCH(ROWS($EF$2:EF79),$EF$2:$EF$113,0)),"")</f>
        <v>DELITOS CONTRA LOS PODERES PUBLICOS Y EL ORDEN CONSTITUCIONAL</v>
      </c>
      <c r="IC79" s="206" t="str">
        <f>IFERROR(INDEX($A$2:$A$113,MATCH(ROWS($EG$2:EG79),$EG$2:$EG$113,0)),"")</f>
        <v>DELITOS CONTRA LOS PODERES PUBLICOS Y EL ORDEN CONSTITUCIONAL</v>
      </c>
      <c r="ID79" s="206" t="str">
        <f>IFERROR(INDEX($A$2:$A$113,MATCH(ROWS($EH$2:EH79),$EH$2:$EH$113,0)),"")</f>
        <v>DELITOS CONTRA LOS PODERES PUBLICOS Y EL ORDEN CONSTITUCIONAL</v>
      </c>
      <c r="IE79" s="206" t="str">
        <f>IFERROR(INDEX($A$2:$A$113,MATCH(ROWS($EI$2:EI79),$EI$2:$EI$113,0)),"")</f>
        <v>DELITOS CONTRA LOS PODERES PUBLICOS Y EL ORDEN CONSTITUCIONAL</v>
      </c>
      <c r="IF79" s="206" t="str">
        <f>IFERROR(INDEX($A$2:$A$113,MATCH(ROWS($EJ$2:EJ79),$EJ$2:$EJ$113,0)),"")</f>
        <v>DELITOS CONTRA LOS PODERES PUBLICOS Y EL ORDEN CONSTITUCIONAL</v>
      </c>
      <c r="IG79" s="206" t="str">
        <f>IFERROR(INDEX($A$2:$A$113,MATCH(ROWS($EK$2:EK79),$EK$2:$EK$113,0)),"")</f>
        <v>DELITOS CONTRA LOS PODERES PUBLICOS Y EL ORDEN CONSTITUCIONAL</v>
      </c>
      <c r="IH79" s="206" t="str">
        <f>IFERROR(INDEX($A$2:$A$113,MATCH(ROWS($EL$2:EL79),$EL$2:$EL$113,0)),"")</f>
        <v>DELITOS CONTRA LOS PODERES PUBLICOS Y EL ORDEN CONSTITUCIONAL</v>
      </c>
      <c r="II79" s="206" t="str">
        <f>IFERROR(INDEX($A$2:$A$113,MATCH(ROWS($EM$2:EM79),$EM$2:$EM$113,0)),"")</f>
        <v>DELITOS CONTRA LOS PODERES PUBLICOS Y EL ORDEN CONSTITUCIONAL</v>
      </c>
      <c r="IJ79" s="206" t="str">
        <f>IFERROR(INDEX($A$2:$A$113,MATCH(ROWS($EN$2:EN79),$EN$2:$EN$113,0)),"")</f>
        <v>DELITOS CONTRA LOS PODERES PUBLICOS Y EL ORDEN CONSTITUCIONAL</v>
      </c>
      <c r="IK79" s="207" t="str">
        <f>IFERROR(INDEX($A$2:$A$113,MATCH(ROWS($EO$2:EO79),$EO$2:$EO$113,0)),"")</f>
        <v>DELITOS CONTRA LOS PODERES PUBLICOS Y EL ORDEN CONSTITUCIONAL</v>
      </c>
      <c r="IL79" s="207" t="str">
        <f>IFERROR(INDEX($A$2:$A$113,MATCH(ROWS($EP$2:EP79),$EP$2:$EP$113,0)),"")</f>
        <v>DELITOS CONTRA LOS PODERES PUBLICOS Y EL ORDEN CONSTITUCIONAL</v>
      </c>
      <c r="IM79" s="207" t="str">
        <f>IFERROR(INDEX($A$2:$A$113,MATCH(ROWS($EQ$2:EQ79),$EQ$2:$EQ$113,0)),"")</f>
        <v>DELITOS CONTRA LOS PODERES PUBLICOS Y EL ORDEN CONSTITUCIONAL</v>
      </c>
      <c r="IN79" s="207" t="str">
        <f>IFERROR(INDEX($A$2:$A$113,MATCH(ROWS($ER$2:ER79),$ER$2:$ER$113,0)),"")</f>
        <v>DELITOS CONTRA LOS PODERES PUBLICOS Y EL ORDEN CONSTITUCIONAL</v>
      </c>
      <c r="IO79" s="207" t="str">
        <f>IFERROR(INDEX($A$2:$A$113,MATCH(ROWS($ES$2:ES79),$ES$2:$ES$113,0)),"")</f>
        <v>DELITOS CONTRA LOS PODERES PUBLICOS Y EL ORDEN CONSTITUCIONAL</v>
      </c>
      <c r="IP79" s="207" t="str">
        <f>IFERROR(INDEX($A$2:$A$113,MATCH(ROWS($ET$2:ET79),$ET$2:$ET$113,0)),"")</f>
        <v>DELITOS CONTRA LOS PODERES PUBLICOS Y EL ORDEN CONSTITUCIONAL</v>
      </c>
      <c r="IQ79" s="207" t="str">
        <f>IFERROR(INDEX($A$2:$A$113,MATCH(ROWS($EU$2:EU79),$EU$2:$EU$113,0)),"")</f>
        <v>DELITOS CONTRA LOS PODERES PUBLICOS Y EL ORDEN CONSTITUCIONAL</v>
      </c>
      <c r="IR79" s="207" t="str">
        <f>IFERROR(INDEX($A$2:$A$113,MATCH(ROWS($EV$2:EV79),$EV$2:$EV$113,0)),"")</f>
        <v>DELITOS CONTRA LOS PODERES PUBLICOS Y EL ORDEN CONSTITUCIONAL</v>
      </c>
      <c r="IS79" s="207" t="str">
        <f>IFERROR(INDEX($A$2:$A$113,MATCH(ROWS($EW$2:EW79),$EW$2:$EW$113,0)),"")</f>
        <v>DELITOS CONTRA LOS PODERES PUBLICOS Y EL ORDEN CONSTITUCIONAL</v>
      </c>
      <c r="IT79" s="207" t="str">
        <f>IFERROR(INDEX($A$2:$A$113,MATCH(ROWS($EX$2:EX79),$EX$2:$EX$113,0)),"")</f>
        <v>DELITOS CONTRA LOS PODERES PUBLICOS Y EL ORDEN CONSTITUCIONAL</v>
      </c>
      <c r="IU79" s="207" t="str">
        <f>IFERROR(INDEX($A$2:$A$113,MATCH(ROWS($EY$2:EY79),$EY$2:$EY$113,0)),"")</f>
        <v>DELITOS CONTRA LOS PODERES PUBLICOS Y EL ORDEN CONSTITUCIONAL</v>
      </c>
      <c r="IV79" s="207" t="str">
        <f>IFERROR(INDEX($A$2:$A$113,MATCH(ROWS($EZ$2:EZ79),$EZ$2:$EZ$113,0)),"")</f>
        <v>DELITOS CONTRA LOS PODERES PUBLICOS Y EL ORDEN CONSTITUCIONAL</v>
      </c>
      <c r="IW79" s="207" t="str">
        <f>IFERROR(INDEX($A$2:$A$113,MATCH(ROWS($FA$2:FA79),$FA$2:$FA$113,0)),"")</f>
        <v>DELITOS CONTRA LOS PODERES PUBLICOS Y EL ORDEN CONSTITUCIONAL</v>
      </c>
      <c r="IX79" s="207" t="str">
        <f>IFERROR(INDEX($A$2:$A$113,MATCH(ROWS($FB$2:FB79),$FB$2:$FB$113,0)),"")</f>
        <v>DELITOS CONTRA LOS PODERES PUBLICOS Y EL ORDEN CONSTITUCIONAL</v>
      </c>
      <c r="IY79" s="207" t="str">
        <f>IFERROR(INDEX($A$2:$A$113,MATCH(ROWS($FC$2:FC79),$FC$2:$FC$113,0)),"")</f>
        <v>DELITOS CONTRA LOS PODERES PUBLICOS Y EL ORDEN CONSTITUCIONAL</v>
      </c>
      <c r="IZ79" s="207" t="str">
        <f>IFERROR(INDEX($A$2:$A$113,MATCH(ROWS($FD$2:FD79),$FD$2:$FD$113,0)),"")</f>
        <v>DELITOS CONTRA LOS PODERES PUBLICOS Y EL ORDEN CONSTITUCIONAL</v>
      </c>
      <c r="JA79" s="207" t="str">
        <f>IFERROR(INDEX($A$2:$A$113,MATCH(ROWS($FE$2:FE79),$FE$2:$FE$113,0)),"")</f>
        <v>DELITOS CONTRA LOS PODERES PUBLICOS Y EL ORDEN CONSTITUCIONAL</v>
      </c>
      <c r="JB79" s="207" t="str">
        <f>IFERROR(INDEX($A$2:$A$113,MATCH(ROWS($FF$2:FF79),$FF$2:$FF$113,0)),"")</f>
        <v>DELITOS CONTRA LOS PODERES PUBLICOS Y EL ORDEN CONSTITUCIONAL</v>
      </c>
      <c r="JC79" s="207" t="str">
        <f>IFERROR(INDEX($A$2:$A$113,MATCH(ROWS($FG$2:FG79),$FG$2:$FG$113,0)),"")</f>
        <v>DELITOS CONTRA LOS PODERES PUBLICOS Y EL ORDEN CONSTITUCIONAL</v>
      </c>
      <c r="JD79" s="207" t="str">
        <f>IFERROR(INDEX($A$2:$A$113,MATCH(ROWS($FH$2:FH79),$FH$2:$FH$113,0)),"")</f>
        <v>DELITOS CONTRA LOS PODERES PUBLICOS Y EL ORDEN CONSTITUCIONAL</v>
      </c>
      <c r="JE79" s="207" t="str">
        <f>IFERROR(INDEX($A$2:$A$113,MATCH(ROWS($FI$2:FI79),$FI$2:$FI$113,0)),"")</f>
        <v>DELITOS CONTRA LOS PODERES PUBLICOS Y EL ORDEN CONSTITUCIONAL</v>
      </c>
      <c r="JF79" s="207" t="str">
        <f>IFERROR(INDEX($A$2:$A$113,MATCH(ROWS($FJ$2:FJ79),$FJ$2:$FJ$113,0)),"")</f>
        <v>DELITOS CONTRA LOS PODERES PUBLICOS Y EL ORDEN CONSTITUCIONAL</v>
      </c>
      <c r="JG79" s="207" t="str">
        <f>IFERROR(INDEX($A$2:$A$113,MATCH(ROWS($FK$2:FK79),$FK$2:$FK$113,0)),"")</f>
        <v>DELITOS CONTRA LOS PODERES PUBLICOS Y EL ORDEN CONSTITUCIONAL</v>
      </c>
      <c r="JH79" s="207" t="str">
        <f>IFERROR(INDEX($A$2:$A$113,MATCH(ROWS($FL$2:FL79),$FL$2:$FL$113,0)),"")</f>
        <v>DELITOS CONTRA LOS PODERES PUBLICOS Y EL ORDEN CONSTITUCIONAL</v>
      </c>
      <c r="JI79" s="207" t="str">
        <f>IFERROR(INDEX($A$2:$A$113,MATCH(ROWS($FM$2:FM79),$FM$2:$FM$113,0)),"")</f>
        <v>DELITOS CONTRA LOS PODERES PUBLICOS Y EL ORDEN CONSTITUCIONAL</v>
      </c>
      <c r="JJ79" s="207" t="str">
        <f>IFERROR(INDEX($A$2:$A$113,MATCH(ROWS($FN$2:FN79),$FN$2:$FN$113,0)),"")</f>
        <v>DELITOS CONTRA LOS PODERES PUBLICOS Y EL ORDEN CONSTITUCIONAL</v>
      </c>
      <c r="JK79" s="207" t="str">
        <f>IFERROR(INDEX($A$2:$A$113,MATCH(ROWS($FO$2:FO79),$FO$2:$FO$113,0)),"")</f>
        <v>DELITOS CONTRA LOS PODERES PUBLICOS Y EL ORDEN CONSTITUCIONAL</v>
      </c>
      <c r="JL79" s="207" t="str">
        <f>IFERROR(INDEX($A$2:$A$113,MATCH(ROWS($FP$2:FP79),$FP$2:$FP$113,0)),"")</f>
        <v>DELITOS CONTRA LOS PODERES PUBLICOS Y EL ORDEN CONSTITUCIONAL</v>
      </c>
      <c r="JM79" s="207" t="str">
        <f>IFERROR(INDEX($A$2:$A$113,MATCH(ROWS($FQ$2:FQ79),$FQ$2:$FQ$113,0)),"")</f>
        <v>DELITOS CONTRA LOS PODERES PUBLICOS Y EL ORDEN CONSTITUCIONAL</v>
      </c>
      <c r="JN79" s="207" t="str">
        <f>IFERROR(INDEX($A$2:$A$113,MATCH(ROWS($FR$2:FR79),$FR$2:$FR$113,0)),"")</f>
        <v>DELITOS CONTRA LOS PODERES PUBLICOS Y EL ORDEN CONSTITUCIONAL</v>
      </c>
      <c r="JO79" s="207" t="str">
        <f>IFERROR(INDEX($A$2:$A$113,MATCH(ROWS($FS$2:FS79),$FS$2:$FS$113,0)),"")</f>
        <v>DELITOS CONTRA LOS PODERES PUBLICOS Y EL ORDEN CONSTITUCIONAL</v>
      </c>
      <c r="JP79" s="207" t="str">
        <f>IFERROR(INDEX($A$2:$A$113,MATCH(ROWS($FT$2:FT79),$FT$2:$FT$113,0)),"")</f>
        <v>DELITOS CONTRA LOS PODERES PUBLICOS Y EL ORDEN CONSTITUCIONAL</v>
      </c>
      <c r="JQ79" s="207" t="str">
        <f>IFERROR(INDEX($A$2:$A$113,MATCH(ROWS($FU$2:FU79),$FU$2:$FU$113,0)),"")</f>
        <v>DELITOS CONTRA LOS PODERES PUBLICOS Y EL ORDEN CONSTITUCIONAL</v>
      </c>
      <c r="JR79" s="207" t="str">
        <f>IFERROR(INDEX($A$2:$A$113,MATCH(ROWS($FV$2:FV79),$FV$2:$FV$113,0)),"")</f>
        <v>DELITOS CONTRA LOS PODERES PUBLICOS Y EL ORDEN CONSTITUCIONAL</v>
      </c>
      <c r="JS79" s="207" t="str">
        <f>IFERROR(INDEX($A$2:$A$113,MATCH(ROWS($FW$2:FW79),$FW$2:$FW$113,0)),"")</f>
        <v>DELITOS CONTRA LOS PODERES PUBLICOS Y EL ORDEN CONSTITUCIONAL</v>
      </c>
      <c r="JT79" s="207" t="str">
        <f>IFERROR(INDEX($A$2:$A$113,MATCH(ROWS($FX$2:FX79),$FX$2:$FX$113,0)),"")</f>
        <v>DELITOS CONTRA LOS PODERES PUBLICOS Y EL ORDEN CONSTITUCIONAL</v>
      </c>
      <c r="JU79" s="207" t="str">
        <f>IFERROR(INDEX($A$2:$A$113,MATCH(ROWS($FY$2:FY79),$FY$2:$FY$113,0)),"")</f>
        <v>DELITOS CONTRA LOS PODERES PUBLICOS Y EL ORDEN CONSTITUCIONAL</v>
      </c>
      <c r="JV79" s="207" t="str">
        <f>IFERROR(INDEX($A$2:$A$113,MATCH(ROWS($FZ$2:FZ79),$FZ$2:$FZ$113,0)),"")</f>
        <v>DELITOS CONTRA LOS PODERES PUBLICOS Y EL ORDEN CONSTITUCIONAL</v>
      </c>
      <c r="JW79" s="207" t="str">
        <f>IFERROR(INDEX($A$2:$A$113,MATCH(ROWS($GA$2:GA79),$GA$2:$GA$113,0)),"")</f>
        <v>DELITOS CONTRA LOS PODERES PUBLICOS Y EL ORDEN CONSTITUCIONAL</v>
      </c>
      <c r="JX79" s="207" t="str">
        <f>IFERROR(INDEX($A$2:$A$113,MATCH(ROWS($GB$2:GB79),$GB$2:$GB$113,0)),"")</f>
        <v>DELITOS CONTRA LOS PODERES PUBLICOS Y EL ORDEN CONSTITUCIONAL</v>
      </c>
      <c r="JY79" s="207" t="str">
        <f>IFERROR(INDEX($A$2:$A$113,MATCH(ROWS($GC$2:GC79),$GC$2:$GC$113,0)),"")</f>
        <v>DELITOS CONTRA LOS PODERES PUBLICOS Y EL ORDEN CONSTITUCIONAL</v>
      </c>
      <c r="JZ79" s="207" t="str">
        <f>IFERROR(INDEX($A$2:$A$113,MATCH(ROWS($GD$2:GD79),$GD$2:$GD$113,0)),"")</f>
        <v>DELITOS CONTRA LOS PODERES PUBLICOS Y EL ORDEN CONSTITUCIONAL</v>
      </c>
      <c r="KA79" s="207" t="str">
        <f>IFERROR(INDEX($A$2:$A$113,MATCH(ROWS($GE$2:GE79),$GE$2:$GE$113,0)),"")</f>
        <v>DELITOS CONTRA LOS PODERES PUBLICOS Y EL ORDEN CONSTITUCIONAL</v>
      </c>
      <c r="KB79" s="207" t="str">
        <f>IFERROR(INDEX($A$2:$A$113,MATCH(ROWS($GF$2:GF79),$GF$2:$GF$113,0)),"")</f>
        <v>DELITOS CONTRA LOS PODERES PUBLICOS Y EL ORDEN CONSTITUCIONAL</v>
      </c>
      <c r="KC79" s="207" t="str">
        <f>IFERROR(INDEX($A$2:$A$113,MATCH(ROWS($GG$2:GG79),$GG$2:$GG$113,0)),"")</f>
        <v>DELITOS CONTRA LOS PODERES PUBLICOS Y EL ORDEN CONSTITUCIONAL</v>
      </c>
      <c r="KD79" s="207" t="str">
        <f>IFERROR(INDEX($A$2:$A$113,MATCH(ROWS($GH$2:GH79),$GH$2:$GH$113,0)),"")</f>
        <v>DELITOS CONTRA LOS PODERES PUBLICOS Y EL ORDEN CONSTITUCIONAL</v>
      </c>
      <c r="KE79" s="207" t="str">
        <f>IFERROR(INDEX($A$2:$A$113,MATCH(ROWS($GI$2:GI79),$GI$2:$GI$113,0)),"")</f>
        <v>DELITOS CONTRA LOS PODERES PUBLICOS Y EL ORDEN CONSTITUCIONAL</v>
      </c>
      <c r="KF79" s="207" t="str">
        <f>IFERROR(INDEX($A$2:$A$113,MATCH(ROWS($GJ$2:GJ79),$GJ$2:$GJ$113,0)),"")</f>
        <v>DELITOS CONTRA LOS PODERES PUBLICOS Y EL ORDEN CONSTITUCIONAL</v>
      </c>
      <c r="KG79" s="207" t="str">
        <f>IFERROR(INDEX($A$2:$A$113,MATCH(ROWS($GK$2:GK79),$GK$2:$GK$113,0)),"")</f>
        <v>DELITOS CONTRA LOS PODERES PUBLICOS Y EL ORDEN CONSTITUCIONAL</v>
      </c>
      <c r="KH79" s="207" t="str">
        <f>IFERROR(INDEX($A$2:$A$113,MATCH(ROWS($GL$2:GL79),$GL$2:$GL$113,0)),"")</f>
        <v>DELITOS CONTRA LOS PODERES PUBLICOS Y EL ORDEN CONSTITUCIONAL</v>
      </c>
      <c r="KI79" s="207" t="str">
        <f>IFERROR(INDEX($A$2:$A$113,MATCH(ROWS($GM$2:GM79),$GM$2:$GM$113,0)),"")</f>
        <v>DELITOS CONTRA LOS PODERES PUBLICOS Y EL ORDEN CONSTITUCIONAL</v>
      </c>
      <c r="KJ79" s="207" t="str">
        <f>IFERROR(INDEX($A$2:$A$113,MATCH(ROWS($GN$2:GN79),$GN$2:$GN$113,0)),"")</f>
        <v>DELITOS CONTRA LOS PODERES PUBLICOS Y EL ORDEN CONSTITUCIONAL</v>
      </c>
      <c r="KK79" s="207" t="str">
        <f>IFERROR(INDEX($A$2:$A$113,MATCH(ROWS($GO$2:GO79),$GO$2:$GO$113,0)),"")</f>
        <v>DELITOS CONTRA LOS PODERES PUBLICOS Y EL ORDEN CONSTITUCIONAL</v>
      </c>
      <c r="KL79" s="207" t="str">
        <f>IFERROR(INDEX($A$2:$A$113,MATCH(ROWS($GP$2:GP79),$GP$2:$GP$113,0)),"")</f>
        <v>DELITOS CONTRA LOS PODERES PUBLICOS Y EL ORDEN CONSTITUCIONAL</v>
      </c>
      <c r="KM79" s="207" t="str">
        <f>IFERROR(INDEX($A$2:$A$113,MATCH(ROWS($GQ$2:GQ79),$GQ$2:$GQ$113,0)),"")</f>
        <v>DELITOS CONTRA LOS PODERES PUBLICOS Y EL ORDEN CONSTITUCIONAL</v>
      </c>
      <c r="KN79" s="207" t="str">
        <f>IFERROR(INDEX($A$2:$A$113,MATCH(ROWS($GR$2:GR79),$GR$2:$GR$113,0)),"")</f>
        <v>DELITOS CONTRA LOS PODERES PUBLICOS Y EL ORDEN CONSTITUCIONAL</v>
      </c>
      <c r="KO79" s="207" t="str">
        <f>IFERROR(INDEX($A$2:$A$113,MATCH(ROWS($GS$2:GS79),$GS$2:$GS$113,0)),"")</f>
        <v>DELITOS CONTRA LOS PODERES PUBLICOS Y EL ORDEN CONSTITUCIONAL</v>
      </c>
      <c r="KP79" s="207" t="str">
        <f>IFERROR(INDEX($A$2:$A$113,MATCH(ROWS($GT$2:GT79),$GT$2:$GT$113,0)),"")</f>
        <v>DELITOS CONTRA LOS PODERES PUBLICOS Y EL ORDEN CONSTITUCIONAL</v>
      </c>
      <c r="KQ79" s="207" t="str">
        <f>IFERROR(INDEX($A$2:$A$113,MATCH(ROWS($GU$2:GU79),$GU$2:$GU$113,0)),"")</f>
        <v>DELITOS CONTRA LOS PODERES PUBLICOS Y EL ORDEN CONSTITUCIONAL</v>
      </c>
      <c r="KR79" s="207" t="str">
        <f>IFERROR(INDEX($A$2:$A$113,MATCH(ROWS($GV$2:GV79),$GV$2:$GV$113,0)),"")</f>
        <v>DELITOS CONTRA LOS PODERES PUBLICOS Y EL ORDEN CONSTITUCIONAL</v>
      </c>
      <c r="KS79" s="207" t="str">
        <f>IFERROR(INDEX($A$2:$A$113,MATCH(ROWS($GW$2:GW79),$GW$2:$GW$113,0)),"")</f>
        <v>DELITOS CONTRA LOS PODERES PUBLICOS Y EL ORDEN CONSTITUCIONAL</v>
      </c>
    </row>
    <row r="80" spans="1:305" x14ac:dyDescent="0.25">
      <c r="A80" s="206" t="s">
        <v>20</v>
      </c>
      <c r="B80" s="206">
        <v>26</v>
      </c>
      <c r="D80" s="206" t="s">
        <v>20</v>
      </c>
      <c r="E80" s="206" t="s">
        <v>113</v>
      </c>
      <c r="F80" s="207">
        <f>--ISNUMBER(IFERROR(SEARCH('PLANILLA DJ'!$X$3,$A80,1),""))</f>
        <v>1</v>
      </c>
      <c r="G80" s="207">
        <f>--ISNUMBER(IFERROR(SEARCH('PLANILLA DJ'!$X$4,$A80,1),""))</f>
        <v>1</v>
      </c>
      <c r="H80" s="207">
        <f>--ISNUMBER(IFERROR(SEARCH('PLANILLA DJ'!$X$5,$A80,1),""))</f>
        <v>1</v>
      </c>
      <c r="I80" s="207">
        <f>--ISNUMBER(IFERROR(SEARCH('PLANILLA DJ'!$X$6,$A80,1),""))</f>
        <v>1</v>
      </c>
      <c r="J80" s="207">
        <f>--ISNUMBER(IFERROR(SEARCH('PLANILLA DJ'!$X$7,$A80,1),""))</f>
        <v>1</v>
      </c>
      <c r="K80" s="207">
        <f>--ISNUMBER(IFERROR(SEARCH('PLANILLA DJ'!$X$8,$A80,1),""))</f>
        <v>1</v>
      </c>
      <c r="L80" s="207">
        <f>--ISNUMBER(IFERROR(SEARCH('PLANILLA DJ'!$X$9,$A80,1),""))</f>
        <v>1</v>
      </c>
      <c r="M80" s="207">
        <f>--ISNUMBER(IFERROR(SEARCH('PLANILLA DJ'!$X$10,$A80,1),""))</f>
        <v>1</v>
      </c>
      <c r="N80" s="207">
        <f>--ISNUMBER(IFERROR(SEARCH('PLANILLA DJ'!$X$11,$A80,1),""))</f>
        <v>1</v>
      </c>
      <c r="O80" s="207">
        <f>--ISNUMBER(IFERROR(SEARCH('PLANILLA DJ'!$X$12,$A80,1),""))</f>
        <v>1</v>
      </c>
      <c r="P80" s="207">
        <f>--ISNUMBER(IFERROR(SEARCH('PLANILLA DJ'!$X$13,$A80,1),""))</f>
        <v>1</v>
      </c>
      <c r="Q80" s="207">
        <f>--ISNUMBER(IFERROR(SEARCH('PLANILLA DJ'!$X$14,$A80,1),""))</f>
        <v>1</v>
      </c>
      <c r="R80" s="207">
        <f>--ISNUMBER(IFERROR(SEARCH('PLANILLA DJ'!$X$15,$A80,1),""))</f>
        <v>1</v>
      </c>
      <c r="S80" s="207">
        <f>--ISNUMBER(IFERROR(SEARCH('PLANILLA DJ'!$X$16,$A80,1),""))</f>
        <v>1</v>
      </c>
      <c r="T80" s="207">
        <f>--ISNUMBER(IFERROR(SEARCH('PLANILLA DJ'!$X$17,$A80,1),""))</f>
        <v>1</v>
      </c>
      <c r="U80" s="207">
        <f>--ISNUMBER(IFERROR(SEARCH('PLANILLA DJ'!$X$18,$A80,1),""))</f>
        <v>1</v>
      </c>
      <c r="V80" s="207">
        <f>--ISNUMBER(IFERROR(SEARCH('PLANILLA DJ'!$X$19,$A80,1),""))</f>
        <v>1</v>
      </c>
      <c r="W80" s="207">
        <f>--ISNUMBER(IFERROR(SEARCH('PLANILLA DJ'!$X$20,$A80,1),""))</f>
        <v>1</v>
      </c>
      <c r="X80" s="207">
        <f>--ISNUMBER(IFERROR(SEARCH('PLANILLA DJ'!$X$21,$A80,1),""))</f>
        <v>1</v>
      </c>
      <c r="Y80" s="207">
        <f>--ISNUMBER(IFERROR(SEARCH('PLANILLA DJ'!$X$22,$A80,1),""))</f>
        <v>1</v>
      </c>
      <c r="Z80" s="207">
        <f>--ISNUMBER(IFERROR(SEARCH('PLANILLA DJ'!$X$23,$A80,1),""))</f>
        <v>1</v>
      </c>
      <c r="AA80" s="207">
        <f>--ISNUMBER(IFERROR(SEARCH('PLANILLA DJ'!$X$24,$A80,1),""))</f>
        <v>1</v>
      </c>
      <c r="AB80" s="207">
        <f>--ISNUMBER(IFERROR(SEARCH('PLANILLA DJ'!$X$25,$A80,1),""))</f>
        <v>1</v>
      </c>
      <c r="AC80" s="207">
        <f>--ISNUMBER(IFERROR(SEARCH('PLANILLA DJ'!$X$26,$A80,1),""))</f>
        <v>1</v>
      </c>
      <c r="AD80" s="207">
        <f>--ISNUMBER(IFERROR(SEARCH('PLANILLA DJ'!$X$27,$A80,1),""))</f>
        <v>1</v>
      </c>
      <c r="AE80" s="207">
        <f>--ISNUMBER(IFERROR(SEARCH('PLANILLA DJ'!$X$28,$A80,1),""))</f>
        <v>1</v>
      </c>
      <c r="AF80" s="207">
        <f>--ISNUMBER(IFERROR(SEARCH('PLANILLA DJ'!$X$29,$A80,1),""))</f>
        <v>1</v>
      </c>
      <c r="AG80" s="207">
        <f>--ISNUMBER(IFERROR(SEARCH('PLANILLA DJ'!$X$30,$A80,1),""))</f>
        <v>1</v>
      </c>
      <c r="AH80" s="207">
        <f>--ISNUMBER(IFERROR(SEARCH('PLANILLA DJ'!$X$31,$A80,1),""))</f>
        <v>1</v>
      </c>
      <c r="AI80" s="207">
        <f>--ISNUMBER(IFERROR(SEARCH('PLANILLA DJ'!$X$32,$A80,1),""))</f>
        <v>1</v>
      </c>
      <c r="AJ80" s="207">
        <f>--ISNUMBER(IFERROR(SEARCH('PLANILLA DJ'!$X$33,$A80,1),""))</f>
        <v>1</v>
      </c>
      <c r="AK80" s="207">
        <f>--ISNUMBER(IFERROR(SEARCH('PLANILLA DJ'!$X$34,$A80,1),""))</f>
        <v>1</v>
      </c>
      <c r="AL80" s="207">
        <f>--ISNUMBER(IFERROR(SEARCH('PLANILLA DJ'!$X$35,$A80,1),""))</f>
        <v>1</v>
      </c>
      <c r="AM80" s="207">
        <f>--ISNUMBER(IFERROR(SEARCH('PLANILLA DJ'!$X$36,$A80,1),""))</f>
        <v>1</v>
      </c>
      <c r="AN80" s="207">
        <f>--ISNUMBER(IFERROR(SEARCH('PLANILLA DJ'!$X$37,$A80,1),""))</f>
        <v>1</v>
      </c>
      <c r="AO80" s="207">
        <f>--ISNUMBER(IFERROR(SEARCH('PLANILLA DJ'!$X$38,$A80,1),""))</f>
        <v>1</v>
      </c>
      <c r="AP80" s="207">
        <f>--ISNUMBER(IFERROR(SEARCH('PLANILLA DJ'!$X$39,$A80,1),""))</f>
        <v>1</v>
      </c>
      <c r="AQ80" s="207">
        <f>--ISNUMBER(IFERROR(SEARCH('PLANILLA DJ'!$X$40,$A80,1),""))</f>
        <v>1</v>
      </c>
      <c r="AR80" s="207">
        <f>--ISNUMBER(IFERROR(SEARCH('PLANILLA DJ'!$X$41,$A80,1),""))</f>
        <v>1</v>
      </c>
      <c r="AS80" s="207">
        <f>--ISNUMBER(IFERROR(SEARCH('PLANILLA DJ'!$X$42,$A80,1),""))</f>
        <v>1</v>
      </c>
      <c r="AT80" s="207">
        <f>--ISNUMBER(IFERROR(SEARCH('PLANILLA DJ'!$X$43,$A80,1),""))</f>
        <v>1</v>
      </c>
      <c r="AU80" s="207">
        <f>--ISNUMBER(IFERROR(SEARCH('PLANILLA DJ'!$X$44,$A80,1),""))</f>
        <v>1</v>
      </c>
      <c r="AV80" s="207">
        <f>--ISNUMBER(IFERROR(SEARCH('PLANILLA DJ'!$X$45,$A80,1),""))</f>
        <v>1</v>
      </c>
      <c r="AW80" s="207">
        <f>--ISNUMBER(IFERROR(SEARCH('PLANILLA DJ'!$X$46,$A80,1),""))</f>
        <v>1</v>
      </c>
      <c r="AX80" s="207">
        <f>--ISNUMBER(IFERROR(SEARCH('PLANILLA DJ'!$X$47,$A80,1),""))</f>
        <v>1</v>
      </c>
      <c r="AY80" s="207">
        <f>--ISNUMBER(IFERROR(SEARCH('PLANILLA DJ'!$X$48,$A80,1),""))</f>
        <v>1</v>
      </c>
      <c r="AZ80" s="207">
        <f>--ISNUMBER(IFERROR(SEARCH('PLANILLA DJ'!$X$49,$A80,1),""))</f>
        <v>1</v>
      </c>
      <c r="BA80" s="207">
        <f>--ISNUMBER(IFERROR(SEARCH('PLANILLA DJ'!$X$50,$A80,1),""))</f>
        <v>1</v>
      </c>
      <c r="BB80" s="207">
        <f>--ISNUMBER(IFERROR(SEARCH('PLANILLA DJ'!$X$51,$A80,1),""))</f>
        <v>1</v>
      </c>
      <c r="BC80" s="207">
        <f>--ISNUMBER(IFERROR(SEARCH('PLANILLA DJ'!$X$52,$A80,1),""))</f>
        <v>1</v>
      </c>
      <c r="BD80" s="207">
        <f>--ISNUMBER(IFERROR(SEARCH('PLANILLA DJ'!$X$53,$A80,1),""))</f>
        <v>1</v>
      </c>
      <c r="BE80" s="207">
        <f>--ISNUMBER(IFERROR(SEARCH('PLANILLA DJ'!$X$54,$A80,1),""))</f>
        <v>1</v>
      </c>
      <c r="BF80" s="207">
        <f>--ISNUMBER(IFERROR(SEARCH('PLANILLA DJ'!$X$55,$A80,1),""))</f>
        <v>1</v>
      </c>
      <c r="BG80" s="207">
        <f>--ISNUMBER(IFERROR(SEARCH('PLANILLA DJ'!$X$56,$A80,1),""))</f>
        <v>1</v>
      </c>
      <c r="BH80" s="207">
        <f>--ISNUMBER(IFERROR(SEARCH('PLANILLA DJ'!$X$57,$A80,1),""))</f>
        <v>1</v>
      </c>
      <c r="BI80" s="207">
        <f>--ISNUMBER(IFERROR(SEARCH('PLANILLA DJ'!$X$58,$A80,1),""))</f>
        <v>1</v>
      </c>
      <c r="BJ80" s="207">
        <f>--ISNUMBER(IFERROR(SEARCH('PLANILLA DJ'!$X$59,$A80,1),""))</f>
        <v>1</v>
      </c>
      <c r="BK80" s="207">
        <f>--ISNUMBER(IFERROR(SEARCH('PLANILLA DJ'!$X$60,$A80,1),""))</f>
        <v>1</v>
      </c>
      <c r="BL80" s="207">
        <f>--ISNUMBER(IFERROR(SEARCH('PLANILLA DJ'!$X$61,$A80,1),""))</f>
        <v>1</v>
      </c>
      <c r="BM80" s="207">
        <f>--ISNUMBER(IFERROR(SEARCH('PLANILLA DJ'!$X$62,$A80,1),""))</f>
        <v>1</v>
      </c>
      <c r="BN80" s="207">
        <f>--ISNUMBER(IFERROR(SEARCH('PLANILLA DJ'!$X$63,$A80,1),""))</f>
        <v>1</v>
      </c>
      <c r="BO80" s="207">
        <f>--ISNUMBER(IFERROR(SEARCH('PLANILLA DJ'!$X$64,$A80,1),""))</f>
        <v>1</v>
      </c>
      <c r="BP80" s="207">
        <f>--ISNUMBER(IFERROR(SEARCH('PLANILLA DJ'!$X$65,$A80,1),""))</f>
        <v>1</v>
      </c>
      <c r="BQ80" s="207">
        <f>--ISNUMBER(IFERROR(SEARCH('PLANILLA DJ'!$X$66,$A80,1),""))</f>
        <v>1</v>
      </c>
      <c r="BR80" s="207">
        <f>--ISNUMBER(IFERROR(SEARCH('PLANILLA DJ'!$X$67,$A80,1),""))</f>
        <v>1</v>
      </c>
      <c r="BS80" s="207">
        <f>--ISNUMBER(IFERROR(SEARCH('PLANILLA DJ'!$X$68,$A80,1),""))</f>
        <v>1</v>
      </c>
      <c r="BT80" s="207">
        <f>--ISNUMBER(IFERROR(SEARCH('PLANILLA DJ'!$X$69,$A80,1),""))</f>
        <v>1</v>
      </c>
      <c r="BU80" s="207">
        <f>--ISNUMBER(IFERROR(SEARCH('PLANILLA DJ'!$X$70,$A80,1),""))</f>
        <v>1</v>
      </c>
      <c r="BV80" s="207">
        <f>--ISNUMBER(IFERROR(SEARCH('PLANILLA DJ'!$X$71,$A80,1),""))</f>
        <v>1</v>
      </c>
      <c r="BW80" s="207">
        <f>--ISNUMBER(IFERROR(SEARCH('PLANILLA DJ'!$X$72,$A80,1),""))</f>
        <v>1</v>
      </c>
      <c r="BX80" s="207">
        <f>--ISNUMBER(IFERROR(SEARCH('PLANILLA DJ'!$X$73,$A80,1),""))</f>
        <v>1</v>
      </c>
      <c r="BY80" s="207">
        <f>--ISNUMBER(IFERROR(SEARCH('PLANILLA DJ'!$X$74,$A80,1),""))</f>
        <v>1</v>
      </c>
      <c r="BZ80" s="207">
        <f>--ISNUMBER(IFERROR(SEARCH('PLANILLA DJ'!$X$75,$A80,1),""))</f>
        <v>1</v>
      </c>
      <c r="CA80" s="207">
        <f>--ISNUMBER(IFERROR(SEARCH('PLANILLA DJ'!$X$76,$A80,1),""))</f>
        <v>1</v>
      </c>
      <c r="CB80" s="207">
        <f>--ISNUMBER(IFERROR(SEARCH('PLANILLA DJ'!$X$77,$A80,1),""))</f>
        <v>1</v>
      </c>
      <c r="CC80" s="207">
        <f>--ISNUMBER(IFERROR(SEARCH('PLANILLA DJ'!$X$78,$A80,1),""))</f>
        <v>1</v>
      </c>
      <c r="CD80" s="207">
        <f>--ISNUMBER(IFERROR(SEARCH('PLANILLA DJ'!$X$79,$A80,1),""))</f>
        <v>1</v>
      </c>
      <c r="CE80" s="207">
        <f>--ISNUMBER(IFERROR(SEARCH('PLANILLA DJ'!$X$80,$A80,1),""))</f>
        <v>1</v>
      </c>
      <c r="CF80" s="207">
        <f>--ISNUMBER(IFERROR(SEARCH('PLANILLA DJ'!$X$81,$A80,1),""))</f>
        <v>1</v>
      </c>
      <c r="CG80" s="207">
        <f>--ISNUMBER(IFERROR(SEARCH('PLANILLA DJ'!$X$82,$A80,1),""))</f>
        <v>1</v>
      </c>
      <c r="CH80" s="207">
        <f>--ISNUMBER(IFERROR(SEARCH('PLANILLA DJ'!$X$83,$A80,1),""))</f>
        <v>1</v>
      </c>
      <c r="CI80" s="207">
        <f>--ISNUMBER(IFERROR(SEARCH('PLANILLA DJ'!$X$84,$A80,1),""))</f>
        <v>1</v>
      </c>
      <c r="CJ80" s="207">
        <f>--ISNUMBER(IFERROR(SEARCH('PLANILLA DJ'!$X$85,$A80,1),""))</f>
        <v>1</v>
      </c>
      <c r="CK80" s="207">
        <f>--ISNUMBER(IFERROR(SEARCH('PLANILLA DJ'!$X$86,$A80,1),""))</f>
        <v>1</v>
      </c>
      <c r="CL80" s="207">
        <f>--ISNUMBER(IFERROR(SEARCH('PLANILLA DJ'!$X$87,$A80,1),""))</f>
        <v>1</v>
      </c>
      <c r="CM80" s="207">
        <f>--ISNUMBER(IFERROR(SEARCH('PLANILLA DJ'!$X$88,$A80,1),""))</f>
        <v>1</v>
      </c>
      <c r="CN80" s="207">
        <f>--ISNUMBER(IFERROR(SEARCH('PLANILLA DJ'!$X$89,$A80,1),""))</f>
        <v>1</v>
      </c>
      <c r="CO80" s="207">
        <f>--ISNUMBER(IFERROR(SEARCH('PLANILLA DJ'!$X$90,$A80,1),""))</f>
        <v>1</v>
      </c>
      <c r="CP80" s="207">
        <f>--ISNUMBER(IFERROR(SEARCH('PLANILLA DJ'!$X$91,$A80,1),""))</f>
        <v>1</v>
      </c>
      <c r="CQ80" s="207">
        <f>--ISNUMBER(IFERROR(SEARCH('PLANILLA DJ'!$X$92,$A80,1),""))</f>
        <v>1</v>
      </c>
      <c r="CR80" s="207">
        <f>--ISNUMBER(IFERROR(SEARCH('PLANILLA DJ'!$X$93,$A80,1),""))</f>
        <v>1</v>
      </c>
      <c r="CS80" s="207">
        <f>--ISNUMBER(IFERROR(SEARCH('PLANILLA DJ'!$X$94,$A80,1),""))</f>
        <v>1</v>
      </c>
      <c r="CT80" s="207">
        <f>--ISNUMBER(IFERROR(SEARCH('PLANILLA DJ'!$X$95,$A80,1),""))</f>
        <v>1</v>
      </c>
      <c r="CU80" s="207">
        <f>--ISNUMBER(IFERROR(SEARCH('PLANILLA DJ'!$X$96,$A80,1),""))</f>
        <v>1</v>
      </c>
      <c r="CV80" s="207">
        <f>--ISNUMBER(IFERROR(SEARCH('PLANILLA DJ'!$X$97,$A80,1),""))</f>
        <v>1</v>
      </c>
      <c r="CW80" s="207">
        <f>--ISNUMBER(IFERROR(SEARCH('PLANILLA DJ'!$X$98,$A80,1),""))</f>
        <v>1</v>
      </c>
      <c r="CX80" s="207">
        <f>--ISNUMBER(IFERROR(SEARCH('PLANILLA DJ'!$X$99,$A80,1),""))</f>
        <v>1</v>
      </c>
      <c r="CY80" s="207">
        <f>--ISNUMBER(IFERROR(SEARCH('PLANILLA DJ'!$X$100,$A80,1),""))</f>
        <v>1</v>
      </c>
      <c r="CZ80" s="207">
        <f>--ISNUMBER(IFERROR(SEARCH('PLANILLA DJ'!$X$101,$A80,1),""))</f>
        <v>1</v>
      </c>
      <c r="DA80" s="207">
        <f>--ISNUMBER(IFERROR(SEARCH('PLANILLA DJ'!$X$102,$A80,1),""))</f>
        <v>1</v>
      </c>
      <c r="DB80" s="206">
        <f>IF(F80=1,COUNTIF($F$2:F80,1),"")</f>
        <v>79</v>
      </c>
      <c r="DC80" s="206">
        <f>IF(G80=1,COUNTIF($G$2:G80,1),"")</f>
        <v>79</v>
      </c>
      <c r="DD80" s="206">
        <f>IF(H80=1,COUNTIF($H$2:H80,1),"")</f>
        <v>79</v>
      </c>
      <c r="DE80" s="206">
        <f>IF(I80=1,COUNTIF($I$2:I80,1),"")</f>
        <v>79</v>
      </c>
      <c r="DF80" s="206">
        <f>IF(J80=1,COUNTIF($J$2:J80,1),"")</f>
        <v>79</v>
      </c>
      <c r="DG80" s="206">
        <f>IF(K80=1,COUNTIF($K$2:K80,1),"")</f>
        <v>79</v>
      </c>
      <c r="DH80" s="206">
        <f>IF(L80=1,COUNTIF($L$2:L80,1),"")</f>
        <v>79</v>
      </c>
      <c r="DI80" s="206">
        <f>IF(M80=1,COUNTIF($M$2:M80,1),"")</f>
        <v>79</v>
      </c>
      <c r="DJ80" s="206">
        <f>IF(N80=1,COUNTIF($N$2:N80,1),"")</f>
        <v>79</v>
      </c>
      <c r="DK80" s="206">
        <f>IF(O80=1,COUNTIF($O$2:O80,1),"")</f>
        <v>79</v>
      </c>
      <c r="DL80" s="206">
        <f>IF(P80=1,COUNTIF($P$2:P80,1),"")</f>
        <v>79</v>
      </c>
      <c r="DM80" s="206">
        <f>IF(Q80=1,COUNTIF($Q$2:Q80,1),"")</f>
        <v>79</v>
      </c>
      <c r="DN80" s="207">
        <f>IF(R80=1,COUNTIF($R$2:R80,1),"")</f>
        <v>79</v>
      </c>
      <c r="DO80" s="207">
        <f>IF(S80=1,COUNTIF($S$2:S80,1),"")</f>
        <v>79</v>
      </c>
      <c r="DP80" s="207">
        <f>IF(T80=1,COUNTIF($T$2:T80,1),"")</f>
        <v>79</v>
      </c>
      <c r="DQ80" s="207">
        <f>IF(U80=1,COUNTIF($U$2:U80,1),"")</f>
        <v>79</v>
      </c>
      <c r="DR80" s="207">
        <f>IF(V80=1,COUNTIF($V$2:V80,1),"")</f>
        <v>79</v>
      </c>
      <c r="DS80" s="207">
        <f>IF(W80=1,COUNTIF($W$2:W80,1),"")</f>
        <v>79</v>
      </c>
      <c r="DT80" s="207">
        <f>IF(X80=1,COUNTIF($X$2:X80,1),"")</f>
        <v>79</v>
      </c>
      <c r="DU80" s="207">
        <f>IF(Y80=1,COUNTIF($Y$2:Y80,1),"")</f>
        <v>79</v>
      </c>
      <c r="DV80" s="207">
        <f>IF(Z80=1,COUNTIF(Z$2:Z80,1),"")</f>
        <v>79</v>
      </c>
      <c r="DW80" s="207">
        <f>IF(AA80=1,COUNTIF($AA$2:AA80,1),"")</f>
        <v>79</v>
      </c>
      <c r="DX80" s="207">
        <f>IF(AB80=1,COUNTIF($AB$2:AB80,1),"")</f>
        <v>79</v>
      </c>
      <c r="DY80" s="207">
        <f>IF(AC80=1,COUNTIF($AC$2:AC80,1),"")</f>
        <v>79</v>
      </c>
      <c r="DZ80" s="207">
        <f>IF(AD80=1,COUNTIF($AD$2:AD80,1),"")</f>
        <v>79</v>
      </c>
      <c r="EA80" s="207">
        <f>IF(AE80=1,COUNTIF($AE$2:AE80,1),"")</f>
        <v>79</v>
      </c>
      <c r="EB80" s="207">
        <f>IF(AF80=1,COUNTIF($AF$2:AF80,1),"")</f>
        <v>79</v>
      </c>
      <c r="EC80" s="207">
        <f>IF(AG80=1,COUNTIF($AG$2:AG80,1),"")</f>
        <v>79</v>
      </c>
      <c r="ED80" s="207">
        <f>IF(AH80=1,COUNTIF($AH$2:AH80,1),"")</f>
        <v>79</v>
      </c>
      <c r="EE80" s="207">
        <f>IF(AI80=1,COUNTIF($AI$2:AI80,1),"")</f>
        <v>79</v>
      </c>
      <c r="EF80" s="207">
        <f>IF(AJ80=1,COUNTIF($AJ$2:AJ80,1),"")</f>
        <v>79</v>
      </c>
      <c r="EG80" s="207">
        <f>IF(AK80=1,COUNTIF($AK$2:AK80,1),"")</f>
        <v>79</v>
      </c>
      <c r="EH80" s="207">
        <f>IF(AL80=1,COUNTIF($AL$2:AL80,1),"")</f>
        <v>79</v>
      </c>
      <c r="EI80" s="207">
        <f>IF(AM80=1,COUNTIF($AM$2:AM80,1),"")</f>
        <v>79</v>
      </c>
      <c r="EJ80" s="207">
        <f>IF(AN80=1,COUNTIF($AN$2:AN80,1),"")</f>
        <v>79</v>
      </c>
      <c r="EK80" s="207">
        <f>IF(AO80=1,COUNTIF($AO$2:AO80,1),"")</f>
        <v>79</v>
      </c>
      <c r="EL80" s="207">
        <f>IF(AP80=1,COUNTIF($AP$2:AP80,1),"")</f>
        <v>79</v>
      </c>
      <c r="EM80" s="207">
        <f>IF(AQ80=1,COUNTIF($AQ$2:AQ80,1),"")</f>
        <v>79</v>
      </c>
      <c r="EN80" s="207">
        <f>IF(AR80=1,COUNTIF($AR$2:AR80,1),"")</f>
        <v>79</v>
      </c>
      <c r="EO80" s="207">
        <f>IF(AS80=1,COUNTIF($AS$2:AS80,1),"")</f>
        <v>79</v>
      </c>
      <c r="EP80" s="207">
        <f>IF(AT80=1,COUNTIF($AT$2:AT80,1),"")</f>
        <v>79</v>
      </c>
      <c r="EQ80" s="207">
        <f>IF(AU80=1,COUNTIF($AU$2:AU80,1),"")</f>
        <v>79</v>
      </c>
      <c r="ER80" s="207">
        <f>IF(AV80=1,COUNTIF($AV$2:AV80,1),"")</f>
        <v>79</v>
      </c>
      <c r="ES80" s="207">
        <f>IF(AW80=1,COUNTIF($AW$2:AW80,1),"")</f>
        <v>79</v>
      </c>
      <c r="ET80" s="207">
        <f>IF(AX80=1,COUNTIF($AX$2:AX80,1),"")</f>
        <v>79</v>
      </c>
      <c r="EU80" s="207">
        <f>IF(AY80=1,COUNTIF($AY$2:AY80,1),"")</f>
        <v>79</v>
      </c>
      <c r="EV80" s="207">
        <f>IF(AZ80=1,COUNTIF($AZ$2:AZ80,1),"")</f>
        <v>79</v>
      </c>
      <c r="EW80" s="207">
        <f>IF(BA80=1,COUNTIF($BA$2:BA80,1),"")</f>
        <v>79</v>
      </c>
      <c r="EX80" s="207">
        <f>IF(BB80=1,COUNTIF($BB$2:BB80,1),"")</f>
        <v>79</v>
      </c>
      <c r="EY80" s="207">
        <f>IF(BC80=1,COUNTIF($BC$2:BC80,1),"")</f>
        <v>79</v>
      </c>
      <c r="EZ80" s="207">
        <f>IF(BD80=1,COUNTIF($BD$2:BD80,1),"")</f>
        <v>79</v>
      </c>
      <c r="FA80" s="207">
        <f>IF(BE80=1,COUNTIF($BE$2:BE80,1),"")</f>
        <v>79</v>
      </c>
      <c r="FB80" s="207">
        <f>IF(BF80=1,COUNTIF($BF$2:BF80,1),"")</f>
        <v>79</v>
      </c>
      <c r="FC80" s="207">
        <f>IF(BG80=1,COUNTIF($BG$2:BG80,1),"")</f>
        <v>79</v>
      </c>
      <c r="FD80" s="207">
        <f>IF(BH80=1,COUNTIF($BH$2:BH80,1),"")</f>
        <v>79</v>
      </c>
      <c r="FE80" s="207">
        <f>IF(BI80=1,COUNTIF($BI$2:BI80,1),"")</f>
        <v>79</v>
      </c>
      <c r="FF80" s="207">
        <f>IF(BJ80=1,COUNTIF($BJ$2:BJ80,1),"")</f>
        <v>79</v>
      </c>
      <c r="FG80" s="207">
        <f>IF(BK80=1,COUNTIF($BK$2:BK80,1),"")</f>
        <v>79</v>
      </c>
      <c r="FH80" s="207">
        <f>IF(BL80=1,COUNTIF($BL$2:BL80,1),"")</f>
        <v>79</v>
      </c>
      <c r="FI80" s="207">
        <f>IF(BM80=1,COUNTIF($BM$2:BM80,1),"")</f>
        <v>79</v>
      </c>
      <c r="FJ80" s="207">
        <f>IF(BN80=1,COUNTIF($BN$2:BN80,1),"")</f>
        <v>79</v>
      </c>
      <c r="FK80" s="207">
        <f>IF(BO80=1,COUNTIF($BO$2:BO80,1),"")</f>
        <v>79</v>
      </c>
      <c r="FL80" s="207">
        <f>IF(BP80=1,COUNTIF($BP$2:BP80,1),"")</f>
        <v>79</v>
      </c>
      <c r="FM80" s="207">
        <f>IF(BQ80=1,COUNTIF($BQ$2:BQ80,1),"")</f>
        <v>79</v>
      </c>
      <c r="FN80" s="207">
        <f>IF(BR80=1,COUNTIF($BR$2:BR80,1),"")</f>
        <v>79</v>
      </c>
      <c r="FO80" s="207">
        <f>IF(BS80=1,COUNTIF($BS$2:BS80,1),"")</f>
        <v>79</v>
      </c>
      <c r="FP80" s="207">
        <f>IF(BT80=1,COUNTIF($BT$2:BT80,1),"")</f>
        <v>79</v>
      </c>
      <c r="FQ80" s="207">
        <f>IF(BU80=1,COUNTIF($BU$2:BU80,1),"")</f>
        <v>79</v>
      </c>
      <c r="FR80" s="207">
        <f>IF(BV80=1,COUNTIF($BV$2:BV80,1),"")</f>
        <v>79</v>
      </c>
      <c r="FS80" s="207">
        <f>IF(BW80=1,COUNTIF($BW$2:BW80,1),"")</f>
        <v>79</v>
      </c>
      <c r="FT80" s="207">
        <f>IF(BX80=1,COUNTIF($BX$2:BX80,1),"")</f>
        <v>79</v>
      </c>
      <c r="FU80" s="207">
        <f>IF(BY80=1,COUNTIF($BY$2:BY80,1),"")</f>
        <v>79</v>
      </c>
      <c r="FV80" s="207">
        <f>IF(BZ80=1,COUNTIF($BZ$2:BZ80,1),"")</f>
        <v>79</v>
      </c>
      <c r="FW80" s="207">
        <f>IF(CA80=1,COUNTIF($CA$2:CA80,1),"")</f>
        <v>79</v>
      </c>
      <c r="FX80" s="207">
        <f>IF(CB80=1,COUNTIF($CB$2:CB80,1),"")</f>
        <v>79</v>
      </c>
      <c r="FY80" s="207">
        <f>IF(CC80=1,COUNTIF($CC$2:CC80,1),"")</f>
        <v>79</v>
      </c>
      <c r="FZ80" s="207">
        <f>IF(CD80=1,COUNTIF($CD$2:CD80,1),"")</f>
        <v>79</v>
      </c>
      <c r="GA80" s="207">
        <f>IF(CE80=1,COUNTIF($CE$2:CE80,1),"")</f>
        <v>79</v>
      </c>
      <c r="GB80" s="207">
        <f>IF(CF80=1,COUNTIF($CF$2:CF80,1),"")</f>
        <v>79</v>
      </c>
      <c r="GC80" s="207">
        <f>IF(CG80=1,COUNTIF($CG$2:CG80,1),"")</f>
        <v>79</v>
      </c>
      <c r="GD80" s="207">
        <f>IF(CH80=1,COUNTIF($CH$2:CH80,1),"")</f>
        <v>79</v>
      </c>
      <c r="GE80" s="207">
        <f>IF(CI80=1,COUNTIF($CI$2:CI80,1),"")</f>
        <v>79</v>
      </c>
      <c r="GF80" s="207">
        <f>IF(CJ80=1,COUNTIF($CJ$2:CJ80,1),"")</f>
        <v>79</v>
      </c>
      <c r="GG80" s="207">
        <f>IF(CK80=1,COUNTIF($CK$2:CK80,1),"")</f>
        <v>79</v>
      </c>
      <c r="GH80" s="207">
        <f>IF(CL80=1,COUNTIF($CL$2:CL80,1),"")</f>
        <v>79</v>
      </c>
      <c r="GI80" s="207">
        <f>IF(CM80=1,COUNTIF($CM$2:CM80,1),"")</f>
        <v>79</v>
      </c>
      <c r="GJ80" s="207">
        <f>IF(CN80=1,COUNTIF($CN$2:CN80,1),"")</f>
        <v>79</v>
      </c>
      <c r="GK80" s="207">
        <f>IF(CO80=1,COUNTIF($CO$2:CO80,1),"")</f>
        <v>79</v>
      </c>
      <c r="GL80" s="207">
        <f>IF(CP80=1,COUNTIF($CP$2:CP80,1),"")</f>
        <v>79</v>
      </c>
      <c r="GM80" s="207">
        <f>IF(CQ80=1,COUNTIF($CQ$2:CQ80,1),"")</f>
        <v>79</v>
      </c>
      <c r="GN80" s="207">
        <f>IF(CR80=1,COUNTIF($CR$2:CR80,1),"")</f>
        <v>79</v>
      </c>
      <c r="GO80" s="207">
        <f>IF(CS80=1,COUNTIF($CS$2:CS80,1),"")</f>
        <v>79</v>
      </c>
      <c r="GP80" s="207">
        <f>IF(CT80=1,COUNTIF($CT$2:CT80,1),"")</f>
        <v>79</v>
      </c>
      <c r="GQ80" s="207">
        <f>IF(CU80=1,COUNTIF($CU$2:CU80,1),"")</f>
        <v>79</v>
      </c>
      <c r="GR80" s="207">
        <f>IF(CV80=1,COUNTIF($CV$2:CV80,1),"")</f>
        <v>79</v>
      </c>
      <c r="GS80" s="207">
        <f>IF(CW80=1,COUNTIF($CW$2:CW80,1),"")</f>
        <v>79</v>
      </c>
      <c r="GT80" s="207">
        <f>IF(CX80=1,COUNTIF($CX$2:CX80,1),"")</f>
        <v>79</v>
      </c>
      <c r="GU80" s="207">
        <f>IF(CY80=1,COUNTIF($CY$2:CY80,1),"")</f>
        <v>79</v>
      </c>
      <c r="GV80" s="207">
        <f>IF(CZ80=1,COUNTIF($CZ$2:CZ80,1),"")</f>
        <v>79</v>
      </c>
      <c r="GW80" s="207">
        <f>IF(DA80=1,COUNTIF($DA$2:DA80,1),"")</f>
        <v>79</v>
      </c>
      <c r="GX80" s="206" t="str">
        <f>IFERROR(INDEX($A$2:$A$113,MATCH(ROWS($DB$2:DB80),$DB$2:$DB$113,0)),"")</f>
        <v xml:space="preserve">ATENTADO Y RESISTENCIA CONTRA LA AUTORIDAD </v>
      </c>
      <c r="GY80" s="206" t="str">
        <f>IFERROR(INDEX($A$2:$A$113,MATCH(ROWS($DC$2:DC80),$DC$2:$DC$113,0)),"")</f>
        <v xml:space="preserve">ATENTADO Y RESISTENCIA CONTRA LA AUTORIDAD </v>
      </c>
      <c r="GZ80" s="206" t="str">
        <f>IFERROR(INDEX($A$2:$A$113,MATCH(ROWS($DD$2:DD80),$DD$2:$DD$113,0)),"")</f>
        <v xml:space="preserve">ATENTADO Y RESISTENCIA CONTRA LA AUTORIDAD </v>
      </c>
      <c r="HA80" s="206" t="str">
        <f>IFERROR(INDEX($A$2:$A$113,MATCH(ROWS($DE$2:DE80),$DE$2:$DE$113,0)),"")</f>
        <v xml:space="preserve">ATENTADO Y RESISTENCIA CONTRA LA AUTORIDAD </v>
      </c>
      <c r="HB80" s="206" t="str">
        <f>IFERROR(INDEX($A$2:$A$113,MATCH(ROWS($DF$2:DF80),$DF$2:$DF$113,0)),"")</f>
        <v xml:space="preserve">ATENTADO Y RESISTENCIA CONTRA LA AUTORIDAD </v>
      </c>
      <c r="HC80" s="206" t="str">
        <f>IFERROR(INDEX($A$2:$A$113,MATCH(ROWS($DG$2:DG80),$DG$2:$DG$113,0)),"")</f>
        <v xml:space="preserve">ATENTADO Y RESISTENCIA CONTRA LA AUTORIDAD </v>
      </c>
      <c r="HD80" s="206" t="str">
        <f>IFERROR(INDEX($A$2:$A$113,MATCH(ROWS($DH$2:DH80),$DH$2:$DH$113,0)),"")</f>
        <v xml:space="preserve">ATENTADO Y RESISTENCIA CONTRA LA AUTORIDAD </v>
      </c>
      <c r="HE80" s="206" t="str">
        <f>IFERROR(INDEX($A$2:$A$113,MATCH(ROWS($DI$2:DI80),$DI$2:$DI$113,0)),"")</f>
        <v xml:space="preserve">ATENTADO Y RESISTENCIA CONTRA LA AUTORIDAD </v>
      </c>
      <c r="HF80" s="206" t="str">
        <f>IFERROR(INDEX($A$2:$A$113,MATCH(ROWS($DJ$2:DJ80),$DJ$2:$DJ$113,0)),"")</f>
        <v xml:space="preserve">ATENTADO Y RESISTENCIA CONTRA LA AUTORIDAD </v>
      </c>
      <c r="HG80" s="206" t="str">
        <f>IFERROR(INDEX($A$2:$A$113,MATCH(ROWS($DK$2:DK80),$DK$2:$DK$113,0)),"")</f>
        <v xml:space="preserve">ATENTADO Y RESISTENCIA CONTRA LA AUTORIDAD </v>
      </c>
      <c r="HH80" s="206" t="str">
        <f>IFERROR(INDEX($A$2:$A$113,MATCH(ROWS($DL$2:DL80),$DL$2:$DL$113,0)),"")</f>
        <v xml:space="preserve">ATENTADO Y RESISTENCIA CONTRA LA AUTORIDAD </v>
      </c>
      <c r="HI80" s="206" t="str">
        <f>IFERROR(INDEX($A$2:$A$113,MATCH(ROWS($DM$2:DM80),$DM$2:$DM$113,0)),"")</f>
        <v xml:space="preserve">ATENTADO Y RESISTENCIA CONTRA LA AUTORIDAD </v>
      </c>
      <c r="HJ80" s="206" t="str">
        <f>IFERROR(INDEX($A$2:$A$113,MATCH(ROWS($DN$2:DN80),$DN$2:$DN$113,0)),"")</f>
        <v xml:space="preserve">ATENTADO Y RESISTENCIA CONTRA LA AUTORIDAD </v>
      </c>
      <c r="HK80" s="206" t="str">
        <f>IFERROR(INDEX($A$2:$A$113,MATCH(ROWS($DO$2:DO80),$DO$2:$DO$113,0)),"")</f>
        <v xml:space="preserve">ATENTADO Y RESISTENCIA CONTRA LA AUTORIDAD </v>
      </c>
      <c r="HL80" s="206" t="str">
        <f>IFERROR(INDEX($A$2:$A$113,MATCH(ROWS($DP$2:DP80),$DP$2:$DP$113,0)),"")</f>
        <v xml:space="preserve">ATENTADO Y RESISTENCIA CONTRA LA AUTORIDAD </v>
      </c>
      <c r="HM80" s="206" t="str">
        <f>IFERROR(INDEX($A$2:$A$113,MATCH(ROWS($DQ$2:DQ80),$DQ$2:$DQ$113,0)),"")</f>
        <v xml:space="preserve">ATENTADO Y RESISTENCIA CONTRA LA AUTORIDAD </v>
      </c>
      <c r="HN80" s="206" t="str">
        <f>IFERROR(INDEX($A$2:$A$113,MATCH(ROWS($DR$2:DR80),$DR$2:$DR$113,0)),"")</f>
        <v xml:space="preserve">ATENTADO Y RESISTENCIA CONTRA LA AUTORIDAD </v>
      </c>
      <c r="HO80" s="206" t="str">
        <f>IFERROR(INDEX($A$2:$A$113,MATCH(ROWS($DS$2:DS80),$DS$2:$DS$113,0)),"")</f>
        <v xml:space="preserve">ATENTADO Y RESISTENCIA CONTRA LA AUTORIDAD </v>
      </c>
      <c r="HP80" s="206" t="str">
        <f>IFERROR(INDEX($A$2:$A$113,MATCH(ROWS($DT$2:DT80),$DT$2:$DT$113,0)),"")</f>
        <v xml:space="preserve">ATENTADO Y RESISTENCIA CONTRA LA AUTORIDAD </v>
      </c>
      <c r="HQ80" s="206" t="str">
        <f>IFERROR(INDEX($A$2:$A$113,MATCH(ROWS($DU$2:DU80),$DU$2:$DU$113,0)),"")</f>
        <v xml:space="preserve">ATENTADO Y RESISTENCIA CONTRA LA AUTORIDAD </v>
      </c>
      <c r="HR80" s="206" t="str">
        <f>IFERROR(INDEX($A$2:$A$113,MATCH(ROWS($DV$2:DV80),$DV$2:$DV$113,0)),"")</f>
        <v xml:space="preserve">ATENTADO Y RESISTENCIA CONTRA LA AUTORIDAD </v>
      </c>
      <c r="HS80" s="206" t="str">
        <f>IFERROR(INDEX($A$2:$A$113,MATCH(ROWS($DW$2:DW80),$DW$2:$DW$113,0)),"")</f>
        <v xml:space="preserve">ATENTADO Y RESISTENCIA CONTRA LA AUTORIDAD </v>
      </c>
      <c r="HT80" s="206" t="str">
        <f>IFERROR(INDEX($A$2:$A$113,MATCH(ROWS($DX$2:DX80),$DX$2:$DX$113,0)),"")</f>
        <v xml:space="preserve">ATENTADO Y RESISTENCIA CONTRA LA AUTORIDAD </v>
      </c>
      <c r="HU80" s="206" t="str">
        <f>IFERROR(INDEX($A$2:$A$113,MATCH(ROWS($DY$2:DY80),$DY$2:$DY$113,0)),"")</f>
        <v xml:space="preserve">ATENTADO Y RESISTENCIA CONTRA LA AUTORIDAD </v>
      </c>
      <c r="HV80" s="206" t="str">
        <f>IFERROR(INDEX($A$2:$A$113,MATCH(ROWS($DZ$2:DZ80),$DZ$2:$DZ$113,0)),"")</f>
        <v xml:space="preserve">ATENTADO Y RESISTENCIA CONTRA LA AUTORIDAD </v>
      </c>
      <c r="HW80" s="206" t="str">
        <f>IFERROR(INDEX($A$2:$A$113,MATCH(ROWS($EA$2:EA80),$EA$2:$EA$113,0)),"")</f>
        <v xml:space="preserve">ATENTADO Y RESISTENCIA CONTRA LA AUTORIDAD </v>
      </c>
      <c r="HX80" s="206" t="str">
        <f>IFERROR(INDEX($A$2:$A$113,MATCH(ROWS($EB$2:EB80),$EB$2:$EB$113,0)),"")</f>
        <v xml:space="preserve">ATENTADO Y RESISTENCIA CONTRA LA AUTORIDAD </v>
      </c>
      <c r="HY80" s="206" t="str">
        <f>IFERROR(INDEX($A$2:$A$113,MATCH(ROWS($EC$2:EC80),$EC$2:$EC$113,0)),"")</f>
        <v xml:space="preserve">ATENTADO Y RESISTENCIA CONTRA LA AUTORIDAD </v>
      </c>
      <c r="HZ80" s="206" t="str">
        <f>IFERROR(INDEX($A$2:$A$113,MATCH(ROWS($ED$2:ED80),$ED$2:$ED$113,0)),"")</f>
        <v xml:space="preserve">ATENTADO Y RESISTENCIA CONTRA LA AUTORIDAD </v>
      </c>
      <c r="IA80" s="206" t="str">
        <f>IFERROR(INDEX($A$2:$A$113,MATCH(ROWS($EE$2:EE80),$EE$2:$EE$113,0)),"")</f>
        <v xml:space="preserve">ATENTADO Y RESISTENCIA CONTRA LA AUTORIDAD </v>
      </c>
      <c r="IB80" s="206" t="str">
        <f>IFERROR(INDEX($A$2:$A$113,MATCH(ROWS($EF$2:EF80),$EF$2:$EF$113,0)),"")</f>
        <v xml:space="preserve">ATENTADO Y RESISTENCIA CONTRA LA AUTORIDAD </v>
      </c>
      <c r="IC80" s="206" t="str">
        <f>IFERROR(INDEX($A$2:$A$113,MATCH(ROWS($EG$2:EG80),$EG$2:$EG$113,0)),"")</f>
        <v xml:space="preserve">ATENTADO Y RESISTENCIA CONTRA LA AUTORIDAD </v>
      </c>
      <c r="ID80" s="206" t="str">
        <f>IFERROR(INDEX($A$2:$A$113,MATCH(ROWS($EH$2:EH80),$EH$2:$EH$113,0)),"")</f>
        <v xml:space="preserve">ATENTADO Y RESISTENCIA CONTRA LA AUTORIDAD </v>
      </c>
      <c r="IE80" s="206" t="str">
        <f>IFERROR(INDEX($A$2:$A$113,MATCH(ROWS($EI$2:EI80),$EI$2:$EI$113,0)),"")</f>
        <v xml:space="preserve">ATENTADO Y RESISTENCIA CONTRA LA AUTORIDAD </v>
      </c>
      <c r="IF80" s="206" t="str">
        <f>IFERROR(INDEX($A$2:$A$113,MATCH(ROWS($EJ$2:EJ80),$EJ$2:$EJ$113,0)),"")</f>
        <v xml:space="preserve">ATENTADO Y RESISTENCIA CONTRA LA AUTORIDAD </v>
      </c>
      <c r="IG80" s="206" t="str">
        <f>IFERROR(INDEX($A$2:$A$113,MATCH(ROWS($EK$2:EK80),$EK$2:$EK$113,0)),"")</f>
        <v xml:space="preserve">ATENTADO Y RESISTENCIA CONTRA LA AUTORIDAD </v>
      </c>
      <c r="IH80" s="206" t="str">
        <f>IFERROR(INDEX($A$2:$A$113,MATCH(ROWS($EL$2:EL80),$EL$2:$EL$113,0)),"")</f>
        <v xml:space="preserve">ATENTADO Y RESISTENCIA CONTRA LA AUTORIDAD </v>
      </c>
      <c r="II80" s="206" t="str">
        <f>IFERROR(INDEX($A$2:$A$113,MATCH(ROWS($EM$2:EM80),$EM$2:$EM$113,0)),"")</f>
        <v xml:space="preserve">ATENTADO Y RESISTENCIA CONTRA LA AUTORIDAD </v>
      </c>
      <c r="IJ80" s="206" t="str">
        <f>IFERROR(INDEX($A$2:$A$113,MATCH(ROWS($EN$2:EN80),$EN$2:$EN$113,0)),"")</f>
        <v xml:space="preserve">ATENTADO Y RESISTENCIA CONTRA LA AUTORIDAD </v>
      </c>
      <c r="IK80" s="207" t="str">
        <f>IFERROR(INDEX($A$2:$A$113,MATCH(ROWS($EO$2:EO80),$EO$2:$EO$113,0)),"")</f>
        <v xml:space="preserve">ATENTADO Y RESISTENCIA CONTRA LA AUTORIDAD </v>
      </c>
      <c r="IL80" s="207" t="str">
        <f>IFERROR(INDEX($A$2:$A$113,MATCH(ROWS($EP$2:EP80),$EP$2:$EP$113,0)),"")</f>
        <v xml:space="preserve">ATENTADO Y RESISTENCIA CONTRA LA AUTORIDAD </v>
      </c>
      <c r="IM80" s="207" t="str">
        <f>IFERROR(INDEX($A$2:$A$113,MATCH(ROWS($EQ$2:EQ80),$EQ$2:$EQ$113,0)),"")</f>
        <v xml:space="preserve">ATENTADO Y RESISTENCIA CONTRA LA AUTORIDAD </v>
      </c>
      <c r="IN80" s="207" t="str">
        <f>IFERROR(INDEX($A$2:$A$113,MATCH(ROWS($ER$2:ER80),$ER$2:$ER$113,0)),"")</f>
        <v xml:space="preserve">ATENTADO Y RESISTENCIA CONTRA LA AUTORIDAD </v>
      </c>
      <c r="IO80" s="207" t="str">
        <f>IFERROR(INDEX($A$2:$A$113,MATCH(ROWS($ES$2:ES80),$ES$2:$ES$113,0)),"")</f>
        <v xml:space="preserve">ATENTADO Y RESISTENCIA CONTRA LA AUTORIDAD </v>
      </c>
      <c r="IP80" s="207" t="str">
        <f>IFERROR(INDEX($A$2:$A$113,MATCH(ROWS($ET$2:ET80),$ET$2:$ET$113,0)),"")</f>
        <v xml:space="preserve">ATENTADO Y RESISTENCIA CONTRA LA AUTORIDAD </v>
      </c>
      <c r="IQ80" s="207" t="str">
        <f>IFERROR(INDEX($A$2:$A$113,MATCH(ROWS($EU$2:EU80),$EU$2:$EU$113,0)),"")</f>
        <v xml:space="preserve">ATENTADO Y RESISTENCIA CONTRA LA AUTORIDAD </v>
      </c>
      <c r="IR80" s="207" t="str">
        <f>IFERROR(INDEX($A$2:$A$113,MATCH(ROWS($EV$2:EV80),$EV$2:$EV$113,0)),"")</f>
        <v xml:space="preserve">ATENTADO Y RESISTENCIA CONTRA LA AUTORIDAD </v>
      </c>
      <c r="IS80" s="207" t="str">
        <f>IFERROR(INDEX($A$2:$A$113,MATCH(ROWS($EW$2:EW80),$EW$2:$EW$113,0)),"")</f>
        <v xml:space="preserve">ATENTADO Y RESISTENCIA CONTRA LA AUTORIDAD </v>
      </c>
      <c r="IT80" s="207" t="str">
        <f>IFERROR(INDEX($A$2:$A$113,MATCH(ROWS($EX$2:EX80),$EX$2:$EX$113,0)),"")</f>
        <v xml:space="preserve">ATENTADO Y RESISTENCIA CONTRA LA AUTORIDAD </v>
      </c>
      <c r="IU80" s="207" t="str">
        <f>IFERROR(INDEX($A$2:$A$113,MATCH(ROWS($EY$2:EY80),$EY$2:$EY$113,0)),"")</f>
        <v xml:space="preserve">ATENTADO Y RESISTENCIA CONTRA LA AUTORIDAD </v>
      </c>
      <c r="IV80" s="207" t="str">
        <f>IFERROR(INDEX($A$2:$A$113,MATCH(ROWS($EZ$2:EZ80),$EZ$2:$EZ$113,0)),"")</f>
        <v xml:space="preserve">ATENTADO Y RESISTENCIA CONTRA LA AUTORIDAD </v>
      </c>
      <c r="IW80" s="207" t="str">
        <f>IFERROR(INDEX($A$2:$A$113,MATCH(ROWS($FA$2:FA80),$FA$2:$FA$113,0)),"")</f>
        <v xml:space="preserve">ATENTADO Y RESISTENCIA CONTRA LA AUTORIDAD </v>
      </c>
      <c r="IX80" s="207" t="str">
        <f>IFERROR(INDEX($A$2:$A$113,MATCH(ROWS($FB$2:FB80),$FB$2:$FB$113,0)),"")</f>
        <v xml:space="preserve">ATENTADO Y RESISTENCIA CONTRA LA AUTORIDAD </v>
      </c>
      <c r="IY80" s="207" t="str">
        <f>IFERROR(INDEX($A$2:$A$113,MATCH(ROWS($FC$2:FC80),$FC$2:$FC$113,0)),"")</f>
        <v xml:space="preserve">ATENTADO Y RESISTENCIA CONTRA LA AUTORIDAD </v>
      </c>
      <c r="IZ80" s="207" t="str">
        <f>IFERROR(INDEX($A$2:$A$113,MATCH(ROWS($FD$2:FD80),$FD$2:$FD$113,0)),"")</f>
        <v xml:space="preserve">ATENTADO Y RESISTENCIA CONTRA LA AUTORIDAD </v>
      </c>
      <c r="JA80" s="207" t="str">
        <f>IFERROR(INDEX($A$2:$A$113,MATCH(ROWS($FE$2:FE80),$FE$2:$FE$113,0)),"")</f>
        <v xml:space="preserve">ATENTADO Y RESISTENCIA CONTRA LA AUTORIDAD </v>
      </c>
      <c r="JB80" s="207" t="str">
        <f>IFERROR(INDEX($A$2:$A$113,MATCH(ROWS($FF$2:FF80),$FF$2:$FF$113,0)),"")</f>
        <v xml:space="preserve">ATENTADO Y RESISTENCIA CONTRA LA AUTORIDAD </v>
      </c>
      <c r="JC80" s="207" t="str">
        <f>IFERROR(INDEX($A$2:$A$113,MATCH(ROWS($FG$2:FG80),$FG$2:$FG$113,0)),"")</f>
        <v xml:space="preserve">ATENTADO Y RESISTENCIA CONTRA LA AUTORIDAD </v>
      </c>
      <c r="JD80" s="207" t="str">
        <f>IFERROR(INDEX($A$2:$A$113,MATCH(ROWS($FH$2:FH80),$FH$2:$FH$113,0)),"")</f>
        <v xml:space="preserve">ATENTADO Y RESISTENCIA CONTRA LA AUTORIDAD </v>
      </c>
      <c r="JE80" s="207" t="str">
        <f>IFERROR(INDEX($A$2:$A$113,MATCH(ROWS($FI$2:FI80),$FI$2:$FI$113,0)),"")</f>
        <v xml:space="preserve">ATENTADO Y RESISTENCIA CONTRA LA AUTORIDAD </v>
      </c>
      <c r="JF80" s="207" t="str">
        <f>IFERROR(INDEX($A$2:$A$113,MATCH(ROWS($FJ$2:FJ80),$FJ$2:$FJ$113,0)),"")</f>
        <v xml:space="preserve">ATENTADO Y RESISTENCIA CONTRA LA AUTORIDAD </v>
      </c>
      <c r="JG80" s="207" t="str">
        <f>IFERROR(INDEX($A$2:$A$113,MATCH(ROWS($FK$2:FK80),$FK$2:$FK$113,0)),"")</f>
        <v xml:space="preserve">ATENTADO Y RESISTENCIA CONTRA LA AUTORIDAD </v>
      </c>
      <c r="JH80" s="207" t="str">
        <f>IFERROR(INDEX($A$2:$A$113,MATCH(ROWS($FL$2:FL80),$FL$2:$FL$113,0)),"")</f>
        <v xml:space="preserve">ATENTADO Y RESISTENCIA CONTRA LA AUTORIDAD </v>
      </c>
      <c r="JI80" s="207" t="str">
        <f>IFERROR(INDEX($A$2:$A$113,MATCH(ROWS($FM$2:FM80),$FM$2:$FM$113,0)),"")</f>
        <v xml:space="preserve">ATENTADO Y RESISTENCIA CONTRA LA AUTORIDAD </v>
      </c>
      <c r="JJ80" s="207" t="str">
        <f>IFERROR(INDEX($A$2:$A$113,MATCH(ROWS($FN$2:FN80),$FN$2:$FN$113,0)),"")</f>
        <v xml:space="preserve">ATENTADO Y RESISTENCIA CONTRA LA AUTORIDAD </v>
      </c>
      <c r="JK80" s="207" t="str">
        <f>IFERROR(INDEX($A$2:$A$113,MATCH(ROWS($FO$2:FO80),$FO$2:$FO$113,0)),"")</f>
        <v xml:space="preserve">ATENTADO Y RESISTENCIA CONTRA LA AUTORIDAD </v>
      </c>
      <c r="JL80" s="207" t="str">
        <f>IFERROR(INDEX($A$2:$A$113,MATCH(ROWS($FP$2:FP80),$FP$2:$FP$113,0)),"")</f>
        <v xml:space="preserve">ATENTADO Y RESISTENCIA CONTRA LA AUTORIDAD </v>
      </c>
      <c r="JM80" s="207" t="str">
        <f>IFERROR(INDEX($A$2:$A$113,MATCH(ROWS($FQ$2:FQ80),$FQ$2:$FQ$113,0)),"")</f>
        <v xml:space="preserve">ATENTADO Y RESISTENCIA CONTRA LA AUTORIDAD </v>
      </c>
      <c r="JN80" s="207" t="str">
        <f>IFERROR(INDEX($A$2:$A$113,MATCH(ROWS($FR$2:FR80),$FR$2:$FR$113,0)),"")</f>
        <v xml:space="preserve">ATENTADO Y RESISTENCIA CONTRA LA AUTORIDAD </v>
      </c>
      <c r="JO80" s="207" t="str">
        <f>IFERROR(INDEX($A$2:$A$113,MATCH(ROWS($FS$2:FS80),$FS$2:$FS$113,0)),"")</f>
        <v xml:space="preserve">ATENTADO Y RESISTENCIA CONTRA LA AUTORIDAD </v>
      </c>
      <c r="JP80" s="207" t="str">
        <f>IFERROR(INDEX($A$2:$A$113,MATCH(ROWS($FT$2:FT80),$FT$2:$FT$113,0)),"")</f>
        <v xml:space="preserve">ATENTADO Y RESISTENCIA CONTRA LA AUTORIDAD </v>
      </c>
      <c r="JQ80" s="207" t="str">
        <f>IFERROR(INDEX($A$2:$A$113,MATCH(ROWS($FU$2:FU80),$FU$2:$FU$113,0)),"")</f>
        <v xml:space="preserve">ATENTADO Y RESISTENCIA CONTRA LA AUTORIDAD </v>
      </c>
      <c r="JR80" s="207" t="str">
        <f>IFERROR(INDEX($A$2:$A$113,MATCH(ROWS($FV$2:FV80),$FV$2:$FV$113,0)),"")</f>
        <v xml:space="preserve">ATENTADO Y RESISTENCIA CONTRA LA AUTORIDAD </v>
      </c>
      <c r="JS80" s="207" t="str">
        <f>IFERROR(INDEX($A$2:$A$113,MATCH(ROWS($FW$2:FW80),$FW$2:$FW$113,0)),"")</f>
        <v xml:space="preserve">ATENTADO Y RESISTENCIA CONTRA LA AUTORIDAD </v>
      </c>
      <c r="JT80" s="207" t="str">
        <f>IFERROR(INDEX($A$2:$A$113,MATCH(ROWS($FX$2:FX80),$FX$2:$FX$113,0)),"")</f>
        <v xml:space="preserve">ATENTADO Y RESISTENCIA CONTRA LA AUTORIDAD </v>
      </c>
      <c r="JU80" s="207" t="str">
        <f>IFERROR(INDEX($A$2:$A$113,MATCH(ROWS($FY$2:FY80),$FY$2:$FY$113,0)),"")</f>
        <v xml:space="preserve">ATENTADO Y RESISTENCIA CONTRA LA AUTORIDAD </v>
      </c>
      <c r="JV80" s="207" t="str">
        <f>IFERROR(INDEX($A$2:$A$113,MATCH(ROWS($FZ$2:FZ80),$FZ$2:$FZ$113,0)),"")</f>
        <v xml:space="preserve">ATENTADO Y RESISTENCIA CONTRA LA AUTORIDAD </v>
      </c>
      <c r="JW80" s="207" t="str">
        <f>IFERROR(INDEX($A$2:$A$113,MATCH(ROWS($GA$2:GA80),$GA$2:$GA$113,0)),"")</f>
        <v xml:space="preserve">ATENTADO Y RESISTENCIA CONTRA LA AUTORIDAD </v>
      </c>
      <c r="JX80" s="207" t="str">
        <f>IFERROR(INDEX($A$2:$A$113,MATCH(ROWS($GB$2:GB80),$GB$2:$GB$113,0)),"")</f>
        <v xml:space="preserve">ATENTADO Y RESISTENCIA CONTRA LA AUTORIDAD </v>
      </c>
      <c r="JY80" s="207" t="str">
        <f>IFERROR(INDEX($A$2:$A$113,MATCH(ROWS($GC$2:GC80),$GC$2:$GC$113,0)),"")</f>
        <v xml:space="preserve">ATENTADO Y RESISTENCIA CONTRA LA AUTORIDAD </v>
      </c>
      <c r="JZ80" s="207" t="str">
        <f>IFERROR(INDEX($A$2:$A$113,MATCH(ROWS($GD$2:GD80),$GD$2:$GD$113,0)),"")</f>
        <v xml:space="preserve">ATENTADO Y RESISTENCIA CONTRA LA AUTORIDAD </v>
      </c>
      <c r="KA80" s="207" t="str">
        <f>IFERROR(INDEX($A$2:$A$113,MATCH(ROWS($GE$2:GE80),$GE$2:$GE$113,0)),"")</f>
        <v xml:space="preserve">ATENTADO Y RESISTENCIA CONTRA LA AUTORIDAD </v>
      </c>
      <c r="KB80" s="207" t="str">
        <f>IFERROR(INDEX($A$2:$A$113,MATCH(ROWS($GF$2:GF80),$GF$2:$GF$113,0)),"")</f>
        <v xml:space="preserve">ATENTADO Y RESISTENCIA CONTRA LA AUTORIDAD </v>
      </c>
      <c r="KC80" s="207" t="str">
        <f>IFERROR(INDEX($A$2:$A$113,MATCH(ROWS($GG$2:GG80),$GG$2:$GG$113,0)),"")</f>
        <v xml:space="preserve">ATENTADO Y RESISTENCIA CONTRA LA AUTORIDAD </v>
      </c>
      <c r="KD80" s="207" t="str">
        <f>IFERROR(INDEX($A$2:$A$113,MATCH(ROWS($GH$2:GH80),$GH$2:$GH$113,0)),"")</f>
        <v xml:space="preserve">ATENTADO Y RESISTENCIA CONTRA LA AUTORIDAD </v>
      </c>
      <c r="KE80" s="207" t="str">
        <f>IFERROR(INDEX($A$2:$A$113,MATCH(ROWS($GI$2:GI80),$GI$2:$GI$113,0)),"")</f>
        <v xml:space="preserve">ATENTADO Y RESISTENCIA CONTRA LA AUTORIDAD </v>
      </c>
      <c r="KF80" s="207" t="str">
        <f>IFERROR(INDEX($A$2:$A$113,MATCH(ROWS($GJ$2:GJ80),$GJ$2:$GJ$113,0)),"")</f>
        <v xml:space="preserve">ATENTADO Y RESISTENCIA CONTRA LA AUTORIDAD </v>
      </c>
      <c r="KG80" s="207" t="str">
        <f>IFERROR(INDEX($A$2:$A$113,MATCH(ROWS($GK$2:GK80),$GK$2:$GK$113,0)),"")</f>
        <v xml:space="preserve">ATENTADO Y RESISTENCIA CONTRA LA AUTORIDAD </v>
      </c>
      <c r="KH80" s="207" t="str">
        <f>IFERROR(INDEX($A$2:$A$113,MATCH(ROWS($GL$2:GL80),$GL$2:$GL$113,0)),"")</f>
        <v xml:space="preserve">ATENTADO Y RESISTENCIA CONTRA LA AUTORIDAD </v>
      </c>
      <c r="KI80" s="207" t="str">
        <f>IFERROR(INDEX($A$2:$A$113,MATCH(ROWS($GM$2:GM80),$GM$2:$GM$113,0)),"")</f>
        <v xml:space="preserve">ATENTADO Y RESISTENCIA CONTRA LA AUTORIDAD </v>
      </c>
      <c r="KJ80" s="207" t="str">
        <f>IFERROR(INDEX($A$2:$A$113,MATCH(ROWS($GN$2:GN80),$GN$2:$GN$113,0)),"")</f>
        <v xml:space="preserve">ATENTADO Y RESISTENCIA CONTRA LA AUTORIDAD </v>
      </c>
      <c r="KK80" s="207" t="str">
        <f>IFERROR(INDEX($A$2:$A$113,MATCH(ROWS($GO$2:GO80),$GO$2:$GO$113,0)),"")</f>
        <v xml:space="preserve">ATENTADO Y RESISTENCIA CONTRA LA AUTORIDAD </v>
      </c>
      <c r="KL80" s="207" t="str">
        <f>IFERROR(INDEX($A$2:$A$113,MATCH(ROWS($GP$2:GP80),$GP$2:$GP$113,0)),"")</f>
        <v xml:space="preserve">ATENTADO Y RESISTENCIA CONTRA LA AUTORIDAD </v>
      </c>
      <c r="KM80" s="207" t="str">
        <f>IFERROR(INDEX($A$2:$A$113,MATCH(ROWS($GQ$2:GQ80),$GQ$2:$GQ$113,0)),"")</f>
        <v xml:space="preserve">ATENTADO Y RESISTENCIA CONTRA LA AUTORIDAD </v>
      </c>
      <c r="KN80" s="207" t="str">
        <f>IFERROR(INDEX($A$2:$A$113,MATCH(ROWS($GR$2:GR80),$GR$2:$GR$113,0)),"")</f>
        <v xml:space="preserve">ATENTADO Y RESISTENCIA CONTRA LA AUTORIDAD </v>
      </c>
      <c r="KO80" s="207" t="str">
        <f>IFERROR(INDEX($A$2:$A$113,MATCH(ROWS($GS$2:GS80),$GS$2:$GS$113,0)),"")</f>
        <v xml:space="preserve">ATENTADO Y RESISTENCIA CONTRA LA AUTORIDAD </v>
      </c>
      <c r="KP80" s="207" t="str">
        <f>IFERROR(INDEX($A$2:$A$113,MATCH(ROWS($GT$2:GT80),$GT$2:$GT$113,0)),"")</f>
        <v xml:space="preserve">ATENTADO Y RESISTENCIA CONTRA LA AUTORIDAD </v>
      </c>
      <c r="KQ80" s="207" t="str">
        <f>IFERROR(INDEX($A$2:$A$113,MATCH(ROWS($GU$2:GU80),$GU$2:$GU$113,0)),"")</f>
        <v xml:space="preserve">ATENTADO Y RESISTENCIA CONTRA LA AUTORIDAD </v>
      </c>
      <c r="KR80" s="207" t="str">
        <f>IFERROR(INDEX($A$2:$A$113,MATCH(ROWS($GV$2:GV80),$GV$2:$GV$113,0)),"")</f>
        <v xml:space="preserve">ATENTADO Y RESISTENCIA CONTRA LA AUTORIDAD </v>
      </c>
      <c r="KS80" s="207" t="str">
        <f>IFERROR(INDEX($A$2:$A$113,MATCH(ROWS($GW$2:GW80),$GW$2:$GW$113,0)),"")</f>
        <v xml:space="preserve">ATENTADO Y RESISTENCIA CONTRA LA AUTORIDAD </v>
      </c>
    </row>
    <row r="81" spans="1:305" x14ac:dyDescent="0.25">
      <c r="A81" s="206" t="s">
        <v>1076</v>
      </c>
      <c r="B81" s="206">
        <v>26</v>
      </c>
      <c r="D81" s="206" t="s">
        <v>1076</v>
      </c>
      <c r="E81" s="206" t="s">
        <v>113</v>
      </c>
      <c r="F81" s="207">
        <f>--ISNUMBER(IFERROR(SEARCH('PLANILLA DJ'!$X$3,$A81,1),""))</f>
        <v>1</v>
      </c>
      <c r="G81" s="207">
        <f>--ISNUMBER(IFERROR(SEARCH('PLANILLA DJ'!$X$4,$A81,1),""))</f>
        <v>1</v>
      </c>
      <c r="H81" s="207">
        <f>--ISNUMBER(IFERROR(SEARCH('PLANILLA DJ'!$X$5,$A81,1),""))</f>
        <v>1</v>
      </c>
      <c r="I81" s="207">
        <f>--ISNUMBER(IFERROR(SEARCH('PLANILLA DJ'!$X$6,$A81,1),""))</f>
        <v>1</v>
      </c>
      <c r="J81" s="207">
        <f>--ISNUMBER(IFERROR(SEARCH('PLANILLA DJ'!$X$7,$A81,1),""))</f>
        <v>1</v>
      </c>
      <c r="K81" s="207">
        <f>--ISNUMBER(IFERROR(SEARCH('PLANILLA DJ'!$X$8,$A81,1),""))</f>
        <v>1</v>
      </c>
      <c r="L81" s="207">
        <f>--ISNUMBER(IFERROR(SEARCH('PLANILLA DJ'!$X$9,$A81,1),""))</f>
        <v>1</v>
      </c>
      <c r="M81" s="207">
        <f>--ISNUMBER(IFERROR(SEARCH('PLANILLA DJ'!$X$10,$A81,1),""))</f>
        <v>1</v>
      </c>
      <c r="N81" s="207">
        <f>--ISNUMBER(IFERROR(SEARCH('PLANILLA DJ'!$X$11,$A81,1),""))</f>
        <v>1</v>
      </c>
      <c r="O81" s="207">
        <f>--ISNUMBER(IFERROR(SEARCH('PLANILLA DJ'!$X$12,$A81,1),""))</f>
        <v>1</v>
      </c>
      <c r="P81" s="207">
        <f>--ISNUMBER(IFERROR(SEARCH('PLANILLA DJ'!$X$13,$A81,1),""))</f>
        <v>1</v>
      </c>
      <c r="Q81" s="207">
        <f>--ISNUMBER(IFERROR(SEARCH('PLANILLA DJ'!$X$14,$A81,1),""))</f>
        <v>1</v>
      </c>
      <c r="R81" s="207">
        <f>--ISNUMBER(IFERROR(SEARCH('PLANILLA DJ'!$X$15,$A81,1),""))</f>
        <v>1</v>
      </c>
      <c r="S81" s="207">
        <f>--ISNUMBER(IFERROR(SEARCH('PLANILLA DJ'!$X$16,$A81,1),""))</f>
        <v>1</v>
      </c>
      <c r="T81" s="207">
        <f>--ISNUMBER(IFERROR(SEARCH('PLANILLA DJ'!$X$17,$A81,1),""))</f>
        <v>1</v>
      </c>
      <c r="U81" s="207">
        <f>--ISNUMBER(IFERROR(SEARCH('PLANILLA DJ'!$X$18,$A81,1),""))</f>
        <v>1</v>
      </c>
      <c r="V81" s="207">
        <f>--ISNUMBER(IFERROR(SEARCH('PLANILLA DJ'!$X$19,$A81,1),""))</f>
        <v>1</v>
      </c>
      <c r="W81" s="207">
        <f>--ISNUMBER(IFERROR(SEARCH('PLANILLA DJ'!$X$20,$A81,1),""))</f>
        <v>1</v>
      </c>
      <c r="X81" s="207">
        <f>--ISNUMBER(IFERROR(SEARCH('PLANILLA DJ'!$X$21,$A81,1),""))</f>
        <v>1</v>
      </c>
      <c r="Y81" s="207">
        <f>--ISNUMBER(IFERROR(SEARCH('PLANILLA DJ'!$X$22,$A81,1),""))</f>
        <v>1</v>
      </c>
      <c r="Z81" s="207">
        <f>--ISNUMBER(IFERROR(SEARCH('PLANILLA DJ'!$X$23,$A81,1),""))</f>
        <v>1</v>
      </c>
      <c r="AA81" s="207">
        <f>--ISNUMBER(IFERROR(SEARCH('PLANILLA DJ'!$X$24,$A81,1),""))</f>
        <v>1</v>
      </c>
      <c r="AB81" s="207">
        <f>--ISNUMBER(IFERROR(SEARCH('PLANILLA DJ'!$X$25,$A81,1),""))</f>
        <v>1</v>
      </c>
      <c r="AC81" s="207">
        <f>--ISNUMBER(IFERROR(SEARCH('PLANILLA DJ'!$X$26,$A81,1),""))</f>
        <v>1</v>
      </c>
      <c r="AD81" s="207">
        <f>--ISNUMBER(IFERROR(SEARCH('PLANILLA DJ'!$X$27,$A81,1),""))</f>
        <v>1</v>
      </c>
      <c r="AE81" s="207">
        <f>--ISNUMBER(IFERROR(SEARCH('PLANILLA DJ'!$X$28,$A81,1),""))</f>
        <v>1</v>
      </c>
      <c r="AF81" s="207">
        <f>--ISNUMBER(IFERROR(SEARCH('PLANILLA DJ'!$X$29,$A81,1),""))</f>
        <v>1</v>
      </c>
      <c r="AG81" s="207">
        <f>--ISNUMBER(IFERROR(SEARCH('PLANILLA DJ'!$X$30,$A81,1),""))</f>
        <v>1</v>
      </c>
      <c r="AH81" s="207">
        <f>--ISNUMBER(IFERROR(SEARCH('PLANILLA DJ'!$X$31,$A81,1),""))</f>
        <v>1</v>
      </c>
      <c r="AI81" s="207">
        <f>--ISNUMBER(IFERROR(SEARCH('PLANILLA DJ'!$X$32,$A81,1),""))</f>
        <v>1</v>
      </c>
      <c r="AJ81" s="207">
        <f>--ISNUMBER(IFERROR(SEARCH('PLANILLA DJ'!$X$33,$A81,1),""))</f>
        <v>1</v>
      </c>
      <c r="AK81" s="207">
        <f>--ISNUMBER(IFERROR(SEARCH('PLANILLA DJ'!$X$34,$A81,1),""))</f>
        <v>1</v>
      </c>
      <c r="AL81" s="207">
        <f>--ISNUMBER(IFERROR(SEARCH('PLANILLA DJ'!$X$35,$A81,1),""))</f>
        <v>1</v>
      </c>
      <c r="AM81" s="207">
        <f>--ISNUMBER(IFERROR(SEARCH('PLANILLA DJ'!$X$36,$A81,1),""))</f>
        <v>1</v>
      </c>
      <c r="AN81" s="207">
        <f>--ISNUMBER(IFERROR(SEARCH('PLANILLA DJ'!$X$37,$A81,1),""))</f>
        <v>1</v>
      </c>
      <c r="AO81" s="207">
        <f>--ISNUMBER(IFERROR(SEARCH('PLANILLA DJ'!$X$38,$A81,1),""))</f>
        <v>1</v>
      </c>
      <c r="AP81" s="207">
        <f>--ISNUMBER(IFERROR(SEARCH('PLANILLA DJ'!$X$39,$A81,1),""))</f>
        <v>1</v>
      </c>
      <c r="AQ81" s="207">
        <f>--ISNUMBER(IFERROR(SEARCH('PLANILLA DJ'!$X$40,$A81,1),""))</f>
        <v>1</v>
      </c>
      <c r="AR81" s="207">
        <f>--ISNUMBER(IFERROR(SEARCH('PLANILLA DJ'!$X$41,$A81,1),""))</f>
        <v>1</v>
      </c>
      <c r="AS81" s="207">
        <f>--ISNUMBER(IFERROR(SEARCH('PLANILLA DJ'!$X$42,$A81,1),""))</f>
        <v>1</v>
      </c>
      <c r="AT81" s="207">
        <f>--ISNUMBER(IFERROR(SEARCH('PLANILLA DJ'!$X$43,$A81,1),""))</f>
        <v>1</v>
      </c>
      <c r="AU81" s="207">
        <f>--ISNUMBER(IFERROR(SEARCH('PLANILLA DJ'!$X$44,$A81,1),""))</f>
        <v>1</v>
      </c>
      <c r="AV81" s="207">
        <f>--ISNUMBER(IFERROR(SEARCH('PLANILLA DJ'!$X$45,$A81,1),""))</f>
        <v>1</v>
      </c>
      <c r="AW81" s="207">
        <f>--ISNUMBER(IFERROR(SEARCH('PLANILLA DJ'!$X$46,$A81,1),""))</f>
        <v>1</v>
      </c>
      <c r="AX81" s="207">
        <f>--ISNUMBER(IFERROR(SEARCH('PLANILLA DJ'!$X$47,$A81,1),""))</f>
        <v>1</v>
      </c>
      <c r="AY81" s="207">
        <f>--ISNUMBER(IFERROR(SEARCH('PLANILLA DJ'!$X$48,$A81,1),""))</f>
        <v>1</v>
      </c>
      <c r="AZ81" s="207">
        <f>--ISNUMBER(IFERROR(SEARCH('PLANILLA DJ'!$X$49,$A81,1),""))</f>
        <v>1</v>
      </c>
      <c r="BA81" s="207">
        <f>--ISNUMBER(IFERROR(SEARCH('PLANILLA DJ'!$X$50,$A81,1),""))</f>
        <v>1</v>
      </c>
      <c r="BB81" s="207">
        <f>--ISNUMBER(IFERROR(SEARCH('PLANILLA DJ'!$X$51,$A81,1),""))</f>
        <v>1</v>
      </c>
      <c r="BC81" s="207">
        <f>--ISNUMBER(IFERROR(SEARCH('PLANILLA DJ'!$X$52,$A81,1),""))</f>
        <v>1</v>
      </c>
      <c r="BD81" s="207">
        <f>--ISNUMBER(IFERROR(SEARCH('PLANILLA DJ'!$X$53,$A81,1),""))</f>
        <v>1</v>
      </c>
      <c r="BE81" s="207">
        <f>--ISNUMBER(IFERROR(SEARCH('PLANILLA DJ'!$X$54,$A81,1),""))</f>
        <v>1</v>
      </c>
      <c r="BF81" s="207">
        <f>--ISNUMBER(IFERROR(SEARCH('PLANILLA DJ'!$X$55,$A81,1),""))</f>
        <v>1</v>
      </c>
      <c r="BG81" s="207">
        <f>--ISNUMBER(IFERROR(SEARCH('PLANILLA DJ'!$X$56,$A81,1),""))</f>
        <v>1</v>
      </c>
      <c r="BH81" s="207">
        <f>--ISNUMBER(IFERROR(SEARCH('PLANILLA DJ'!$X$57,$A81,1),""))</f>
        <v>1</v>
      </c>
      <c r="BI81" s="207">
        <f>--ISNUMBER(IFERROR(SEARCH('PLANILLA DJ'!$X$58,$A81,1),""))</f>
        <v>1</v>
      </c>
      <c r="BJ81" s="207">
        <f>--ISNUMBER(IFERROR(SEARCH('PLANILLA DJ'!$X$59,$A81,1),""))</f>
        <v>1</v>
      </c>
      <c r="BK81" s="207">
        <f>--ISNUMBER(IFERROR(SEARCH('PLANILLA DJ'!$X$60,$A81,1),""))</f>
        <v>1</v>
      </c>
      <c r="BL81" s="207">
        <f>--ISNUMBER(IFERROR(SEARCH('PLANILLA DJ'!$X$61,$A81,1),""))</f>
        <v>1</v>
      </c>
      <c r="BM81" s="207">
        <f>--ISNUMBER(IFERROR(SEARCH('PLANILLA DJ'!$X$62,$A81,1),""))</f>
        <v>1</v>
      </c>
      <c r="BN81" s="207">
        <f>--ISNUMBER(IFERROR(SEARCH('PLANILLA DJ'!$X$63,$A81,1),""))</f>
        <v>1</v>
      </c>
      <c r="BO81" s="207">
        <f>--ISNUMBER(IFERROR(SEARCH('PLANILLA DJ'!$X$64,$A81,1),""))</f>
        <v>1</v>
      </c>
      <c r="BP81" s="207">
        <f>--ISNUMBER(IFERROR(SEARCH('PLANILLA DJ'!$X$65,$A81,1),""))</f>
        <v>1</v>
      </c>
      <c r="BQ81" s="207">
        <f>--ISNUMBER(IFERROR(SEARCH('PLANILLA DJ'!$X$66,$A81,1),""))</f>
        <v>1</v>
      </c>
      <c r="BR81" s="207">
        <f>--ISNUMBER(IFERROR(SEARCH('PLANILLA DJ'!$X$67,$A81,1),""))</f>
        <v>1</v>
      </c>
      <c r="BS81" s="207">
        <f>--ISNUMBER(IFERROR(SEARCH('PLANILLA DJ'!$X$68,$A81,1),""))</f>
        <v>1</v>
      </c>
      <c r="BT81" s="207">
        <f>--ISNUMBER(IFERROR(SEARCH('PLANILLA DJ'!$X$69,$A81,1),""))</f>
        <v>1</v>
      </c>
      <c r="BU81" s="207">
        <f>--ISNUMBER(IFERROR(SEARCH('PLANILLA DJ'!$X$70,$A81,1),""))</f>
        <v>1</v>
      </c>
      <c r="BV81" s="207">
        <f>--ISNUMBER(IFERROR(SEARCH('PLANILLA DJ'!$X$71,$A81,1),""))</f>
        <v>1</v>
      </c>
      <c r="BW81" s="207">
        <f>--ISNUMBER(IFERROR(SEARCH('PLANILLA DJ'!$X$72,$A81,1),""))</f>
        <v>1</v>
      </c>
      <c r="BX81" s="207">
        <f>--ISNUMBER(IFERROR(SEARCH('PLANILLA DJ'!$X$73,$A81,1),""))</f>
        <v>1</v>
      </c>
      <c r="BY81" s="207">
        <f>--ISNUMBER(IFERROR(SEARCH('PLANILLA DJ'!$X$74,$A81,1),""))</f>
        <v>1</v>
      </c>
      <c r="BZ81" s="207">
        <f>--ISNUMBER(IFERROR(SEARCH('PLANILLA DJ'!$X$75,$A81,1),""))</f>
        <v>1</v>
      </c>
      <c r="CA81" s="207">
        <f>--ISNUMBER(IFERROR(SEARCH('PLANILLA DJ'!$X$76,$A81,1),""))</f>
        <v>1</v>
      </c>
      <c r="CB81" s="207">
        <f>--ISNUMBER(IFERROR(SEARCH('PLANILLA DJ'!$X$77,$A81,1),""))</f>
        <v>1</v>
      </c>
      <c r="CC81" s="207">
        <f>--ISNUMBER(IFERROR(SEARCH('PLANILLA DJ'!$X$78,$A81,1),""))</f>
        <v>1</v>
      </c>
      <c r="CD81" s="207">
        <f>--ISNUMBER(IFERROR(SEARCH('PLANILLA DJ'!$X$79,$A81,1),""))</f>
        <v>1</v>
      </c>
      <c r="CE81" s="207">
        <f>--ISNUMBER(IFERROR(SEARCH('PLANILLA DJ'!$X$80,$A81,1),""))</f>
        <v>1</v>
      </c>
      <c r="CF81" s="207">
        <f>--ISNUMBER(IFERROR(SEARCH('PLANILLA DJ'!$X$81,$A81,1),""))</f>
        <v>1</v>
      </c>
      <c r="CG81" s="207">
        <f>--ISNUMBER(IFERROR(SEARCH('PLANILLA DJ'!$X$82,$A81,1),""))</f>
        <v>1</v>
      </c>
      <c r="CH81" s="207">
        <f>--ISNUMBER(IFERROR(SEARCH('PLANILLA DJ'!$X$83,$A81,1),""))</f>
        <v>1</v>
      </c>
      <c r="CI81" s="207">
        <f>--ISNUMBER(IFERROR(SEARCH('PLANILLA DJ'!$X$84,$A81,1),""))</f>
        <v>1</v>
      </c>
      <c r="CJ81" s="207">
        <f>--ISNUMBER(IFERROR(SEARCH('PLANILLA DJ'!$X$85,$A81,1),""))</f>
        <v>1</v>
      </c>
      <c r="CK81" s="207">
        <f>--ISNUMBER(IFERROR(SEARCH('PLANILLA DJ'!$X$86,$A81,1),""))</f>
        <v>1</v>
      </c>
      <c r="CL81" s="207">
        <f>--ISNUMBER(IFERROR(SEARCH('PLANILLA DJ'!$X$87,$A81,1),""))</f>
        <v>1</v>
      </c>
      <c r="CM81" s="207">
        <f>--ISNUMBER(IFERROR(SEARCH('PLANILLA DJ'!$X$88,$A81,1),""))</f>
        <v>1</v>
      </c>
      <c r="CN81" s="207">
        <f>--ISNUMBER(IFERROR(SEARCH('PLANILLA DJ'!$X$89,$A81,1),""))</f>
        <v>1</v>
      </c>
      <c r="CO81" s="207">
        <f>--ISNUMBER(IFERROR(SEARCH('PLANILLA DJ'!$X$90,$A81,1),""))</f>
        <v>1</v>
      </c>
      <c r="CP81" s="207">
        <f>--ISNUMBER(IFERROR(SEARCH('PLANILLA DJ'!$X$91,$A81,1),""))</f>
        <v>1</v>
      </c>
      <c r="CQ81" s="207">
        <f>--ISNUMBER(IFERROR(SEARCH('PLANILLA DJ'!$X$92,$A81,1),""))</f>
        <v>1</v>
      </c>
      <c r="CR81" s="207">
        <f>--ISNUMBER(IFERROR(SEARCH('PLANILLA DJ'!$X$93,$A81,1),""))</f>
        <v>1</v>
      </c>
      <c r="CS81" s="207">
        <f>--ISNUMBER(IFERROR(SEARCH('PLANILLA DJ'!$X$94,$A81,1),""))</f>
        <v>1</v>
      </c>
      <c r="CT81" s="207">
        <f>--ISNUMBER(IFERROR(SEARCH('PLANILLA DJ'!$X$95,$A81,1),""))</f>
        <v>1</v>
      </c>
      <c r="CU81" s="207">
        <f>--ISNUMBER(IFERROR(SEARCH('PLANILLA DJ'!$X$96,$A81,1),""))</f>
        <v>1</v>
      </c>
      <c r="CV81" s="207">
        <f>--ISNUMBER(IFERROR(SEARCH('PLANILLA DJ'!$X$97,$A81,1),""))</f>
        <v>1</v>
      </c>
      <c r="CW81" s="207">
        <f>--ISNUMBER(IFERROR(SEARCH('PLANILLA DJ'!$X$98,$A81,1),""))</f>
        <v>1</v>
      </c>
      <c r="CX81" s="207">
        <f>--ISNUMBER(IFERROR(SEARCH('PLANILLA DJ'!$X$99,$A81,1),""))</f>
        <v>1</v>
      </c>
      <c r="CY81" s="207">
        <f>--ISNUMBER(IFERROR(SEARCH('PLANILLA DJ'!$X$100,$A81,1),""))</f>
        <v>1</v>
      </c>
      <c r="CZ81" s="207">
        <f>--ISNUMBER(IFERROR(SEARCH('PLANILLA DJ'!$X$101,$A81,1),""))</f>
        <v>1</v>
      </c>
      <c r="DA81" s="207">
        <f>--ISNUMBER(IFERROR(SEARCH('PLANILLA DJ'!$X$102,$A81,1),""))</f>
        <v>1</v>
      </c>
      <c r="DB81" s="206">
        <f>IF(F81=1,COUNTIF($F$2:F81,1),"")</f>
        <v>80</v>
      </c>
      <c r="DC81" s="206">
        <f>IF(G81=1,COUNTIF($G$2:G81,1),"")</f>
        <v>80</v>
      </c>
      <c r="DD81" s="206">
        <f>IF(H81=1,COUNTIF($H$2:H81,1),"")</f>
        <v>80</v>
      </c>
      <c r="DE81" s="206">
        <f>IF(I81=1,COUNTIF($I$2:I81,1),"")</f>
        <v>80</v>
      </c>
      <c r="DF81" s="206">
        <f>IF(J81=1,COUNTIF($J$2:J81,1),"")</f>
        <v>80</v>
      </c>
      <c r="DG81" s="206">
        <f>IF(K81=1,COUNTIF($K$2:K81,1),"")</f>
        <v>80</v>
      </c>
      <c r="DH81" s="206">
        <f>IF(L81=1,COUNTIF($L$2:L81,1),"")</f>
        <v>80</v>
      </c>
      <c r="DI81" s="206">
        <f>IF(M81=1,COUNTIF($M$2:M81,1),"")</f>
        <v>80</v>
      </c>
      <c r="DJ81" s="206">
        <f>IF(N81=1,COUNTIF($N$2:N81,1),"")</f>
        <v>80</v>
      </c>
      <c r="DK81" s="206">
        <f>IF(O81=1,COUNTIF($O$2:O81,1),"")</f>
        <v>80</v>
      </c>
      <c r="DL81" s="206">
        <f>IF(P81=1,COUNTIF($P$2:P81,1),"")</f>
        <v>80</v>
      </c>
      <c r="DM81" s="206">
        <f>IF(Q81=1,COUNTIF($Q$2:Q81,1),"")</f>
        <v>80</v>
      </c>
      <c r="DN81" s="207">
        <f>IF(R81=1,COUNTIF($R$2:R81,1),"")</f>
        <v>80</v>
      </c>
      <c r="DO81" s="207">
        <f>IF(S81=1,COUNTIF($S$2:S81,1),"")</f>
        <v>80</v>
      </c>
      <c r="DP81" s="207">
        <f>IF(T81=1,COUNTIF($T$2:T81,1),"")</f>
        <v>80</v>
      </c>
      <c r="DQ81" s="207">
        <f>IF(U81=1,COUNTIF($U$2:U81,1),"")</f>
        <v>80</v>
      </c>
      <c r="DR81" s="207">
        <f>IF(V81=1,COUNTIF($V$2:V81,1),"")</f>
        <v>80</v>
      </c>
      <c r="DS81" s="207">
        <f>IF(W81=1,COUNTIF($W$2:W81,1),"")</f>
        <v>80</v>
      </c>
      <c r="DT81" s="207">
        <f>IF(X81=1,COUNTIF($X$2:X81,1),"")</f>
        <v>80</v>
      </c>
      <c r="DU81" s="207">
        <f>IF(Y81=1,COUNTIF($Y$2:Y81,1),"")</f>
        <v>80</v>
      </c>
      <c r="DV81" s="207">
        <f>IF(Z81=1,COUNTIF(Z$2:Z81,1),"")</f>
        <v>80</v>
      </c>
      <c r="DW81" s="207">
        <f>IF(AA81=1,COUNTIF($AA$2:AA81,1),"")</f>
        <v>80</v>
      </c>
      <c r="DX81" s="207">
        <f>IF(AB81=1,COUNTIF($AB$2:AB81,1),"")</f>
        <v>80</v>
      </c>
      <c r="DY81" s="207">
        <f>IF(AC81=1,COUNTIF($AC$2:AC81,1),"")</f>
        <v>80</v>
      </c>
      <c r="DZ81" s="207">
        <f>IF(AD81=1,COUNTIF($AD$2:AD81,1),"")</f>
        <v>80</v>
      </c>
      <c r="EA81" s="207">
        <f>IF(AE81=1,COUNTIF($AE$2:AE81,1),"")</f>
        <v>80</v>
      </c>
      <c r="EB81" s="207">
        <f>IF(AF81=1,COUNTIF($AF$2:AF81,1),"")</f>
        <v>80</v>
      </c>
      <c r="EC81" s="207">
        <f>IF(AG81=1,COUNTIF($AG$2:AG81,1),"")</f>
        <v>80</v>
      </c>
      <c r="ED81" s="207">
        <f>IF(AH81=1,COUNTIF($AH$2:AH81,1),"")</f>
        <v>80</v>
      </c>
      <c r="EE81" s="207">
        <f>IF(AI81=1,COUNTIF($AI$2:AI81,1),"")</f>
        <v>80</v>
      </c>
      <c r="EF81" s="207">
        <f>IF(AJ81=1,COUNTIF($AJ$2:AJ81,1),"")</f>
        <v>80</v>
      </c>
      <c r="EG81" s="207">
        <f>IF(AK81=1,COUNTIF($AK$2:AK81,1),"")</f>
        <v>80</v>
      </c>
      <c r="EH81" s="207">
        <f>IF(AL81=1,COUNTIF($AL$2:AL81,1),"")</f>
        <v>80</v>
      </c>
      <c r="EI81" s="207">
        <f>IF(AM81=1,COUNTIF($AM$2:AM81,1),"")</f>
        <v>80</v>
      </c>
      <c r="EJ81" s="207">
        <f>IF(AN81=1,COUNTIF($AN$2:AN81,1),"")</f>
        <v>80</v>
      </c>
      <c r="EK81" s="207">
        <f>IF(AO81=1,COUNTIF($AO$2:AO81,1),"")</f>
        <v>80</v>
      </c>
      <c r="EL81" s="207">
        <f>IF(AP81=1,COUNTIF($AP$2:AP81,1),"")</f>
        <v>80</v>
      </c>
      <c r="EM81" s="207">
        <f>IF(AQ81=1,COUNTIF($AQ$2:AQ81,1),"")</f>
        <v>80</v>
      </c>
      <c r="EN81" s="207">
        <f>IF(AR81=1,COUNTIF($AR$2:AR81,1),"")</f>
        <v>80</v>
      </c>
      <c r="EO81" s="207">
        <f>IF(AS81=1,COUNTIF($AS$2:AS81,1),"")</f>
        <v>80</v>
      </c>
      <c r="EP81" s="207">
        <f>IF(AT81=1,COUNTIF($AT$2:AT81,1),"")</f>
        <v>80</v>
      </c>
      <c r="EQ81" s="207">
        <f>IF(AU81=1,COUNTIF($AU$2:AU81,1),"")</f>
        <v>80</v>
      </c>
      <c r="ER81" s="207">
        <f>IF(AV81=1,COUNTIF($AV$2:AV81,1),"")</f>
        <v>80</v>
      </c>
      <c r="ES81" s="207">
        <f>IF(AW81=1,COUNTIF($AW$2:AW81,1),"")</f>
        <v>80</v>
      </c>
      <c r="ET81" s="207">
        <f>IF(AX81=1,COUNTIF($AX$2:AX81,1),"")</f>
        <v>80</v>
      </c>
      <c r="EU81" s="207">
        <f>IF(AY81=1,COUNTIF($AY$2:AY81,1),"")</f>
        <v>80</v>
      </c>
      <c r="EV81" s="207">
        <f>IF(AZ81=1,COUNTIF($AZ$2:AZ81,1),"")</f>
        <v>80</v>
      </c>
      <c r="EW81" s="207">
        <f>IF(BA81=1,COUNTIF($BA$2:BA81,1),"")</f>
        <v>80</v>
      </c>
      <c r="EX81" s="207">
        <f>IF(BB81=1,COUNTIF($BB$2:BB81,1),"")</f>
        <v>80</v>
      </c>
      <c r="EY81" s="207">
        <f>IF(BC81=1,COUNTIF($BC$2:BC81,1),"")</f>
        <v>80</v>
      </c>
      <c r="EZ81" s="207">
        <f>IF(BD81=1,COUNTIF($BD$2:BD81,1),"")</f>
        <v>80</v>
      </c>
      <c r="FA81" s="207">
        <f>IF(BE81=1,COUNTIF($BE$2:BE81,1),"")</f>
        <v>80</v>
      </c>
      <c r="FB81" s="207">
        <f>IF(BF81=1,COUNTIF($BF$2:BF81,1),"")</f>
        <v>80</v>
      </c>
      <c r="FC81" s="207">
        <f>IF(BG81=1,COUNTIF($BG$2:BG81,1),"")</f>
        <v>80</v>
      </c>
      <c r="FD81" s="207">
        <f>IF(BH81=1,COUNTIF($BH$2:BH81,1),"")</f>
        <v>80</v>
      </c>
      <c r="FE81" s="207">
        <f>IF(BI81=1,COUNTIF($BI$2:BI81,1),"")</f>
        <v>80</v>
      </c>
      <c r="FF81" s="207">
        <f>IF(BJ81=1,COUNTIF($BJ$2:BJ81,1),"")</f>
        <v>80</v>
      </c>
      <c r="FG81" s="207">
        <f>IF(BK81=1,COUNTIF($BK$2:BK81,1),"")</f>
        <v>80</v>
      </c>
      <c r="FH81" s="207">
        <f>IF(BL81=1,COUNTIF($BL$2:BL81,1),"")</f>
        <v>80</v>
      </c>
      <c r="FI81" s="207">
        <f>IF(BM81=1,COUNTIF($BM$2:BM81,1),"")</f>
        <v>80</v>
      </c>
      <c r="FJ81" s="207">
        <f>IF(BN81=1,COUNTIF($BN$2:BN81,1),"")</f>
        <v>80</v>
      </c>
      <c r="FK81" s="207">
        <f>IF(BO81=1,COUNTIF($BO$2:BO81,1),"")</f>
        <v>80</v>
      </c>
      <c r="FL81" s="207">
        <f>IF(BP81=1,COUNTIF($BP$2:BP81,1),"")</f>
        <v>80</v>
      </c>
      <c r="FM81" s="207">
        <f>IF(BQ81=1,COUNTIF($BQ$2:BQ81,1),"")</f>
        <v>80</v>
      </c>
      <c r="FN81" s="207">
        <f>IF(BR81=1,COUNTIF($BR$2:BR81,1),"")</f>
        <v>80</v>
      </c>
      <c r="FO81" s="207">
        <f>IF(BS81=1,COUNTIF($BS$2:BS81,1),"")</f>
        <v>80</v>
      </c>
      <c r="FP81" s="207">
        <f>IF(BT81=1,COUNTIF($BT$2:BT81,1),"")</f>
        <v>80</v>
      </c>
      <c r="FQ81" s="207">
        <f>IF(BU81=1,COUNTIF($BU$2:BU81,1),"")</f>
        <v>80</v>
      </c>
      <c r="FR81" s="207">
        <f>IF(BV81=1,COUNTIF($BV$2:BV81,1),"")</f>
        <v>80</v>
      </c>
      <c r="FS81" s="207">
        <f>IF(BW81=1,COUNTIF($BW$2:BW81,1),"")</f>
        <v>80</v>
      </c>
      <c r="FT81" s="207">
        <f>IF(BX81=1,COUNTIF($BX$2:BX81,1),"")</f>
        <v>80</v>
      </c>
      <c r="FU81" s="207">
        <f>IF(BY81=1,COUNTIF($BY$2:BY81,1),"")</f>
        <v>80</v>
      </c>
      <c r="FV81" s="207">
        <f>IF(BZ81=1,COUNTIF($BZ$2:BZ81,1),"")</f>
        <v>80</v>
      </c>
      <c r="FW81" s="207">
        <f>IF(CA81=1,COUNTIF($CA$2:CA81,1),"")</f>
        <v>80</v>
      </c>
      <c r="FX81" s="207">
        <f>IF(CB81=1,COUNTIF($CB$2:CB81,1),"")</f>
        <v>80</v>
      </c>
      <c r="FY81" s="207">
        <f>IF(CC81=1,COUNTIF($CC$2:CC81,1),"")</f>
        <v>80</v>
      </c>
      <c r="FZ81" s="207">
        <f>IF(CD81=1,COUNTIF($CD$2:CD81,1),"")</f>
        <v>80</v>
      </c>
      <c r="GA81" s="207">
        <f>IF(CE81=1,COUNTIF($CE$2:CE81,1),"")</f>
        <v>80</v>
      </c>
      <c r="GB81" s="207">
        <f>IF(CF81=1,COUNTIF($CF$2:CF81,1),"")</f>
        <v>80</v>
      </c>
      <c r="GC81" s="207">
        <f>IF(CG81=1,COUNTIF($CG$2:CG81,1),"")</f>
        <v>80</v>
      </c>
      <c r="GD81" s="207">
        <f>IF(CH81=1,COUNTIF($CH$2:CH81,1),"")</f>
        <v>80</v>
      </c>
      <c r="GE81" s="207">
        <f>IF(CI81=1,COUNTIF($CI$2:CI81,1),"")</f>
        <v>80</v>
      </c>
      <c r="GF81" s="207">
        <f>IF(CJ81=1,COUNTIF($CJ$2:CJ81,1),"")</f>
        <v>80</v>
      </c>
      <c r="GG81" s="207">
        <f>IF(CK81=1,COUNTIF($CK$2:CK81,1),"")</f>
        <v>80</v>
      </c>
      <c r="GH81" s="207">
        <f>IF(CL81=1,COUNTIF($CL$2:CL81,1),"")</f>
        <v>80</v>
      </c>
      <c r="GI81" s="207">
        <f>IF(CM81=1,COUNTIF($CM$2:CM81,1),"")</f>
        <v>80</v>
      </c>
      <c r="GJ81" s="207">
        <f>IF(CN81=1,COUNTIF($CN$2:CN81,1),"")</f>
        <v>80</v>
      </c>
      <c r="GK81" s="207">
        <f>IF(CO81=1,COUNTIF($CO$2:CO81,1),"")</f>
        <v>80</v>
      </c>
      <c r="GL81" s="207">
        <f>IF(CP81=1,COUNTIF($CP$2:CP81,1),"")</f>
        <v>80</v>
      </c>
      <c r="GM81" s="207">
        <f>IF(CQ81=1,COUNTIF($CQ$2:CQ81,1),"")</f>
        <v>80</v>
      </c>
      <c r="GN81" s="207">
        <f>IF(CR81=1,COUNTIF($CR$2:CR81,1),"")</f>
        <v>80</v>
      </c>
      <c r="GO81" s="207">
        <f>IF(CS81=1,COUNTIF($CS$2:CS81,1),"")</f>
        <v>80</v>
      </c>
      <c r="GP81" s="207">
        <f>IF(CT81=1,COUNTIF($CT$2:CT81,1),"")</f>
        <v>80</v>
      </c>
      <c r="GQ81" s="207">
        <f>IF(CU81=1,COUNTIF($CU$2:CU81,1),"")</f>
        <v>80</v>
      </c>
      <c r="GR81" s="207">
        <f>IF(CV81=1,COUNTIF($CV$2:CV81,1),"")</f>
        <v>80</v>
      </c>
      <c r="GS81" s="207">
        <f>IF(CW81=1,COUNTIF($CW$2:CW81,1),"")</f>
        <v>80</v>
      </c>
      <c r="GT81" s="207">
        <f>IF(CX81=1,COUNTIF($CX$2:CX81,1),"")</f>
        <v>80</v>
      </c>
      <c r="GU81" s="207">
        <f>IF(CY81=1,COUNTIF($CY$2:CY81,1),"")</f>
        <v>80</v>
      </c>
      <c r="GV81" s="207">
        <f>IF(CZ81=1,COUNTIF($CZ$2:CZ81,1),"")</f>
        <v>80</v>
      </c>
      <c r="GW81" s="207">
        <f>IF(DA81=1,COUNTIF($DA$2:DA81,1),"")</f>
        <v>80</v>
      </c>
      <c r="GX81" s="206" t="str">
        <f>IFERROR(INDEX($A$2:$A$113,MATCH(ROWS($DB$2:DB81),$DB$2:$DB$113,0)),"")</f>
        <v>DESOBEDIENCIA DE UNA ORDEN JUDICIAL</v>
      </c>
      <c r="GY81" s="206" t="str">
        <f>IFERROR(INDEX($A$2:$A$113,MATCH(ROWS($DC$2:DC81),$DC$2:$DC$113,0)),"")</f>
        <v>DESOBEDIENCIA DE UNA ORDEN JUDICIAL</v>
      </c>
      <c r="GZ81" s="206" t="str">
        <f>IFERROR(INDEX($A$2:$A$113,MATCH(ROWS($DD$2:DD81),$DD$2:$DD$113,0)),"")</f>
        <v>DESOBEDIENCIA DE UNA ORDEN JUDICIAL</v>
      </c>
      <c r="HA81" s="206" t="str">
        <f>IFERROR(INDEX($A$2:$A$113,MATCH(ROWS($DE$2:DE81),$DE$2:$DE$113,0)),"")</f>
        <v>DESOBEDIENCIA DE UNA ORDEN JUDICIAL</v>
      </c>
      <c r="HB81" s="206" t="str">
        <f>IFERROR(INDEX($A$2:$A$113,MATCH(ROWS($DF$2:DF81),$DF$2:$DF$113,0)),"")</f>
        <v>DESOBEDIENCIA DE UNA ORDEN JUDICIAL</v>
      </c>
      <c r="HC81" s="206" t="str">
        <f>IFERROR(INDEX($A$2:$A$113,MATCH(ROWS($DG$2:DG81),$DG$2:$DG$113,0)),"")</f>
        <v>DESOBEDIENCIA DE UNA ORDEN JUDICIAL</v>
      </c>
      <c r="HD81" s="206" t="str">
        <f>IFERROR(INDEX($A$2:$A$113,MATCH(ROWS($DH$2:DH81),$DH$2:$DH$113,0)),"")</f>
        <v>DESOBEDIENCIA DE UNA ORDEN JUDICIAL</v>
      </c>
      <c r="HE81" s="206" t="str">
        <f>IFERROR(INDEX($A$2:$A$113,MATCH(ROWS($DI$2:DI81),$DI$2:$DI$113,0)),"")</f>
        <v>DESOBEDIENCIA DE UNA ORDEN JUDICIAL</v>
      </c>
      <c r="HF81" s="206" t="str">
        <f>IFERROR(INDEX($A$2:$A$113,MATCH(ROWS($DJ$2:DJ81),$DJ$2:$DJ$113,0)),"")</f>
        <v>DESOBEDIENCIA DE UNA ORDEN JUDICIAL</v>
      </c>
      <c r="HG81" s="206" t="str">
        <f>IFERROR(INDEX($A$2:$A$113,MATCH(ROWS($DK$2:DK81),$DK$2:$DK$113,0)),"")</f>
        <v>DESOBEDIENCIA DE UNA ORDEN JUDICIAL</v>
      </c>
      <c r="HH81" s="206" t="str">
        <f>IFERROR(INDEX($A$2:$A$113,MATCH(ROWS($DL$2:DL81),$DL$2:$DL$113,0)),"")</f>
        <v>DESOBEDIENCIA DE UNA ORDEN JUDICIAL</v>
      </c>
      <c r="HI81" s="206" t="str">
        <f>IFERROR(INDEX($A$2:$A$113,MATCH(ROWS($DM$2:DM81),$DM$2:$DM$113,0)),"")</f>
        <v>DESOBEDIENCIA DE UNA ORDEN JUDICIAL</v>
      </c>
      <c r="HJ81" s="206" t="str">
        <f>IFERROR(INDEX($A$2:$A$113,MATCH(ROWS($DN$2:DN81),$DN$2:$DN$113,0)),"")</f>
        <v>DESOBEDIENCIA DE UNA ORDEN JUDICIAL</v>
      </c>
      <c r="HK81" s="206" t="str">
        <f>IFERROR(INDEX($A$2:$A$113,MATCH(ROWS($DO$2:DO81),$DO$2:$DO$113,0)),"")</f>
        <v>DESOBEDIENCIA DE UNA ORDEN JUDICIAL</v>
      </c>
      <c r="HL81" s="206" t="str">
        <f>IFERROR(INDEX($A$2:$A$113,MATCH(ROWS($DP$2:DP81),$DP$2:$DP$113,0)),"")</f>
        <v>DESOBEDIENCIA DE UNA ORDEN JUDICIAL</v>
      </c>
      <c r="HM81" s="206" t="str">
        <f>IFERROR(INDEX($A$2:$A$113,MATCH(ROWS($DQ$2:DQ81),$DQ$2:$DQ$113,0)),"")</f>
        <v>DESOBEDIENCIA DE UNA ORDEN JUDICIAL</v>
      </c>
      <c r="HN81" s="206" t="str">
        <f>IFERROR(INDEX($A$2:$A$113,MATCH(ROWS($DR$2:DR81),$DR$2:$DR$113,0)),"")</f>
        <v>DESOBEDIENCIA DE UNA ORDEN JUDICIAL</v>
      </c>
      <c r="HO81" s="206" t="str">
        <f>IFERROR(INDEX($A$2:$A$113,MATCH(ROWS($DS$2:DS81),$DS$2:$DS$113,0)),"")</f>
        <v>DESOBEDIENCIA DE UNA ORDEN JUDICIAL</v>
      </c>
      <c r="HP81" s="206" t="str">
        <f>IFERROR(INDEX($A$2:$A$113,MATCH(ROWS($DT$2:DT81),$DT$2:$DT$113,0)),"")</f>
        <v>DESOBEDIENCIA DE UNA ORDEN JUDICIAL</v>
      </c>
      <c r="HQ81" s="206" t="str">
        <f>IFERROR(INDEX($A$2:$A$113,MATCH(ROWS($DU$2:DU81),$DU$2:$DU$113,0)),"")</f>
        <v>DESOBEDIENCIA DE UNA ORDEN JUDICIAL</v>
      </c>
      <c r="HR81" s="206" t="str">
        <f>IFERROR(INDEX($A$2:$A$113,MATCH(ROWS($DV$2:DV81),$DV$2:$DV$113,0)),"")</f>
        <v>DESOBEDIENCIA DE UNA ORDEN JUDICIAL</v>
      </c>
      <c r="HS81" s="206" t="str">
        <f>IFERROR(INDEX($A$2:$A$113,MATCH(ROWS($DW$2:DW81),$DW$2:$DW$113,0)),"")</f>
        <v>DESOBEDIENCIA DE UNA ORDEN JUDICIAL</v>
      </c>
      <c r="HT81" s="206" t="str">
        <f>IFERROR(INDEX($A$2:$A$113,MATCH(ROWS($DX$2:DX81),$DX$2:$DX$113,0)),"")</f>
        <v>DESOBEDIENCIA DE UNA ORDEN JUDICIAL</v>
      </c>
      <c r="HU81" s="206" t="str">
        <f>IFERROR(INDEX($A$2:$A$113,MATCH(ROWS($DY$2:DY81),$DY$2:$DY$113,0)),"")</f>
        <v>DESOBEDIENCIA DE UNA ORDEN JUDICIAL</v>
      </c>
      <c r="HV81" s="206" t="str">
        <f>IFERROR(INDEX($A$2:$A$113,MATCH(ROWS($DZ$2:DZ81),$DZ$2:$DZ$113,0)),"")</f>
        <v>DESOBEDIENCIA DE UNA ORDEN JUDICIAL</v>
      </c>
      <c r="HW81" s="206" t="str">
        <f>IFERROR(INDEX($A$2:$A$113,MATCH(ROWS($EA$2:EA81),$EA$2:$EA$113,0)),"")</f>
        <v>DESOBEDIENCIA DE UNA ORDEN JUDICIAL</v>
      </c>
      <c r="HX81" s="206" t="str">
        <f>IFERROR(INDEX($A$2:$A$113,MATCH(ROWS($EB$2:EB81),$EB$2:$EB$113,0)),"")</f>
        <v>DESOBEDIENCIA DE UNA ORDEN JUDICIAL</v>
      </c>
      <c r="HY81" s="206" t="str">
        <f>IFERROR(INDEX($A$2:$A$113,MATCH(ROWS($EC$2:EC81),$EC$2:$EC$113,0)),"")</f>
        <v>DESOBEDIENCIA DE UNA ORDEN JUDICIAL</v>
      </c>
      <c r="HZ81" s="206" t="str">
        <f>IFERROR(INDEX($A$2:$A$113,MATCH(ROWS($ED$2:ED81),$ED$2:$ED$113,0)),"")</f>
        <v>DESOBEDIENCIA DE UNA ORDEN JUDICIAL</v>
      </c>
      <c r="IA81" s="206" t="str">
        <f>IFERROR(INDEX($A$2:$A$113,MATCH(ROWS($EE$2:EE81),$EE$2:$EE$113,0)),"")</f>
        <v>DESOBEDIENCIA DE UNA ORDEN JUDICIAL</v>
      </c>
      <c r="IB81" s="206" t="str">
        <f>IFERROR(INDEX($A$2:$A$113,MATCH(ROWS($EF$2:EF81),$EF$2:$EF$113,0)),"")</f>
        <v>DESOBEDIENCIA DE UNA ORDEN JUDICIAL</v>
      </c>
      <c r="IC81" s="206" t="str">
        <f>IFERROR(INDEX($A$2:$A$113,MATCH(ROWS($EG$2:EG81),$EG$2:$EG$113,0)),"")</f>
        <v>DESOBEDIENCIA DE UNA ORDEN JUDICIAL</v>
      </c>
      <c r="ID81" s="206" t="str">
        <f>IFERROR(INDEX($A$2:$A$113,MATCH(ROWS($EH$2:EH81),$EH$2:$EH$113,0)),"")</f>
        <v>DESOBEDIENCIA DE UNA ORDEN JUDICIAL</v>
      </c>
      <c r="IE81" s="206" t="str">
        <f>IFERROR(INDEX($A$2:$A$113,MATCH(ROWS($EI$2:EI81),$EI$2:$EI$113,0)),"")</f>
        <v>DESOBEDIENCIA DE UNA ORDEN JUDICIAL</v>
      </c>
      <c r="IF81" s="206" t="str">
        <f>IFERROR(INDEX($A$2:$A$113,MATCH(ROWS($EJ$2:EJ81),$EJ$2:$EJ$113,0)),"")</f>
        <v>DESOBEDIENCIA DE UNA ORDEN JUDICIAL</v>
      </c>
      <c r="IG81" s="206" t="str">
        <f>IFERROR(INDEX($A$2:$A$113,MATCH(ROWS($EK$2:EK81),$EK$2:$EK$113,0)),"")</f>
        <v>DESOBEDIENCIA DE UNA ORDEN JUDICIAL</v>
      </c>
      <c r="IH81" s="206" t="str">
        <f>IFERROR(INDEX($A$2:$A$113,MATCH(ROWS($EL$2:EL81),$EL$2:$EL$113,0)),"")</f>
        <v>DESOBEDIENCIA DE UNA ORDEN JUDICIAL</v>
      </c>
      <c r="II81" s="206" t="str">
        <f>IFERROR(INDEX($A$2:$A$113,MATCH(ROWS($EM$2:EM81),$EM$2:$EM$113,0)),"")</f>
        <v>DESOBEDIENCIA DE UNA ORDEN JUDICIAL</v>
      </c>
      <c r="IJ81" s="206" t="str">
        <f>IFERROR(INDEX($A$2:$A$113,MATCH(ROWS($EN$2:EN81),$EN$2:$EN$113,0)),"")</f>
        <v>DESOBEDIENCIA DE UNA ORDEN JUDICIAL</v>
      </c>
      <c r="IK81" s="207" t="str">
        <f>IFERROR(INDEX($A$2:$A$113,MATCH(ROWS($EO$2:EO81),$EO$2:$EO$113,0)),"")</f>
        <v>DESOBEDIENCIA DE UNA ORDEN JUDICIAL</v>
      </c>
      <c r="IL81" s="207" t="str">
        <f>IFERROR(INDEX($A$2:$A$113,MATCH(ROWS($EP$2:EP81),$EP$2:$EP$113,0)),"")</f>
        <v>DESOBEDIENCIA DE UNA ORDEN JUDICIAL</v>
      </c>
      <c r="IM81" s="207" t="str">
        <f>IFERROR(INDEX($A$2:$A$113,MATCH(ROWS($EQ$2:EQ81),$EQ$2:$EQ$113,0)),"")</f>
        <v>DESOBEDIENCIA DE UNA ORDEN JUDICIAL</v>
      </c>
      <c r="IN81" s="207" t="str">
        <f>IFERROR(INDEX($A$2:$A$113,MATCH(ROWS($ER$2:ER81),$ER$2:$ER$113,0)),"")</f>
        <v>DESOBEDIENCIA DE UNA ORDEN JUDICIAL</v>
      </c>
      <c r="IO81" s="207" t="str">
        <f>IFERROR(INDEX($A$2:$A$113,MATCH(ROWS($ES$2:ES81),$ES$2:$ES$113,0)),"")</f>
        <v>DESOBEDIENCIA DE UNA ORDEN JUDICIAL</v>
      </c>
      <c r="IP81" s="207" t="str">
        <f>IFERROR(INDEX($A$2:$A$113,MATCH(ROWS($ET$2:ET81),$ET$2:$ET$113,0)),"")</f>
        <v>DESOBEDIENCIA DE UNA ORDEN JUDICIAL</v>
      </c>
      <c r="IQ81" s="207" t="str">
        <f>IFERROR(INDEX($A$2:$A$113,MATCH(ROWS($EU$2:EU81),$EU$2:$EU$113,0)),"")</f>
        <v>DESOBEDIENCIA DE UNA ORDEN JUDICIAL</v>
      </c>
      <c r="IR81" s="207" t="str">
        <f>IFERROR(INDEX($A$2:$A$113,MATCH(ROWS($EV$2:EV81),$EV$2:$EV$113,0)),"")</f>
        <v>DESOBEDIENCIA DE UNA ORDEN JUDICIAL</v>
      </c>
      <c r="IS81" s="207" t="str">
        <f>IFERROR(INDEX($A$2:$A$113,MATCH(ROWS($EW$2:EW81),$EW$2:$EW$113,0)),"")</f>
        <v>DESOBEDIENCIA DE UNA ORDEN JUDICIAL</v>
      </c>
      <c r="IT81" s="207" t="str">
        <f>IFERROR(INDEX($A$2:$A$113,MATCH(ROWS($EX$2:EX81),$EX$2:$EX$113,0)),"")</f>
        <v>DESOBEDIENCIA DE UNA ORDEN JUDICIAL</v>
      </c>
      <c r="IU81" s="207" t="str">
        <f>IFERROR(INDEX($A$2:$A$113,MATCH(ROWS($EY$2:EY81),$EY$2:$EY$113,0)),"")</f>
        <v>DESOBEDIENCIA DE UNA ORDEN JUDICIAL</v>
      </c>
      <c r="IV81" s="207" t="str">
        <f>IFERROR(INDEX($A$2:$A$113,MATCH(ROWS($EZ$2:EZ81),$EZ$2:$EZ$113,0)),"")</f>
        <v>DESOBEDIENCIA DE UNA ORDEN JUDICIAL</v>
      </c>
      <c r="IW81" s="207" t="str">
        <f>IFERROR(INDEX($A$2:$A$113,MATCH(ROWS($FA$2:FA81),$FA$2:$FA$113,0)),"")</f>
        <v>DESOBEDIENCIA DE UNA ORDEN JUDICIAL</v>
      </c>
      <c r="IX81" s="207" t="str">
        <f>IFERROR(INDEX($A$2:$A$113,MATCH(ROWS($FB$2:FB81),$FB$2:$FB$113,0)),"")</f>
        <v>DESOBEDIENCIA DE UNA ORDEN JUDICIAL</v>
      </c>
      <c r="IY81" s="207" t="str">
        <f>IFERROR(INDEX($A$2:$A$113,MATCH(ROWS($FC$2:FC81),$FC$2:$FC$113,0)),"")</f>
        <v>DESOBEDIENCIA DE UNA ORDEN JUDICIAL</v>
      </c>
      <c r="IZ81" s="207" t="str">
        <f>IFERROR(INDEX($A$2:$A$113,MATCH(ROWS($FD$2:FD81),$FD$2:$FD$113,0)),"")</f>
        <v>DESOBEDIENCIA DE UNA ORDEN JUDICIAL</v>
      </c>
      <c r="JA81" s="207" t="str">
        <f>IFERROR(INDEX($A$2:$A$113,MATCH(ROWS($FE$2:FE81),$FE$2:$FE$113,0)),"")</f>
        <v>DESOBEDIENCIA DE UNA ORDEN JUDICIAL</v>
      </c>
      <c r="JB81" s="207" t="str">
        <f>IFERROR(INDEX($A$2:$A$113,MATCH(ROWS($FF$2:FF81),$FF$2:$FF$113,0)),"")</f>
        <v>DESOBEDIENCIA DE UNA ORDEN JUDICIAL</v>
      </c>
      <c r="JC81" s="207" t="str">
        <f>IFERROR(INDEX($A$2:$A$113,MATCH(ROWS($FG$2:FG81),$FG$2:$FG$113,0)),"")</f>
        <v>DESOBEDIENCIA DE UNA ORDEN JUDICIAL</v>
      </c>
      <c r="JD81" s="207" t="str">
        <f>IFERROR(INDEX($A$2:$A$113,MATCH(ROWS($FH$2:FH81),$FH$2:$FH$113,0)),"")</f>
        <v>DESOBEDIENCIA DE UNA ORDEN JUDICIAL</v>
      </c>
      <c r="JE81" s="207" t="str">
        <f>IFERROR(INDEX($A$2:$A$113,MATCH(ROWS($FI$2:FI81),$FI$2:$FI$113,0)),"")</f>
        <v>DESOBEDIENCIA DE UNA ORDEN JUDICIAL</v>
      </c>
      <c r="JF81" s="207" t="str">
        <f>IFERROR(INDEX($A$2:$A$113,MATCH(ROWS($FJ$2:FJ81),$FJ$2:$FJ$113,0)),"")</f>
        <v>DESOBEDIENCIA DE UNA ORDEN JUDICIAL</v>
      </c>
      <c r="JG81" s="207" t="str">
        <f>IFERROR(INDEX($A$2:$A$113,MATCH(ROWS($FK$2:FK81),$FK$2:$FK$113,0)),"")</f>
        <v>DESOBEDIENCIA DE UNA ORDEN JUDICIAL</v>
      </c>
      <c r="JH81" s="207" t="str">
        <f>IFERROR(INDEX($A$2:$A$113,MATCH(ROWS($FL$2:FL81),$FL$2:$FL$113,0)),"")</f>
        <v>DESOBEDIENCIA DE UNA ORDEN JUDICIAL</v>
      </c>
      <c r="JI81" s="207" t="str">
        <f>IFERROR(INDEX($A$2:$A$113,MATCH(ROWS($FM$2:FM81),$FM$2:$FM$113,0)),"")</f>
        <v>DESOBEDIENCIA DE UNA ORDEN JUDICIAL</v>
      </c>
      <c r="JJ81" s="207" t="str">
        <f>IFERROR(INDEX($A$2:$A$113,MATCH(ROWS($FN$2:FN81),$FN$2:$FN$113,0)),"")</f>
        <v>DESOBEDIENCIA DE UNA ORDEN JUDICIAL</v>
      </c>
      <c r="JK81" s="207" t="str">
        <f>IFERROR(INDEX($A$2:$A$113,MATCH(ROWS($FO$2:FO81),$FO$2:$FO$113,0)),"")</f>
        <v>DESOBEDIENCIA DE UNA ORDEN JUDICIAL</v>
      </c>
      <c r="JL81" s="207" t="str">
        <f>IFERROR(INDEX($A$2:$A$113,MATCH(ROWS($FP$2:FP81),$FP$2:$FP$113,0)),"")</f>
        <v>DESOBEDIENCIA DE UNA ORDEN JUDICIAL</v>
      </c>
      <c r="JM81" s="207" t="str">
        <f>IFERROR(INDEX($A$2:$A$113,MATCH(ROWS($FQ$2:FQ81),$FQ$2:$FQ$113,0)),"")</f>
        <v>DESOBEDIENCIA DE UNA ORDEN JUDICIAL</v>
      </c>
      <c r="JN81" s="207" t="str">
        <f>IFERROR(INDEX($A$2:$A$113,MATCH(ROWS($FR$2:FR81),$FR$2:$FR$113,0)),"")</f>
        <v>DESOBEDIENCIA DE UNA ORDEN JUDICIAL</v>
      </c>
      <c r="JO81" s="207" t="str">
        <f>IFERROR(INDEX($A$2:$A$113,MATCH(ROWS($FS$2:FS81),$FS$2:$FS$113,0)),"")</f>
        <v>DESOBEDIENCIA DE UNA ORDEN JUDICIAL</v>
      </c>
      <c r="JP81" s="207" t="str">
        <f>IFERROR(INDEX($A$2:$A$113,MATCH(ROWS($FT$2:FT81),$FT$2:$FT$113,0)),"")</f>
        <v>DESOBEDIENCIA DE UNA ORDEN JUDICIAL</v>
      </c>
      <c r="JQ81" s="207" t="str">
        <f>IFERROR(INDEX($A$2:$A$113,MATCH(ROWS($FU$2:FU81),$FU$2:$FU$113,0)),"")</f>
        <v>DESOBEDIENCIA DE UNA ORDEN JUDICIAL</v>
      </c>
      <c r="JR81" s="207" t="str">
        <f>IFERROR(INDEX($A$2:$A$113,MATCH(ROWS($FV$2:FV81),$FV$2:$FV$113,0)),"")</f>
        <v>DESOBEDIENCIA DE UNA ORDEN JUDICIAL</v>
      </c>
      <c r="JS81" s="207" t="str">
        <f>IFERROR(INDEX($A$2:$A$113,MATCH(ROWS($FW$2:FW81),$FW$2:$FW$113,0)),"")</f>
        <v>DESOBEDIENCIA DE UNA ORDEN JUDICIAL</v>
      </c>
      <c r="JT81" s="207" t="str">
        <f>IFERROR(INDEX($A$2:$A$113,MATCH(ROWS($FX$2:FX81),$FX$2:$FX$113,0)),"")</f>
        <v>DESOBEDIENCIA DE UNA ORDEN JUDICIAL</v>
      </c>
      <c r="JU81" s="207" t="str">
        <f>IFERROR(INDEX($A$2:$A$113,MATCH(ROWS($FY$2:FY81),$FY$2:$FY$113,0)),"")</f>
        <v>DESOBEDIENCIA DE UNA ORDEN JUDICIAL</v>
      </c>
      <c r="JV81" s="207" t="str">
        <f>IFERROR(INDEX($A$2:$A$113,MATCH(ROWS($FZ$2:FZ81),$FZ$2:$FZ$113,0)),"")</f>
        <v>DESOBEDIENCIA DE UNA ORDEN JUDICIAL</v>
      </c>
      <c r="JW81" s="207" t="str">
        <f>IFERROR(INDEX($A$2:$A$113,MATCH(ROWS($GA$2:GA81),$GA$2:$GA$113,0)),"")</f>
        <v>DESOBEDIENCIA DE UNA ORDEN JUDICIAL</v>
      </c>
      <c r="JX81" s="207" t="str">
        <f>IFERROR(INDEX($A$2:$A$113,MATCH(ROWS($GB$2:GB81),$GB$2:$GB$113,0)),"")</f>
        <v>DESOBEDIENCIA DE UNA ORDEN JUDICIAL</v>
      </c>
      <c r="JY81" s="207" t="str">
        <f>IFERROR(INDEX($A$2:$A$113,MATCH(ROWS($GC$2:GC81),$GC$2:$GC$113,0)),"")</f>
        <v>DESOBEDIENCIA DE UNA ORDEN JUDICIAL</v>
      </c>
      <c r="JZ81" s="207" t="str">
        <f>IFERROR(INDEX($A$2:$A$113,MATCH(ROWS($GD$2:GD81),$GD$2:$GD$113,0)),"")</f>
        <v>DESOBEDIENCIA DE UNA ORDEN JUDICIAL</v>
      </c>
      <c r="KA81" s="207" t="str">
        <f>IFERROR(INDEX($A$2:$A$113,MATCH(ROWS($GE$2:GE81),$GE$2:$GE$113,0)),"")</f>
        <v>DESOBEDIENCIA DE UNA ORDEN JUDICIAL</v>
      </c>
      <c r="KB81" s="207" t="str">
        <f>IFERROR(INDEX($A$2:$A$113,MATCH(ROWS($GF$2:GF81),$GF$2:$GF$113,0)),"")</f>
        <v>DESOBEDIENCIA DE UNA ORDEN JUDICIAL</v>
      </c>
      <c r="KC81" s="207" t="str">
        <f>IFERROR(INDEX($A$2:$A$113,MATCH(ROWS($GG$2:GG81),$GG$2:$GG$113,0)),"")</f>
        <v>DESOBEDIENCIA DE UNA ORDEN JUDICIAL</v>
      </c>
      <c r="KD81" s="207" t="str">
        <f>IFERROR(INDEX($A$2:$A$113,MATCH(ROWS($GH$2:GH81),$GH$2:$GH$113,0)),"")</f>
        <v>DESOBEDIENCIA DE UNA ORDEN JUDICIAL</v>
      </c>
      <c r="KE81" s="207" t="str">
        <f>IFERROR(INDEX($A$2:$A$113,MATCH(ROWS($GI$2:GI81),$GI$2:$GI$113,0)),"")</f>
        <v>DESOBEDIENCIA DE UNA ORDEN JUDICIAL</v>
      </c>
      <c r="KF81" s="207" t="str">
        <f>IFERROR(INDEX($A$2:$A$113,MATCH(ROWS($GJ$2:GJ81),$GJ$2:$GJ$113,0)),"")</f>
        <v>DESOBEDIENCIA DE UNA ORDEN JUDICIAL</v>
      </c>
      <c r="KG81" s="207" t="str">
        <f>IFERROR(INDEX($A$2:$A$113,MATCH(ROWS($GK$2:GK81),$GK$2:$GK$113,0)),"")</f>
        <v>DESOBEDIENCIA DE UNA ORDEN JUDICIAL</v>
      </c>
      <c r="KH81" s="207" t="str">
        <f>IFERROR(INDEX($A$2:$A$113,MATCH(ROWS($GL$2:GL81),$GL$2:$GL$113,0)),"")</f>
        <v>DESOBEDIENCIA DE UNA ORDEN JUDICIAL</v>
      </c>
      <c r="KI81" s="207" t="str">
        <f>IFERROR(INDEX($A$2:$A$113,MATCH(ROWS($GM$2:GM81),$GM$2:$GM$113,0)),"")</f>
        <v>DESOBEDIENCIA DE UNA ORDEN JUDICIAL</v>
      </c>
      <c r="KJ81" s="207" t="str">
        <f>IFERROR(INDEX($A$2:$A$113,MATCH(ROWS($GN$2:GN81),$GN$2:$GN$113,0)),"")</f>
        <v>DESOBEDIENCIA DE UNA ORDEN JUDICIAL</v>
      </c>
      <c r="KK81" s="207" t="str">
        <f>IFERROR(INDEX($A$2:$A$113,MATCH(ROWS($GO$2:GO81),$GO$2:$GO$113,0)),"")</f>
        <v>DESOBEDIENCIA DE UNA ORDEN JUDICIAL</v>
      </c>
      <c r="KL81" s="207" t="str">
        <f>IFERROR(INDEX($A$2:$A$113,MATCH(ROWS($GP$2:GP81),$GP$2:$GP$113,0)),"")</f>
        <v>DESOBEDIENCIA DE UNA ORDEN JUDICIAL</v>
      </c>
      <c r="KM81" s="207" t="str">
        <f>IFERROR(INDEX($A$2:$A$113,MATCH(ROWS($GQ$2:GQ81),$GQ$2:$GQ$113,0)),"")</f>
        <v>DESOBEDIENCIA DE UNA ORDEN JUDICIAL</v>
      </c>
      <c r="KN81" s="207" t="str">
        <f>IFERROR(INDEX($A$2:$A$113,MATCH(ROWS($GR$2:GR81),$GR$2:$GR$113,0)),"")</f>
        <v>DESOBEDIENCIA DE UNA ORDEN JUDICIAL</v>
      </c>
      <c r="KO81" s="207" t="str">
        <f>IFERROR(INDEX($A$2:$A$113,MATCH(ROWS($GS$2:GS81),$GS$2:$GS$113,0)),"")</f>
        <v>DESOBEDIENCIA DE UNA ORDEN JUDICIAL</v>
      </c>
      <c r="KP81" s="207" t="str">
        <f>IFERROR(INDEX($A$2:$A$113,MATCH(ROWS($GT$2:GT81),$GT$2:$GT$113,0)),"")</f>
        <v>DESOBEDIENCIA DE UNA ORDEN JUDICIAL</v>
      </c>
      <c r="KQ81" s="207" t="str">
        <f>IFERROR(INDEX($A$2:$A$113,MATCH(ROWS($GU$2:GU81),$GU$2:$GU$113,0)),"")</f>
        <v>DESOBEDIENCIA DE UNA ORDEN JUDICIAL</v>
      </c>
      <c r="KR81" s="207" t="str">
        <f>IFERROR(INDEX($A$2:$A$113,MATCH(ROWS($GV$2:GV81),$GV$2:$GV$113,0)),"")</f>
        <v>DESOBEDIENCIA DE UNA ORDEN JUDICIAL</v>
      </c>
      <c r="KS81" s="207" t="str">
        <f>IFERROR(INDEX($A$2:$A$113,MATCH(ROWS($GW$2:GW81),$GW$2:$GW$113,0)),"")</f>
        <v>DESOBEDIENCIA DE UNA ORDEN JUDICIAL</v>
      </c>
    </row>
    <row r="82" spans="1:305" x14ac:dyDescent="0.25">
      <c r="A82" s="206" t="s">
        <v>21</v>
      </c>
      <c r="B82" s="206">
        <v>26</v>
      </c>
      <c r="D82" s="206" t="s">
        <v>21</v>
      </c>
      <c r="E82" s="206" t="s">
        <v>113</v>
      </c>
      <c r="F82" s="207">
        <f>--ISNUMBER(IFERROR(SEARCH('PLANILLA DJ'!$X$3,$A82,1),""))</f>
        <v>1</v>
      </c>
      <c r="G82" s="207">
        <f>--ISNUMBER(IFERROR(SEARCH('PLANILLA DJ'!$X$4,$A82,1),""))</f>
        <v>1</v>
      </c>
      <c r="H82" s="207">
        <f>--ISNUMBER(IFERROR(SEARCH('PLANILLA DJ'!$X$5,$A82,1),""))</f>
        <v>1</v>
      </c>
      <c r="I82" s="207">
        <f>--ISNUMBER(IFERROR(SEARCH('PLANILLA DJ'!$X$6,$A82,1),""))</f>
        <v>1</v>
      </c>
      <c r="J82" s="207">
        <f>--ISNUMBER(IFERROR(SEARCH('PLANILLA DJ'!$X$7,$A82,1),""))</f>
        <v>1</v>
      </c>
      <c r="K82" s="207">
        <f>--ISNUMBER(IFERROR(SEARCH('PLANILLA DJ'!$X$8,$A82,1),""))</f>
        <v>1</v>
      </c>
      <c r="L82" s="207">
        <f>--ISNUMBER(IFERROR(SEARCH('PLANILLA DJ'!$X$9,$A82,1),""))</f>
        <v>1</v>
      </c>
      <c r="M82" s="207">
        <f>--ISNUMBER(IFERROR(SEARCH('PLANILLA DJ'!$X$10,$A82,1),""))</f>
        <v>1</v>
      </c>
      <c r="N82" s="207">
        <f>--ISNUMBER(IFERROR(SEARCH('PLANILLA DJ'!$X$11,$A82,1),""))</f>
        <v>1</v>
      </c>
      <c r="O82" s="207">
        <f>--ISNUMBER(IFERROR(SEARCH('PLANILLA DJ'!$X$12,$A82,1),""))</f>
        <v>1</v>
      </c>
      <c r="P82" s="207">
        <f>--ISNUMBER(IFERROR(SEARCH('PLANILLA DJ'!$X$13,$A82,1),""))</f>
        <v>1</v>
      </c>
      <c r="Q82" s="207">
        <f>--ISNUMBER(IFERROR(SEARCH('PLANILLA DJ'!$X$14,$A82,1),""))</f>
        <v>1</v>
      </c>
      <c r="R82" s="207">
        <f>--ISNUMBER(IFERROR(SEARCH('PLANILLA DJ'!$X$15,$A82,1),""))</f>
        <v>1</v>
      </c>
      <c r="S82" s="207">
        <f>--ISNUMBER(IFERROR(SEARCH('PLANILLA DJ'!$X$16,$A82,1),""))</f>
        <v>1</v>
      </c>
      <c r="T82" s="207">
        <f>--ISNUMBER(IFERROR(SEARCH('PLANILLA DJ'!$X$17,$A82,1),""))</f>
        <v>1</v>
      </c>
      <c r="U82" s="207">
        <f>--ISNUMBER(IFERROR(SEARCH('PLANILLA DJ'!$X$18,$A82,1),""))</f>
        <v>1</v>
      </c>
      <c r="V82" s="207">
        <f>--ISNUMBER(IFERROR(SEARCH('PLANILLA DJ'!$X$19,$A82,1),""))</f>
        <v>1</v>
      </c>
      <c r="W82" s="207">
        <f>--ISNUMBER(IFERROR(SEARCH('PLANILLA DJ'!$X$20,$A82,1),""))</f>
        <v>1</v>
      </c>
      <c r="X82" s="207">
        <f>--ISNUMBER(IFERROR(SEARCH('PLANILLA DJ'!$X$21,$A82,1),""))</f>
        <v>1</v>
      </c>
      <c r="Y82" s="207">
        <f>--ISNUMBER(IFERROR(SEARCH('PLANILLA DJ'!$X$22,$A82,1),""))</f>
        <v>1</v>
      </c>
      <c r="Z82" s="207">
        <f>--ISNUMBER(IFERROR(SEARCH('PLANILLA DJ'!$X$23,$A82,1),""))</f>
        <v>1</v>
      </c>
      <c r="AA82" s="207">
        <f>--ISNUMBER(IFERROR(SEARCH('PLANILLA DJ'!$X$24,$A82,1),""))</f>
        <v>1</v>
      </c>
      <c r="AB82" s="207">
        <f>--ISNUMBER(IFERROR(SEARCH('PLANILLA DJ'!$X$25,$A82,1),""))</f>
        <v>1</v>
      </c>
      <c r="AC82" s="207">
        <f>--ISNUMBER(IFERROR(SEARCH('PLANILLA DJ'!$X$26,$A82,1),""))</f>
        <v>1</v>
      </c>
      <c r="AD82" s="207">
        <f>--ISNUMBER(IFERROR(SEARCH('PLANILLA DJ'!$X$27,$A82,1),""))</f>
        <v>1</v>
      </c>
      <c r="AE82" s="207">
        <f>--ISNUMBER(IFERROR(SEARCH('PLANILLA DJ'!$X$28,$A82,1),""))</f>
        <v>1</v>
      </c>
      <c r="AF82" s="207">
        <f>--ISNUMBER(IFERROR(SEARCH('PLANILLA DJ'!$X$29,$A82,1),""))</f>
        <v>1</v>
      </c>
      <c r="AG82" s="207">
        <f>--ISNUMBER(IFERROR(SEARCH('PLANILLA DJ'!$X$30,$A82,1),""))</f>
        <v>1</v>
      </c>
      <c r="AH82" s="207">
        <f>--ISNUMBER(IFERROR(SEARCH('PLANILLA DJ'!$X$31,$A82,1),""))</f>
        <v>1</v>
      </c>
      <c r="AI82" s="207">
        <f>--ISNUMBER(IFERROR(SEARCH('PLANILLA DJ'!$X$32,$A82,1),""))</f>
        <v>1</v>
      </c>
      <c r="AJ82" s="207">
        <f>--ISNUMBER(IFERROR(SEARCH('PLANILLA DJ'!$X$33,$A82,1),""))</f>
        <v>1</v>
      </c>
      <c r="AK82" s="207">
        <f>--ISNUMBER(IFERROR(SEARCH('PLANILLA DJ'!$X$34,$A82,1),""))</f>
        <v>1</v>
      </c>
      <c r="AL82" s="207">
        <f>--ISNUMBER(IFERROR(SEARCH('PLANILLA DJ'!$X$35,$A82,1),""))</f>
        <v>1</v>
      </c>
      <c r="AM82" s="207">
        <f>--ISNUMBER(IFERROR(SEARCH('PLANILLA DJ'!$X$36,$A82,1),""))</f>
        <v>1</v>
      </c>
      <c r="AN82" s="207">
        <f>--ISNUMBER(IFERROR(SEARCH('PLANILLA DJ'!$X$37,$A82,1),""))</f>
        <v>1</v>
      </c>
      <c r="AO82" s="207">
        <f>--ISNUMBER(IFERROR(SEARCH('PLANILLA DJ'!$X$38,$A82,1),""))</f>
        <v>1</v>
      </c>
      <c r="AP82" s="207">
        <f>--ISNUMBER(IFERROR(SEARCH('PLANILLA DJ'!$X$39,$A82,1),""))</f>
        <v>1</v>
      </c>
      <c r="AQ82" s="207">
        <f>--ISNUMBER(IFERROR(SEARCH('PLANILLA DJ'!$X$40,$A82,1),""))</f>
        <v>1</v>
      </c>
      <c r="AR82" s="207">
        <f>--ISNUMBER(IFERROR(SEARCH('PLANILLA DJ'!$X$41,$A82,1),""))</f>
        <v>1</v>
      </c>
      <c r="AS82" s="207">
        <f>--ISNUMBER(IFERROR(SEARCH('PLANILLA DJ'!$X$42,$A82,1),""))</f>
        <v>1</v>
      </c>
      <c r="AT82" s="207">
        <f>--ISNUMBER(IFERROR(SEARCH('PLANILLA DJ'!$X$43,$A82,1),""))</f>
        <v>1</v>
      </c>
      <c r="AU82" s="207">
        <f>--ISNUMBER(IFERROR(SEARCH('PLANILLA DJ'!$X$44,$A82,1),""))</f>
        <v>1</v>
      </c>
      <c r="AV82" s="207">
        <f>--ISNUMBER(IFERROR(SEARCH('PLANILLA DJ'!$X$45,$A82,1),""))</f>
        <v>1</v>
      </c>
      <c r="AW82" s="207">
        <f>--ISNUMBER(IFERROR(SEARCH('PLANILLA DJ'!$X$46,$A82,1),""))</f>
        <v>1</v>
      </c>
      <c r="AX82" s="207">
        <f>--ISNUMBER(IFERROR(SEARCH('PLANILLA DJ'!$X$47,$A82,1),""))</f>
        <v>1</v>
      </c>
      <c r="AY82" s="207">
        <f>--ISNUMBER(IFERROR(SEARCH('PLANILLA DJ'!$X$48,$A82,1),""))</f>
        <v>1</v>
      </c>
      <c r="AZ82" s="207">
        <f>--ISNUMBER(IFERROR(SEARCH('PLANILLA DJ'!$X$49,$A82,1),""))</f>
        <v>1</v>
      </c>
      <c r="BA82" s="207">
        <f>--ISNUMBER(IFERROR(SEARCH('PLANILLA DJ'!$X$50,$A82,1),""))</f>
        <v>1</v>
      </c>
      <c r="BB82" s="207">
        <f>--ISNUMBER(IFERROR(SEARCH('PLANILLA DJ'!$X$51,$A82,1),""))</f>
        <v>1</v>
      </c>
      <c r="BC82" s="207">
        <f>--ISNUMBER(IFERROR(SEARCH('PLANILLA DJ'!$X$52,$A82,1),""))</f>
        <v>1</v>
      </c>
      <c r="BD82" s="207">
        <f>--ISNUMBER(IFERROR(SEARCH('PLANILLA DJ'!$X$53,$A82,1),""))</f>
        <v>1</v>
      </c>
      <c r="BE82" s="207">
        <f>--ISNUMBER(IFERROR(SEARCH('PLANILLA DJ'!$X$54,$A82,1),""))</f>
        <v>1</v>
      </c>
      <c r="BF82" s="207">
        <f>--ISNUMBER(IFERROR(SEARCH('PLANILLA DJ'!$X$55,$A82,1),""))</f>
        <v>1</v>
      </c>
      <c r="BG82" s="207">
        <f>--ISNUMBER(IFERROR(SEARCH('PLANILLA DJ'!$X$56,$A82,1),""))</f>
        <v>1</v>
      </c>
      <c r="BH82" s="207">
        <f>--ISNUMBER(IFERROR(SEARCH('PLANILLA DJ'!$X$57,$A82,1),""))</f>
        <v>1</v>
      </c>
      <c r="BI82" s="207">
        <f>--ISNUMBER(IFERROR(SEARCH('PLANILLA DJ'!$X$58,$A82,1),""))</f>
        <v>1</v>
      </c>
      <c r="BJ82" s="207">
        <f>--ISNUMBER(IFERROR(SEARCH('PLANILLA DJ'!$X$59,$A82,1),""))</f>
        <v>1</v>
      </c>
      <c r="BK82" s="207">
        <f>--ISNUMBER(IFERROR(SEARCH('PLANILLA DJ'!$X$60,$A82,1),""))</f>
        <v>1</v>
      </c>
      <c r="BL82" s="207">
        <f>--ISNUMBER(IFERROR(SEARCH('PLANILLA DJ'!$X$61,$A82,1),""))</f>
        <v>1</v>
      </c>
      <c r="BM82" s="207">
        <f>--ISNUMBER(IFERROR(SEARCH('PLANILLA DJ'!$X$62,$A82,1),""))</f>
        <v>1</v>
      </c>
      <c r="BN82" s="207">
        <f>--ISNUMBER(IFERROR(SEARCH('PLANILLA DJ'!$X$63,$A82,1),""))</f>
        <v>1</v>
      </c>
      <c r="BO82" s="207">
        <f>--ISNUMBER(IFERROR(SEARCH('PLANILLA DJ'!$X$64,$A82,1),""))</f>
        <v>1</v>
      </c>
      <c r="BP82" s="207">
        <f>--ISNUMBER(IFERROR(SEARCH('PLANILLA DJ'!$X$65,$A82,1),""))</f>
        <v>1</v>
      </c>
      <c r="BQ82" s="207">
        <f>--ISNUMBER(IFERROR(SEARCH('PLANILLA DJ'!$X$66,$A82,1),""))</f>
        <v>1</v>
      </c>
      <c r="BR82" s="207">
        <f>--ISNUMBER(IFERROR(SEARCH('PLANILLA DJ'!$X$67,$A82,1),""))</f>
        <v>1</v>
      </c>
      <c r="BS82" s="207">
        <f>--ISNUMBER(IFERROR(SEARCH('PLANILLA DJ'!$X$68,$A82,1),""))</f>
        <v>1</v>
      </c>
      <c r="BT82" s="207">
        <f>--ISNUMBER(IFERROR(SEARCH('PLANILLA DJ'!$X$69,$A82,1),""))</f>
        <v>1</v>
      </c>
      <c r="BU82" s="207">
        <f>--ISNUMBER(IFERROR(SEARCH('PLANILLA DJ'!$X$70,$A82,1),""))</f>
        <v>1</v>
      </c>
      <c r="BV82" s="207">
        <f>--ISNUMBER(IFERROR(SEARCH('PLANILLA DJ'!$X$71,$A82,1),""))</f>
        <v>1</v>
      </c>
      <c r="BW82" s="207">
        <f>--ISNUMBER(IFERROR(SEARCH('PLANILLA DJ'!$X$72,$A82,1),""))</f>
        <v>1</v>
      </c>
      <c r="BX82" s="207">
        <f>--ISNUMBER(IFERROR(SEARCH('PLANILLA DJ'!$X$73,$A82,1),""))</f>
        <v>1</v>
      </c>
      <c r="BY82" s="207">
        <f>--ISNUMBER(IFERROR(SEARCH('PLANILLA DJ'!$X$74,$A82,1),""))</f>
        <v>1</v>
      </c>
      <c r="BZ82" s="207">
        <f>--ISNUMBER(IFERROR(SEARCH('PLANILLA DJ'!$X$75,$A82,1),""))</f>
        <v>1</v>
      </c>
      <c r="CA82" s="207">
        <f>--ISNUMBER(IFERROR(SEARCH('PLANILLA DJ'!$X$76,$A82,1),""))</f>
        <v>1</v>
      </c>
      <c r="CB82" s="207">
        <f>--ISNUMBER(IFERROR(SEARCH('PLANILLA DJ'!$X$77,$A82,1),""))</f>
        <v>1</v>
      </c>
      <c r="CC82" s="207">
        <f>--ISNUMBER(IFERROR(SEARCH('PLANILLA DJ'!$X$78,$A82,1),""))</f>
        <v>1</v>
      </c>
      <c r="CD82" s="207">
        <f>--ISNUMBER(IFERROR(SEARCH('PLANILLA DJ'!$X$79,$A82,1),""))</f>
        <v>1</v>
      </c>
      <c r="CE82" s="207">
        <f>--ISNUMBER(IFERROR(SEARCH('PLANILLA DJ'!$X$80,$A82,1),""))</f>
        <v>1</v>
      </c>
      <c r="CF82" s="207">
        <f>--ISNUMBER(IFERROR(SEARCH('PLANILLA DJ'!$X$81,$A82,1),""))</f>
        <v>1</v>
      </c>
      <c r="CG82" s="207">
        <f>--ISNUMBER(IFERROR(SEARCH('PLANILLA DJ'!$X$82,$A82,1),""))</f>
        <v>1</v>
      </c>
      <c r="CH82" s="207">
        <f>--ISNUMBER(IFERROR(SEARCH('PLANILLA DJ'!$X$83,$A82,1),""))</f>
        <v>1</v>
      </c>
      <c r="CI82" s="207">
        <f>--ISNUMBER(IFERROR(SEARCH('PLANILLA DJ'!$X$84,$A82,1),""))</f>
        <v>1</v>
      </c>
      <c r="CJ82" s="207">
        <f>--ISNUMBER(IFERROR(SEARCH('PLANILLA DJ'!$X$85,$A82,1),""))</f>
        <v>1</v>
      </c>
      <c r="CK82" s="207">
        <f>--ISNUMBER(IFERROR(SEARCH('PLANILLA DJ'!$X$86,$A82,1),""))</f>
        <v>1</v>
      </c>
      <c r="CL82" s="207">
        <f>--ISNUMBER(IFERROR(SEARCH('PLANILLA DJ'!$X$87,$A82,1),""))</f>
        <v>1</v>
      </c>
      <c r="CM82" s="207">
        <f>--ISNUMBER(IFERROR(SEARCH('PLANILLA DJ'!$X$88,$A82,1),""))</f>
        <v>1</v>
      </c>
      <c r="CN82" s="207">
        <f>--ISNUMBER(IFERROR(SEARCH('PLANILLA DJ'!$X$89,$A82,1),""))</f>
        <v>1</v>
      </c>
      <c r="CO82" s="207">
        <f>--ISNUMBER(IFERROR(SEARCH('PLANILLA DJ'!$X$90,$A82,1),""))</f>
        <v>1</v>
      </c>
      <c r="CP82" s="207">
        <f>--ISNUMBER(IFERROR(SEARCH('PLANILLA DJ'!$X$91,$A82,1),""))</f>
        <v>1</v>
      </c>
      <c r="CQ82" s="207">
        <f>--ISNUMBER(IFERROR(SEARCH('PLANILLA DJ'!$X$92,$A82,1),""))</f>
        <v>1</v>
      </c>
      <c r="CR82" s="207">
        <f>--ISNUMBER(IFERROR(SEARCH('PLANILLA DJ'!$X$93,$A82,1),""))</f>
        <v>1</v>
      </c>
      <c r="CS82" s="207">
        <f>--ISNUMBER(IFERROR(SEARCH('PLANILLA DJ'!$X$94,$A82,1),""))</f>
        <v>1</v>
      </c>
      <c r="CT82" s="207">
        <f>--ISNUMBER(IFERROR(SEARCH('PLANILLA DJ'!$X$95,$A82,1),""))</f>
        <v>1</v>
      </c>
      <c r="CU82" s="207">
        <f>--ISNUMBER(IFERROR(SEARCH('PLANILLA DJ'!$X$96,$A82,1),""))</f>
        <v>1</v>
      </c>
      <c r="CV82" s="207">
        <f>--ISNUMBER(IFERROR(SEARCH('PLANILLA DJ'!$X$97,$A82,1),""))</f>
        <v>1</v>
      </c>
      <c r="CW82" s="207">
        <f>--ISNUMBER(IFERROR(SEARCH('PLANILLA DJ'!$X$98,$A82,1),""))</f>
        <v>1</v>
      </c>
      <c r="CX82" s="207">
        <f>--ISNUMBER(IFERROR(SEARCH('PLANILLA DJ'!$X$99,$A82,1),""))</f>
        <v>1</v>
      </c>
      <c r="CY82" s="207">
        <f>--ISNUMBER(IFERROR(SEARCH('PLANILLA DJ'!$X$100,$A82,1),""))</f>
        <v>1</v>
      </c>
      <c r="CZ82" s="207">
        <f>--ISNUMBER(IFERROR(SEARCH('PLANILLA DJ'!$X$101,$A82,1),""))</f>
        <v>1</v>
      </c>
      <c r="DA82" s="207">
        <f>--ISNUMBER(IFERROR(SEARCH('PLANILLA DJ'!$X$102,$A82,1),""))</f>
        <v>1</v>
      </c>
      <c r="DB82" s="206">
        <f>IF(F82=1,COUNTIF($F$2:F82,1),"")</f>
        <v>81</v>
      </c>
      <c r="DC82" s="206">
        <f>IF(G82=1,COUNTIF($G$2:G82,1),"")</f>
        <v>81</v>
      </c>
      <c r="DD82" s="206">
        <f>IF(H82=1,COUNTIF($H$2:H82,1),"")</f>
        <v>81</v>
      </c>
      <c r="DE82" s="206">
        <f>IF(I82=1,COUNTIF($I$2:I82,1),"")</f>
        <v>81</v>
      </c>
      <c r="DF82" s="206">
        <f>IF(J82=1,COUNTIF($J$2:J82,1),"")</f>
        <v>81</v>
      </c>
      <c r="DG82" s="206">
        <f>IF(K82=1,COUNTIF($K$2:K82,1),"")</f>
        <v>81</v>
      </c>
      <c r="DH82" s="206">
        <f>IF(L82=1,COUNTIF($L$2:L82,1),"")</f>
        <v>81</v>
      </c>
      <c r="DI82" s="206">
        <f>IF(M82=1,COUNTIF($M$2:M82,1),"")</f>
        <v>81</v>
      </c>
      <c r="DJ82" s="206">
        <f>IF(N82=1,COUNTIF($N$2:N82,1),"")</f>
        <v>81</v>
      </c>
      <c r="DK82" s="206">
        <f>IF(O82=1,COUNTIF($O$2:O82,1),"")</f>
        <v>81</v>
      </c>
      <c r="DL82" s="206">
        <f>IF(P82=1,COUNTIF($P$2:P82,1),"")</f>
        <v>81</v>
      </c>
      <c r="DM82" s="206">
        <f>IF(Q82=1,COUNTIF($Q$2:Q82,1),"")</f>
        <v>81</v>
      </c>
      <c r="DN82" s="207">
        <f>IF(R82=1,COUNTIF($R$2:R82,1),"")</f>
        <v>81</v>
      </c>
      <c r="DO82" s="207">
        <f>IF(S82=1,COUNTIF($S$2:S82,1),"")</f>
        <v>81</v>
      </c>
      <c r="DP82" s="207">
        <f>IF(T82=1,COUNTIF($T$2:T82,1),"")</f>
        <v>81</v>
      </c>
      <c r="DQ82" s="207">
        <f>IF(U82=1,COUNTIF($U$2:U82,1),"")</f>
        <v>81</v>
      </c>
      <c r="DR82" s="207">
        <f>IF(V82=1,COUNTIF($V$2:V82,1),"")</f>
        <v>81</v>
      </c>
      <c r="DS82" s="207">
        <f>IF(W82=1,COUNTIF($W$2:W82,1),"")</f>
        <v>81</v>
      </c>
      <c r="DT82" s="207">
        <f>IF(X82=1,COUNTIF($X$2:X82,1),"")</f>
        <v>81</v>
      </c>
      <c r="DU82" s="207">
        <f>IF(Y82=1,COUNTIF($Y$2:Y82,1),"")</f>
        <v>81</v>
      </c>
      <c r="DV82" s="207">
        <f>IF(Z82=1,COUNTIF(Z$2:Z82,1),"")</f>
        <v>81</v>
      </c>
      <c r="DW82" s="207">
        <f>IF(AA82=1,COUNTIF($AA$2:AA82,1),"")</f>
        <v>81</v>
      </c>
      <c r="DX82" s="207">
        <f>IF(AB82=1,COUNTIF($AB$2:AB82,1),"")</f>
        <v>81</v>
      </c>
      <c r="DY82" s="207">
        <f>IF(AC82=1,COUNTIF($AC$2:AC82,1),"")</f>
        <v>81</v>
      </c>
      <c r="DZ82" s="207">
        <f>IF(AD82=1,COUNTIF($AD$2:AD82,1),"")</f>
        <v>81</v>
      </c>
      <c r="EA82" s="207">
        <f>IF(AE82=1,COUNTIF($AE$2:AE82,1),"")</f>
        <v>81</v>
      </c>
      <c r="EB82" s="207">
        <f>IF(AF82=1,COUNTIF($AF$2:AF82,1),"")</f>
        <v>81</v>
      </c>
      <c r="EC82" s="207">
        <f>IF(AG82=1,COUNTIF($AG$2:AG82,1),"")</f>
        <v>81</v>
      </c>
      <c r="ED82" s="207">
        <f>IF(AH82=1,COUNTIF($AH$2:AH82,1),"")</f>
        <v>81</v>
      </c>
      <c r="EE82" s="207">
        <f>IF(AI82=1,COUNTIF($AI$2:AI82,1),"")</f>
        <v>81</v>
      </c>
      <c r="EF82" s="207">
        <f>IF(AJ82=1,COUNTIF($AJ$2:AJ82,1),"")</f>
        <v>81</v>
      </c>
      <c r="EG82" s="207">
        <f>IF(AK82=1,COUNTIF($AK$2:AK82,1),"")</f>
        <v>81</v>
      </c>
      <c r="EH82" s="207">
        <f>IF(AL82=1,COUNTIF($AL$2:AL82,1),"")</f>
        <v>81</v>
      </c>
      <c r="EI82" s="207">
        <f>IF(AM82=1,COUNTIF($AM$2:AM82,1),"")</f>
        <v>81</v>
      </c>
      <c r="EJ82" s="207">
        <f>IF(AN82=1,COUNTIF($AN$2:AN82,1),"")</f>
        <v>81</v>
      </c>
      <c r="EK82" s="207">
        <f>IF(AO82=1,COUNTIF($AO$2:AO82,1),"")</f>
        <v>81</v>
      </c>
      <c r="EL82" s="207">
        <f>IF(AP82=1,COUNTIF($AP$2:AP82,1),"")</f>
        <v>81</v>
      </c>
      <c r="EM82" s="207">
        <f>IF(AQ82=1,COUNTIF($AQ$2:AQ82,1),"")</f>
        <v>81</v>
      </c>
      <c r="EN82" s="207">
        <f>IF(AR82=1,COUNTIF($AR$2:AR82,1),"")</f>
        <v>81</v>
      </c>
      <c r="EO82" s="207">
        <f>IF(AS82=1,COUNTIF($AS$2:AS82,1),"")</f>
        <v>81</v>
      </c>
      <c r="EP82" s="207">
        <f>IF(AT82=1,COUNTIF($AT$2:AT82,1),"")</f>
        <v>81</v>
      </c>
      <c r="EQ82" s="207">
        <f>IF(AU82=1,COUNTIF($AU$2:AU82,1),"")</f>
        <v>81</v>
      </c>
      <c r="ER82" s="207">
        <f>IF(AV82=1,COUNTIF($AV$2:AV82,1),"")</f>
        <v>81</v>
      </c>
      <c r="ES82" s="207">
        <f>IF(AW82=1,COUNTIF($AW$2:AW82,1),"")</f>
        <v>81</v>
      </c>
      <c r="ET82" s="207">
        <f>IF(AX82=1,COUNTIF($AX$2:AX82,1),"")</f>
        <v>81</v>
      </c>
      <c r="EU82" s="207">
        <f>IF(AY82=1,COUNTIF($AY$2:AY82,1),"")</f>
        <v>81</v>
      </c>
      <c r="EV82" s="207">
        <f>IF(AZ82=1,COUNTIF($AZ$2:AZ82,1),"")</f>
        <v>81</v>
      </c>
      <c r="EW82" s="207">
        <f>IF(BA82=1,COUNTIF($BA$2:BA82,1),"")</f>
        <v>81</v>
      </c>
      <c r="EX82" s="207">
        <f>IF(BB82=1,COUNTIF($BB$2:BB82,1),"")</f>
        <v>81</v>
      </c>
      <c r="EY82" s="207">
        <f>IF(BC82=1,COUNTIF($BC$2:BC82,1),"")</f>
        <v>81</v>
      </c>
      <c r="EZ82" s="207">
        <f>IF(BD82=1,COUNTIF($BD$2:BD82,1),"")</f>
        <v>81</v>
      </c>
      <c r="FA82" s="207">
        <f>IF(BE82=1,COUNTIF($BE$2:BE82,1),"")</f>
        <v>81</v>
      </c>
      <c r="FB82" s="207">
        <f>IF(BF82=1,COUNTIF($BF$2:BF82,1),"")</f>
        <v>81</v>
      </c>
      <c r="FC82" s="207">
        <f>IF(BG82=1,COUNTIF($BG$2:BG82,1),"")</f>
        <v>81</v>
      </c>
      <c r="FD82" s="207">
        <f>IF(BH82=1,COUNTIF($BH$2:BH82,1),"")</f>
        <v>81</v>
      </c>
      <c r="FE82" s="207">
        <f>IF(BI82=1,COUNTIF($BI$2:BI82,1),"")</f>
        <v>81</v>
      </c>
      <c r="FF82" s="207">
        <f>IF(BJ82=1,COUNTIF($BJ$2:BJ82,1),"")</f>
        <v>81</v>
      </c>
      <c r="FG82" s="207">
        <f>IF(BK82=1,COUNTIF($BK$2:BK82,1),"")</f>
        <v>81</v>
      </c>
      <c r="FH82" s="207">
        <f>IF(BL82=1,COUNTIF($BL$2:BL82,1),"")</f>
        <v>81</v>
      </c>
      <c r="FI82" s="207">
        <f>IF(BM82=1,COUNTIF($BM$2:BM82,1),"")</f>
        <v>81</v>
      </c>
      <c r="FJ82" s="207">
        <f>IF(BN82=1,COUNTIF($BN$2:BN82,1),"")</f>
        <v>81</v>
      </c>
      <c r="FK82" s="207">
        <f>IF(BO82=1,COUNTIF($BO$2:BO82,1),"")</f>
        <v>81</v>
      </c>
      <c r="FL82" s="207">
        <f>IF(BP82=1,COUNTIF($BP$2:BP82,1),"")</f>
        <v>81</v>
      </c>
      <c r="FM82" s="207">
        <f>IF(BQ82=1,COUNTIF($BQ$2:BQ82,1),"")</f>
        <v>81</v>
      </c>
      <c r="FN82" s="207">
        <f>IF(BR82=1,COUNTIF($BR$2:BR82,1),"")</f>
        <v>81</v>
      </c>
      <c r="FO82" s="207">
        <f>IF(BS82=1,COUNTIF($BS$2:BS82,1),"")</f>
        <v>81</v>
      </c>
      <c r="FP82" s="207">
        <f>IF(BT82=1,COUNTIF($BT$2:BT82,1),"")</f>
        <v>81</v>
      </c>
      <c r="FQ82" s="207">
        <f>IF(BU82=1,COUNTIF($BU$2:BU82,1),"")</f>
        <v>81</v>
      </c>
      <c r="FR82" s="207">
        <f>IF(BV82=1,COUNTIF($BV$2:BV82,1),"")</f>
        <v>81</v>
      </c>
      <c r="FS82" s="207">
        <f>IF(BW82=1,COUNTIF($BW$2:BW82,1),"")</f>
        <v>81</v>
      </c>
      <c r="FT82" s="207">
        <f>IF(BX82=1,COUNTIF($BX$2:BX82,1),"")</f>
        <v>81</v>
      </c>
      <c r="FU82" s="207">
        <f>IF(BY82=1,COUNTIF($BY$2:BY82,1),"")</f>
        <v>81</v>
      </c>
      <c r="FV82" s="207">
        <f>IF(BZ82=1,COUNTIF($BZ$2:BZ82,1),"")</f>
        <v>81</v>
      </c>
      <c r="FW82" s="207">
        <f>IF(CA82=1,COUNTIF($CA$2:CA82,1),"")</f>
        <v>81</v>
      </c>
      <c r="FX82" s="207">
        <f>IF(CB82=1,COUNTIF($CB$2:CB82,1),"")</f>
        <v>81</v>
      </c>
      <c r="FY82" s="207">
        <f>IF(CC82=1,COUNTIF($CC$2:CC82,1),"")</f>
        <v>81</v>
      </c>
      <c r="FZ82" s="207">
        <f>IF(CD82=1,COUNTIF($CD$2:CD82,1),"")</f>
        <v>81</v>
      </c>
      <c r="GA82" s="207">
        <f>IF(CE82=1,COUNTIF($CE$2:CE82,1),"")</f>
        <v>81</v>
      </c>
      <c r="GB82" s="207">
        <f>IF(CF82=1,COUNTIF($CF$2:CF82,1),"")</f>
        <v>81</v>
      </c>
      <c r="GC82" s="207">
        <f>IF(CG82=1,COUNTIF($CG$2:CG82,1),"")</f>
        <v>81</v>
      </c>
      <c r="GD82" s="207">
        <f>IF(CH82=1,COUNTIF($CH$2:CH82,1),"")</f>
        <v>81</v>
      </c>
      <c r="GE82" s="207">
        <f>IF(CI82=1,COUNTIF($CI$2:CI82,1),"")</f>
        <v>81</v>
      </c>
      <c r="GF82" s="207">
        <f>IF(CJ82=1,COUNTIF($CJ$2:CJ82,1),"")</f>
        <v>81</v>
      </c>
      <c r="GG82" s="207">
        <f>IF(CK82=1,COUNTIF($CK$2:CK82,1),"")</f>
        <v>81</v>
      </c>
      <c r="GH82" s="207">
        <f>IF(CL82=1,COUNTIF($CL$2:CL82,1),"")</f>
        <v>81</v>
      </c>
      <c r="GI82" s="207">
        <f>IF(CM82=1,COUNTIF($CM$2:CM82,1),"")</f>
        <v>81</v>
      </c>
      <c r="GJ82" s="207">
        <f>IF(CN82=1,COUNTIF($CN$2:CN82,1),"")</f>
        <v>81</v>
      </c>
      <c r="GK82" s="207">
        <f>IF(CO82=1,COUNTIF($CO$2:CO82,1),"")</f>
        <v>81</v>
      </c>
      <c r="GL82" s="207">
        <f>IF(CP82=1,COUNTIF($CP$2:CP82,1),"")</f>
        <v>81</v>
      </c>
      <c r="GM82" s="207">
        <f>IF(CQ82=1,COUNTIF($CQ$2:CQ82,1),"")</f>
        <v>81</v>
      </c>
      <c r="GN82" s="207">
        <f>IF(CR82=1,COUNTIF($CR$2:CR82,1),"")</f>
        <v>81</v>
      </c>
      <c r="GO82" s="207">
        <f>IF(CS82=1,COUNTIF($CS$2:CS82,1),"")</f>
        <v>81</v>
      </c>
      <c r="GP82" s="207">
        <f>IF(CT82=1,COUNTIF($CT$2:CT82,1),"")</f>
        <v>81</v>
      </c>
      <c r="GQ82" s="207">
        <f>IF(CU82=1,COUNTIF($CU$2:CU82,1),"")</f>
        <v>81</v>
      </c>
      <c r="GR82" s="207">
        <f>IF(CV82=1,COUNTIF($CV$2:CV82,1),"")</f>
        <v>81</v>
      </c>
      <c r="GS82" s="207">
        <f>IF(CW82=1,COUNTIF($CW$2:CW82,1),"")</f>
        <v>81</v>
      </c>
      <c r="GT82" s="207">
        <f>IF(CX82=1,COUNTIF($CX$2:CX82,1),"")</f>
        <v>81</v>
      </c>
      <c r="GU82" s="207">
        <f>IF(CY82=1,COUNTIF($CY$2:CY82,1),"")</f>
        <v>81</v>
      </c>
      <c r="GV82" s="207">
        <f>IF(CZ82=1,COUNTIF($CZ$2:CZ82,1),"")</f>
        <v>81</v>
      </c>
      <c r="GW82" s="207">
        <f>IF(DA82=1,COUNTIF($DA$2:DA82,1),"")</f>
        <v>81</v>
      </c>
      <c r="GX82" s="206" t="str">
        <f>IFERROR(INDEX($A$2:$A$113,MATCH(ROWS($DB$2:DB82),$DB$2:$DB$113,0)),"")</f>
        <v>FALSA DENUNCIA</v>
      </c>
      <c r="GY82" s="206" t="str">
        <f>IFERROR(INDEX($A$2:$A$113,MATCH(ROWS($DC$2:DC82),$DC$2:$DC$113,0)),"")</f>
        <v>FALSA DENUNCIA</v>
      </c>
      <c r="GZ82" s="206" t="str">
        <f>IFERROR(INDEX($A$2:$A$113,MATCH(ROWS($DD$2:DD82),$DD$2:$DD$113,0)),"")</f>
        <v>FALSA DENUNCIA</v>
      </c>
      <c r="HA82" s="206" t="str">
        <f>IFERROR(INDEX($A$2:$A$113,MATCH(ROWS($DE$2:DE82),$DE$2:$DE$113,0)),"")</f>
        <v>FALSA DENUNCIA</v>
      </c>
      <c r="HB82" s="206" t="str">
        <f>IFERROR(INDEX($A$2:$A$113,MATCH(ROWS($DF$2:DF82),$DF$2:$DF$113,0)),"")</f>
        <v>FALSA DENUNCIA</v>
      </c>
      <c r="HC82" s="206" t="str">
        <f>IFERROR(INDEX($A$2:$A$113,MATCH(ROWS($DG$2:DG82),$DG$2:$DG$113,0)),"")</f>
        <v>FALSA DENUNCIA</v>
      </c>
      <c r="HD82" s="206" t="str">
        <f>IFERROR(INDEX($A$2:$A$113,MATCH(ROWS($DH$2:DH82),$DH$2:$DH$113,0)),"")</f>
        <v>FALSA DENUNCIA</v>
      </c>
      <c r="HE82" s="206" t="str">
        <f>IFERROR(INDEX($A$2:$A$113,MATCH(ROWS($DI$2:DI82),$DI$2:$DI$113,0)),"")</f>
        <v>FALSA DENUNCIA</v>
      </c>
      <c r="HF82" s="206" t="str">
        <f>IFERROR(INDEX($A$2:$A$113,MATCH(ROWS($DJ$2:DJ82),$DJ$2:$DJ$113,0)),"")</f>
        <v>FALSA DENUNCIA</v>
      </c>
      <c r="HG82" s="206" t="str">
        <f>IFERROR(INDEX($A$2:$A$113,MATCH(ROWS($DK$2:DK82),$DK$2:$DK$113,0)),"")</f>
        <v>FALSA DENUNCIA</v>
      </c>
      <c r="HH82" s="206" t="str">
        <f>IFERROR(INDEX($A$2:$A$113,MATCH(ROWS($DL$2:DL82),$DL$2:$DL$113,0)),"")</f>
        <v>FALSA DENUNCIA</v>
      </c>
      <c r="HI82" s="206" t="str">
        <f>IFERROR(INDEX($A$2:$A$113,MATCH(ROWS($DM$2:DM82),$DM$2:$DM$113,0)),"")</f>
        <v>FALSA DENUNCIA</v>
      </c>
      <c r="HJ82" s="206" t="str">
        <f>IFERROR(INDEX($A$2:$A$113,MATCH(ROWS($DN$2:DN82),$DN$2:$DN$113,0)),"")</f>
        <v>FALSA DENUNCIA</v>
      </c>
      <c r="HK82" s="206" t="str">
        <f>IFERROR(INDEX($A$2:$A$113,MATCH(ROWS($DO$2:DO82),$DO$2:$DO$113,0)),"")</f>
        <v>FALSA DENUNCIA</v>
      </c>
      <c r="HL82" s="206" t="str">
        <f>IFERROR(INDEX($A$2:$A$113,MATCH(ROWS($DP$2:DP82),$DP$2:$DP$113,0)),"")</f>
        <v>FALSA DENUNCIA</v>
      </c>
      <c r="HM82" s="206" t="str">
        <f>IFERROR(INDEX($A$2:$A$113,MATCH(ROWS($DQ$2:DQ82),$DQ$2:$DQ$113,0)),"")</f>
        <v>FALSA DENUNCIA</v>
      </c>
      <c r="HN82" s="206" t="str">
        <f>IFERROR(INDEX($A$2:$A$113,MATCH(ROWS($DR$2:DR82),$DR$2:$DR$113,0)),"")</f>
        <v>FALSA DENUNCIA</v>
      </c>
      <c r="HO82" s="206" t="str">
        <f>IFERROR(INDEX($A$2:$A$113,MATCH(ROWS($DS$2:DS82),$DS$2:$DS$113,0)),"")</f>
        <v>FALSA DENUNCIA</v>
      </c>
      <c r="HP82" s="206" t="str">
        <f>IFERROR(INDEX($A$2:$A$113,MATCH(ROWS($DT$2:DT82),$DT$2:$DT$113,0)),"")</f>
        <v>FALSA DENUNCIA</v>
      </c>
      <c r="HQ82" s="206" t="str">
        <f>IFERROR(INDEX($A$2:$A$113,MATCH(ROWS($DU$2:DU82),$DU$2:$DU$113,0)),"")</f>
        <v>FALSA DENUNCIA</v>
      </c>
      <c r="HR82" s="206" t="str">
        <f>IFERROR(INDEX($A$2:$A$113,MATCH(ROWS($DV$2:DV82),$DV$2:$DV$113,0)),"")</f>
        <v>FALSA DENUNCIA</v>
      </c>
      <c r="HS82" s="206" t="str">
        <f>IFERROR(INDEX($A$2:$A$113,MATCH(ROWS($DW$2:DW82),$DW$2:$DW$113,0)),"")</f>
        <v>FALSA DENUNCIA</v>
      </c>
      <c r="HT82" s="206" t="str">
        <f>IFERROR(INDEX($A$2:$A$113,MATCH(ROWS($DX$2:DX82),$DX$2:$DX$113,0)),"")</f>
        <v>FALSA DENUNCIA</v>
      </c>
      <c r="HU82" s="206" t="str">
        <f>IFERROR(INDEX($A$2:$A$113,MATCH(ROWS($DY$2:DY82),$DY$2:$DY$113,0)),"")</f>
        <v>FALSA DENUNCIA</v>
      </c>
      <c r="HV82" s="206" t="str">
        <f>IFERROR(INDEX($A$2:$A$113,MATCH(ROWS($DZ$2:DZ82),$DZ$2:$DZ$113,0)),"")</f>
        <v>FALSA DENUNCIA</v>
      </c>
      <c r="HW82" s="206" t="str">
        <f>IFERROR(INDEX($A$2:$A$113,MATCH(ROWS($EA$2:EA82),$EA$2:$EA$113,0)),"")</f>
        <v>FALSA DENUNCIA</v>
      </c>
      <c r="HX82" s="206" t="str">
        <f>IFERROR(INDEX($A$2:$A$113,MATCH(ROWS($EB$2:EB82),$EB$2:$EB$113,0)),"")</f>
        <v>FALSA DENUNCIA</v>
      </c>
      <c r="HY82" s="206" t="str">
        <f>IFERROR(INDEX($A$2:$A$113,MATCH(ROWS($EC$2:EC82),$EC$2:$EC$113,0)),"")</f>
        <v>FALSA DENUNCIA</v>
      </c>
      <c r="HZ82" s="206" t="str">
        <f>IFERROR(INDEX($A$2:$A$113,MATCH(ROWS($ED$2:ED82),$ED$2:$ED$113,0)),"")</f>
        <v>FALSA DENUNCIA</v>
      </c>
      <c r="IA82" s="206" t="str">
        <f>IFERROR(INDEX($A$2:$A$113,MATCH(ROWS($EE$2:EE82),$EE$2:$EE$113,0)),"")</f>
        <v>FALSA DENUNCIA</v>
      </c>
      <c r="IB82" s="206" t="str">
        <f>IFERROR(INDEX($A$2:$A$113,MATCH(ROWS($EF$2:EF82),$EF$2:$EF$113,0)),"")</f>
        <v>FALSA DENUNCIA</v>
      </c>
      <c r="IC82" s="206" t="str">
        <f>IFERROR(INDEX($A$2:$A$113,MATCH(ROWS($EG$2:EG82),$EG$2:$EG$113,0)),"")</f>
        <v>FALSA DENUNCIA</v>
      </c>
      <c r="ID82" s="206" t="str">
        <f>IFERROR(INDEX($A$2:$A$113,MATCH(ROWS($EH$2:EH82),$EH$2:$EH$113,0)),"")</f>
        <v>FALSA DENUNCIA</v>
      </c>
      <c r="IE82" s="206" t="str">
        <f>IFERROR(INDEX($A$2:$A$113,MATCH(ROWS($EI$2:EI82),$EI$2:$EI$113,0)),"")</f>
        <v>FALSA DENUNCIA</v>
      </c>
      <c r="IF82" s="206" t="str">
        <f>IFERROR(INDEX($A$2:$A$113,MATCH(ROWS($EJ$2:EJ82),$EJ$2:$EJ$113,0)),"")</f>
        <v>FALSA DENUNCIA</v>
      </c>
      <c r="IG82" s="206" t="str">
        <f>IFERROR(INDEX($A$2:$A$113,MATCH(ROWS($EK$2:EK82),$EK$2:$EK$113,0)),"")</f>
        <v>FALSA DENUNCIA</v>
      </c>
      <c r="IH82" s="206" t="str">
        <f>IFERROR(INDEX($A$2:$A$113,MATCH(ROWS($EL$2:EL82),$EL$2:$EL$113,0)),"")</f>
        <v>FALSA DENUNCIA</v>
      </c>
      <c r="II82" s="206" t="str">
        <f>IFERROR(INDEX($A$2:$A$113,MATCH(ROWS($EM$2:EM82),$EM$2:$EM$113,0)),"")</f>
        <v>FALSA DENUNCIA</v>
      </c>
      <c r="IJ82" s="206" t="str">
        <f>IFERROR(INDEX($A$2:$A$113,MATCH(ROWS($EN$2:EN82),$EN$2:$EN$113,0)),"")</f>
        <v>FALSA DENUNCIA</v>
      </c>
      <c r="IK82" s="207" t="str">
        <f>IFERROR(INDEX($A$2:$A$113,MATCH(ROWS($EO$2:EO82),$EO$2:$EO$113,0)),"")</f>
        <v>FALSA DENUNCIA</v>
      </c>
      <c r="IL82" s="207" t="str">
        <f>IFERROR(INDEX($A$2:$A$113,MATCH(ROWS($EP$2:EP82),$EP$2:$EP$113,0)),"")</f>
        <v>FALSA DENUNCIA</v>
      </c>
      <c r="IM82" s="207" t="str">
        <f>IFERROR(INDEX($A$2:$A$113,MATCH(ROWS($EQ$2:EQ82),$EQ$2:$EQ$113,0)),"")</f>
        <v>FALSA DENUNCIA</v>
      </c>
      <c r="IN82" s="207" t="str">
        <f>IFERROR(INDEX($A$2:$A$113,MATCH(ROWS($ER$2:ER82),$ER$2:$ER$113,0)),"")</f>
        <v>FALSA DENUNCIA</v>
      </c>
      <c r="IO82" s="207" t="str">
        <f>IFERROR(INDEX($A$2:$A$113,MATCH(ROWS($ES$2:ES82),$ES$2:$ES$113,0)),"")</f>
        <v>FALSA DENUNCIA</v>
      </c>
      <c r="IP82" s="207" t="str">
        <f>IFERROR(INDEX($A$2:$A$113,MATCH(ROWS($ET$2:ET82),$ET$2:$ET$113,0)),"")</f>
        <v>FALSA DENUNCIA</v>
      </c>
      <c r="IQ82" s="207" t="str">
        <f>IFERROR(INDEX($A$2:$A$113,MATCH(ROWS($EU$2:EU82),$EU$2:$EU$113,0)),"")</f>
        <v>FALSA DENUNCIA</v>
      </c>
      <c r="IR82" s="207" t="str">
        <f>IFERROR(INDEX($A$2:$A$113,MATCH(ROWS($EV$2:EV82),$EV$2:$EV$113,0)),"")</f>
        <v>FALSA DENUNCIA</v>
      </c>
      <c r="IS82" s="207" t="str">
        <f>IFERROR(INDEX($A$2:$A$113,MATCH(ROWS($EW$2:EW82),$EW$2:$EW$113,0)),"")</f>
        <v>FALSA DENUNCIA</v>
      </c>
      <c r="IT82" s="207" t="str">
        <f>IFERROR(INDEX($A$2:$A$113,MATCH(ROWS($EX$2:EX82),$EX$2:$EX$113,0)),"")</f>
        <v>FALSA DENUNCIA</v>
      </c>
      <c r="IU82" s="207" t="str">
        <f>IFERROR(INDEX($A$2:$A$113,MATCH(ROWS($EY$2:EY82),$EY$2:$EY$113,0)),"")</f>
        <v>FALSA DENUNCIA</v>
      </c>
      <c r="IV82" s="207" t="str">
        <f>IFERROR(INDEX($A$2:$A$113,MATCH(ROWS($EZ$2:EZ82),$EZ$2:$EZ$113,0)),"")</f>
        <v>FALSA DENUNCIA</v>
      </c>
      <c r="IW82" s="207" t="str">
        <f>IFERROR(INDEX($A$2:$A$113,MATCH(ROWS($FA$2:FA82),$FA$2:$FA$113,0)),"")</f>
        <v>FALSA DENUNCIA</v>
      </c>
      <c r="IX82" s="207" t="str">
        <f>IFERROR(INDEX($A$2:$A$113,MATCH(ROWS($FB$2:FB82),$FB$2:$FB$113,0)),"")</f>
        <v>FALSA DENUNCIA</v>
      </c>
      <c r="IY82" s="207" t="str">
        <f>IFERROR(INDEX($A$2:$A$113,MATCH(ROWS($FC$2:FC82),$FC$2:$FC$113,0)),"")</f>
        <v>FALSA DENUNCIA</v>
      </c>
      <c r="IZ82" s="207" t="str">
        <f>IFERROR(INDEX($A$2:$A$113,MATCH(ROWS($FD$2:FD82),$FD$2:$FD$113,0)),"")</f>
        <v>FALSA DENUNCIA</v>
      </c>
      <c r="JA82" s="207" t="str">
        <f>IFERROR(INDEX($A$2:$A$113,MATCH(ROWS($FE$2:FE82),$FE$2:$FE$113,0)),"")</f>
        <v>FALSA DENUNCIA</v>
      </c>
      <c r="JB82" s="207" t="str">
        <f>IFERROR(INDEX($A$2:$A$113,MATCH(ROWS($FF$2:FF82),$FF$2:$FF$113,0)),"")</f>
        <v>FALSA DENUNCIA</v>
      </c>
      <c r="JC82" s="207" t="str">
        <f>IFERROR(INDEX($A$2:$A$113,MATCH(ROWS($FG$2:FG82),$FG$2:$FG$113,0)),"")</f>
        <v>FALSA DENUNCIA</v>
      </c>
      <c r="JD82" s="207" t="str">
        <f>IFERROR(INDEX($A$2:$A$113,MATCH(ROWS($FH$2:FH82),$FH$2:$FH$113,0)),"")</f>
        <v>FALSA DENUNCIA</v>
      </c>
      <c r="JE82" s="207" t="str">
        <f>IFERROR(INDEX($A$2:$A$113,MATCH(ROWS($FI$2:FI82),$FI$2:$FI$113,0)),"")</f>
        <v>FALSA DENUNCIA</v>
      </c>
      <c r="JF82" s="207" t="str">
        <f>IFERROR(INDEX($A$2:$A$113,MATCH(ROWS($FJ$2:FJ82),$FJ$2:$FJ$113,0)),"")</f>
        <v>FALSA DENUNCIA</v>
      </c>
      <c r="JG82" s="207" t="str">
        <f>IFERROR(INDEX($A$2:$A$113,MATCH(ROWS($FK$2:FK82),$FK$2:$FK$113,0)),"")</f>
        <v>FALSA DENUNCIA</v>
      </c>
      <c r="JH82" s="207" t="str">
        <f>IFERROR(INDEX($A$2:$A$113,MATCH(ROWS($FL$2:FL82),$FL$2:$FL$113,0)),"")</f>
        <v>FALSA DENUNCIA</v>
      </c>
      <c r="JI82" s="207" t="str">
        <f>IFERROR(INDEX($A$2:$A$113,MATCH(ROWS($FM$2:FM82),$FM$2:$FM$113,0)),"")</f>
        <v>FALSA DENUNCIA</v>
      </c>
      <c r="JJ82" s="207" t="str">
        <f>IFERROR(INDEX($A$2:$A$113,MATCH(ROWS($FN$2:FN82),$FN$2:$FN$113,0)),"")</f>
        <v>FALSA DENUNCIA</v>
      </c>
      <c r="JK82" s="207" t="str">
        <f>IFERROR(INDEX($A$2:$A$113,MATCH(ROWS($FO$2:FO82),$FO$2:$FO$113,0)),"")</f>
        <v>FALSA DENUNCIA</v>
      </c>
      <c r="JL82" s="207" t="str">
        <f>IFERROR(INDEX($A$2:$A$113,MATCH(ROWS($FP$2:FP82),$FP$2:$FP$113,0)),"")</f>
        <v>FALSA DENUNCIA</v>
      </c>
      <c r="JM82" s="207" t="str">
        <f>IFERROR(INDEX($A$2:$A$113,MATCH(ROWS($FQ$2:FQ82),$FQ$2:$FQ$113,0)),"")</f>
        <v>FALSA DENUNCIA</v>
      </c>
      <c r="JN82" s="207" t="str">
        <f>IFERROR(INDEX($A$2:$A$113,MATCH(ROWS($FR$2:FR82),$FR$2:$FR$113,0)),"")</f>
        <v>FALSA DENUNCIA</v>
      </c>
      <c r="JO82" s="207" t="str">
        <f>IFERROR(INDEX($A$2:$A$113,MATCH(ROWS($FS$2:FS82),$FS$2:$FS$113,0)),"")</f>
        <v>FALSA DENUNCIA</v>
      </c>
      <c r="JP82" s="207" t="str">
        <f>IFERROR(INDEX($A$2:$A$113,MATCH(ROWS($FT$2:FT82),$FT$2:$FT$113,0)),"")</f>
        <v>FALSA DENUNCIA</v>
      </c>
      <c r="JQ82" s="207" t="str">
        <f>IFERROR(INDEX($A$2:$A$113,MATCH(ROWS($FU$2:FU82),$FU$2:$FU$113,0)),"")</f>
        <v>FALSA DENUNCIA</v>
      </c>
      <c r="JR82" s="207" t="str">
        <f>IFERROR(INDEX($A$2:$A$113,MATCH(ROWS($FV$2:FV82),$FV$2:$FV$113,0)),"")</f>
        <v>FALSA DENUNCIA</v>
      </c>
      <c r="JS82" s="207" t="str">
        <f>IFERROR(INDEX($A$2:$A$113,MATCH(ROWS($FW$2:FW82),$FW$2:$FW$113,0)),"")</f>
        <v>FALSA DENUNCIA</v>
      </c>
      <c r="JT82" s="207" t="str">
        <f>IFERROR(INDEX($A$2:$A$113,MATCH(ROWS($FX$2:FX82),$FX$2:$FX$113,0)),"")</f>
        <v>FALSA DENUNCIA</v>
      </c>
      <c r="JU82" s="207" t="str">
        <f>IFERROR(INDEX($A$2:$A$113,MATCH(ROWS($FY$2:FY82),$FY$2:$FY$113,0)),"")</f>
        <v>FALSA DENUNCIA</v>
      </c>
      <c r="JV82" s="207" t="str">
        <f>IFERROR(INDEX($A$2:$A$113,MATCH(ROWS($FZ$2:FZ82),$FZ$2:$FZ$113,0)),"")</f>
        <v>FALSA DENUNCIA</v>
      </c>
      <c r="JW82" s="207" t="str">
        <f>IFERROR(INDEX($A$2:$A$113,MATCH(ROWS($GA$2:GA82),$GA$2:$GA$113,0)),"")</f>
        <v>FALSA DENUNCIA</v>
      </c>
      <c r="JX82" s="207" t="str">
        <f>IFERROR(INDEX($A$2:$A$113,MATCH(ROWS($GB$2:GB82),$GB$2:$GB$113,0)),"")</f>
        <v>FALSA DENUNCIA</v>
      </c>
      <c r="JY82" s="207" t="str">
        <f>IFERROR(INDEX($A$2:$A$113,MATCH(ROWS($GC$2:GC82),$GC$2:$GC$113,0)),"")</f>
        <v>FALSA DENUNCIA</v>
      </c>
      <c r="JZ82" s="207" t="str">
        <f>IFERROR(INDEX($A$2:$A$113,MATCH(ROWS($GD$2:GD82),$GD$2:$GD$113,0)),"")</f>
        <v>FALSA DENUNCIA</v>
      </c>
      <c r="KA82" s="207" t="str">
        <f>IFERROR(INDEX($A$2:$A$113,MATCH(ROWS($GE$2:GE82),$GE$2:$GE$113,0)),"")</f>
        <v>FALSA DENUNCIA</v>
      </c>
      <c r="KB82" s="207" t="str">
        <f>IFERROR(INDEX($A$2:$A$113,MATCH(ROWS($GF$2:GF82),$GF$2:$GF$113,0)),"")</f>
        <v>FALSA DENUNCIA</v>
      </c>
      <c r="KC82" s="207" t="str">
        <f>IFERROR(INDEX($A$2:$A$113,MATCH(ROWS($GG$2:GG82),$GG$2:$GG$113,0)),"")</f>
        <v>FALSA DENUNCIA</v>
      </c>
      <c r="KD82" s="207" t="str">
        <f>IFERROR(INDEX($A$2:$A$113,MATCH(ROWS($GH$2:GH82),$GH$2:$GH$113,0)),"")</f>
        <v>FALSA DENUNCIA</v>
      </c>
      <c r="KE82" s="207" t="str">
        <f>IFERROR(INDEX($A$2:$A$113,MATCH(ROWS($GI$2:GI82),$GI$2:$GI$113,0)),"")</f>
        <v>FALSA DENUNCIA</v>
      </c>
      <c r="KF82" s="207" t="str">
        <f>IFERROR(INDEX($A$2:$A$113,MATCH(ROWS($GJ$2:GJ82),$GJ$2:$GJ$113,0)),"")</f>
        <v>FALSA DENUNCIA</v>
      </c>
      <c r="KG82" s="207" t="str">
        <f>IFERROR(INDEX($A$2:$A$113,MATCH(ROWS($GK$2:GK82),$GK$2:$GK$113,0)),"")</f>
        <v>FALSA DENUNCIA</v>
      </c>
      <c r="KH82" s="207" t="str">
        <f>IFERROR(INDEX($A$2:$A$113,MATCH(ROWS($GL$2:GL82),$GL$2:$GL$113,0)),"")</f>
        <v>FALSA DENUNCIA</v>
      </c>
      <c r="KI82" s="207" t="str">
        <f>IFERROR(INDEX($A$2:$A$113,MATCH(ROWS($GM$2:GM82),$GM$2:$GM$113,0)),"")</f>
        <v>FALSA DENUNCIA</v>
      </c>
      <c r="KJ82" s="207" t="str">
        <f>IFERROR(INDEX($A$2:$A$113,MATCH(ROWS($GN$2:GN82),$GN$2:$GN$113,0)),"")</f>
        <v>FALSA DENUNCIA</v>
      </c>
      <c r="KK82" s="207" t="str">
        <f>IFERROR(INDEX($A$2:$A$113,MATCH(ROWS($GO$2:GO82),$GO$2:$GO$113,0)),"")</f>
        <v>FALSA DENUNCIA</v>
      </c>
      <c r="KL82" s="207" t="str">
        <f>IFERROR(INDEX($A$2:$A$113,MATCH(ROWS($GP$2:GP82),$GP$2:$GP$113,0)),"")</f>
        <v>FALSA DENUNCIA</v>
      </c>
      <c r="KM82" s="207" t="str">
        <f>IFERROR(INDEX($A$2:$A$113,MATCH(ROWS($GQ$2:GQ82),$GQ$2:$GQ$113,0)),"")</f>
        <v>FALSA DENUNCIA</v>
      </c>
      <c r="KN82" s="207" t="str">
        <f>IFERROR(INDEX($A$2:$A$113,MATCH(ROWS($GR$2:GR82),$GR$2:$GR$113,0)),"")</f>
        <v>FALSA DENUNCIA</v>
      </c>
      <c r="KO82" s="207" t="str">
        <f>IFERROR(INDEX($A$2:$A$113,MATCH(ROWS($GS$2:GS82),$GS$2:$GS$113,0)),"")</f>
        <v>FALSA DENUNCIA</v>
      </c>
      <c r="KP82" s="207" t="str">
        <f>IFERROR(INDEX($A$2:$A$113,MATCH(ROWS($GT$2:GT82),$GT$2:$GT$113,0)),"")</f>
        <v>FALSA DENUNCIA</v>
      </c>
      <c r="KQ82" s="207" t="str">
        <f>IFERROR(INDEX($A$2:$A$113,MATCH(ROWS($GU$2:GU82),$GU$2:$GU$113,0)),"")</f>
        <v>FALSA DENUNCIA</v>
      </c>
      <c r="KR82" s="207" t="str">
        <f>IFERROR(INDEX($A$2:$A$113,MATCH(ROWS($GV$2:GV82),$GV$2:$GV$113,0)),"")</f>
        <v>FALSA DENUNCIA</v>
      </c>
      <c r="KS82" s="207" t="str">
        <f>IFERROR(INDEX($A$2:$A$113,MATCH(ROWS($GW$2:GW82),$GW$2:$GW$113,0)),"")</f>
        <v>FALSA DENUNCIA</v>
      </c>
    </row>
    <row r="83" spans="1:305" x14ac:dyDescent="0.25">
      <c r="A83" s="206" t="s">
        <v>926</v>
      </c>
      <c r="B83" s="206">
        <v>26</v>
      </c>
      <c r="D83" s="206" t="s">
        <v>22</v>
      </c>
      <c r="E83" s="206" t="s">
        <v>113</v>
      </c>
      <c r="F83" s="207">
        <f>--ISNUMBER(IFERROR(SEARCH('PLANILLA DJ'!$X$3,$A83,1),""))</f>
        <v>1</v>
      </c>
      <c r="G83" s="207">
        <f>--ISNUMBER(IFERROR(SEARCH('PLANILLA DJ'!$X$4,$A83,1),""))</f>
        <v>1</v>
      </c>
      <c r="H83" s="207">
        <f>--ISNUMBER(IFERROR(SEARCH('PLANILLA DJ'!$X$5,$A83,1),""))</f>
        <v>1</v>
      </c>
      <c r="I83" s="207">
        <f>--ISNUMBER(IFERROR(SEARCH('PLANILLA DJ'!$X$6,$A83,1),""))</f>
        <v>1</v>
      </c>
      <c r="J83" s="207">
        <f>--ISNUMBER(IFERROR(SEARCH('PLANILLA DJ'!$X$7,$A83,1),""))</f>
        <v>1</v>
      </c>
      <c r="K83" s="207">
        <f>--ISNUMBER(IFERROR(SEARCH('PLANILLA DJ'!$X$8,$A83,1),""))</f>
        <v>1</v>
      </c>
      <c r="L83" s="207">
        <f>--ISNUMBER(IFERROR(SEARCH('PLANILLA DJ'!$X$9,$A83,1),""))</f>
        <v>1</v>
      </c>
      <c r="M83" s="207">
        <f>--ISNUMBER(IFERROR(SEARCH('PLANILLA DJ'!$X$10,$A83,1),""))</f>
        <v>1</v>
      </c>
      <c r="N83" s="207">
        <f>--ISNUMBER(IFERROR(SEARCH('PLANILLA DJ'!$X$11,$A83,1),""))</f>
        <v>1</v>
      </c>
      <c r="O83" s="207">
        <f>--ISNUMBER(IFERROR(SEARCH('PLANILLA DJ'!$X$12,$A83,1),""))</f>
        <v>1</v>
      </c>
      <c r="P83" s="207">
        <f>--ISNUMBER(IFERROR(SEARCH('PLANILLA DJ'!$X$13,$A83,1),""))</f>
        <v>1</v>
      </c>
      <c r="Q83" s="207">
        <f>--ISNUMBER(IFERROR(SEARCH('PLANILLA DJ'!$X$14,$A83,1),""))</f>
        <v>1</v>
      </c>
      <c r="R83" s="207">
        <f>--ISNUMBER(IFERROR(SEARCH('PLANILLA DJ'!$X$15,$A83,1),""))</f>
        <v>1</v>
      </c>
      <c r="S83" s="207">
        <f>--ISNUMBER(IFERROR(SEARCH('PLANILLA DJ'!$X$16,$A83,1),""))</f>
        <v>1</v>
      </c>
      <c r="T83" s="207">
        <f>--ISNUMBER(IFERROR(SEARCH('PLANILLA DJ'!$X$17,$A83,1),""))</f>
        <v>1</v>
      </c>
      <c r="U83" s="207">
        <f>--ISNUMBER(IFERROR(SEARCH('PLANILLA DJ'!$X$18,$A83,1),""))</f>
        <v>1</v>
      </c>
      <c r="V83" s="207">
        <f>--ISNUMBER(IFERROR(SEARCH('PLANILLA DJ'!$X$19,$A83,1),""))</f>
        <v>1</v>
      </c>
      <c r="W83" s="207">
        <f>--ISNUMBER(IFERROR(SEARCH('PLANILLA DJ'!$X$20,$A83,1),""))</f>
        <v>1</v>
      </c>
      <c r="X83" s="207">
        <f>--ISNUMBER(IFERROR(SEARCH('PLANILLA DJ'!$X$21,$A83,1),""))</f>
        <v>1</v>
      </c>
      <c r="Y83" s="207">
        <f>--ISNUMBER(IFERROR(SEARCH('PLANILLA DJ'!$X$22,$A83,1),""))</f>
        <v>1</v>
      </c>
      <c r="Z83" s="207">
        <f>--ISNUMBER(IFERROR(SEARCH('PLANILLA DJ'!$X$23,$A83,1),""))</f>
        <v>1</v>
      </c>
      <c r="AA83" s="207">
        <f>--ISNUMBER(IFERROR(SEARCH('PLANILLA DJ'!$X$24,$A83,1),""))</f>
        <v>1</v>
      </c>
      <c r="AB83" s="207">
        <f>--ISNUMBER(IFERROR(SEARCH('PLANILLA DJ'!$X$25,$A83,1),""))</f>
        <v>1</v>
      </c>
      <c r="AC83" s="207">
        <f>--ISNUMBER(IFERROR(SEARCH('PLANILLA DJ'!$X$26,$A83,1),""))</f>
        <v>1</v>
      </c>
      <c r="AD83" s="207">
        <f>--ISNUMBER(IFERROR(SEARCH('PLANILLA DJ'!$X$27,$A83,1),""))</f>
        <v>1</v>
      </c>
      <c r="AE83" s="207">
        <f>--ISNUMBER(IFERROR(SEARCH('PLANILLA DJ'!$X$28,$A83,1),""))</f>
        <v>1</v>
      </c>
      <c r="AF83" s="207">
        <f>--ISNUMBER(IFERROR(SEARCH('PLANILLA DJ'!$X$29,$A83,1),""))</f>
        <v>1</v>
      </c>
      <c r="AG83" s="207">
        <f>--ISNUMBER(IFERROR(SEARCH('PLANILLA DJ'!$X$30,$A83,1),""))</f>
        <v>1</v>
      </c>
      <c r="AH83" s="207">
        <f>--ISNUMBER(IFERROR(SEARCH('PLANILLA DJ'!$X$31,$A83,1),""))</f>
        <v>1</v>
      </c>
      <c r="AI83" s="207">
        <f>--ISNUMBER(IFERROR(SEARCH('PLANILLA DJ'!$X$32,$A83,1),""))</f>
        <v>1</v>
      </c>
      <c r="AJ83" s="207">
        <f>--ISNUMBER(IFERROR(SEARCH('PLANILLA DJ'!$X$33,$A83,1),""))</f>
        <v>1</v>
      </c>
      <c r="AK83" s="207">
        <f>--ISNUMBER(IFERROR(SEARCH('PLANILLA DJ'!$X$34,$A83,1),""))</f>
        <v>1</v>
      </c>
      <c r="AL83" s="207">
        <f>--ISNUMBER(IFERROR(SEARCH('PLANILLA DJ'!$X$35,$A83,1),""))</f>
        <v>1</v>
      </c>
      <c r="AM83" s="207">
        <f>--ISNUMBER(IFERROR(SEARCH('PLANILLA DJ'!$X$36,$A83,1),""))</f>
        <v>1</v>
      </c>
      <c r="AN83" s="207">
        <f>--ISNUMBER(IFERROR(SEARCH('PLANILLA DJ'!$X$37,$A83,1),""))</f>
        <v>1</v>
      </c>
      <c r="AO83" s="207">
        <f>--ISNUMBER(IFERROR(SEARCH('PLANILLA DJ'!$X$38,$A83,1),""))</f>
        <v>1</v>
      </c>
      <c r="AP83" s="207">
        <f>--ISNUMBER(IFERROR(SEARCH('PLANILLA DJ'!$X$39,$A83,1),""))</f>
        <v>1</v>
      </c>
      <c r="AQ83" s="207">
        <f>--ISNUMBER(IFERROR(SEARCH('PLANILLA DJ'!$X$40,$A83,1),""))</f>
        <v>1</v>
      </c>
      <c r="AR83" s="207">
        <f>--ISNUMBER(IFERROR(SEARCH('PLANILLA DJ'!$X$41,$A83,1),""))</f>
        <v>1</v>
      </c>
      <c r="AS83" s="207">
        <f>--ISNUMBER(IFERROR(SEARCH('PLANILLA DJ'!$X$42,$A83,1),""))</f>
        <v>1</v>
      </c>
      <c r="AT83" s="207">
        <f>--ISNUMBER(IFERROR(SEARCH('PLANILLA DJ'!$X$43,$A83,1),""))</f>
        <v>1</v>
      </c>
      <c r="AU83" s="207">
        <f>--ISNUMBER(IFERROR(SEARCH('PLANILLA DJ'!$X$44,$A83,1),""))</f>
        <v>1</v>
      </c>
      <c r="AV83" s="207">
        <f>--ISNUMBER(IFERROR(SEARCH('PLANILLA DJ'!$X$45,$A83,1),""))</f>
        <v>1</v>
      </c>
      <c r="AW83" s="207">
        <f>--ISNUMBER(IFERROR(SEARCH('PLANILLA DJ'!$X$46,$A83,1),""))</f>
        <v>1</v>
      </c>
      <c r="AX83" s="207">
        <f>--ISNUMBER(IFERROR(SEARCH('PLANILLA DJ'!$X$47,$A83,1),""))</f>
        <v>1</v>
      </c>
      <c r="AY83" s="207">
        <f>--ISNUMBER(IFERROR(SEARCH('PLANILLA DJ'!$X$48,$A83,1),""))</f>
        <v>1</v>
      </c>
      <c r="AZ83" s="207">
        <f>--ISNUMBER(IFERROR(SEARCH('PLANILLA DJ'!$X$49,$A83,1),""))</f>
        <v>1</v>
      </c>
      <c r="BA83" s="207">
        <f>--ISNUMBER(IFERROR(SEARCH('PLANILLA DJ'!$X$50,$A83,1),""))</f>
        <v>1</v>
      </c>
      <c r="BB83" s="207">
        <f>--ISNUMBER(IFERROR(SEARCH('PLANILLA DJ'!$X$51,$A83,1),""))</f>
        <v>1</v>
      </c>
      <c r="BC83" s="207">
        <f>--ISNUMBER(IFERROR(SEARCH('PLANILLA DJ'!$X$52,$A83,1),""))</f>
        <v>1</v>
      </c>
      <c r="BD83" s="207">
        <f>--ISNUMBER(IFERROR(SEARCH('PLANILLA DJ'!$X$53,$A83,1),""))</f>
        <v>1</v>
      </c>
      <c r="BE83" s="207">
        <f>--ISNUMBER(IFERROR(SEARCH('PLANILLA DJ'!$X$54,$A83,1),""))</f>
        <v>1</v>
      </c>
      <c r="BF83" s="207">
        <f>--ISNUMBER(IFERROR(SEARCH('PLANILLA DJ'!$X$55,$A83,1),""))</f>
        <v>1</v>
      </c>
      <c r="BG83" s="207">
        <f>--ISNUMBER(IFERROR(SEARCH('PLANILLA DJ'!$X$56,$A83,1),""))</f>
        <v>1</v>
      </c>
      <c r="BH83" s="207">
        <f>--ISNUMBER(IFERROR(SEARCH('PLANILLA DJ'!$X$57,$A83,1),""))</f>
        <v>1</v>
      </c>
      <c r="BI83" s="207">
        <f>--ISNUMBER(IFERROR(SEARCH('PLANILLA DJ'!$X$58,$A83,1),""))</f>
        <v>1</v>
      </c>
      <c r="BJ83" s="207">
        <f>--ISNUMBER(IFERROR(SEARCH('PLANILLA DJ'!$X$59,$A83,1),""))</f>
        <v>1</v>
      </c>
      <c r="BK83" s="207">
        <f>--ISNUMBER(IFERROR(SEARCH('PLANILLA DJ'!$X$60,$A83,1),""))</f>
        <v>1</v>
      </c>
      <c r="BL83" s="207">
        <f>--ISNUMBER(IFERROR(SEARCH('PLANILLA DJ'!$X$61,$A83,1),""))</f>
        <v>1</v>
      </c>
      <c r="BM83" s="207">
        <f>--ISNUMBER(IFERROR(SEARCH('PLANILLA DJ'!$X$62,$A83,1),""))</f>
        <v>1</v>
      </c>
      <c r="BN83" s="207">
        <f>--ISNUMBER(IFERROR(SEARCH('PLANILLA DJ'!$X$63,$A83,1),""))</f>
        <v>1</v>
      </c>
      <c r="BO83" s="207">
        <f>--ISNUMBER(IFERROR(SEARCH('PLANILLA DJ'!$X$64,$A83,1),""))</f>
        <v>1</v>
      </c>
      <c r="BP83" s="207">
        <f>--ISNUMBER(IFERROR(SEARCH('PLANILLA DJ'!$X$65,$A83,1),""))</f>
        <v>1</v>
      </c>
      <c r="BQ83" s="207">
        <f>--ISNUMBER(IFERROR(SEARCH('PLANILLA DJ'!$X$66,$A83,1),""))</f>
        <v>1</v>
      </c>
      <c r="BR83" s="207">
        <f>--ISNUMBER(IFERROR(SEARCH('PLANILLA DJ'!$X$67,$A83,1),""))</f>
        <v>1</v>
      </c>
      <c r="BS83" s="207">
        <f>--ISNUMBER(IFERROR(SEARCH('PLANILLA DJ'!$X$68,$A83,1),""))</f>
        <v>1</v>
      </c>
      <c r="BT83" s="207">
        <f>--ISNUMBER(IFERROR(SEARCH('PLANILLA DJ'!$X$69,$A83,1),""))</f>
        <v>1</v>
      </c>
      <c r="BU83" s="207">
        <f>--ISNUMBER(IFERROR(SEARCH('PLANILLA DJ'!$X$70,$A83,1),""))</f>
        <v>1</v>
      </c>
      <c r="BV83" s="207">
        <f>--ISNUMBER(IFERROR(SEARCH('PLANILLA DJ'!$X$71,$A83,1),""))</f>
        <v>1</v>
      </c>
      <c r="BW83" s="207">
        <f>--ISNUMBER(IFERROR(SEARCH('PLANILLA DJ'!$X$72,$A83,1),""))</f>
        <v>1</v>
      </c>
      <c r="BX83" s="207">
        <f>--ISNUMBER(IFERROR(SEARCH('PLANILLA DJ'!$X$73,$A83,1),""))</f>
        <v>1</v>
      </c>
      <c r="BY83" s="207">
        <f>--ISNUMBER(IFERROR(SEARCH('PLANILLA DJ'!$X$74,$A83,1),""))</f>
        <v>1</v>
      </c>
      <c r="BZ83" s="207">
        <f>--ISNUMBER(IFERROR(SEARCH('PLANILLA DJ'!$X$75,$A83,1),""))</f>
        <v>1</v>
      </c>
      <c r="CA83" s="207">
        <f>--ISNUMBER(IFERROR(SEARCH('PLANILLA DJ'!$X$76,$A83,1),""))</f>
        <v>1</v>
      </c>
      <c r="CB83" s="207">
        <f>--ISNUMBER(IFERROR(SEARCH('PLANILLA DJ'!$X$77,$A83,1),""))</f>
        <v>1</v>
      </c>
      <c r="CC83" s="207">
        <f>--ISNUMBER(IFERROR(SEARCH('PLANILLA DJ'!$X$78,$A83,1),""))</f>
        <v>1</v>
      </c>
      <c r="CD83" s="207">
        <f>--ISNUMBER(IFERROR(SEARCH('PLANILLA DJ'!$X$79,$A83,1),""))</f>
        <v>1</v>
      </c>
      <c r="CE83" s="207">
        <f>--ISNUMBER(IFERROR(SEARCH('PLANILLA DJ'!$X$80,$A83,1),""))</f>
        <v>1</v>
      </c>
      <c r="CF83" s="207">
        <f>--ISNUMBER(IFERROR(SEARCH('PLANILLA DJ'!$X$81,$A83,1),""))</f>
        <v>1</v>
      </c>
      <c r="CG83" s="207">
        <f>--ISNUMBER(IFERROR(SEARCH('PLANILLA DJ'!$X$82,$A83,1),""))</f>
        <v>1</v>
      </c>
      <c r="CH83" s="207">
        <f>--ISNUMBER(IFERROR(SEARCH('PLANILLA DJ'!$X$83,$A83,1),""))</f>
        <v>1</v>
      </c>
      <c r="CI83" s="207">
        <f>--ISNUMBER(IFERROR(SEARCH('PLANILLA DJ'!$X$84,$A83,1),""))</f>
        <v>1</v>
      </c>
      <c r="CJ83" s="207">
        <f>--ISNUMBER(IFERROR(SEARCH('PLANILLA DJ'!$X$85,$A83,1),""))</f>
        <v>1</v>
      </c>
      <c r="CK83" s="207">
        <f>--ISNUMBER(IFERROR(SEARCH('PLANILLA DJ'!$X$86,$A83,1),""))</f>
        <v>1</v>
      </c>
      <c r="CL83" s="207">
        <f>--ISNUMBER(IFERROR(SEARCH('PLANILLA DJ'!$X$87,$A83,1),""))</f>
        <v>1</v>
      </c>
      <c r="CM83" s="207">
        <f>--ISNUMBER(IFERROR(SEARCH('PLANILLA DJ'!$X$88,$A83,1),""))</f>
        <v>1</v>
      </c>
      <c r="CN83" s="207">
        <f>--ISNUMBER(IFERROR(SEARCH('PLANILLA DJ'!$X$89,$A83,1),""))</f>
        <v>1</v>
      </c>
      <c r="CO83" s="207">
        <f>--ISNUMBER(IFERROR(SEARCH('PLANILLA DJ'!$X$90,$A83,1),""))</f>
        <v>1</v>
      </c>
      <c r="CP83" s="207">
        <f>--ISNUMBER(IFERROR(SEARCH('PLANILLA DJ'!$X$91,$A83,1),""))</f>
        <v>1</v>
      </c>
      <c r="CQ83" s="207">
        <f>--ISNUMBER(IFERROR(SEARCH('PLANILLA DJ'!$X$92,$A83,1),""))</f>
        <v>1</v>
      </c>
      <c r="CR83" s="207">
        <f>--ISNUMBER(IFERROR(SEARCH('PLANILLA DJ'!$X$93,$A83,1),""))</f>
        <v>1</v>
      </c>
      <c r="CS83" s="207">
        <f>--ISNUMBER(IFERROR(SEARCH('PLANILLA DJ'!$X$94,$A83,1),""))</f>
        <v>1</v>
      </c>
      <c r="CT83" s="207">
        <f>--ISNUMBER(IFERROR(SEARCH('PLANILLA DJ'!$X$95,$A83,1),""))</f>
        <v>1</v>
      </c>
      <c r="CU83" s="207">
        <f>--ISNUMBER(IFERROR(SEARCH('PLANILLA DJ'!$X$96,$A83,1),""))</f>
        <v>1</v>
      </c>
      <c r="CV83" s="207">
        <f>--ISNUMBER(IFERROR(SEARCH('PLANILLA DJ'!$X$97,$A83,1),""))</f>
        <v>1</v>
      </c>
      <c r="CW83" s="207">
        <f>--ISNUMBER(IFERROR(SEARCH('PLANILLA DJ'!$X$98,$A83,1),""))</f>
        <v>1</v>
      </c>
      <c r="CX83" s="207">
        <f>--ISNUMBER(IFERROR(SEARCH('PLANILLA DJ'!$X$99,$A83,1),""))</f>
        <v>1</v>
      </c>
      <c r="CY83" s="207">
        <f>--ISNUMBER(IFERROR(SEARCH('PLANILLA DJ'!$X$100,$A83,1),""))</f>
        <v>1</v>
      </c>
      <c r="CZ83" s="207">
        <f>--ISNUMBER(IFERROR(SEARCH('PLANILLA DJ'!$X$101,$A83,1),""))</f>
        <v>1</v>
      </c>
      <c r="DA83" s="207">
        <f>--ISNUMBER(IFERROR(SEARCH('PLANILLA DJ'!$X$102,$A83,1),""))</f>
        <v>1</v>
      </c>
      <c r="DB83" s="206">
        <f>IF(F83=1,COUNTIF($F$2:F83,1),"")</f>
        <v>82</v>
      </c>
      <c r="DC83" s="206">
        <f>IF(G83=1,COUNTIF($G$2:G83,1),"")</f>
        <v>82</v>
      </c>
      <c r="DD83" s="206">
        <f>IF(H83=1,COUNTIF($H$2:H83,1),"")</f>
        <v>82</v>
      </c>
      <c r="DE83" s="206">
        <f>IF(I83=1,COUNTIF($I$2:I83,1),"")</f>
        <v>82</v>
      </c>
      <c r="DF83" s="206">
        <f>IF(J83=1,COUNTIF($J$2:J83,1),"")</f>
        <v>82</v>
      </c>
      <c r="DG83" s="206">
        <f>IF(K83=1,COUNTIF($K$2:K83,1),"")</f>
        <v>82</v>
      </c>
      <c r="DH83" s="206">
        <f>IF(L83=1,COUNTIF($L$2:L83,1),"")</f>
        <v>82</v>
      </c>
      <c r="DI83" s="206">
        <f>IF(M83=1,COUNTIF($M$2:M83,1),"")</f>
        <v>82</v>
      </c>
      <c r="DJ83" s="206">
        <f>IF(N83=1,COUNTIF($N$2:N83,1),"")</f>
        <v>82</v>
      </c>
      <c r="DK83" s="206">
        <f>IF(O83=1,COUNTIF($O$2:O83,1),"")</f>
        <v>82</v>
      </c>
      <c r="DL83" s="206">
        <f>IF(P83=1,COUNTIF($P$2:P83,1),"")</f>
        <v>82</v>
      </c>
      <c r="DM83" s="206">
        <f>IF(Q83=1,COUNTIF($Q$2:Q83,1),"")</f>
        <v>82</v>
      </c>
      <c r="DN83" s="207">
        <f>IF(R83=1,COUNTIF($R$2:R83,1),"")</f>
        <v>82</v>
      </c>
      <c r="DO83" s="207">
        <f>IF(S83=1,COUNTIF($S$2:S83,1),"")</f>
        <v>82</v>
      </c>
      <c r="DP83" s="207">
        <f>IF(T83=1,COUNTIF($T$2:T83,1),"")</f>
        <v>82</v>
      </c>
      <c r="DQ83" s="207">
        <f>IF(U83=1,COUNTIF($U$2:U83,1),"")</f>
        <v>82</v>
      </c>
      <c r="DR83" s="207">
        <f>IF(V83=1,COUNTIF($V$2:V83,1),"")</f>
        <v>82</v>
      </c>
      <c r="DS83" s="207">
        <f>IF(W83=1,COUNTIF($W$2:W83,1),"")</f>
        <v>82</v>
      </c>
      <c r="DT83" s="207">
        <f>IF(X83=1,COUNTIF($X$2:X83,1),"")</f>
        <v>82</v>
      </c>
      <c r="DU83" s="207">
        <f>IF(Y83=1,COUNTIF($Y$2:Y83,1),"")</f>
        <v>82</v>
      </c>
      <c r="DV83" s="207">
        <f>IF(Z83=1,COUNTIF(Z$2:Z83,1),"")</f>
        <v>82</v>
      </c>
      <c r="DW83" s="207">
        <f>IF(AA83=1,COUNTIF($AA$2:AA83,1),"")</f>
        <v>82</v>
      </c>
      <c r="DX83" s="207">
        <f>IF(AB83=1,COUNTIF($AB$2:AB83,1),"")</f>
        <v>82</v>
      </c>
      <c r="DY83" s="207">
        <f>IF(AC83=1,COUNTIF($AC$2:AC83,1),"")</f>
        <v>82</v>
      </c>
      <c r="DZ83" s="207">
        <f>IF(AD83=1,COUNTIF($AD$2:AD83,1),"")</f>
        <v>82</v>
      </c>
      <c r="EA83" s="207">
        <f>IF(AE83=1,COUNTIF($AE$2:AE83,1),"")</f>
        <v>82</v>
      </c>
      <c r="EB83" s="207">
        <f>IF(AF83=1,COUNTIF($AF$2:AF83,1),"")</f>
        <v>82</v>
      </c>
      <c r="EC83" s="207">
        <f>IF(AG83=1,COUNTIF($AG$2:AG83,1),"")</f>
        <v>82</v>
      </c>
      <c r="ED83" s="207">
        <f>IF(AH83=1,COUNTIF($AH$2:AH83,1),"")</f>
        <v>82</v>
      </c>
      <c r="EE83" s="207">
        <f>IF(AI83=1,COUNTIF($AI$2:AI83,1),"")</f>
        <v>82</v>
      </c>
      <c r="EF83" s="207">
        <f>IF(AJ83=1,COUNTIF($AJ$2:AJ83,1),"")</f>
        <v>82</v>
      </c>
      <c r="EG83" s="207">
        <f>IF(AK83=1,COUNTIF($AK$2:AK83,1),"")</f>
        <v>82</v>
      </c>
      <c r="EH83" s="207">
        <f>IF(AL83=1,COUNTIF($AL$2:AL83,1),"")</f>
        <v>82</v>
      </c>
      <c r="EI83" s="207">
        <f>IF(AM83=1,COUNTIF($AM$2:AM83,1),"")</f>
        <v>82</v>
      </c>
      <c r="EJ83" s="207">
        <f>IF(AN83=1,COUNTIF($AN$2:AN83,1),"")</f>
        <v>82</v>
      </c>
      <c r="EK83" s="207">
        <f>IF(AO83=1,COUNTIF($AO$2:AO83,1),"")</f>
        <v>82</v>
      </c>
      <c r="EL83" s="207">
        <f>IF(AP83=1,COUNTIF($AP$2:AP83,1),"")</f>
        <v>82</v>
      </c>
      <c r="EM83" s="207">
        <f>IF(AQ83=1,COUNTIF($AQ$2:AQ83,1),"")</f>
        <v>82</v>
      </c>
      <c r="EN83" s="207">
        <f>IF(AR83=1,COUNTIF($AR$2:AR83,1),"")</f>
        <v>82</v>
      </c>
      <c r="EO83" s="207">
        <f>IF(AS83=1,COUNTIF($AS$2:AS83,1),"")</f>
        <v>82</v>
      </c>
      <c r="EP83" s="207">
        <f>IF(AT83=1,COUNTIF($AT$2:AT83,1),"")</f>
        <v>82</v>
      </c>
      <c r="EQ83" s="207">
        <f>IF(AU83=1,COUNTIF($AU$2:AU83,1),"")</f>
        <v>82</v>
      </c>
      <c r="ER83" s="207">
        <f>IF(AV83=1,COUNTIF($AV$2:AV83,1),"")</f>
        <v>82</v>
      </c>
      <c r="ES83" s="207">
        <f>IF(AW83=1,COUNTIF($AW$2:AW83,1),"")</f>
        <v>82</v>
      </c>
      <c r="ET83" s="207">
        <f>IF(AX83=1,COUNTIF($AX$2:AX83,1),"")</f>
        <v>82</v>
      </c>
      <c r="EU83" s="207">
        <f>IF(AY83=1,COUNTIF($AY$2:AY83,1),"")</f>
        <v>82</v>
      </c>
      <c r="EV83" s="207">
        <f>IF(AZ83=1,COUNTIF($AZ$2:AZ83,1),"")</f>
        <v>82</v>
      </c>
      <c r="EW83" s="207">
        <f>IF(BA83=1,COUNTIF($BA$2:BA83,1),"")</f>
        <v>82</v>
      </c>
      <c r="EX83" s="207">
        <f>IF(BB83=1,COUNTIF($BB$2:BB83,1),"")</f>
        <v>82</v>
      </c>
      <c r="EY83" s="207">
        <f>IF(BC83=1,COUNTIF($BC$2:BC83,1),"")</f>
        <v>82</v>
      </c>
      <c r="EZ83" s="207">
        <f>IF(BD83=1,COUNTIF($BD$2:BD83,1),"")</f>
        <v>82</v>
      </c>
      <c r="FA83" s="207">
        <f>IF(BE83=1,COUNTIF($BE$2:BE83,1),"")</f>
        <v>82</v>
      </c>
      <c r="FB83" s="207">
        <f>IF(BF83=1,COUNTIF($BF$2:BF83,1),"")</f>
        <v>82</v>
      </c>
      <c r="FC83" s="207">
        <f>IF(BG83=1,COUNTIF($BG$2:BG83,1),"")</f>
        <v>82</v>
      </c>
      <c r="FD83" s="207">
        <f>IF(BH83=1,COUNTIF($BH$2:BH83,1),"")</f>
        <v>82</v>
      </c>
      <c r="FE83" s="207">
        <f>IF(BI83=1,COUNTIF($BI$2:BI83,1),"")</f>
        <v>82</v>
      </c>
      <c r="FF83" s="207">
        <f>IF(BJ83=1,COUNTIF($BJ$2:BJ83,1),"")</f>
        <v>82</v>
      </c>
      <c r="FG83" s="207">
        <f>IF(BK83=1,COUNTIF($BK$2:BK83,1),"")</f>
        <v>82</v>
      </c>
      <c r="FH83" s="207">
        <f>IF(BL83=1,COUNTIF($BL$2:BL83,1),"")</f>
        <v>82</v>
      </c>
      <c r="FI83" s="207">
        <f>IF(BM83=1,COUNTIF($BM$2:BM83,1),"")</f>
        <v>82</v>
      </c>
      <c r="FJ83" s="207">
        <f>IF(BN83=1,COUNTIF($BN$2:BN83,1),"")</f>
        <v>82</v>
      </c>
      <c r="FK83" s="207">
        <f>IF(BO83=1,COUNTIF($BO$2:BO83,1),"")</f>
        <v>82</v>
      </c>
      <c r="FL83" s="207">
        <f>IF(BP83=1,COUNTIF($BP$2:BP83,1),"")</f>
        <v>82</v>
      </c>
      <c r="FM83" s="207">
        <f>IF(BQ83=1,COUNTIF($BQ$2:BQ83,1),"")</f>
        <v>82</v>
      </c>
      <c r="FN83" s="207">
        <f>IF(BR83=1,COUNTIF($BR$2:BR83,1),"")</f>
        <v>82</v>
      </c>
      <c r="FO83" s="207">
        <f>IF(BS83=1,COUNTIF($BS$2:BS83,1),"")</f>
        <v>82</v>
      </c>
      <c r="FP83" s="207">
        <f>IF(BT83=1,COUNTIF($BT$2:BT83,1),"")</f>
        <v>82</v>
      </c>
      <c r="FQ83" s="207">
        <f>IF(BU83=1,COUNTIF($BU$2:BU83,1),"")</f>
        <v>82</v>
      </c>
      <c r="FR83" s="207">
        <f>IF(BV83=1,COUNTIF($BV$2:BV83,1),"")</f>
        <v>82</v>
      </c>
      <c r="FS83" s="207">
        <f>IF(BW83=1,COUNTIF($BW$2:BW83,1),"")</f>
        <v>82</v>
      </c>
      <c r="FT83" s="207">
        <f>IF(BX83=1,COUNTIF($BX$2:BX83,1),"")</f>
        <v>82</v>
      </c>
      <c r="FU83" s="207">
        <f>IF(BY83=1,COUNTIF($BY$2:BY83,1),"")</f>
        <v>82</v>
      </c>
      <c r="FV83" s="207">
        <f>IF(BZ83=1,COUNTIF($BZ$2:BZ83,1),"")</f>
        <v>82</v>
      </c>
      <c r="FW83" s="207">
        <f>IF(CA83=1,COUNTIF($CA$2:CA83,1),"")</f>
        <v>82</v>
      </c>
      <c r="FX83" s="207">
        <f>IF(CB83=1,COUNTIF($CB$2:CB83,1),"")</f>
        <v>82</v>
      </c>
      <c r="FY83" s="207">
        <f>IF(CC83=1,COUNTIF($CC$2:CC83,1),"")</f>
        <v>82</v>
      </c>
      <c r="FZ83" s="207">
        <f>IF(CD83=1,COUNTIF($CD$2:CD83,1),"")</f>
        <v>82</v>
      </c>
      <c r="GA83" s="207">
        <f>IF(CE83=1,COUNTIF($CE$2:CE83,1),"")</f>
        <v>82</v>
      </c>
      <c r="GB83" s="207">
        <f>IF(CF83=1,COUNTIF($CF$2:CF83,1),"")</f>
        <v>82</v>
      </c>
      <c r="GC83" s="207">
        <f>IF(CG83=1,COUNTIF($CG$2:CG83,1),"")</f>
        <v>82</v>
      </c>
      <c r="GD83" s="207">
        <f>IF(CH83=1,COUNTIF($CH$2:CH83,1),"")</f>
        <v>82</v>
      </c>
      <c r="GE83" s="207">
        <f>IF(CI83=1,COUNTIF($CI$2:CI83,1),"")</f>
        <v>82</v>
      </c>
      <c r="GF83" s="207">
        <f>IF(CJ83=1,COUNTIF($CJ$2:CJ83,1),"")</f>
        <v>82</v>
      </c>
      <c r="GG83" s="207">
        <f>IF(CK83=1,COUNTIF($CK$2:CK83,1),"")</f>
        <v>82</v>
      </c>
      <c r="GH83" s="207">
        <f>IF(CL83=1,COUNTIF($CL$2:CL83,1),"")</f>
        <v>82</v>
      </c>
      <c r="GI83" s="207">
        <f>IF(CM83=1,COUNTIF($CM$2:CM83,1),"")</f>
        <v>82</v>
      </c>
      <c r="GJ83" s="207">
        <f>IF(CN83=1,COUNTIF($CN$2:CN83,1),"")</f>
        <v>82</v>
      </c>
      <c r="GK83" s="207">
        <f>IF(CO83=1,COUNTIF($CO$2:CO83,1),"")</f>
        <v>82</v>
      </c>
      <c r="GL83" s="207">
        <f>IF(CP83=1,COUNTIF($CP$2:CP83,1),"")</f>
        <v>82</v>
      </c>
      <c r="GM83" s="207">
        <f>IF(CQ83=1,COUNTIF($CQ$2:CQ83,1),"")</f>
        <v>82</v>
      </c>
      <c r="GN83" s="207">
        <f>IF(CR83=1,COUNTIF($CR$2:CR83,1),"")</f>
        <v>82</v>
      </c>
      <c r="GO83" s="207">
        <f>IF(CS83=1,COUNTIF($CS$2:CS83,1),"")</f>
        <v>82</v>
      </c>
      <c r="GP83" s="207">
        <f>IF(CT83=1,COUNTIF($CT$2:CT83,1),"")</f>
        <v>82</v>
      </c>
      <c r="GQ83" s="207">
        <f>IF(CU83=1,COUNTIF($CU$2:CU83,1),"")</f>
        <v>82</v>
      </c>
      <c r="GR83" s="207">
        <f>IF(CV83=1,COUNTIF($CV$2:CV83,1),"")</f>
        <v>82</v>
      </c>
      <c r="GS83" s="207">
        <f>IF(CW83=1,COUNTIF($CW$2:CW83,1),"")</f>
        <v>82</v>
      </c>
      <c r="GT83" s="207">
        <f>IF(CX83=1,COUNTIF($CX$2:CX83,1),"")</f>
        <v>82</v>
      </c>
      <c r="GU83" s="207">
        <f>IF(CY83=1,COUNTIF($CY$2:CY83,1),"")</f>
        <v>82</v>
      </c>
      <c r="GV83" s="207">
        <f>IF(CZ83=1,COUNTIF($CZ$2:CZ83,1),"")</f>
        <v>82</v>
      </c>
      <c r="GW83" s="207">
        <f>IF(DA83=1,COUNTIF($DA$2:DA83,1),"")</f>
        <v>82</v>
      </c>
      <c r="GX83" s="206" t="str">
        <f>IFERROR(INDEX($A$2:$A$113,MATCH(ROWS($DB$2:DB83),$DB$2:$DB$113,0)),"")</f>
        <v>ABUSO DE AUTORIDAD Y VIOLACION A LOS DEBERES DE FUNCIONARIO PUBLICO</v>
      </c>
      <c r="GY83" s="206" t="str">
        <f>IFERROR(INDEX($A$2:$A$113,MATCH(ROWS($DC$2:DC83),$DC$2:$DC$113,0)),"")</f>
        <v>ABUSO DE AUTORIDAD Y VIOLACION A LOS DEBERES DE FUNCIONARIO PUBLICO</v>
      </c>
      <c r="GZ83" s="206" t="str">
        <f>IFERROR(INDEX($A$2:$A$113,MATCH(ROWS($DD$2:DD83),$DD$2:$DD$113,0)),"")</f>
        <v>ABUSO DE AUTORIDAD Y VIOLACION A LOS DEBERES DE FUNCIONARIO PUBLICO</v>
      </c>
      <c r="HA83" s="206" t="str">
        <f>IFERROR(INDEX($A$2:$A$113,MATCH(ROWS($DE$2:DE83),$DE$2:$DE$113,0)),"")</f>
        <v>ABUSO DE AUTORIDAD Y VIOLACION A LOS DEBERES DE FUNCIONARIO PUBLICO</v>
      </c>
      <c r="HB83" s="206" t="str">
        <f>IFERROR(INDEX($A$2:$A$113,MATCH(ROWS($DF$2:DF83),$DF$2:$DF$113,0)),"")</f>
        <v>ABUSO DE AUTORIDAD Y VIOLACION A LOS DEBERES DE FUNCIONARIO PUBLICO</v>
      </c>
      <c r="HC83" s="206" t="str">
        <f>IFERROR(INDEX($A$2:$A$113,MATCH(ROWS($DG$2:DG83),$DG$2:$DG$113,0)),"")</f>
        <v>ABUSO DE AUTORIDAD Y VIOLACION A LOS DEBERES DE FUNCIONARIO PUBLICO</v>
      </c>
      <c r="HD83" s="206" t="str">
        <f>IFERROR(INDEX($A$2:$A$113,MATCH(ROWS($DH$2:DH83),$DH$2:$DH$113,0)),"")</f>
        <v>ABUSO DE AUTORIDAD Y VIOLACION A LOS DEBERES DE FUNCIONARIO PUBLICO</v>
      </c>
      <c r="HE83" s="206" t="str">
        <f>IFERROR(INDEX($A$2:$A$113,MATCH(ROWS($DI$2:DI83),$DI$2:$DI$113,0)),"")</f>
        <v>ABUSO DE AUTORIDAD Y VIOLACION A LOS DEBERES DE FUNCIONARIO PUBLICO</v>
      </c>
      <c r="HF83" s="206" t="str">
        <f>IFERROR(INDEX($A$2:$A$113,MATCH(ROWS($DJ$2:DJ83),$DJ$2:$DJ$113,0)),"")</f>
        <v>ABUSO DE AUTORIDAD Y VIOLACION A LOS DEBERES DE FUNCIONARIO PUBLICO</v>
      </c>
      <c r="HG83" s="206" t="str">
        <f>IFERROR(INDEX($A$2:$A$113,MATCH(ROWS($DK$2:DK83),$DK$2:$DK$113,0)),"")</f>
        <v>ABUSO DE AUTORIDAD Y VIOLACION A LOS DEBERES DE FUNCIONARIO PUBLICO</v>
      </c>
      <c r="HH83" s="206" t="str">
        <f>IFERROR(INDEX($A$2:$A$113,MATCH(ROWS($DL$2:DL83),$DL$2:$DL$113,0)),"")</f>
        <v>ABUSO DE AUTORIDAD Y VIOLACION A LOS DEBERES DE FUNCIONARIO PUBLICO</v>
      </c>
      <c r="HI83" s="206" t="str">
        <f>IFERROR(INDEX($A$2:$A$113,MATCH(ROWS($DM$2:DM83),$DM$2:$DM$113,0)),"")</f>
        <v>ABUSO DE AUTORIDAD Y VIOLACION A LOS DEBERES DE FUNCIONARIO PUBLICO</v>
      </c>
      <c r="HJ83" s="206" t="str">
        <f>IFERROR(INDEX($A$2:$A$113,MATCH(ROWS($DN$2:DN83),$DN$2:$DN$113,0)),"")</f>
        <v>ABUSO DE AUTORIDAD Y VIOLACION A LOS DEBERES DE FUNCIONARIO PUBLICO</v>
      </c>
      <c r="HK83" s="206" t="str">
        <f>IFERROR(INDEX($A$2:$A$113,MATCH(ROWS($DO$2:DO83),$DO$2:$DO$113,0)),"")</f>
        <v>ABUSO DE AUTORIDAD Y VIOLACION A LOS DEBERES DE FUNCIONARIO PUBLICO</v>
      </c>
      <c r="HL83" s="206" t="str">
        <f>IFERROR(INDEX($A$2:$A$113,MATCH(ROWS($DP$2:DP83),$DP$2:$DP$113,0)),"")</f>
        <v>ABUSO DE AUTORIDAD Y VIOLACION A LOS DEBERES DE FUNCIONARIO PUBLICO</v>
      </c>
      <c r="HM83" s="206" t="str">
        <f>IFERROR(INDEX($A$2:$A$113,MATCH(ROWS($DQ$2:DQ83),$DQ$2:$DQ$113,0)),"")</f>
        <v>ABUSO DE AUTORIDAD Y VIOLACION A LOS DEBERES DE FUNCIONARIO PUBLICO</v>
      </c>
      <c r="HN83" s="206" t="str">
        <f>IFERROR(INDEX($A$2:$A$113,MATCH(ROWS($DR$2:DR83),$DR$2:$DR$113,0)),"")</f>
        <v>ABUSO DE AUTORIDAD Y VIOLACION A LOS DEBERES DE FUNCIONARIO PUBLICO</v>
      </c>
      <c r="HO83" s="206" t="str">
        <f>IFERROR(INDEX($A$2:$A$113,MATCH(ROWS($DS$2:DS83),$DS$2:$DS$113,0)),"")</f>
        <v>ABUSO DE AUTORIDAD Y VIOLACION A LOS DEBERES DE FUNCIONARIO PUBLICO</v>
      </c>
      <c r="HP83" s="206" t="str">
        <f>IFERROR(INDEX($A$2:$A$113,MATCH(ROWS($DT$2:DT83),$DT$2:$DT$113,0)),"")</f>
        <v>ABUSO DE AUTORIDAD Y VIOLACION A LOS DEBERES DE FUNCIONARIO PUBLICO</v>
      </c>
      <c r="HQ83" s="206" t="str">
        <f>IFERROR(INDEX($A$2:$A$113,MATCH(ROWS($DU$2:DU83),$DU$2:$DU$113,0)),"")</f>
        <v>ABUSO DE AUTORIDAD Y VIOLACION A LOS DEBERES DE FUNCIONARIO PUBLICO</v>
      </c>
      <c r="HR83" s="206" t="str">
        <f>IFERROR(INDEX($A$2:$A$113,MATCH(ROWS($DV$2:DV83),$DV$2:$DV$113,0)),"")</f>
        <v>ABUSO DE AUTORIDAD Y VIOLACION A LOS DEBERES DE FUNCIONARIO PUBLICO</v>
      </c>
      <c r="HS83" s="206" t="str">
        <f>IFERROR(INDEX($A$2:$A$113,MATCH(ROWS($DW$2:DW83),$DW$2:$DW$113,0)),"")</f>
        <v>ABUSO DE AUTORIDAD Y VIOLACION A LOS DEBERES DE FUNCIONARIO PUBLICO</v>
      </c>
      <c r="HT83" s="206" t="str">
        <f>IFERROR(INDEX($A$2:$A$113,MATCH(ROWS($DX$2:DX83),$DX$2:$DX$113,0)),"")</f>
        <v>ABUSO DE AUTORIDAD Y VIOLACION A LOS DEBERES DE FUNCIONARIO PUBLICO</v>
      </c>
      <c r="HU83" s="206" t="str">
        <f>IFERROR(INDEX($A$2:$A$113,MATCH(ROWS($DY$2:DY83),$DY$2:$DY$113,0)),"")</f>
        <v>ABUSO DE AUTORIDAD Y VIOLACION A LOS DEBERES DE FUNCIONARIO PUBLICO</v>
      </c>
      <c r="HV83" s="206" t="str">
        <f>IFERROR(INDEX($A$2:$A$113,MATCH(ROWS($DZ$2:DZ83),$DZ$2:$DZ$113,0)),"")</f>
        <v>ABUSO DE AUTORIDAD Y VIOLACION A LOS DEBERES DE FUNCIONARIO PUBLICO</v>
      </c>
      <c r="HW83" s="206" t="str">
        <f>IFERROR(INDEX($A$2:$A$113,MATCH(ROWS($EA$2:EA83),$EA$2:$EA$113,0)),"")</f>
        <v>ABUSO DE AUTORIDAD Y VIOLACION A LOS DEBERES DE FUNCIONARIO PUBLICO</v>
      </c>
      <c r="HX83" s="206" t="str">
        <f>IFERROR(INDEX($A$2:$A$113,MATCH(ROWS($EB$2:EB83),$EB$2:$EB$113,0)),"")</f>
        <v>ABUSO DE AUTORIDAD Y VIOLACION A LOS DEBERES DE FUNCIONARIO PUBLICO</v>
      </c>
      <c r="HY83" s="206" t="str">
        <f>IFERROR(INDEX($A$2:$A$113,MATCH(ROWS($EC$2:EC83),$EC$2:$EC$113,0)),"")</f>
        <v>ABUSO DE AUTORIDAD Y VIOLACION A LOS DEBERES DE FUNCIONARIO PUBLICO</v>
      </c>
      <c r="HZ83" s="206" t="str">
        <f>IFERROR(INDEX($A$2:$A$113,MATCH(ROWS($ED$2:ED83),$ED$2:$ED$113,0)),"")</f>
        <v>ABUSO DE AUTORIDAD Y VIOLACION A LOS DEBERES DE FUNCIONARIO PUBLICO</v>
      </c>
      <c r="IA83" s="206" t="str">
        <f>IFERROR(INDEX($A$2:$A$113,MATCH(ROWS($EE$2:EE83),$EE$2:$EE$113,0)),"")</f>
        <v>ABUSO DE AUTORIDAD Y VIOLACION A LOS DEBERES DE FUNCIONARIO PUBLICO</v>
      </c>
      <c r="IB83" s="206" t="str">
        <f>IFERROR(INDEX($A$2:$A$113,MATCH(ROWS($EF$2:EF83),$EF$2:$EF$113,0)),"")</f>
        <v>ABUSO DE AUTORIDAD Y VIOLACION A LOS DEBERES DE FUNCIONARIO PUBLICO</v>
      </c>
      <c r="IC83" s="206" t="str">
        <f>IFERROR(INDEX($A$2:$A$113,MATCH(ROWS($EG$2:EG83),$EG$2:$EG$113,0)),"")</f>
        <v>ABUSO DE AUTORIDAD Y VIOLACION A LOS DEBERES DE FUNCIONARIO PUBLICO</v>
      </c>
      <c r="ID83" s="206" t="str">
        <f>IFERROR(INDEX($A$2:$A$113,MATCH(ROWS($EH$2:EH83),$EH$2:$EH$113,0)),"")</f>
        <v>ABUSO DE AUTORIDAD Y VIOLACION A LOS DEBERES DE FUNCIONARIO PUBLICO</v>
      </c>
      <c r="IE83" s="206" t="str">
        <f>IFERROR(INDEX($A$2:$A$113,MATCH(ROWS($EI$2:EI83),$EI$2:$EI$113,0)),"")</f>
        <v>ABUSO DE AUTORIDAD Y VIOLACION A LOS DEBERES DE FUNCIONARIO PUBLICO</v>
      </c>
      <c r="IF83" s="206" t="str">
        <f>IFERROR(INDEX($A$2:$A$113,MATCH(ROWS($EJ$2:EJ83),$EJ$2:$EJ$113,0)),"")</f>
        <v>ABUSO DE AUTORIDAD Y VIOLACION A LOS DEBERES DE FUNCIONARIO PUBLICO</v>
      </c>
      <c r="IG83" s="206" t="str">
        <f>IFERROR(INDEX($A$2:$A$113,MATCH(ROWS($EK$2:EK83),$EK$2:$EK$113,0)),"")</f>
        <v>ABUSO DE AUTORIDAD Y VIOLACION A LOS DEBERES DE FUNCIONARIO PUBLICO</v>
      </c>
      <c r="IH83" s="206" t="str">
        <f>IFERROR(INDEX($A$2:$A$113,MATCH(ROWS($EL$2:EL83),$EL$2:$EL$113,0)),"")</f>
        <v>ABUSO DE AUTORIDAD Y VIOLACION A LOS DEBERES DE FUNCIONARIO PUBLICO</v>
      </c>
      <c r="II83" s="206" t="str">
        <f>IFERROR(INDEX($A$2:$A$113,MATCH(ROWS($EM$2:EM83),$EM$2:$EM$113,0)),"")</f>
        <v>ABUSO DE AUTORIDAD Y VIOLACION A LOS DEBERES DE FUNCIONARIO PUBLICO</v>
      </c>
      <c r="IJ83" s="206" t="str">
        <f>IFERROR(INDEX($A$2:$A$113,MATCH(ROWS($EN$2:EN83),$EN$2:$EN$113,0)),"")</f>
        <v>ABUSO DE AUTORIDAD Y VIOLACION A LOS DEBERES DE FUNCIONARIO PUBLICO</v>
      </c>
      <c r="IK83" s="207" t="str">
        <f>IFERROR(INDEX($A$2:$A$113,MATCH(ROWS($EO$2:EO83),$EO$2:$EO$113,0)),"")</f>
        <v>ABUSO DE AUTORIDAD Y VIOLACION A LOS DEBERES DE FUNCIONARIO PUBLICO</v>
      </c>
      <c r="IL83" s="207" t="str">
        <f>IFERROR(INDEX($A$2:$A$113,MATCH(ROWS($EP$2:EP83),$EP$2:$EP$113,0)),"")</f>
        <v>ABUSO DE AUTORIDAD Y VIOLACION A LOS DEBERES DE FUNCIONARIO PUBLICO</v>
      </c>
      <c r="IM83" s="207" t="str">
        <f>IFERROR(INDEX($A$2:$A$113,MATCH(ROWS($EQ$2:EQ83),$EQ$2:$EQ$113,0)),"")</f>
        <v>ABUSO DE AUTORIDAD Y VIOLACION A LOS DEBERES DE FUNCIONARIO PUBLICO</v>
      </c>
      <c r="IN83" s="207" t="str">
        <f>IFERROR(INDEX($A$2:$A$113,MATCH(ROWS($ER$2:ER83),$ER$2:$ER$113,0)),"")</f>
        <v>ABUSO DE AUTORIDAD Y VIOLACION A LOS DEBERES DE FUNCIONARIO PUBLICO</v>
      </c>
      <c r="IO83" s="207" t="str">
        <f>IFERROR(INDEX($A$2:$A$113,MATCH(ROWS($ES$2:ES83),$ES$2:$ES$113,0)),"")</f>
        <v>ABUSO DE AUTORIDAD Y VIOLACION A LOS DEBERES DE FUNCIONARIO PUBLICO</v>
      </c>
      <c r="IP83" s="207" t="str">
        <f>IFERROR(INDEX($A$2:$A$113,MATCH(ROWS($ET$2:ET83),$ET$2:$ET$113,0)),"")</f>
        <v>ABUSO DE AUTORIDAD Y VIOLACION A LOS DEBERES DE FUNCIONARIO PUBLICO</v>
      </c>
      <c r="IQ83" s="207" t="str">
        <f>IFERROR(INDEX($A$2:$A$113,MATCH(ROWS($EU$2:EU83),$EU$2:$EU$113,0)),"")</f>
        <v>ABUSO DE AUTORIDAD Y VIOLACION A LOS DEBERES DE FUNCIONARIO PUBLICO</v>
      </c>
      <c r="IR83" s="207" t="str">
        <f>IFERROR(INDEX($A$2:$A$113,MATCH(ROWS($EV$2:EV83),$EV$2:$EV$113,0)),"")</f>
        <v>ABUSO DE AUTORIDAD Y VIOLACION A LOS DEBERES DE FUNCIONARIO PUBLICO</v>
      </c>
      <c r="IS83" s="207" t="str">
        <f>IFERROR(INDEX($A$2:$A$113,MATCH(ROWS($EW$2:EW83),$EW$2:$EW$113,0)),"")</f>
        <v>ABUSO DE AUTORIDAD Y VIOLACION A LOS DEBERES DE FUNCIONARIO PUBLICO</v>
      </c>
      <c r="IT83" s="207" t="str">
        <f>IFERROR(INDEX($A$2:$A$113,MATCH(ROWS($EX$2:EX83),$EX$2:$EX$113,0)),"")</f>
        <v>ABUSO DE AUTORIDAD Y VIOLACION A LOS DEBERES DE FUNCIONARIO PUBLICO</v>
      </c>
      <c r="IU83" s="207" t="str">
        <f>IFERROR(INDEX($A$2:$A$113,MATCH(ROWS($EY$2:EY83),$EY$2:$EY$113,0)),"")</f>
        <v>ABUSO DE AUTORIDAD Y VIOLACION A LOS DEBERES DE FUNCIONARIO PUBLICO</v>
      </c>
      <c r="IV83" s="207" t="str">
        <f>IFERROR(INDEX($A$2:$A$113,MATCH(ROWS($EZ$2:EZ83),$EZ$2:$EZ$113,0)),"")</f>
        <v>ABUSO DE AUTORIDAD Y VIOLACION A LOS DEBERES DE FUNCIONARIO PUBLICO</v>
      </c>
      <c r="IW83" s="207" t="str">
        <f>IFERROR(INDEX($A$2:$A$113,MATCH(ROWS($FA$2:FA83),$FA$2:$FA$113,0)),"")</f>
        <v>ABUSO DE AUTORIDAD Y VIOLACION A LOS DEBERES DE FUNCIONARIO PUBLICO</v>
      </c>
      <c r="IX83" s="207" t="str">
        <f>IFERROR(INDEX($A$2:$A$113,MATCH(ROWS($FB$2:FB83),$FB$2:$FB$113,0)),"")</f>
        <v>ABUSO DE AUTORIDAD Y VIOLACION A LOS DEBERES DE FUNCIONARIO PUBLICO</v>
      </c>
      <c r="IY83" s="207" t="str">
        <f>IFERROR(INDEX($A$2:$A$113,MATCH(ROWS($FC$2:FC83),$FC$2:$FC$113,0)),"")</f>
        <v>ABUSO DE AUTORIDAD Y VIOLACION A LOS DEBERES DE FUNCIONARIO PUBLICO</v>
      </c>
      <c r="IZ83" s="207" t="str">
        <f>IFERROR(INDEX($A$2:$A$113,MATCH(ROWS($FD$2:FD83),$FD$2:$FD$113,0)),"")</f>
        <v>ABUSO DE AUTORIDAD Y VIOLACION A LOS DEBERES DE FUNCIONARIO PUBLICO</v>
      </c>
      <c r="JA83" s="207" t="str">
        <f>IFERROR(INDEX($A$2:$A$113,MATCH(ROWS($FE$2:FE83),$FE$2:$FE$113,0)),"")</f>
        <v>ABUSO DE AUTORIDAD Y VIOLACION A LOS DEBERES DE FUNCIONARIO PUBLICO</v>
      </c>
      <c r="JB83" s="207" t="str">
        <f>IFERROR(INDEX($A$2:$A$113,MATCH(ROWS($FF$2:FF83),$FF$2:$FF$113,0)),"")</f>
        <v>ABUSO DE AUTORIDAD Y VIOLACION A LOS DEBERES DE FUNCIONARIO PUBLICO</v>
      </c>
      <c r="JC83" s="207" t="str">
        <f>IFERROR(INDEX($A$2:$A$113,MATCH(ROWS($FG$2:FG83),$FG$2:$FG$113,0)),"")</f>
        <v>ABUSO DE AUTORIDAD Y VIOLACION A LOS DEBERES DE FUNCIONARIO PUBLICO</v>
      </c>
      <c r="JD83" s="207" t="str">
        <f>IFERROR(INDEX($A$2:$A$113,MATCH(ROWS($FH$2:FH83),$FH$2:$FH$113,0)),"")</f>
        <v>ABUSO DE AUTORIDAD Y VIOLACION A LOS DEBERES DE FUNCIONARIO PUBLICO</v>
      </c>
      <c r="JE83" s="207" t="str">
        <f>IFERROR(INDEX($A$2:$A$113,MATCH(ROWS($FI$2:FI83),$FI$2:$FI$113,0)),"")</f>
        <v>ABUSO DE AUTORIDAD Y VIOLACION A LOS DEBERES DE FUNCIONARIO PUBLICO</v>
      </c>
      <c r="JF83" s="207" t="str">
        <f>IFERROR(INDEX($A$2:$A$113,MATCH(ROWS($FJ$2:FJ83),$FJ$2:$FJ$113,0)),"")</f>
        <v>ABUSO DE AUTORIDAD Y VIOLACION A LOS DEBERES DE FUNCIONARIO PUBLICO</v>
      </c>
      <c r="JG83" s="207" t="str">
        <f>IFERROR(INDEX($A$2:$A$113,MATCH(ROWS($FK$2:FK83),$FK$2:$FK$113,0)),"")</f>
        <v>ABUSO DE AUTORIDAD Y VIOLACION A LOS DEBERES DE FUNCIONARIO PUBLICO</v>
      </c>
      <c r="JH83" s="207" t="str">
        <f>IFERROR(INDEX($A$2:$A$113,MATCH(ROWS($FL$2:FL83),$FL$2:$FL$113,0)),"")</f>
        <v>ABUSO DE AUTORIDAD Y VIOLACION A LOS DEBERES DE FUNCIONARIO PUBLICO</v>
      </c>
      <c r="JI83" s="207" t="str">
        <f>IFERROR(INDEX($A$2:$A$113,MATCH(ROWS($FM$2:FM83),$FM$2:$FM$113,0)),"")</f>
        <v>ABUSO DE AUTORIDAD Y VIOLACION A LOS DEBERES DE FUNCIONARIO PUBLICO</v>
      </c>
      <c r="JJ83" s="207" t="str">
        <f>IFERROR(INDEX($A$2:$A$113,MATCH(ROWS($FN$2:FN83),$FN$2:$FN$113,0)),"")</f>
        <v>ABUSO DE AUTORIDAD Y VIOLACION A LOS DEBERES DE FUNCIONARIO PUBLICO</v>
      </c>
      <c r="JK83" s="207" t="str">
        <f>IFERROR(INDEX($A$2:$A$113,MATCH(ROWS($FO$2:FO83),$FO$2:$FO$113,0)),"")</f>
        <v>ABUSO DE AUTORIDAD Y VIOLACION A LOS DEBERES DE FUNCIONARIO PUBLICO</v>
      </c>
      <c r="JL83" s="207" t="str">
        <f>IFERROR(INDEX($A$2:$A$113,MATCH(ROWS($FP$2:FP83),$FP$2:$FP$113,0)),"")</f>
        <v>ABUSO DE AUTORIDAD Y VIOLACION A LOS DEBERES DE FUNCIONARIO PUBLICO</v>
      </c>
      <c r="JM83" s="207" t="str">
        <f>IFERROR(INDEX($A$2:$A$113,MATCH(ROWS($FQ$2:FQ83),$FQ$2:$FQ$113,0)),"")</f>
        <v>ABUSO DE AUTORIDAD Y VIOLACION A LOS DEBERES DE FUNCIONARIO PUBLICO</v>
      </c>
      <c r="JN83" s="207" t="str">
        <f>IFERROR(INDEX($A$2:$A$113,MATCH(ROWS($FR$2:FR83),$FR$2:$FR$113,0)),"")</f>
        <v>ABUSO DE AUTORIDAD Y VIOLACION A LOS DEBERES DE FUNCIONARIO PUBLICO</v>
      </c>
      <c r="JO83" s="207" t="str">
        <f>IFERROR(INDEX($A$2:$A$113,MATCH(ROWS($FS$2:FS83),$FS$2:$FS$113,0)),"")</f>
        <v>ABUSO DE AUTORIDAD Y VIOLACION A LOS DEBERES DE FUNCIONARIO PUBLICO</v>
      </c>
      <c r="JP83" s="207" t="str">
        <f>IFERROR(INDEX($A$2:$A$113,MATCH(ROWS($FT$2:FT83),$FT$2:$FT$113,0)),"")</f>
        <v>ABUSO DE AUTORIDAD Y VIOLACION A LOS DEBERES DE FUNCIONARIO PUBLICO</v>
      </c>
      <c r="JQ83" s="207" t="str">
        <f>IFERROR(INDEX($A$2:$A$113,MATCH(ROWS($FU$2:FU83),$FU$2:$FU$113,0)),"")</f>
        <v>ABUSO DE AUTORIDAD Y VIOLACION A LOS DEBERES DE FUNCIONARIO PUBLICO</v>
      </c>
      <c r="JR83" s="207" t="str">
        <f>IFERROR(INDEX($A$2:$A$113,MATCH(ROWS($FV$2:FV83),$FV$2:$FV$113,0)),"")</f>
        <v>ABUSO DE AUTORIDAD Y VIOLACION A LOS DEBERES DE FUNCIONARIO PUBLICO</v>
      </c>
      <c r="JS83" s="207" t="str">
        <f>IFERROR(INDEX($A$2:$A$113,MATCH(ROWS($FW$2:FW83),$FW$2:$FW$113,0)),"")</f>
        <v>ABUSO DE AUTORIDAD Y VIOLACION A LOS DEBERES DE FUNCIONARIO PUBLICO</v>
      </c>
      <c r="JT83" s="207" t="str">
        <f>IFERROR(INDEX($A$2:$A$113,MATCH(ROWS($FX$2:FX83),$FX$2:$FX$113,0)),"")</f>
        <v>ABUSO DE AUTORIDAD Y VIOLACION A LOS DEBERES DE FUNCIONARIO PUBLICO</v>
      </c>
      <c r="JU83" s="207" t="str">
        <f>IFERROR(INDEX($A$2:$A$113,MATCH(ROWS($FY$2:FY83),$FY$2:$FY$113,0)),"")</f>
        <v>ABUSO DE AUTORIDAD Y VIOLACION A LOS DEBERES DE FUNCIONARIO PUBLICO</v>
      </c>
      <c r="JV83" s="207" t="str">
        <f>IFERROR(INDEX($A$2:$A$113,MATCH(ROWS($FZ$2:FZ83),$FZ$2:$FZ$113,0)),"")</f>
        <v>ABUSO DE AUTORIDAD Y VIOLACION A LOS DEBERES DE FUNCIONARIO PUBLICO</v>
      </c>
      <c r="JW83" s="207" t="str">
        <f>IFERROR(INDEX($A$2:$A$113,MATCH(ROWS($GA$2:GA83),$GA$2:$GA$113,0)),"")</f>
        <v>ABUSO DE AUTORIDAD Y VIOLACION A LOS DEBERES DE FUNCIONARIO PUBLICO</v>
      </c>
      <c r="JX83" s="207" t="str">
        <f>IFERROR(INDEX($A$2:$A$113,MATCH(ROWS($GB$2:GB83),$GB$2:$GB$113,0)),"")</f>
        <v>ABUSO DE AUTORIDAD Y VIOLACION A LOS DEBERES DE FUNCIONARIO PUBLICO</v>
      </c>
      <c r="JY83" s="207" t="str">
        <f>IFERROR(INDEX($A$2:$A$113,MATCH(ROWS($GC$2:GC83),$GC$2:$GC$113,0)),"")</f>
        <v>ABUSO DE AUTORIDAD Y VIOLACION A LOS DEBERES DE FUNCIONARIO PUBLICO</v>
      </c>
      <c r="JZ83" s="207" t="str">
        <f>IFERROR(INDEX($A$2:$A$113,MATCH(ROWS($GD$2:GD83),$GD$2:$GD$113,0)),"")</f>
        <v>ABUSO DE AUTORIDAD Y VIOLACION A LOS DEBERES DE FUNCIONARIO PUBLICO</v>
      </c>
      <c r="KA83" s="207" t="str">
        <f>IFERROR(INDEX($A$2:$A$113,MATCH(ROWS($GE$2:GE83),$GE$2:$GE$113,0)),"")</f>
        <v>ABUSO DE AUTORIDAD Y VIOLACION A LOS DEBERES DE FUNCIONARIO PUBLICO</v>
      </c>
      <c r="KB83" s="207" t="str">
        <f>IFERROR(INDEX($A$2:$A$113,MATCH(ROWS($GF$2:GF83),$GF$2:$GF$113,0)),"")</f>
        <v>ABUSO DE AUTORIDAD Y VIOLACION A LOS DEBERES DE FUNCIONARIO PUBLICO</v>
      </c>
      <c r="KC83" s="207" t="str">
        <f>IFERROR(INDEX($A$2:$A$113,MATCH(ROWS($GG$2:GG83),$GG$2:$GG$113,0)),"")</f>
        <v>ABUSO DE AUTORIDAD Y VIOLACION A LOS DEBERES DE FUNCIONARIO PUBLICO</v>
      </c>
      <c r="KD83" s="207" t="str">
        <f>IFERROR(INDEX($A$2:$A$113,MATCH(ROWS($GH$2:GH83),$GH$2:$GH$113,0)),"")</f>
        <v>ABUSO DE AUTORIDAD Y VIOLACION A LOS DEBERES DE FUNCIONARIO PUBLICO</v>
      </c>
      <c r="KE83" s="207" t="str">
        <f>IFERROR(INDEX($A$2:$A$113,MATCH(ROWS($GI$2:GI83),$GI$2:$GI$113,0)),"")</f>
        <v>ABUSO DE AUTORIDAD Y VIOLACION A LOS DEBERES DE FUNCIONARIO PUBLICO</v>
      </c>
      <c r="KF83" s="207" t="str">
        <f>IFERROR(INDEX($A$2:$A$113,MATCH(ROWS($GJ$2:GJ83),$GJ$2:$GJ$113,0)),"")</f>
        <v>ABUSO DE AUTORIDAD Y VIOLACION A LOS DEBERES DE FUNCIONARIO PUBLICO</v>
      </c>
      <c r="KG83" s="207" t="str">
        <f>IFERROR(INDEX($A$2:$A$113,MATCH(ROWS($GK$2:GK83),$GK$2:$GK$113,0)),"")</f>
        <v>ABUSO DE AUTORIDAD Y VIOLACION A LOS DEBERES DE FUNCIONARIO PUBLICO</v>
      </c>
      <c r="KH83" s="207" t="str">
        <f>IFERROR(INDEX($A$2:$A$113,MATCH(ROWS($GL$2:GL83),$GL$2:$GL$113,0)),"")</f>
        <v>ABUSO DE AUTORIDAD Y VIOLACION A LOS DEBERES DE FUNCIONARIO PUBLICO</v>
      </c>
      <c r="KI83" s="207" t="str">
        <f>IFERROR(INDEX($A$2:$A$113,MATCH(ROWS($GM$2:GM83),$GM$2:$GM$113,0)),"")</f>
        <v>ABUSO DE AUTORIDAD Y VIOLACION A LOS DEBERES DE FUNCIONARIO PUBLICO</v>
      </c>
      <c r="KJ83" s="207" t="str">
        <f>IFERROR(INDEX($A$2:$A$113,MATCH(ROWS($GN$2:GN83),$GN$2:$GN$113,0)),"")</f>
        <v>ABUSO DE AUTORIDAD Y VIOLACION A LOS DEBERES DE FUNCIONARIO PUBLICO</v>
      </c>
      <c r="KK83" s="207" t="str">
        <f>IFERROR(INDEX($A$2:$A$113,MATCH(ROWS($GO$2:GO83),$GO$2:$GO$113,0)),"")</f>
        <v>ABUSO DE AUTORIDAD Y VIOLACION A LOS DEBERES DE FUNCIONARIO PUBLICO</v>
      </c>
      <c r="KL83" s="207" t="str">
        <f>IFERROR(INDEX($A$2:$A$113,MATCH(ROWS($GP$2:GP83),$GP$2:$GP$113,0)),"")</f>
        <v>ABUSO DE AUTORIDAD Y VIOLACION A LOS DEBERES DE FUNCIONARIO PUBLICO</v>
      </c>
      <c r="KM83" s="207" t="str">
        <f>IFERROR(INDEX($A$2:$A$113,MATCH(ROWS($GQ$2:GQ83),$GQ$2:$GQ$113,0)),"")</f>
        <v>ABUSO DE AUTORIDAD Y VIOLACION A LOS DEBERES DE FUNCIONARIO PUBLICO</v>
      </c>
      <c r="KN83" s="207" t="str">
        <f>IFERROR(INDEX($A$2:$A$113,MATCH(ROWS($GR$2:GR83),$GR$2:$GR$113,0)),"")</f>
        <v>ABUSO DE AUTORIDAD Y VIOLACION A LOS DEBERES DE FUNCIONARIO PUBLICO</v>
      </c>
      <c r="KO83" s="207" t="str">
        <f>IFERROR(INDEX($A$2:$A$113,MATCH(ROWS($GS$2:GS83),$GS$2:$GS$113,0)),"")</f>
        <v>ABUSO DE AUTORIDAD Y VIOLACION A LOS DEBERES DE FUNCIONARIO PUBLICO</v>
      </c>
      <c r="KP83" s="207" t="str">
        <f>IFERROR(INDEX($A$2:$A$113,MATCH(ROWS($GT$2:GT83),$GT$2:$GT$113,0)),"")</f>
        <v>ABUSO DE AUTORIDAD Y VIOLACION A LOS DEBERES DE FUNCIONARIO PUBLICO</v>
      </c>
      <c r="KQ83" s="207" t="str">
        <f>IFERROR(INDEX($A$2:$A$113,MATCH(ROWS($GU$2:GU83),$GU$2:$GU$113,0)),"")</f>
        <v>ABUSO DE AUTORIDAD Y VIOLACION A LOS DEBERES DE FUNCIONARIO PUBLICO</v>
      </c>
      <c r="KR83" s="207" t="str">
        <f>IFERROR(INDEX($A$2:$A$113,MATCH(ROWS($GV$2:GV83),$GV$2:$GV$113,0)),"")</f>
        <v>ABUSO DE AUTORIDAD Y VIOLACION A LOS DEBERES DE FUNCIONARIO PUBLICO</v>
      </c>
      <c r="KS83" s="207" t="str">
        <f>IFERROR(INDEX($A$2:$A$113,MATCH(ROWS($GW$2:GW83),$GW$2:$GW$113,0)),"")</f>
        <v>ABUSO DE AUTORIDAD Y VIOLACION A LOS DEBERES DE FUNCIONARIO PUBLICO</v>
      </c>
    </row>
    <row r="84" spans="1:305" x14ac:dyDescent="0.25">
      <c r="A84" s="206" t="s">
        <v>927</v>
      </c>
      <c r="B84" s="206">
        <v>26</v>
      </c>
      <c r="D84" s="206" t="s">
        <v>23</v>
      </c>
      <c r="E84" s="206" t="s">
        <v>113</v>
      </c>
      <c r="F84" s="207">
        <f>--ISNUMBER(IFERROR(SEARCH('PLANILLA DJ'!$X$3,$A84,1),""))</f>
        <v>1</v>
      </c>
      <c r="G84" s="207">
        <f>--ISNUMBER(IFERROR(SEARCH('PLANILLA DJ'!$X$4,$A84,1),""))</f>
        <v>1</v>
      </c>
      <c r="H84" s="207">
        <f>--ISNUMBER(IFERROR(SEARCH('PLANILLA DJ'!$X$5,$A84,1),""))</f>
        <v>1</v>
      </c>
      <c r="I84" s="207">
        <f>--ISNUMBER(IFERROR(SEARCH('PLANILLA DJ'!$X$6,$A84,1),""))</f>
        <v>1</v>
      </c>
      <c r="J84" s="207">
        <f>--ISNUMBER(IFERROR(SEARCH('PLANILLA DJ'!$X$7,$A84,1),""))</f>
        <v>1</v>
      </c>
      <c r="K84" s="207">
        <f>--ISNUMBER(IFERROR(SEARCH('PLANILLA DJ'!$X$8,$A84,1),""))</f>
        <v>1</v>
      </c>
      <c r="L84" s="207">
        <f>--ISNUMBER(IFERROR(SEARCH('PLANILLA DJ'!$X$9,$A84,1),""))</f>
        <v>1</v>
      </c>
      <c r="M84" s="207">
        <f>--ISNUMBER(IFERROR(SEARCH('PLANILLA DJ'!$X$10,$A84,1),""))</f>
        <v>1</v>
      </c>
      <c r="N84" s="207">
        <f>--ISNUMBER(IFERROR(SEARCH('PLANILLA DJ'!$X$11,$A84,1),""))</f>
        <v>1</v>
      </c>
      <c r="O84" s="207">
        <f>--ISNUMBER(IFERROR(SEARCH('PLANILLA DJ'!$X$12,$A84,1),""))</f>
        <v>1</v>
      </c>
      <c r="P84" s="207">
        <f>--ISNUMBER(IFERROR(SEARCH('PLANILLA DJ'!$X$13,$A84,1),""))</f>
        <v>1</v>
      </c>
      <c r="Q84" s="207">
        <f>--ISNUMBER(IFERROR(SEARCH('PLANILLA DJ'!$X$14,$A84,1),""))</f>
        <v>1</v>
      </c>
      <c r="R84" s="207">
        <f>--ISNUMBER(IFERROR(SEARCH('PLANILLA DJ'!$X$15,$A84,1),""))</f>
        <v>1</v>
      </c>
      <c r="S84" s="207">
        <f>--ISNUMBER(IFERROR(SEARCH('PLANILLA DJ'!$X$16,$A84,1),""))</f>
        <v>1</v>
      </c>
      <c r="T84" s="207">
        <f>--ISNUMBER(IFERROR(SEARCH('PLANILLA DJ'!$X$17,$A84,1),""))</f>
        <v>1</v>
      </c>
      <c r="U84" s="207">
        <f>--ISNUMBER(IFERROR(SEARCH('PLANILLA DJ'!$X$18,$A84,1),""))</f>
        <v>1</v>
      </c>
      <c r="V84" s="207">
        <f>--ISNUMBER(IFERROR(SEARCH('PLANILLA DJ'!$X$19,$A84,1),""))</f>
        <v>1</v>
      </c>
      <c r="W84" s="207">
        <f>--ISNUMBER(IFERROR(SEARCH('PLANILLA DJ'!$X$20,$A84,1),""))</f>
        <v>1</v>
      </c>
      <c r="X84" s="207">
        <f>--ISNUMBER(IFERROR(SEARCH('PLANILLA DJ'!$X$21,$A84,1),""))</f>
        <v>1</v>
      </c>
      <c r="Y84" s="207">
        <f>--ISNUMBER(IFERROR(SEARCH('PLANILLA DJ'!$X$22,$A84,1),""))</f>
        <v>1</v>
      </c>
      <c r="Z84" s="207">
        <f>--ISNUMBER(IFERROR(SEARCH('PLANILLA DJ'!$X$23,$A84,1),""))</f>
        <v>1</v>
      </c>
      <c r="AA84" s="207">
        <f>--ISNUMBER(IFERROR(SEARCH('PLANILLA DJ'!$X$24,$A84,1),""))</f>
        <v>1</v>
      </c>
      <c r="AB84" s="207">
        <f>--ISNUMBER(IFERROR(SEARCH('PLANILLA DJ'!$X$25,$A84,1),""))</f>
        <v>1</v>
      </c>
      <c r="AC84" s="207">
        <f>--ISNUMBER(IFERROR(SEARCH('PLANILLA DJ'!$X$26,$A84,1),""))</f>
        <v>1</v>
      </c>
      <c r="AD84" s="207">
        <f>--ISNUMBER(IFERROR(SEARCH('PLANILLA DJ'!$X$27,$A84,1),""))</f>
        <v>1</v>
      </c>
      <c r="AE84" s="207">
        <f>--ISNUMBER(IFERROR(SEARCH('PLANILLA DJ'!$X$28,$A84,1),""))</f>
        <v>1</v>
      </c>
      <c r="AF84" s="207">
        <f>--ISNUMBER(IFERROR(SEARCH('PLANILLA DJ'!$X$29,$A84,1),""))</f>
        <v>1</v>
      </c>
      <c r="AG84" s="207">
        <f>--ISNUMBER(IFERROR(SEARCH('PLANILLA DJ'!$X$30,$A84,1),""))</f>
        <v>1</v>
      </c>
      <c r="AH84" s="207">
        <f>--ISNUMBER(IFERROR(SEARCH('PLANILLA DJ'!$X$31,$A84,1),""))</f>
        <v>1</v>
      </c>
      <c r="AI84" s="207">
        <f>--ISNUMBER(IFERROR(SEARCH('PLANILLA DJ'!$X$32,$A84,1),""))</f>
        <v>1</v>
      </c>
      <c r="AJ84" s="207">
        <f>--ISNUMBER(IFERROR(SEARCH('PLANILLA DJ'!$X$33,$A84,1),""))</f>
        <v>1</v>
      </c>
      <c r="AK84" s="207">
        <f>--ISNUMBER(IFERROR(SEARCH('PLANILLA DJ'!$X$34,$A84,1),""))</f>
        <v>1</v>
      </c>
      <c r="AL84" s="207">
        <f>--ISNUMBER(IFERROR(SEARCH('PLANILLA DJ'!$X$35,$A84,1),""))</f>
        <v>1</v>
      </c>
      <c r="AM84" s="207">
        <f>--ISNUMBER(IFERROR(SEARCH('PLANILLA DJ'!$X$36,$A84,1),""))</f>
        <v>1</v>
      </c>
      <c r="AN84" s="207">
        <f>--ISNUMBER(IFERROR(SEARCH('PLANILLA DJ'!$X$37,$A84,1),""))</f>
        <v>1</v>
      </c>
      <c r="AO84" s="207">
        <f>--ISNUMBER(IFERROR(SEARCH('PLANILLA DJ'!$X$38,$A84,1),""))</f>
        <v>1</v>
      </c>
      <c r="AP84" s="207">
        <f>--ISNUMBER(IFERROR(SEARCH('PLANILLA DJ'!$X$39,$A84,1),""))</f>
        <v>1</v>
      </c>
      <c r="AQ84" s="207">
        <f>--ISNUMBER(IFERROR(SEARCH('PLANILLA DJ'!$X$40,$A84,1),""))</f>
        <v>1</v>
      </c>
      <c r="AR84" s="207">
        <f>--ISNUMBER(IFERROR(SEARCH('PLANILLA DJ'!$X$41,$A84,1),""))</f>
        <v>1</v>
      </c>
      <c r="AS84" s="207">
        <f>--ISNUMBER(IFERROR(SEARCH('PLANILLA DJ'!$X$42,$A84,1),""))</f>
        <v>1</v>
      </c>
      <c r="AT84" s="207">
        <f>--ISNUMBER(IFERROR(SEARCH('PLANILLA DJ'!$X$43,$A84,1),""))</f>
        <v>1</v>
      </c>
      <c r="AU84" s="207">
        <f>--ISNUMBER(IFERROR(SEARCH('PLANILLA DJ'!$X$44,$A84,1),""))</f>
        <v>1</v>
      </c>
      <c r="AV84" s="207">
        <f>--ISNUMBER(IFERROR(SEARCH('PLANILLA DJ'!$X$45,$A84,1),""))</f>
        <v>1</v>
      </c>
      <c r="AW84" s="207">
        <f>--ISNUMBER(IFERROR(SEARCH('PLANILLA DJ'!$X$46,$A84,1),""))</f>
        <v>1</v>
      </c>
      <c r="AX84" s="207">
        <f>--ISNUMBER(IFERROR(SEARCH('PLANILLA DJ'!$X$47,$A84,1),""))</f>
        <v>1</v>
      </c>
      <c r="AY84" s="207">
        <f>--ISNUMBER(IFERROR(SEARCH('PLANILLA DJ'!$X$48,$A84,1),""))</f>
        <v>1</v>
      </c>
      <c r="AZ84" s="207">
        <f>--ISNUMBER(IFERROR(SEARCH('PLANILLA DJ'!$X$49,$A84,1),""))</f>
        <v>1</v>
      </c>
      <c r="BA84" s="207">
        <f>--ISNUMBER(IFERROR(SEARCH('PLANILLA DJ'!$X$50,$A84,1),""))</f>
        <v>1</v>
      </c>
      <c r="BB84" s="207">
        <f>--ISNUMBER(IFERROR(SEARCH('PLANILLA DJ'!$X$51,$A84,1),""))</f>
        <v>1</v>
      </c>
      <c r="BC84" s="207">
        <f>--ISNUMBER(IFERROR(SEARCH('PLANILLA DJ'!$X$52,$A84,1),""))</f>
        <v>1</v>
      </c>
      <c r="BD84" s="207">
        <f>--ISNUMBER(IFERROR(SEARCH('PLANILLA DJ'!$X$53,$A84,1),""))</f>
        <v>1</v>
      </c>
      <c r="BE84" s="207">
        <f>--ISNUMBER(IFERROR(SEARCH('PLANILLA DJ'!$X$54,$A84,1),""))</f>
        <v>1</v>
      </c>
      <c r="BF84" s="207">
        <f>--ISNUMBER(IFERROR(SEARCH('PLANILLA DJ'!$X$55,$A84,1),""))</f>
        <v>1</v>
      </c>
      <c r="BG84" s="207">
        <f>--ISNUMBER(IFERROR(SEARCH('PLANILLA DJ'!$X$56,$A84,1),""))</f>
        <v>1</v>
      </c>
      <c r="BH84" s="207">
        <f>--ISNUMBER(IFERROR(SEARCH('PLANILLA DJ'!$X$57,$A84,1),""))</f>
        <v>1</v>
      </c>
      <c r="BI84" s="207">
        <f>--ISNUMBER(IFERROR(SEARCH('PLANILLA DJ'!$X$58,$A84,1),""))</f>
        <v>1</v>
      </c>
      <c r="BJ84" s="207">
        <f>--ISNUMBER(IFERROR(SEARCH('PLANILLA DJ'!$X$59,$A84,1),""))</f>
        <v>1</v>
      </c>
      <c r="BK84" s="207">
        <f>--ISNUMBER(IFERROR(SEARCH('PLANILLA DJ'!$X$60,$A84,1),""))</f>
        <v>1</v>
      </c>
      <c r="BL84" s="207">
        <f>--ISNUMBER(IFERROR(SEARCH('PLANILLA DJ'!$X$61,$A84,1),""))</f>
        <v>1</v>
      </c>
      <c r="BM84" s="207">
        <f>--ISNUMBER(IFERROR(SEARCH('PLANILLA DJ'!$X$62,$A84,1),""))</f>
        <v>1</v>
      </c>
      <c r="BN84" s="207">
        <f>--ISNUMBER(IFERROR(SEARCH('PLANILLA DJ'!$X$63,$A84,1),""))</f>
        <v>1</v>
      </c>
      <c r="BO84" s="207">
        <f>--ISNUMBER(IFERROR(SEARCH('PLANILLA DJ'!$X$64,$A84,1),""))</f>
        <v>1</v>
      </c>
      <c r="BP84" s="207">
        <f>--ISNUMBER(IFERROR(SEARCH('PLANILLA DJ'!$X$65,$A84,1),""))</f>
        <v>1</v>
      </c>
      <c r="BQ84" s="207">
        <f>--ISNUMBER(IFERROR(SEARCH('PLANILLA DJ'!$X$66,$A84,1),""))</f>
        <v>1</v>
      </c>
      <c r="BR84" s="207">
        <f>--ISNUMBER(IFERROR(SEARCH('PLANILLA DJ'!$X$67,$A84,1),""))</f>
        <v>1</v>
      </c>
      <c r="BS84" s="207">
        <f>--ISNUMBER(IFERROR(SEARCH('PLANILLA DJ'!$X$68,$A84,1),""))</f>
        <v>1</v>
      </c>
      <c r="BT84" s="207">
        <f>--ISNUMBER(IFERROR(SEARCH('PLANILLA DJ'!$X$69,$A84,1),""))</f>
        <v>1</v>
      </c>
      <c r="BU84" s="207">
        <f>--ISNUMBER(IFERROR(SEARCH('PLANILLA DJ'!$X$70,$A84,1),""))</f>
        <v>1</v>
      </c>
      <c r="BV84" s="207">
        <f>--ISNUMBER(IFERROR(SEARCH('PLANILLA DJ'!$X$71,$A84,1),""))</f>
        <v>1</v>
      </c>
      <c r="BW84" s="207">
        <f>--ISNUMBER(IFERROR(SEARCH('PLANILLA DJ'!$X$72,$A84,1),""))</f>
        <v>1</v>
      </c>
      <c r="BX84" s="207">
        <f>--ISNUMBER(IFERROR(SEARCH('PLANILLA DJ'!$X$73,$A84,1),""))</f>
        <v>1</v>
      </c>
      <c r="BY84" s="207">
        <f>--ISNUMBER(IFERROR(SEARCH('PLANILLA DJ'!$X$74,$A84,1),""))</f>
        <v>1</v>
      </c>
      <c r="BZ84" s="207">
        <f>--ISNUMBER(IFERROR(SEARCH('PLANILLA DJ'!$X$75,$A84,1),""))</f>
        <v>1</v>
      </c>
      <c r="CA84" s="207">
        <f>--ISNUMBER(IFERROR(SEARCH('PLANILLA DJ'!$X$76,$A84,1),""))</f>
        <v>1</v>
      </c>
      <c r="CB84" s="207">
        <f>--ISNUMBER(IFERROR(SEARCH('PLANILLA DJ'!$X$77,$A84,1),""))</f>
        <v>1</v>
      </c>
      <c r="CC84" s="207">
        <f>--ISNUMBER(IFERROR(SEARCH('PLANILLA DJ'!$X$78,$A84,1),""))</f>
        <v>1</v>
      </c>
      <c r="CD84" s="207">
        <f>--ISNUMBER(IFERROR(SEARCH('PLANILLA DJ'!$X$79,$A84,1),""))</f>
        <v>1</v>
      </c>
      <c r="CE84" s="207">
        <f>--ISNUMBER(IFERROR(SEARCH('PLANILLA DJ'!$X$80,$A84,1),""))</f>
        <v>1</v>
      </c>
      <c r="CF84" s="207">
        <f>--ISNUMBER(IFERROR(SEARCH('PLANILLA DJ'!$X$81,$A84,1),""))</f>
        <v>1</v>
      </c>
      <c r="CG84" s="207">
        <f>--ISNUMBER(IFERROR(SEARCH('PLANILLA DJ'!$X$82,$A84,1),""))</f>
        <v>1</v>
      </c>
      <c r="CH84" s="207">
        <f>--ISNUMBER(IFERROR(SEARCH('PLANILLA DJ'!$X$83,$A84,1),""))</f>
        <v>1</v>
      </c>
      <c r="CI84" s="207">
        <f>--ISNUMBER(IFERROR(SEARCH('PLANILLA DJ'!$X$84,$A84,1),""))</f>
        <v>1</v>
      </c>
      <c r="CJ84" s="207">
        <f>--ISNUMBER(IFERROR(SEARCH('PLANILLA DJ'!$X$85,$A84,1),""))</f>
        <v>1</v>
      </c>
      <c r="CK84" s="207">
        <f>--ISNUMBER(IFERROR(SEARCH('PLANILLA DJ'!$X$86,$A84,1),""))</f>
        <v>1</v>
      </c>
      <c r="CL84" s="207">
        <f>--ISNUMBER(IFERROR(SEARCH('PLANILLA DJ'!$X$87,$A84,1),""))</f>
        <v>1</v>
      </c>
      <c r="CM84" s="207">
        <f>--ISNUMBER(IFERROR(SEARCH('PLANILLA DJ'!$X$88,$A84,1),""))</f>
        <v>1</v>
      </c>
      <c r="CN84" s="207">
        <f>--ISNUMBER(IFERROR(SEARCH('PLANILLA DJ'!$X$89,$A84,1),""))</f>
        <v>1</v>
      </c>
      <c r="CO84" s="207">
        <f>--ISNUMBER(IFERROR(SEARCH('PLANILLA DJ'!$X$90,$A84,1),""))</f>
        <v>1</v>
      </c>
      <c r="CP84" s="207">
        <f>--ISNUMBER(IFERROR(SEARCH('PLANILLA DJ'!$X$91,$A84,1),""))</f>
        <v>1</v>
      </c>
      <c r="CQ84" s="207">
        <f>--ISNUMBER(IFERROR(SEARCH('PLANILLA DJ'!$X$92,$A84,1),""))</f>
        <v>1</v>
      </c>
      <c r="CR84" s="207">
        <f>--ISNUMBER(IFERROR(SEARCH('PLANILLA DJ'!$X$93,$A84,1),""))</f>
        <v>1</v>
      </c>
      <c r="CS84" s="207">
        <f>--ISNUMBER(IFERROR(SEARCH('PLANILLA DJ'!$X$94,$A84,1),""))</f>
        <v>1</v>
      </c>
      <c r="CT84" s="207">
        <f>--ISNUMBER(IFERROR(SEARCH('PLANILLA DJ'!$X$95,$A84,1),""))</f>
        <v>1</v>
      </c>
      <c r="CU84" s="207">
        <f>--ISNUMBER(IFERROR(SEARCH('PLANILLA DJ'!$X$96,$A84,1),""))</f>
        <v>1</v>
      </c>
      <c r="CV84" s="207">
        <f>--ISNUMBER(IFERROR(SEARCH('PLANILLA DJ'!$X$97,$A84,1),""))</f>
        <v>1</v>
      </c>
      <c r="CW84" s="207">
        <f>--ISNUMBER(IFERROR(SEARCH('PLANILLA DJ'!$X$98,$A84,1),""))</f>
        <v>1</v>
      </c>
      <c r="CX84" s="207">
        <f>--ISNUMBER(IFERROR(SEARCH('PLANILLA DJ'!$X$99,$A84,1),""))</f>
        <v>1</v>
      </c>
      <c r="CY84" s="207">
        <f>--ISNUMBER(IFERROR(SEARCH('PLANILLA DJ'!$X$100,$A84,1),""))</f>
        <v>1</v>
      </c>
      <c r="CZ84" s="207">
        <f>--ISNUMBER(IFERROR(SEARCH('PLANILLA DJ'!$X$101,$A84,1),""))</f>
        <v>1</v>
      </c>
      <c r="DA84" s="207">
        <f>--ISNUMBER(IFERROR(SEARCH('PLANILLA DJ'!$X$102,$A84,1),""))</f>
        <v>1</v>
      </c>
      <c r="DB84" s="206">
        <f>IF(F84=1,COUNTIF($F$2:F84,1),"")</f>
        <v>83</v>
      </c>
      <c r="DC84" s="206">
        <f>IF(G84=1,COUNTIF($G$2:G84,1),"")</f>
        <v>83</v>
      </c>
      <c r="DD84" s="206">
        <f>IF(H84=1,COUNTIF($H$2:H84,1),"")</f>
        <v>83</v>
      </c>
      <c r="DE84" s="206">
        <f>IF(I84=1,COUNTIF($I$2:I84,1),"")</f>
        <v>83</v>
      </c>
      <c r="DF84" s="206">
        <f>IF(J84=1,COUNTIF($J$2:J84,1),"")</f>
        <v>83</v>
      </c>
      <c r="DG84" s="206">
        <f>IF(K84=1,COUNTIF($K$2:K84,1),"")</f>
        <v>83</v>
      </c>
      <c r="DH84" s="206">
        <f>IF(L84=1,COUNTIF($L$2:L84,1),"")</f>
        <v>83</v>
      </c>
      <c r="DI84" s="206">
        <f>IF(M84=1,COUNTIF($M$2:M84,1),"")</f>
        <v>83</v>
      </c>
      <c r="DJ84" s="206">
        <f>IF(N84=1,COUNTIF($N$2:N84,1),"")</f>
        <v>83</v>
      </c>
      <c r="DK84" s="206">
        <f>IF(O84=1,COUNTIF($O$2:O84,1),"")</f>
        <v>83</v>
      </c>
      <c r="DL84" s="206">
        <f>IF(P84=1,COUNTIF($P$2:P84,1),"")</f>
        <v>83</v>
      </c>
      <c r="DM84" s="206">
        <f>IF(Q84=1,COUNTIF($Q$2:Q84,1),"")</f>
        <v>83</v>
      </c>
      <c r="DN84" s="207">
        <f>IF(R84=1,COUNTIF($R$2:R84,1),"")</f>
        <v>83</v>
      </c>
      <c r="DO84" s="207">
        <f>IF(S84=1,COUNTIF($S$2:S84,1),"")</f>
        <v>83</v>
      </c>
      <c r="DP84" s="207">
        <f>IF(T84=1,COUNTIF($T$2:T84,1),"")</f>
        <v>83</v>
      </c>
      <c r="DQ84" s="207">
        <f>IF(U84=1,COUNTIF($U$2:U84,1),"")</f>
        <v>83</v>
      </c>
      <c r="DR84" s="207">
        <f>IF(V84=1,COUNTIF($V$2:V84,1),"")</f>
        <v>83</v>
      </c>
      <c r="DS84" s="207">
        <f>IF(W84=1,COUNTIF($W$2:W84,1),"")</f>
        <v>83</v>
      </c>
      <c r="DT84" s="207">
        <f>IF(X84=1,COUNTIF($X$2:X84,1),"")</f>
        <v>83</v>
      </c>
      <c r="DU84" s="207">
        <f>IF(Y84=1,COUNTIF($Y$2:Y84,1),"")</f>
        <v>83</v>
      </c>
      <c r="DV84" s="207">
        <f>IF(Z84=1,COUNTIF(Z$2:Z84,1),"")</f>
        <v>83</v>
      </c>
      <c r="DW84" s="207">
        <f>IF(AA84=1,COUNTIF($AA$2:AA84,1),"")</f>
        <v>83</v>
      </c>
      <c r="DX84" s="207">
        <f>IF(AB84=1,COUNTIF($AB$2:AB84,1),"")</f>
        <v>83</v>
      </c>
      <c r="DY84" s="207">
        <f>IF(AC84=1,COUNTIF($AC$2:AC84,1),"")</f>
        <v>83</v>
      </c>
      <c r="DZ84" s="207">
        <f>IF(AD84=1,COUNTIF($AD$2:AD84,1),"")</f>
        <v>83</v>
      </c>
      <c r="EA84" s="207">
        <f>IF(AE84=1,COUNTIF($AE$2:AE84,1),"")</f>
        <v>83</v>
      </c>
      <c r="EB84" s="207">
        <f>IF(AF84=1,COUNTIF($AF$2:AF84,1),"")</f>
        <v>83</v>
      </c>
      <c r="EC84" s="207">
        <f>IF(AG84=1,COUNTIF($AG$2:AG84,1),"")</f>
        <v>83</v>
      </c>
      <c r="ED84" s="207">
        <f>IF(AH84=1,COUNTIF($AH$2:AH84,1),"")</f>
        <v>83</v>
      </c>
      <c r="EE84" s="207">
        <f>IF(AI84=1,COUNTIF($AI$2:AI84,1),"")</f>
        <v>83</v>
      </c>
      <c r="EF84" s="207">
        <f>IF(AJ84=1,COUNTIF($AJ$2:AJ84,1),"")</f>
        <v>83</v>
      </c>
      <c r="EG84" s="207">
        <f>IF(AK84=1,COUNTIF($AK$2:AK84,1),"")</f>
        <v>83</v>
      </c>
      <c r="EH84" s="207">
        <f>IF(AL84=1,COUNTIF($AL$2:AL84,1),"")</f>
        <v>83</v>
      </c>
      <c r="EI84" s="207">
        <f>IF(AM84=1,COUNTIF($AM$2:AM84,1),"")</f>
        <v>83</v>
      </c>
      <c r="EJ84" s="207">
        <f>IF(AN84=1,COUNTIF($AN$2:AN84,1),"")</f>
        <v>83</v>
      </c>
      <c r="EK84" s="207">
        <f>IF(AO84=1,COUNTIF($AO$2:AO84,1),"")</f>
        <v>83</v>
      </c>
      <c r="EL84" s="207">
        <f>IF(AP84=1,COUNTIF($AP$2:AP84,1),"")</f>
        <v>83</v>
      </c>
      <c r="EM84" s="207">
        <f>IF(AQ84=1,COUNTIF($AQ$2:AQ84,1),"")</f>
        <v>83</v>
      </c>
      <c r="EN84" s="207">
        <f>IF(AR84=1,COUNTIF($AR$2:AR84,1),"")</f>
        <v>83</v>
      </c>
      <c r="EO84" s="207">
        <f>IF(AS84=1,COUNTIF($AS$2:AS84,1),"")</f>
        <v>83</v>
      </c>
      <c r="EP84" s="207">
        <f>IF(AT84=1,COUNTIF($AT$2:AT84,1),"")</f>
        <v>83</v>
      </c>
      <c r="EQ84" s="207">
        <f>IF(AU84=1,COUNTIF($AU$2:AU84,1),"")</f>
        <v>83</v>
      </c>
      <c r="ER84" s="207">
        <f>IF(AV84=1,COUNTIF($AV$2:AV84,1),"")</f>
        <v>83</v>
      </c>
      <c r="ES84" s="207">
        <f>IF(AW84=1,COUNTIF($AW$2:AW84,1),"")</f>
        <v>83</v>
      </c>
      <c r="ET84" s="207">
        <f>IF(AX84=1,COUNTIF($AX$2:AX84,1),"")</f>
        <v>83</v>
      </c>
      <c r="EU84" s="207">
        <f>IF(AY84=1,COUNTIF($AY$2:AY84,1),"")</f>
        <v>83</v>
      </c>
      <c r="EV84" s="207">
        <f>IF(AZ84=1,COUNTIF($AZ$2:AZ84,1),"")</f>
        <v>83</v>
      </c>
      <c r="EW84" s="207">
        <f>IF(BA84=1,COUNTIF($BA$2:BA84,1),"")</f>
        <v>83</v>
      </c>
      <c r="EX84" s="207">
        <f>IF(BB84=1,COUNTIF($BB$2:BB84,1),"")</f>
        <v>83</v>
      </c>
      <c r="EY84" s="207">
        <f>IF(BC84=1,COUNTIF($BC$2:BC84,1),"")</f>
        <v>83</v>
      </c>
      <c r="EZ84" s="207">
        <f>IF(BD84=1,COUNTIF($BD$2:BD84,1),"")</f>
        <v>83</v>
      </c>
      <c r="FA84" s="207">
        <f>IF(BE84=1,COUNTIF($BE$2:BE84,1),"")</f>
        <v>83</v>
      </c>
      <c r="FB84" s="207">
        <f>IF(BF84=1,COUNTIF($BF$2:BF84,1),"")</f>
        <v>83</v>
      </c>
      <c r="FC84" s="207">
        <f>IF(BG84=1,COUNTIF($BG$2:BG84,1),"")</f>
        <v>83</v>
      </c>
      <c r="FD84" s="207">
        <f>IF(BH84=1,COUNTIF($BH$2:BH84,1),"")</f>
        <v>83</v>
      </c>
      <c r="FE84" s="207">
        <f>IF(BI84=1,COUNTIF($BI$2:BI84,1),"")</f>
        <v>83</v>
      </c>
      <c r="FF84" s="207">
        <f>IF(BJ84=1,COUNTIF($BJ$2:BJ84,1),"")</f>
        <v>83</v>
      </c>
      <c r="FG84" s="207">
        <f>IF(BK84=1,COUNTIF($BK$2:BK84,1),"")</f>
        <v>83</v>
      </c>
      <c r="FH84" s="207">
        <f>IF(BL84=1,COUNTIF($BL$2:BL84,1),"")</f>
        <v>83</v>
      </c>
      <c r="FI84" s="207">
        <f>IF(BM84=1,COUNTIF($BM$2:BM84,1),"")</f>
        <v>83</v>
      </c>
      <c r="FJ84" s="207">
        <f>IF(BN84=1,COUNTIF($BN$2:BN84,1),"")</f>
        <v>83</v>
      </c>
      <c r="FK84" s="207">
        <f>IF(BO84=1,COUNTIF($BO$2:BO84,1),"")</f>
        <v>83</v>
      </c>
      <c r="FL84" s="207">
        <f>IF(BP84=1,COUNTIF($BP$2:BP84,1),"")</f>
        <v>83</v>
      </c>
      <c r="FM84" s="207">
        <f>IF(BQ84=1,COUNTIF($BQ$2:BQ84,1),"")</f>
        <v>83</v>
      </c>
      <c r="FN84" s="207">
        <f>IF(BR84=1,COUNTIF($BR$2:BR84,1),"")</f>
        <v>83</v>
      </c>
      <c r="FO84" s="207">
        <f>IF(BS84=1,COUNTIF($BS$2:BS84,1),"")</f>
        <v>83</v>
      </c>
      <c r="FP84" s="207">
        <f>IF(BT84=1,COUNTIF($BT$2:BT84,1),"")</f>
        <v>83</v>
      </c>
      <c r="FQ84" s="207">
        <f>IF(BU84=1,COUNTIF($BU$2:BU84,1),"")</f>
        <v>83</v>
      </c>
      <c r="FR84" s="207">
        <f>IF(BV84=1,COUNTIF($BV$2:BV84,1),"")</f>
        <v>83</v>
      </c>
      <c r="FS84" s="207">
        <f>IF(BW84=1,COUNTIF($BW$2:BW84,1),"")</f>
        <v>83</v>
      </c>
      <c r="FT84" s="207">
        <f>IF(BX84=1,COUNTIF($BX$2:BX84,1),"")</f>
        <v>83</v>
      </c>
      <c r="FU84" s="207">
        <f>IF(BY84=1,COUNTIF($BY$2:BY84,1),"")</f>
        <v>83</v>
      </c>
      <c r="FV84" s="207">
        <f>IF(BZ84=1,COUNTIF($BZ$2:BZ84,1),"")</f>
        <v>83</v>
      </c>
      <c r="FW84" s="207">
        <f>IF(CA84=1,COUNTIF($CA$2:CA84,1),"")</f>
        <v>83</v>
      </c>
      <c r="FX84" s="207">
        <f>IF(CB84=1,COUNTIF($CB$2:CB84,1),"")</f>
        <v>83</v>
      </c>
      <c r="FY84" s="207">
        <f>IF(CC84=1,COUNTIF($CC$2:CC84,1),"")</f>
        <v>83</v>
      </c>
      <c r="FZ84" s="207">
        <f>IF(CD84=1,COUNTIF($CD$2:CD84,1),"")</f>
        <v>83</v>
      </c>
      <c r="GA84" s="207">
        <f>IF(CE84=1,COUNTIF($CE$2:CE84,1),"")</f>
        <v>83</v>
      </c>
      <c r="GB84" s="207">
        <f>IF(CF84=1,COUNTIF($CF$2:CF84,1),"")</f>
        <v>83</v>
      </c>
      <c r="GC84" s="207">
        <f>IF(CG84=1,COUNTIF($CG$2:CG84,1),"")</f>
        <v>83</v>
      </c>
      <c r="GD84" s="207">
        <f>IF(CH84=1,COUNTIF($CH$2:CH84,1),"")</f>
        <v>83</v>
      </c>
      <c r="GE84" s="207">
        <f>IF(CI84=1,COUNTIF($CI$2:CI84,1),"")</f>
        <v>83</v>
      </c>
      <c r="GF84" s="207">
        <f>IF(CJ84=1,COUNTIF($CJ$2:CJ84,1),"")</f>
        <v>83</v>
      </c>
      <c r="GG84" s="207">
        <f>IF(CK84=1,COUNTIF($CK$2:CK84,1),"")</f>
        <v>83</v>
      </c>
      <c r="GH84" s="207">
        <f>IF(CL84=1,COUNTIF($CL$2:CL84,1),"")</f>
        <v>83</v>
      </c>
      <c r="GI84" s="207">
        <f>IF(CM84=1,COUNTIF($CM$2:CM84,1),"")</f>
        <v>83</v>
      </c>
      <c r="GJ84" s="207">
        <f>IF(CN84=1,COUNTIF($CN$2:CN84,1),"")</f>
        <v>83</v>
      </c>
      <c r="GK84" s="207">
        <f>IF(CO84=1,COUNTIF($CO$2:CO84,1),"")</f>
        <v>83</v>
      </c>
      <c r="GL84" s="207">
        <f>IF(CP84=1,COUNTIF($CP$2:CP84,1),"")</f>
        <v>83</v>
      </c>
      <c r="GM84" s="207">
        <f>IF(CQ84=1,COUNTIF($CQ$2:CQ84,1),"")</f>
        <v>83</v>
      </c>
      <c r="GN84" s="207">
        <f>IF(CR84=1,COUNTIF($CR$2:CR84,1),"")</f>
        <v>83</v>
      </c>
      <c r="GO84" s="207">
        <f>IF(CS84=1,COUNTIF($CS$2:CS84,1),"")</f>
        <v>83</v>
      </c>
      <c r="GP84" s="207">
        <f>IF(CT84=1,COUNTIF($CT$2:CT84,1),"")</f>
        <v>83</v>
      </c>
      <c r="GQ84" s="207">
        <f>IF(CU84=1,COUNTIF($CU$2:CU84,1),"")</f>
        <v>83</v>
      </c>
      <c r="GR84" s="207">
        <f>IF(CV84=1,COUNTIF($CV$2:CV84,1),"")</f>
        <v>83</v>
      </c>
      <c r="GS84" s="207">
        <f>IF(CW84=1,COUNTIF($CW$2:CW84,1),"")</f>
        <v>83</v>
      </c>
      <c r="GT84" s="207">
        <f>IF(CX84=1,COUNTIF($CX$2:CX84,1),"")</f>
        <v>83</v>
      </c>
      <c r="GU84" s="207">
        <f>IF(CY84=1,COUNTIF($CY$2:CY84,1),"")</f>
        <v>83</v>
      </c>
      <c r="GV84" s="207">
        <f>IF(CZ84=1,COUNTIF($CZ$2:CZ84,1),"")</f>
        <v>83</v>
      </c>
      <c r="GW84" s="207">
        <f>IF(DA84=1,COUNTIF($DA$2:DA84,1),"")</f>
        <v>83</v>
      </c>
      <c r="GX84" s="206" t="str">
        <f>IFERROR(INDEX($A$2:$A$113,MATCH(ROWS($DB$2:DB84),$DB$2:$DB$113,0)),"")</f>
        <v>COHECHO Y TRAFICOS DE INFLUENCIAS  COMETIDO POR FUNCIONARIO PUBLICO</v>
      </c>
      <c r="GY84" s="206" t="str">
        <f>IFERROR(INDEX($A$2:$A$113,MATCH(ROWS($DC$2:DC84),$DC$2:$DC$113,0)),"")</f>
        <v>COHECHO Y TRAFICOS DE INFLUENCIAS  COMETIDO POR FUNCIONARIO PUBLICO</v>
      </c>
      <c r="GZ84" s="206" t="str">
        <f>IFERROR(INDEX($A$2:$A$113,MATCH(ROWS($DD$2:DD84),$DD$2:$DD$113,0)),"")</f>
        <v>COHECHO Y TRAFICOS DE INFLUENCIAS  COMETIDO POR FUNCIONARIO PUBLICO</v>
      </c>
      <c r="HA84" s="206" t="str">
        <f>IFERROR(INDEX($A$2:$A$113,MATCH(ROWS($DE$2:DE84),$DE$2:$DE$113,0)),"")</f>
        <v>COHECHO Y TRAFICOS DE INFLUENCIAS  COMETIDO POR FUNCIONARIO PUBLICO</v>
      </c>
      <c r="HB84" s="206" t="str">
        <f>IFERROR(INDEX($A$2:$A$113,MATCH(ROWS($DF$2:DF84),$DF$2:$DF$113,0)),"")</f>
        <v>COHECHO Y TRAFICOS DE INFLUENCIAS  COMETIDO POR FUNCIONARIO PUBLICO</v>
      </c>
      <c r="HC84" s="206" t="str">
        <f>IFERROR(INDEX($A$2:$A$113,MATCH(ROWS($DG$2:DG84),$DG$2:$DG$113,0)),"")</f>
        <v>COHECHO Y TRAFICOS DE INFLUENCIAS  COMETIDO POR FUNCIONARIO PUBLICO</v>
      </c>
      <c r="HD84" s="206" t="str">
        <f>IFERROR(INDEX($A$2:$A$113,MATCH(ROWS($DH$2:DH84),$DH$2:$DH$113,0)),"")</f>
        <v>COHECHO Y TRAFICOS DE INFLUENCIAS  COMETIDO POR FUNCIONARIO PUBLICO</v>
      </c>
      <c r="HE84" s="206" t="str">
        <f>IFERROR(INDEX($A$2:$A$113,MATCH(ROWS($DI$2:DI84),$DI$2:$DI$113,0)),"")</f>
        <v>COHECHO Y TRAFICOS DE INFLUENCIAS  COMETIDO POR FUNCIONARIO PUBLICO</v>
      </c>
      <c r="HF84" s="206" t="str">
        <f>IFERROR(INDEX($A$2:$A$113,MATCH(ROWS($DJ$2:DJ84),$DJ$2:$DJ$113,0)),"")</f>
        <v>COHECHO Y TRAFICOS DE INFLUENCIAS  COMETIDO POR FUNCIONARIO PUBLICO</v>
      </c>
      <c r="HG84" s="206" t="str">
        <f>IFERROR(INDEX($A$2:$A$113,MATCH(ROWS($DK$2:DK84),$DK$2:$DK$113,0)),"")</f>
        <v>COHECHO Y TRAFICOS DE INFLUENCIAS  COMETIDO POR FUNCIONARIO PUBLICO</v>
      </c>
      <c r="HH84" s="206" t="str">
        <f>IFERROR(INDEX($A$2:$A$113,MATCH(ROWS($DL$2:DL84),$DL$2:$DL$113,0)),"")</f>
        <v>COHECHO Y TRAFICOS DE INFLUENCIAS  COMETIDO POR FUNCIONARIO PUBLICO</v>
      </c>
      <c r="HI84" s="206" t="str">
        <f>IFERROR(INDEX($A$2:$A$113,MATCH(ROWS($DM$2:DM84),$DM$2:$DM$113,0)),"")</f>
        <v>COHECHO Y TRAFICOS DE INFLUENCIAS  COMETIDO POR FUNCIONARIO PUBLICO</v>
      </c>
      <c r="HJ84" s="206" t="str">
        <f>IFERROR(INDEX($A$2:$A$113,MATCH(ROWS($DN$2:DN84),$DN$2:$DN$113,0)),"")</f>
        <v>COHECHO Y TRAFICOS DE INFLUENCIAS  COMETIDO POR FUNCIONARIO PUBLICO</v>
      </c>
      <c r="HK84" s="206" t="str">
        <f>IFERROR(INDEX($A$2:$A$113,MATCH(ROWS($DO$2:DO84),$DO$2:$DO$113,0)),"")</f>
        <v>COHECHO Y TRAFICOS DE INFLUENCIAS  COMETIDO POR FUNCIONARIO PUBLICO</v>
      </c>
      <c r="HL84" s="206" t="str">
        <f>IFERROR(INDEX($A$2:$A$113,MATCH(ROWS($DP$2:DP84),$DP$2:$DP$113,0)),"")</f>
        <v>COHECHO Y TRAFICOS DE INFLUENCIAS  COMETIDO POR FUNCIONARIO PUBLICO</v>
      </c>
      <c r="HM84" s="206" t="str">
        <f>IFERROR(INDEX($A$2:$A$113,MATCH(ROWS($DQ$2:DQ84),$DQ$2:$DQ$113,0)),"")</f>
        <v>COHECHO Y TRAFICOS DE INFLUENCIAS  COMETIDO POR FUNCIONARIO PUBLICO</v>
      </c>
      <c r="HN84" s="206" t="str">
        <f>IFERROR(INDEX($A$2:$A$113,MATCH(ROWS($DR$2:DR84),$DR$2:$DR$113,0)),"")</f>
        <v>COHECHO Y TRAFICOS DE INFLUENCIAS  COMETIDO POR FUNCIONARIO PUBLICO</v>
      </c>
      <c r="HO84" s="206" t="str">
        <f>IFERROR(INDEX($A$2:$A$113,MATCH(ROWS($DS$2:DS84),$DS$2:$DS$113,0)),"")</f>
        <v>COHECHO Y TRAFICOS DE INFLUENCIAS  COMETIDO POR FUNCIONARIO PUBLICO</v>
      </c>
      <c r="HP84" s="206" t="str">
        <f>IFERROR(INDEX($A$2:$A$113,MATCH(ROWS($DT$2:DT84),$DT$2:$DT$113,0)),"")</f>
        <v>COHECHO Y TRAFICOS DE INFLUENCIAS  COMETIDO POR FUNCIONARIO PUBLICO</v>
      </c>
      <c r="HQ84" s="206" t="str">
        <f>IFERROR(INDEX($A$2:$A$113,MATCH(ROWS($DU$2:DU84),$DU$2:$DU$113,0)),"")</f>
        <v>COHECHO Y TRAFICOS DE INFLUENCIAS  COMETIDO POR FUNCIONARIO PUBLICO</v>
      </c>
      <c r="HR84" s="206" t="str">
        <f>IFERROR(INDEX($A$2:$A$113,MATCH(ROWS($DV$2:DV84),$DV$2:$DV$113,0)),"")</f>
        <v>COHECHO Y TRAFICOS DE INFLUENCIAS  COMETIDO POR FUNCIONARIO PUBLICO</v>
      </c>
      <c r="HS84" s="206" t="str">
        <f>IFERROR(INDEX($A$2:$A$113,MATCH(ROWS($DW$2:DW84),$DW$2:$DW$113,0)),"")</f>
        <v>COHECHO Y TRAFICOS DE INFLUENCIAS  COMETIDO POR FUNCIONARIO PUBLICO</v>
      </c>
      <c r="HT84" s="206" t="str">
        <f>IFERROR(INDEX($A$2:$A$113,MATCH(ROWS($DX$2:DX84),$DX$2:$DX$113,0)),"")</f>
        <v>COHECHO Y TRAFICOS DE INFLUENCIAS  COMETIDO POR FUNCIONARIO PUBLICO</v>
      </c>
      <c r="HU84" s="206" t="str">
        <f>IFERROR(INDEX($A$2:$A$113,MATCH(ROWS($DY$2:DY84),$DY$2:$DY$113,0)),"")</f>
        <v>COHECHO Y TRAFICOS DE INFLUENCIAS  COMETIDO POR FUNCIONARIO PUBLICO</v>
      </c>
      <c r="HV84" s="206" t="str">
        <f>IFERROR(INDEX($A$2:$A$113,MATCH(ROWS($DZ$2:DZ84),$DZ$2:$DZ$113,0)),"")</f>
        <v>COHECHO Y TRAFICOS DE INFLUENCIAS  COMETIDO POR FUNCIONARIO PUBLICO</v>
      </c>
      <c r="HW84" s="206" t="str">
        <f>IFERROR(INDEX($A$2:$A$113,MATCH(ROWS($EA$2:EA84),$EA$2:$EA$113,0)),"")</f>
        <v>COHECHO Y TRAFICOS DE INFLUENCIAS  COMETIDO POR FUNCIONARIO PUBLICO</v>
      </c>
      <c r="HX84" s="206" t="str">
        <f>IFERROR(INDEX($A$2:$A$113,MATCH(ROWS($EB$2:EB84),$EB$2:$EB$113,0)),"")</f>
        <v>COHECHO Y TRAFICOS DE INFLUENCIAS  COMETIDO POR FUNCIONARIO PUBLICO</v>
      </c>
      <c r="HY84" s="206" t="str">
        <f>IFERROR(INDEX($A$2:$A$113,MATCH(ROWS($EC$2:EC84),$EC$2:$EC$113,0)),"")</f>
        <v>COHECHO Y TRAFICOS DE INFLUENCIAS  COMETIDO POR FUNCIONARIO PUBLICO</v>
      </c>
      <c r="HZ84" s="206" t="str">
        <f>IFERROR(INDEX($A$2:$A$113,MATCH(ROWS($ED$2:ED84),$ED$2:$ED$113,0)),"")</f>
        <v>COHECHO Y TRAFICOS DE INFLUENCIAS  COMETIDO POR FUNCIONARIO PUBLICO</v>
      </c>
      <c r="IA84" s="206" t="str">
        <f>IFERROR(INDEX($A$2:$A$113,MATCH(ROWS($EE$2:EE84),$EE$2:$EE$113,0)),"")</f>
        <v>COHECHO Y TRAFICOS DE INFLUENCIAS  COMETIDO POR FUNCIONARIO PUBLICO</v>
      </c>
      <c r="IB84" s="206" t="str">
        <f>IFERROR(INDEX($A$2:$A$113,MATCH(ROWS($EF$2:EF84),$EF$2:$EF$113,0)),"")</f>
        <v>COHECHO Y TRAFICOS DE INFLUENCIAS  COMETIDO POR FUNCIONARIO PUBLICO</v>
      </c>
      <c r="IC84" s="206" t="str">
        <f>IFERROR(INDEX($A$2:$A$113,MATCH(ROWS($EG$2:EG84),$EG$2:$EG$113,0)),"")</f>
        <v>COHECHO Y TRAFICOS DE INFLUENCIAS  COMETIDO POR FUNCIONARIO PUBLICO</v>
      </c>
      <c r="ID84" s="206" t="str">
        <f>IFERROR(INDEX($A$2:$A$113,MATCH(ROWS($EH$2:EH84),$EH$2:$EH$113,0)),"")</f>
        <v>COHECHO Y TRAFICOS DE INFLUENCIAS  COMETIDO POR FUNCIONARIO PUBLICO</v>
      </c>
      <c r="IE84" s="206" t="str">
        <f>IFERROR(INDEX($A$2:$A$113,MATCH(ROWS($EI$2:EI84),$EI$2:$EI$113,0)),"")</f>
        <v>COHECHO Y TRAFICOS DE INFLUENCIAS  COMETIDO POR FUNCIONARIO PUBLICO</v>
      </c>
      <c r="IF84" s="206" t="str">
        <f>IFERROR(INDEX($A$2:$A$113,MATCH(ROWS($EJ$2:EJ84),$EJ$2:$EJ$113,0)),"")</f>
        <v>COHECHO Y TRAFICOS DE INFLUENCIAS  COMETIDO POR FUNCIONARIO PUBLICO</v>
      </c>
      <c r="IG84" s="206" t="str">
        <f>IFERROR(INDEX($A$2:$A$113,MATCH(ROWS($EK$2:EK84),$EK$2:$EK$113,0)),"")</f>
        <v>COHECHO Y TRAFICOS DE INFLUENCIAS  COMETIDO POR FUNCIONARIO PUBLICO</v>
      </c>
      <c r="IH84" s="206" t="str">
        <f>IFERROR(INDEX($A$2:$A$113,MATCH(ROWS($EL$2:EL84),$EL$2:$EL$113,0)),"")</f>
        <v>COHECHO Y TRAFICOS DE INFLUENCIAS  COMETIDO POR FUNCIONARIO PUBLICO</v>
      </c>
      <c r="II84" s="206" t="str">
        <f>IFERROR(INDEX($A$2:$A$113,MATCH(ROWS($EM$2:EM84),$EM$2:$EM$113,0)),"")</f>
        <v>COHECHO Y TRAFICOS DE INFLUENCIAS  COMETIDO POR FUNCIONARIO PUBLICO</v>
      </c>
      <c r="IJ84" s="206" t="str">
        <f>IFERROR(INDEX($A$2:$A$113,MATCH(ROWS($EN$2:EN84),$EN$2:$EN$113,0)),"")</f>
        <v>COHECHO Y TRAFICOS DE INFLUENCIAS  COMETIDO POR FUNCIONARIO PUBLICO</v>
      </c>
      <c r="IK84" s="207" t="str">
        <f>IFERROR(INDEX($A$2:$A$113,MATCH(ROWS($EO$2:EO84),$EO$2:$EO$113,0)),"")</f>
        <v>COHECHO Y TRAFICOS DE INFLUENCIAS  COMETIDO POR FUNCIONARIO PUBLICO</v>
      </c>
      <c r="IL84" s="207" t="str">
        <f>IFERROR(INDEX($A$2:$A$113,MATCH(ROWS($EP$2:EP84),$EP$2:$EP$113,0)),"")</f>
        <v>COHECHO Y TRAFICOS DE INFLUENCIAS  COMETIDO POR FUNCIONARIO PUBLICO</v>
      </c>
      <c r="IM84" s="207" t="str">
        <f>IFERROR(INDEX($A$2:$A$113,MATCH(ROWS($EQ$2:EQ84),$EQ$2:$EQ$113,0)),"")</f>
        <v>COHECHO Y TRAFICOS DE INFLUENCIAS  COMETIDO POR FUNCIONARIO PUBLICO</v>
      </c>
      <c r="IN84" s="207" t="str">
        <f>IFERROR(INDEX($A$2:$A$113,MATCH(ROWS($ER$2:ER84),$ER$2:$ER$113,0)),"")</f>
        <v>COHECHO Y TRAFICOS DE INFLUENCIAS  COMETIDO POR FUNCIONARIO PUBLICO</v>
      </c>
      <c r="IO84" s="207" t="str">
        <f>IFERROR(INDEX($A$2:$A$113,MATCH(ROWS($ES$2:ES84),$ES$2:$ES$113,0)),"")</f>
        <v>COHECHO Y TRAFICOS DE INFLUENCIAS  COMETIDO POR FUNCIONARIO PUBLICO</v>
      </c>
      <c r="IP84" s="207" t="str">
        <f>IFERROR(INDEX($A$2:$A$113,MATCH(ROWS($ET$2:ET84),$ET$2:$ET$113,0)),"")</f>
        <v>COHECHO Y TRAFICOS DE INFLUENCIAS  COMETIDO POR FUNCIONARIO PUBLICO</v>
      </c>
      <c r="IQ84" s="207" t="str">
        <f>IFERROR(INDEX($A$2:$A$113,MATCH(ROWS($EU$2:EU84),$EU$2:$EU$113,0)),"")</f>
        <v>COHECHO Y TRAFICOS DE INFLUENCIAS  COMETIDO POR FUNCIONARIO PUBLICO</v>
      </c>
      <c r="IR84" s="207" t="str">
        <f>IFERROR(INDEX($A$2:$A$113,MATCH(ROWS($EV$2:EV84),$EV$2:$EV$113,0)),"")</f>
        <v>COHECHO Y TRAFICOS DE INFLUENCIAS  COMETIDO POR FUNCIONARIO PUBLICO</v>
      </c>
      <c r="IS84" s="207" t="str">
        <f>IFERROR(INDEX($A$2:$A$113,MATCH(ROWS($EW$2:EW84),$EW$2:$EW$113,0)),"")</f>
        <v>COHECHO Y TRAFICOS DE INFLUENCIAS  COMETIDO POR FUNCIONARIO PUBLICO</v>
      </c>
      <c r="IT84" s="207" t="str">
        <f>IFERROR(INDEX($A$2:$A$113,MATCH(ROWS($EX$2:EX84),$EX$2:$EX$113,0)),"")</f>
        <v>COHECHO Y TRAFICOS DE INFLUENCIAS  COMETIDO POR FUNCIONARIO PUBLICO</v>
      </c>
      <c r="IU84" s="207" t="str">
        <f>IFERROR(INDEX($A$2:$A$113,MATCH(ROWS($EY$2:EY84),$EY$2:$EY$113,0)),"")</f>
        <v>COHECHO Y TRAFICOS DE INFLUENCIAS  COMETIDO POR FUNCIONARIO PUBLICO</v>
      </c>
      <c r="IV84" s="207" t="str">
        <f>IFERROR(INDEX($A$2:$A$113,MATCH(ROWS($EZ$2:EZ84),$EZ$2:$EZ$113,0)),"")</f>
        <v>COHECHO Y TRAFICOS DE INFLUENCIAS  COMETIDO POR FUNCIONARIO PUBLICO</v>
      </c>
      <c r="IW84" s="207" t="str">
        <f>IFERROR(INDEX($A$2:$A$113,MATCH(ROWS($FA$2:FA84),$FA$2:$FA$113,0)),"")</f>
        <v>COHECHO Y TRAFICOS DE INFLUENCIAS  COMETIDO POR FUNCIONARIO PUBLICO</v>
      </c>
      <c r="IX84" s="207" t="str">
        <f>IFERROR(INDEX($A$2:$A$113,MATCH(ROWS($FB$2:FB84),$FB$2:$FB$113,0)),"")</f>
        <v>COHECHO Y TRAFICOS DE INFLUENCIAS  COMETIDO POR FUNCIONARIO PUBLICO</v>
      </c>
      <c r="IY84" s="207" t="str">
        <f>IFERROR(INDEX($A$2:$A$113,MATCH(ROWS($FC$2:FC84),$FC$2:$FC$113,0)),"")</f>
        <v>COHECHO Y TRAFICOS DE INFLUENCIAS  COMETIDO POR FUNCIONARIO PUBLICO</v>
      </c>
      <c r="IZ84" s="207" t="str">
        <f>IFERROR(INDEX($A$2:$A$113,MATCH(ROWS($FD$2:FD84),$FD$2:$FD$113,0)),"")</f>
        <v>COHECHO Y TRAFICOS DE INFLUENCIAS  COMETIDO POR FUNCIONARIO PUBLICO</v>
      </c>
      <c r="JA84" s="207" t="str">
        <f>IFERROR(INDEX($A$2:$A$113,MATCH(ROWS($FE$2:FE84),$FE$2:$FE$113,0)),"")</f>
        <v>COHECHO Y TRAFICOS DE INFLUENCIAS  COMETIDO POR FUNCIONARIO PUBLICO</v>
      </c>
      <c r="JB84" s="207" t="str">
        <f>IFERROR(INDEX($A$2:$A$113,MATCH(ROWS($FF$2:FF84),$FF$2:$FF$113,0)),"")</f>
        <v>COHECHO Y TRAFICOS DE INFLUENCIAS  COMETIDO POR FUNCIONARIO PUBLICO</v>
      </c>
      <c r="JC84" s="207" t="str">
        <f>IFERROR(INDEX($A$2:$A$113,MATCH(ROWS($FG$2:FG84),$FG$2:$FG$113,0)),"")</f>
        <v>COHECHO Y TRAFICOS DE INFLUENCIAS  COMETIDO POR FUNCIONARIO PUBLICO</v>
      </c>
      <c r="JD84" s="207" t="str">
        <f>IFERROR(INDEX($A$2:$A$113,MATCH(ROWS($FH$2:FH84),$FH$2:$FH$113,0)),"")</f>
        <v>COHECHO Y TRAFICOS DE INFLUENCIAS  COMETIDO POR FUNCIONARIO PUBLICO</v>
      </c>
      <c r="JE84" s="207" t="str">
        <f>IFERROR(INDEX($A$2:$A$113,MATCH(ROWS($FI$2:FI84),$FI$2:$FI$113,0)),"")</f>
        <v>COHECHO Y TRAFICOS DE INFLUENCIAS  COMETIDO POR FUNCIONARIO PUBLICO</v>
      </c>
      <c r="JF84" s="207" t="str">
        <f>IFERROR(INDEX($A$2:$A$113,MATCH(ROWS($FJ$2:FJ84),$FJ$2:$FJ$113,0)),"")</f>
        <v>COHECHO Y TRAFICOS DE INFLUENCIAS  COMETIDO POR FUNCIONARIO PUBLICO</v>
      </c>
      <c r="JG84" s="207" t="str">
        <f>IFERROR(INDEX($A$2:$A$113,MATCH(ROWS($FK$2:FK84),$FK$2:$FK$113,0)),"")</f>
        <v>COHECHO Y TRAFICOS DE INFLUENCIAS  COMETIDO POR FUNCIONARIO PUBLICO</v>
      </c>
      <c r="JH84" s="207" t="str">
        <f>IFERROR(INDEX($A$2:$A$113,MATCH(ROWS($FL$2:FL84),$FL$2:$FL$113,0)),"")</f>
        <v>COHECHO Y TRAFICOS DE INFLUENCIAS  COMETIDO POR FUNCIONARIO PUBLICO</v>
      </c>
      <c r="JI84" s="207" t="str">
        <f>IFERROR(INDEX($A$2:$A$113,MATCH(ROWS($FM$2:FM84),$FM$2:$FM$113,0)),"")</f>
        <v>COHECHO Y TRAFICOS DE INFLUENCIAS  COMETIDO POR FUNCIONARIO PUBLICO</v>
      </c>
      <c r="JJ84" s="207" t="str">
        <f>IFERROR(INDEX($A$2:$A$113,MATCH(ROWS($FN$2:FN84),$FN$2:$FN$113,0)),"")</f>
        <v>COHECHO Y TRAFICOS DE INFLUENCIAS  COMETIDO POR FUNCIONARIO PUBLICO</v>
      </c>
      <c r="JK84" s="207" t="str">
        <f>IFERROR(INDEX($A$2:$A$113,MATCH(ROWS($FO$2:FO84),$FO$2:$FO$113,0)),"")</f>
        <v>COHECHO Y TRAFICOS DE INFLUENCIAS  COMETIDO POR FUNCIONARIO PUBLICO</v>
      </c>
      <c r="JL84" s="207" t="str">
        <f>IFERROR(INDEX($A$2:$A$113,MATCH(ROWS($FP$2:FP84),$FP$2:$FP$113,0)),"")</f>
        <v>COHECHO Y TRAFICOS DE INFLUENCIAS  COMETIDO POR FUNCIONARIO PUBLICO</v>
      </c>
      <c r="JM84" s="207" t="str">
        <f>IFERROR(INDEX($A$2:$A$113,MATCH(ROWS($FQ$2:FQ84),$FQ$2:$FQ$113,0)),"")</f>
        <v>COHECHO Y TRAFICOS DE INFLUENCIAS  COMETIDO POR FUNCIONARIO PUBLICO</v>
      </c>
      <c r="JN84" s="207" t="str">
        <f>IFERROR(INDEX($A$2:$A$113,MATCH(ROWS($FR$2:FR84),$FR$2:$FR$113,0)),"")</f>
        <v>COHECHO Y TRAFICOS DE INFLUENCIAS  COMETIDO POR FUNCIONARIO PUBLICO</v>
      </c>
      <c r="JO84" s="207" t="str">
        <f>IFERROR(INDEX($A$2:$A$113,MATCH(ROWS($FS$2:FS84),$FS$2:$FS$113,0)),"")</f>
        <v>COHECHO Y TRAFICOS DE INFLUENCIAS  COMETIDO POR FUNCIONARIO PUBLICO</v>
      </c>
      <c r="JP84" s="207" t="str">
        <f>IFERROR(INDEX($A$2:$A$113,MATCH(ROWS($FT$2:FT84),$FT$2:$FT$113,0)),"")</f>
        <v>COHECHO Y TRAFICOS DE INFLUENCIAS  COMETIDO POR FUNCIONARIO PUBLICO</v>
      </c>
      <c r="JQ84" s="207" t="str">
        <f>IFERROR(INDEX($A$2:$A$113,MATCH(ROWS($FU$2:FU84),$FU$2:$FU$113,0)),"")</f>
        <v>COHECHO Y TRAFICOS DE INFLUENCIAS  COMETIDO POR FUNCIONARIO PUBLICO</v>
      </c>
      <c r="JR84" s="207" t="str">
        <f>IFERROR(INDEX($A$2:$A$113,MATCH(ROWS($FV$2:FV84),$FV$2:$FV$113,0)),"")</f>
        <v>COHECHO Y TRAFICOS DE INFLUENCIAS  COMETIDO POR FUNCIONARIO PUBLICO</v>
      </c>
      <c r="JS84" s="207" t="str">
        <f>IFERROR(INDEX($A$2:$A$113,MATCH(ROWS($FW$2:FW84),$FW$2:$FW$113,0)),"")</f>
        <v>COHECHO Y TRAFICOS DE INFLUENCIAS  COMETIDO POR FUNCIONARIO PUBLICO</v>
      </c>
      <c r="JT84" s="207" t="str">
        <f>IFERROR(INDEX($A$2:$A$113,MATCH(ROWS($FX$2:FX84),$FX$2:$FX$113,0)),"")</f>
        <v>COHECHO Y TRAFICOS DE INFLUENCIAS  COMETIDO POR FUNCIONARIO PUBLICO</v>
      </c>
      <c r="JU84" s="207" t="str">
        <f>IFERROR(INDEX($A$2:$A$113,MATCH(ROWS($FY$2:FY84),$FY$2:$FY$113,0)),"")</f>
        <v>COHECHO Y TRAFICOS DE INFLUENCIAS  COMETIDO POR FUNCIONARIO PUBLICO</v>
      </c>
      <c r="JV84" s="207" t="str">
        <f>IFERROR(INDEX($A$2:$A$113,MATCH(ROWS($FZ$2:FZ84),$FZ$2:$FZ$113,0)),"")</f>
        <v>COHECHO Y TRAFICOS DE INFLUENCIAS  COMETIDO POR FUNCIONARIO PUBLICO</v>
      </c>
      <c r="JW84" s="207" t="str">
        <f>IFERROR(INDEX($A$2:$A$113,MATCH(ROWS($GA$2:GA84),$GA$2:$GA$113,0)),"")</f>
        <v>COHECHO Y TRAFICOS DE INFLUENCIAS  COMETIDO POR FUNCIONARIO PUBLICO</v>
      </c>
      <c r="JX84" s="207" t="str">
        <f>IFERROR(INDEX($A$2:$A$113,MATCH(ROWS($GB$2:GB84),$GB$2:$GB$113,0)),"")</f>
        <v>COHECHO Y TRAFICOS DE INFLUENCIAS  COMETIDO POR FUNCIONARIO PUBLICO</v>
      </c>
      <c r="JY84" s="207" t="str">
        <f>IFERROR(INDEX($A$2:$A$113,MATCH(ROWS($GC$2:GC84),$GC$2:$GC$113,0)),"")</f>
        <v>COHECHO Y TRAFICOS DE INFLUENCIAS  COMETIDO POR FUNCIONARIO PUBLICO</v>
      </c>
      <c r="JZ84" s="207" t="str">
        <f>IFERROR(INDEX($A$2:$A$113,MATCH(ROWS($GD$2:GD84),$GD$2:$GD$113,0)),"")</f>
        <v>COHECHO Y TRAFICOS DE INFLUENCIAS  COMETIDO POR FUNCIONARIO PUBLICO</v>
      </c>
      <c r="KA84" s="207" t="str">
        <f>IFERROR(INDEX($A$2:$A$113,MATCH(ROWS($GE$2:GE84),$GE$2:$GE$113,0)),"")</f>
        <v>COHECHO Y TRAFICOS DE INFLUENCIAS  COMETIDO POR FUNCIONARIO PUBLICO</v>
      </c>
      <c r="KB84" s="207" t="str">
        <f>IFERROR(INDEX($A$2:$A$113,MATCH(ROWS($GF$2:GF84),$GF$2:$GF$113,0)),"")</f>
        <v>COHECHO Y TRAFICOS DE INFLUENCIAS  COMETIDO POR FUNCIONARIO PUBLICO</v>
      </c>
      <c r="KC84" s="207" t="str">
        <f>IFERROR(INDEX($A$2:$A$113,MATCH(ROWS($GG$2:GG84),$GG$2:$GG$113,0)),"")</f>
        <v>COHECHO Y TRAFICOS DE INFLUENCIAS  COMETIDO POR FUNCIONARIO PUBLICO</v>
      </c>
      <c r="KD84" s="207" t="str">
        <f>IFERROR(INDEX($A$2:$A$113,MATCH(ROWS($GH$2:GH84),$GH$2:$GH$113,0)),"")</f>
        <v>COHECHO Y TRAFICOS DE INFLUENCIAS  COMETIDO POR FUNCIONARIO PUBLICO</v>
      </c>
      <c r="KE84" s="207" t="str">
        <f>IFERROR(INDEX($A$2:$A$113,MATCH(ROWS($GI$2:GI84),$GI$2:$GI$113,0)),"")</f>
        <v>COHECHO Y TRAFICOS DE INFLUENCIAS  COMETIDO POR FUNCIONARIO PUBLICO</v>
      </c>
      <c r="KF84" s="207" t="str">
        <f>IFERROR(INDEX($A$2:$A$113,MATCH(ROWS($GJ$2:GJ84),$GJ$2:$GJ$113,0)),"")</f>
        <v>COHECHO Y TRAFICOS DE INFLUENCIAS  COMETIDO POR FUNCIONARIO PUBLICO</v>
      </c>
      <c r="KG84" s="207" t="str">
        <f>IFERROR(INDEX($A$2:$A$113,MATCH(ROWS($GK$2:GK84),$GK$2:$GK$113,0)),"")</f>
        <v>COHECHO Y TRAFICOS DE INFLUENCIAS  COMETIDO POR FUNCIONARIO PUBLICO</v>
      </c>
      <c r="KH84" s="207" t="str">
        <f>IFERROR(INDEX($A$2:$A$113,MATCH(ROWS($GL$2:GL84),$GL$2:$GL$113,0)),"")</f>
        <v>COHECHO Y TRAFICOS DE INFLUENCIAS  COMETIDO POR FUNCIONARIO PUBLICO</v>
      </c>
      <c r="KI84" s="207" t="str">
        <f>IFERROR(INDEX($A$2:$A$113,MATCH(ROWS($GM$2:GM84),$GM$2:$GM$113,0)),"")</f>
        <v>COHECHO Y TRAFICOS DE INFLUENCIAS  COMETIDO POR FUNCIONARIO PUBLICO</v>
      </c>
      <c r="KJ84" s="207" t="str">
        <f>IFERROR(INDEX($A$2:$A$113,MATCH(ROWS($GN$2:GN84),$GN$2:$GN$113,0)),"")</f>
        <v>COHECHO Y TRAFICOS DE INFLUENCIAS  COMETIDO POR FUNCIONARIO PUBLICO</v>
      </c>
      <c r="KK84" s="207" t="str">
        <f>IFERROR(INDEX($A$2:$A$113,MATCH(ROWS($GO$2:GO84),$GO$2:$GO$113,0)),"")</f>
        <v>COHECHO Y TRAFICOS DE INFLUENCIAS  COMETIDO POR FUNCIONARIO PUBLICO</v>
      </c>
      <c r="KL84" s="207" t="str">
        <f>IFERROR(INDEX($A$2:$A$113,MATCH(ROWS($GP$2:GP84),$GP$2:$GP$113,0)),"")</f>
        <v>COHECHO Y TRAFICOS DE INFLUENCIAS  COMETIDO POR FUNCIONARIO PUBLICO</v>
      </c>
      <c r="KM84" s="207" t="str">
        <f>IFERROR(INDEX($A$2:$A$113,MATCH(ROWS($GQ$2:GQ84),$GQ$2:$GQ$113,0)),"")</f>
        <v>COHECHO Y TRAFICOS DE INFLUENCIAS  COMETIDO POR FUNCIONARIO PUBLICO</v>
      </c>
      <c r="KN84" s="207" t="str">
        <f>IFERROR(INDEX($A$2:$A$113,MATCH(ROWS($GR$2:GR84),$GR$2:$GR$113,0)),"")</f>
        <v>COHECHO Y TRAFICOS DE INFLUENCIAS  COMETIDO POR FUNCIONARIO PUBLICO</v>
      </c>
      <c r="KO84" s="207" t="str">
        <f>IFERROR(INDEX($A$2:$A$113,MATCH(ROWS($GS$2:GS84),$GS$2:$GS$113,0)),"")</f>
        <v>COHECHO Y TRAFICOS DE INFLUENCIAS  COMETIDO POR FUNCIONARIO PUBLICO</v>
      </c>
      <c r="KP84" s="207" t="str">
        <f>IFERROR(INDEX($A$2:$A$113,MATCH(ROWS($GT$2:GT84),$GT$2:$GT$113,0)),"")</f>
        <v>COHECHO Y TRAFICOS DE INFLUENCIAS  COMETIDO POR FUNCIONARIO PUBLICO</v>
      </c>
      <c r="KQ84" s="207" t="str">
        <f>IFERROR(INDEX($A$2:$A$113,MATCH(ROWS($GU$2:GU84),$GU$2:$GU$113,0)),"")</f>
        <v>COHECHO Y TRAFICOS DE INFLUENCIAS  COMETIDO POR FUNCIONARIO PUBLICO</v>
      </c>
      <c r="KR84" s="207" t="str">
        <f>IFERROR(INDEX($A$2:$A$113,MATCH(ROWS($GV$2:GV84),$GV$2:$GV$113,0)),"")</f>
        <v>COHECHO Y TRAFICOS DE INFLUENCIAS  COMETIDO POR FUNCIONARIO PUBLICO</v>
      </c>
      <c r="KS84" s="207" t="str">
        <f>IFERROR(INDEX($A$2:$A$113,MATCH(ROWS($GW$2:GW84),$GW$2:$GW$113,0)),"")</f>
        <v>COHECHO Y TRAFICOS DE INFLUENCIAS  COMETIDO POR FUNCIONARIO PUBLICO</v>
      </c>
    </row>
    <row r="85" spans="1:305" x14ac:dyDescent="0.25">
      <c r="A85" s="206" t="s">
        <v>24</v>
      </c>
      <c r="B85" s="206">
        <v>26</v>
      </c>
      <c r="D85" s="206" t="s">
        <v>24</v>
      </c>
      <c r="E85" s="206" t="s">
        <v>113</v>
      </c>
      <c r="F85" s="207">
        <f>--ISNUMBER(IFERROR(SEARCH('PLANILLA DJ'!$X$3,$A85,1),""))</f>
        <v>1</v>
      </c>
      <c r="G85" s="207">
        <f>--ISNUMBER(IFERROR(SEARCH('PLANILLA DJ'!$X$4,$A85,1),""))</f>
        <v>1</v>
      </c>
      <c r="H85" s="207">
        <f>--ISNUMBER(IFERROR(SEARCH('PLANILLA DJ'!$X$5,$A85,1),""))</f>
        <v>1</v>
      </c>
      <c r="I85" s="207">
        <f>--ISNUMBER(IFERROR(SEARCH('PLANILLA DJ'!$X$6,$A85,1),""))</f>
        <v>1</v>
      </c>
      <c r="J85" s="207">
        <f>--ISNUMBER(IFERROR(SEARCH('PLANILLA DJ'!$X$7,$A85,1),""))</f>
        <v>1</v>
      </c>
      <c r="K85" s="207">
        <f>--ISNUMBER(IFERROR(SEARCH('PLANILLA DJ'!$X$8,$A85,1),""))</f>
        <v>1</v>
      </c>
      <c r="L85" s="207">
        <f>--ISNUMBER(IFERROR(SEARCH('PLANILLA DJ'!$X$9,$A85,1),""))</f>
        <v>1</v>
      </c>
      <c r="M85" s="207">
        <f>--ISNUMBER(IFERROR(SEARCH('PLANILLA DJ'!$X$10,$A85,1),""))</f>
        <v>1</v>
      </c>
      <c r="N85" s="207">
        <f>--ISNUMBER(IFERROR(SEARCH('PLANILLA DJ'!$X$11,$A85,1),""))</f>
        <v>1</v>
      </c>
      <c r="O85" s="207">
        <f>--ISNUMBER(IFERROR(SEARCH('PLANILLA DJ'!$X$12,$A85,1),""))</f>
        <v>1</v>
      </c>
      <c r="P85" s="207">
        <f>--ISNUMBER(IFERROR(SEARCH('PLANILLA DJ'!$X$13,$A85,1),""))</f>
        <v>1</v>
      </c>
      <c r="Q85" s="207">
        <f>--ISNUMBER(IFERROR(SEARCH('PLANILLA DJ'!$X$14,$A85,1),""))</f>
        <v>1</v>
      </c>
      <c r="R85" s="207">
        <f>--ISNUMBER(IFERROR(SEARCH('PLANILLA DJ'!$X$15,$A85,1),""))</f>
        <v>1</v>
      </c>
      <c r="S85" s="207">
        <f>--ISNUMBER(IFERROR(SEARCH('PLANILLA DJ'!$X$16,$A85,1),""))</f>
        <v>1</v>
      </c>
      <c r="T85" s="207">
        <f>--ISNUMBER(IFERROR(SEARCH('PLANILLA DJ'!$X$17,$A85,1),""))</f>
        <v>1</v>
      </c>
      <c r="U85" s="207">
        <f>--ISNUMBER(IFERROR(SEARCH('PLANILLA DJ'!$X$18,$A85,1),""))</f>
        <v>1</v>
      </c>
      <c r="V85" s="207">
        <f>--ISNUMBER(IFERROR(SEARCH('PLANILLA DJ'!$X$19,$A85,1),""))</f>
        <v>1</v>
      </c>
      <c r="W85" s="207">
        <f>--ISNUMBER(IFERROR(SEARCH('PLANILLA DJ'!$X$20,$A85,1),""))</f>
        <v>1</v>
      </c>
      <c r="X85" s="207">
        <f>--ISNUMBER(IFERROR(SEARCH('PLANILLA DJ'!$X$21,$A85,1),""))</f>
        <v>1</v>
      </c>
      <c r="Y85" s="207">
        <f>--ISNUMBER(IFERROR(SEARCH('PLANILLA DJ'!$X$22,$A85,1),""))</f>
        <v>1</v>
      </c>
      <c r="Z85" s="207">
        <f>--ISNUMBER(IFERROR(SEARCH('PLANILLA DJ'!$X$23,$A85,1),""))</f>
        <v>1</v>
      </c>
      <c r="AA85" s="207">
        <f>--ISNUMBER(IFERROR(SEARCH('PLANILLA DJ'!$X$24,$A85,1),""))</f>
        <v>1</v>
      </c>
      <c r="AB85" s="207">
        <f>--ISNUMBER(IFERROR(SEARCH('PLANILLA DJ'!$X$25,$A85,1),""))</f>
        <v>1</v>
      </c>
      <c r="AC85" s="207">
        <f>--ISNUMBER(IFERROR(SEARCH('PLANILLA DJ'!$X$26,$A85,1),""))</f>
        <v>1</v>
      </c>
      <c r="AD85" s="207">
        <f>--ISNUMBER(IFERROR(SEARCH('PLANILLA DJ'!$X$27,$A85,1),""))</f>
        <v>1</v>
      </c>
      <c r="AE85" s="207">
        <f>--ISNUMBER(IFERROR(SEARCH('PLANILLA DJ'!$X$28,$A85,1),""))</f>
        <v>1</v>
      </c>
      <c r="AF85" s="207">
        <f>--ISNUMBER(IFERROR(SEARCH('PLANILLA DJ'!$X$29,$A85,1),""))</f>
        <v>1</v>
      </c>
      <c r="AG85" s="207">
        <f>--ISNUMBER(IFERROR(SEARCH('PLANILLA DJ'!$X$30,$A85,1),""))</f>
        <v>1</v>
      </c>
      <c r="AH85" s="207">
        <f>--ISNUMBER(IFERROR(SEARCH('PLANILLA DJ'!$X$31,$A85,1),""))</f>
        <v>1</v>
      </c>
      <c r="AI85" s="207">
        <f>--ISNUMBER(IFERROR(SEARCH('PLANILLA DJ'!$X$32,$A85,1),""))</f>
        <v>1</v>
      </c>
      <c r="AJ85" s="207">
        <f>--ISNUMBER(IFERROR(SEARCH('PLANILLA DJ'!$X$33,$A85,1),""))</f>
        <v>1</v>
      </c>
      <c r="AK85" s="207">
        <f>--ISNUMBER(IFERROR(SEARCH('PLANILLA DJ'!$X$34,$A85,1),""))</f>
        <v>1</v>
      </c>
      <c r="AL85" s="207">
        <f>--ISNUMBER(IFERROR(SEARCH('PLANILLA DJ'!$X$35,$A85,1),""))</f>
        <v>1</v>
      </c>
      <c r="AM85" s="207">
        <f>--ISNUMBER(IFERROR(SEARCH('PLANILLA DJ'!$X$36,$A85,1),""))</f>
        <v>1</v>
      </c>
      <c r="AN85" s="207">
        <f>--ISNUMBER(IFERROR(SEARCH('PLANILLA DJ'!$X$37,$A85,1),""))</f>
        <v>1</v>
      </c>
      <c r="AO85" s="207">
        <f>--ISNUMBER(IFERROR(SEARCH('PLANILLA DJ'!$X$38,$A85,1),""))</f>
        <v>1</v>
      </c>
      <c r="AP85" s="207">
        <f>--ISNUMBER(IFERROR(SEARCH('PLANILLA DJ'!$X$39,$A85,1),""))</f>
        <v>1</v>
      </c>
      <c r="AQ85" s="207">
        <f>--ISNUMBER(IFERROR(SEARCH('PLANILLA DJ'!$X$40,$A85,1),""))</f>
        <v>1</v>
      </c>
      <c r="AR85" s="207">
        <f>--ISNUMBER(IFERROR(SEARCH('PLANILLA DJ'!$X$41,$A85,1),""))</f>
        <v>1</v>
      </c>
      <c r="AS85" s="207">
        <f>--ISNUMBER(IFERROR(SEARCH('PLANILLA DJ'!$X$42,$A85,1),""))</f>
        <v>1</v>
      </c>
      <c r="AT85" s="207">
        <f>--ISNUMBER(IFERROR(SEARCH('PLANILLA DJ'!$X$43,$A85,1),""))</f>
        <v>1</v>
      </c>
      <c r="AU85" s="207">
        <f>--ISNUMBER(IFERROR(SEARCH('PLANILLA DJ'!$X$44,$A85,1),""))</f>
        <v>1</v>
      </c>
      <c r="AV85" s="207">
        <f>--ISNUMBER(IFERROR(SEARCH('PLANILLA DJ'!$X$45,$A85,1),""))</f>
        <v>1</v>
      </c>
      <c r="AW85" s="207">
        <f>--ISNUMBER(IFERROR(SEARCH('PLANILLA DJ'!$X$46,$A85,1),""))</f>
        <v>1</v>
      </c>
      <c r="AX85" s="207">
        <f>--ISNUMBER(IFERROR(SEARCH('PLANILLA DJ'!$X$47,$A85,1),""))</f>
        <v>1</v>
      </c>
      <c r="AY85" s="207">
        <f>--ISNUMBER(IFERROR(SEARCH('PLANILLA DJ'!$X$48,$A85,1),""))</f>
        <v>1</v>
      </c>
      <c r="AZ85" s="207">
        <f>--ISNUMBER(IFERROR(SEARCH('PLANILLA DJ'!$X$49,$A85,1),""))</f>
        <v>1</v>
      </c>
      <c r="BA85" s="207">
        <f>--ISNUMBER(IFERROR(SEARCH('PLANILLA DJ'!$X$50,$A85,1),""))</f>
        <v>1</v>
      </c>
      <c r="BB85" s="207">
        <f>--ISNUMBER(IFERROR(SEARCH('PLANILLA DJ'!$X$51,$A85,1),""))</f>
        <v>1</v>
      </c>
      <c r="BC85" s="207">
        <f>--ISNUMBER(IFERROR(SEARCH('PLANILLA DJ'!$X$52,$A85,1),""))</f>
        <v>1</v>
      </c>
      <c r="BD85" s="207">
        <f>--ISNUMBER(IFERROR(SEARCH('PLANILLA DJ'!$X$53,$A85,1),""))</f>
        <v>1</v>
      </c>
      <c r="BE85" s="207">
        <f>--ISNUMBER(IFERROR(SEARCH('PLANILLA DJ'!$X$54,$A85,1),""))</f>
        <v>1</v>
      </c>
      <c r="BF85" s="207">
        <f>--ISNUMBER(IFERROR(SEARCH('PLANILLA DJ'!$X$55,$A85,1),""))</f>
        <v>1</v>
      </c>
      <c r="BG85" s="207">
        <f>--ISNUMBER(IFERROR(SEARCH('PLANILLA DJ'!$X$56,$A85,1),""))</f>
        <v>1</v>
      </c>
      <c r="BH85" s="207">
        <f>--ISNUMBER(IFERROR(SEARCH('PLANILLA DJ'!$X$57,$A85,1),""))</f>
        <v>1</v>
      </c>
      <c r="BI85" s="207">
        <f>--ISNUMBER(IFERROR(SEARCH('PLANILLA DJ'!$X$58,$A85,1),""))</f>
        <v>1</v>
      </c>
      <c r="BJ85" s="207">
        <f>--ISNUMBER(IFERROR(SEARCH('PLANILLA DJ'!$X$59,$A85,1),""))</f>
        <v>1</v>
      </c>
      <c r="BK85" s="207">
        <f>--ISNUMBER(IFERROR(SEARCH('PLANILLA DJ'!$X$60,$A85,1),""))</f>
        <v>1</v>
      </c>
      <c r="BL85" s="207">
        <f>--ISNUMBER(IFERROR(SEARCH('PLANILLA DJ'!$X$61,$A85,1),""))</f>
        <v>1</v>
      </c>
      <c r="BM85" s="207">
        <f>--ISNUMBER(IFERROR(SEARCH('PLANILLA DJ'!$X$62,$A85,1),""))</f>
        <v>1</v>
      </c>
      <c r="BN85" s="207">
        <f>--ISNUMBER(IFERROR(SEARCH('PLANILLA DJ'!$X$63,$A85,1),""))</f>
        <v>1</v>
      </c>
      <c r="BO85" s="207">
        <f>--ISNUMBER(IFERROR(SEARCH('PLANILLA DJ'!$X$64,$A85,1),""))</f>
        <v>1</v>
      </c>
      <c r="BP85" s="207">
        <f>--ISNUMBER(IFERROR(SEARCH('PLANILLA DJ'!$X$65,$A85,1),""))</f>
        <v>1</v>
      </c>
      <c r="BQ85" s="207">
        <f>--ISNUMBER(IFERROR(SEARCH('PLANILLA DJ'!$X$66,$A85,1),""))</f>
        <v>1</v>
      </c>
      <c r="BR85" s="207">
        <f>--ISNUMBER(IFERROR(SEARCH('PLANILLA DJ'!$X$67,$A85,1),""))</f>
        <v>1</v>
      </c>
      <c r="BS85" s="207">
        <f>--ISNUMBER(IFERROR(SEARCH('PLANILLA DJ'!$X$68,$A85,1),""))</f>
        <v>1</v>
      </c>
      <c r="BT85" s="207">
        <f>--ISNUMBER(IFERROR(SEARCH('PLANILLA DJ'!$X$69,$A85,1),""))</f>
        <v>1</v>
      </c>
      <c r="BU85" s="207">
        <f>--ISNUMBER(IFERROR(SEARCH('PLANILLA DJ'!$X$70,$A85,1),""))</f>
        <v>1</v>
      </c>
      <c r="BV85" s="207">
        <f>--ISNUMBER(IFERROR(SEARCH('PLANILLA DJ'!$X$71,$A85,1),""))</f>
        <v>1</v>
      </c>
      <c r="BW85" s="207">
        <f>--ISNUMBER(IFERROR(SEARCH('PLANILLA DJ'!$X$72,$A85,1),""))</f>
        <v>1</v>
      </c>
      <c r="BX85" s="207">
        <f>--ISNUMBER(IFERROR(SEARCH('PLANILLA DJ'!$X$73,$A85,1),""))</f>
        <v>1</v>
      </c>
      <c r="BY85" s="207">
        <f>--ISNUMBER(IFERROR(SEARCH('PLANILLA DJ'!$X$74,$A85,1),""))</f>
        <v>1</v>
      </c>
      <c r="BZ85" s="207">
        <f>--ISNUMBER(IFERROR(SEARCH('PLANILLA DJ'!$X$75,$A85,1),""))</f>
        <v>1</v>
      </c>
      <c r="CA85" s="207">
        <f>--ISNUMBER(IFERROR(SEARCH('PLANILLA DJ'!$X$76,$A85,1),""))</f>
        <v>1</v>
      </c>
      <c r="CB85" s="207">
        <f>--ISNUMBER(IFERROR(SEARCH('PLANILLA DJ'!$X$77,$A85,1),""))</f>
        <v>1</v>
      </c>
      <c r="CC85" s="207">
        <f>--ISNUMBER(IFERROR(SEARCH('PLANILLA DJ'!$X$78,$A85,1),""))</f>
        <v>1</v>
      </c>
      <c r="CD85" s="207">
        <f>--ISNUMBER(IFERROR(SEARCH('PLANILLA DJ'!$X$79,$A85,1),""))</f>
        <v>1</v>
      </c>
      <c r="CE85" s="207">
        <f>--ISNUMBER(IFERROR(SEARCH('PLANILLA DJ'!$X$80,$A85,1),""))</f>
        <v>1</v>
      </c>
      <c r="CF85" s="207">
        <f>--ISNUMBER(IFERROR(SEARCH('PLANILLA DJ'!$X$81,$A85,1),""))</f>
        <v>1</v>
      </c>
      <c r="CG85" s="207">
        <f>--ISNUMBER(IFERROR(SEARCH('PLANILLA DJ'!$X$82,$A85,1),""))</f>
        <v>1</v>
      </c>
      <c r="CH85" s="207">
        <f>--ISNUMBER(IFERROR(SEARCH('PLANILLA DJ'!$X$83,$A85,1),""))</f>
        <v>1</v>
      </c>
      <c r="CI85" s="207">
        <f>--ISNUMBER(IFERROR(SEARCH('PLANILLA DJ'!$X$84,$A85,1),""))</f>
        <v>1</v>
      </c>
      <c r="CJ85" s="207">
        <f>--ISNUMBER(IFERROR(SEARCH('PLANILLA DJ'!$X$85,$A85,1),""))</f>
        <v>1</v>
      </c>
      <c r="CK85" s="207">
        <f>--ISNUMBER(IFERROR(SEARCH('PLANILLA DJ'!$X$86,$A85,1),""))</f>
        <v>1</v>
      </c>
      <c r="CL85" s="207">
        <f>--ISNUMBER(IFERROR(SEARCH('PLANILLA DJ'!$X$87,$A85,1),""))</f>
        <v>1</v>
      </c>
      <c r="CM85" s="207">
        <f>--ISNUMBER(IFERROR(SEARCH('PLANILLA DJ'!$X$88,$A85,1),""))</f>
        <v>1</v>
      </c>
      <c r="CN85" s="207">
        <f>--ISNUMBER(IFERROR(SEARCH('PLANILLA DJ'!$X$89,$A85,1),""))</f>
        <v>1</v>
      </c>
      <c r="CO85" s="207">
        <f>--ISNUMBER(IFERROR(SEARCH('PLANILLA DJ'!$X$90,$A85,1),""))</f>
        <v>1</v>
      </c>
      <c r="CP85" s="207">
        <f>--ISNUMBER(IFERROR(SEARCH('PLANILLA DJ'!$X$91,$A85,1),""))</f>
        <v>1</v>
      </c>
      <c r="CQ85" s="207">
        <f>--ISNUMBER(IFERROR(SEARCH('PLANILLA DJ'!$X$92,$A85,1),""))</f>
        <v>1</v>
      </c>
      <c r="CR85" s="207">
        <f>--ISNUMBER(IFERROR(SEARCH('PLANILLA DJ'!$X$93,$A85,1),""))</f>
        <v>1</v>
      </c>
      <c r="CS85" s="207">
        <f>--ISNUMBER(IFERROR(SEARCH('PLANILLA DJ'!$X$94,$A85,1),""))</f>
        <v>1</v>
      </c>
      <c r="CT85" s="207">
        <f>--ISNUMBER(IFERROR(SEARCH('PLANILLA DJ'!$X$95,$A85,1),""))</f>
        <v>1</v>
      </c>
      <c r="CU85" s="207">
        <f>--ISNUMBER(IFERROR(SEARCH('PLANILLA DJ'!$X$96,$A85,1),""))</f>
        <v>1</v>
      </c>
      <c r="CV85" s="207">
        <f>--ISNUMBER(IFERROR(SEARCH('PLANILLA DJ'!$X$97,$A85,1),""))</f>
        <v>1</v>
      </c>
      <c r="CW85" s="207">
        <f>--ISNUMBER(IFERROR(SEARCH('PLANILLA DJ'!$X$98,$A85,1),""))</f>
        <v>1</v>
      </c>
      <c r="CX85" s="207">
        <f>--ISNUMBER(IFERROR(SEARCH('PLANILLA DJ'!$X$99,$A85,1),""))</f>
        <v>1</v>
      </c>
      <c r="CY85" s="207">
        <f>--ISNUMBER(IFERROR(SEARCH('PLANILLA DJ'!$X$100,$A85,1),""))</f>
        <v>1</v>
      </c>
      <c r="CZ85" s="207">
        <f>--ISNUMBER(IFERROR(SEARCH('PLANILLA DJ'!$X$101,$A85,1),""))</f>
        <v>1</v>
      </c>
      <c r="DA85" s="207">
        <f>--ISNUMBER(IFERROR(SEARCH('PLANILLA DJ'!$X$102,$A85,1),""))</f>
        <v>1</v>
      </c>
      <c r="DB85" s="206">
        <f>IF(F85=1,COUNTIF($F$2:F85,1),"")</f>
        <v>84</v>
      </c>
      <c r="DC85" s="206">
        <f>IF(G85=1,COUNTIF($G$2:G85,1),"")</f>
        <v>84</v>
      </c>
      <c r="DD85" s="206">
        <f>IF(H85=1,COUNTIF($H$2:H85,1),"")</f>
        <v>84</v>
      </c>
      <c r="DE85" s="206">
        <f>IF(I85=1,COUNTIF($I$2:I85,1),"")</f>
        <v>84</v>
      </c>
      <c r="DF85" s="206">
        <f>IF(J85=1,COUNTIF($J$2:J85,1),"")</f>
        <v>84</v>
      </c>
      <c r="DG85" s="206">
        <f>IF(K85=1,COUNTIF($K$2:K85,1),"")</f>
        <v>84</v>
      </c>
      <c r="DH85" s="206">
        <f>IF(L85=1,COUNTIF($L$2:L85,1),"")</f>
        <v>84</v>
      </c>
      <c r="DI85" s="206">
        <f>IF(M85=1,COUNTIF($M$2:M85,1),"")</f>
        <v>84</v>
      </c>
      <c r="DJ85" s="206">
        <f>IF(N85=1,COUNTIF($N$2:N85,1),"")</f>
        <v>84</v>
      </c>
      <c r="DK85" s="206">
        <f>IF(O85=1,COUNTIF($O$2:O85,1),"")</f>
        <v>84</v>
      </c>
      <c r="DL85" s="206">
        <f>IF(P85=1,COUNTIF($P$2:P85,1),"")</f>
        <v>84</v>
      </c>
      <c r="DM85" s="206">
        <f>IF(Q85=1,COUNTIF($Q$2:Q85,1),"")</f>
        <v>84</v>
      </c>
      <c r="DN85" s="207">
        <f>IF(R85=1,COUNTIF($R$2:R85,1),"")</f>
        <v>84</v>
      </c>
      <c r="DO85" s="207">
        <f>IF(S85=1,COUNTIF($S$2:S85,1),"")</f>
        <v>84</v>
      </c>
      <c r="DP85" s="207">
        <f>IF(T85=1,COUNTIF($T$2:T85,1),"")</f>
        <v>84</v>
      </c>
      <c r="DQ85" s="207">
        <f>IF(U85=1,COUNTIF($U$2:U85,1),"")</f>
        <v>84</v>
      </c>
      <c r="DR85" s="207">
        <f>IF(V85=1,COUNTIF($V$2:V85,1),"")</f>
        <v>84</v>
      </c>
      <c r="DS85" s="207">
        <f>IF(W85=1,COUNTIF($W$2:W85,1),"")</f>
        <v>84</v>
      </c>
      <c r="DT85" s="207">
        <f>IF(X85=1,COUNTIF($X$2:X85,1),"")</f>
        <v>84</v>
      </c>
      <c r="DU85" s="207">
        <f>IF(Y85=1,COUNTIF($Y$2:Y85,1),"")</f>
        <v>84</v>
      </c>
      <c r="DV85" s="207">
        <f>IF(Z85=1,COUNTIF(Z$2:Z85,1),"")</f>
        <v>84</v>
      </c>
      <c r="DW85" s="207">
        <f>IF(AA85=1,COUNTIF($AA$2:AA85,1),"")</f>
        <v>84</v>
      </c>
      <c r="DX85" s="207">
        <f>IF(AB85=1,COUNTIF($AB$2:AB85,1),"")</f>
        <v>84</v>
      </c>
      <c r="DY85" s="207">
        <f>IF(AC85=1,COUNTIF($AC$2:AC85,1),"")</f>
        <v>84</v>
      </c>
      <c r="DZ85" s="207">
        <f>IF(AD85=1,COUNTIF($AD$2:AD85,1),"")</f>
        <v>84</v>
      </c>
      <c r="EA85" s="207">
        <f>IF(AE85=1,COUNTIF($AE$2:AE85,1),"")</f>
        <v>84</v>
      </c>
      <c r="EB85" s="207">
        <f>IF(AF85=1,COUNTIF($AF$2:AF85,1),"")</f>
        <v>84</v>
      </c>
      <c r="EC85" s="207">
        <f>IF(AG85=1,COUNTIF($AG$2:AG85,1),"")</f>
        <v>84</v>
      </c>
      <c r="ED85" s="207">
        <f>IF(AH85=1,COUNTIF($AH$2:AH85,1),"")</f>
        <v>84</v>
      </c>
      <c r="EE85" s="207">
        <f>IF(AI85=1,COUNTIF($AI$2:AI85,1),"")</f>
        <v>84</v>
      </c>
      <c r="EF85" s="207">
        <f>IF(AJ85=1,COUNTIF($AJ$2:AJ85,1),"")</f>
        <v>84</v>
      </c>
      <c r="EG85" s="207">
        <f>IF(AK85=1,COUNTIF($AK$2:AK85,1),"")</f>
        <v>84</v>
      </c>
      <c r="EH85" s="207">
        <f>IF(AL85=1,COUNTIF($AL$2:AL85,1),"")</f>
        <v>84</v>
      </c>
      <c r="EI85" s="207">
        <f>IF(AM85=1,COUNTIF($AM$2:AM85,1),"")</f>
        <v>84</v>
      </c>
      <c r="EJ85" s="207">
        <f>IF(AN85=1,COUNTIF($AN$2:AN85,1),"")</f>
        <v>84</v>
      </c>
      <c r="EK85" s="207">
        <f>IF(AO85=1,COUNTIF($AO$2:AO85,1),"")</f>
        <v>84</v>
      </c>
      <c r="EL85" s="207">
        <f>IF(AP85=1,COUNTIF($AP$2:AP85,1),"")</f>
        <v>84</v>
      </c>
      <c r="EM85" s="207">
        <f>IF(AQ85=1,COUNTIF($AQ$2:AQ85,1),"")</f>
        <v>84</v>
      </c>
      <c r="EN85" s="207">
        <f>IF(AR85=1,COUNTIF($AR$2:AR85,1),"")</f>
        <v>84</v>
      </c>
      <c r="EO85" s="207">
        <f>IF(AS85=1,COUNTIF($AS$2:AS85,1),"")</f>
        <v>84</v>
      </c>
      <c r="EP85" s="207">
        <f>IF(AT85=1,COUNTIF($AT$2:AT85,1),"")</f>
        <v>84</v>
      </c>
      <c r="EQ85" s="207">
        <f>IF(AU85=1,COUNTIF($AU$2:AU85,1),"")</f>
        <v>84</v>
      </c>
      <c r="ER85" s="207">
        <f>IF(AV85=1,COUNTIF($AV$2:AV85,1),"")</f>
        <v>84</v>
      </c>
      <c r="ES85" s="207">
        <f>IF(AW85=1,COUNTIF($AW$2:AW85,1),"")</f>
        <v>84</v>
      </c>
      <c r="ET85" s="207">
        <f>IF(AX85=1,COUNTIF($AX$2:AX85,1),"")</f>
        <v>84</v>
      </c>
      <c r="EU85" s="207">
        <f>IF(AY85=1,COUNTIF($AY$2:AY85,1),"")</f>
        <v>84</v>
      </c>
      <c r="EV85" s="207">
        <f>IF(AZ85=1,COUNTIF($AZ$2:AZ85,1),"")</f>
        <v>84</v>
      </c>
      <c r="EW85" s="207">
        <f>IF(BA85=1,COUNTIF($BA$2:BA85,1),"")</f>
        <v>84</v>
      </c>
      <c r="EX85" s="207">
        <f>IF(BB85=1,COUNTIF($BB$2:BB85,1),"")</f>
        <v>84</v>
      </c>
      <c r="EY85" s="207">
        <f>IF(BC85=1,COUNTIF($BC$2:BC85,1),"")</f>
        <v>84</v>
      </c>
      <c r="EZ85" s="207">
        <f>IF(BD85=1,COUNTIF($BD$2:BD85,1),"")</f>
        <v>84</v>
      </c>
      <c r="FA85" s="207">
        <f>IF(BE85=1,COUNTIF($BE$2:BE85,1),"")</f>
        <v>84</v>
      </c>
      <c r="FB85" s="207">
        <f>IF(BF85=1,COUNTIF($BF$2:BF85,1),"")</f>
        <v>84</v>
      </c>
      <c r="FC85" s="207">
        <f>IF(BG85=1,COUNTIF($BG$2:BG85,1),"")</f>
        <v>84</v>
      </c>
      <c r="FD85" s="207">
        <f>IF(BH85=1,COUNTIF($BH$2:BH85,1),"")</f>
        <v>84</v>
      </c>
      <c r="FE85" s="207">
        <f>IF(BI85=1,COUNTIF($BI$2:BI85,1),"")</f>
        <v>84</v>
      </c>
      <c r="FF85" s="207">
        <f>IF(BJ85=1,COUNTIF($BJ$2:BJ85,1),"")</f>
        <v>84</v>
      </c>
      <c r="FG85" s="207">
        <f>IF(BK85=1,COUNTIF($BK$2:BK85,1),"")</f>
        <v>84</v>
      </c>
      <c r="FH85" s="207">
        <f>IF(BL85=1,COUNTIF($BL$2:BL85,1),"")</f>
        <v>84</v>
      </c>
      <c r="FI85" s="207">
        <f>IF(BM85=1,COUNTIF($BM$2:BM85,1),"")</f>
        <v>84</v>
      </c>
      <c r="FJ85" s="207">
        <f>IF(BN85=1,COUNTIF($BN$2:BN85,1),"")</f>
        <v>84</v>
      </c>
      <c r="FK85" s="207">
        <f>IF(BO85=1,COUNTIF($BO$2:BO85,1),"")</f>
        <v>84</v>
      </c>
      <c r="FL85" s="207">
        <f>IF(BP85=1,COUNTIF($BP$2:BP85,1),"")</f>
        <v>84</v>
      </c>
      <c r="FM85" s="207">
        <f>IF(BQ85=1,COUNTIF($BQ$2:BQ85,1),"")</f>
        <v>84</v>
      </c>
      <c r="FN85" s="207">
        <f>IF(BR85=1,COUNTIF($BR$2:BR85,1),"")</f>
        <v>84</v>
      </c>
      <c r="FO85" s="207">
        <f>IF(BS85=1,COUNTIF($BS$2:BS85,1),"")</f>
        <v>84</v>
      </c>
      <c r="FP85" s="207">
        <f>IF(BT85=1,COUNTIF($BT$2:BT85,1),"")</f>
        <v>84</v>
      </c>
      <c r="FQ85" s="207">
        <f>IF(BU85=1,COUNTIF($BU$2:BU85,1),"")</f>
        <v>84</v>
      </c>
      <c r="FR85" s="207">
        <f>IF(BV85=1,COUNTIF($BV$2:BV85,1),"")</f>
        <v>84</v>
      </c>
      <c r="FS85" s="207">
        <f>IF(BW85=1,COUNTIF($BW$2:BW85,1),"")</f>
        <v>84</v>
      </c>
      <c r="FT85" s="207">
        <f>IF(BX85=1,COUNTIF($BX$2:BX85,1),"")</f>
        <v>84</v>
      </c>
      <c r="FU85" s="207">
        <f>IF(BY85=1,COUNTIF($BY$2:BY85,1),"")</f>
        <v>84</v>
      </c>
      <c r="FV85" s="207">
        <f>IF(BZ85=1,COUNTIF($BZ$2:BZ85,1),"")</f>
        <v>84</v>
      </c>
      <c r="FW85" s="207">
        <f>IF(CA85=1,COUNTIF($CA$2:CA85,1),"")</f>
        <v>84</v>
      </c>
      <c r="FX85" s="207">
        <f>IF(CB85=1,COUNTIF($CB$2:CB85,1),"")</f>
        <v>84</v>
      </c>
      <c r="FY85" s="207">
        <f>IF(CC85=1,COUNTIF($CC$2:CC85,1),"")</f>
        <v>84</v>
      </c>
      <c r="FZ85" s="207">
        <f>IF(CD85=1,COUNTIF($CD$2:CD85,1),"")</f>
        <v>84</v>
      </c>
      <c r="GA85" s="207">
        <f>IF(CE85=1,COUNTIF($CE$2:CE85,1),"")</f>
        <v>84</v>
      </c>
      <c r="GB85" s="207">
        <f>IF(CF85=1,COUNTIF($CF$2:CF85,1),"")</f>
        <v>84</v>
      </c>
      <c r="GC85" s="207">
        <f>IF(CG85=1,COUNTIF($CG$2:CG85,1),"")</f>
        <v>84</v>
      </c>
      <c r="GD85" s="207">
        <f>IF(CH85=1,COUNTIF($CH$2:CH85,1),"")</f>
        <v>84</v>
      </c>
      <c r="GE85" s="207">
        <f>IF(CI85=1,COUNTIF($CI$2:CI85,1),"")</f>
        <v>84</v>
      </c>
      <c r="GF85" s="207">
        <f>IF(CJ85=1,COUNTIF($CJ$2:CJ85,1),"")</f>
        <v>84</v>
      </c>
      <c r="GG85" s="207">
        <f>IF(CK85=1,COUNTIF($CK$2:CK85,1),"")</f>
        <v>84</v>
      </c>
      <c r="GH85" s="207">
        <f>IF(CL85=1,COUNTIF($CL$2:CL85,1),"")</f>
        <v>84</v>
      </c>
      <c r="GI85" s="207">
        <f>IF(CM85=1,COUNTIF($CM$2:CM85,1),"")</f>
        <v>84</v>
      </c>
      <c r="GJ85" s="207">
        <f>IF(CN85=1,COUNTIF($CN$2:CN85,1),"")</f>
        <v>84</v>
      </c>
      <c r="GK85" s="207">
        <f>IF(CO85=1,COUNTIF($CO$2:CO85,1),"")</f>
        <v>84</v>
      </c>
      <c r="GL85" s="207">
        <f>IF(CP85=1,COUNTIF($CP$2:CP85,1),"")</f>
        <v>84</v>
      </c>
      <c r="GM85" s="207">
        <f>IF(CQ85=1,COUNTIF($CQ$2:CQ85,1),"")</f>
        <v>84</v>
      </c>
      <c r="GN85" s="207">
        <f>IF(CR85=1,COUNTIF($CR$2:CR85,1),"")</f>
        <v>84</v>
      </c>
      <c r="GO85" s="207">
        <f>IF(CS85=1,COUNTIF($CS$2:CS85,1),"")</f>
        <v>84</v>
      </c>
      <c r="GP85" s="207">
        <f>IF(CT85=1,COUNTIF($CT$2:CT85,1),"")</f>
        <v>84</v>
      </c>
      <c r="GQ85" s="207">
        <f>IF(CU85=1,COUNTIF($CU$2:CU85,1),"")</f>
        <v>84</v>
      </c>
      <c r="GR85" s="207">
        <f>IF(CV85=1,COUNTIF($CV$2:CV85,1),"")</f>
        <v>84</v>
      </c>
      <c r="GS85" s="207">
        <f>IF(CW85=1,COUNTIF($CW$2:CW85,1),"")</f>
        <v>84</v>
      </c>
      <c r="GT85" s="207">
        <f>IF(CX85=1,COUNTIF($CX$2:CX85,1),"")</f>
        <v>84</v>
      </c>
      <c r="GU85" s="207">
        <f>IF(CY85=1,COUNTIF($CY$2:CY85,1),"")</f>
        <v>84</v>
      </c>
      <c r="GV85" s="207">
        <f>IF(CZ85=1,COUNTIF($CZ$2:CZ85,1),"")</f>
        <v>84</v>
      </c>
      <c r="GW85" s="207">
        <f>IF(DA85=1,COUNTIF($DA$2:DA85,1),"")</f>
        <v>84</v>
      </c>
      <c r="GX85" s="206" t="str">
        <f>IFERROR(INDEX($A$2:$A$113,MATCH(ROWS($DB$2:DB85),$DB$2:$DB$113,0)),"")</f>
        <v>EXACCIONES ILEGALES</v>
      </c>
      <c r="GY85" s="206" t="str">
        <f>IFERROR(INDEX($A$2:$A$113,MATCH(ROWS($DC$2:DC85),$DC$2:$DC$113,0)),"")</f>
        <v>EXACCIONES ILEGALES</v>
      </c>
      <c r="GZ85" s="206" t="str">
        <f>IFERROR(INDEX($A$2:$A$113,MATCH(ROWS($DD$2:DD85),$DD$2:$DD$113,0)),"")</f>
        <v>EXACCIONES ILEGALES</v>
      </c>
      <c r="HA85" s="206" t="str">
        <f>IFERROR(INDEX($A$2:$A$113,MATCH(ROWS($DE$2:DE85),$DE$2:$DE$113,0)),"")</f>
        <v>EXACCIONES ILEGALES</v>
      </c>
      <c r="HB85" s="206" t="str">
        <f>IFERROR(INDEX($A$2:$A$113,MATCH(ROWS($DF$2:DF85),$DF$2:$DF$113,0)),"")</f>
        <v>EXACCIONES ILEGALES</v>
      </c>
      <c r="HC85" s="206" t="str">
        <f>IFERROR(INDEX($A$2:$A$113,MATCH(ROWS($DG$2:DG85),$DG$2:$DG$113,0)),"")</f>
        <v>EXACCIONES ILEGALES</v>
      </c>
      <c r="HD85" s="206" t="str">
        <f>IFERROR(INDEX($A$2:$A$113,MATCH(ROWS($DH$2:DH85),$DH$2:$DH$113,0)),"")</f>
        <v>EXACCIONES ILEGALES</v>
      </c>
      <c r="HE85" s="206" t="str">
        <f>IFERROR(INDEX($A$2:$A$113,MATCH(ROWS($DI$2:DI85),$DI$2:$DI$113,0)),"")</f>
        <v>EXACCIONES ILEGALES</v>
      </c>
      <c r="HF85" s="206" t="str">
        <f>IFERROR(INDEX($A$2:$A$113,MATCH(ROWS($DJ$2:DJ85),$DJ$2:$DJ$113,0)),"")</f>
        <v>EXACCIONES ILEGALES</v>
      </c>
      <c r="HG85" s="206" t="str">
        <f>IFERROR(INDEX($A$2:$A$113,MATCH(ROWS($DK$2:DK85),$DK$2:$DK$113,0)),"")</f>
        <v>EXACCIONES ILEGALES</v>
      </c>
      <c r="HH85" s="206" t="str">
        <f>IFERROR(INDEX($A$2:$A$113,MATCH(ROWS($DL$2:DL85),$DL$2:$DL$113,0)),"")</f>
        <v>EXACCIONES ILEGALES</v>
      </c>
      <c r="HI85" s="206" t="str">
        <f>IFERROR(INDEX($A$2:$A$113,MATCH(ROWS($DM$2:DM85),$DM$2:$DM$113,0)),"")</f>
        <v>EXACCIONES ILEGALES</v>
      </c>
      <c r="HJ85" s="206" t="str">
        <f>IFERROR(INDEX($A$2:$A$113,MATCH(ROWS($DN$2:DN85),$DN$2:$DN$113,0)),"")</f>
        <v>EXACCIONES ILEGALES</v>
      </c>
      <c r="HK85" s="206" t="str">
        <f>IFERROR(INDEX($A$2:$A$113,MATCH(ROWS($DO$2:DO85),$DO$2:$DO$113,0)),"")</f>
        <v>EXACCIONES ILEGALES</v>
      </c>
      <c r="HL85" s="206" t="str">
        <f>IFERROR(INDEX($A$2:$A$113,MATCH(ROWS($DP$2:DP85),$DP$2:$DP$113,0)),"")</f>
        <v>EXACCIONES ILEGALES</v>
      </c>
      <c r="HM85" s="206" t="str">
        <f>IFERROR(INDEX($A$2:$A$113,MATCH(ROWS($DQ$2:DQ85),$DQ$2:$DQ$113,0)),"")</f>
        <v>EXACCIONES ILEGALES</v>
      </c>
      <c r="HN85" s="206" t="str">
        <f>IFERROR(INDEX($A$2:$A$113,MATCH(ROWS($DR$2:DR85),$DR$2:$DR$113,0)),"")</f>
        <v>EXACCIONES ILEGALES</v>
      </c>
      <c r="HO85" s="206" t="str">
        <f>IFERROR(INDEX($A$2:$A$113,MATCH(ROWS($DS$2:DS85),$DS$2:$DS$113,0)),"")</f>
        <v>EXACCIONES ILEGALES</v>
      </c>
      <c r="HP85" s="206" t="str">
        <f>IFERROR(INDEX($A$2:$A$113,MATCH(ROWS($DT$2:DT85),$DT$2:$DT$113,0)),"")</f>
        <v>EXACCIONES ILEGALES</v>
      </c>
      <c r="HQ85" s="206" t="str">
        <f>IFERROR(INDEX($A$2:$A$113,MATCH(ROWS($DU$2:DU85),$DU$2:$DU$113,0)),"")</f>
        <v>EXACCIONES ILEGALES</v>
      </c>
      <c r="HR85" s="206" t="str">
        <f>IFERROR(INDEX($A$2:$A$113,MATCH(ROWS($DV$2:DV85),$DV$2:$DV$113,0)),"")</f>
        <v>EXACCIONES ILEGALES</v>
      </c>
      <c r="HS85" s="206" t="str">
        <f>IFERROR(INDEX($A$2:$A$113,MATCH(ROWS($DW$2:DW85),$DW$2:$DW$113,0)),"")</f>
        <v>EXACCIONES ILEGALES</v>
      </c>
      <c r="HT85" s="206" t="str">
        <f>IFERROR(INDEX($A$2:$A$113,MATCH(ROWS($DX$2:DX85),$DX$2:$DX$113,0)),"")</f>
        <v>EXACCIONES ILEGALES</v>
      </c>
      <c r="HU85" s="206" t="str">
        <f>IFERROR(INDEX($A$2:$A$113,MATCH(ROWS($DY$2:DY85),$DY$2:$DY$113,0)),"")</f>
        <v>EXACCIONES ILEGALES</v>
      </c>
      <c r="HV85" s="206" t="str">
        <f>IFERROR(INDEX($A$2:$A$113,MATCH(ROWS($DZ$2:DZ85),$DZ$2:$DZ$113,0)),"")</f>
        <v>EXACCIONES ILEGALES</v>
      </c>
      <c r="HW85" s="206" t="str">
        <f>IFERROR(INDEX($A$2:$A$113,MATCH(ROWS($EA$2:EA85),$EA$2:$EA$113,0)),"")</f>
        <v>EXACCIONES ILEGALES</v>
      </c>
      <c r="HX85" s="206" t="str">
        <f>IFERROR(INDEX($A$2:$A$113,MATCH(ROWS($EB$2:EB85),$EB$2:$EB$113,0)),"")</f>
        <v>EXACCIONES ILEGALES</v>
      </c>
      <c r="HY85" s="206" t="str">
        <f>IFERROR(INDEX($A$2:$A$113,MATCH(ROWS($EC$2:EC85),$EC$2:$EC$113,0)),"")</f>
        <v>EXACCIONES ILEGALES</v>
      </c>
      <c r="HZ85" s="206" t="str">
        <f>IFERROR(INDEX($A$2:$A$113,MATCH(ROWS($ED$2:ED85),$ED$2:$ED$113,0)),"")</f>
        <v>EXACCIONES ILEGALES</v>
      </c>
      <c r="IA85" s="206" t="str">
        <f>IFERROR(INDEX($A$2:$A$113,MATCH(ROWS($EE$2:EE85),$EE$2:$EE$113,0)),"")</f>
        <v>EXACCIONES ILEGALES</v>
      </c>
      <c r="IB85" s="206" t="str">
        <f>IFERROR(INDEX($A$2:$A$113,MATCH(ROWS($EF$2:EF85),$EF$2:$EF$113,0)),"")</f>
        <v>EXACCIONES ILEGALES</v>
      </c>
      <c r="IC85" s="206" t="str">
        <f>IFERROR(INDEX($A$2:$A$113,MATCH(ROWS($EG$2:EG85),$EG$2:$EG$113,0)),"")</f>
        <v>EXACCIONES ILEGALES</v>
      </c>
      <c r="ID85" s="206" t="str">
        <f>IFERROR(INDEX($A$2:$A$113,MATCH(ROWS($EH$2:EH85),$EH$2:$EH$113,0)),"")</f>
        <v>EXACCIONES ILEGALES</v>
      </c>
      <c r="IE85" s="206" t="str">
        <f>IFERROR(INDEX($A$2:$A$113,MATCH(ROWS($EI$2:EI85),$EI$2:$EI$113,0)),"")</f>
        <v>EXACCIONES ILEGALES</v>
      </c>
      <c r="IF85" s="206" t="str">
        <f>IFERROR(INDEX($A$2:$A$113,MATCH(ROWS($EJ$2:EJ85),$EJ$2:$EJ$113,0)),"")</f>
        <v>EXACCIONES ILEGALES</v>
      </c>
      <c r="IG85" s="206" t="str">
        <f>IFERROR(INDEX($A$2:$A$113,MATCH(ROWS($EK$2:EK85),$EK$2:$EK$113,0)),"")</f>
        <v>EXACCIONES ILEGALES</v>
      </c>
      <c r="IH85" s="206" t="str">
        <f>IFERROR(INDEX($A$2:$A$113,MATCH(ROWS($EL$2:EL85),$EL$2:$EL$113,0)),"")</f>
        <v>EXACCIONES ILEGALES</v>
      </c>
      <c r="II85" s="206" t="str">
        <f>IFERROR(INDEX($A$2:$A$113,MATCH(ROWS($EM$2:EM85),$EM$2:$EM$113,0)),"")</f>
        <v>EXACCIONES ILEGALES</v>
      </c>
      <c r="IJ85" s="206" t="str">
        <f>IFERROR(INDEX($A$2:$A$113,MATCH(ROWS($EN$2:EN85),$EN$2:$EN$113,0)),"")</f>
        <v>EXACCIONES ILEGALES</v>
      </c>
      <c r="IK85" s="207" t="str">
        <f>IFERROR(INDEX($A$2:$A$113,MATCH(ROWS($EO$2:EO85),$EO$2:$EO$113,0)),"")</f>
        <v>EXACCIONES ILEGALES</v>
      </c>
      <c r="IL85" s="207" t="str">
        <f>IFERROR(INDEX($A$2:$A$113,MATCH(ROWS($EP$2:EP85),$EP$2:$EP$113,0)),"")</f>
        <v>EXACCIONES ILEGALES</v>
      </c>
      <c r="IM85" s="207" t="str">
        <f>IFERROR(INDEX($A$2:$A$113,MATCH(ROWS($EQ$2:EQ85),$EQ$2:$EQ$113,0)),"")</f>
        <v>EXACCIONES ILEGALES</v>
      </c>
      <c r="IN85" s="207" t="str">
        <f>IFERROR(INDEX($A$2:$A$113,MATCH(ROWS($ER$2:ER85),$ER$2:$ER$113,0)),"")</f>
        <v>EXACCIONES ILEGALES</v>
      </c>
      <c r="IO85" s="207" t="str">
        <f>IFERROR(INDEX($A$2:$A$113,MATCH(ROWS($ES$2:ES85),$ES$2:$ES$113,0)),"")</f>
        <v>EXACCIONES ILEGALES</v>
      </c>
      <c r="IP85" s="207" t="str">
        <f>IFERROR(INDEX($A$2:$A$113,MATCH(ROWS($ET$2:ET85),$ET$2:$ET$113,0)),"")</f>
        <v>EXACCIONES ILEGALES</v>
      </c>
      <c r="IQ85" s="207" t="str">
        <f>IFERROR(INDEX($A$2:$A$113,MATCH(ROWS($EU$2:EU85),$EU$2:$EU$113,0)),"")</f>
        <v>EXACCIONES ILEGALES</v>
      </c>
      <c r="IR85" s="207" t="str">
        <f>IFERROR(INDEX($A$2:$A$113,MATCH(ROWS($EV$2:EV85),$EV$2:$EV$113,0)),"")</f>
        <v>EXACCIONES ILEGALES</v>
      </c>
      <c r="IS85" s="207" t="str">
        <f>IFERROR(INDEX($A$2:$A$113,MATCH(ROWS($EW$2:EW85),$EW$2:$EW$113,0)),"")</f>
        <v>EXACCIONES ILEGALES</v>
      </c>
      <c r="IT85" s="207" t="str">
        <f>IFERROR(INDEX($A$2:$A$113,MATCH(ROWS($EX$2:EX85),$EX$2:$EX$113,0)),"")</f>
        <v>EXACCIONES ILEGALES</v>
      </c>
      <c r="IU85" s="207" t="str">
        <f>IFERROR(INDEX($A$2:$A$113,MATCH(ROWS($EY$2:EY85),$EY$2:$EY$113,0)),"")</f>
        <v>EXACCIONES ILEGALES</v>
      </c>
      <c r="IV85" s="207" t="str">
        <f>IFERROR(INDEX($A$2:$A$113,MATCH(ROWS($EZ$2:EZ85),$EZ$2:$EZ$113,0)),"")</f>
        <v>EXACCIONES ILEGALES</v>
      </c>
      <c r="IW85" s="207" t="str">
        <f>IFERROR(INDEX($A$2:$A$113,MATCH(ROWS($FA$2:FA85),$FA$2:$FA$113,0)),"")</f>
        <v>EXACCIONES ILEGALES</v>
      </c>
      <c r="IX85" s="207" t="str">
        <f>IFERROR(INDEX($A$2:$A$113,MATCH(ROWS($FB$2:FB85),$FB$2:$FB$113,0)),"")</f>
        <v>EXACCIONES ILEGALES</v>
      </c>
      <c r="IY85" s="207" t="str">
        <f>IFERROR(INDEX($A$2:$A$113,MATCH(ROWS($FC$2:FC85),$FC$2:$FC$113,0)),"")</f>
        <v>EXACCIONES ILEGALES</v>
      </c>
      <c r="IZ85" s="207" t="str">
        <f>IFERROR(INDEX($A$2:$A$113,MATCH(ROWS($FD$2:FD85),$FD$2:$FD$113,0)),"")</f>
        <v>EXACCIONES ILEGALES</v>
      </c>
      <c r="JA85" s="207" t="str">
        <f>IFERROR(INDEX($A$2:$A$113,MATCH(ROWS($FE$2:FE85),$FE$2:$FE$113,0)),"")</f>
        <v>EXACCIONES ILEGALES</v>
      </c>
      <c r="JB85" s="207" t="str">
        <f>IFERROR(INDEX($A$2:$A$113,MATCH(ROWS($FF$2:FF85),$FF$2:$FF$113,0)),"")</f>
        <v>EXACCIONES ILEGALES</v>
      </c>
      <c r="JC85" s="207" t="str">
        <f>IFERROR(INDEX($A$2:$A$113,MATCH(ROWS($FG$2:FG85),$FG$2:$FG$113,0)),"")</f>
        <v>EXACCIONES ILEGALES</v>
      </c>
      <c r="JD85" s="207" t="str">
        <f>IFERROR(INDEX($A$2:$A$113,MATCH(ROWS($FH$2:FH85),$FH$2:$FH$113,0)),"")</f>
        <v>EXACCIONES ILEGALES</v>
      </c>
      <c r="JE85" s="207" t="str">
        <f>IFERROR(INDEX($A$2:$A$113,MATCH(ROWS($FI$2:FI85),$FI$2:$FI$113,0)),"")</f>
        <v>EXACCIONES ILEGALES</v>
      </c>
      <c r="JF85" s="207" t="str">
        <f>IFERROR(INDEX($A$2:$A$113,MATCH(ROWS($FJ$2:FJ85),$FJ$2:$FJ$113,0)),"")</f>
        <v>EXACCIONES ILEGALES</v>
      </c>
      <c r="JG85" s="207" t="str">
        <f>IFERROR(INDEX($A$2:$A$113,MATCH(ROWS($FK$2:FK85),$FK$2:$FK$113,0)),"")</f>
        <v>EXACCIONES ILEGALES</v>
      </c>
      <c r="JH85" s="207" t="str">
        <f>IFERROR(INDEX($A$2:$A$113,MATCH(ROWS($FL$2:FL85),$FL$2:$FL$113,0)),"")</f>
        <v>EXACCIONES ILEGALES</v>
      </c>
      <c r="JI85" s="207" t="str">
        <f>IFERROR(INDEX($A$2:$A$113,MATCH(ROWS($FM$2:FM85),$FM$2:$FM$113,0)),"")</f>
        <v>EXACCIONES ILEGALES</v>
      </c>
      <c r="JJ85" s="207" t="str">
        <f>IFERROR(INDEX($A$2:$A$113,MATCH(ROWS($FN$2:FN85),$FN$2:$FN$113,0)),"")</f>
        <v>EXACCIONES ILEGALES</v>
      </c>
      <c r="JK85" s="207" t="str">
        <f>IFERROR(INDEX($A$2:$A$113,MATCH(ROWS($FO$2:FO85),$FO$2:$FO$113,0)),"")</f>
        <v>EXACCIONES ILEGALES</v>
      </c>
      <c r="JL85" s="207" t="str">
        <f>IFERROR(INDEX($A$2:$A$113,MATCH(ROWS($FP$2:FP85),$FP$2:$FP$113,0)),"")</f>
        <v>EXACCIONES ILEGALES</v>
      </c>
      <c r="JM85" s="207" t="str">
        <f>IFERROR(INDEX($A$2:$A$113,MATCH(ROWS($FQ$2:FQ85),$FQ$2:$FQ$113,0)),"")</f>
        <v>EXACCIONES ILEGALES</v>
      </c>
      <c r="JN85" s="207" t="str">
        <f>IFERROR(INDEX($A$2:$A$113,MATCH(ROWS($FR$2:FR85),$FR$2:$FR$113,0)),"")</f>
        <v>EXACCIONES ILEGALES</v>
      </c>
      <c r="JO85" s="207" t="str">
        <f>IFERROR(INDEX($A$2:$A$113,MATCH(ROWS($FS$2:FS85),$FS$2:$FS$113,0)),"")</f>
        <v>EXACCIONES ILEGALES</v>
      </c>
      <c r="JP85" s="207" t="str">
        <f>IFERROR(INDEX($A$2:$A$113,MATCH(ROWS($FT$2:FT85),$FT$2:$FT$113,0)),"")</f>
        <v>EXACCIONES ILEGALES</v>
      </c>
      <c r="JQ85" s="207" t="str">
        <f>IFERROR(INDEX($A$2:$A$113,MATCH(ROWS($FU$2:FU85),$FU$2:$FU$113,0)),"")</f>
        <v>EXACCIONES ILEGALES</v>
      </c>
      <c r="JR85" s="207" t="str">
        <f>IFERROR(INDEX($A$2:$A$113,MATCH(ROWS($FV$2:FV85),$FV$2:$FV$113,0)),"")</f>
        <v>EXACCIONES ILEGALES</v>
      </c>
      <c r="JS85" s="207" t="str">
        <f>IFERROR(INDEX($A$2:$A$113,MATCH(ROWS($FW$2:FW85),$FW$2:$FW$113,0)),"")</f>
        <v>EXACCIONES ILEGALES</v>
      </c>
      <c r="JT85" s="207" t="str">
        <f>IFERROR(INDEX($A$2:$A$113,MATCH(ROWS($FX$2:FX85),$FX$2:$FX$113,0)),"")</f>
        <v>EXACCIONES ILEGALES</v>
      </c>
      <c r="JU85" s="207" t="str">
        <f>IFERROR(INDEX($A$2:$A$113,MATCH(ROWS($FY$2:FY85),$FY$2:$FY$113,0)),"")</f>
        <v>EXACCIONES ILEGALES</v>
      </c>
      <c r="JV85" s="207" t="str">
        <f>IFERROR(INDEX($A$2:$A$113,MATCH(ROWS($FZ$2:FZ85),$FZ$2:$FZ$113,0)),"")</f>
        <v>EXACCIONES ILEGALES</v>
      </c>
      <c r="JW85" s="207" t="str">
        <f>IFERROR(INDEX($A$2:$A$113,MATCH(ROWS($GA$2:GA85),$GA$2:$GA$113,0)),"")</f>
        <v>EXACCIONES ILEGALES</v>
      </c>
      <c r="JX85" s="207" t="str">
        <f>IFERROR(INDEX($A$2:$A$113,MATCH(ROWS($GB$2:GB85),$GB$2:$GB$113,0)),"")</f>
        <v>EXACCIONES ILEGALES</v>
      </c>
      <c r="JY85" s="207" t="str">
        <f>IFERROR(INDEX($A$2:$A$113,MATCH(ROWS($GC$2:GC85),$GC$2:$GC$113,0)),"")</f>
        <v>EXACCIONES ILEGALES</v>
      </c>
      <c r="JZ85" s="207" t="str">
        <f>IFERROR(INDEX($A$2:$A$113,MATCH(ROWS($GD$2:GD85),$GD$2:$GD$113,0)),"")</f>
        <v>EXACCIONES ILEGALES</v>
      </c>
      <c r="KA85" s="207" t="str">
        <f>IFERROR(INDEX($A$2:$A$113,MATCH(ROWS($GE$2:GE85),$GE$2:$GE$113,0)),"")</f>
        <v>EXACCIONES ILEGALES</v>
      </c>
      <c r="KB85" s="207" t="str">
        <f>IFERROR(INDEX($A$2:$A$113,MATCH(ROWS($GF$2:GF85),$GF$2:$GF$113,0)),"")</f>
        <v>EXACCIONES ILEGALES</v>
      </c>
      <c r="KC85" s="207" t="str">
        <f>IFERROR(INDEX($A$2:$A$113,MATCH(ROWS($GG$2:GG85),$GG$2:$GG$113,0)),"")</f>
        <v>EXACCIONES ILEGALES</v>
      </c>
      <c r="KD85" s="207" t="str">
        <f>IFERROR(INDEX($A$2:$A$113,MATCH(ROWS($GH$2:GH85),$GH$2:$GH$113,0)),"")</f>
        <v>EXACCIONES ILEGALES</v>
      </c>
      <c r="KE85" s="207" t="str">
        <f>IFERROR(INDEX($A$2:$A$113,MATCH(ROWS($GI$2:GI85),$GI$2:$GI$113,0)),"")</f>
        <v>EXACCIONES ILEGALES</v>
      </c>
      <c r="KF85" s="207" t="str">
        <f>IFERROR(INDEX($A$2:$A$113,MATCH(ROWS($GJ$2:GJ85),$GJ$2:$GJ$113,0)),"")</f>
        <v>EXACCIONES ILEGALES</v>
      </c>
      <c r="KG85" s="207" t="str">
        <f>IFERROR(INDEX($A$2:$A$113,MATCH(ROWS($GK$2:GK85),$GK$2:$GK$113,0)),"")</f>
        <v>EXACCIONES ILEGALES</v>
      </c>
      <c r="KH85" s="207" t="str">
        <f>IFERROR(INDEX($A$2:$A$113,MATCH(ROWS($GL$2:GL85),$GL$2:$GL$113,0)),"")</f>
        <v>EXACCIONES ILEGALES</v>
      </c>
      <c r="KI85" s="207" t="str">
        <f>IFERROR(INDEX($A$2:$A$113,MATCH(ROWS($GM$2:GM85),$GM$2:$GM$113,0)),"")</f>
        <v>EXACCIONES ILEGALES</v>
      </c>
      <c r="KJ85" s="207" t="str">
        <f>IFERROR(INDEX($A$2:$A$113,MATCH(ROWS($GN$2:GN85),$GN$2:$GN$113,0)),"")</f>
        <v>EXACCIONES ILEGALES</v>
      </c>
      <c r="KK85" s="207" t="str">
        <f>IFERROR(INDEX($A$2:$A$113,MATCH(ROWS($GO$2:GO85),$GO$2:$GO$113,0)),"")</f>
        <v>EXACCIONES ILEGALES</v>
      </c>
      <c r="KL85" s="207" t="str">
        <f>IFERROR(INDEX($A$2:$A$113,MATCH(ROWS($GP$2:GP85),$GP$2:$GP$113,0)),"")</f>
        <v>EXACCIONES ILEGALES</v>
      </c>
      <c r="KM85" s="207" t="str">
        <f>IFERROR(INDEX($A$2:$A$113,MATCH(ROWS($GQ$2:GQ85),$GQ$2:$GQ$113,0)),"")</f>
        <v>EXACCIONES ILEGALES</v>
      </c>
      <c r="KN85" s="207" t="str">
        <f>IFERROR(INDEX($A$2:$A$113,MATCH(ROWS($GR$2:GR85),$GR$2:$GR$113,0)),"")</f>
        <v>EXACCIONES ILEGALES</v>
      </c>
      <c r="KO85" s="207" t="str">
        <f>IFERROR(INDEX($A$2:$A$113,MATCH(ROWS($GS$2:GS85),$GS$2:$GS$113,0)),"")</f>
        <v>EXACCIONES ILEGALES</v>
      </c>
      <c r="KP85" s="207" t="str">
        <f>IFERROR(INDEX($A$2:$A$113,MATCH(ROWS($GT$2:GT85),$GT$2:$GT$113,0)),"")</f>
        <v>EXACCIONES ILEGALES</v>
      </c>
      <c r="KQ85" s="207" t="str">
        <f>IFERROR(INDEX($A$2:$A$113,MATCH(ROWS($GU$2:GU85),$GU$2:$GU$113,0)),"")</f>
        <v>EXACCIONES ILEGALES</v>
      </c>
      <c r="KR85" s="207" t="str">
        <f>IFERROR(INDEX($A$2:$A$113,MATCH(ROWS($GV$2:GV85),$GV$2:$GV$113,0)),"")</f>
        <v>EXACCIONES ILEGALES</v>
      </c>
      <c r="KS85" s="207" t="str">
        <f>IFERROR(INDEX($A$2:$A$113,MATCH(ROWS($GW$2:GW85),$GW$2:$GW$113,0)),"")</f>
        <v>EXACCIONES ILEGALES</v>
      </c>
    </row>
    <row r="86" spans="1:305" x14ac:dyDescent="0.25">
      <c r="A86" s="206" t="s">
        <v>25</v>
      </c>
      <c r="B86" s="206">
        <v>26</v>
      </c>
      <c r="D86" s="206" t="s">
        <v>25</v>
      </c>
      <c r="E86" s="206" t="s">
        <v>113</v>
      </c>
      <c r="F86" s="207">
        <f>--ISNUMBER(IFERROR(SEARCH('PLANILLA DJ'!$X$3,$A86,1),""))</f>
        <v>1</v>
      </c>
      <c r="G86" s="207">
        <f>--ISNUMBER(IFERROR(SEARCH('PLANILLA DJ'!$X$4,$A86,1),""))</f>
        <v>1</v>
      </c>
      <c r="H86" s="207">
        <f>--ISNUMBER(IFERROR(SEARCH('PLANILLA DJ'!$X$5,$A86,1),""))</f>
        <v>1</v>
      </c>
      <c r="I86" s="207">
        <f>--ISNUMBER(IFERROR(SEARCH('PLANILLA DJ'!$X$6,$A86,1),""))</f>
        <v>1</v>
      </c>
      <c r="J86" s="207">
        <f>--ISNUMBER(IFERROR(SEARCH('PLANILLA DJ'!$X$7,$A86,1),""))</f>
        <v>1</v>
      </c>
      <c r="K86" s="207">
        <f>--ISNUMBER(IFERROR(SEARCH('PLANILLA DJ'!$X$8,$A86,1),""))</f>
        <v>1</v>
      </c>
      <c r="L86" s="207">
        <f>--ISNUMBER(IFERROR(SEARCH('PLANILLA DJ'!$X$9,$A86,1),""))</f>
        <v>1</v>
      </c>
      <c r="M86" s="207">
        <f>--ISNUMBER(IFERROR(SEARCH('PLANILLA DJ'!$X$10,$A86,1),""))</f>
        <v>1</v>
      </c>
      <c r="N86" s="207">
        <f>--ISNUMBER(IFERROR(SEARCH('PLANILLA DJ'!$X$11,$A86,1),""))</f>
        <v>1</v>
      </c>
      <c r="O86" s="207">
        <f>--ISNUMBER(IFERROR(SEARCH('PLANILLA DJ'!$X$12,$A86,1),""))</f>
        <v>1</v>
      </c>
      <c r="P86" s="207">
        <f>--ISNUMBER(IFERROR(SEARCH('PLANILLA DJ'!$X$13,$A86,1),""))</f>
        <v>1</v>
      </c>
      <c r="Q86" s="207">
        <f>--ISNUMBER(IFERROR(SEARCH('PLANILLA DJ'!$X$14,$A86,1),""))</f>
        <v>1</v>
      </c>
      <c r="R86" s="207">
        <f>--ISNUMBER(IFERROR(SEARCH('PLANILLA DJ'!$X$15,$A86,1),""))</f>
        <v>1</v>
      </c>
      <c r="S86" s="207">
        <f>--ISNUMBER(IFERROR(SEARCH('PLANILLA DJ'!$X$16,$A86,1),""))</f>
        <v>1</v>
      </c>
      <c r="T86" s="207">
        <f>--ISNUMBER(IFERROR(SEARCH('PLANILLA DJ'!$X$17,$A86,1),""))</f>
        <v>1</v>
      </c>
      <c r="U86" s="207">
        <f>--ISNUMBER(IFERROR(SEARCH('PLANILLA DJ'!$X$18,$A86,1),""))</f>
        <v>1</v>
      </c>
      <c r="V86" s="207">
        <f>--ISNUMBER(IFERROR(SEARCH('PLANILLA DJ'!$X$19,$A86,1),""))</f>
        <v>1</v>
      </c>
      <c r="W86" s="207">
        <f>--ISNUMBER(IFERROR(SEARCH('PLANILLA DJ'!$X$20,$A86,1),""))</f>
        <v>1</v>
      </c>
      <c r="X86" s="207">
        <f>--ISNUMBER(IFERROR(SEARCH('PLANILLA DJ'!$X$21,$A86,1),""))</f>
        <v>1</v>
      </c>
      <c r="Y86" s="207">
        <f>--ISNUMBER(IFERROR(SEARCH('PLANILLA DJ'!$X$22,$A86,1),""))</f>
        <v>1</v>
      </c>
      <c r="Z86" s="207">
        <f>--ISNUMBER(IFERROR(SEARCH('PLANILLA DJ'!$X$23,$A86,1),""))</f>
        <v>1</v>
      </c>
      <c r="AA86" s="207">
        <f>--ISNUMBER(IFERROR(SEARCH('PLANILLA DJ'!$X$24,$A86,1),""))</f>
        <v>1</v>
      </c>
      <c r="AB86" s="207">
        <f>--ISNUMBER(IFERROR(SEARCH('PLANILLA DJ'!$X$25,$A86,1),""))</f>
        <v>1</v>
      </c>
      <c r="AC86" s="207">
        <f>--ISNUMBER(IFERROR(SEARCH('PLANILLA DJ'!$X$26,$A86,1),""))</f>
        <v>1</v>
      </c>
      <c r="AD86" s="207">
        <f>--ISNUMBER(IFERROR(SEARCH('PLANILLA DJ'!$X$27,$A86,1),""))</f>
        <v>1</v>
      </c>
      <c r="AE86" s="207">
        <f>--ISNUMBER(IFERROR(SEARCH('PLANILLA DJ'!$X$28,$A86,1),""))</f>
        <v>1</v>
      </c>
      <c r="AF86" s="207">
        <f>--ISNUMBER(IFERROR(SEARCH('PLANILLA DJ'!$X$29,$A86,1),""))</f>
        <v>1</v>
      </c>
      <c r="AG86" s="207">
        <f>--ISNUMBER(IFERROR(SEARCH('PLANILLA DJ'!$X$30,$A86,1),""))</f>
        <v>1</v>
      </c>
      <c r="AH86" s="207">
        <f>--ISNUMBER(IFERROR(SEARCH('PLANILLA DJ'!$X$31,$A86,1),""))</f>
        <v>1</v>
      </c>
      <c r="AI86" s="207">
        <f>--ISNUMBER(IFERROR(SEARCH('PLANILLA DJ'!$X$32,$A86,1),""))</f>
        <v>1</v>
      </c>
      <c r="AJ86" s="207">
        <f>--ISNUMBER(IFERROR(SEARCH('PLANILLA DJ'!$X$33,$A86,1),""))</f>
        <v>1</v>
      </c>
      <c r="AK86" s="207">
        <f>--ISNUMBER(IFERROR(SEARCH('PLANILLA DJ'!$X$34,$A86,1),""))</f>
        <v>1</v>
      </c>
      <c r="AL86" s="207">
        <f>--ISNUMBER(IFERROR(SEARCH('PLANILLA DJ'!$X$35,$A86,1),""))</f>
        <v>1</v>
      </c>
      <c r="AM86" s="207">
        <f>--ISNUMBER(IFERROR(SEARCH('PLANILLA DJ'!$X$36,$A86,1),""))</f>
        <v>1</v>
      </c>
      <c r="AN86" s="207">
        <f>--ISNUMBER(IFERROR(SEARCH('PLANILLA DJ'!$X$37,$A86,1),""))</f>
        <v>1</v>
      </c>
      <c r="AO86" s="207">
        <f>--ISNUMBER(IFERROR(SEARCH('PLANILLA DJ'!$X$38,$A86,1),""))</f>
        <v>1</v>
      </c>
      <c r="AP86" s="207">
        <f>--ISNUMBER(IFERROR(SEARCH('PLANILLA DJ'!$X$39,$A86,1),""))</f>
        <v>1</v>
      </c>
      <c r="AQ86" s="207">
        <f>--ISNUMBER(IFERROR(SEARCH('PLANILLA DJ'!$X$40,$A86,1),""))</f>
        <v>1</v>
      </c>
      <c r="AR86" s="207">
        <f>--ISNUMBER(IFERROR(SEARCH('PLANILLA DJ'!$X$41,$A86,1),""))</f>
        <v>1</v>
      </c>
      <c r="AS86" s="207">
        <f>--ISNUMBER(IFERROR(SEARCH('PLANILLA DJ'!$X$42,$A86,1),""))</f>
        <v>1</v>
      </c>
      <c r="AT86" s="207">
        <f>--ISNUMBER(IFERROR(SEARCH('PLANILLA DJ'!$X$43,$A86,1),""))</f>
        <v>1</v>
      </c>
      <c r="AU86" s="207">
        <f>--ISNUMBER(IFERROR(SEARCH('PLANILLA DJ'!$X$44,$A86,1),""))</f>
        <v>1</v>
      </c>
      <c r="AV86" s="207">
        <f>--ISNUMBER(IFERROR(SEARCH('PLANILLA DJ'!$X$45,$A86,1),""))</f>
        <v>1</v>
      </c>
      <c r="AW86" s="207">
        <f>--ISNUMBER(IFERROR(SEARCH('PLANILLA DJ'!$X$46,$A86,1),""))</f>
        <v>1</v>
      </c>
      <c r="AX86" s="207">
        <f>--ISNUMBER(IFERROR(SEARCH('PLANILLA DJ'!$X$47,$A86,1),""))</f>
        <v>1</v>
      </c>
      <c r="AY86" s="207">
        <f>--ISNUMBER(IFERROR(SEARCH('PLANILLA DJ'!$X$48,$A86,1),""))</f>
        <v>1</v>
      </c>
      <c r="AZ86" s="207">
        <f>--ISNUMBER(IFERROR(SEARCH('PLANILLA DJ'!$X$49,$A86,1),""))</f>
        <v>1</v>
      </c>
      <c r="BA86" s="207">
        <f>--ISNUMBER(IFERROR(SEARCH('PLANILLA DJ'!$X$50,$A86,1),""))</f>
        <v>1</v>
      </c>
      <c r="BB86" s="207">
        <f>--ISNUMBER(IFERROR(SEARCH('PLANILLA DJ'!$X$51,$A86,1),""))</f>
        <v>1</v>
      </c>
      <c r="BC86" s="207">
        <f>--ISNUMBER(IFERROR(SEARCH('PLANILLA DJ'!$X$52,$A86,1),""))</f>
        <v>1</v>
      </c>
      <c r="BD86" s="207">
        <f>--ISNUMBER(IFERROR(SEARCH('PLANILLA DJ'!$X$53,$A86,1),""))</f>
        <v>1</v>
      </c>
      <c r="BE86" s="207">
        <f>--ISNUMBER(IFERROR(SEARCH('PLANILLA DJ'!$X$54,$A86,1),""))</f>
        <v>1</v>
      </c>
      <c r="BF86" s="207">
        <f>--ISNUMBER(IFERROR(SEARCH('PLANILLA DJ'!$X$55,$A86,1),""))</f>
        <v>1</v>
      </c>
      <c r="BG86" s="207">
        <f>--ISNUMBER(IFERROR(SEARCH('PLANILLA DJ'!$X$56,$A86,1),""))</f>
        <v>1</v>
      </c>
      <c r="BH86" s="207">
        <f>--ISNUMBER(IFERROR(SEARCH('PLANILLA DJ'!$X$57,$A86,1),""))</f>
        <v>1</v>
      </c>
      <c r="BI86" s="207">
        <f>--ISNUMBER(IFERROR(SEARCH('PLANILLA DJ'!$X$58,$A86,1),""))</f>
        <v>1</v>
      </c>
      <c r="BJ86" s="207">
        <f>--ISNUMBER(IFERROR(SEARCH('PLANILLA DJ'!$X$59,$A86,1),""))</f>
        <v>1</v>
      </c>
      <c r="BK86" s="207">
        <f>--ISNUMBER(IFERROR(SEARCH('PLANILLA DJ'!$X$60,$A86,1),""))</f>
        <v>1</v>
      </c>
      <c r="BL86" s="207">
        <f>--ISNUMBER(IFERROR(SEARCH('PLANILLA DJ'!$X$61,$A86,1),""))</f>
        <v>1</v>
      </c>
      <c r="BM86" s="207">
        <f>--ISNUMBER(IFERROR(SEARCH('PLANILLA DJ'!$X$62,$A86,1),""))</f>
        <v>1</v>
      </c>
      <c r="BN86" s="207">
        <f>--ISNUMBER(IFERROR(SEARCH('PLANILLA DJ'!$X$63,$A86,1),""))</f>
        <v>1</v>
      </c>
      <c r="BO86" s="207">
        <f>--ISNUMBER(IFERROR(SEARCH('PLANILLA DJ'!$X$64,$A86,1),""))</f>
        <v>1</v>
      </c>
      <c r="BP86" s="207">
        <f>--ISNUMBER(IFERROR(SEARCH('PLANILLA DJ'!$X$65,$A86,1),""))</f>
        <v>1</v>
      </c>
      <c r="BQ86" s="207">
        <f>--ISNUMBER(IFERROR(SEARCH('PLANILLA DJ'!$X$66,$A86,1),""))</f>
        <v>1</v>
      </c>
      <c r="BR86" s="207">
        <f>--ISNUMBER(IFERROR(SEARCH('PLANILLA DJ'!$X$67,$A86,1),""))</f>
        <v>1</v>
      </c>
      <c r="BS86" s="207">
        <f>--ISNUMBER(IFERROR(SEARCH('PLANILLA DJ'!$X$68,$A86,1),""))</f>
        <v>1</v>
      </c>
      <c r="BT86" s="207">
        <f>--ISNUMBER(IFERROR(SEARCH('PLANILLA DJ'!$X$69,$A86,1),""))</f>
        <v>1</v>
      </c>
      <c r="BU86" s="207">
        <f>--ISNUMBER(IFERROR(SEARCH('PLANILLA DJ'!$X$70,$A86,1),""))</f>
        <v>1</v>
      </c>
      <c r="BV86" s="207">
        <f>--ISNUMBER(IFERROR(SEARCH('PLANILLA DJ'!$X$71,$A86,1),""))</f>
        <v>1</v>
      </c>
      <c r="BW86" s="207">
        <f>--ISNUMBER(IFERROR(SEARCH('PLANILLA DJ'!$X$72,$A86,1),""))</f>
        <v>1</v>
      </c>
      <c r="BX86" s="207">
        <f>--ISNUMBER(IFERROR(SEARCH('PLANILLA DJ'!$X$73,$A86,1),""))</f>
        <v>1</v>
      </c>
      <c r="BY86" s="207">
        <f>--ISNUMBER(IFERROR(SEARCH('PLANILLA DJ'!$X$74,$A86,1),""))</f>
        <v>1</v>
      </c>
      <c r="BZ86" s="207">
        <f>--ISNUMBER(IFERROR(SEARCH('PLANILLA DJ'!$X$75,$A86,1),""))</f>
        <v>1</v>
      </c>
      <c r="CA86" s="207">
        <f>--ISNUMBER(IFERROR(SEARCH('PLANILLA DJ'!$X$76,$A86,1),""))</f>
        <v>1</v>
      </c>
      <c r="CB86" s="207">
        <f>--ISNUMBER(IFERROR(SEARCH('PLANILLA DJ'!$X$77,$A86,1),""))</f>
        <v>1</v>
      </c>
      <c r="CC86" s="207">
        <f>--ISNUMBER(IFERROR(SEARCH('PLANILLA DJ'!$X$78,$A86,1),""))</f>
        <v>1</v>
      </c>
      <c r="CD86" s="207">
        <f>--ISNUMBER(IFERROR(SEARCH('PLANILLA DJ'!$X$79,$A86,1),""))</f>
        <v>1</v>
      </c>
      <c r="CE86" s="207">
        <f>--ISNUMBER(IFERROR(SEARCH('PLANILLA DJ'!$X$80,$A86,1),""))</f>
        <v>1</v>
      </c>
      <c r="CF86" s="207">
        <f>--ISNUMBER(IFERROR(SEARCH('PLANILLA DJ'!$X$81,$A86,1),""))</f>
        <v>1</v>
      </c>
      <c r="CG86" s="207">
        <f>--ISNUMBER(IFERROR(SEARCH('PLANILLA DJ'!$X$82,$A86,1),""))</f>
        <v>1</v>
      </c>
      <c r="CH86" s="207">
        <f>--ISNUMBER(IFERROR(SEARCH('PLANILLA DJ'!$X$83,$A86,1),""))</f>
        <v>1</v>
      </c>
      <c r="CI86" s="207">
        <f>--ISNUMBER(IFERROR(SEARCH('PLANILLA DJ'!$X$84,$A86,1),""))</f>
        <v>1</v>
      </c>
      <c r="CJ86" s="207">
        <f>--ISNUMBER(IFERROR(SEARCH('PLANILLA DJ'!$X$85,$A86,1),""))</f>
        <v>1</v>
      </c>
      <c r="CK86" s="207">
        <f>--ISNUMBER(IFERROR(SEARCH('PLANILLA DJ'!$X$86,$A86,1),""))</f>
        <v>1</v>
      </c>
      <c r="CL86" s="207">
        <f>--ISNUMBER(IFERROR(SEARCH('PLANILLA DJ'!$X$87,$A86,1),""))</f>
        <v>1</v>
      </c>
      <c r="CM86" s="207">
        <f>--ISNUMBER(IFERROR(SEARCH('PLANILLA DJ'!$X$88,$A86,1),""))</f>
        <v>1</v>
      </c>
      <c r="CN86" s="207">
        <f>--ISNUMBER(IFERROR(SEARCH('PLANILLA DJ'!$X$89,$A86,1),""))</f>
        <v>1</v>
      </c>
      <c r="CO86" s="207">
        <f>--ISNUMBER(IFERROR(SEARCH('PLANILLA DJ'!$X$90,$A86,1),""))</f>
        <v>1</v>
      </c>
      <c r="CP86" s="207">
        <f>--ISNUMBER(IFERROR(SEARCH('PLANILLA DJ'!$X$91,$A86,1),""))</f>
        <v>1</v>
      </c>
      <c r="CQ86" s="207">
        <f>--ISNUMBER(IFERROR(SEARCH('PLANILLA DJ'!$X$92,$A86,1),""))</f>
        <v>1</v>
      </c>
      <c r="CR86" s="207">
        <f>--ISNUMBER(IFERROR(SEARCH('PLANILLA DJ'!$X$93,$A86,1),""))</f>
        <v>1</v>
      </c>
      <c r="CS86" s="207">
        <f>--ISNUMBER(IFERROR(SEARCH('PLANILLA DJ'!$X$94,$A86,1),""))</f>
        <v>1</v>
      </c>
      <c r="CT86" s="207">
        <f>--ISNUMBER(IFERROR(SEARCH('PLANILLA DJ'!$X$95,$A86,1),""))</f>
        <v>1</v>
      </c>
      <c r="CU86" s="207">
        <f>--ISNUMBER(IFERROR(SEARCH('PLANILLA DJ'!$X$96,$A86,1),""))</f>
        <v>1</v>
      </c>
      <c r="CV86" s="207">
        <f>--ISNUMBER(IFERROR(SEARCH('PLANILLA DJ'!$X$97,$A86,1),""))</f>
        <v>1</v>
      </c>
      <c r="CW86" s="207">
        <f>--ISNUMBER(IFERROR(SEARCH('PLANILLA DJ'!$X$98,$A86,1),""))</f>
        <v>1</v>
      </c>
      <c r="CX86" s="207">
        <f>--ISNUMBER(IFERROR(SEARCH('PLANILLA DJ'!$X$99,$A86,1),""))</f>
        <v>1</v>
      </c>
      <c r="CY86" s="207">
        <f>--ISNUMBER(IFERROR(SEARCH('PLANILLA DJ'!$X$100,$A86,1),""))</f>
        <v>1</v>
      </c>
      <c r="CZ86" s="207">
        <f>--ISNUMBER(IFERROR(SEARCH('PLANILLA DJ'!$X$101,$A86,1),""))</f>
        <v>1</v>
      </c>
      <c r="DA86" s="207">
        <f>--ISNUMBER(IFERROR(SEARCH('PLANILLA DJ'!$X$102,$A86,1),""))</f>
        <v>1</v>
      </c>
      <c r="DB86" s="206">
        <f>IF(F86=1,COUNTIF($F$2:F86,1),"")</f>
        <v>85</v>
      </c>
      <c r="DC86" s="206">
        <f>IF(G86=1,COUNTIF($G$2:G86,1),"")</f>
        <v>85</v>
      </c>
      <c r="DD86" s="206">
        <f>IF(H86=1,COUNTIF($H$2:H86,1),"")</f>
        <v>85</v>
      </c>
      <c r="DE86" s="206">
        <f>IF(I86=1,COUNTIF($I$2:I86,1),"")</f>
        <v>85</v>
      </c>
      <c r="DF86" s="206">
        <f>IF(J86=1,COUNTIF($J$2:J86,1),"")</f>
        <v>85</v>
      </c>
      <c r="DG86" s="206">
        <f>IF(K86=1,COUNTIF($K$2:K86,1),"")</f>
        <v>85</v>
      </c>
      <c r="DH86" s="206">
        <f>IF(L86=1,COUNTIF($L$2:L86,1),"")</f>
        <v>85</v>
      </c>
      <c r="DI86" s="206">
        <f>IF(M86=1,COUNTIF($M$2:M86,1),"")</f>
        <v>85</v>
      </c>
      <c r="DJ86" s="206">
        <f>IF(N86=1,COUNTIF($N$2:N86,1),"")</f>
        <v>85</v>
      </c>
      <c r="DK86" s="206">
        <f>IF(O86=1,COUNTIF($O$2:O86,1),"")</f>
        <v>85</v>
      </c>
      <c r="DL86" s="206">
        <f>IF(P86=1,COUNTIF($P$2:P86,1),"")</f>
        <v>85</v>
      </c>
      <c r="DM86" s="206">
        <f>IF(Q86=1,COUNTIF($Q$2:Q86,1),"")</f>
        <v>85</v>
      </c>
      <c r="DN86" s="207">
        <f>IF(R86=1,COUNTIF($R$2:R86,1),"")</f>
        <v>85</v>
      </c>
      <c r="DO86" s="207">
        <f>IF(S86=1,COUNTIF($S$2:S86,1),"")</f>
        <v>85</v>
      </c>
      <c r="DP86" s="207">
        <f>IF(T86=1,COUNTIF($T$2:T86,1),"")</f>
        <v>85</v>
      </c>
      <c r="DQ86" s="207">
        <f>IF(U86=1,COUNTIF($U$2:U86,1),"")</f>
        <v>85</v>
      </c>
      <c r="DR86" s="207">
        <f>IF(V86=1,COUNTIF($V$2:V86,1),"")</f>
        <v>85</v>
      </c>
      <c r="DS86" s="207">
        <f>IF(W86=1,COUNTIF($W$2:W86,1),"")</f>
        <v>85</v>
      </c>
      <c r="DT86" s="207">
        <f>IF(X86=1,COUNTIF($X$2:X86,1),"")</f>
        <v>85</v>
      </c>
      <c r="DU86" s="207">
        <f>IF(Y86=1,COUNTIF($Y$2:Y86,1),"")</f>
        <v>85</v>
      </c>
      <c r="DV86" s="207">
        <f>IF(Z86=1,COUNTIF(Z$2:Z86,1),"")</f>
        <v>85</v>
      </c>
      <c r="DW86" s="207">
        <f>IF(AA86=1,COUNTIF($AA$2:AA86,1),"")</f>
        <v>85</v>
      </c>
      <c r="DX86" s="207">
        <f>IF(AB86=1,COUNTIF($AB$2:AB86,1),"")</f>
        <v>85</v>
      </c>
      <c r="DY86" s="207">
        <f>IF(AC86=1,COUNTIF($AC$2:AC86,1),"")</f>
        <v>85</v>
      </c>
      <c r="DZ86" s="207">
        <f>IF(AD86=1,COUNTIF($AD$2:AD86,1),"")</f>
        <v>85</v>
      </c>
      <c r="EA86" s="207">
        <f>IF(AE86=1,COUNTIF($AE$2:AE86,1),"")</f>
        <v>85</v>
      </c>
      <c r="EB86" s="207">
        <f>IF(AF86=1,COUNTIF($AF$2:AF86,1),"")</f>
        <v>85</v>
      </c>
      <c r="EC86" s="207">
        <f>IF(AG86=1,COUNTIF($AG$2:AG86,1),"")</f>
        <v>85</v>
      </c>
      <c r="ED86" s="207">
        <f>IF(AH86=1,COUNTIF($AH$2:AH86,1),"")</f>
        <v>85</v>
      </c>
      <c r="EE86" s="207">
        <f>IF(AI86=1,COUNTIF($AI$2:AI86,1),"")</f>
        <v>85</v>
      </c>
      <c r="EF86" s="207">
        <f>IF(AJ86=1,COUNTIF($AJ$2:AJ86,1),"")</f>
        <v>85</v>
      </c>
      <c r="EG86" s="207">
        <f>IF(AK86=1,COUNTIF($AK$2:AK86,1),"")</f>
        <v>85</v>
      </c>
      <c r="EH86" s="207">
        <f>IF(AL86=1,COUNTIF($AL$2:AL86,1),"")</f>
        <v>85</v>
      </c>
      <c r="EI86" s="207">
        <f>IF(AM86=1,COUNTIF($AM$2:AM86,1),"")</f>
        <v>85</v>
      </c>
      <c r="EJ86" s="207">
        <f>IF(AN86=1,COUNTIF($AN$2:AN86,1),"")</f>
        <v>85</v>
      </c>
      <c r="EK86" s="207">
        <f>IF(AO86=1,COUNTIF($AO$2:AO86,1),"")</f>
        <v>85</v>
      </c>
      <c r="EL86" s="207">
        <f>IF(AP86=1,COUNTIF($AP$2:AP86,1),"")</f>
        <v>85</v>
      </c>
      <c r="EM86" s="207">
        <f>IF(AQ86=1,COUNTIF($AQ$2:AQ86,1),"")</f>
        <v>85</v>
      </c>
      <c r="EN86" s="207">
        <f>IF(AR86=1,COUNTIF($AR$2:AR86,1),"")</f>
        <v>85</v>
      </c>
      <c r="EO86" s="207">
        <f>IF(AS86=1,COUNTIF($AS$2:AS86,1),"")</f>
        <v>85</v>
      </c>
      <c r="EP86" s="207">
        <f>IF(AT86=1,COUNTIF($AT$2:AT86,1),"")</f>
        <v>85</v>
      </c>
      <c r="EQ86" s="207">
        <f>IF(AU86=1,COUNTIF($AU$2:AU86,1),"")</f>
        <v>85</v>
      </c>
      <c r="ER86" s="207">
        <f>IF(AV86=1,COUNTIF($AV$2:AV86,1),"")</f>
        <v>85</v>
      </c>
      <c r="ES86" s="207">
        <f>IF(AW86=1,COUNTIF($AW$2:AW86,1),"")</f>
        <v>85</v>
      </c>
      <c r="ET86" s="207">
        <f>IF(AX86=1,COUNTIF($AX$2:AX86,1),"")</f>
        <v>85</v>
      </c>
      <c r="EU86" s="207">
        <f>IF(AY86=1,COUNTIF($AY$2:AY86,1),"")</f>
        <v>85</v>
      </c>
      <c r="EV86" s="207">
        <f>IF(AZ86=1,COUNTIF($AZ$2:AZ86,1),"")</f>
        <v>85</v>
      </c>
      <c r="EW86" s="207">
        <f>IF(BA86=1,COUNTIF($BA$2:BA86,1),"")</f>
        <v>85</v>
      </c>
      <c r="EX86" s="207">
        <f>IF(BB86=1,COUNTIF($BB$2:BB86,1),"")</f>
        <v>85</v>
      </c>
      <c r="EY86" s="207">
        <f>IF(BC86=1,COUNTIF($BC$2:BC86,1),"")</f>
        <v>85</v>
      </c>
      <c r="EZ86" s="207">
        <f>IF(BD86=1,COUNTIF($BD$2:BD86,1),"")</f>
        <v>85</v>
      </c>
      <c r="FA86" s="207">
        <f>IF(BE86=1,COUNTIF($BE$2:BE86,1),"")</f>
        <v>85</v>
      </c>
      <c r="FB86" s="207">
        <f>IF(BF86=1,COUNTIF($BF$2:BF86,1),"")</f>
        <v>85</v>
      </c>
      <c r="FC86" s="207">
        <f>IF(BG86=1,COUNTIF($BG$2:BG86,1),"")</f>
        <v>85</v>
      </c>
      <c r="FD86" s="207">
        <f>IF(BH86=1,COUNTIF($BH$2:BH86,1),"")</f>
        <v>85</v>
      </c>
      <c r="FE86" s="207">
        <f>IF(BI86=1,COUNTIF($BI$2:BI86,1),"")</f>
        <v>85</v>
      </c>
      <c r="FF86" s="207">
        <f>IF(BJ86=1,COUNTIF($BJ$2:BJ86,1),"")</f>
        <v>85</v>
      </c>
      <c r="FG86" s="207">
        <f>IF(BK86=1,COUNTIF($BK$2:BK86,1),"")</f>
        <v>85</v>
      </c>
      <c r="FH86" s="207">
        <f>IF(BL86=1,COUNTIF($BL$2:BL86,1),"")</f>
        <v>85</v>
      </c>
      <c r="FI86" s="207">
        <f>IF(BM86=1,COUNTIF($BM$2:BM86,1),"")</f>
        <v>85</v>
      </c>
      <c r="FJ86" s="207">
        <f>IF(BN86=1,COUNTIF($BN$2:BN86,1),"")</f>
        <v>85</v>
      </c>
      <c r="FK86" s="207">
        <f>IF(BO86=1,COUNTIF($BO$2:BO86,1),"")</f>
        <v>85</v>
      </c>
      <c r="FL86" s="207">
        <f>IF(BP86=1,COUNTIF($BP$2:BP86,1),"")</f>
        <v>85</v>
      </c>
      <c r="FM86" s="207">
        <f>IF(BQ86=1,COUNTIF($BQ$2:BQ86,1),"")</f>
        <v>85</v>
      </c>
      <c r="FN86" s="207">
        <f>IF(BR86=1,COUNTIF($BR$2:BR86,1),"")</f>
        <v>85</v>
      </c>
      <c r="FO86" s="207">
        <f>IF(BS86=1,COUNTIF($BS$2:BS86,1),"")</f>
        <v>85</v>
      </c>
      <c r="FP86" s="207">
        <f>IF(BT86=1,COUNTIF($BT$2:BT86,1),"")</f>
        <v>85</v>
      </c>
      <c r="FQ86" s="207">
        <f>IF(BU86=1,COUNTIF($BU$2:BU86,1),"")</f>
        <v>85</v>
      </c>
      <c r="FR86" s="207">
        <f>IF(BV86=1,COUNTIF($BV$2:BV86,1),"")</f>
        <v>85</v>
      </c>
      <c r="FS86" s="207">
        <f>IF(BW86=1,COUNTIF($BW$2:BW86,1),"")</f>
        <v>85</v>
      </c>
      <c r="FT86" s="207">
        <f>IF(BX86=1,COUNTIF($BX$2:BX86,1),"")</f>
        <v>85</v>
      </c>
      <c r="FU86" s="207">
        <f>IF(BY86=1,COUNTIF($BY$2:BY86,1),"")</f>
        <v>85</v>
      </c>
      <c r="FV86" s="207">
        <f>IF(BZ86=1,COUNTIF($BZ$2:BZ86,1),"")</f>
        <v>85</v>
      </c>
      <c r="FW86" s="207">
        <f>IF(CA86=1,COUNTIF($CA$2:CA86,1),"")</f>
        <v>85</v>
      </c>
      <c r="FX86" s="207">
        <f>IF(CB86=1,COUNTIF($CB$2:CB86,1),"")</f>
        <v>85</v>
      </c>
      <c r="FY86" s="207">
        <f>IF(CC86=1,COUNTIF($CC$2:CC86,1),"")</f>
        <v>85</v>
      </c>
      <c r="FZ86" s="207">
        <f>IF(CD86=1,COUNTIF($CD$2:CD86,1),"")</f>
        <v>85</v>
      </c>
      <c r="GA86" s="207">
        <f>IF(CE86=1,COUNTIF($CE$2:CE86,1),"")</f>
        <v>85</v>
      </c>
      <c r="GB86" s="207">
        <f>IF(CF86=1,COUNTIF($CF$2:CF86,1),"")</f>
        <v>85</v>
      </c>
      <c r="GC86" s="207">
        <f>IF(CG86=1,COUNTIF($CG$2:CG86,1),"")</f>
        <v>85</v>
      </c>
      <c r="GD86" s="207">
        <f>IF(CH86=1,COUNTIF($CH$2:CH86,1),"")</f>
        <v>85</v>
      </c>
      <c r="GE86" s="207">
        <f>IF(CI86=1,COUNTIF($CI$2:CI86,1),"")</f>
        <v>85</v>
      </c>
      <c r="GF86" s="207">
        <f>IF(CJ86=1,COUNTIF($CJ$2:CJ86,1),"")</f>
        <v>85</v>
      </c>
      <c r="GG86" s="207">
        <f>IF(CK86=1,COUNTIF($CK$2:CK86,1),"")</f>
        <v>85</v>
      </c>
      <c r="GH86" s="207">
        <f>IF(CL86=1,COUNTIF($CL$2:CL86,1),"")</f>
        <v>85</v>
      </c>
      <c r="GI86" s="207">
        <f>IF(CM86=1,COUNTIF($CM$2:CM86,1),"")</f>
        <v>85</v>
      </c>
      <c r="GJ86" s="207">
        <f>IF(CN86=1,COUNTIF($CN$2:CN86,1),"")</f>
        <v>85</v>
      </c>
      <c r="GK86" s="207">
        <f>IF(CO86=1,COUNTIF($CO$2:CO86,1),"")</f>
        <v>85</v>
      </c>
      <c r="GL86" s="207">
        <f>IF(CP86=1,COUNTIF($CP$2:CP86,1),"")</f>
        <v>85</v>
      </c>
      <c r="GM86" s="207">
        <f>IF(CQ86=1,COUNTIF($CQ$2:CQ86,1),"")</f>
        <v>85</v>
      </c>
      <c r="GN86" s="207">
        <f>IF(CR86=1,COUNTIF($CR$2:CR86,1),"")</f>
        <v>85</v>
      </c>
      <c r="GO86" s="207">
        <f>IF(CS86=1,COUNTIF($CS$2:CS86,1),"")</f>
        <v>85</v>
      </c>
      <c r="GP86" s="207">
        <f>IF(CT86=1,COUNTIF($CT$2:CT86,1),"")</f>
        <v>85</v>
      </c>
      <c r="GQ86" s="207">
        <f>IF(CU86=1,COUNTIF($CU$2:CU86,1),"")</f>
        <v>85</v>
      </c>
      <c r="GR86" s="207">
        <f>IF(CV86=1,COUNTIF($CV$2:CV86,1),"")</f>
        <v>85</v>
      </c>
      <c r="GS86" s="207">
        <f>IF(CW86=1,COUNTIF($CW$2:CW86,1),"")</f>
        <v>85</v>
      </c>
      <c r="GT86" s="207">
        <f>IF(CX86=1,COUNTIF($CX$2:CX86,1),"")</f>
        <v>85</v>
      </c>
      <c r="GU86" s="207">
        <f>IF(CY86=1,COUNTIF($CY$2:CY86,1),"")</f>
        <v>85</v>
      </c>
      <c r="GV86" s="207">
        <f>IF(CZ86=1,COUNTIF($CZ$2:CZ86,1),"")</f>
        <v>85</v>
      </c>
      <c r="GW86" s="207">
        <f>IF(DA86=1,COUNTIF($DA$2:DA86,1),"")</f>
        <v>85</v>
      </c>
      <c r="GX86" s="206" t="str">
        <f>IFERROR(INDEX($A$2:$A$113,MATCH(ROWS($DB$2:DB86),$DB$2:$DB$113,0)),"")</f>
        <v xml:space="preserve">FALSO TESTIMONIO </v>
      </c>
      <c r="GY86" s="206" t="str">
        <f>IFERROR(INDEX($A$2:$A$113,MATCH(ROWS($DC$2:DC86),$DC$2:$DC$113,0)),"")</f>
        <v xml:space="preserve">FALSO TESTIMONIO </v>
      </c>
      <c r="GZ86" s="206" t="str">
        <f>IFERROR(INDEX($A$2:$A$113,MATCH(ROWS($DD$2:DD86),$DD$2:$DD$113,0)),"")</f>
        <v xml:space="preserve">FALSO TESTIMONIO </v>
      </c>
      <c r="HA86" s="206" t="str">
        <f>IFERROR(INDEX($A$2:$A$113,MATCH(ROWS($DE$2:DE86),$DE$2:$DE$113,0)),"")</f>
        <v xml:space="preserve">FALSO TESTIMONIO </v>
      </c>
      <c r="HB86" s="206" t="str">
        <f>IFERROR(INDEX($A$2:$A$113,MATCH(ROWS($DF$2:DF86),$DF$2:$DF$113,0)),"")</f>
        <v xml:space="preserve">FALSO TESTIMONIO </v>
      </c>
      <c r="HC86" s="206" t="str">
        <f>IFERROR(INDEX($A$2:$A$113,MATCH(ROWS($DG$2:DG86),$DG$2:$DG$113,0)),"")</f>
        <v xml:space="preserve">FALSO TESTIMONIO </v>
      </c>
      <c r="HD86" s="206" t="str">
        <f>IFERROR(INDEX($A$2:$A$113,MATCH(ROWS($DH$2:DH86),$DH$2:$DH$113,0)),"")</f>
        <v xml:space="preserve">FALSO TESTIMONIO </v>
      </c>
      <c r="HE86" s="206" t="str">
        <f>IFERROR(INDEX($A$2:$A$113,MATCH(ROWS($DI$2:DI86),$DI$2:$DI$113,0)),"")</f>
        <v xml:space="preserve">FALSO TESTIMONIO </v>
      </c>
      <c r="HF86" s="206" t="str">
        <f>IFERROR(INDEX($A$2:$A$113,MATCH(ROWS($DJ$2:DJ86),$DJ$2:$DJ$113,0)),"")</f>
        <v xml:space="preserve">FALSO TESTIMONIO </v>
      </c>
      <c r="HG86" s="206" t="str">
        <f>IFERROR(INDEX($A$2:$A$113,MATCH(ROWS($DK$2:DK86),$DK$2:$DK$113,0)),"")</f>
        <v xml:space="preserve">FALSO TESTIMONIO </v>
      </c>
      <c r="HH86" s="206" t="str">
        <f>IFERROR(INDEX($A$2:$A$113,MATCH(ROWS($DL$2:DL86),$DL$2:$DL$113,0)),"")</f>
        <v xml:space="preserve">FALSO TESTIMONIO </v>
      </c>
      <c r="HI86" s="206" t="str">
        <f>IFERROR(INDEX($A$2:$A$113,MATCH(ROWS($DM$2:DM86),$DM$2:$DM$113,0)),"")</f>
        <v xml:space="preserve">FALSO TESTIMONIO </v>
      </c>
      <c r="HJ86" s="206" t="str">
        <f>IFERROR(INDEX($A$2:$A$113,MATCH(ROWS($DN$2:DN86),$DN$2:$DN$113,0)),"")</f>
        <v xml:space="preserve">FALSO TESTIMONIO </v>
      </c>
      <c r="HK86" s="206" t="str">
        <f>IFERROR(INDEX($A$2:$A$113,MATCH(ROWS($DO$2:DO86),$DO$2:$DO$113,0)),"")</f>
        <v xml:space="preserve">FALSO TESTIMONIO </v>
      </c>
      <c r="HL86" s="206" t="str">
        <f>IFERROR(INDEX($A$2:$A$113,MATCH(ROWS($DP$2:DP86),$DP$2:$DP$113,0)),"")</f>
        <v xml:space="preserve">FALSO TESTIMONIO </v>
      </c>
      <c r="HM86" s="206" t="str">
        <f>IFERROR(INDEX($A$2:$A$113,MATCH(ROWS($DQ$2:DQ86),$DQ$2:$DQ$113,0)),"")</f>
        <v xml:space="preserve">FALSO TESTIMONIO </v>
      </c>
      <c r="HN86" s="206" t="str">
        <f>IFERROR(INDEX($A$2:$A$113,MATCH(ROWS($DR$2:DR86),$DR$2:$DR$113,0)),"")</f>
        <v xml:space="preserve">FALSO TESTIMONIO </v>
      </c>
      <c r="HO86" s="206" t="str">
        <f>IFERROR(INDEX($A$2:$A$113,MATCH(ROWS($DS$2:DS86),$DS$2:$DS$113,0)),"")</f>
        <v xml:space="preserve">FALSO TESTIMONIO </v>
      </c>
      <c r="HP86" s="206" t="str">
        <f>IFERROR(INDEX($A$2:$A$113,MATCH(ROWS($DT$2:DT86),$DT$2:$DT$113,0)),"")</f>
        <v xml:space="preserve">FALSO TESTIMONIO </v>
      </c>
      <c r="HQ86" s="206" t="str">
        <f>IFERROR(INDEX($A$2:$A$113,MATCH(ROWS($DU$2:DU86),$DU$2:$DU$113,0)),"")</f>
        <v xml:space="preserve">FALSO TESTIMONIO </v>
      </c>
      <c r="HR86" s="206" t="str">
        <f>IFERROR(INDEX($A$2:$A$113,MATCH(ROWS($DV$2:DV86),$DV$2:$DV$113,0)),"")</f>
        <v xml:space="preserve">FALSO TESTIMONIO </v>
      </c>
      <c r="HS86" s="206" t="str">
        <f>IFERROR(INDEX($A$2:$A$113,MATCH(ROWS($DW$2:DW86),$DW$2:$DW$113,0)),"")</f>
        <v xml:space="preserve">FALSO TESTIMONIO </v>
      </c>
      <c r="HT86" s="206" t="str">
        <f>IFERROR(INDEX($A$2:$A$113,MATCH(ROWS($DX$2:DX86),$DX$2:$DX$113,0)),"")</f>
        <v xml:space="preserve">FALSO TESTIMONIO </v>
      </c>
      <c r="HU86" s="206" t="str">
        <f>IFERROR(INDEX($A$2:$A$113,MATCH(ROWS($DY$2:DY86),$DY$2:$DY$113,0)),"")</f>
        <v xml:space="preserve">FALSO TESTIMONIO </v>
      </c>
      <c r="HV86" s="206" t="str">
        <f>IFERROR(INDEX($A$2:$A$113,MATCH(ROWS($DZ$2:DZ86),$DZ$2:$DZ$113,0)),"")</f>
        <v xml:space="preserve">FALSO TESTIMONIO </v>
      </c>
      <c r="HW86" s="206" t="str">
        <f>IFERROR(INDEX($A$2:$A$113,MATCH(ROWS($EA$2:EA86),$EA$2:$EA$113,0)),"")</f>
        <v xml:space="preserve">FALSO TESTIMONIO </v>
      </c>
      <c r="HX86" s="206" t="str">
        <f>IFERROR(INDEX($A$2:$A$113,MATCH(ROWS($EB$2:EB86),$EB$2:$EB$113,0)),"")</f>
        <v xml:space="preserve">FALSO TESTIMONIO </v>
      </c>
      <c r="HY86" s="206" t="str">
        <f>IFERROR(INDEX($A$2:$A$113,MATCH(ROWS($EC$2:EC86),$EC$2:$EC$113,0)),"")</f>
        <v xml:space="preserve">FALSO TESTIMONIO </v>
      </c>
      <c r="HZ86" s="206" t="str">
        <f>IFERROR(INDEX($A$2:$A$113,MATCH(ROWS($ED$2:ED86),$ED$2:$ED$113,0)),"")</f>
        <v xml:space="preserve">FALSO TESTIMONIO </v>
      </c>
      <c r="IA86" s="206" t="str">
        <f>IFERROR(INDEX($A$2:$A$113,MATCH(ROWS($EE$2:EE86),$EE$2:$EE$113,0)),"")</f>
        <v xml:space="preserve">FALSO TESTIMONIO </v>
      </c>
      <c r="IB86" s="206" t="str">
        <f>IFERROR(INDEX($A$2:$A$113,MATCH(ROWS($EF$2:EF86),$EF$2:$EF$113,0)),"")</f>
        <v xml:space="preserve">FALSO TESTIMONIO </v>
      </c>
      <c r="IC86" s="206" t="str">
        <f>IFERROR(INDEX($A$2:$A$113,MATCH(ROWS($EG$2:EG86),$EG$2:$EG$113,0)),"")</f>
        <v xml:space="preserve">FALSO TESTIMONIO </v>
      </c>
      <c r="ID86" s="206" t="str">
        <f>IFERROR(INDEX($A$2:$A$113,MATCH(ROWS($EH$2:EH86),$EH$2:$EH$113,0)),"")</f>
        <v xml:space="preserve">FALSO TESTIMONIO </v>
      </c>
      <c r="IE86" s="206" t="str">
        <f>IFERROR(INDEX($A$2:$A$113,MATCH(ROWS($EI$2:EI86),$EI$2:$EI$113,0)),"")</f>
        <v xml:space="preserve">FALSO TESTIMONIO </v>
      </c>
      <c r="IF86" s="206" t="str">
        <f>IFERROR(INDEX($A$2:$A$113,MATCH(ROWS($EJ$2:EJ86),$EJ$2:$EJ$113,0)),"")</f>
        <v xml:space="preserve">FALSO TESTIMONIO </v>
      </c>
      <c r="IG86" s="206" t="str">
        <f>IFERROR(INDEX($A$2:$A$113,MATCH(ROWS($EK$2:EK86),$EK$2:$EK$113,0)),"")</f>
        <v xml:space="preserve">FALSO TESTIMONIO </v>
      </c>
      <c r="IH86" s="206" t="str">
        <f>IFERROR(INDEX($A$2:$A$113,MATCH(ROWS($EL$2:EL86),$EL$2:$EL$113,0)),"")</f>
        <v xml:space="preserve">FALSO TESTIMONIO </v>
      </c>
      <c r="II86" s="206" t="str">
        <f>IFERROR(INDEX($A$2:$A$113,MATCH(ROWS($EM$2:EM86),$EM$2:$EM$113,0)),"")</f>
        <v xml:space="preserve">FALSO TESTIMONIO </v>
      </c>
      <c r="IJ86" s="206" t="str">
        <f>IFERROR(INDEX($A$2:$A$113,MATCH(ROWS($EN$2:EN86),$EN$2:$EN$113,0)),"")</f>
        <v xml:space="preserve">FALSO TESTIMONIO </v>
      </c>
      <c r="IK86" s="207" t="str">
        <f>IFERROR(INDEX($A$2:$A$113,MATCH(ROWS($EO$2:EO86),$EO$2:$EO$113,0)),"")</f>
        <v xml:space="preserve">FALSO TESTIMONIO </v>
      </c>
      <c r="IL86" s="207" t="str">
        <f>IFERROR(INDEX($A$2:$A$113,MATCH(ROWS($EP$2:EP86),$EP$2:$EP$113,0)),"")</f>
        <v xml:space="preserve">FALSO TESTIMONIO </v>
      </c>
      <c r="IM86" s="207" t="str">
        <f>IFERROR(INDEX($A$2:$A$113,MATCH(ROWS($EQ$2:EQ86),$EQ$2:$EQ$113,0)),"")</f>
        <v xml:space="preserve">FALSO TESTIMONIO </v>
      </c>
      <c r="IN86" s="207" t="str">
        <f>IFERROR(INDEX($A$2:$A$113,MATCH(ROWS($ER$2:ER86),$ER$2:$ER$113,0)),"")</f>
        <v xml:space="preserve">FALSO TESTIMONIO </v>
      </c>
      <c r="IO86" s="207" t="str">
        <f>IFERROR(INDEX($A$2:$A$113,MATCH(ROWS($ES$2:ES86),$ES$2:$ES$113,0)),"")</f>
        <v xml:space="preserve">FALSO TESTIMONIO </v>
      </c>
      <c r="IP86" s="207" t="str">
        <f>IFERROR(INDEX($A$2:$A$113,MATCH(ROWS($ET$2:ET86),$ET$2:$ET$113,0)),"")</f>
        <v xml:space="preserve">FALSO TESTIMONIO </v>
      </c>
      <c r="IQ86" s="207" t="str">
        <f>IFERROR(INDEX($A$2:$A$113,MATCH(ROWS($EU$2:EU86),$EU$2:$EU$113,0)),"")</f>
        <v xml:space="preserve">FALSO TESTIMONIO </v>
      </c>
      <c r="IR86" s="207" t="str">
        <f>IFERROR(INDEX($A$2:$A$113,MATCH(ROWS($EV$2:EV86),$EV$2:$EV$113,0)),"")</f>
        <v xml:space="preserve">FALSO TESTIMONIO </v>
      </c>
      <c r="IS86" s="207" t="str">
        <f>IFERROR(INDEX($A$2:$A$113,MATCH(ROWS($EW$2:EW86),$EW$2:$EW$113,0)),"")</f>
        <v xml:space="preserve">FALSO TESTIMONIO </v>
      </c>
      <c r="IT86" s="207" t="str">
        <f>IFERROR(INDEX($A$2:$A$113,MATCH(ROWS($EX$2:EX86),$EX$2:$EX$113,0)),"")</f>
        <v xml:space="preserve">FALSO TESTIMONIO </v>
      </c>
      <c r="IU86" s="207" t="str">
        <f>IFERROR(INDEX($A$2:$A$113,MATCH(ROWS($EY$2:EY86),$EY$2:$EY$113,0)),"")</f>
        <v xml:space="preserve">FALSO TESTIMONIO </v>
      </c>
      <c r="IV86" s="207" t="str">
        <f>IFERROR(INDEX($A$2:$A$113,MATCH(ROWS($EZ$2:EZ86),$EZ$2:$EZ$113,0)),"")</f>
        <v xml:space="preserve">FALSO TESTIMONIO </v>
      </c>
      <c r="IW86" s="207" t="str">
        <f>IFERROR(INDEX($A$2:$A$113,MATCH(ROWS($FA$2:FA86),$FA$2:$FA$113,0)),"")</f>
        <v xml:space="preserve">FALSO TESTIMONIO </v>
      </c>
      <c r="IX86" s="207" t="str">
        <f>IFERROR(INDEX($A$2:$A$113,MATCH(ROWS($FB$2:FB86),$FB$2:$FB$113,0)),"")</f>
        <v xml:space="preserve">FALSO TESTIMONIO </v>
      </c>
      <c r="IY86" s="207" t="str">
        <f>IFERROR(INDEX($A$2:$A$113,MATCH(ROWS($FC$2:FC86),$FC$2:$FC$113,0)),"")</f>
        <v xml:space="preserve">FALSO TESTIMONIO </v>
      </c>
      <c r="IZ86" s="207" t="str">
        <f>IFERROR(INDEX($A$2:$A$113,MATCH(ROWS($FD$2:FD86),$FD$2:$FD$113,0)),"")</f>
        <v xml:space="preserve">FALSO TESTIMONIO </v>
      </c>
      <c r="JA86" s="207" t="str">
        <f>IFERROR(INDEX($A$2:$A$113,MATCH(ROWS($FE$2:FE86),$FE$2:$FE$113,0)),"")</f>
        <v xml:space="preserve">FALSO TESTIMONIO </v>
      </c>
      <c r="JB86" s="207" t="str">
        <f>IFERROR(INDEX($A$2:$A$113,MATCH(ROWS($FF$2:FF86),$FF$2:$FF$113,0)),"")</f>
        <v xml:space="preserve">FALSO TESTIMONIO </v>
      </c>
      <c r="JC86" s="207" t="str">
        <f>IFERROR(INDEX($A$2:$A$113,MATCH(ROWS($FG$2:FG86),$FG$2:$FG$113,0)),"")</f>
        <v xml:space="preserve">FALSO TESTIMONIO </v>
      </c>
      <c r="JD86" s="207" t="str">
        <f>IFERROR(INDEX($A$2:$A$113,MATCH(ROWS($FH$2:FH86),$FH$2:$FH$113,0)),"")</f>
        <v xml:space="preserve">FALSO TESTIMONIO </v>
      </c>
      <c r="JE86" s="207" t="str">
        <f>IFERROR(INDEX($A$2:$A$113,MATCH(ROWS($FI$2:FI86),$FI$2:$FI$113,0)),"")</f>
        <v xml:space="preserve">FALSO TESTIMONIO </v>
      </c>
      <c r="JF86" s="207" t="str">
        <f>IFERROR(INDEX($A$2:$A$113,MATCH(ROWS($FJ$2:FJ86),$FJ$2:$FJ$113,0)),"")</f>
        <v xml:space="preserve">FALSO TESTIMONIO </v>
      </c>
      <c r="JG86" s="207" t="str">
        <f>IFERROR(INDEX($A$2:$A$113,MATCH(ROWS($FK$2:FK86),$FK$2:$FK$113,0)),"")</f>
        <v xml:space="preserve">FALSO TESTIMONIO </v>
      </c>
      <c r="JH86" s="207" t="str">
        <f>IFERROR(INDEX($A$2:$A$113,MATCH(ROWS($FL$2:FL86),$FL$2:$FL$113,0)),"")</f>
        <v xml:space="preserve">FALSO TESTIMONIO </v>
      </c>
      <c r="JI86" s="207" t="str">
        <f>IFERROR(INDEX($A$2:$A$113,MATCH(ROWS($FM$2:FM86),$FM$2:$FM$113,0)),"")</f>
        <v xml:space="preserve">FALSO TESTIMONIO </v>
      </c>
      <c r="JJ86" s="207" t="str">
        <f>IFERROR(INDEX($A$2:$A$113,MATCH(ROWS($FN$2:FN86),$FN$2:$FN$113,0)),"")</f>
        <v xml:space="preserve">FALSO TESTIMONIO </v>
      </c>
      <c r="JK86" s="207" t="str">
        <f>IFERROR(INDEX($A$2:$A$113,MATCH(ROWS($FO$2:FO86),$FO$2:$FO$113,0)),"")</f>
        <v xml:space="preserve">FALSO TESTIMONIO </v>
      </c>
      <c r="JL86" s="207" t="str">
        <f>IFERROR(INDEX($A$2:$A$113,MATCH(ROWS($FP$2:FP86),$FP$2:$FP$113,0)),"")</f>
        <v xml:space="preserve">FALSO TESTIMONIO </v>
      </c>
      <c r="JM86" s="207" t="str">
        <f>IFERROR(INDEX($A$2:$A$113,MATCH(ROWS($FQ$2:FQ86),$FQ$2:$FQ$113,0)),"")</f>
        <v xml:space="preserve">FALSO TESTIMONIO </v>
      </c>
      <c r="JN86" s="207" t="str">
        <f>IFERROR(INDEX($A$2:$A$113,MATCH(ROWS($FR$2:FR86),$FR$2:$FR$113,0)),"")</f>
        <v xml:space="preserve">FALSO TESTIMONIO </v>
      </c>
      <c r="JO86" s="207" t="str">
        <f>IFERROR(INDEX($A$2:$A$113,MATCH(ROWS($FS$2:FS86),$FS$2:$FS$113,0)),"")</f>
        <v xml:space="preserve">FALSO TESTIMONIO </v>
      </c>
      <c r="JP86" s="207" t="str">
        <f>IFERROR(INDEX($A$2:$A$113,MATCH(ROWS($FT$2:FT86),$FT$2:$FT$113,0)),"")</f>
        <v xml:space="preserve">FALSO TESTIMONIO </v>
      </c>
      <c r="JQ86" s="207" t="str">
        <f>IFERROR(INDEX($A$2:$A$113,MATCH(ROWS($FU$2:FU86),$FU$2:$FU$113,0)),"")</f>
        <v xml:space="preserve">FALSO TESTIMONIO </v>
      </c>
      <c r="JR86" s="207" t="str">
        <f>IFERROR(INDEX($A$2:$A$113,MATCH(ROWS($FV$2:FV86),$FV$2:$FV$113,0)),"")</f>
        <v xml:space="preserve">FALSO TESTIMONIO </v>
      </c>
      <c r="JS86" s="207" t="str">
        <f>IFERROR(INDEX($A$2:$A$113,MATCH(ROWS($FW$2:FW86),$FW$2:$FW$113,0)),"")</f>
        <v xml:space="preserve">FALSO TESTIMONIO </v>
      </c>
      <c r="JT86" s="207" t="str">
        <f>IFERROR(INDEX($A$2:$A$113,MATCH(ROWS($FX$2:FX86),$FX$2:$FX$113,0)),"")</f>
        <v xml:space="preserve">FALSO TESTIMONIO </v>
      </c>
      <c r="JU86" s="207" t="str">
        <f>IFERROR(INDEX($A$2:$A$113,MATCH(ROWS($FY$2:FY86),$FY$2:$FY$113,0)),"")</f>
        <v xml:space="preserve">FALSO TESTIMONIO </v>
      </c>
      <c r="JV86" s="207" t="str">
        <f>IFERROR(INDEX($A$2:$A$113,MATCH(ROWS($FZ$2:FZ86),$FZ$2:$FZ$113,0)),"")</f>
        <v xml:space="preserve">FALSO TESTIMONIO </v>
      </c>
      <c r="JW86" s="207" t="str">
        <f>IFERROR(INDEX($A$2:$A$113,MATCH(ROWS($GA$2:GA86),$GA$2:$GA$113,0)),"")</f>
        <v xml:space="preserve">FALSO TESTIMONIO </v>
      </c>
      <c r="JX86" s="207" t="str">
        <f>IFERROR(INDEX($A$2:$A$113,MATCH(ROWS($GB$2:GB86),$GB$2:$GB$113,0)),"")</f>
        <v xml:space="preserve">FALSO TESTIMONIO </v>
      </c>
      <c r="JY86" s="207" t="str">
        <f>IFERROR(INDEX($A$2:$A$113,MATCH(ROWS($GC$2:GC86),$GC$2:$GC$113,0)),"")</f>
        <v xml:space="preserve">FALSO TESTIMONIO </v>
      </c>
      <c r="JZ86" s="207" t="str">
        <f>IFERROR(INDEX($A$2:$A$113,MATCH(ROWS($GD$2:GD86),$GD$2:$GD$113,0)),"")</f>
        <v xml:space="preserve">FALSO TESTIMONIO </v>
      </c>
      <c r="KA86" s="207" t="str">
        <f>IFERROR(INDEX($A$2:$A$113,MATCH(ROWS($GE$2:GE86),$GE$2:$GE$113,0)),"")</f>
        <v xml:space="preserve">FALSO TESTIMONIO </v>
      </c>
      <c r="KB86" s="207" t="str">
        <f>IFERROR(INDEX($A$2:$A$113,MATCH(ROWS($GF$2:GF86),$GF$2:$GF$113,0)),"")</f>
        <v xml:space="preserve">FALSO TESTIMONIO </v>
      </c>
      <c r="KC86" s="207" t="str">
        <f>IFERROR(INDEX($A$2:$A$113,MATCH(ROWS($GG$2:GG86),$GG$2:$GG$113,0)),"")</f>
        <v xml:space="preserve">FALSO TESTIMONIO </v>
      </c>
      <c r="KD86" s="207" t="str">
        <f>IFERROR(INDEX($A$2:$A$113,MATCH(ROWS($GH$2:GH86),$GH$2:$GH$113,0)),"")</f>
        <v xml:space="preserve">FALSO TESTIMONIO </v>
      </c>
      <c r="KE86" s="207" t="str">
        <f>IFERROR(INDEX($A$2:$A$113,MATCH(ROWS($GI$2:GI86),$GI$2:$GI$113,0)),"")</f>
        <v xml:space="preserve">FALSO TESTIMONIO </v>
      </c>
      <c r="KF86" s="207" t="str">
        <f>IFERROR(INDEX($A$2:$A$113,MATCH(ROWS($GJ$2:GJ86),$GJ$2:$GJ$113,0)),"")</f>
        <v xml:space="preserve">FALSO TESTIMONIO </v>
      </c>
      <c r="KG86" s="207" t="str">
        <f>IFERROR(INDEX($A$2:$A$113,MATCH(ROWS($GK$2:GK86),$GK$2:$GK$113,0)),"")</f>
        <v xml:space="preserve">FALSO TESTIMONIO </v>
      </c>
      <c r="KH86" s="207" t="str">
        <f>IFERROR(INDEX($A$2:$A$113,MATCH(ROWS($GL$2:GL86),$GL$2:$GL$113,0)),"")</f>
        <v xml:space="preserve">FALSO TESTIMONIO </v>
      </c>
      <c r="KI86" s="207" t="str">
        <f>IFERROR(INDEX($A$2:$A$113,MATCH(ROWS($GM$2:GM86),$GM$2:$GM$113,0)),"")</f>
        <v xml:space="preserve">FALSO TESTIMONIO </v>
      </c>
      <c r="KJ86" s="207" t="str">
        <f>IFERROR(INDEX($A$2:$A$113,MATCH(ROWS($GN$2:GN86),$GN$2:$GN$113,0)),"")</f>
        <v xml:space="preserve">FALSO TESTIMONIO </v>
      </c>
      <c r="KK86" s="207" t="str">
        <f>IFERROR(INDEX($A$2:$A$113,MATCH(ROWS($GO$2:GO86),$GO$2:$GO$113,0)),"")</f>
        <v xml:space="preserve">FALSO TESTIMONIO </v>
      </c>
      <c r="KL86" s="207" t="str">
        <f>IFERROR(INDEX($A$2:$A$113,MATCH(ROWS($GP$2:GP86),$GP$2:$GP$113,0)),"")</f>
        <v xml:space="preserve">FALSO TESTIMONIO </v>
      </c>
      <c r="KM86" s="207" t="str">
        <f>IFERROR(INDEX($A$2:$A$113,MATCH(ROWS($GQ$2:GQ86),$GQ$2:$GQ$113,0)),"")</f>
        <v xml:space="preserve">FALSO TESTIMONIO </v>
      </c>
      <c r="KN86" s="207" t="str">
        <f>IFERROR(INDEX($A$2:$A$113,MATCH(ROWS($GR$2:GR86),$GR$2:$GR$113,0)),"")</f>
        <v xml:space="preserve">FALSO TESTIMONIO </v>
      </c>
      <c r="KO86" s="207" t="str">
        <f>IFERROR(INDEX($A$2:$A$113,MATCH(ROWS($GS$2:GS86),$GS$2:$GS$113,0)),"")</f>
        <v xml:space="preserve">FALSO TESTIMONIO </v>
      </c>
      <c r="KP86" s="207" t="str">
        <f>IFERROR(INDEX($A$2:$A$113,MATCH(ROWS($GT$2:GT86),$GT$2:$GT$113,0)),"")</f>
        <v xml:space="preserve">FALSO TESTIMONIO </v>
      </c>
      <c r="KQ86" s="207" t="str">
        <f>IFERROR(INDEX($A$2:$A$113,MATCH(ROWS($GU$2:GU86),$GU$2:$GU$113,0)),"")</f>
        <v xml:space="preserve">FALSO TESTIMONIO </v>
      </c>
      <c r="KR86" s="207" t="str">
        <f>IFERROR(INDEX($A$2:$A$113,MATCH(ROWS($GV$2:GV86),$GV$2:$GV$113,0)),"")</f>
        <v xml:space="preserve">FALSO TESTIMONIO </v>
      </c>
      <c r="KS86" s="207" t="str">
        <f>IFERROR(INDEX($A$2:$A$113,MATCH(ROWS($GW$2:GW86),$GW$2:$GW$113,0)),"")</f>
        <v xml:space="preserve">FALSO TESTIMONIO </v>
      </c>
    </row>
    <row r="87" spans="1:305" x14ac:dyDescent="0.25">
      <c r="A87" s="206" t="s">
        <v>26</v>
      </c>
      <c r="B87" s="206">
        <v>26</v>
      </c>
      <c r="D87" s="206" t="s">
        <v>26</v>
      </c>
      <c r="E87" s="206" t="s">
        <v>113</v>
      </c>
      <c r="F87" s="207">
        <f>--ISNUMBER(IFERROR(SEARCH('PLANILLA DJ'!$X$3,$A87,1),""))</f>
        <v>1</v>
      </c>
      <c r="G87" s="207">
        <f>--ISNUMBER(IFERROR(SEARCH('PLANILLA DJ'!$X$4,$A87,1),""))</f>
        <v>1</v>
      </c>
      <c r="H87" s="207">
        <f>--ISNUMBER(IFERROR(SEARCH('PLANILLA DJ'!$X$5,$A87,1),""))</f>
        <v>1</v>
      </c>
      <c r="I87" s="207">
        <f>--ISNUMBER(IFERROR(SEARCH('PLANILLA DJ'!$X$6,$A87,1),""))</f>
        <v>1</v>
      </c>
      <c r="J87" s="207">
        <f>--ISNUMBER(IFERROR(SEARCH('PLANILLA DJ'!$X$7,$A87,1),""))</f>
        <v>1</v>
      </c>
      <c r="K87" s="207">
        <f>--ISNUMBER(IFERROR(SEARCH('PLANILLA DJ'!$X$8,$A87,1),""))</f>
        <v>1</v>
      </c>
      <c r="L87" s="207">
        <f>--ISNUMBER(IFERROR(SEARCH('PLANILLA DJ'!$X$9,$A87,1),""))</f>
        <v>1</v>
      </c>
      <c r="M87" s="207">
        <f>--ISNUMBER(IFERROR(SEARCH('PLANILLA DJ'!$X$10,$A87,1),""))</f>
        <v>1</v>
      </c>
      <c r="N87" s="207">
        <f>--ISNUMBER(IFERROR(SEARCH('PLANILLA DJ'!$X$11,$A87,1),""))</f>
        <v>1</v>
      </c>
      <c r="O87" s="207">
        <f>--ISNUMBER(IFERROR(SEARCH('PLANILLA DJ'!$X$12,$A87,1),""))</f>
        <v>1</v>
      </c>
      <c r="P87" s="207">
        <f>--ISNUMBER(IFERROR(SEARCH('PLANILLA DJ'!$X$13,$A87,1),""))</f>
        <v>1</v>
      </c>
      <c r="Q87" s="207">
        <f>--ISNUMBER(IFERROR(SEARCH('PLANILLA DJ'!$X$14,$A87,1),""))</f>
        <v>1</v>
      </c>
      <c r="R87" s="207">
        <f>--ISNUMBER(IFERROR(SEARCH('PLANILLA DJ'!$X$15,$A87,1),""))</f>
        <v>1</v>
      </c>
      <c r="S87" s="207">
        <f>--ISNUMBER(IFERROR(SEARCH('PLANILLA DJ'!$X$16,$A87,1),""))</f>
        <v>1</v>
      </c>
      <c r="T87" s="207">
        <f>--ISNUMBER(IFERROR(SEARCH('PLANILLA DJ'!$X$17,$A87,1),""))</f>
        <v>1</v>
      </c>
      <c r="U87" s="207">
        <f>--ISNUMBER(IFERROR(SEARCH('PLANILLA DJ'!$X$18,$A87,1),""))</f>
        <v>1</v>
      </c>
      <c r="V87" s="207">
        <f>--ISNUMBER(IFERROR(SEARCH('PLANILLA DJ'!$X$19,$A87,1),""))</f>
        <v>1</v>
      </c>
      <c r="W87" s="207">
        <f>--ISNUMBER(IFERROR(SEARCH('PLANILLA DJ'!$X$20,$A87,1),""))</f>
        <v>1</v>
      </c>
      <c r="X87" s="207">
        <f>--ISNUMBER(IFERROR(SEARCH('PLANILLA DJ'!$X$21,$A87,1),""))</f>
        <v>1</v>
      </c>
      <c r="Y87" s="207">
        <f>--ISNUMBER(IFERROR(SEARCH('PLANILLA DJ'!$X$22,$A87,1),""))</f>
        <v>1</v>
      </c>
      <c r="Z87" s="207">
        <f>--ISNUMBER(IFERROR(SEARCH('PLANILLA DJ'!$X$23,$A87,1),""))</f>
        <v>1</v>
      </c>
      <c r="AA87" s="207">
        <f>--ISNUMBER(IFERROR(SEARCH('PLANILLA DJ'!$X$24,$A87,1),""))</f>
        <v>1</v>
      </c>
      <c r="AB87" s="207">
        <f>--ISNUMBER(IFERROR(SEARCH('PLANILLA DJ'!$X$25,$A87,1),""))</f>
        <v>1</v>
      </c>
      <c r="AC87" s="207">
        <f>--ISNUMBER(IFERROR(SEARCH('PLANILLA DJ'!$X$26,$A87,1),""))</f>
        <v>1</v>
      </c>
      <c r="AD87" s="207">
        <f>--ISNUMBER(IFERROR(SEARCH('PLANILLA DJ'!$X$27,$A87,1),""))</f>
        <v>1</v>
      </c>
      <c r="AE87" s="207">
        <f>--ISNUMBER(IFERROR(SEARCH('PLANILLA DJ'!$X$28,$A87,1),""))</f>
        <v>1</v>
      </c>
      <c r="AF87" s="207">
        <f>--ISNUMBER(IFERROR(SEARCH('PLANILLA DJ'!$X$29,$A87,1),""))</f>
        <v>1</v>
      </c>
      <c r="AG87" s="207">
        <f>--ISNUMBER(IFERROR(SEARCH('PLANILLA DJ'!$X$30,$A87,1),""))</f>
        <v>1</v>
      </c>
      <c r="AH87" s="207">
        <f>--ISNUMBER(IFERROR(SEARCH('PLANILLA DJ'!$X$31,$A87,1),""))</f>
        <v>1</v>
      </c>
      <c r="AI87" s="207">
        <f>--ISNUMBER(IFERROR(SEARCH('PLANILLA DJ'!$X$32,$A87,1),""))</f>
        <v>1</v>
      </c>
      <c r="AJ87" s="207">
        <f>--ISNUMBER(IFERROR(SEARCH('PLANILLA DJ'!$X$33,$A87,1),""))</f>
        <v>1</v>
      </c>
      <c r="AK87" s="207">
        <f>--ISNUMBER(IFERROR(SEARCH('PLANILLA DJ'!$X$34,$A87,1),""))</f>
        <v>1</v>
      </c>
      <c r="AL87" s="207">
        <f>--ISNUMBER(IFERROR(SEARCH('PLANILLA DJ'!$X$35,$A87,1),""))</f>
        <v>1</v>
      </c>
      <c r="AM87" s="207">
        <f>--ISNUMBER(IFERROR(SEARCH('PLANILLA DJ'!$X$36,$A87,1),""))</f>
        <v>1</v>
      </c>
      <c r="AN87" s="207">
        <f>--ISNUMBER(IFERROR(SEARCH('PLANILLA DJ'!$X$37,$A87,1),""))</f>
        <v>1</v>
      </c>
      <c r="AO87" s="207">
        <f>--ISNUMBER(IFERROR(SEARCH('PLANILLA DJ'!$X$38,$A87,1),""))</f>
        <v>1</v>
      </c>
      <c r="AP87" s="207">
        <f>--ISNUMBER(IFERROR(SEARCH('PLANILLA DJ'!$X$39,$A87,1),""))</f>
        <v>1</v>
      </c>
      <c r="AQ87" s="207">
        <f>--ISNUMBER(IFERROR(SEARCH('PLANILLA DJ'!$X$40,$A87,1),""))</f>
        <v>1</v>
      </c>
      <c r="AR87" s="207">
        <f>--ISNUMBER(IFERROR(SEARCH('PLANILLA DJ'!$X$41,$A87,1),""))</f>
        <v>1</v>
      </c>
      <c r="AS87" s="207">
        <f>--ISNUMBER(IFERROR(SEARCH('PLANILLA DJ'!$X$42,$A87,1),""))</f>
        <v>1</v>
      </c>
      <c r="AT87" s="207">
        <f>--ISNUMBER(IFERROR(SEARCH('PLANILLA DJ'!$X$43,$A87,1),""))</f>
        <v>1</v>
      </c>
      <c r="AU87" s="207">
        <f>--ISNUMBER(IFERROR(SEARCH('PLANILLA DJ'!$X$44,$A87,1),""))</f>
        <v>1</v>
      </c>
      <c r="AV87" s="207">
        <f>--ISNUMBER(IFERROR(SEARCH('PLANILLA DJ'!$X$45,$A87,1),""))</f>
        <v>1</v>
      </c>
      <c r="AW87" s="207">
        <f>--ISNUMBER(IFERROR(SEARCH('PLANILLA DJ'!$X$46,$A87,1),""))</f>
        <v>1</v>
      </c>
      <c r="AX87" s="207">
        <f>--ISNUMBER(IFERROR(SEARCH('PLANILLA DJ'!$X$47,$A87,1),""))</f>
        <v>1</v>
      </c>
      <c r="AY87" s="207">
        <f>--ISNUMBER(IFERROR(SEARCH('PLANILLA DJ'!$X$48,$A87,1),""))</f>
        <v>1</v>
      </c>
      <c r="AZ87" s="207">
        <f>--ISNUMBER(IFERROR(SEARCH('PLANILLA DJ'!$X$49,$A87,1),""))</f>
        <v>1</v>
      </c>
      <c r="BA87" s="207">
        <f>--ISNUMBER(IFERROR(SEARCH('PLANILLA DJ'!$X$50,$A87,1),""))</f>
        <v>1</v>
      </c>
      <c r="BB87" s="207">
        <f>--ISNUMBER(IFERROR(SEARCH('PLANILLA DJ'!$X$51,$A87,1),""))</f>
        <v>1</v>
      </c>
      <c r="BC87" s="207">
        <f>--ISNUMBER(IFERROR(SEARCH('PLANILLA DJ'!$X$52,$A87,1),""))</f>
        <v>1</v>
      </c>
      <c r="BD87" s="207">
        <f>--ISNUMBER(IFERROR(SEARCH('PLANILLA DJ'!$X$53,$A87,1),""))</f>
        <v>1</v>
      </c>
      <c r="BE87" s="207">
        <f>--ISNUMBER(IFERROR(SEARCH('PLANILLA DJ'!$X$54,$A87,1),""))</f>
        <v>1</v>
      </c>
      <c r="BF87" s="207">
        <f>--ISNUMBER(IFERROR(SEARCH('PLANILLA DJ'!$X$55,$A87,1),""))</f>
        <v>1</v>
      </c>
      <c r="BG87" s="207">
        <f>--ISNUMBER(IFERROR(SEARCH('PLANILLA DJ'!$X$56,$A87,1),""))</f>
        <v>1</v>
      </c>
      <c r="BH87" s="207">
        <f>--ISNUMBER(IFERROR(SEARCH('PLANILLA DJ'!$X$57,$A87,1),""))</f>
        <v>1</v>
      </c>
      <c r="BI87" s="207">
        <f>--ISNUMBER(IFERROR(SEARCH('PLANILLA DJ'!$X$58,$A87,1),""))</f>
        <v>1</v>
      </c>
      <c r="BJ87" s="207">
        <f>--ISNUMBER(IFERROR(SEARCH('PLANILLA DJ'!$X$59,$A87,1),""))</f>
        <v>1</v>
      </c>
      <c r="BK87" s="207">
        <f>--ISNUMBER(IFERROR(SEARCH('PLANILLA DJ'!$X$60,$A87,1),""))</f>
        <v>1</v>
      </c>
      <c r="BL87" s="207">
        <f>--ISNUMBER(IFERROR(SEARCH('PLANILLA DJ'!$X$61,$A87,1),""))</f>
        <v>1</v>
      </c>
      <c r="BM87" s="207">
        <f>--ISNUMBER(IFERROR(SEARCH('PLANILLA DJ'!$X$62,$A87,1),""))</f>
        <v>1</v>
      </c>
      <c r="BN87" s="207">
        <f>--ISNUMBER(IFERROR(SEARCH('PLANILLA DJ'!$X$63,$A87,1),""))</f>
        <v>1</v>
      </c>
      <c r="BO87" s="207">
        <f>--ISNUMBER(IFERROR(SEARCH('PLANILLA DJ'!$X$64,$A87,1),""))</f>
        <v>1</v>
      </c>
      <c r="BP87" s="207">
        <f>--ISNUMBER(IFERROR(SEARCH('PLANILLA DJ'!$X$65,$A87,1),""))</f>
        <v>1</v>
      </c>
      <c r="BQ87" s="207">
        <f>--ISNUMBER(IFERROR(SEARCH('PLANILLA DJ'!$X$66,$A87,1),""))</f>
        <v>1</v>
      </c>
      <c r="BR87" s="207">
        <f>--ISNUMBER(IFERROR(SEARCH('PLANILLA DJ'!$X$67,$A87,1),""))</f>
        <v>1</v>
      </c>
      <c r="BS87" s="207">
        <f>--ISNUMBER(IFERROR(SEARCH('PLANILLA DJ'!$X$68,$A87,1),""))</f>
        <v>1</v>
      </c>
      <c r="BT87" s="207">
        <f>--ISNUMBER(IFERROR(SEARCH('PLANILLA DJ'!$X$69,$A87,1),""))</f>
        <v>1</v>
      </c>
      <c r="BU87" s="207">
        <f>--ISNUMBER(IFERROR(SEARCH('PLANILLA DJ'!$X$70,$A87,1),""))</f>
        <v>1</v>
      </c>
      <c r="BV87" s="207">
        <f>--ISNUMBER(IFERROR(SEARCH('PLANILLA DJ'!$X$71,$A87,1),""))</f>
        <v>1</v>
      </c>
      <c r="BW87" s="207">
        <f>--ISNUMBER(IFERROR(SEARCH('PLANILLA DJ'!$X$72,$A87,1),""))</f>
        <v>1</v>
      </c>
      <c r="BX87" s="207">
        <f>--ISNUMBER(IFERROR(SEARCH('PLANILLA DJ'!$X$73,$A87,1),""))</f>
        <v>1</v>
      </c>
      <c r="BY87" s="207">
        <f>--ISNUMBER(IFERROR(SEARCH('PLANILLA DJ'!$X$74,$A87,1),""))</f>
        <v>1</v>
      </c>
      <c r="BZ87" s="207">
        <f>--ISNUMBER(IFERROR(SEARCH('PLANILLA DJ'!$X$75,$A87,1),""))</f>
        <v>1</v>
      </c>
      <c r="CA87" s="207">
        <f>--ISNUMBER(IFERROR(SEARCH('PLANILLA DJ'!$X$76,$A87,1),""))</f>
        <v>1</v>
      </c>
      <c r="CB87" s="207">
        <f>--ISNUMBER(IFERROR(SEARCH('PLANILLA DJ'!$X$77,$A87,1),""))</f>
        <v>1</v>
      </c>
      <c r="CC87" s="207">
        <f>--ISNUMBER(IFERROR(SEARCH('PLANILLA DJ'!$X$78,$A87,1),""))</f>
        <v>1</v>
      </c>
      <c r="CD87" s="207">
        <f>--ISNUMBER(IFERROR(SEARCH('PLANILLA DJ'!$X$79,$A87,1),""))</f>
        <v>1</v>
      </c>
      <c r="CE87" s="207">
        <f>--ISNUMBER(IFERROR(SEARCH('PLANILLA DJ'!$X$80,$A87,1),""))</f>
        <v>1</v>
      </c>
      <c r="CF87" s="207">
        <f>--ISNUMBER(IFERROR(SEARCH('PLANILLA DJ'!$X$81,$A87,1),""))</f>
        <v>1</v>
      </c>
      <c r="CG87" s="207">
        <f>--ISNUMBER(IFERROR(SEARCH('PLANILLA DJ'!$X$82,$A87,1),""))</f>
        <v>1</v>
      </c>
      <c r="CH87" s="207">
        <f>--ISNUMBER(IFERROR(SEARCH('PLANILLA DJ'!$X$83,$A87,1),""))</f>
        <v>1</v>
      </c>
      <c r="CI87" s="207">
        <f>--ISNUMBER(IFERROR(SEARCH('PLANILLA DJ'!$X$84,$A87,1),""))</f>
        <v>1</v>
      </c>
      <c r="CJ87" s="207">
        <f>--ISNUMBER(IFERROR(SEARCH('PLANILLA DJ'!$X$85,$A87,1),""))</f>
        <v>1</v>
      </c>
      <c r="CK87" s="207">
        <f>--ISNUMBER(IFERROR(SEARCH('PLANILLA DJ'!$X$86,$A87,1),""))</f>
        <v>1</v>
      </c>
      <c r="CL87" s="207">
        <f>--ISNUMBER(IFERROR(SEARCH('PLANILLA DJ'!$X$87,$A87,1),""))</f>
        <v>1</v>
      </c>
      <c r="CM87" s="207">
        <f>--ISNUMBER(IFERROR(SEARCH('PLANILLA DJ'!$X$88,$A87,1),""))</f>
        <v>1</v>
      </c>
      <c r="CN87" s="207">
        <f>--ISNUMBER(IFERROR(SEARCH('PLANILLA DJ'!$X$89,$A87,1),""))</f>
        <v>1</v>
      </c>
      <c r="CO87" s="207">
        <f>--ISNUMBER(IFERROR(SEARCH('PLANILLA DJ'!$X$90,$A87,1),""))</f>
        <v>1</v>
      </c>
      <c r="CP87" s="207">
        <f>--ISNUMBER(IFERROR(SEARCH('PLANILLA DJ'!$X$91,$A87,1),""))</f>
        <v>1</v>
      </c>
      <c r="CQ87" s="207">
        <f>--ISNUMBER(IFERROR(SEARCH('PLANILLA DJ'!$X$92,$A87,1),""))</f>
        <v>1</v>
      </c>
      <c r="CR87" s="207">
        <f>--ISNUMBER(IFERROR(SEARCH('PLANILLA DJ'!$X$93,$A87,1),""))</f>
        <v>1</v>
      </c>
      <c r="CS87" s="207">
        <f>--ISNUMBER(IFERROR(SEARCH('PLANILLA DJ'!$X$94,$A87,1),""))</f>
        <v>1</v>
      </c>
      <c r="CT87" s="207">
        <f>--ISNUMBER(IFERROR(SEARCH('PLANILLA DJ'!$X$95,$A87,1),""))</f>
        <v>1</v>
      </c>
      <c r="CU87" s="207">
        <f>--ISNUMBER(IFERROR(SEARCH('PLANILLA DJ'!$X$96,$A87,1),""))</f>
        <v>1</v>
      </c>
      <c r="CV87" s="207">
        <f>--ISNUMBER(IFERROR(SEARCH('PLANILLA DJ'!$X$97,$A87,1),""))</f>
        <v>1</v>
      </c>
      <c r="CW87" s="207">
        <f>--ISNUMBER(IFERROR(SEARCH('PLANILLA DJ'!$X$98,$A87,1),""))</f>
        <v>1</v>
      </c>
      <c r="CX87" s="207">
        <f>--ISNUMBER(IFERROR(SEARCH('PLANILLA DJ'!$X$99,$A87,1),""))</f>
        <v>1</v>
      </c>
      <c r="CY87" s="207">
        <f>--ISNUMBER(IFERROR(SEARCH('PLANILLA DJ'!$X$100,$A87,1),""))</f>
        <v>1</v>
      </c>
      <c r="CZ87" s="207">
        <f>--ISNUMBER(IFERROR(SEARCH('PLANILLA DJ'!$X$101,$A87,1),""))</f>
        <v>1</v>
      </c>
      <c r="DA87" s="207">
        <f>--ISNUMBER(IFERROR(SEARCH('PLANILLA DJ'!$X$102,$A87,1),""))</f>
        <v>1</v>
      </c>
      <c r="DB87" s="206">
        <f>IF(F87=1,COUNTIF($F$2:F87,1),"")</f>
        <v>86</v>
      </c>
      <c r="DC87" s="206">
        <f>IF(G87=1,COUNTIF($G$2:G87,1),"")</f>
        <v>86</v>
      </c>
      <c r="DD87" s="206">
        <f>IF(H87=1,COUNTIF($H$2:H87,1),"")</f>
        <v>86</v>
      </c>
      <c r="DE87" s="206">
        <f>IF(I87=1,COUNTIF($I$2:I87,1),"")</f>
        <v>86</v>
      </c>
      <c r="DF87" s="206">
        <f>IF(J87=1,COUNTIF($J$2:J87,1),"")</f>
        <v>86</v>
      </c>
      <c r="DG87" s="206">
        <f>IF(K87=1,COUNTIF($K$2:K87,1),"")</f>
        <v>86</v>
      </c>
      <c r="DH87" s="206">
        <f>IF(L87=1,COUNTIF($L$2:L87,1),"")</f>
        <v>86</v>
      </c>
      <c r="DI87" s="206">
        <f>IF(M87=1,COUNTIF($M$2:M87,1),"")</f>
        <v>86</v>
      </c>
      <c r="DJ87" s="206">
        <f>IF(N87=1,COUNTIF($N$2:N87,1),"")</f>
        <v>86</v>
      </c>
      <c r="DK87" s="206">
        <f>IF(O87=1,COUNTIF($O$2:O87,1),"")</f>
        <v>86</v>
      </c>
      <c r="DL87" s="206">
        <f>IF(P87=1,COUNTIF($P$2:P87,1),"")</f>
        <v>86</v>
      </c>
      <c r="DM87" s="206">
        <f>IF(Q87=1,COUNTIF($Q$2:Q87,1),"")</f>
        <v>86</v>
      </c>
      <c r="DN87" s="207">
        <f>IF(R87=1,COUNTIF($R$2:R87,1),"")</f>
        <v>86</v>
      </c>
      <c r="DO87" s="207">
        <f>IF(S87=1,COUNTIF($S$2:S87,1),"")</f>
        <v>86</v>
      </c>
      <c r="DP87" s="207">
        <f>IF(T87=1,COUNTIF($T$2:T87,1),"")</f>
        <v>86</v>
      </c>
      <c r="DQ87" s="207">
        <f>IF(U87=1,COUNTIF($U$2:U87,1),"")</f>
        <v>86</v>
      </c>
      <c r="DR87" s="207">
        <f>IF(V87=1,COUNTIF($V$2:V87,1),"")</f>
        <v>86</v>
      </c>
      <c r="DS87" s="207">
        <f>IF(W87=1,COUNTIF($W$2:W87,1),"")</f>
        <v>86</v>
      </c>
      <c r="DT87" s="207">
        <f>IF(X87=1,COUNTIF($X$2:X87,1),"")</f>
        <v>86</v>
      </c>
      <c r="DU87" s="207">
        <f>IF(Y87=1,COUNTIF($Y$2:Y87,1),"")</f>
        <v>86</v>
      </c>
      <c r="DV87" s="207">
        <f>IF(Z87=1,COUNTIF(Z$2:Z87,1),"")</f>
        <v>86</v>
      </c>
      <c r="DW87" s="207">
        <f>IF(AA87=1,COUNTIF($AA$2:AA87,1),"")</f>
        <v>86</v>
      </c>
      <c r="DX87" s="207">
        <f>IF(AB87=1,COUNTIF($AB$2:AB87,1),"")</f>
        <v>86</v>
      </c>
      <c r="DY87" s="207">
        <f>IF(AC87=1,COUNTIF($AC$2:AC87,1),"")</f>
        <v>86</v>
      </c>
      <c r="DZ87" s="207">
        <f>IF(AD87=1,COUNTIF($AD$2:AD87,1),"")</f>
        <v>86</v>
      </c>
      <c r="EA87" s="207">
        <f>IF(AE87=1,COUNTIF($AE$2:AE87,1),"")</f>
        <v>86</v>
      </c>
      <c r="EB87" s="207">
        <f>IF(AF87=1,COUNTIF($AF$2:AF87,1),"")</f>
        <v>86</v>
      </c>
      <c r="EC87" s="207">
        <f>IF(AG87=1,COUNTIF($AG$2:AG87,1),"")</f>
        <v>86</v>
      </c>
      <c r="ED87" s="207">
        <f>IF(AH87=1,COUNTIF($AH$2:AH87,1),"")</f>
        <v>86</v>
      </c>
      <c r="EE87" s="207">
        <f>IF(AI87=1,COUNTIF($AI$2:AI87,1),"")</f>
        <v>86</v>
      </c>
      <c r="EF87" s="207">
        <f>IF(AJ87=1,COUNTIF($AJ$2:AJ87,1),"")</f>
        <v>86</v>
      </c>
      <c r="EG87" s="207">
        <f>IF(AK87=1,COUNTIF($AK$2:AK87,1),"")</f>
        <v>86</v>
      </c>
      <c r="EH87" s="207">
        <f>IF(AL87=1,COUNTIF($AL$2:AL87,1),"")</f>
        <v>86</v>
      </c>
      <c r="EI87" s="207">
        <f>IF(AM87=1,COUNTIF($AM$2:AM87,1),"")</f>
        <v>86</v>
      </c>
      <c r="EJ87" s="207">
        <f>IF(AN87=1,COUNTIF($AN$2:AN87,1),"")</f>
        <v>86</v>
      </c>
      <c r="EK87" s="207">
        <f>IF(AO87=1,COUNTIF($AO$2:AO87,1),"")</f>
        <v>86</v>
      </c>
      <c r="EL87" s="207">
        <f>IF(AP87=1,COUNTIF($AP$2:AP87,1),"")</f>
        <v>86</v>
      </c>
      <c r="EM87" s="207">
        <f>IF(AQ87=1,COUNTIF($AQ$2:AQ87,1),"")</f>
        <v>86</v>
      </c>
      <c r="EN87" s="207">
        <f>IF(AR87=1,COUNTIF($AR$2:AR87,1),"")</f>
        <v>86</v>
      </c>
      <c r="EO87" s="207">
        <f>IF(AS87=1,COUNTIF($AS$2:AS87,1),"")</f>
        <v>86</v>
      </c>
      <c r="EP87" s="207">
        <f>IF(AT87=1,COUNTIF($AT$2:AT87,1),"")</f>
        <v>86</v>
      </c>
      <c r="EQ87" s="207">
        <f>IF(AU87=1,COUNTIF($AU$2:AU87,1),"")</f>
        <v>86</v>
      </c>
      <c r="ER87" s="207">
        <f>IF(AV87=1,COUNTIF($AV$2:AV87,1),"")</f>
        <v>86</v>
      </c>
      <c r="ES87" s="207">
        <f>IF(AW87=1,COUNTIF($AW$2:AW87,1),"")</f>
        <v>86</v>
      </c>
      <c r="ET87" s="207">
        <f>IF(AX87=1,COUNTIF($AX$2:AX87,1),"")</f>
        <v>86</v>
      </c>
      <c r="EU87" s="207">
        <f>IF(AY87=1,COUNTIF($AY$2:AY87,1),"")</f>
        <v>86</v>
      </c>
      <c r="EV87" s="207">
        <f>IF(AZ87=1,COUNTIF($AZ$2:AZ87,1),"")</f>
        <v>86</v>
      </c>
      <c r="EW87" s="207">
        <f>IF(BA87=1,COUNTIF($BA$2:BA87,1),"")</f>
        <v>86</v>
      </c>
      <c r="EX87" s="207">
        <f>IF(BB87=1,COUNTIF($BB$2:BB87,1),"")</f>
        <v>86</v>
      </c>
      <c r="EY87" s="207">
        <f>IF(BC87=1,COUNTIF($BC$2:BC87,1),"")</f>
        <v>86</v>
      </c>
      <c r="EZ87" s="207">
        <f>IF(BD87=1,COUNTIF($BD$2:BD87,1),"")</f>
        <v>86</v>
      </c>
      <c r="FA87" s="207">
        <f>IF(BE87=1,COUNTIF($BE$2:BE87,1),"")</f>
        <v>86</v>
      </c>
      <c r="FB87" s="207">
        <f>IF(BF87=1,COUNTIF($BF$2:BF87,1),"")</f>
        <v>86</v>
      </c>
      <c r="FC87" s="207">
        <f>IF(BG87=1,COUNTIF($BG$2:BG87,1),"")</f>
        <v>86</v>
      </c>
      <c r="FD87" s="207">
        <f>IF(BH87=1,COUNTIF($BH$2:BH87,1),"")</f>
        <v>86</v>
      </c>
      <c r="FE87" s="207">
        <f>IF(BI87=1,COUNTIF($BI$2:BI87,1),"")</f>
        <v>86</v>
      </c>
      <c r="FF87" s="207">
        <f>IF(BJ87=1,COUNTIF($BJ$2:BJ87,1),"")</f>
        <v>86</v>
      </c>
      <c r="FG87" s="207">
        <f>IF(BK87=1,COUNTIF($BK$2:BK87,1),"")</f>
        <v>86</v>
      </c>
      <c r="FH87" s="207">
        <f>IF(BL87=1,COUNTIF($BL$2:BL87,1),"")</f>
        <v>86</v>
      </c>
      <c r="FI87" s="207">
        <f>IF(BM87=1,COUNTIF($BM$2:BM87,1),"")</f>
        <v>86</v>
      </c>
      <c r="FJ87" s="207">
        <f>IF(BN87=1,COUNTIF($BN$2:BN87,1),"")</f>
        <v>86</v>
      </c>
      <c r="FK87" s="207">
        <f>IF(BO87=1,COUNTIF($BO$2:BO87,1),"")</f>
        <v>86</v>
      </c>
      <c r="FL87" s="207">
        <f>IF(BP87=1,COUNTIF($BP$2:BP87,1),"")</f>
        <v>86</v>
      </c>
      <c r="FM87" s="207">
        <f>IF(BQ87=1,COUNTIF($BQ$2:BQ87,1),"")</f>
        <v>86</v>
      </c>
      <c r="FN87" s="207">
        <f>IF(BR87=1,COUNTIF($BR$2:BR87,1),"")</f>
        <v>86</v>
      </c>
      <c r="FO87" s="207">
        <f>IF(BS87=1,COUNTIF($BS$2:BS87,1),"")</f>
        <v>86</v>
      </c>
      <c r="FP87" s="207">
        <f>IF(BT87=1,COUNTIF($BT$2:BT87,1),"")</f>
        <v>86</v>
      </c>
      <c r="FQ87" s="207">
        <f>IF(BU87=1,COUNTIF($BU$2:BU87,1),"")</f>
        <v>86</v>
      </c>
      <c r="FR87" s="207">
        <f>IF(BV87=1,COUNTIF($BV$2:BV87,1),"")</f>
        <v>86</v>
      </c>
      <c r="FS87" s="207">
        <f>IF(BW87=1,COUNTIF($BW$2:BW87,1),"")</f>
        <v>86</v>
      </c>
      <c r="FT87" s="207">
        <f>IF(BX87=1,COUNTIF($BX$2:BX87,1),"")</f>
        <v>86</v>
      </c>
      <c r="FU87" s="207">
        <f>IF(BY87=1,COUNTIF($BY$2:BY87,1),"")</f>
        <v>86</v>
      </c>
      <c r="FV87" s="207">
        <f>IF(BZ87=1,COUNTIF($BZ$2:BZ87,1),"")</f>
        <v>86</v>
      </c>
      <c r="FW87" s="207">
        <f>IF(CA87=1,COUNTIF($CA$2:CA87,1),"")</f>
        <v>86</v>
      </c>
      <c r="FX87" s="207">
        <f>IF(CB87=1,COUNTIF($CB$2:CB87,1),"")</f>
        <v>86</v>
      </c>
      <c r="FY87" s="207">
        <f>IF(CC87=1,COUNTIF($CC$2:CC87,1),"")</f>
        <v>86</v>
      </c>
      <c r="FZ87" s="207">
        <f>IF(CD87=1,COUNTIF($CD$2:CD87,1),"")</f>
        <v>86</v>
      </c>
      <c r="GA87" s="207">
        <f>IF(CE87=1,COUNTIF($CE$2:CE87,1),"")</f>
        <v>86</v>
      </c>
      <c r="GB87" s="207">
        <f>IF(CF87=1,COUNTIF($CF$2:CF87,1),"")</f>
        <v>86</v>
      </c>
      <c r="GC87" s="207">
        <f>IF(CG87=1,COUNTIF($CG$2:CG87,1),"")</f>
        <v>86</v>
      </c>
      <c r="GD87" s="207">
        <f>IF(CH87=1,COUNTIF($CH$2:CH87,1),"")</f>
        <v>86</v>
      </c>
      <c r="GE87" s="207">
        <f>IF(CI87=1,COUNTIF($CI$2:CI87,1),"")</f>
        <v>86</v>
      </c>
      <c r="GF87" s="207">
        <f>IF(CJ87=1,COUNTIF($CJ$2:CJ87,1),"")</f>
        <v>86</v>
      </c>
      <c r="GG87" s="207">
        <f>IF(CK87=1,COUNTIF($CK$2:CK87,1),"")</f>
        <v>86</v>
      </c>
      <c r="GH87" s="207">
        <f>IF(CL87=1,COUNTIF($CL$2:CL87,1),"")</f>
        <v>86</v>
      </c>
      <c r="GI87" s="207">
        <f>IF(CM87=1,COUNTIF($CM$2:CM87,1),"")</f>
        <v>86</v>
      </c>
      <c r="GJ87" s="207">
        <f>IF(CN87=1,COUNTIF($CN$2:CN87,1),"")</f>
        <v>86</v>
      </c>
      <c r="GK87" s="207">
        <f>IF(CO87=1,COUNTIF($CO$2:CO87,1),"")</f>
        <v>86</v>
      </c>
      <c r="GL87" s="207">
        <f>IF(CP87=1,COUNTIF($CP$2:CP87,1),"")</f>
        <v>86</v>
      </c>
      <c r="GM87" s="207">
        <f>IF(CQ87=1,COUNTIF($CQ$2:CQ87,1),"")</f>
        <v>86</v>
      </c>
      <c r="GN87" s="207">
        <f>IF(CR87=1,COUNTIF($CR$2:CR87,1),"")</f>
        <v>86</v>
      </c>
      <c r="GO87" s="207">
        <f>IF(CS87=1,COUNTIF($CS$2:CS87,1),"")</f>
        <v>86</v>
      </c>
      <c r="GP87" s="207">
        <f>IF(CT87=1,COUNTIF($CT$2:CT87,1),"")</f>
        <v>86</v>
      </c>
      <c r="GQ87" s="207">
        <f>IF(CU87=1,COUNTIF($CU$2:CU87,1),"")</f>
        <v>86</v>
      </c>
      <c r="GR87" s="207">
        <f>IF(CV87=1,COUNTIF($CV$2:CV87,1),"")</f>
        <v>86</v>
      </c>
      <c r="GS87" s="207">
        <f>IF(CW87=1,COUNTIF($CW$2:CW87,1),"")</f>
        <v>86</v>
      </c>
      <c r="GT87" s="207">
        <f>IF(CX87=1,COUNTIF($CX$2:CX87,1),"")</f>
        <v>86</v>
      </c>
      <c r="GU87" s="207">
        <f>IF(CY87=1,COUNTIF($CY$2:CY87,1),"")</f>
        <v>86</v>
      </c>
      <c r="GV87" s="207">
        <f>IF(CZ87=1,COUNTIF($CZ$2:CZ87,1),"")</f>
        <v>86</v>
      </c>
      <c r="GW87" s="207">
        <f>IF(DA87=1,COUNTIF($DA$2:DA87,1),"")</f>
        <v>86</v>
      </c>
      <c r="GX87" s="206" t="str">
        <f>IFERROR(INDEX($A$2:$A$113,MATCH(ROWS($DB$2:DB87),$DB$2:$DB$113,0)),"")</f>
        <v xml:space="preserve">ENCUBRIMIENTO </v>
      </c>
      <c r="GY87" s="206" t="str">
        <f>IFERROR(INDEX($A$2:$A$113,MATCH(ROWS($DC$2:DC87),$DC$2:$DC$113,0)),"")</f>
        <v xml:space="preserve">ENCUBRIMIENTO </v>
      </c>
      <c r="GZ87" s="206" t="str">
        <f>IFERROR(INDEX($A$2:$A$113,MATCH(ROWS($DD$2:DD87),$DD$2:$DD$113,0)),"")</f>
        <v xml:space="preserve">ENCUBRIMIENTO </v>
      </c>
      <c r="HA87" s="206" t="str">
        <f>IFERROR(INDEX($A$2:$A$113,MATCH(ROWS($DE$2:DE87),$DE$2:$DE$113,0)),"")</f>
        <v xml:space="preserve">ENCUBRIMIENTO </v>
      </c>
      <c r="HB87" s="206" t="str">
        <f>IFERROR(INDEX($A$2:$A$113,MATCH(ROWS($DF$2:DF87),$DF$2:$DF$113,0)),"")</f>
        <v xml:space="preserve">ENCUBRIMIENTO </v>
      </c>
      <c r="HC87" s="206" t="str">
        <f>IFERROR(INDEX($A$2:$A$113,MATCH(ROWS($DG$2:DG87),$DG$2:$DG$113,0)),"")</f>
        <v xml:space="preserve">ENCUBRIMIENTO </v>
      </c>
      <c r="HD87" s="206" t="str">
        <f>IFERROR(INDEX($A$2:$A$113,MATCH(ROWS($DH$2:DH87),$DH$2:$DH$113,0)),"")</f>
        <v xml:space="preserve">ENCUBRIMIENTO </v>
      </c>
      <c r="HE87" s="206" t="str">
        <f>IFERROR(INDEX($A$2:$A$113,MATCH(ROWS($DI$2:DI87),$DI$2:$DI$113,0)),"")</f>
        <v xml:space="preserve">ENCUBRIMIENTO </v>
      </c>
      <c r="HF87" s="206" t="str">
        <f>IFERROR(INDEX($A$2:$A$113,MATCH(ROWS($DJ$2:DJ87),$DJ$2:$DJ$113,0)),"")</f>
        <v xml:space="preserve">ENCUBRIMIENTO </v>
      </c>
      <c r="HG87" s="206" t="str">
        <f>IFERROR(INDEX($A$2:$A$113,MATCH(ROWS($DK$2:DK87),$DK$2:$DK$113,0)),"")</f>
        <v xml:space="preserve">ENCUBRIMIENTO </v>
      </c>
      <c r="HH87" s="206" t="str">
        <f>IFERROR(INDEX($A$2:$A$113,MATCH(ROWS($DL$2:DL87),$DL$2:$DL$113,0)),"")</f>
        <v xml:space="preserve">ENCUBRIMIENTO </v>
      </c>
      <c r="HI87" s="206" t="str">
        <f>IFERROR(INDEX($A$2:$A$113,MATCH(ROWS($DM$2:DM87),$DM$2:$DM$113,0)),"")</f>
        <v xml:space="preserve">ENCUBRIMIENTO </v>
      </c>
      <c r="HJ87" s="206" t="str">
        <f>IFERROR(INDEX($A$2:$A$113,MATCH(ROWS($DN$2:DN87),$DN$2:$DN$113,0)),"")</f>
        <v xml:space="preserve">ENCUBRIMIENTO </v>
      </c>
      <c r="HK87" s="206" t="str">
        <f>IFERROR(INDEX($A$2:$A$113,MATCH(ROWS($DO$2:DO87),$DO$2:$DO$113,0)),"")</f>
        <v xml:space="preserve">ENCUBRIMIENTO </v>
      </c>
      <c r="HL87" s="206" t="str">
        <f>IFERROR(INDEX($A$2:$A$113,MATCH(ROWS($DP$2:DP87),$DP$2:$DP$113,0)),"")</f>
        <v xml:space="preserve">ENCUBRIMIENTO </v>
      </c>
      <c r="HM87" s="206" t="str">
        <f>IFERROR(INDEX($A$2:$A$113,MATCH(ROWS($DQ$2:DQ87),$DQ$2:$DQ$113,0)),"")</f>
        <v xml:space="preserve">ENCUBRIMIENTO </v>
      </c>
      <c r="HN87" s="206" t="str">
        <f>IFERROR(INDEX($A$2:$A$113,MATCH(ROWS($DR$2:DR87),$DR$2:$DR$113,0)),"")</f>
        <v xml:space="preserve">ENCUBRIMIENTO </v>
      </c>
      <c r="HO87" s="206" t="str">
        <f>IFERROR(INDEX($A$2:$A$113,MATCH(ROWS($DS$2:DS87),$DS$2:$DS$113,0)),"")</f>
        <v xml:space="preserve">ENCUBRIMIENTO </v>
      </c>
      <c r="HP87" s="206" t="str">
        <f>IFERROR(INDEX($A$2:$A$113,MATCH(ROWS($DT$2:DT87),$DT$2:$DT$113,0)),"")</f>
        <v xml:space="preserve">ENCUBRIMIENTO </v>
      </c>
      <c r="HQ87" s="206" t="str">
        <f>IFERROR(INDEX($A$2:$A$113,MATCH(ROWS($DU$2:DU87),$DU$2:$DU$113,0)),"")</f>
        <v xml:space="preserve">ENCUBRIMIENTO </v>
      </c>
      <c r="HR87" s="206" t="str">
        <f>IFERROR(INDEX($A$2:$A$113,MATCH(ROWS($DV$2:DV87),$DV$2:$DV$113,0)),"")</f>
        <v xml:space="preserve">ENCUBRIMIENTO </v>
      </c>
      <c r="HS87" s="206" t="str">
        <f>IFERROR(INDEX($A$2:$A$113,MATCH(ROWS($DW$2:DW87),$DW$2:$DW$113,0)),"")</f>
        <v xml:space="preserve">ENCUBRIMIENTO </v>
      </c>
      <c r="HT87" s="206" t="str">
        <f>IFERROR(INDEX($A$2:$A$113,MATCH(ROWS($DX$2:DX87),$DX$2:$DX$113,0)),"")</f>
        <v xml:space="preserve">ENCUBRIMIENTO </v>
      </c>
      <c r="HU87" s="206" t="str">
        <f>IFERROR(INDEX($A$2:$A$113,MATCH(ROWS($DY$2:DY87),$DY$2:$DY$113,0)),"")</f>
        <v xml:space="preserve">ENCUBRIMIENTO </v>
      </c>
      <c r="HV87" s="206" t="str">
        <f>IFERROR(INDEX($A$2:$A$113,MATCH(ROWS($DZ$2:DZ87),$DZ$2:$DZ$113,0)),"")</f>
        <v xml:space="preserve">ENCUBRIMIENTO </v>
      </c>
      <c r="HW87" s="206" t="str">
        <f>IFERROR(INDEX($A$2:$A$113,MATCH(ROWS($EA$2:EA87),$EA$2:$EA$113,0)),"")</f>
        <v xml:space="preserve">ENCUBRIMIENTO </v>
      </c>
      <c r="HX87" s="206" t="str">
        <f>IFERROR(INDEX($A$2:$A$113,MATCH(ROWS($EB$2:EB87),$EB$2:$EB$113,0)),"")</f>
        <v xml:space="preserve">ENCUBRIMIENTO </v>
      </c>
      <c r="HY87" s="206" t="str">
        <f>IFERROR(INDEX($A$2:$A$113,MATCH(ROWS($EC$2:EC87),$EC$2:$EC$113,0)),"")</f>
        <v xml:space="preserve">ENCUBRIMIENTO </v>
      </c>
      <c r="HZ87" s="206" t="str">
        <f>IFERROR(INDEX($A$2:$A$113,MATCH(ROWS($ED$2:ED87),$ED$2:$ED$113,0)),"")</f>
        <v xml:space="preserve">ENCUBRIMIENTO </v>
      </c>
      <c r="IA87" s="206" t="str">
        <f>IFERROR(INDEX($A$2:$A$113,MATCH(ROWS($EE$2:EE87),$EE$2:$EE$113,0)),"")</f>
        <v xml:space="preserve">ENCUBRIMIENTO </v>
      </c>
      <c r="IB87" s="206" t="str">
        <f>IFERROR(INDEX($A$2:$A$113,MATCH(ROWS($EF$2:EF87),$EF$2:$EF$113,0)),"")</f>
        <v xml:space="preserve">ENCUBRIMIENTO </v>
      </c>
      <c r="IC87" s="206" t="str">
        <f>IFERROR(INDEX($A$2:$A$113,MATCH(ROWS($EG$2:EG87),$EG$2:$EG$113,0)),"")</f>
        <v xml:space="preserve">ENCUBRIMIENTO </v>
      </c>
      <c r="ID87" s="206" t="str">
        <f>IFERROR(INDEX($A$2:$A$113,MATCH(ROWS($EH$2:EH87),$EH$2:$EH$113,0)),"")</f>
        <v xml:space="preserve">ENCUBRIMIENTO </v>
      </c>
      <c r="IE87" s="206" t="str">
        <f>IFERROR(INDEX($A$2:$A$113,MATCH(ROWS($EI$2:EI87),$EI$2:$EI$113,0)),"")</f>
        <v xml:space="preserve">ENCUBRIMIENTO </v>
      </c>
      <c r="IF87" s="206" t="str">
        <f>IFERROR(INDEX($A$2:$A$113,MATCH(ROWS($EJ$2:EJ87),$EJ$2:$EJ$113,0)),"")</f>
        <v xml:space="preserve">ENCUBRIMIENTO </v>
      </c>
      <c r="IG87" s="206" t="str">
        <f>IFERROR(INDEX($A$2:$A$113,MATCH(ROWS($EK$2:EK87),$EK$2:$EK$113,0)),"")</f>
        <v xml:space="preserve">ENCUBRIMIENTO </v>
      </c>
      <c r="IH87" s="206" t="str">
        <f>IFERROR(INDEX($A$2:$A$113,MATCH(ROWS($EL$2:EL87),$EL$2:$EL$113,0)),"")</f>
        <v xml:space="preserve">ENCUBRIMIENTO </v>
      </c>
      <c r="II87" s="206" t="str">
        <f>IFERROR(INDEX($A$2:$A$113,MATCH(ROWS($EM$2:EM87),$EM$2:$EM$113,0)),"")</f>
        <v xml:space="preserve">ENCUBRIMIENTO </v>
      </c>
      <c r="IJ87" s="206" t="str">
        <f>IFERROR(INDEX($A$2:$A$113,MATCH(ROWS($EN$2:EN87),$EN$2:$EN$113,0)),"")</f>
        <v xml:space="preserve">ENCUBRIMIENTO </v>
      </c>
      <c r="IK87" s="207" t="str">
        <f>IFERROR(INDEX($A$2:$A$113,MATCH(ROWS($EO$2:EO87),$EO$2:$EO$113,0)),"")</f>
        <v xml:space="preserve">ENCUBRIMIENTO </v>
      </c>
      <c r="IL87" s="207" t="str">
        <f>IFERROR(INDEX($A$2:$A$113,MATCH(ROWS($EP$2:EP87),$EP$2:$EP$113,0)),"")</f>
        <v xml:space="preserve">ENCUBRIMIENTO </v>
      </c>
      <c r="IM87" s="207" t="str">
        <f>IFERROR(INDEX($A$2:$A$113,MATCH(ROWS($EQ$2:EQ87),$EQ$2:$EQ$113,0)),"")</f>
        <v xml:space="preserve">ENCUBRIMIENTO </v>
      </c>
      <c r="IN87" s="207" t="str">
        <f>IFERROR(INDEX($A$2:$A$113,MATCH(ROWS($ER$2:ER87),$ER$2:$ER$113,0)),"")</f>
        <v xml:space="preserve">ENCUBRIMIENTO </v>
      </c>
      <c r="IO87" s="207" t="str">
        <f>IFERROR(INDEX($A$2:$A$113,MATCH(ROWS($ES$2:ES87),$ES$2:$ES$113,0)),"")</f>
        <v xml:space="preserve">ENCUBRIMIENTO </v>
      </c>
      <c r="IP87" s="207" t="str">
        <f>IFERROR(INDEX($A$2:$A$113,MATCH(ROWS($ET$2:ET87),$ET$2:$ET$113,0)),"")</f>
        <v xml:space="preserve">ENCUBRIMIENTO </v>
      </c>
      <c r="IQ87" s="207" t="str">
        <f>IFERROR(INDEX($A$2:$A$113,MATCH(ROWS($EU$2:EU87),$EU$2:$EU$113,0)),"")</f>
        <v xml:space="preserve">ENCUBRIMIENTO </v>
      </c>
      <c r="IR87" s="207" t="str">
        <f>IFERROR(INDEX($A$2:$A$113,MATCH(ROWS($EV$2:EV87),$EV$2:$EV$113,0)),"")</f>
        <v xml:space="preserve">ENCUBRIMIENTO </v>
      </c>
      <c r="IS87" s="207" t="str">
        <f>IFERROR(INDEX($A$2:$A$113,MATCH(ROWS($EW$2:EW87),$EW$2:$EW$113,0)),"")</f>
        <v xml:space="preserve">ENCUBRIMIENTO </v>
      </c>
      <c r="IT87" s="207" t="str">
        <f>IFERROR(INDEX($A$2:$A$113,MATCH(ROWS($EX$2:EX87),$EX$2:$EX$113,0)),"")</f>
        <v xml:space="preserve">ENCUBRIMIENTO </v>
      </c>
      <c r="IU87" s="207" t="str">
        <f>IFERROR(INDEX($A$2:$A$113,MATCH(ROWS($EY$2:EY87),$EY$2:$EY$113,0)),"")</f>
        <v xml:space="preserve">ENCUBRIMIENTO </v>
      </c>
      <c r="IV87" s="207" t="str">
        <f>IFERROR(INDEX($A$2:$A$113,MATCH(ROWS($EZ$2:EZ87),$EZ$2:$EZ$113,0)),"")</f>
        <v xml:space="preserve">ENCUBRIMIENTO </v>
      </c>
      <c r="IW87" s="207" t="str">
        <f>IFERROR(INDEX($A$2:$A$113,MATCH(ROWS($FA$2:FA87),$FA$2:$FA$113,0)),"")</f>
        <v xml:space="preserve">ENCUBRIMIENTO </v>
      </c>
      <c r="IX87" s="207" t="str">
        <f>IFERROR(INDEX($A$2:$A$113,MATCH(ROWS($FB$2:FB87),$FB$2:$FB$113,0)),"")</f>
        <v xml:space="preserve">ENCUBRIMIENTO </v>
      </c>
      <c r="IY87" s="207" t="str">
        <f>IFERROR(INDEX($A$2:$A$113,MATCH(ROWS($FC$2:FC87),$FC$2:$FC$113,0)),"")</f>
        <v xml:space="preserve">ENCUBRIMIENTO </v>
      </c>
      <c r="IZ87" s="207" t="str">
        <f>IFERROR(INDEX($A$2:$A$113,MATCH(ROWS($FD$2:FD87),$FD$2:$FD$113,0)),"")</f>
        <v xml:space="preserve">ENCUBRIMIENTO </v>
      </c>
      <c r="JA87" s="207" t="str">
        <f>IFERROR(INDEX($A$2:$A$113,MATCH(ROWS($FE$2:FE87),$FE$2:$FE$113,0)),"")</f>
        <v xml:space="preserve">ENCUBRIMIENTO </v>
      </c>
      <c r="JB87" s="207" t="str">
        <f>IFERROR(INDEX($A$2:$A$113,MATCH(ROWS($FF$2:FF87),$FF$2:$FF$113,0)),"")</f>
        <v xml:space="preserve">ENCUBRIMIENTO </v>
      </c>
      <c r="JC87" s="207" t="str">
        <f>IFERROR(INDEX($A$2:$A$113,MATCH(ROWS($FG$2:FG87),$FG$2:$FG$113,0)),"")</f>
        <v xml:space="preserve">ENCUBRIMIENTO </v>
      </c>
      <c r="JD87" s="207" t="str">
        <f>IFERROR(INDEX($A$2:$A$113,MATCH(ROWS($FH$2:FH87),$FH$2:$FH$113,0)),"")</f>
        <v xml:space="preserve">ENCUBRIMIENTO </v>
      </c>
      <c r="JE87" s="207" t="str">
        <f>IFERROR(INDEX($A$2:$A$113,MATCH(ROWS($FI$2:FI87),$FI$2:$FI$113,0)),"")</f>
        <v xml:space="preserve">ENCUBRIMIENTO </v>
      </c>
      <c r="JF87" s="207" t="str">
        <f>IFERROR(INDEX($A$2:$A$113,MATCH(ROWS($FJ$2:FJ87),$FJ$2:$FJ$113,0)),"")</f>
        <v xml:space="preserve">ENCUBRIMIENTO </v>
      </c>
      <c r="JG87" s="207" t="str">
        <f>IFERROR(INDEX($A$2:$A$113,MATCH(ROWS($FK$2:FK87),$FK$2:$FK$113,0)),"")</f>
        <v xml:space="preserve">ENCUBRIMIENTO </v>
      </c>
      <c r="JH87" s="207" t="str">
        <f>IFERROR(INDEX($A$2:$A$113,MATCH(ROWS($FL$2:FL87),$FL$2:$FL$113,0)),"")</f>
        <v xml:space="preserve">ENCUBRIMIENTO </v>
      </c>
      <c r="JI87" s="207" t="str">
        <f>IFERROR(INDEX($A$2:$A$113,MATCH(ROWS($FM$2:FM87),$FM$2:$FM$113,0)),"")</f>
        <v xml:space="preserve">ENCUBRIMIENTO </v>
      </c>
      <c r="JJ87" s="207" t="str">
        <f>IFERROR(INDEX($A$2:$A$113,MATCH(ROWS($FN$2:FN87),$FN$2:$FN$113,0)),"")</f>
        <v xml:space="preserve">ENCUBRIMIENTO </v>
      </c>
      <c r="JK87" s="207" t="str">
        <f>IFERROR(INDEX($A$2:$A$113,MATCH(ROWS($FO$2:FO87),$FO$2:$FO$113,0)),"")</f>
        <v xml:space="preserve">ENCUBRIMIENTO </v>
      </c>
      <c r="JL87" s="207" t="str">
        <f>IFERROR(INDEX($A$2:$A$113,MATCH(ROWS($FP$2:FP87),$FP$2:$FP$113,0)),"")</f>
        <v xml:space="preserve">ENCUBRIMIENTO </v>
      </c>
      <c r="JM87" s="207" t="str">
        <f>IFERROR(INDEX($A$2:$A$113,MATCH(ROWS($FQ$2:FQ87),$FQ$2:$FQ$113,0)),"")</f>
        <v xml:space="preserve">ENCUBRIMIENTO </v>
      </c>
      <c r="JN87" s="207" t="str">
        <f>IFERROR(INDEX($A$2:$A$113,MATCH(ROWS($FR$2:FR87),$FR$2:$FR$113,0)),"")</f>
        <v xml:space="preserve">ENCUBRIMIENTO </v>
      </c>
      <c r="JO87" s="207" t="str">
        <f>IFERROR(INDEX($A$2:$A$113,MATCH(ROWS($FS$2:FS87),$FS$2:$FS$113,0)),"")</f>
        <v xml:space="preserve">ENCUBRIMIENTO </v>
      </c>
      <c r="JP87" s="207" t="str">
        <f>IFERROR(INDEX($A$2:$A$113,MATCH(ROWS($FT$2:FT87),$FT$2:$FT$113,0)),"")</f>
        <v xml:space="preserve">ENCUBRIMIENTO </v>
      </c>
      <c r="JQ87" s="207" t="str">
        <f>IFERROR(INDEX($A$2:$A$113,MATCH(ROWS($FU$2:FU87),$FU$2:$FU$113,0)),"")</f>
        <v xml:space="preserve">ENCUBRIMIENTO </v>
      </c>
      <c r="JR87" s="207" t="str">
        <f>IFERROR(INDEX($A$2:$A$113,MATCH(ROWS($FV$2:FV87),$FV$2:$FV$113,0)),"")</f>
        <v xml:space="preserve">ENCUBRIMIENTO </v>
      </c>
      <c r="JS87" s="207" t="str">
        <f>IFERROR(INDEX($A$2:$A$113,MATCH(ROWS($FW$2:FW87),$FW$2:$FW$113,0)),"")</f>
        <v xml:space="preserve">ENCUBRIMIENTO </v>
      </c>
      <c r="JT87" s="207" t="str">
        <f>IFERROR(INDEX($A$2:$A$113,MATCH(ROWS($FX$2:FX87),$FX$2:$FX$113,0)),"")</f>
        <v xml:space="preserve">ENCUBRIMIENTO </v>
      </c>
      <c r="JU87" s="207" t="str">
        <f>IFERROR(INDEX($A$2:$A$113,MATCH(ROWS($FY$2:FY87),$FY$2:$FY$113,0)),"")</f>
        <v xml:space="preserve">ENCUBRIMIENTO </v>
      </c>
      <c r="JV87" s="207" t="str">
        <f>IFERROR(INDEX($A$2:$A$113,MATCH(ROWS($FZ$2:FZ87),$FZ$2:$FZ$113,0)),"")</f>
        <v xml:space="preserve">ENCUBRIMIENTO </v>
      </c>
      <c r="JW87" s="207" t="str">
        <f>IFERROR(INDEX($A$2:$A$113,MATCH(ROWS($GA$2:GA87),$GA$2:$GA$113,0)),"")</f>
        <v xml:space="preserve">ENCUBRIMIENTO </v>
      </c>
      <c r="JX87" s="207" t="str">
        <f>IFERROR(INDEX($A$2:$A$113,MATCH(ROWS($GB$2:GB87),$GB$2:$GB$113,0)),"")</f>
        <v xml:space="preserve">ENCUBRIMIENTO </v>
      </c>
      <c r="JY87" s="207" t="str">
        <f>IFERROR(INDEX($A$2:$A$113,MATCH(ROWS($GC$2:GC87),$GC$2:$GC$113,0)),"")</f>
        <v xml:space="preserve">ENCUBRIMIENTO </v>
      </c>
      <c r="JZ87" s="207" t="str">
        <f>IFERROR(INDEX($A$2:$A$113,MATCH(ROWS($GD$2:GD87),$GD$2:$GD$113,0)),"")</f>
        <v xml:space="preserve">ENCUBRIMIENTO </v>
      </c>
      <c r="KA87" s="207" t="str">
        <f>IFERROR(INDEX($A$2:$A$113,MATCH(ROWS($GE$2:GE87),$GE$2:$GE$113,0)),"")</f>
        <v xml:space="preserve">ENCUBRIMIENTO </v>
      </c>
      <c r="KB87" s="207" t="str">
        <f>IFERROR(INDEX($A$2:$A$113,MATCH(ROWS($GF$2:GF87),$GF$2:$GF$113,0)),"")</f>
        <v xml:space="preserve">ENCUBRIMIENTO </v>
      </c>
      <c r="KC87" s="207" t="str">
        <f>IFERROR(INDEX($A$2:$A$113,MATCH(ROWS($GG$2:GG87),$GG$2:$GG$113,0)),"")</f>
        <v xml:space="preserve">ENCUBRIMIENTO </v>
      </c>
      <c r="KD87" s="207" t="str">
        <f>IFERROR(INDEX($A$2:$A$113,MATCH(ROWS($GH$2:GH87),$GH$2:$GH$113,0)),"")</f>
        <v xml:space="preserve">ENCUBRIMIENTO </v>
      </c>
      <c r="KE87" s="207" t="str">
        <f>IFERROR(INDEX($A$2:$A$113,MATCH(ROWS($GI$2:GI87),$GI$2:$GI$113,0)),"")</f>
        <v xml:space="preserve">ENCUBRIMIENTO </v>
      </c>
      <c r="KF87" s="207" t="str">
        <f>IFERROR(INDEX($A$2:$A$113,MATCH(ROWS($GJ$2:GJ87),$GJ$2:$GJ$113,0)),"")</f>
        <v xml:space="preserve">ENCUBRIMIENTO </v>
      </c>
      <c r="KG87" s="207" t="str">
        <f>IFERROR(INDEX($A$2:$A$113,MATCH(ROWS($GK$2:GK87),$GK$2:$GK$113,0)),"")</f>
        <v xml:space="preserve">ENCUBRIMIENTO </v>
      </c>
      <c r="KH87" s="207" t="str">
        <f>IFERROR(INDEX($A$2:$A$113,MATCH(ROWS($GL$2:GL87),$GL$2:$GL$113,0)),"")</f>
        <v xml:space="preserve">ENCUBRIMIENTO </v>
      </c>
      <c r="KI87" s="207" t="str">
        <f>IFERROR(INDEX($A$2:$A$113,MATCH(ROWS($GM$2:GM87),$GM$2:$GM$113,0)),"")</f>
        <v xml:space="preserve">ENCUBRIMIENTO </v>
      </c>
      <c r="KJ87" s="207" t="str">
        <f>IFERROR(INDEX($A$2:$A$113,MATCH(ROWS($GN$2:GN87),$GN$2:$GN$113,0)),"")</f>
        <v xml:space="preserve">ENCUBRIMIENTO </v>
      </c>
      <c r="KK87" s="207" t="str">
        <f>IFERROR(INDEX($A$2:$A$113,MATCH(ROWS($GO$2:GO87),$GO$2:$GO$113,0)),"")</f>
        <v xml:space="preserve">ENCUBRIMIENTO </v>
      </c>
      <c r="KL87" s="207" t="str">
        <f>IFERROR(INDEX($A$2:$A$113,MATCH(ROWS($GP$2:GP87),$GP$2:$GP$113,0)),"")</f>
        <v xml:space="preserve">ENCUBRIMIENTO </v>
      </c>
      <c r="KM87" s="207" t="str">
        <f>IFERROR(INDEX($A$2:$A$113,MATCH(ROWS($GQ$2:GQ87),$GQ$2:$GQ$113,0)),"")</f>
        <v xml:space="preserve">ENCUBRIMIENTO </v>
      </c>
      <c r="KN87" s="207" t="str">
        <f>IFERROR(INDEX($A$2:$A$113,MATCH(ROWS($GR$2:GR87),$GR$2:$GR$113,0)),"")</f>
        <v xml:space="preserve">ENCUBRIMIENTO </v>
      </c>
      <c r="KO87" s="207" t="str">
        <f>IFERROR(INDEX($A$2:$A$113,MATCH(ROWS($GS$2:GS87),$GS$2:$GS$113,0)),"")</f>
        <v xml:space="preserve">ENCUBRIMIENTO </v>
      </c>
      <c r="KP87" s="207" t="str">
        <f>IFERROR(INDEX($A$2:$A$113,MATCH(ROWS($GT$2:GT87),$GT$2:$GT$113,0)),"")</f>
        <v xml:space="preserve">ENCUBRIMIENTO </v>
      </c>
      <c r="KQ87" s="207" t="str">
        <f>IFERROR(INDEX($A$2:$A$113,MATCH(ROWS($GU$2:GU87),$GU$2:$GU$113,0)),"")</f>
        <v xml:space="preserve">ENCUBRIMIENTO </v>
      </c>
      <c r="KR87" s="207" t="str">
        <f>IFERROR(INDEX($A$2:$A$113,MATCH(ROWS($GV$2:GV87),$GV$2:$GV$113,0)),"")</f>
        <v xml:space="preserve">ENCUBRIMIENTO </v>
      </c>
      <c r="KS87" s="207" t="str">
        <f>IFERROR(INDEX($A$2:$A$113,MATCH(ROWS($GW$2:GW87),$GW$2:$GW$113,0)),"")</f>
        <v xml:space="preserve">ENCUBRIMIENTO </v>
      </c>
    </row>
    <row r="88" spans="1:305" x14ac:dyDescent="0.25">
      <c r="A88" s="206" t="s">
        <v>908</v>
      </c>
      <c r="B88" s="206">
        <v>26</v>
      </c>
      <c r="D88" s="206" t="s">
        <v>27</v>
      </c>
      <c r="E88" s="206" t="s">
        <v>113</v>
      </c>
      <c r="F88" s="207">
        <f>--ISNUMBER(IFERROR(SEARCH('PLANILLA DJ'!$X$3,$A88,1),""))</f>
        <v>1</v>
      </c>
      <c r="G88" s="207">
        <f>--ISNUMBER(IFERROR(SEARCH('PLANILLA DJ'!$X$4,$A88,1),""))</f>
        <v>1</v>
      </c>
      <c r="H88" s="207">
        <f>--ISNUMBER(IFERROR(SEARCH('PLANILLA DJ'!$X$5,$A88,1),""))</f>
        <v>1</v>
      </c>
      <c r="I88" s="207">
        <f>--ISNUMBER(IFERROR(SEARCH('PLANILLA DJ'!$X$6,$A88,1),""))</f>
        <v>1</v>
      </c>
      <c r="J88" s="207">
        <f>--ISNUMBER(IFERROR(SEARCH('PLANILLA DJ'!$X$7,$A88,1),""))</f>
        <v>1</v>
      </c>
      <c r="K88" s="207">
        <f>--ISNUMBER(IFERROR(SEARCH('PLANILLA DJ'!$X$8,$A88,1),""))</f>
        <v>1</v>
      </c>
      <c r="L88" s="207">
        <f>--ISNUMBER(IFERROR(SEARCH('PLANILLA DJ'!$X$9,$A88,1),""))</f>
        <v>1</v>
      </c>
      <c r="M88" s="207">
        <f>--ISNUMBER(IFERROR(SEARCH('PLANILLA DJ'!$X$10,$A88,1),""))</f>
        <v>1</v>
      </c>
      <c r="N88" s="207">
        <f>--ISNUMBER(IFERROR(SEARCH('PLANILLA DJ'!$X$11,$A88,1),""))</f>
        <v>1</v>
      </c>
      <c r="O88" s="207">
        <f>--ISNUMBER(IFERROR(SEARCH('PLANILLA DJ'!$X$12,$A88,1),""))</f>
        <v>1</v>
      </c>
      <c r="P88" s="207">
        <f>--ISNUMBER(IFERROR(SEARCH('PLANILLA DJ'!$X$13,$A88,1),""))</f>
        <v>1</v>
      </c>
      <c r="Q88" s="207">
        <f>--ISNUMBER(IFERROR(SEARCH('PLANILLA DJ'!$X$14,$A88,1),""))</f>
        <v>1</v>
      </c>
      <c r="R88" s="207">
        <f>--ISNUMBER(IFERROR(SEARCH('PLANILLA DJ'!$X$15,$A88,1),""))</f>
        <v>1</v>
      </c>
      <c r="S88" s="207">
        <f>--ISNUMBER(IFERROR(SEARCH('PLANILLA DJ'!$X$16,$A88,1),""))</f>
        <v>1</v>
      </c>
      <c r="T88" s="207">
        <f>--ISNUMBER(IFERROR(SEARCH('PLANILLA DJ'!$X$17,$A88,1),""))</f>
        <v>1</v>
      </c>
      <c r="U88" s="207">
        <f>--ISNUMBER(IFERROR(SEARCH('PLANILLA DJ'!$X$18,$A88,1),""))</f>
        <v>1</v>
      </c>
      <c r="V88" s="207">
        <f>--ISNUMBER(IFERROR(SEARCH('PLANILLA DJ'!$X$19,$A88,1),""))</f>
        <v>1</v>
      </c>
      <c r="W88" s="207">
        <f>--ISNUMBER(IFERROR(SEARCH('PLANILLA DJ'!$X$20,$A88,1),""))</f>
        <v>1</v>
      </c>
      <c r="X88" s="207">
        <f>--ISNUMBER(IFERROR(SEARCH('PLANILLA DJ'!$X$21,$A88,1),""))</f>
        <v>1</v>
      </c>
      <c r="Y88" s="207">
        <f>--ISNUMBER(IFERROR(SEARCH('PLANILLA DJ'!$X$22,$A88,1),""))</f>
        <v>1</v>
      </c>
      <c r="Z88" s="207">
        <f>--ISNUMBER(IFERROR(SEARCH('PLANILLA DJ'!$X$23,$A88,1),""))</f>
        <v>1</v>
      </c>
      <c r="AA88" s="207">
        <f>--ISNUMBER(IFERROR(SEARCH('PLANILLA DJ'!$X$24,$A88,1),""))</f>
        <v>1</v>
      </c>
      <c r="AB88" s="207">
        <f>--ISNUMBER(IFERROR(SEARCH('PLANILLA DJ'!$X$25,$A88,1),""))</f>
        <v>1</v>
      </c>
      <c r="AC88" s="207">
        <f>--ISNUMBER(IFERROR(SEARCH('PLANILLA DJ'!$X$26,$A88,1),""))</f>
        <v>1</v>
      </c>
      <c r="AD88" s="207">
        <f>--ISNUMBER(IFERROR(SEARCH('PLANILLA DJ'!$X$27,$A88,1),""))</f>
        <v>1</v>
      </c>
      <c r="AE88" s="207">
        <f>--ISNUMBER(IFERROR(SEARCH('PLANILLA DJ'!$X$28,$A88,1),""))</f>
        <v>1</v>
      </c>
      <c r="AF88" s="207">
        <f>--ISNUMBER(IFERROR(SEARCH('PLANILLA DJ'!$X$29,$A88,1),""))</f>
        <v>1</v>
      </c>
      <c r="AG88" s="207">
        <f>--ISNUMBER(IFERROR(SEARCH('PLANILLA DJ'!$X$30,$A88,1),""))</f>
        <v>1</v>
      </c>
      <c r="AH88" s="207">
        <f>--ISNUMBER(IFERROR(SEARCH('PLANILLA DJ'!$X$31,$A88,1),""))</f>
        <v>1</v>
      </c>
      <c r="AI88" s="207">
        <f>--ISNUMBER(IFERROR(SEARCH('PLANILLA DJ'!$X$32,$A88,1),""))</f>
        <v>1</v>
      </c>
      <c r="AJ88" s="207">
        <f>--ISNUMBER(IFERROR(SEARCH('PLANILLA DJ'!$X$33,$A88,1),""))</f>
        <v>1</v>
      </c>
      <c r="AK88" s="207">
        <f>--ISNUMBER(IFERROR(SEARCH('PLANILLA DJ'!$X$34,$A88,1),""))</f>
        <v>1</v>
      </c>
      <c r="AL88" s="207">
        <f>--ISNUMBER(IFERROR(SEARCH('PLANILLA DJ'!$X$35,$A88,1),""))</f>
        <v>1</v>
      </c>
      <c r="AM88" s="207">
        <f>--ISNUMBER(IFERROR(SEARCH('PLANILLA DJ'!$X$36,$A88,1),""))</f>
        <v>1</v>
      </c>
      <c r="AN88" s="207">
        <f>--ISNUMBER(IFERROR(SEARCH('PLANILLA DJ'!$X$37,$A88,1),""))</f>
        <v>1</v>
      </c>
      <c r="AO88" s="207">
        <f>--ISNUMBER(IFERROR(SEARCH('PLANILLA DJ'!$X$38,$A88,1),""))</f>
        <v>1</v>
      </c>
      <c r="AP88" s="207">
        <f>--ISNUMBER(IFERROR(SEARCH('PLANILLA DJ'!$X$39,$A88,1),""))</f>
        <v>1</v>
      </c>
      <c r="AQ88" s="207">
        <f>--ISNUMBER(IFERROR(SEARCH('PLANILLA DJ'!$X$40,$A88,1),""))</f>
        <v>1</v>
      </c>
      <c r="AR88" s="207">
        <f>--ISNUMBER(IFERROR(SEARCH('PLANILLA DJ'!$X$41,$A88,1),""))</f>
        <v>1</v>
      </c>
      <c r="AS88" s="207">
        <f>--ISNUMBER(IFERROR(SEARCH('PLANILLA DJ'!$X$42,$A88,1),""))</f>
        <v>1</v>
      </c>
      <c r="AT88" s="207">
        <f>--ISNUMBER(IFERROR(SEARCH('PLANILLA DJ'!$X$43,$A88,1),""))</f>
        <v>1</v>
      </c>
      <c r="AU88" s="207">
        <f>--ISNUMBER(IFERROR(SEARCH('PLANILLA DJ'!$X$44,$A88,1),""))</f>
        <v>1</v>
      </c>
      <c r="AV88" s="207">
        <f>--ISNUMBER(IFERROR(SEARCH('PLANILLA DJ'!$X$45,$A88,1),""))</f>
        <v>1</v>
      </c>
      <c r="AW88" s="207">
        <f>--ISNUMBER(IFERROR(SEARCH('PLANILLA DJ'!$X$46,$A88,1),""))</f>
        <v>1</v>
      </c>
      <c r="AX88" s="207">
        <f>--ISNUMBER(IFERROR(SEARCH('PLANILLA DJ'!$X$47,$A88,1),""))</f>
        <v>1</v>
      </c>
      <c r="AY88" s="207">
        <f>--ISNUMBER(IFERROR(SEARCH('PLANILLA DJ'!$X$48,$A88,1),""))</f>
        <v>1</v>
      </c>
      <c r="AZ88" s="207">
        <f>--ISNUMBER(IFERROR(SEARCH('PLANILLA DJ'!$X$49,$A88,1),""))</f>
        <v>1</v>
      </c>
      <c r="BA88" s="207">
        <f>--ISNUMBER(IFERROR(SEARCH('PLANILLA DJ'!$X$50,$A88,1),""))</f>
        <v>1</v>
      </c>
      <c r="BB88" s="207">
        <f>--ISNUMBER(IFERROR(SEARCH('PLANILLA DJ'!$X$51,$A88,1),""))</f>
        <v>1</v>
      </c>
      <c r="BC88" s="207">
        <f>--ISNUMBER(IFERROR(SEARCH('PLANILLA DJ'!$X$52,$A88,1),""))</f>
        <v>1</v>
      </c>
      <c r="BD88" s="207">
        <f>--ISNUMBER(IFERROR(SEARCH('PLANILLA DJ'!$X$53,$A88,1),""))</f>
        <v>1</v>
      </c>
      <c r="BE88" s="207">
        <f>--ISNUMBER(IFERROR(SEARCH('PLANILLA DJ'!$X$54,$A88,1),""))</f>
        <v>1</v>
      </c>
      <c r="BF88" s="207">
        <f>--ISNUMBER(IFERROR(SEARCH('PLANILLA DJ'!$X$55,$A88,1),""))</f>
        <v>1</v>
      </c>
      <c r="BG88" s="207">
        <f>--ISNUMBER(IFERROR(SEARCH('PLANILLA DJ'!$X$56,$A88,1),""))</f>
        <v>1</v>
      </c>
      <c r="BH88" s="207">
        <f>--ISNUMBER(IFERROR(SEARCH('PLANILLA DJ'!$X$57,$A88,1),""))</f>
        <v>1</v>
      </c>
      <c r="BI88" s="207">
        <f>--ISNUMBER(IFERROR(SEARCH('PLANILLA DJ'!$X$58,$A88,1),""))</f>
        <v>1</v>
      </c>
      <c r="BJ88" s="207">
        <f>--ISNUMBER(IFERROR(SEARCH('PLANILLA DJ'!$X$59,$A88,1),""))</f>
        <v>1</v>
      </c>
      <c r="BK88" s="207">
        <f>--ISNUMBER(IFERROR(SEARCH('PLANILLA DJ'!$X$60,$A88,1),""))</f>
        <v>1</v>
      </c>
      <c r="BL88" s="207">
        <f>--ISNUMBER(IFERROR(SEARCH('PLANILLA DJ'!$X$61,$A88,1),""))</f>
        <v>1</v>
      </c>
      <c r="BM88" s="207">
        <f>--ISNUMBER(IFERROR(SEARCH('PLANILLA DJ'!$X$62,$A88,1),""))</f>
        <v>1</v>
      </c>
      <c r="BN88" s="207">
        <f>--ISNUMBER(IFERROR(SEARCH('PLANILLA DJ'!$X$63,$A88,1),""))</f>
        <v>1</v>
      </c>
      <c r="BO88" s="207">
        <f>--ISNUMBER(IFERROR(SEARCH('PLANILLA DJ'!$X$64,$A88,1),""))</f>
        <v>1</v>
      </c>
      <c r="BP88" s="207">
        <f>--ISNUMBER(IFERROR(SEARCH('PLANILLA DJ'!$X$65,$A88,1),""))</f>
        <v>1</v>
      </c>
      <c r="BQ88" s="207">
        <f>--ISNUMBER(IFERROR(SEARCH('PLANILLA DJ'!$X$66,$A88,1),""))</f>
        <v>1</v>
      </c>
      <c r="BR88" s="207">
        <f>--ISNUMBER(IFERROR(SEARCH('PLANILLA DJ'!$X$67,$A88,1),""))</f>
        <v>1</v>
      </c>
      <c r="BS88" s="207">
        <f>--ISNUMBER(IFERROR(SEARCH('PLANILLA DJ'!$X$68,$A88,1),""))</f>
        <v>1</v>
      </c>
      <c r="BT88" s="207">
        <f>--ISNUMBER(IFERROR(SEARCH('PLANILLA DJ'!$X$69,$A88,1),""))</f>
        <v>1</v>
      </c>
      <c r="BU88" s="207">
        <f>--ISNUMBER(IFERROR(SEARCH('PLANILLA DJ'!$X$70,$A88,1),""))</f>
        <v>1</v>
      </c>
      <c r="BV88" s="207">
        <f>--ISNUMBER(IFERROR(SEARCH('PLANILLA DJ'!$X$71,$A88,1),""))</f>
        <v>1</v>
      </c>
      <c r="BW88" s="207">
        <f>--ISNUMBER(IFERROR(SEARCH('PLANILLA DJ'!$X$72,$A88,1),""))</f>
        <v>1</v>
      </c>
      <c r="BX88" s="207">
        <f>--ISNUMBER(IFERROR(SEARCH('PLANILLA DJ'!$X$73,$A88,1),""))</f>
        <v>1</v>
      </c>
      <c r="BY88" s="207">
        <f>--ISNUMBER(IFERROR(SEARCH('PLANILLA DJ'!$X$74,$A88,1),""))</f>
        <v>1</v>
      </c>
      <c r="BZ88" s="207">
        <f>--ISNUMBER(IFERROR(SEARCH('PLANILLA DJ'!$X$75,$A88,1),""))</f>
        <v>1</v>
      </c>
      <c r="CA88" s="207">
        <f>--ISNUMBER(IFERROR(SEARCH('PLANILLA DJ'!$X$76,$A88,1),""))</f>
        <v>1</v>
      </c>
      <c r="CB88" s="207">
        <f>--ISNUMBER(IFERROR(SEARCH('PLANILLA DJ'!$X$77,$A88,1),""))</f>
        <v>1</v>
      </c>
      <c r="CC88" s="207">
        <f>--ISNUMBER(IFERROR(SEARCH('PLANILLA DJ'!$X$78,$A88,1),""))</f>
        <v>1</v>
      </c>
      <c r="CD88" s="207">
        <f>--ISNUMBER(IFERROR(SEARCH('PLANILLA DJ'!$X$79,$A88,1),""))</f>
        <v>1</v>
      </c>
      <c r="CE88" s="207">
        <f>--ISNUMBER(IFERROR(SEARCH('PLANILLA DJ'!$X$80,$A88,1),""))</f>
        <v>1</v>
      </c>
      <c r="CF88" s="207">
        <f>--ISNUMBER(IFERROR(SEARCH('PLANILLA DJ'!$X$81,$A88,1),""))</f>
        <v>1</v>
      </c>
      <c r="CG88" s="207">
        <f>--ISNUMBER(IFERROR(SEARCH('PLANILLA DJ'!$X$82,$A88,1),""))</f>
        <v>1</v>
      </c>
      <c r="CH88" s="207">
        <f>--ISNUMBER(IFERROR(SEARCH('PLANILLA DJ'!$X$83,$A88,1),""))</f>
        <v>1</v>
      </c>
      <c r="CI88" s="207">
        <f>--ISNUMBER(IFERROR(SEARCH('PLANILLA DJ'!$X$84,$A88,1),""))</f>
        <v>1</v>
      </c>
      <c r="CJ88" s="207">
        <f>--ISNUMBER(IFERROR(SEARCH('PLANILLA DJ'!$X$85,$A88,1),""))</f>
        <v>1</v>
      </c>
      <c r="CK88" s="207">
        <f>--ISNUMBER(IFERROR(SEARCH('PLANILLA DJ'!$X$86,$A88,1),""))</f>
        <v>1</v>
      </c>
      <c r="CL88" s="207">
        <f>--ISNUMBER(IFERROR(SEARCH('PLANILLA DJ'!$X$87,$A88,1),""))</f>
        <v>1</v>
      </c>
      <c r="CM88" s="207">
        <f>--ISNUMBER(IFERROR(SEARCH('PLANILLA DJ'!$X$88,$A88,1),""))</f>
        <v>1</v>
      </c>
      <c r="CN88" s="207">
        <f>--ISNUMBER(IFERROR(SEARCH('PLANILLA DJ'!$X$89,$A88,1),""))</f>
        <v>1</v>
      </c>
      <c r="CO88" s="207">
        <f>--ISNUMBER(IFERROR(SEARCH('PLANILLA DJ'!$X$90,$A88,1),""))</f>
        <v>1</v>
      </c>
      <c r="CP88" s="207">
        <f>--ISNUMBER(IFERROR(SEARCH('PLANILLA DJ'!$X$91,$A88,1),""))</f>
        <v>1</v>
      </c>
      <c r="CQ88" s="207">
        <f>--ISNUMBER(IFERROR(SEARCH('PLANILLA DJ'!$X$92,$A88,1),""))</f>
        <v>1</v>
      </c>
      <c r="CR88" s="207">
        <f>--ISNUMBER(IFERROR(SEARCH('PLANILLA DJ'!$X$93,$A88,1),""))</f>
        <v>1</v>
      </c>
      <c r="CS88" s="207">
        <f>--ISNUMBER(IFERROR(SEARCH('PLANILLA DJ'!$X$94,$A88,1),""))</f>
        <v>1</v>
      </c>
      <c r="CT88" s="207">
        <f>--ISNUMBER(IFERROR(SEARCH('PLANILLA DJ'!$X$95,$A88,1),""))</f>
        <v>1</v>
      </c>
      <c r="CU88" s="207">
        <f>--ISNUMBER(IFERROR(SEARCH('PLANILLA DJ'!$X$96,$A88,1),""))</f>
        <v>1</v>
      </c>
      <c r="CV88" s="207">
        <f>--ISNUMBER(IFERROR(SEARCH('PLANILLA DJ'!$X$97,$A88,1),""))</f>
        <v>1</v>
      </c>
      <c r="CW88" s="207">
        <f>--ISNUMBER(IFERROR(SEARCH('PLANILLA DJ'!$X$98,$A88,1),""))</f>
        <v>1</v>
      </c>
      <c r="CX88" s="207">
        <f>--ISNUMBER(IFERROR(SEARCH('PLANILLA DJ'!$X$99,$A88,1),""))</f>
        <v>1</v>
      </c>
      <c r="CY88" s="207">
        <f>--ISNUMBER(IFERROR(SEARCH('PLANILLA DJ'!$X$100,$A88,1),""))</f>
        <v>1</v>
      </c>
      <c r="CZ88" s="207">
        <f>--ISNUMBER(IFERROR(SEARCH('PLANILLA DJ'!$X$101,$A88,1),""))</f>
        <v>1</v>
      </c>
      <c r="DA88" s="207">
        <f>--ISNUMBER(IFERROR(SEARCH('PLANILLA DJ'!$X$102,$A88,1),""))</f>
        <v>1</v>
      </c>
      <c r="DB88" s="206">
        <f>IF(F88=1,COUNTIF($F$2:F88,1),"")</f>
        <v>87</v>
      </c>
      <c r="DC88" s="206">
        <f>IF(G88=1,COUNTIF($G$2:G88,1),"")</f>
        <v>87</v>
      </c>
      <c r="DD88" s="206">
        <f>IF(H88=1,COUNTIF($H$2:H88,1),"")</f>
        <v>87</v>
      </c>
      <c r="DE88" s="206">
        <f>IF(I88=1,COUNTIF($I$2:I88,1),"")</f>
        <v>87</v>
      </c>
      <c r="DF88" s="206">
        <f>IF(J88=1,COUNTIF($J$2:J88,1),"")</f>
        <v>87</v>
      </c>
      <c r="DG88" s="206">
        <f>IF(K88=1,COUNTIF($K$2:K88,1),"")</f>
        <v>87</v>
      </c>
      <c r="DH88" s="206">
        <f>IF(L88=1,COUNTIF($L$2:L88,1),"")</f>
        <v>87</v>
      </c>
      <c r="DI88" s="206">
        <f>IF(M88=1,COUNTIF($M$2:M88,1),"")</f>
        <v>87</v>
      </c>
      <c r="DJ88" s="206">
        <f>IF(N88=1,COUNTIF($N$2:N88,1),"")</f>
        <v>87</v>
      </c>
      <c r="DK88" s="206">
        <f>IF(O88=1,COUNTIF($O$2:O88,1),"")</f>
        <v>87</v>
      </c>
      <c r="DL88" s="206">
        <f>IF(P88=1,COUNTIF($P$2:P88,1),"")</f>
        <v>87</v>
      </c>
      <c r="DM88" s="206">
        <f>IF(Q88=1,COUNTIF($Q$2:Q88,1),"")</f>
        <v>87</v>
      </c>
      <c r="DN88" s="207">
        <f>IF(R88=1,COUNTIF($R$2:R88,1),"")</f>
        <v>87</v>
      </c>
      <c r="DO88" s="207">
        <f>IF(S88=1,COUNTIF($S$2:S88,1),"")</f>
        <v>87</v>
      </c>
      <c r="DP88" s="207">
        <f>IF(T88=1,COUNTIF($T$2:T88,1),"")</f>
        <v>87</v>
      </c>
      <c r="DQ88" s="207">
        <f>IF(U88=1,COUNTIF($U$2:U88,1),"")</f>
        <v>87</v>
      </c>
      <c r="DR88" s="207">
        <f>IF(V88=1,COUNTIF($V$2:V88,1),"")</f>
        <v>87</v>
      </c>
      <c r="DS88" s="207">
        <f>IF(W88=1,COUNTIF($W$2:W88,1),"")</f>
        <v>87</v>
      </c>
      <c r="DT88" s="207">
        <f>IF(X88=1,COUNTIF($X$2:X88,1),"")</f>
        <v>87</v>
      </c>
      <c r="DU88" s="207">
        <f>IF(Y88=1,COUNTIF($Y$2:Y88,1),"")</f>
        <v>87</v>
      </c>
      <c r="DV88" s="207">
        <f>IF(Z88=1,COUNTIF(Z$2:Z88,1),"")</f>
        <v>87</v>
      </c>
      <c r="DW88" s="207">
        <f>IF(AA88=1,COUNTIF($AA$2:AA88,1),"")</f>
        <v>87</v>
      </c>
      <c r="DX88" s="207">
        <f>IF(AB88=1,COUNTIF($AB$2:AB88,1),"")</f>
        <v>87</v>
      </c>
      <c r="DY88" s="207">
        <f>IF(AC88=1,COUNTIF($AC$2:AC88,1),"")</f>
        <v>87</v>
      </c>
      <c r="DZ88" s="207">
        <f>IF(AD88=1,COUNTIF($AD$2:AD88,1),"")</f>
        <v>87</v>
      </c>
      <c r="EA88" s="207">
        <f>IF(AE88=1,COUNTIF($AE$2:AE88,1),"")</f>
        <v>87</v>
      </c>
      <c r="EB88" s="207">
        <f>IF(AF88=1,COUNTIF($AF$2:AF88,1),"")</f>
        <v>87</v>
      </c>
      <c r="EC88" s="207">
        <f>IF(AG88=1,COUNTIF($AG$2:AG88,1),"")</f>
        <v>87</v>
      </c>
      <c r="ED88" s="207">
        <f>IF(AH88=1,COUNTIF($AH$2:AH88,1),"")</f>
        <v>87</v>
      </c>
      <c r="EE88" s="207">
        <f>IF(AI88=1,COUNTIF($AI$2:AI88,1),"")</f>
        <v>87</v>
      </c>
      <c r="EF88" s="207">
        <f>IF(AJ88=1,COUNTIF($AJ$2:AJ88,1),"")</f>
        <v>87</v>
      </c>
      <c r="EG88" s="207">
        <f>IF(AK88=1,COUNTIF($AK$2:AK88,1),"")</f>
        <v>87</v>
      </c>
      <c r="EH88" s="207">
        <f>IF(AL88=1,COUNTIF($AL$2:AL88,1),"")</f>
        <v>87</v>
      </c>
      <c r="EI88" s="207">
        <f>IF(AM88=1,COUNTIF($AM$2:AM88,1),"")</f>
        <v>87</v>
      </c>
      <c r="EJ88" s="207">
        <f>IF(AN88=1,COUNTIF($AN$2:AN88,1),"")</f>
        <v>87</v>
      </c>
      <c r="EK88" s="207">
        <f>IF(AO88=1,COUNTIF($AO$2:AO88,1),"")</f>
        <v>87</v>
      </c>
      <c r="EL88" s="207">
        <f>IF(AP88=1,COUNTIF($AP$2:AP88,1),"")</f>
        <v>87</v>
      </c>
      <c r="EM88" s="207">
        <f>IF(AQ88=1,COUNTIF($AQ$2:AQ88,1),"")</f>
        <v>87</v>
      </c>
      <c r="EN88" s="207">
        <f>IF(AR88=1,COUNTIF($AR$2:AR88,1),"")</f>
        <v>87</v>
      </c>
      <c r="EO88" s="207">
        <f>IF(AS88=1,COUNTIF($AS$2:AS88,1),"")</f>
        <v>87</v>
      </c>
      <c r="EP88" s="207">
        <f>IF(AT88=1,COUNTIF($AT$2:AT88,1),"")</f>
        <v>87</v>
      </c>
      <c r="EQ88" s="207">
        <f>IF(AU88=1,COUNTIF($AU$2:AU88,1),"")</f>
        <v>87</v>
      </c>
      <c r="ER88" s="207">
        <f>IF(AV88=1,COUNTIF($AV$2:AV88,1),"")</f>
        <v>87</v>
      </c>
      <c r="ES88" s="207">
        <f>IF(AW88=1,COUNTIF($AW$2:AW88,1),"")</f>
        <v>87</v>
      </c>
      <c r="ET88" s="207">
        <f>IF(AX88=1,COUNTIF($AX$2:AX88,1),"")</f>
        <v>87</v>
      </c>
      <c r="EU88" s="207">
        <f>IF(AY88=1,COUNTIF($AY$2:AY88,1),"")</f>
        <v>87</v>
      </c>
      <c r="EV88" s="207">
        <f>IF(AZ88=1,COUNTIF($AZ$2:AZ88,1),"")</f>
        <v>87</v>
      </c>
      <c r="EW88" s="207">
        <f>IF(BA88=1,COUNTIF($BA$2:BA88,1),"")</f>
        <v>87</v>
      </c>
      <c r="EX88" s="207">
        <f>IF(BB88=1,COUNTIF($BB$2:BB88,1),"")</f>
        <v>87</v>
      </c>
      <c r="EY88" s="207">
        <f>IF(BC88=1,COUNTIF($BC$2:BC88,1),"")</f>
        <v>87</v>
      </c>
      <c r="EZ88" s="207">
        <f>IF(BD88=1,COUNTIF($BD$2:BD88,1),"")</f>
        <v>87</v>
      </c>
      <c r="FA88" s="207">
        <f>IF(BE88=1,COUNTIF($BE$2:BE88,1),"")</f>
        <v>87</v>
      </c>
      <c r="FB88" s="207">
        <f>IF(BF88=1,COUNTIF($BF$2:BF88,1),"")</f>
        <v>87</v>
      </c>
      <c r="FC88" s="207">
        <f>IF(BG88=1,COUNTIF($BG$2:BG88,1),"")</f>
        <v>87</v>
      </c>
      <c r="FD88" s="207">
        <f>IF(BH88=1,COUNTIF($BH$2:BH88,1),"")</f>
        <v>87</v>
      </c>
      <c r="FE88" s="207">
        <f>IF(BI88=1,COUNTIF($BI$2:BI88,1),"")</f>
        <v>87</v>
      </c>
      <c r="FF88" s="207">
        <f>IF(BJ88=1,COUNTIF($BJ$2:BJ88,1),"")</f>
        <v>87</v>
      </c>
      <c r="FG88" s="207">
        <f>IF(BK88=1,COUNTIF($BK$2:BK88,1),"")</f>
        <v>87</v>
      </c>
      <c r="FH88" s="207">
        <f>IF(BL88=1,COUNTIF($BL$2:BL88,1),"")</f>
        <v>87</v>
      </c>
      <c r="FI88" s="207">
        <f>IF(BM88=1,COUNTIF($BM$2:BM88,1),"")</f>
        <v>87</v>
      </c>
      <c r="FJ88" s="207">
        <f>IF(BN88=1,COUNTIF($BN$2:BN88,1),"")</f>
        <v>87</v>
      </c>
      <c r="FK88" s="207">
        <f>IF(BO88=1,COUNTIF($BO$2:BO88,1),"")</f>
        <v>87</v>
      </c>
      <c r="FL88" s="207">
        <f>IF(BP88=1,COUNTIF($BP$2:BP88,1),"")</f>
        <v>87</v>
      </c>
      <c r="FM88" s="207">
        <f>IF(BQ88=1,COUNTIF($BQ$2:BQ88,1),"")</f>
        <v>87</v>
      </c>
      <c r="FN88" s="207">
        <f>IF(BR88=1,COUNTIF($BR$2:BR88,1),"")</f>
        <v>87</v>
      </c>
      <c r="FO88" s="207">
        <f>IF(BS88=1,COUNTIF($BS$2:BS88,1),"")</f>
        <v>87</v>
      </c>
      <c r="FP88" s="207">
        <f>IF(BT88=1,COUNTIF($BT$2:BT88,1),"")</f>
        <v>87</v>
      </c>
      <c r="FQ88" s="207">
        <f>IF(BU88=1,COUNTIF($BU$2:BU88,1),"")</f>
        <v>87</v>
      </c>
      <c r="FR88" s="207">
        <f>IF(BV88=1,COUNTIF($BV$2:BV88,1),"")</f>
        <v>87</v>
      </c>
      <c r="FS88" s="207">
        <f>IF(BW88=1,COUNTIF($BW$2:BW88,1),"")</f>
        <v>87</v>
      </c>
      <c r="FT88" s="207">
        <f>IF(BX88=1,COUNTIF($BX$2:BX88,1),"")</f>
        <v>87</v>
      </c>
      <c r="FU88" s="207">
        <f>IF(BY88=1,COUNTIF($BY$2:BY88,1),"")</f>
        <v>87</v>
      </c>
      <c r="FV88" s="207">
        <f>IF(BZ88=1,COUNTIF($BZ$2:BZ88,1),"")</f>
        <v>87</v>
      </c>
      <c r="FW88" s="207">
        <f>IF(CA88=1,COUNTIF($CA$2:CA88,1),"")</f>
        <v>87</v>
      </c>
      <c r="FX88" s="207">
        <f>IF(CB88=1,COUNTIF($CB$2:CB88,1),"")</f>
        <v>87</v>
      </c>
      <c r="FY88" s="207">
        <f>IF(CC88=1,COUNTIF($CC$2:CC88,1),"")</f>
        <v>87</v>
      </c>
      <c r="FZ88" s="207">
        <f>IF(CD88=1,COUNTIF($CD$2:CD88,1),"")</f>
        <v>87</v>
      </c>
      <c r="GA88" s="207">
        <f>IF(CE88=1,COUNTIF($CE$2:CE88,1),"")</f>
        <v>87</v>
      </c>
      <c r="GB88" s="207">
        <f>IF(CF88=1,COUNTIF($CF$2:CF88,1),"")</f>
        <v>87</v>
      </c>
      <c r="GC88" s="207">
        <f>IF(CG88=1,COUNTIF($CG$2:CG88,1),"")</f>
        <v>87</v>
      </c>
      <c r="GD88" s="207">
        <f>IF(CH88=1,COUNTIF($CH$2:CH88,1),"")</f>
        <v>87</v>
      </c>
      <c r="GE88" s="207">
        <f>IF(CI88=1,COUNTIF($CI$2:CI88,1),"")</f>
        <v>87</v>
      </c>
      <c r="GF88" s="207">
        <f>IF(CJ88=1,COUNTIF($CJ$2:CJ88,1),"")</f>
        <v>87</v>
      </c>
      <c r="GG88" s="207">
        <f>IF(CK88=1,COUNTIF($CK$2:CK88,1),"")</f>
        <v>87</v>
      </c>
      <c r="GH88" s="207">
        <f>IF(CL88=1,COUNTIF($CL$2:CL88,1),"")</f>
        <v>87</v>
      </c>
      <c r="GI88" s="207">
        <f>IF(CM88=1,COUNTIF($CM$2:CM88,1),"")</f>
        <v>87</v>
      </c>
      <c r="GJ88" s="207">
        <f>IF(CN88=1,COUNTIF($CN$2:CN88,1),"")</f>
        <v>87</v>
      </c>
      <c r="GK88" s="207">
        <f>IF(CO88=1,COUNTIF($CO$2:CO88,1),"")</f>
        <v>87</v>
      </c>
      <c r="GL88" s="207">
        <f>IF(CP88=1,COUNTIF($CP$2:CP88,1),"")</f>
        <v>87</v>
      </c>
      <c r="GM88" s="207">
        <f>IF(CQ88=1,COUNTIF($CQ$2:CQ88,1),"")</f>
        <v>87</v>
      </c>
      <c r="GN88" s="207">
        <f>IF(CR88=1,COUNTIF($CR$2:CR88,1),"")</f>
        <v>87</v>
      </c>
      <c r="GO88" s="207">
        <f>IF(CS88=1,COUNTIF($CS$2:CS88,1),"")</f>
        <v>87</v>
      </c>
      <c r="GP88" s="207">
        <f>IF(CT88=1,COUNTIF($CT$2:CT88,1),"")</f>
        <v>87</v>
      </c>
      <c r="GQ88" s="207">
        <f>IF(CU88=1,COUNTIF($CU$2:CU88,1),"")</f>
        <v>87</v>
      </c>
      <c r="GR88" s="207">
        <f>IF(CV88=1,COUNTIF($CV$2:CV88,1),"")</f>
        <v>87</v>
      </c>
      <c r="GS88" s="207">
        <f>IF(CW88=1,COUNTIF($CW$2:CW88,1),"")</f>
        <v>87</v>
      </c>
      <c r="GT88" s="207">
        <f>IF(CX88=1,COUNTIF($CX$2:CX88,1),"")</f>
        <v>87</v>
      </c>
      <c r="GU88" s="207">
        <f>IF(CY88=1,COUNTIF($CY$2:CY88,1),"")</f>
        <v>87</v>
      </c>
      <c r="GV88" s="207">
        <f>IF(CZ88=1,COUNTIF($CZ$2:CZ88,1),"")</f>
        <v>87</v>
      </c>
      <c r="GW88" s="207">
        <f>IF(DA88=1,COUNTIF($DA$2:DA88,1),"")</f>
        <v>87</v>
      </c>
      <c r="GX88" s="206" t="str">
        <f>IFERROR(INDEX($A$2:$A$113,MATCH(ROWS($DB$2:DB88),$DB$2:$DB$113,0)),"")</f>
        <v>EVASION Y QUEBRANTAMIENTO DE PENA</v>
      </c>
      <c r="GY88" s="206" t="str">
        <f>IFERROR(INDEX($A$2:$A$113,MATCH(ROWS($DC$2:DC88),$DC$2:$DC$113,0)),"")</f>
        <v>EVASION Y QUEBRANTAMIENTO DE PENA</v>
      </c>
      <c r="GZ88" s="206" t="str">
        <f>IFERROR(INDEX($A$2:$A$113,MATCH(ROWS($DD$2:DD88),$DD$2:$DD$113,0)),"")</f>
        <v>EVASION Y QUEBRANTAMIENTO DE PENA</v>
      </c>
      <c r="HA88" s="206" t="str">
        <f>IFERROR(INDEX($A$2:$A$113,MATCH(ROWS($DE$2:DE88),$DE$2:$DE$113,0)),"")</f>
        <v>EVASION Y QUEBRANTAMIENTO DE PENA</v>
      </c>
      <c r="HB88" s="206" t="str">
        <f>IFERROR(INDEX($A$2:$A$113,MATCH(ROWS($DF$2:DF88),$DF$2:$DF$113,0)),"")</f>
        <v>EVASION Y QUEBRANTAMIENTO DE PENA</v>
      </c>
      <c r="HC88" s="206" t="str">
        <f>IFERROR(INDEX($A$2:$A$113,MATCH(ROWS($DG$2:DG88),$DG$2:$DG$113,0)),"")</f>
        <v>EVASION Y QUEBRANTAMIENTO DE PENA</v>
      </c>
      <c r="HD88" s="206" t="str">
        <f>IFERROR(INDEX($A$2:$A$113,MATCH(ROWS($DH$2:DH88),$DH$2:$DH$113,0)),"")</f>
        <v>EVASION Y QUEBRANTAMIENTO DE PENA</v>
      </c>
      <c r="HE88" s="206" t="str">
        <f>IFERROR(INDEX($A$2:$A$113,MATCH(ROWS($DI$2:DI88),$DI$2:$DI$113,0)),"")</f>
        <v>EVASION Y QUEBRANTAMIENTO DE PENA</v>
      </c>
      <c r="HF88" s="206" t="str">
        <f>IFERROR(INDEX($A$2:$A$113,MATCH(ROWS($DJ$2:DJ88),$DJ$2:$DJ$113,0)),"")</f>
        <v>EVASION Y QUEBRANTAMIENTO DE PENA</v>
      </c>
      <c r="HG88" s="206" t="str">
        <f>IFERROR(INDEX($A$2:$A$113,MATCH(ROWS($DK$2:DK88),$DK$2:$DK$113,0)),"")</f>
        <v>EVASION Y QUEBRANTAMIENTO DE PENA</v>
      </c>
      <c r="HH88" s="206" t="str">
        <f>IFERROR(INDEX($A$2:$A$113,MATCH(ROWS($DL$2:DL88),$DL$2:$DL$113,0)),"")</f>
        <v>EVASION Y QUEBRANTAMIENTO DE PENA</v>
      </c>
      <c r="HI88" s="206" t="str">
        <f>IFERROR(INDEX($A$2:$A$113,MATCH(ROWS($DM$2:DM88),$DM$2:$DM$113,0)),"")</f>
        <v>EVASION Y QUEBRANTAMIENTO DE PENA</v>
      </c>
      <c r="HJ88" s="206" t="str">
        <f>IFERROR(INDEX($A$2:$A$113,MATCH(ROWS($DN$2:DN88),$DN$2:$DN$113,0)),"")</f>
        <v>EVASION Y QUEBRANTAMIENTO DE PENA</v>
      </c>
      <c r="HK88" s="206" t="str">
        <f>IFERROR(INDEX($A$2:$A$113,MATCH(ROWS($DO$2:DO88),$DO$2:$DO$113,0)),"")</f>
        <v>EVASION Y QUEBRANTAMIENTO DE PENA</v>
      </c>
      <c r="HL88" s="206" t="str">
        <f>IFERROR(INDEX($A$2:$A$113,MATCH(ROWS($DP$2:DP88),$DP$2:$DP$113,0)),"")</f>
        <v>EVASION Y QUEBRANTAMIENTO DE PENA</v>
      </c>
      <c r="HM88" s="206" t="str">
        <f>IFERROR(INDEX($A$2:$A$113,MATCH(ROWS($DQ$2:DQ88),$DQ$2:$DQ$113,0)),"")</f>
        <v>EVASION Y QUEBRANTAMIENTO DE PENA</v>
      </c>
      <c r="HN88" s="206" t="str">
        <f>IFERROR(INDEX($A$2:$A$113,MATCH(ROWS($DR$2:DR88),$DR$2:$DR$113,0)),"")</f>
        <v>EVASION Y QUEBRANTAMIENTO DE PENA</v>
      </c>
      <c r="HO88" s="206" t="str">
        <f>IFERROR(INDEX($A$2:$A$113,MATCH(ROWS($DS$2:DS88),$DS$2:$DS$113,0)),"")</f>
        <v>EVASION Y QUEBRANTAMIENTO DE PENA</v>
      </c>
      <c r="HP88" s="206" t="str">
        <f>IFERROR(INDEX($A$2:$A$113,MATCH(ROWS($DT$2:DT88),$DT$2:$DT$113,0)),"")</f>
        <v>EVASION Y QUEBRANTAMIENTO DE PENA</v>
      </c>
      <c r="HQ88" s="206" t="str">
        <f>IFERROR(INDEX($A$2:$A$113,MATCH(ROWS($DU$2:DU88),$DU$2:$DU$113,0)),"")</f>
        <v>EVASION Y QUEBRANTAMIENTO DE PENA</v>
      </c>
      <c r="HR88" s="206" t="str">
        <f>IFERROR(INDEX($A$2:$A$113,MATCH(ROWS($DV$2:DV88),$DV$2:$DV$113,0)),"")</f>
        <v>EVASION Y QUEBRANTAMIENTO DE PENA</v>
      </c>
      <c r="HS88" s="206" t="str">
        <f>IFERROR(INDEX($A$2:$A$113,MATCH(ROWS($DW$2:DW88),$DW$2:$DW$113,0)),"")</f>
        <v>EVASION Y QUEBRANTAMIENTO DE PENA</v>
      </c>
      <c r="HT88" s="206" t="str">
        <f>IFERROR(INDEX($A$2:$A$113,MATCH(ROWS($DX$2:DX88),$DX$2:$DX$113,0)),"")</f>
        <v>EVASION Y QUEBRANTAMIENTO DE PENA</v>
      </c>
      <c r="HU88" s="206" t="str">
        <f>IFERROR(INDEX($A$2:$A$113,MATCH(ROWS($DY$2:DY88),$DY$2:$DY$113,0)),"")</f>
        <v>EVASION Y QUEBRANTAMIENTO DE PENA</v>
      </c>
      <c r="HV88" s="206" t="str">
        <f>IFERROR(INDEX($A$2:$A$113,MATCH(ROWS($DZ$2:DZ88),$DZ$2:$DZ$113,0)),"")</f>
        <v>EVASION Y QUEBRANTAMIENTO DE PENA</v>
      </c>
      <c r="HW88" s="206" t="str">
        <f>IFERROR(INDEX($A$2:$A$113,MATCH(ROWS($EA$2:EA88),$EA$2:$EA$113,0)),"")</f>
        <v>EVASION Y QUEBRANTAMIENTO DE PENA</v>
      </c>
      <c r="HX88" s="206" t="str">
        <f>IFERROR(INDEX($A$2:$A$113,MATCH(ROWS($EB$2:EB88),$EB$2:$EB$113,0)),"")</f>
        <v>EVASION Y QUEBRANTAMIENTO DE PENA</v>
      </c>
      <c r="HY88" s="206" t="str">
        <f>IFERROR(INDEX($A$2:$A$113,MATCH(ROWS($EC$2:EC88),$EC$2:$EC$113,0)),"")</f>
        <v>EVASION Y QUEBRANTAMIENTO DE PENA</v>
      </c>
      <c r="HZ88" s="206" t="str">
        <f>IFERROR(INDEX($A$2:$A$113,MATCH(ROWS($ED$2:ED88),$ED$2:$ED$113,0)),"")</f>
        <v>EVASION Y QUEBRANTAMIENTO DE PENA</v>
      </c>
      <c r="IA88" s="206" t="str">
        <f>IFERROR(INDEX($A$2:$A$113,MATCH(ROWS($EE$2:EE88),$EE$2:$EE$113,0)),"")</f>
        <v>EVASION Y QUEBRANTAMIENTO DE PENA</v>
      </c>
      <c r="IB88" s="206" t="str">
        <f>IFERROR(INDEX($A$2:$A$113,MATCH(ROWS($EF$2:EF88),$EF$2:$EF$113,0)),"")</f>
        <v>EVASION Y QUEBRANTAMIENTO DE PENA</v>
      </c>
      <c r="IC88" s="206" t="str">
        <f>IFERROR(INDEX($A$2:$A$113,MATCH(ROWS($EG$2:EG88),$EG$2:$EG$113,0)),"")</f>
        <v>EVASION Y QUEBRANTAMIENTO DE PENA</v>
      </c>
      <c r="ID88" s="206" t="str">
        <f>IFERROR(INDEX($A$2:$A$113,MATCH(ROWS($EH$2:EH88),$EH$2:$EH$113,0)),"")</f>
        <v>EVASION Y QUEBRANTAMIENTO DE PENA</v>
      </c>
      <c r="IE88" s="206" t="str">
        <f>IFERROR(INDEX($A$2:$A$113,MATCH(ROWS($EI$2:EI88),$EI$2:$EI$113,0)),"")</f>
        <v>EVASION Y QUEBRANTAMIENTO DE PENA</v>
      </c>
      <c r="IF88" s="206" t="str">
        <f>IFERROR(INDEX($A$2:$A$113,MATCH(ROWS($EJ$2:EJ88),$EJ$2:$EJ$113,0)),"")</f>
        <v>EVASION Y QUEBRANTAMIENTO DE PENA</v>
      </c>
      <c r="IG88" s="206" t="str">
        <f>IFERROR(INDEX($A$2:$A$113,MATCH(ROWS($EK$2:EK88),$EK$2:$EK$113,0)),"")</f>
        <v>EVASION Y QUEBRANTAMIENTO DE PENA</v>
      </c>
      <c r="IH88" s="206" t="str">
        <f>IFERROR(INDEX($A$2:$A$113,MATCH(ROWS($EL$2:EL88),$EL$2:$EL$113,0)),"")</f>
        <v>EVASION Y QUEBRANTAMIENTO DE PENA</v>
      </c>
      <c r="II88" s="206" t="str">
        <f>IFERROR(INDEX($A$2:$A$113,MATCH(ROWS($EM$2:EM88),$EM$2:$EM$113,0)),"")</f>
        <v>EVASION Y QUEBRANTAMIENTO DE PENA</v>
      </c>
      <c r="IJ88" s="206" t="str">
        <f>IFERROR(INDEX($A$2:$A$113,MATCH(ROWS($EN$2:EN88),$EN$2:$EN$113,0)),"")</f>
        <v>EVASION Y QUEBRANTAMIENTO DE PENA</v>
      </c>
      <c r="IK88" s="207" t="str">
        <f>IFERROR(INDEX($A$2:$A$113,MATCH(ROWS($EO$2:EO88),$EO$2:$EO$113,0)),"")</f>
        <v>EVASION Y QUEBRANTAMIENTO DE PENA</v>
      </c>
      <c r="IL88" s="207" t="str">
        <f>IFERROR(INDEX($A$2:$A$113,MATCH(ROWS($EP$2:EP88),$EP$2:$EP$113,0)),"")</f>
        <v>EVASION Y QUEBRANTAMIENTO DE PENA</v>
      </c>
      <c r="IM88" s="207" t="str">
        <f>IFERROR(INDEX($A$2:$A$113,MATCH(ROWS($EQ$2:EQ88),$EQ$2:$EQ$113,0)),"")</f>
        <v>EVASION Y QUEBRANTAMIENTO DE PENA</v>
      </c>
      <c r="IN88" s="207" t="str">
        <f>IFERROR(INDEX($A$2:$A$113,MATCH(ROWS($ER$2:ER88),$ER$2:$ER$113,0)),"")</f>
        <v>EVASION Y QUEBRANTAMIENTO DE PENA</v>
      </c>
      <c r="IO88" s="207" t="str">
        <f>IFERROR(INDEX($A$2:$A$113,MATCH(ROWS($ES$2:ES88),$ES$2:$ES$113,0)),"")</f>
        <v>EVASION Y QUEBRANTAMIENTO DE PENA</v>
      </c>
      <c r="IP88" s="207" t="str">
        <f>IFERROR(INDEX($A$2:$A$113,MATCH(ROWS($ET$2:ET88),$ET$2:$ET$113,0)),"")</f>
        <v>EVASION Y QUEBRANTAMIENTO DE PENA</v>
      </c>
      <c r="IQ88" s="207" t="str">
        <f>IFERROR(INDEX($A$2:$A$113,MATCH(ROWS($EU$2:EU88),$EU$2:$EU$113,0)),"")</f>
        <v>EVASION Y QUEBRANTAMIENTO DE PENA</v>
      </c>
      <c r="IR88" s="207" t="str">
        <f>IFERROR(INDEX($A$2:$A$113,MATCH(ROWS($EV$2:EV88),$EV$2:$EV$113,0)),"")</f>
        <v>EVASION Y QUEBRANTAMIENTO DE PENA</v>
      </c>
      <c r="IS88" s="207" t="str">
        <f>IFERROR(INDEX($A$2:$A$113,MATCH(ROWS($EW$2:EW88),$EW$2:$EW$113,0)),"")</f>
        <v>EVASION Y QUEBRANTAMIENTO DE PENA</v>
      </c>
      <c r="IT88" s="207" t="str">
        <f>IFERROR(INDEX($A$2:$A$113,MATCH(ROWS($EX$2:EX88),$EX$2:$EX$113,0)),"")</f>
        <v>EVASION Y QUEBRANTAMIENTO DE PENA</v>
      </c>
      <c r="IU88" s="207" t="str">
        <f>IFERROR(INDEX($A$2:$A$113,MATCH(ROWS($EY$2:EY88),$EY$2:$EY$113,0)),"")</f>
        <v>EVASION Y QUEBRANTAMIENTO DE PENA</v>
      </c>
      <c r="IV88" s="207" t="str">
        <f>IFERROR(INDEX($A$2:$A$113,MATCH(ROWS($EZ$2:EZ88),$EZ$2:$EZ$113,0)),"")</f>
        <v>EVASION Y QUEBRANTAMIENTO DE PENA</v>
      </c>
      <c r="IW88" s="207" t="str">
        <f>IFERROR(INDEX($A$2:$A$113,MATCH(ROWS($FA$2:FA88),$FA$2:$FA$113,0)),"")</f>
        <v>EVASION Y QUEBRANTAMIENTO DE PENA</v>
      </c>
      <c r="IX88" s="207" t="str">
        <f>IFERROR(INDEX($A$2:$A$113,MATCH(ROWS($FB$2:FB88),$FB$2:$FB$113,0)),"")</f>
        <v>EVASION Y QUEBRANTAMIENTO DE PENA</v>
      </c>
      <c r="IY88" s="207" t="str">
        <f>IFERROR(INDEX($A$2:$A$113,MATCH(ROWS($FC$2:FC88),$FC$2:$FC$113,0)),"")</f>
        <v>EVASION Y QUEBRANTAMIENTO DE PENA</v>
      </c>
      <c r="IZ88" s="207" t="str">
        <f>IFERROR(INDEX($A$2:$A$113,MATCH(ROWS($FD$2:FD88),$FD$2:$FD$113,0)),"")</f>
        <v>EVASION Y QUEBRANTAMIENTO DE PENA</v>
      </c>
      <c r="JA88" s="207" t="str">
        <f>IFERROR(INDEX($A$2:$A$113,MATCH(ROWS($FE$2:FE88),$FE$2:$FE$113,0)),"")</f>
        <v>EVASION Y QUEBRANTAMIENTO DE PENA</v>
      </c>
      <c r="JB88" s="207" t="str">
        <f>IFERROR(INDEX($A$2:$A$113,MATCH(ROWS($FF$2:FF88),$FF$2:$FF$113,0)),"")</f>
        <v>EVASION Y QUEBRANTAMIENTO DE PENA</v>
      </c>
      <c r="JC88" s="207" t="str">
        <f>IFERROR(INDEX($A$2:$A$113,MATCH(ROWS($FG$2:FG88),$FG$2:$FG$113,0)),"")</f>
        <v>EVASION Y QUEBRANTAMIENTO DE PENA</v>
      </c>
      <c r="JD88" s="207" t="str">
        <f>IFERROR(INDEX($A$2:$A$113,MATCH(ROWS($FH$2:FH88),$FH$2:$FH$113,0)),"")</f>
        <v>EVASION Y QUEBRANTAMIENTO DE PENA</v>
      </c>
      <c r="JE88" s="207" t="str">
        <f>IFERROR(INDEX($A$2:$A$113,MATCH(ROWS($FI$2:FI88),$FI$2:$FI$113,0)),"")</f>
        <v>EVASION Y QUEBRANTAMIENTO DE PENA</v>
      </c>
      <c r="JF88" s="207" t="str">
        <f>IFERROR(INDEX($A$2:$A$113,MATCH(ROWS($FJ$2:FJ88),$FJ$2:$FJ$113,0)),"")</f>
        <v>EVASION Y QUEBRANTAMIENTO DE PENA</v>
      </c>
      <c r="JG88" s="207" t="str">
        <f>IFERROR(INDEX($A$2:$A$113,MATCH(ROWS($FK$2:FK88),$FK$2:$FK$113,0)),"")</f>
        <v>EVASION Y QUEBRANTAMIENTO DE PENA</v>
      </c>
      <c r="JH88" s="207" t="str">
        <f>IFERROR(INDEX($A$2:$A$113,MATCH(ROWS($FL$2:FL88),$FL$2:$FL$113,0)),"")</f>
        <v>EVASION Y QUEBRANTAMIENTO DE PENA</v>
      </c>
      <c r="JI88" s="207" t="str">
        <f>IFERROR(INDEX($A$2:$A$113,MATCH(ROWS($FM$2:FM88),$FM$2:$FM$113,0)),"")</f>
        <v>EVASION Y QUEBRANTAMIENTO DE PENA</v>
      </c>
      <c r="JJ88" s="207" t="str">
        <f>IFERROR(INDEX($A$2:$A$113,MATCH(ROWS($FN$2:FN88),$FN$2:$FN$113,0)),"")</f>
        <v>EVASION Y QUEBRANTAMIENTO DE PENA</v>
      </c>
      <c r="JK88" s="207" t="str">
        <f>IFERROR(INDEX($A$2:$A$113,MATCH(ROWS($FO$2:FO88),$FO$2:$FO$113,0)),"")</f>
        <v>EVASION Y QUEBRANTAMIENTO DE PENA</v>
      </c>
      <c r="JL88" s="207" t="str">
        <f>IFERROR(INDEX($A$2:$A$113,MATCH(ROWS($FP$2:FP88),$FP$2:$FP$113,0)),"")</f>
        <v>EVASION Y QUEBRANTAMIENTO DE PENA</v>
      </c>
      <c r="JM88" s="207" t="str">
        <f>IFERROR(INDEX($A$2:$A$113,MATCH(ROWS($FQ$2:FQ88),$FQ$2:$FQ$113,0)),"")</f>
        <v>EVASION Y QUEBRANTAMIENTO DE PENA</v>
      </c>
      <c r="JN88" s="207" t="str">
        <f>IFERROR(INDEX($A$2:$A$113,MATCH(ROWS($FR$2:FR88),$FR$2:$FR$113,0)),"")</f>
        <v>EVASION Y QUEBRANTAMIENTO DE PENA</v>
      </c>
      <c r="JO88" s="207" t="str">
        <f>IFERROR(INDEX($A$2:$A$113,MATCH(ROWS($FS$2:FS88),$FS$2:$FS$113,0)),"")</f>
        <v>EVASION Y QUEBRANTAMIENTO DE PENA</v>
      </c>
      <c r="JP88" s="207" t="str">
        <f>IFERROR(INDEX($A$2:$A$113,MATCH(ROWS($FT$2:FT88),$FT$2:$FT$113,0)),"")</f>
        <v>EVASION Y QUEBRANTAMIENTO DE PENA</v>
      </c>
      <c r="JQ88" s="207" t="str">
        <f>IFERROR(INDEX($A$2:$A$113,MATCH(ROWS($FU$2:FU88),$FU$2:$FU$113,0)),"")</f>
        <v>EVASION Y QUEBRANTAMIENTO DE PENA</v>
      </c>
      <c r="JR88" s="207" t="str">
        <f>IFERROR(INDEX($A$2:$A$113,MATCH(ROWS($FV$2:FV88),$FV$2:$FV$113,0)),"")</f>
        <v>EVASION Y QUEBRANTAMIENTO DE PENA</v>
      </c>
      <c r="JS88" s="207" t="str">
        <f>IFERROR(INDEX($A$2:$A$113,MATCH(ROWS($FW$2:FW88),$FW$2:$FW$113,0)),"")</f>
        <v>EVASION Y QUEBRANTAMIENTO DE PENA</v>
      </c>
      <c r="JT88" s="207" t="str">
        <f>IFERROR(INDEX($A$2:$A$113,MATCH(ROWS($FX$2:FX88),$FX$2:$FX$113,0)),"")</f>
        <v>EVASION Y QUEBRANTAMIENTO DE PENA</v>
      </c>
      <c r="JU88" s="207" t="str">
        <f>IFERROR(INDEX($A$2:$A$113,MATCH(ROWS($FY$2:FY88),$FY$2:$FY$113,0)),"")</f>
        <v>EVASION Y QUEBRANTAMIENTO DE PENA</v>
      </c>
      <c r="JV88" s="207" t="str">
        <f>IFERROR(INDEX($A$2:$A$113,MATCH(ROWS($FZ$2:FZ88),$FZ$2:$FZ$113,0)),"")</f>
        <v>EVASION Y QUEBRANTAMIENTO DE PENA</v>
      </c>
      <c r="JW88" s="207" t="str">
        <f>IFERROR(INDEX($A$2:$A$113,MATCH(ROWS($GA$2:GA88),$GA$2:$GA$113,0)),"")</f>
        <v>EVASION Y QUEBRANTAMIENTO DE PENA</v>
      </c>
      <c r="JX88" s="207" t="str">
        <f>IFERROR(INDEX($A$2:$A$113,MATCH(ROWS($GB$2:GB88),$GB$2:$GB$113,0)),"")</f>
        <v>EVASION Y QUEBRANTAMIENTO DE PENA</v>
      </c>
      <c r="JY88" s="207" t="str">
        <f>IFERROR(INDEX($A$2:$A$113,MATCH(ROWS($GC$2:GC88),$GC$2:$GC$113,0)),"")</f>
        <v>EVASION Y QUEBRANTAMIENTO DE PENA</v>
      </c>
      <c r="JZ88" s="207" t="str">
        <f>IFERROR(INDEX($A$2:$A$113,MATCH(ROWS($GD$2:GD88),$GD$2:$GD$113,0)),"")</f>
        <v>EVASION Y QUEBRANTAMIENTO DE PENA</v>
      </c>
      <c r="KA88" s="207" t="str">
        <f>IFERROR(INDEX($A$2:$A$113,MATCH(ROWS($GE$2:GE88),$GE$2:$GE$113,0)),"")</f>
        <v>EVASION Y QUEBRANTAMIENTO DE PENA</v>
      </c>
      <c r="KB88" s="207" t="str">
        <f>IFERROR(INDEX($A$2:$A$113,MATCH(ROWS($GF$2:GF88),$GF$2:$GF$113,0)),"")</f>
        <v>EVASION Y QUEBRANTAMIENTO DE PENA</v>
      </c>
      <c r="KC88" s="207" t="str">
        <f>IFERROR(INDEX($A$2:$A$113,MATCH(ROWS($GG$2:GG88),$GG$2:$GG$113,0)),"")</f>
        <v>EVASION Y QUEBRANTAMIENTO DE PENA</v>
      </c>
      <c r="KD88" s="207" t="str">
        <f>IFERROR(INDEX($A$2:$A$113,MATCH(ROWS($GH$2:GH88),$GH$2:$GH$113,0)),"")</f>
        <v>EVASION Y QUEBRANTAMIENTO DE PENA</v>
      </c>
      <c r="KE88" s="207" t="str">
        <f>IFERROR(INDEX($A$2:$A$113,MATCH(ROWS($GI$2:GI88),$GI$2:$GI$113,0)),"")</f>
        <v>EVASION Y QUEBRANTAMIENTO DE PENA</v>
      </c>
      <c r="KF88" s="207" t="str">
        <f>IFERROR(INDEX($A$2:$A$113,MATCH(ROWS($GJ$2:GJ88),$GJ$2:$GJ$113,0)),"")</f>
        <v>EVASION Y QUEBRANTAMIENTO DE PENA</v>
      </c>
      <c r="KG88" s="207" t="str">
        <f>IFERROR(INDEX($A$2:$A$113,MATCH(ROWS($GK$2:GK88),$GK$2:$GK$113,0)),"")</f>
        <v>EVASION Y QUEBRANTAMIENTO DE PENA</v>
      </c>
      <c r="KH88" s="207" t="str">
        <f>IFERROR(INDEX($A$2:$A$113,MATCH(ROWS($GL$2:GL88),$GL$2:$GL$113,0)),"")</f>
        <v>EVASION Y QUEBRANTAMIENTO DE PENA</v>
      </c>
      <c r="KI88" s="207" t="str">
        <f>IFERROR(INDEX($A$2:$A$113,MATCH(ROWS($GM$2:GM88),$GM$2:$GM$113,0)),"")</f>
        <v>EVASION Y QUEBRANTAMIENTO DE PENA</v>
      </c>
      <c r="KJ88" s="207" t="str">
        <f>IFERROR(INDEX($A$2:$A$113,MATCH(ROWS($GN$2:GN88),$GN$2:$GN$113,0)),"")</f>
        <v>EVASION Y QUEBRANTAMIENTO DE PENA</v>
      </c>
      <c r="KK88" s="207" t="str">
        <f>IFERROR(INDEX($A$2:$A$113,MATCH(ROWS($GO$2:GO88),$GO$2:$GO$113,0)),"")</f>
        <v>EVASION Y QUEBRANTAMIENTO DE PENA</v>
      </c>
      <c r="KL88" s="207" t="str">
        <f>IFERROR(INDEX($A$2:$A$113,MATCH(ROWS($GP$2:GP88),$GP$2:$GP$113,0)),"")</f>
        <v>EVASION Y QUEBRANTAMIENTO DE PENA</v>
      </c>
      <c r="KM88" s="207" t="str">
        <f>IFERROR(INDEX($A$2:$A$113,MATCH(ROWS($GQ$2:GQ88),$GQ$2:$GQ$113,0)),"")</f>
        <v>EVASION Y QUEBRANTAMIENTO DE PENA</v>
      </c>
      <c r="KN88" s="207" t="str">
        <f>IFERROR(INDEX($A$2:$A$113,MATCH(ROWS($GR$2:GR88),$GR$2:$GR$113,0)),"")</f>
        <v>EVASION Y QUEBRANTAMIENTO DE PENA</v>
      </c>
      <c r="KO88" s="207" t="str">
        <f>IFERROR(INDEX($A$2:$A$113,MATCH(ROWS($GS$2:GS88),$GS$2:$GS$113,0)),"")</f>
        <v>EVASION Y QUEBRANTAMIENTO DE PENA</v>
      </c>
      <c r="KP88" s="207" t="str">
        <f>IFERROR(INDEX($A$2:$A$113,MATCH(ROWS($GT$2:GT88),$GT$2:$GT$113,0)),"")</f>
        <v>EVASION Y QUEBRANTAMIENTO DE PENA</v>
      </c>
      <c r="KQ88" s="207" t="str">
        <f>IFERROR(INDEX($A$2:$A$113,MATCH(ROWS($GU$2:GU88),$GU$2:$GU$113,0)),"")</f>
        <v>EVASION Y QUEBRANTAMIENTO DE PENA</v>
      </c>
      <c r="KR88" s="207" t="str">
        <f>IFERROR(INDEX($A$2:$A$113,MATCH(ROWS($GV$2:GV88),$GV$2:$GV$113,0)),"")</f>
        <v>EVASION Y QUEBRANTAMIENTO DE PENA</v>
      </c>
      <c r="KS88" s="207" t="str">
        <f>IFERROR(INDEX($A$2:$A$113,MATCH(ROWS($GW$2:GW88),$GW$2:$GW$113,0)),"")</f>
        <v>EVASION Y QUEBRANTAMIENTO DE PENA</v>
      </c>
    </row>
    <row r="89" spans="1:305" x14ac:dyDescent="0.25">
      <c r="A89" s="206" t="s">
        <v>928</v>
      </c>
      <c r="B89" s="206">
        <v>26</v>
      </c>
      <c r="D89" s="206" t="s">
        <v>28</v>
      </c>
      <c r="E89" s="206" t="s">
        <v>113</v>
      </c>
      <c r="F89" s="207">
        <f>--ISNUMBER(IFERROR(SEARCH('PLANILLA DJ'!$X$3,$A89,1),""))</f>
        <v>1</v>
      </c>
      <c r="G89" s="207">
        <f>--ISNUMBER(IFERROR(SEARCH('PLANILLA DJ'!$X$4,$A89,1),""))</f>
        <v>1</v>
      </c>
      <c r="H89" s="207">
        <f>--ISNUMBER(IFERROR(SEARCH('PLANILLA DJ'!$X$5,$A89,1),""))</f>
        <v>1</v>
      </c>
      <c r="I89" s="207">
        <f>--ISNUMBER(IFERROR(SEARCH('PLANILLA DJ'!$X$6,$A89,1),""))</f>
        <v>1</v>
      </c>
      <c r="J89" s="207">
        <f>--ISNUMBER(IFERROR(SEARCH('PLANILLA DJ'!$X$7,$A89,1),""))</f>
        <v>1</v>
      </c>
      <c r="K89" s="207">
        <f>--ISNUMBER(IFERROR(SEARCH('PLANILLA DJ'!$X$8,$A89,1),""))</f>
        <v>1</v>
      </c>
      <c r="L89" s="207">
        <f>--ISNUMBER(IFERROR(SEARCH('PLANILLA DJ'!$X$9,$A89,1),""))</f>
        <v>1</v>
      </c>
      <c r="M89" s="207">
        <f>--ISNUMBER(IFERROR(SEARCH('PLANILLA DJ'!$X$10,$A89,1),""))</f>
        <v>1</v>
      </c>
      <c r="N89" s="207">
        <f>--ISNUMBER(IFERROR(SEARCH('PLANILLA DJ'!$X$11,$A89,1),""))</f>
        <v>1</v>
      </c>
      <c r="O89" s="207">
        <f>--ISNUMBER(IFERROR(SEARCH('PLANILLA DJ'!$X$12,$A89,1),""))</f>
        <v>1</v>
      </c>
      <c r="P89" s="207">
        <f>--ISNUMBER(IFERROR(SEARCH('PLANILLA DJ'!$X$13,$A89,1),""))</f>
        <v>1</v>
      </c>
      <c r="Q89" s="207">
        <f>--ISNUMBER(IFERROR(SEARCH('PLANILLA DJ'!$X$14,$A89,1),""))</f>
        <v>1</v>
      </c>
      <c r="R89" s="207">
        <f>--ISNUMBER(IFERROR(SEARCH('PLANILLA DJ'!$X$15,$A89,1),""))</f>
        <v>1</v>
      </c>
      <c r="S89" s="207">
        <f>--ISNUMBER(IFERROR(SEARCH('PLANILLA DJ'!$X$16,$A89,1),""))</f>
        <v>1</v>
      </c>
      <c r="T89" s="207">
        <f>--ISNUMBER(IFERROR(SEARCH('PLANILLA DJ'!$X$17,$A89,1),""))</f>
        <v>1</v>
      </c>
      <c r="U89" s="207">
        <f>--ISNUMBER(IFERROR(SEARCH('PLANILLA DJ'!$X$18,$A89,1),""))</f>
        <v>1</v>
      </c>
      <c r="V89" s="207">
        <f>--ISNUMBER(IFERROR(SEARCH('PLANILLA DJ'!$X$19,$A89,1),""))</f>
        <v>1</v>
      </c>
      <c r="W89" s="207">
        <f>--ISNUMBER(IFERROR(SEARCH('PLANILLA DJ'!$X$20,$A89,1),""))</f>
        <v>1</v>
      </c>
      <c r="X89" s="207">
        <f>--ISNUMBER(IFERROR(SEARCH('PLANILLA DJ'!$X$21,$A89,1),""))</f>
        <v>1</v>
      </c>
      <c r="Y89" s="207">
        <f>--ISNUMBER(IFERROR(SEARCH('PLANILLA DJ'!$X$22,$A89,1),""))</f>
        <v>1</v>
      </c>
      <c r="Z89" s="207">
        <f>--ISNUMBER(IFERROR(SEARCH('PLANILLA DJ'!$X$23,$A89,1),""))</f>
        <v>1</v>
      </c>
      <c r="AA89" s="207">
        <f>--ISNUMBER(IFERROR(SEARCH('PLANILLA DJ'!$X$24,$A89,1),""))</f>
        <v>1</v>
      </c>
      <c r="AB89" s="207">
        <f>--ISNUMBER(IFERROR(SEARCH('PLANILLA DJ'!$X$25,$A89,1),""))</f>
        <v>1</v>
      </c>
      <c r="AC89" s="207">
        <f>--ISNUMBER(IFERROR(SEARCH('PLANILLA DJ'!$X$26,$A89,1),""))</f>
        <v>1</v>
      </c>
      <c r="AD89" s="207">
        <f>--ISNUMBER(IFERROR(SEARCH('PLANILLA DJ'!$X$27,$A89,1),""))</f>
        <v>1</v>
      </c>
      <c r="AE89" s="207">
        <f>--ISNUMBER(IFERROR(SEARCH('PLANILLA DJ'!$X$28,$A89,1),""))</f>
        <v>1</v>
      </c>
      <c r="AF89" s="207">
        <f>--ISNUMBER(IFERROR(SEARCH('PLANILLA DJ'!$X$29,$A89,1),""))</f>
        <v>1</v>
      </c>
      <c r="AG89" s="207">
        <f>--ISNUMBER(IFERROR(SEARCH('PLANILLA DJ'!$X$30,$A89,1),""))</f>
        <v>1</v>
      </c>
      <c r="AH89" s="207">
        <f>--ISNUMBER(IFERROR(SEARCH('PLANILLA DJ'!$X$31,$A89,1),""))</f>
        <v>1</v>
      </c>
      <c r="AI89" s="207">
        <f>--ISNUMBER(IFERROR(SEARCH('PLANILLA DJ'!$X$32,$A89,1),""))</f>
        <v>1</v>
      </c>
      <c r="AJ89" s="207">
        <f>--ISNUMBER(IFERROR(SEARCH('PLANILLA DJ'!$X$33,$A89,1),""))</f>
        <v>1</v>
      </c>
      <c r="AK89" s="207">
        <f>--ISNUMBER(IFERROR(SEARCH('PLANILLA DJ'!$X$34,$A89,1),""))</f>
        <v>1</v>
      </c>
      <c r="AL89" s="207">
        <f>--ISNUMBER(IFERROR(SEARCH('PLANILLA DJ'!$X$35,$A89,1),""))</f>
        <v>1</v>
      </c>
      <c r="AM89" s="207">
        <f>--ISNUMBER(IFERROR(SEARCH('PLANILLA DJ'!$X$36,$A89,1),""))</f>
        <v>1</v>
      </c>
      <c r="AN89" s="207">
        <f>--ISNUMBER(IFERROR(SEARCH('PLANILLA DJ'!$X$37,$A89,1),""))</f>
        <v>1</v>
      </c>
      <c r="AO89" s="207">
        <f>--ISNUMBER(IFERROR(SEARCH('PLANILLA DJ'!$X$38,$A89,1),""))</f>
        <v>1</v>
      </c>
      <c r="AP89" s="207">
        <f>--ISNUMBER(IFERROR(SEARCH('PLANILLA DJ'!$X$39,$A89,1),""))</f>
        <v>1</v>
      </c>
      <c r="AQ89" s="207">
        <f>--ISNUMBER(IFERROR(SEARCH('PLANILLA DJ'!$X$40,$A89,1),""))</f>
        <v>1</v>
      </c>
      <c r="AR89" s="207">
        <f>--ISNUMBER(IFERROR(SEARCH('PLANILLA DJ'!$X$41,$A89,1),""))</f>
        <v>1</v>
      </c>
      <c r="AS89" s="207">
        <f>--ISNUMBER(IFERROR(SEARCH('PLANILLA DJ'!$X$42,$A89,1),""))</f>
        <v>1</v>
      </c>
      <c r="AT89" s="207">
        <f>--ISNUMBER(IFERROR(SEARCH('PLANILLA DJ'!$X$43,$A89,1),""))</f>
        <v>1</v>
      </c>
      <c r="AU89" s="207">
        <f>--ISNUMBER(IFERROR(SEARCH('PLANILLA DJ'!$X$44,$A89,1),""))</f>
        <v>1</v>
      </c>
      <c r="AV89" s="207">
        <f>--ISNUMBER(IFERROR(SEARCH('PLANILLA DJ'!$X$45,$A89,1),""))</f>
        <v>1</v>
      </c>
      <c r="AW89" s="207">
        <f>--ISNUMBER(IFERROR(SEARCH('PLANILLA DJ'!$X$46,$A89,1),""))</f>
        <v>1</v>
      </c>
      <c r="AX89" s="207">
        <f>--ISNUMBER(IFERROR(SEARCH('PLANILLA DJ'!$X$47,$A89,1),""))</f>
        <v>1</v>
      </c>
      <c r="AY89" s="207">
        <f>--ISNUMBER(IFERROR(SEARCH('PLANILLA DJ'!$X$48,$A89,1),""))</f>
        <v>1</v>
      </c>
      <c r="AZ89" s="207">
        <f>--ISNUMBER(IFERROR(SEARCH('PLANILLA DJ'!$X$49,$A89,1),""))</f>
        <v>1</v>
      </c>
      <c r="BA89" s="207">
        <f>--ISNUMBER(IFERROR(SEARCH('PLANILLA DJ'!$X$50,$A89,1),""))</f>
        <v>1</v>
      </c>
      <c r="BB89" s="207">
        <f>--ISNUMBER(IFERROR(SEARCH('PLANILLA DJ'!$X$51,$A89,1),""))</f>
        <v>1</v>
      </c>
      <c r="BC89" s="207">
        <f>--ISNUMBER(IFERROR(SEARCH('PLANILLA DJ'!$X$52,$A89,1),""))</f>
        <v>1</v>
      </c>
      <c r="BD89" s="207">
        <f>--ISNUMBER(IFERROR(SEARCH('PLANILLA DJ'!$X$53,$A89,1),""))</f>
        <v>1</v>
      </c>
      <c r="BE89" s="207">
        <f>--ISNUMBER(IFERROR(SEARCH('PLANILLA DJ'!$X$54,$A89,1),""))</f>
        <v>1</v>
      </c>
      <c r="BF89" s="207">
        <f>--ISNUMBER(IFERROR(SEARCH('PLANILLA DJ'!$X$55,$A89,1),""))</f>
        <v>1</v>
      </c>
      <c r="BG89" s="207">
        <f>--ISNUMBER(IFERROR(SEARCH('PLANILLA DJ'!$X$56,$A89,1),""))</f>
        <v>1</v>
      </c>
      <c r="BH89" s="207">
        <f>--ISNUMBER(IFERROR(SEARCH('PLANILLA DJ'!$X$57,$A89,1),""))</f>
        <v>1</v>
      </c>
      <c r="BI89" s="207">
        <f>--ISNUMBER(IFERROR(SEARCH('PLANILLA DJ'!$X$58,$A89,1),""))</f>
        <v>1</v>
      </c>
      <c r="BJ89" s="207">
        <f>--ISNUMBER(IFERROR(SEARCH('PLANILLA DJ'!$X$59,$A89,1),""))</f>
        <v>1</v>
      </c>
      <c r="BK89" s="207">
        <f>--ISNUMBER(IFERROR(SEARCH('PLANILLA DJ'!$X$60,$A89,1),""))</f>
        <v>1</v>
      </c>
      <c r="BL89" s="207">
        <f>--ISNUMBER(IFERROR(SEARCH('PLANILLA DJ'!$X$61,$A89,1),""))</f>
        <v>1</v>
      </c>
      <c r="BM89" s="207">
        <f>--ISNUMBER(IFERROR(SEARCH('PLANILLA DJ'!$X$62,$A89,1),""))</f>
        <v>1</v>
      </c>
      <c r="BN89" s="207">
        <f>--ISNUMBER(IFERROR(SEARCH('PLANILLA DJ'!$X$63,$A89,1),""))</f>
        <v>1</v>
      </c>
      <c r="BO89" s="207">
        <f>--ISNUMBER(IFERROR(SEARCH('PLANILLA DJ'!$X$64,$A89,1),""))</f>
        <v>1</v>
      </c>
      <c r="BP89" s="207">
        <f>--ISNUMBER(IFERROR(SEARCH('PLANILLA DJ'!$X$65,$A89,1),""))</f>
        <v>1</v>
      </c>
      <c r="BQ89" s="207">
        <f>--ISNUMBER(IFERROR(SEARCH('PLANILLA DJ'!$X$66,$A89,1),""))</f>
        <v>1</v>
      </c>
      <c r="BR89" s="207">
        <f>--ISNUMBER(IFERROR(SEARCH('PLANILLA DJ'!$X$67,$A89,1),""))</f>
        <v>1</v>
      </c>
      <c r="BS89" s="207">
        <f>--ISNUMBER(IFERROR(SEARCH('PLANILLA DJ'!$X$68,$A89,1),""))</f>
        <v>1</v>
      </c>
      <c r="BT89" s="207">
        <f>--ISNUMBER(IFERROR(SEARCH('PLANILLA DJ'!$X$69,$A89,1),""))</f>
        <v>1</v>
      </c>
      <c r="BU89" s="207">
        <f>--ISNUMBER(IFERROR(SEARCH('PLANILLA DJ'!$X$70,$A89,1),""))</f>
        <v>1</v>
      </c>
      <c r="BV89" s="207">
        <f>--ISNUMBER(IFERROR(SEARCH('PLANILLA DJ'!$X$71,$A89,1),""))</f>
        <v>1</v>
      </c>
      <c r="BW89" s="207">
        <f>--ISNUMBER(IFERROR(SEARCH('PLANILLA DJ'!$X$72,$A89,1),""))</f>
        <v>1</v>
      </c>
      <c r="BX89" s="207">
        <f>--ISNUMBER(IFERROR(SEARCH('PLANILLA DJ'!$X$73,$A89,1),""))</f>
        <v>1</v>
      </c>
      <c r="BY89" s="207">
        <f>--ISNUMBER(IFERROR(SEARCH('PLANILLA DJ'!$X$74,$A89,1),""))</f>
        <v>1</v>
      </c>
      <c r="BZ89" s="207">
        <f>--ISNUMBER(IFERROR(SEARCH('PLANILLA DJ'!$X$75,$A89,1),""))</f>
        <v>1</v>
      </c>
      <c r="CA89" s="207">
        <f>--ISNUMBER(IFERROR(SEARCH('PLANILLA DJ'!$X$76,$A89,1),""))</f>
        <v>1</v>
      </c>
      <c r="CB89" s="207">
        <f>--ISNUMBER(IFERROR(SEARCH('PLANILLA DJ'!$X$77,$A89,1),""))</f>
        <v>1</v>
      </c>
      <c r="CC89" s="207">
        <f>--ISNUMBER(IFERROR(SEARCH('PLANILLA DJ'!$X$78,$A89,1),""))</f>
        <v>1</v>
      </c>
      <c r="CD89" s="207">
        <f>--ISNUMBER(IFERROR(SEARCH('PLANILLA DJ'!$X$79,$A89,1),""))</f>
        <v>1</v>
      </c>
      <c r="CE89" s="207">
        <f>--ISNUMBER(IFERROR(SEARCH('PLANILLA DJ'!$X$80,$A89,1),""))</f>
        <v>1</v>
      </c>
      <c r="CF89" s="207">
        <f>--ISNUMBER(IFERROR(SEARCH('PLANILLA DJ'!$X$81,$A89,1),""))</f>
        <v>1</v>
      </c>
      <c r="CG89" s="207">
        <f>--ISNUMBER(IFERROR(SEARCH('PLANILLA DJ'!$X$82,$A89,1),""))</f>
        <v>1</v>
      </c>
      <c r="CH89" s="207">
        <f>--ISNUMBER(IFERROR(SEARCH('PLANILLA DJ'!$X$83,$A89,1),""))</f>
        <v>1</v>
      </c>
      <c r="CI89" s="207">
        <f>--ISNUMBER(IFERROR(SEARCH('PLANILLA DJ'!$X$84,$A89,1),""))</f>
        <v>1</v>
      </c>
      <c r="CJ89" s="207">
        <f>--ISNUMBER(IFERROR(SEARCH('PLANILLA DJ'!$X$85,$A89,1),""))</f>
        <v>1</v>
      </c>
      <c r="CK89" s="207">
        <f>--ISNUMBER(IFERROR(SEARCH('PLANILLA DJ'!$X$86,$A89,1),""))</f>
        <v>1</v>
      </c>
      <c r="CL89" s="207">
        <f>--ISNUMBER(IFERROR(SEARCH('PLANILLA DJ'!$X$87,$A89,1),""))</f>
        <v>1</v>
      </c>
      <c r="CM89" s="207">
        <f>--ISNUMBER(IFERROR(SEARCH('PLANILLA DJ'!$X$88,$A89,1),""))</f>
        <v>1</v>
      </c>
      <c r="CN89" s="207">
        <f>--ISNUMBER(IFERROR(SEARCH('PLANILLA DJ'!$X$89,$A89,1),""))</f>
        <v>1</v>
      </c>
      <c r="CO89" s="207">
        <f>--ISNUMBER(IFERROR(SEARCH('PLANILLA DJ'!$X$90,$A89,1),""))</f>
        <v>1</v>
      </c>
      <c r="CP89" s="207">
        <f>--ISNUMBER(IFERROR(SEARCH('PLANILLA DJ'!$X$91,$A89,1),""))</f>
        <v>1</v>
      </c>
      <c r="CQ89" s="207">
        <f>--ISNUMBER(IFERROR(SEARCH('PLANILLA DJ'!$X$92,$A89,1),""))</f>
        <v>1</v>
      </c>
      <c r="CR89" s="207">
        <f>--ISNUMBER(IFERROR(SEARCH('PLANILLA DJ'!$X$93,$A89,1),""))</f>
        <v>1</v>
      </c>
      <c r="CS89" s="207">
        <f>--ISNUMBER(IFERROR(SEARCH('PLANILLA DJ'!$X$94,$A89,1),""))</f>
        <v>1</v>
      </c>
      <c r="CT89" s="207">
        <f>--ISNUMBER(IFERROR(SEARCH('PLANILLA DJ'!$X$95,$A89,1),""))</f>
        <v>1</v>
      </c>
      <c r="CU89" s="207">
        <f>--ISNUMBER(IFERROR(SEARCH('PLANILLA DJ'!$X$96,$A89,1),""))</f>
        <v>1</v>
      </c>
      <c r="CV89" s="207">
        <f>--ISNUMBER(IFERROR(SEARCH('PLANILLA DJ'!$X$97,$A89,1),""))</f>
        <v>1</v>
      </c>
      <c r="CW89" s="207">
        <f>--ISNUMBER(IFERROR(SEARCH('PLANILLA DJ'!$X$98,$A89,1),""))</f>
        <v>1</v>
      </c>
      <c r="CX89" s="207">
        <f>--ISNUMBER(IFERROR(SEARCH('PLANILLA DJ'!$X$99,$A89,1),""))</f>
        <v>1</v>
      </c>
      <c r="CY89" s="207">
        <f>--ISNUMBER(IFERROR(SEARCH('PLANILLA DJ'!$X$100,$A89,1),""))</f>
        <v>1</v>
      </c>
      <c r="CZ89" s="207">
        <f>--ISNUMBER(IFERROR(SEARCH('PLANILLA DJ'!$X$101,$A89,1),""))</f>
        <v>1</v>
      </c>
      <c r="DA89" s="207">
        <f>--ISNUMBER(IFERROR(SEARCH('PLANILLA DJ'!$X$102,$A89,1),""))</f>
        <v>1</v>
      </c>
      <c r="DB89" s="206">
        <f>IF(F89=1,COUNTIF($F$2:F89,1),"")</f>
        <v>88</v>
      </c>
      <c r="DC89" s="206">
        <f>IF(G89=1,COUNTIF($G$2:G89,1),"")</f>
        <v>88</v>
      </c>
      <c r="DD89" s="206">
        <f>IF(H89=1,COUNTIF($H$2:H89,1),"")</f>
        <v>88</v>
      </c>
      <c r="DE89" s="206">
        <f>IF(I89=1,COUNTIF($I$2:I89,1),"")</f>
        <v>88</v>
      </c>
      <c r="DF89" s="206">
        <f>IF(J89=1,COUNTIF($J$2:J89,1),"")</f>
        <v>88</v>
      </c>
      <c r="DG89" s="206">
        <f>IF(K89=1,COUNTIF($K$2:K89,1),"")</f>
        <v>88</v>
      </c>
      <c r="DH89" s="206">
        <f>IF(L89=1,COUNTIF($L$2:L89,1),"")</f>
        <v>88</v>
      </c>
      <c r="DI89" s="206">
        <f>IF(M89=1,COUNTIF($M$2:M89,1),"")</f>
        <v>88</v>
      </c>
      <c r="DJ89" s="206">
        <f>IF(N89=1,COUNTIF($N$2:N89,1),"")</f>
        <v>88</v>
      </c>
      <c r="DK89" s="206">
        <f>IF(O89=1,COUNTIF($O$2:O89,1),"")</f>
        <v>88</v>
      </c>
      <c r="DL89" s="206">
        <f>IF(P89=1,COUNTIF($P$2:P89,1),"")</f>
        <v>88</v>
      </c>
      <c r="DM89" s="206">
        <f>IF(Q89=1,COUNTIF($Q$2:Q89,1),"")</f>
        <v>88</v>
      </c>
      <c r="DN89" s="207">
        <f>IF(R89=1,COUNTIF($R$2:R89,1),"")</f>
        <v>88</v>
      </c>
      <c r="DO89" s="207">
        <f>IF(S89=1,COUNTIF($S$2:S89,1),"")</f>
        <v>88</v>
      </c>
      <c r="DP89" s="207">
        <f>IF(T89=1,COUNTIF($T$2:T89,1),"")</f>
        <v>88</v>
      </c>
      <c r="DQ89" s="207">
        <f>IF(U89=1,COUNTIF($U$2:U89,1),"")</f>
        <v>88</v>
      </c>
      <c r="DR89" s="207">
        <f>IF(V89=1,COUNTIF($V$2:V89,1),"")</f>
        <v>88</v>
      </c>
      <c r="DS89" s="207">
        <f>IF(W89=1,COUNTIF($W$2:W89,1),"")</f>
        <v>88</v>
      </c>
      <c r="DT89" s="207">
        <f>IF(X89=1,COUNTIF($X$2:X89,1),"")</f>
        <v>88</v>
      </c>
      <c r="DU89" s="207">
        <f>IF(Y89=1,COUNTIF($Y$2:Y89,1),"")</f>
        <v>88</v>
      </c>
      <c r="DV89" s="207">
        <f>IF(Z89=1,COUNTIF(Z$2:Z89,1),"")</f>
        <v>88</v>
      </c>
      <c r="DW89" s="207">
        <f>IF(AA89=1,COUNTIF($AA$2:AA89,1),"")</f>
        <v>88</v>
      </c>
      <c r="DX89" s="207">
        <f>IF(AB89=1,COUNTIF($AB$2:AB89,1),"")</f>
        <v>88</v>
      </c>
      <c r="DY89" s="207">
        <f>IF(AC89=1,COUNTIF($AC$2:AC89,1),"")</f>
        <v>88</v>
      </c>
      <c r="DZ89" s="207">
        <f>IF(AD89=1,COUNTIF($AD$2:AD89,1),"")</f>
        <v>88</v>
      </c>
      <c r="EA89" s="207">
        <f>IF(AE89=1,COUNTIF($AE$2:AE89,1),"")</f>
        <v>88</v>
      </c>
      <c r="EB89" s="207">
        <f>IF(AF89=1,COUNTIF($AF$2:AF89,1),"")</f>
        <v>88</v>
      </c>
      <c r="EC89" s="207">
        <f>IF(AG89=1,COUNTIF($AG$2:AG89,1),"")</f>
        <v>88</v>
      </c>
      <c r="ED89" s="207">
        <f>IF(AH89=1,COUNTIF($AH$2:AH89,1),"")</f>
        <v>88</v>
      </c>
      <c r="EE89" s="207">
        <f>IF(AI89=1,COUNTIF($AI$2:AI89,1),"")</f>
        <v>88</v>
      </c>
      <c r="EF89" s="207">
        <f>IF(AJ89=1,COUNTIF($AJ$2:AJ89,1),"")</f>
        <v>88</v>
      </c>
      <c r="EG89" s="207">
        <f>IF(AK89=1,COUNTIF($AK$2:AK89,1),"")</f>
        <v>88</v>
      </c>
      <c r="EH89" s="207">
        <f>IF(AL89=1,COUNTIF($AL$2:AL89,1),"")</f>
        <v>88</v>
      </c>
      <c r="EI89" s="207">
        <f>IF(AM89=1,COUNTIF($AM$2:AM89,1),"")</f>
        <v>88</v>
      </c>
      <c r="EJ89" s="207">
        <f>IF(AN89=1,COUNTIF($AN$2:AN89,1),"")</f>
        <v>88</v>
      </c>
      <c r="EK89" s="207">
        <f>IF(AO89=1,COUNTIF($AO$2:AO89,1),"")</f>
        <v>88</v>
      </c>
      <c r="EL89" s="207">
        <f>IF(AP89=1,COUNTIF($AP$2:AP89,1),"")</f>
        <v>88</v>
      </c>
      <c r="EM89" s="207">
        <f>IF(AQ89=1,COUNTIF($AQ$2:AQ89,1),"")</f>
        <v>88</v>
      </c>
      <c r="EN89" s="207">
        <f>IF(AR89=1,COUNTIF($AR$2:AR89,1),"")</f>
        <v>88</v>
      </c>
      <c r="EO89" s="207">
        <f>IF(AS89=1,COUNTIF($AS$2:AS89,1),"")</f>
        <v>88</v>
      </c>
      <c r="EP89" s="207">
        <f>IF(AT89=1,COUNTIF($AT$2:AT89,1),"")</f>
        <v>88</v>
      </c>
      <c r="EQ89" s="207">
        <f>IF(AU89=1,COUNTIF($AU$2:AU89,1),"")</f>
        <v>88</v>
      </c>
      <c r="ER89" s="207">
        <f>IF(AV89=1,COUNTIF($AV$2:AV89,1),"")</f>
        <v>88</v>
      </c>
      <c r="ES89" s="207">
        <f>IF(AW89=1,COUNTIF($AW$2:AW89,1),"")</f>
        <v>88</v>
      </c>
      <c r="ET89" s="207">
        <f>IF(AX89=1,COUNTIF($AX$2:AX89,1),"")</f>
        <v>88</v>
      </c>
      <c r="EU89" s="207">
        <f>IF(AY89=1,COUNTIF($AY$2:AY89,1),"")</f>
        <v>88</v>
      </c>
      <c r="EV89" s="207">
        <f>IF(AZ89=1,COUNTIF($AZ$2:AZ89,1),"")</f>
        <v>88</v>
      </c>
      <c r="EW89" s="207">
        <f>IF(BA89=1,COUNTIF($BA$2:BA89,1),"")</f>
        <v>88</v>
      </c>
      <c r="EX89" s="207">
        <f>IF(BB89=1,COUNTIF($BB$2:BB89,1),"")</f>
        <v>88</v>
      </c>
      <c r="EY89" s="207">
        <f>IF(BC89=1,COUNTIF($BC$2:BC89,1),"")</f>
        <v>88</v>
      </c>
      <c r="EZ89" s="207">
        <f>IF(BD89=1,COUNTIF($BD$2:BD89,1),"")</f>
        <v>88</v>
      </c>
      <c r="FA89" s="207">
        <f>IF(BE89=1,COUNTIF($BE$2:BE89,1),"")</f>
        <v>88</v>
      </c>
      <c r="FB89" s="207">
        <f>IF(BF89=1,COUNTIF($BF$2:BF89,1),"")</f>
        <v>88</v>
      </c>
      <c r="FC89" s="207">
        <f>IF(BG89=1,COUNTIF($BG$2:BG89,1),"")</f>
        <v>88</v>
      </c>
      <c r="FD89" s="207">
        <f>IF(BH89=1,COUNTIF($BH$2:BH89,1),"")</f>
        <v>88</v>
      </c>
      <c r="FE89" s="207">
        <f>IF(BI89=1,COUNTIF($BI$2:BI89,1),"")</f>
        <v>88</v>
      </c>
      <c r="FF89" s="207">
        <f>IF(BJ89=1,COUNTIF($BJ$2:BJ89,1),"")</f>
        <v>88</v>
      </c>
      <c r="FG89" s="207">
        <f>IF(BK89=1,COUNTIF($BK$2:BK89,1),"")</f>
        <v>88</v>
      </c>
      <c r="FH89" s="207">
        <f>IF(BL89=1,COUNTIF($BL$2:BL89,1),"")</f>
        <v>88</v>
      </c>
      <c r="FI89" s="207">
        <f>IF(BM89=1,COUNTIF($BM$2:BM89,1),"")</f>
        <v>88</v>
      </c>
      <c r="FJ89" s="207">
        <f>IF(BN89=1,COUNTIF($BN$2:BN89,1),"")</f>
        <v>88</v>
      </c>
      <c r="FK89" s="207">
        <f>IF(BO89=1,COUNTIF($BO$2:BO89,1),"")</f>
        <v>88</v>
      </c>
      <c r="FL89" s="207">
        <f>IF(BP89=1,COUNTIF($BP$2:BP89,1),"")</f>
        <v>88</v>
      </c>
      <c r="FM89" s="207">
        <f>IF(BQ89=1,COUNTIF($BQ$2:BQ89,1),"")</f>
        <v>88</v>
      </c>
      <c r="FN89" s="207">
        <f>IF(BR89=1,COUNTIF($BR$2:BR89,1),"")</f>
        <v>88</v>
      </c>
      <c r="FO89" s="207">
        <f>IF(BS89=1,COUNTIF($BS$2:BS89,1),"")</f>
        <v>88</v>
      </c>
      <c r="FP89" s="207">
        <f>IF(BT89=1,COUNTIF($BT$2:BT89,1),"")</f>
        <v>88</v>
      </c>
      <c r="FQ89" s="207">
        <f>IF(BU89=1,COUNTIF($BU$2:BU89,1),"")</f>
        <v>88</v>
      </c>
      <c r="FR89" s="207">
        <f>IF(BV89=1,COUNTIF($BV$2:BV89,1),"")</f>
        <v>88</v>
      </c>
      <c r="FS89" s="207">
        <f>IF(BW89=1,COUNTIF($BW$2:BW89,1),"")</f>
        <v>88</v>
      </c>
      <c r="FT89" s="207">
        <f>IF(BX89=1,COUNTIF($BX$2:BX89,1),"")</f>
        <v>88</v>
      </c>
      <c r="FU89" s="207">
        <f>IF(BY89=1,COUNTIF($BY$2:BY89,1),"")</f>
        <v>88</v>
      </c>
      <c r="FV89" s="207">
        <f>IF(BZ89=1,COUNTIF($BZ$2:BZ89,1),"")</f>
        <v>88</v>
      </c>
      <c r="FW89" s="207">
        <f>IF(CA89=1,COUNTIF($CA$2:CA89,1),"")</f>
        <v>88</v>
      </c>
      <c r="FX89" s="207">
        <f>IF(CB89=1,COUNTIF($CB$2:CB89,1),"")</f>
        <v>88</v>
      </c>
      <c r="FY89" s="207">
        <f>IF(CC89=1,COUNTIF($CC$2:CC89,1),"")</f>
        <v>88</v>
      </c>
      <c r="FZ89" s="207">
        <f>IF(CD89=1,COUNTIF($CD$2:CD89,1),"")</f>
        <v>88</v>
      </c>
      <c r="GA89" s="207">
        <f>IF(CE89=1,COUNTIF($CE$2:CE89,1),"")</f>
        <v>88</v>
      </c>
      <c r="GB89" s="207">
        <f>IF(CF89=1,COUNTIF($CF$2:CF89,1),"")</f>
        <v>88</v>
      </c>
      <c r="GC89" s="207">
        <f>IF(CG89=1,COUNTIF($CG$2:CG89,1),"")</f>
        <v>88</v>
      </c>
      <c r="GD89" s="207">
        <f>IF(CH89=1,COUNTIF($CH$2:CH89,1),"")</f>
        <v>88</v>
      </c>
      <c r="GE89" s="207">
        <f>IF(CI89=1,COUNTIF($CI$2:CI89,1),"")</f>
        <v>88</v>
      </c>
      <c r="GF89" s="207">
        <f>IF(CJ89=1,COUNTIF($CJ$2:CJ89,1),"")</f>
        <v>88</v>
      </c>
      <c r="GG89" s="207">
        <f>IF(CK89=1,COUNTIF($CK$2:CK89,1),"")</f>
        <v>88</v>
      </c>
      <c r="GH89" s="207">
        <f>IF(CL89=1,COUNTIF($CL$2:CL89,1),"")</f>
        <v>88</v>
      </c>
      <c r="GI89" s="207">
        <f>IF(CM89=1,COUNTIF($CM$2:CM89,1),"")</f>
        <v>88</v>
      </c>
      <c r="GJ89" s="207">
        <f>IF(CN89=1,COUNTIF($CN$2:CN89,1),"")</f>
        <v>88</v>
      </c>
      <c r="GK89" s="207">
        <f>IF(CO89=1,COUNTIF($CO$2:CO89,1),"")</f>
        <v>88</v>
      </c>
      <c r="GL89" s="207">
        <f>IF(CP89=1,COUNTIF($CP$2:CP89,1),"")</f>
        <v>88</v>
      </c>
      <c r="GM89" s="207">
        <f>IF(CQ89=1,COUNTIF($CQ$2:CQ89,1),"")</f>
        <v>88</v>
      </c>
      <c r="GN89" s="207">
        <f>IF(CR89=1,COUNTIF($CR$2:CR89,1),"")</f>
        <v>88</v>
      </c>
      <c r="GO89" s="207">
        <f>IF(CS89=1,COUNTIF($CS$2:CS89,1),"")</f>
        <v>88</v>
      </c>
      <c r="GP89" s="207">
        <f>IF(CT89=1,COUNTIF($CT$2:CT89,1),"")</f>
        <v>88</v>
      </c>
      <c r="GQ89" s="207">
        <f>IF(CU89=1,COUNTIF($CU$2:CU89,1),"")</f>
        <v>88</v>
      </c>
      <c r="GR89" s="207">
        <f>IF(CV89=1,COUNTIF($CV$2:CV89,1),"")</f>
        <v>88</v>
      </c>
      <c r="GS89" s="207">
        <f>IF(CW89=1,COUNTIF($CW$2:CW89,1),"")</f>
        <v>88</v>
      </c>
      <c r="GT89" s="207">
        <f>IF(CX89=1,COUNTIF($CX$2:CX89,1),"")</f>
        <v>88</v>
      </c>
      <c r="GU89" s="207">
        <f>IF(CY89=1,COUNTIF($CY$2:CY89,1),"")</f>
        <v>88</v>
      </c>
      <c r="GV89" s="207">
        <f>IF(CZ89=1,COUNTIF($CZ$2:CZ89,1),"")</f>
        <v>88</v>
      </c>
      <c r="GW89" s="207">
        <f>IF(DA89=1,COUNTIF($DA$2:DA89,1),"")</f>
        <v>88</v>
      </c>
      <c r="GX89" s="206" t="str">
        <f>IFERROR(INDEX($A$2:$A$113,MATCH(ROWS($DB$2:DB89),$DB$2:$DB$113,0)),"")</f>
        <v>EVASION Y QUEBRANTAMIENTO DE PENA FAVORECIDO POR FUNCIONARIO PUBLICO</v>
      </c>
      <c r="GY89" s="206" t="str">
        <f>IFERROR(INDEX($A$2:$A$113,MATCH(ROWS($DC$2:DC89),$DC$2:$DC$113,0)),"")</f>
        <v>EVASION Y QUEBRANTAMIENTO DE PENA FAVORECIDO POR FUNCIONARIO PUBLICO</v>
      </c>
      <c r="GZ89" s="206" t="str">
        <f>IFERROR(INDEX($A$2:$A$113,MATCH(ROWS($DD$2:DD89),$DD$2:$DD$113,0)),"")</f>
        <v>EVASION Y QUEBRANTAMIENTO DE PENA FAVORECIDO POR FUNCIONARIO PUBLICO</v>
      </c>
      <c r="HA89" s="206" t="str">
        <f>IFERROR(INDEX($A$2:$A$113,MATCH(ROWS($DE$2:DE89),$DE$2:$DE$113,0)),"")</f>
        <v>EVASION Y QUEBRANTAMIENTO DE PENA FAVORECIDO POR FUNCIONARIO PUBLICO</v>
      </c>
      <c r="HB89" s="206" t="str">
        <f>IFERROR(INDEX($A$2:$A$113,MATCH(ROWS($DF$2:DF89),$DF$2:$DF$113,0)),"")</f>
        <v>EVASION Y QUEBRANTAMIENTO DE PENA FAVORECIDO POR FUNCIONARIO PUBLICO</v>
      </c>
      <c r="HC89" s="206" t="str">
        <f>IFERROR(INDEX($A$2:$A$113,MATCH(ROWS($DG$2:DG89),$DG$2:$DG$113,0)),"")</f>
        <v>EVASION Y QUEBRANTAMIENTO DE PENA FAVORECIDO POR FUNCIONARIO PUBLICO</v>
      </c>
      <c r="HD89" s="206" t="str">
        <f>IFERROR(INDEX($A$2:$A$113,MATCH(ROWS($DH$2:DH89),$DH$2:$DH$113,0)),"")</f>
        <v>EVASION Y QUEBRANTAMIENTO DE PENA FAVORECIDO POR FUNCIONARIO PUBLICO</v>
      </c>
      <c r="HE89" s="206" t="str">
        <f>IFERROR(INDEX($A$2:$A$113,MATCH(ROWS($DI$2:DI89),$DI$2:$DI$113,0)),"")</f>
        <v>EVASION Y QUEBRANTAMIENTO DE PENA FAVORECIDO POR FUNCIONARIO PUBLICO</v>
      </c>
      <c r="HF89" s="206" t="str">
        <f>IFERROR(INDEX($A$2:$A$113,MATCH(ROWS($DJ$2:DJ89),$DJ$2:$DJ$113,0)),"")</f>
        <v>EVASION Y QUEBRANTAMIENTO DE PENA FAVORECIDO POR FUNCIONARIO PUBLICO</v>
      </c>
      <c r="HG89" s="206" t="str">
        <f>IFERROR(INDEX($A$2:$A$113,MATCH(ROWS($DK$2:DK89),$DK$2:$DK$113,0)),"")</f>
        <v>EVASION Y QUEBRANTAMIENTO DE PENA FAVORECIDO POR FUNCIONARIO PUBLICO</v>
      </c>
      <c r="HH89" s="206" t="str">
        <f>IFERROR(INDEX($A$2:$A$113,MATCH(ROWS($DL$2:DL89),$DL$2:$DL$113,0)),"")</f>
        <v>EVASION Y QUEBRANTAMIENTO DE PENA FAVORECIDO POR FUNCIONARIO PUBLICO</v>
      </c>
      <c r="HI89" s="206" t="str">
        <f>IFERROR(INDEX($A$2:$A$113,MATCH(ROWS($DM$2:DM89),$DM$2:$DM$113,0)),"")</f>
        <v>EVASION Y QUEBRANTAMIENTO DE PENA FAVORECIDO POR FUNCIONARIO PUBLICO</v>
      </c>
      <c r="HJ89" s="206" t="str">
        <f>IFERROR(INDEX($A$2:$A$113,MATCH(ROWS($DN$2:DN89),$DN$2:$DN$113,0)),"")</f>
        <v>EVASION Y QUEBRANTAMIENTO DE PENA FAVORECIDO POR FUNCIONARIO PUBLICO</v>
      </c>
      <c r="HK89" s="206" t="str">
        <f>IFERROR(INDEX($A$2:$A$113,MATCH(ROWS($DO$2:DO89),$DO$2:$DO$113,0)),"")</f>
        <v>EVASION Y QUEBRANTAMIENTO DE PENA FAVORECIDO POR FUNCIONARIO PUBLICO</v>
      </c>
      <c r="HL89" s="206" t="str">
        <f>IFERROR(INDEX($A$2:$A$113,MATCH(ROWS($DP$2:DP89),$DP$2:$DP$113,0)),"")</f>
        <v>EVASION Y QUEBRANTAMIENTO DE PENA FAVORECIDO POR FUNCIONARIO PUBLICO</v>
      </c>
      <c r="HM89" s="206" t="str">
        <f>IFERROR(INDEX($A$2:$A$113,MATCH(ROWS($DQ$2:DQ89),$DQ$2:$DQ$113,0)),"")</f>
        <v>EVASION Y QUEBRANTAMIENTO DE PENA FAVORECIDO POR FUNCIONARIO PUBLICO</v>
      </c>
      <c r="HN89" s="206" t="str">
        <f>IFERROR(INDEX($A$2:$A$113,MATCH(ROWS($DR$2:DR89),$DR$2:$DR$113,0)),"")</f>
        <v>EVASION Y QUEBRANTAMIENTO DE PENA FAVORECIDO POR FUNCIONARIO PUBLICO</v>
      </c>
      <c r="HO89" s="206" t="str">
        <f>IFERROR(INDEX($A$2:$A$113,MATCH(ROWS($DS$2:DS89),$DS$2:$DS$113,0)),"")</f>
        <v>EVASION Y QUEBRANTAMIENTO DE PENA FAVORECIDO POR FUNCIONARIO PUBLICO</v>
      </c>
      <c r="HP89" s="206" t="str">
        <f>IFERROR(INDEX($A$2:$A$113,MATCH(ROWS($DT$2:DT89),$DT$2:$DT$113,0)),"")</f>
        <v>EVASION Y QUEBRANTAMIENTO DE PENA FAVORECIDO POR FUNCIONARIO PUBLICO</v>
      </c>
      <c r="HQ89" s="206" t="str">
        <f>IFERROR(INDEX($A$2:$A$113,MATCH(ROWS($DU$2:DU89),$DU$2:$DU$113,0)),"")</f>
        <v>EVASION Y QUEBRANTAMIENTO DE PENA FAVORECIDO POR FUNCIONARIO PUBLICO</v>
      </c>
      <c r="HR89" s="206" t="str">
        <f>IFERROR(INDEX($A$2:$A$113,MATCH(ROWS($DV$2:DV89),$DV$2:$DV$113,0)),"")</f>
        <v>EVASION Y QUEBRANTAMIENTO DE PENA FAVORECIDO POR FUNCIONARIO PUBLICO</v>
      </c>
      <c r="HS89" s="206" t="str">
        <f>IFERROR(INDEX($A$2:$A$113,MATCH(ROWS($DW$2:DW89),$DW$2:$DW$113,0)),"")</f>
        <v>EVASION Y QUEBRANTAMIENTO DE PENA FAVORECIDO POR FUNCIONARIO PUBLICO</v>
      </c>
      <c r="HT89" s="206" t="str">
        <f>IFERROR(INDEX($A$2:$A$113,MATCH(ROWS($DX$2:DX89),$DX$2:$DX$113,0)),"")</f>
        <v>EVASION Y QUEBRANTAMIENTO DE PENA FAVORECIDO POR FUNCIONARIO PUBLICO</v>
      </c>
      <c r="HU89" s="206" t="str">
        <f>IFERROR(INDEX($A$2:$A$113,MATCH(ROWS($DY$2:DY89),$DY$2:$DY$113,0)),"")</f>
        <v>EVASION Y QUEBRANTAMIENTO DE PENA FAVORECIDO POR FUNCIONARIO PUBLICO</v>
      </c>
      <c r="HV89" s="206" t="str">
        <f>IFERROR(INDEX($A$2:$A$113,MATCH(ROWS($DZ$2:DZ89),$DZ$2:$DZ$113,0)),"")</f>
        <v>EVASION Y QUEBRANTAMIENTO DE PENA FAVORECIDO POR FUNCIONARIO PUBLICO</v>
      </c>
      <c r="HW89" s="206" t="str">
        <f>IFERROR(INDEX($A$2:$A$113,MATCH(ROWS($EA$2:EA89),$EA$2:$EA$113,0)),"")</f>
        <v>EVASION Y QUEBRANTAMIENTO DE PENA FAVORECIDO POR FUNCIONARIO PUBLICO</v>
      </c>
      <c r="HX89" s="206" t="str">
        <f>IFERROR(INDEX($A$2:$A$113,MATCH(ROWS($EB$2:EB89),$EB$2:$EB$113,0)),"")</f>
        <v>EVASION Y QUEBRANTAMIENTO DE PENA FAVORECIDO POR FUNCIONARIO PUBLICO</v>
      </c>
      <c r="HY89" s="206" t="str">
        <f>IFERROR(INDEX($A$2:$A$113,MATCH(ROWS($EC$2:EC89),$EC$2:$EC$113,0)),"")</f>
        <v>EVASION Y QUEBRANTAMIENTO DE PENA FAVORECIDO POR FUNCIONARIO PUBLICO</v>
      </c>
      <c r="HZ89" s="206" t="str">
        <f>IFERROR(INDEX($A$2:$A$113,MATCH(ROWS($ED$2:ED89),$ED$2:$ED$113,0)),"")</f>
        <v>EVASION Y QUEBRANTAMIENTO DE PENA FAVORECIDO POR FUNCIONARIO PUBLICO</v>
      </c>
      <c r="IA89" s="206" t="str">
        <f>IFERROR(INDEX($A$2:$A$113,MATCH(ROWS($EE$2:EE89),$EE$2:$EE$113,0)),"")</f>
        <v>EVASION Y QUEBRANTAMIENTO DE PENA FAVORECIDO POR FUNCIONARIO PUBLICO</v>
      </c>
      <c r="IB89" s="206" t="str">
        <f>IFERROR(INDEX($A$2:$A$113,MATCH(ROWS($EF$2:EF89),$EF$2:$EF$113,0)),"")</f>
        <v>EVASION Y QUEBRANTAMIENTO DE PENA FAVORECIDO POR FUNCIONARIO PUBLICO</v>
      </c>
      <c r="IC89" s="206" t="str">
        <f>IFERROR(INDEX($A$2:$A$113,MATCH(ROWS($EG$2:EG89),$EG$2:$EG$113,0)),"")</f>
        <v>EVASION Y QUEBRANTAMIENTO DE PENA FAVORECIDO POR FUNCIONARIO PUBLICO</v>
      </c>
      <c r="ID89" s="206" t="str">
        <f>IFERROR(INDEX($A$2:$A$113,MATCH(ROWS($EH$2:EH89),$EH$2:$EH$113,0)),"")</f>
        <v>EVASION Y QUEBRANTAMIENTO DE PENA FAVORECIDO POR FUNCIONARIO PUBLICO</v>
      </c>
      <c r="IE89" s="206" t="str">
        <f>IFERROR(INDEX($A$2:$A$113,MATCH(ROWS($EI$2:EI89),$EI$2:$EI$113,0)),"")</f>
        <v>EVASION Y QUEBRANTAMIENTO DE PENA FAVORECIDO POR FUNCIONARIO PUBLICO</v>
      </c>
      <c r="IF89" s="206" t="str">
        <f>IFERROR(INDEX($A$2:$A$113,MATCH(ROWS($EJ$2:EJ89),$EJ$2:$EJ$113,0)),"")</f>
        <v>EVASION Y QUEBRANTAMIENTO DE PENA FAVORECIDO POR FUNCIONARIO PUBLICO</v>
      </c>
      <c r="IG89" s="206" t="str">
        <f>IFERROR(INDEX($A$2:$A$113,MATCH(ROWS($EK$2:EK89),$EK$2:$EK$113,0)),"")</f>
        <v>EVASION Y QUEBRANTAMIENTO DE PENA FAVORECIDO POR FUNCIONARIO PUBLICO</v>
      </c>
      <c r="IH89" s="206" t="str">
        <f>IFERROR(INDEX($A$2:$A$113,MATCH(ROWS($EL$2:EL89),$EL$2:$EL$113,0)),"")</f>
        <v>EVASION Y QUEBRANTAMIENTO DE PENA FAVORECIDO POR FUNCIONARIO PUBLICO</v>
      </c>
      <c r="II89" s="206" t="str">
        <f>IFERROR(INDEX($A$2:$A$113,MATCH(ROWS($EM$2:EM89),$EM$2:$EM$113,0)),"")</f>
        <v>EVASION Y QUEBRANTAMIENTO DE PENA FAVORECIDO POR FUNCIONARIO PUBLICO</v>
      </c>
      <c r="IJ89" s="206" t="str">
        <f>IFERROR(INDEX($A$2:$A$113,MATCH(ROWS($EN$2:EN89),$EN$2:$EN$113,0)),"")</f>
        <v>EVASION Y QUEBRANTAMIENTO DE PENA FAVORECIDO POR FUNCIONARIO PUBLICO</v>
      </c>
      <c r="IK89" s="207" t="str">
        <f>IFERROR(INDEX($A$2:$A$113,MATCH(ROWS($EO$2:EO89),$EO$2:$EO$113,0)),"")</f>
        <v>EVASION Y QUEBRANTAMIENTO DE PENA FAVORECIDO POR FUNCIONARIO PUBLICO</v>
      </c>
      <c r="IL89" s="207" t="str">
        <f>IFERROR(INDEX($A$2:$A$113,MATCH(ROWS($EP$2:EP89),$EP$2:$EP$113,0)),"")</f>
        <v>EVASION Y QUEBRANTAMIENTO DE PENA FAVORECIDO POR FUNCIONARIO PUBLICO</v>
      </c>
      <c r="IM89" s="207" t="str">
        <f>IFERROR(INDEX($A$2:$A$113,MATCH(ROWS($EQ$2:EQ89),$EQ$2:$EQ$113,0)),"")</f>
        <v>EVASION Y QUEBRANTAMIENTO DE PENA FAVORECIDO POR FUNCIONARIO PUBLICO</v>
      </c>
      <c r="IN89" s="207" t="str">
        <f>IFERROR(INDEX($A$2:$A$113,MATCH(ROWS($ER$2:ER89),$ER$2:$ER$113,0)),"")</f>
        <v>EVASION Y QUEBRANTAMIENTO DE PENA FAVORECIDO POR FUNCIONARIO PUBLICO</v>
      </c>
      <c r="IO89" s="207" t="str">
        <f>IFERROR(INDEX($A$2:$A$113,MATCH(ROWS($ES$2:ES89),$ES$2:$ES$113,0)),"")</f>
        <v>EVASION Y QUEBRANTAMIENTO DE PENA FAVORECIDO POR FUNCIONARIO PUBLICO</v>
      </c>
      <c r="IP89" s="207" t="str">
        <f>IFERROR(INDEX($A$2:$A$113,MATCH(ROWS($ET$2:ET89),$ET$2:$ET$113,0)),"")</f>
        <v>EVASION Y QUEBRANTAMIENTO DE PENA FAVORECIDO POR FUNCIONARIO PUBLICO</v>
      </c>
      <c r="IQ89" s="207" t="str">
        <f>IFERROR(INDEX($A$2:$A$113,MATCH(ROWS($EU$2:EU89),$EU$2:$EU$113,0)),"")</f>
        <v>EVASION Y QUEBRANTAMIENTO DE PENA FAVORECIDO POR FUNCIONARIO PUBLICO</v>
      </c>
      <c r="IR89" s="207" t="str">
        <f>IFERROR(INDEX($A$2:$A$113,MATCH(ROWS($EV$2:EV89),$EV$2:$EV$113,0)),"")</f>
        <v>EVASION Y QUEBRANTAMIENTO DE PENA FAVORECIDO POR FUNCIONARIO PUBLICO</v>
      </c>
      <c r="IS89" s="207" t="str">
        <f>IFERROR(INDEX($A$2:$A$113,MATCH(ROWS($EW$2:EW89),$EW$2:$EW$113,0)),"")</f>
        <v>EVASION Y QUEBRANTAMIENTO DE PENA FAVORECIDO POR FUNCIONARIO PUBLICO</v>
      </c>
      <c r="IT89" s="207" t="str">
        <f>IFERROR(INDEX($A$2:$A$113,MATCH(ROWS($EX$2:EX89),$EX$2:$EX$113,0)),"")</f>
        <v>EVASION Y QUEBRANTAMIENTO DE PENA FAVORECIDO POR FUNCIONARIO PUBLICO</v>
      </c>
      <c r="IU89" s="207" t="str">
        <f>IFERROR(INDEX($A$2:$A$113,MATCH(ROWS($EY$2:EY89),$EY$2:$EY$113,0)),"")</f>
        <v>EVASION Y QUEBRANTAMIENTO DE PENA FAVORECIDO POR FUNCIONARIO PUBLICO</v>
      </c>
      <c r="IV89" s="207" t="str">
        <f>IFERROR(INDEX($A$2:$A$113,MATCH(ROWS($EZ$2:EZ89),$EZ$2:$EZ$113,0)),"")</f>
        <v>EVASION Y QUEBRANTAMIENTO DE PENA FAVORECIDO POR FUNCIONARIO PUBLICO</v>
      </c>
      <c r="IW89" s="207" t="str">
        <f>IFERROR(INDEX($A$2:$A$113,MATCH(ROWS($FA$2:FA89),$FA$2:$FA$113,0)),"")</f>
        <v>EVASION Y QUEBRANTAMIENTO DE PENA FAVORECIDO POR FUNCIONARIO PUBLICO</v>
      </c>
      <c r="IX89" s="207" t="str">
        <f>IFERROR(INDEX($A$2:$A$113,MATCH(ROWS($FB$2:FB89),$FB$2:$FB$113,0)),"")</f>
        <v>EVASION Y QUEBRANTAMIENTO DE PENA FAVORECIDO POR FUNCIONARIO PUBLICO</v>
      </c>
      <c r="IY89" s="207" t="str">
        <f>IFERROR(INDEX($A$2:$A$113,MATCH(ROWS($FC$2:FC89),$FC$2:$FC$113,0)),"")</f>
        <v>EVASION Y QUEBRANTAMIENTO DE PENA FAVORECIDO POR FUNCIONARIO PUBLICO</v>
      </c>
      <c r="IZ89" s="207" t="str">
        <f>IFERROR(INDEX($A$2:$A$113,MATCH(ROWS($FD$2:FD89),$FD$2:$FD$113,0)),"")</f>
        <v>EVASION Y QUEBRANTAMIENTO DE PENA FAVORECIDO POR FUNCIONARIO PUBLICO</v>
      </c>
      <c r="JA89" s="207" t="str">
        <f>IFERROR(INDEX($A$2:$A$113,MATCH(ROWS($FE$2:FE89),$FE$2:$FE$113,0)),"")</f>
        <v>EVASION Y QUEBRANTAMIENTO DE PENA FAVORECIDO POR FUNCIONARIO PUBLICO</v>
      </c>
      <c r="JB89" s="207" t="str">
        <f>IFERROR(INDEX($A$2:$A$113,MATCH(ROWS($FF$2:FF89),$FF$2:$FF$113,0)),"")</f>
        <v>EVASION Y QUEBRANTAMIENTO DE PENA FAVORECIDO POR FUNCIONARIO PUBLICO</v>
      </c>
      <c r="JC89" s="207" t="str">
        <f>IFERROR(INDEX($A$2:$A$113,MATCH(ROWS($FG$2:FG89),$FG$2:$FG$113,0)),"")</f>
        <v>EVASION Y QUEBRANTAMIENTO DE PENA FAVORECIDO POR FUNCIONARIO PUBLICO</v>
      </c>
      <c r="JD89" s="207" t="str">
        <f>IFERROR(INDEX($A$2:$A$113,MATCH(ROWS($FH$2:FH89),$FH$2:$FH$113,0)),"")</f>
        <v>EVASION Y QUEBRANTAMIENTO DE PENA FAVORECIDO POR FUNCIONARIO PUBLICO</v>
      </c>
      <c r="JE89" s="207" t="str">
        <f>IFERROR(INDEX($A$2:$A$113,MATCH(ROWS($FI$2:FI89),$FI$2:$FI$113,0)),"")</f>
        <v>EVASION Y QUEBRANTAMIENTO DE PENA FAVORECIDO POR FUNCIONARIO PUBLICO</v>
      </c>
      <c r="JF89" s="207" t="str">
        <f>IFERROR(INDEX($A$2:$A$113,MATCH(ROWS($FJ$2:FJ89),$FJ$2:$FJ$113,0)),"")</f>
        <v>EVASION Y QUEBRANTAMIENTO DE PENA FAVORECIDO POR FUNCIONARIO PUBLICO</v>
      </c>
      <c r="JG89" s="207" t="str">
        <f>IFERROR(INDEX($A$2:$A$113,MATCH(ROWS($FK$2:FK89),$FK$2:$FK$113,0)),"")</f>
        <v>EVASION Y QUEBRANTAMIENTO DE PENA FAVORECIDO POR FUNCIONARIO PUBLICO</v>
      </c>
      <c r="JH89" s="207" t="str">
        <f>IFERROR(INDEX($A$2:$A$113,MATCH(ROWS($FL$2:FL89),$FL$2:$FL$113,0)),"")</f>
        <v>EVASION Y QUEBRANTAMIENTO DE PENA FAVORECIDO POR FUNCIONARIO PUBLICO</v>
      </c>
      <c r="JI89" s="207" t="str">
        <f>IFERROR(INDEX($A$2:$A$113,MATCH(ROWS($FM$2:FM89),$FM$2:$FM$113,0)),"")</f>
        <v>EVASION Y QUEBRANTAMIENTO DE PENA FAVORECIDO POR FUNCIONARIO PUBLICO</v>
      </c>
      <c r="JJ89" s="207" t="str">
        <f>IFERROR(INDEX($A$2:$A$113,MATCH(ROWS($FN$2:FN89),$FN$2:$FN$113,0)),"")</f>
        <v>EVASION Y QUEBRANTAMIENTO DE PENA FAVORECIDO POR FUNCIONARIO PUBLICO</v>
      </c>
      <c r="JK89" s="207" t="str">
        <f>IFERROR(INDEX($A$2:$A$113,MATCH(ROWS($FO$2:FO89),$FO$2:$FO$113,0)),"")</f>
        <v>EVASION Y QUEBRANTAMIENTO DE PENA FAVORECIDO POR FUNCIONARIO PUBLICO</v>
      </c>
      <c r="JL89" s="207" t="str">
        <f>IFERROR(INDEX($A$2:$A$113,MATCH(ROWS($FP$2:FP89),$FP$2:$FP$113,0)),"")</f>
        <v>EVASION Y QUEBRANTAMIENTO DE PENA FAVORECIDO POR FUNCIONARIO PUBLICO</v>
      </c>
      <c r="JM89" s="207" t="str">
        <f>IFERROR(INDEX($A$2:$A$113,MATCH(ROWS($FQ$2:FQ89),$FQ$2:$FQ$113,0)),"")</f>
        <v>EVASION Y QUEBRANTAMIENTO DE PENA FAVORECIDO POR FUNCIONARIO PUBLICO</v>
      </c>
      <c r="JN89" s="207" t="str">
        <f>IFERROR(INDEX($A$2:$A$113,MATCH(ROWS($FR$2:FR89),$FR$2:$FR$113,0)),"")</f>
        <v>EVASION Y QUEBRANTAMIENTO DE PENA FAVORECIDO POR FUNCIONARIO PUBLICO</v>
      </c>
      <c r="JO89" s="207" t="str">
        <f>IFERROR(INDEX($A$2:$A$113,MATCH(ROWS($FS$2:FS89),$FS$2:$FS$113,0)),"")</f>
        <v>EVASION Y QUEBRANTAMIENTO DE PENA FAVORECIDO POR FUNCIONARIO PUBLICO</v>
      </c>
      <c r="JP89" s="207" t="str">
        <f>IFERROR(INDEX($A$2:$A$113,MATCH(ROWS($FT$2:FT89),$FT$2:$FT$113,0)),"")</f>
        <v>EVASION Y QUEBRANTAMIENTO DE PENA FAVORECIDO POR FUNCIONARIO PUBLICO</v>
      </c>
      <c r="JQ89" s="207" t="str">
        <f>IFERROR(INDEX($A$2:$A$113,MATCH(ROWS($FU$2:FU89),$FU$2:$FU$113,0)),"")</f>
        <v>EVASION Y QUEBRANTAMIENTO DE PENA FAVORECIDO POR FUNCIONARIO PUBLICO</v>
      </c>
      <c r="JR89" s="207" t="str">
        <f>IFERROR(INDEX($A$2:$A$113,MATCH(ROWS($FV$2:FV89),$FV$2:$FV$113,0)),"")</f>
        <v>EVASION Y QUEBRANTAMIENTO DE PENA FAVORECIDO POR FUNCIONARIO PUBLICO</v>
      </c>
      <c r="JS89" s="207" t="str">
        <f>IFERROR(INDEX($A$2:$A$113,MATCH(ROWS($FW$2:FW89),$FW$2:$FW$113,0)),"")</f>
        <v>EVASION Y QUEBRANTAMIENTO DE PENA FAVORECIDO POR FUNCIONARIO PUBLICO</v>
      </c>
      <c r="JT89" s="207" t="str">
        <f>IFERROR(INDEX($A$2:$A$113,MATCH(ROWS($FX$2:FX89),$FX$2:$FX$113,0)),"")</f>
        <v>EVASION Y QUEBRANTAMIENTO DE PENA FAVORECIDO POR FUNCIONARIO PUBLICO</v>
      </c>
      <c r="JU89" s="207" t="str">
        <f>IFERROR(INDEX($A$2:$A$113,MATCH(ROWS($FY$2:FY89),$FY$2:$FY$113,0)),"")</f>
        <v>EVASION Y QUEBRANTAMIENTO DE PENA FAVORECIDO POR FUNCIONARIO PUBLICO</v>
      </c>
      <c r="JV89" s="207" t="str">
        <f>IFERROR(INDEX($A$2:$A$113,MATCH(ROWS($FZ$2:FZ89),$FZ$2:$FZ$113,0)),"")</f>
        <v>EVASION Y QUEBRANTAMIENTO DE PENA FAVORECIDO POR FUNCIONARIO PUBLICO</v>
      </c>
      <c r="JW89" s="207" t="str">
        <f>IFERROR(INDEX($A$2:$A$113,MATCH(ROWS($GA$2:GA89),$GA$2:$GA$113,0)),"")</f>
        <v>EVASION Y QUEBRANTAMIENTO DE PENA FAVORECIDO POR FUNCIONARIO PUBLICO</v>
      </c>
      <c r="JX89" s="207" t="str">
        <f>IFERROR(INDEX($A$2:$A$113,MATCH(ROWS($GB$2:GB89),$GB$2:$GB$113,0)),"")</f>
        <v>EVASION Y QUEBRANTAMIENTO DE PENA FAVORECIDO POR FUNCIONARIO PUBLICO</v>
      </c>
      <c r="JY89" s="207" t="str">
        <f>IFERROR(INDEX($A$2:$A$113,MATCH(ROWS($GC$2:GC89),$GC$2:$GC$113,0)),"")</f>
        <v>EVASION Y QUEBRANTAMIENTO DE PENA FAVORECIDO POR FUNCIONARIO PUBLICO</v>
      </c>
      <c r="JZ89" s="207" t="str">
        <f>IFERROR(INDEX($A$2:$A$113,MATCH(ROWS($GD$2:GD89),$GD$2:$GD$113,0)),"")</f>
        <v>EVASION Y QUEBRANTAMIENTO DE PENA FAVORECIDO POR FUNCIONARIO PUBLICO</v>
      </c>
      <c r="KA89" s="207" t="str">
        <f>IFERROR(INDEX($A$2:$A$113,MATCH(ROWS($GE$2:GE89),$GE$2:$GE$113,0)),"")</f>
        <v>EVASION Y QUEBRANTAMIENTO DE PENA FAVORECIDO POR FUNCIONARIO PUBLICO</v>
      </c>
      <c r="KB89" s="207" t="str">
        <f>IFERROR(INDEX($A$2:$A$113,MATCH(ROWS($GF$2:GF89),$GF$2:$GF$113,0)),"")</f>
        <v>EVASION Y QUEBRANTAMIENTO DE PENA FAVORECIDO POR FUNCIONARIO PUBLICO</v>
      </c>
      <c r="KC89" s="207" t="str">
        <f>IFERROR(INDEX($A$2:$A$113,MATCH(ROWS($GG$2:GG89),$GG$2:$GG$113,0)),"")</f>
        <v>EVASION Y QUEBRANTAMIENTO DE PENA FAVORECIDO POR FUNCIONARIO PUBLICO</v>
      </c>
      <c r="KD89" s="207" t="str">
        <f>IFERROR(INDEX($A$2:$A$113,MATCH(ROWS($GH$2:GH89),$GH$2:$GH$113,0)),"")</f>
        <v>EVASION Y QUEBRANTAMIENTO DE PENA FAVORECIDO POR FUNCIONARIO PUBLICO</v>
      </c>
      <c r="KE89" s="207" t="str">
        <f>IFERROR(INDEX($A$2:$A$113,MATCH(ROWS($GI$2:GI89),$GI$2:$GI$113,0)),"")</f>
        <v>EVASION Y QUEBRANTAMIENTO DE PENA FAVORECIDO POR FUNCIONARIO PUBLICO</v>
      </c>
      <c r="KF89" s="207" t="str">
        <f>IFERROR(INDEX($A$2:$A$113,MATCH(ROWS($GJ$2:GJ89),$GJ$2:$GJ$113,0)),"")</f>
        <v>EVASION Y QUEBRANTAMIENTO DE PENA FAVORECIDO POR FUNCIONARIO PUBLICO</v>
      </c>
      <c r="KG89" s="207" t="str">
        <f>IFERROR(INDEX($A$2:$A$113,MATCH(ROWS($GK$2:GK89),$GK$2:$GK$113,0)),"")</f>
        <v>EVASION Y QUEBRANTAMIENTO DE PENA FAVORECIDO POR FUNCIONARIO PUBLICO</v>
      </c>
      <c r="KH89" s="207" t="str">
        <f>IFERROR(INDEX($A$2:$A$113,MATCH(ROWS($GL$2:GL89),$GL$2:$GL$113,0)),"")</f>
        <v>EVASION Y QUEBRANTAMIENTO DE PENA FAVORECIDO POR FUNCIONARIO PUBLICO</v>
      </c>
      <c r="KI89" s="207" t="str">
        <f>IFERROR(INDEX($A$2:$A$113,MATCH(ROWS($GM$2:GM89),$GM$2:$GM$113,0)),"")</f>
        <v>EVASION Y QUEBRANTAMIENTO DE PENA FAVORECIDO POR FUNCIONARIO PUBLICO</v>
      </c>
      <c r="KJ89" s="207" t="str">
        <f>IFERROR(INDEX($A$2:$A$113,MATCH(ROWS($GN$2:GN89),$GN$2:$GN$113,0)),"")</f>
        <v>EVASION Y QUEBRANTAMIENTO DE PENA FAVORECIDO POR FUNCIONARIO PUBLICO</v>
      </c>
      <c r="KK89" s="207" t="str">
        <f>IFERROR(INDEX($A$2:$A$113,MATCH(ROWS($GO$2:GO89),$GO$2:$GO$113,0)),"")</f>
        <v>EVASION Y QUEBRANTAMIENTO DE PENA FAVORECIDO POR FUNCIONARIO PUBLICO</v>
      </c>
      <c r="KL89" s="207" t="str">
        <f>IFERROR(INDEX($A$2:$A$113,MATCH(ROWS($GP$2:GP89),$GP$2:$GP$113,0)),"")</f>
        <v>EVASION Y QUEBRANTAMIENTO DE PENA FAVORECIDO POR FUNCIONARIO PUBLICO</v>
      </c>
      <c r="KM89" s="207" t="str">
        <f>IFERROR(INDEX($A$2:$A$113,MATCH(ROWS($GQ$2:GQ89),$GQ$2:$GQ$113,0)),"")</f>
        <v>EVASION Y QUEBRANTAMIENTO DE PENA FAVORECIDO POR FUNCIONARIO PUBLICO</v>
      </c>
      <c r="KN89" s="207" t="str">
        <f>IFERROR(INDEX($A$2:$A$113,MATCH(ROWS($GR$2:GR89),$GR$2:$GR$113,0)),"")</f>
        <v>EVASION Y QUEBRANTAMIENTO DE PENA FAVORECIDO POR FUNCIONARIO PUBLICO</v>
      </c>
      <c r="KO89" s="207" t="str">
        <f>IFERROR(INDEX($A$2:$A$113,MATCH(ROWS($GS$2:GS89),$GS$2:$GS$113,0)),"")</f>
        <v>EVASION Y QUEBRANTAMIENTO DE PENA FAVORECIDO POR FUNCIONARIO PUBLICO</v>
      </c>
      <c r="KP89" s="207" t="str">
        <f>IFERROR(INDEX($A$2:$A$113,MATCH(ROWS($GT$2:GT89),$GT$2:$GT$113,0)),"")</f>
        <v>EVASION Y QUEBRANTAMIENTO DE PENA FAVORECIDO POR FUNCIONARIO PUBLICO</v>
      </c>
      <c r="KQ89" s="207" t="str">
        <f>IFERROR(INDEX($A$2:$A$113,MATCH(ROWS($GU$2:GU89),$GU$2:$GU$113,0)),"")</f>
        <v>EVASION Y QUEBRANTAMIENTO DE PENA FAVORECIDO POR FUNCIONARIO PUBLICO</v>
      </c>
      <c r="KR89" s="207" t="str">
        <f>IFERROR(INDEX($A$2:$A$113,MATCH(ROWS($GV$2:GV89),$GV$2:$GV$113,0)),"")</f>
        <v>EVASION Y QUEBRANTAMIENTO DE PENA FAVORECIDO POR FUNCIONARIO PUBLICO</v>
      </c>
      <c r="KS89" s="207" t="str">
        <f>IFERROR(INDEX($A$2:$A$113,MATCH(ROWS($GW$2:GW89),$GW$2:$GW$113,0)),"")</f>
        <v>EVASION Y QUEBRANTAMIENTO DE PENA FAVORECIDO POR FUNCIONARIO PUBLICO</v>
      </c>
    </row>
    <row r="90" spans="1:305" x14ac:dyDescent="0.25">
      <c r="A90" s="206" t="s">
        <v>909</v>
      </c>
      <c r="B90" s="206">
        <v>27</v>
      </c>
      <c r="D90" s="206" t="s">
        <v>29</v>
      </c>
      <c r="E90" s="206" t="s">
        <v>114</v>
      </c>
      <c r="F90" s="207">
        <f>--ISNUMBER(IFERROR(SEARCH('PLANILLA DJ'!$X$3,$A90,1),""))</f>
        <v>1</v>
      </c>
      <c r="G90" s="207">
        <f>--ISNUMBER(IFERROR(SEARCH('PLANILLA DJ'!$X$4,$A90,1),""))</f>
        <v>1</v>
      </c>
      <c r="H90" s="207">
        <f>--ISNUMBER(IFERROR(SEARCH('PLANILLA DJ'!$X$5,$A90,1),""))</f>
        <v>1</v>
      </c>
      <c r="I90" s="207">
        <f>--ISNUMBER(IFERROR(SEARCH('PLANILLA DJ'!$X$6,$A90,1),""))</f>
        <v>1</v>
      </c>
      <c r="J90" s="207">
        <f>--ISNUMBER(IFERROR(SEARCH('PLANILLA DJ'!$X$7,$A90,1),""))</f>
        <v>1</v>
      </c>
      <c r="K90" s="207">
        <f>--ISNUMBER(IFERROR(SEARCH('PLANILLA DJ'!$X$8,$A90,1),""))</f>
        <v>1</v>
      </c>
      <c r="L90" s="207">
        <f>--ISNUMBER(IFERROR(SEARCH('PLANILLA DJ'!$X$9,$A90,1),""))</f>
        <v>1</v>
      </c>
      <c r="M90" s="207">
        <f>--ISNUMBER(IFERROR(SEARCH('PLANILLA DJ'!$X$10,$A90,1),""))</f>
        <v>1</v>
      </c>
      <c r="N90" s="207">
        <f>--ISNUMBER(IFERROR(SEARCH('PLANILLA DJ'!$X$11,$A90,1),""))</f>
        <v>1</v>
      </c>
      <c r="O90" s="207">
        <f>--ISNUMBER(IFERROR(SEARCH('PLANILLA DJ'!$X$12,$A90,1),""))</f>
        <v>1</v>
      </c>
      <c r="P90" s="207">
        <f>--ISNUMBER(IFERROR(SEARCH('PLANILLA DJ'!$X$13,$A90,1),""))</f>
        <v>1</v>
      </c>
      <c r="Q90" s="207">
        <f>--ISNUMBER(IFERROR(SEARCH('PLANILLA DJ'!$X$14,$A90,1),""))</f>
        <v>1</v>
      </c>
      <c r="R90" s="207">
        <f>--ISNUMBER(IFERROR(SEARCH('PLANILLA DJ'!$X$15,$A90,1),""))</f>
        <v>1</v>
      </c>
      <c r="S90" s="207">
        <f>--ISNUMBER(IFERROR(SEARCH('PLANILLA DJ'!$X$16,$A90,1),""))</f>
        <v>1</v>
      </c>
      <c r="T90" s="207">
        <f>--ISNUMBER(IFERROR(SEARCH('PLANILLA DJ'!$X$17,$A90,1),""))</f>
        <v>1</v>
      </c>
      <c r="U90" s="207">
        <f>--ISNUMBER(IFERROR(SEARCH('PLANILLA DJ'!$X$18,$A90,1),""))</f>
        <v>1</v>
      </c>
      <c r="V90" s="207">
        <f>--ISNUMBER(IFERROR(SEARCH('PLANILLA DJ'!$X$19,$A90,1),""))</f>
        <v>1</v>
      </c>
      <c r="W90" s="207">
        <f>--ISNUMBER(IFERROR(SEARCH('PLANILLA DJ'!$X$20,$A90,1),""))</f>
        <v>1</v>
      </c>
      <c r="X90" s="207">
        <f>--ISNUMBER(IFERROR(SEARCH('PLANILLA DJ'!$X$21,$A90,1),""))</f>
        <v>1</v>
      </c>
      <c r="Y90" s="207">
        <f>--ISNUMBER(IFERROR(SEARCH('PLANILLA DJ'!$X$22,$A90,1),""))</f>
        <v>1</v>
      </c>
      <c r="Z90" s="207">
        <f>--ISNUMBER(IFERROR(SEARCH('PLANILLA DJ'!$X$23,$A90,1),""))</f>
        <v>1</v>
      </c>
      <c r="AA90" s="207">
        <f>--ISNUMBER(IFERROR(SEARCH('PLANILLA DJ'!$X$24,$A90,1),""))</f>
        <v>1</v>
      </c>
      <c r="AB90" s="207">
        <f>--ISNUMBER(IFERROR(SEARCH('PLANILLA DJ'!$X$25,$A90,1),""))</f>
        <v>1</v>
      </c>
      <c r="AC90" s="207">
        <f>--ISNUMBER(IFERROR(SEARCH('PLANILLA DJ'!$X$26,$A90,1),""))</f>
        <v>1</v>
      </c>
      <c r="AD90" s="207">
        <f>--ISNUMBER(IFERROR(SEARCH('PLANILLA DJ'!$X$27,$A90,1),""))</f>
        <v>1</v>
      </c>
      <c r="AE90" s="207">
        <f>--ISNUMBER(IFERROR(SEARCH('PLANILLA DJ'!$X$28,$A90,1),""))</f>
        <v>1</v>
      </c>
      <c r="AF90" s="207">
        <f>--ISNUMBER(IFERROR(SEARCH('PLANILLA DJ'!$X$29,$A90,1),""))</f>
        <v>1</v>
      </c>
      <c r="AG90" s="207">
        <f>--ISNUMBER(IFERROR(SEARCH('PLANILLA DJ'!$X$30,$A90,1),""))</f>
        <v>1</v>
      </c>
      <c r="AH90" s="207">
        <f>--ISNUMBER(IFERROR(SEARCH('PLANILLA DJ'!$X$31,$A90,1),""))</f>
        <v>1</v>
      </c>
      <c r="AI90" s="207">
        <f>--ISNUMBER(IFERROR(SEARCH('PLANILLA DJ'!$X$32,$A90,1),""))</f>
        <v>1</v>
      </c>
      <c r="AJ90" s="207">
        <f>--ISNUMBER(IFERROR(SEARCH('PLANILLA DJ'!$X$33,$A90,1),""))</f>
        <v>1</v>
      </c>
      <c r="AK90" s="207">
        <f>--ISNUMBER(IFERROR(SEARCH('PLANILLA DJ'!$X$34,$A90,1),""))</f>
        <v>1</v>
      </c>
      <c r="AL90" s="207">
        <f>--ISNUMBER(IFERROR(SEARCH('PLANILLA DJ'!$X$35,$A90,1),""))</f>
        <v>1</v>
      </c>
      <c r="AM90" s="207">
        <f>--ISNUMBER(IFERROR(SEARCH('PLANILLA DJ'!$X$36,$A90,1),""))</f>
        <v>1</v>
      </c>
      <c r="AN90" s="207">
        <f>--ISNUMBER(IFERROR(SEARCH('PLANILLA DJ'!$X$37,$A90,1),""))</f>
        <v>1</v>
      </c>
      <c r="AO90" s="207">
        <f>--ISNUMBER(IFERROR(SEARCH('PLANILLA DJ'!$X$38,$A90,1),""))</f>
        <v>1</v>
      </c>
      <c r="AP90" s="207">
        <f>--ISNUMBER(IFERROR(SEARCH('PLANILLA DJ'!$X$39,$A90,1),""))</f>
        <v>1</v>
      </c>
      <c r="AQ90" s="207">
        <f>--ISNUMBER(IFERROR(SEARCH('PLANILLA DJ'!$X$40,$A90,1),""))</f>
        <v>1</v>
      </c>
      <c r="AR90" s="207">
        <f>--ISNUMBER(IFERROR(SEARCH('PLANILLA DJ'!$X$41,$A90,1),""))</f>
        <v>1</v>
      </c>
      <c r="AS90" s="207">
        <f>--ISNUMBER(IFERROR(SEARCH('PLANILLA DJ'!$X$42,$A90,1),""))</f>
        <v>1</v>
      </c>
      <c r="AT90" s="207">
        <f>--ISNUMBER(IFERROR(SEARCH('PLANILLA DJ'!$X$43,$A90,1),""))</f>
        <v>1</v>
      </c>
      <c r="AU90" s="207">
        <f>--ISNUMBER(IFERROR(SEARCH('PLANILLA DJ'!$X$44,$A90,1),""))</f>
        <v>1</v>
      </c>
      <c r="AV90" s="207">
        <f>--ISNUMBER(IFERROR(SEARCH('PLANILLA DJ'!$X$45,$A90,1),""))</f>
        <v>1</v>
      </c>
      <c r="AW90" s="207">
        <f>--ISNUMBER(IFERROR(SEARCH('PLANILLA DJ'!$X$46,$A90,1),""))</f>
        <v>1</v>
      </c>
      <c r="AX90" s="207">
        <f>--ISNUMBER(IFERROR(SEARCH('PLANILLA DJ'!$X$47,$A90,1),""))</f>
        <v>1</v>
      </c>
      <c r="AY90" s="207">
        <f>--ISNUMBER(IFERROR(SEARCH('PLANILLA DJ'!$X$48,$A90,1),""))</f>
        <v>1</v>
      </c>
      <c r="AZ90" s="207">
        <f>--ISNUMBER(IFERROR(SEARCH('PLANILLA DJ'!$X$49,$A90,1),""))</f>
        <v>1</v>
      </c>
      <c r="BA90" s="207">
        <f>--ISNUMBER(IFERROR(SEARCH('PLANILLA DJ'!$X$50,$A90,1),""))</f>
        <v>1</v>
      </c>
      <c r="BB90" s="207">
        <f>--ISNUMBER(IFERROR(SEARCH('PLANILLA DJ'!$X$51,$A90,1),""))</f>
        <v>1</v>
      </c>
      <c r="BC90" s="207">
        <f>--ISNUMBER(IFERROR(SEARCH('PLANILLA DJ'!$X$52,$A90,1),""))</f>
        <v>1</v>
      </c>
      <c r="BD90" s="207">
        <f>--ISNUMBER(IFERROR(SEARCH('PLANILLA DJ'!$X$53,$A90,1),""))</f>
        <v>1</v>
      </c>
      <c r="BE90" s="207">
        <f>--ISNUMBER(IFERROR(SEARCH('PLANILLA DJ'!$X$54,$A90,1),""))</f>
        <v>1</v>
      </c>
      <c r="BF90" s="207">
        <f>--ISNUMBER(IFERROR(SEARCH('PLANILLA DJ'!$X$55,$A90,1),""))</f>
        <v>1</v>
      </c>
      <c r="BG90" s="207">
        <f>--ISNUMBER(IFERROR(SEARCH('PLANILLA DJ'!$X$56,$A90,1),""))</f>
        <v>1</v>
      </c>
      <c r="BH90" s="207">
        <f>--ISNUMBER(IFERROR(SEARCH('PLANILLA DJ'!$X$57,$A90,1),""))</f>
        <v>1</v>
      </c>
      <c r="BI90" s="207">
        <f>--ISNUMBER(IFERROR(SEARCH('PLANILLA DJ'!$X$58,$A90,1),""))</f>
        <v>1</v>
      </c>
      <c r="BJ90" s="207">
        <f>--ISNUMBER(IFERROR(SEARCH('PLANILLA DJ'!$X$59,$A90,1),""))</f>
        <v>1</v>
      </c>
      <c r="BK90" s="207">
        <f>--ISNUMBER(IFERROR(SEARCH('PLANILLA DJ'!$X$60,$A90,1),""))</f>
        <v>1</v>
      </c>
      <c r="BL90" s="207">
        <f>--ISNUMBER(IFERROR(SEARCH('PLANILLA DJ'!$X$61,$A90,1),""))</f>
        <v>1</v>
      </c>
      <c r="BM90" s="207">
        <f>--ISNUMBER(IFERROR(SEARCH('PLANILLA DJ'!$X$62,$A90,1),""))</f>
        <v>1</v>
      </c>
      <c r="BN90" s="207">
        <f>--ISNUMBER(IFERROR(SEARCH('PLANILLA DJ'!$X$63,$A90,1),""))</f>
        <v>1</v>
      </c>
      <c r="BO90" s="207">
        <f>--ISNUMBER(IFERROR(SEARCH('PLANILLA DJ'!$X$64,$A90,1),""))</f>
        <v>1</v>
      </c>
      <c r="BP90" s="207">
        <f>--ISNUMBER(IFERROR(SEARCH('PLANILLA DJ'!$X$65,$A90,1),""))</f>
        <v>1</v>
      </c>
      <c r="BQ90" s="207">
        <f>--ISNUMBER(IFERROR(SEARCH('PLANILLA DJ'!$X$66,$A90,1),""))</f>
        <v>1</v>
      </c>
      <c r="BR90" s="207">
        <f>--ISNUMBER(IFERROR(SEARCH('PLANILLA DJ'!$X$67,$A90,1),""))</f>
        <v>1</v>
      </c>
      <c r="BS90" s="207">
        <f>--ISNUMBER(IFERROR(SEARCH('PLANILLA DJ'!$X$68,$A90,1),""))</f>
        <v>1</v>
      </c>
      <c r="BT90" s="207">
        <f>--ISNUMBER(IFERROR(SEARCH('PLANILLA DJ'!$X$69,$A90,1),""))</f>
        <v>1</v>
      </c>
      <c r="BU90" s="207">
        <f>--ISNUMBER(IFERROR(SEARCH('PLANILLA DJ'!$X$70,$A90,1),""))</f>
        <v>1</v>
      </c>
      <c r="BV90" s="207">
        <f>--ISNUMBER(IFERROR(SEARCH('PLANILLA DJ'!$X$71,$A90,1),""))</f>
        <v>1</v>
      </c>
      <c r="BW90" s="207">
        <f>--ISNUMBER(IFERROR(SEARCH('PLANILLA DJ'!$X$72,$A90,1),""))</f>
        <v>1</v>
      </c>
      <c r="BX90" s="207">
        <f>--ISNUMBER(IFERROR(SEARCH('PLANILLA DJ'!$X$73,$A90,1),""))</f>
        <v>1</v>
      </c>
      <c r="BY90" s="207">
        <f>--ISNUMBER(IFERROR(SEARCH('PLANILLA DJ'!$X$74,$A90,1),""))</f>
        <v>1</v>
      </c>
      <c r="BZ90" s="207">
        <f>--ISNUMBER(IFERROR(SEARCH('PLANILLA DJ'!$X$75,$A90,1),""))</f>
        <v>1</v>
      </c>
      <c r="CA90" s="207">
        <f>--ISNUMBER(IFERROR(SEARCH('PLANILLA DJ'!$X$76,$A90,1),""))</f>
        <v>1</v>
      </c>
      <c r="CB90" s="207">
        <f>--ISNUMBER(IFERROR(SEARCH('PLANILLA DJ'!$X$77,$A90,1),""))</f>
        <v>1</v>
      </c>
      <c r="CC90" s="207">
        <f>--ISNUMBER(IFERROR(SEARCH('PLANILLA DJ'!$X$78,$A90,1),""))</f>
        <v>1</v>
      </c>
      <c r="CD90" s="207">
        <f>--ISNUMBER(IFERROR(SEARCH('PLANILLA DJ'!$X$79,$A90,1),""))</f>
        <v>1</v>
      </c>
      <c r="CE90" s="207">
        <f>--ISNUMBER(IFERROR(SEARCH('PLANILLA DJ'!$X$80,$A90,1),""))</f>
        <v>1</v>
      </c>
      <c r="CF90" s="207">
        <f>--ISNUMBER(IFERROR(SEARCH('PLANILLA DJ'!$X$81,$A90,1),""))</f>
        <v>1</v>
      </c>
      <c r="CG90" s="207">
        <f>--ISNUMBER(IFERROR(SEARCH('PLANILLA DJ'!$X$82,$A90,1),""))</f>
        <v>1</v>
      </c>
      <c r="CH90" s="207">
        <f>--ISNUMBER(IFERROR(SEARCH('PLANILLA DJ'!$X$83,$A90,1),""))</f>
        <v>1</v>
      </c>
      <c r="CI90" s="207">
        <f>--ISNUMBER(IFERROR(SEARCH('PLANILLA DJ'!$X$84,$A90,1),""))</f>
        <v>1</v>
      </c>
      <c r="CJ90" s="207">
        <f>--ISNUMBER(IFERROR(SEARCH('PLANILLA DJ'!$X$85,$A90,1),""))</f>
        <v>1</v>
      </c>
      <c r="CK90" s="207">
        <f>--ISNUMBER(IFERROR(SEARCH('PLANILLA DJ'!$X$86,$A90,1),""))</f>
        <v>1</v>
      </c>
      <c r="CL90" s="207">
        <f>--ISNUMBER(IFERROR(SEARCH('PLANILLA DJ'!$X$87,$A90,1),""))</f>
        <v>1</v>
      </c>
      <c r="CM90" s="207">
        <f>--ISNUMBER(IFERROR(SEARCH('PLANILLA DJ'!$X$88,$A90,1),""))</f>
        <v>1</v>
      </c>
      <c r="CN90" s="207">
        <f>--ISNUMBER(IFERROR(SEARCH('PLANILLA DJ'!$X$89,$A90,1),""))</f>
        <v>1</v>
      </c>
      <c r="CO90" s="207">
        <f>--ISNUMBER(IFERROR(SEARCH('PLANILLA DJ'!$X$90,$A90,1),""))</f>
        <v>1</v>
      </c>
      <c r="CP90" s="207">
        <f>--ISNUMBER(IFERROR(SEARCH('PLANILLA DJ'!$X$91,$A90,1),""))</f>
        <v>1</v>
      </c>
      <c r="CQ90" s="207">
        <f>--ISNUMBER(IFERROR(SEARCH('PLANILLA DJ'!$X$92,$A90,1),""))</f>
        <v>1</v>
      </c>
      <c r="CR90" s="207">
        <f>--ISNUMBER(IFERROR(SEARCH('PLANILLA DJ'!$X$93,$A90,1),""))</f>
        <v>1</v>
      </c>
      <c r="CS90" s="207">
        <f>--ISNUMBER(IFERROR(SEARCH('PLANILLA DJ'!$X$94,$A90,1),""))</f>
        <v>1</v>
      </c>
      <c r="CT90" s="207">
        <f>--ISNUMBER(IFERROR(SEARCH('PLANILLA DJ'!$X$95,$A90,1),""))</f>
        <v>1</v>
      </c>
      <c r="CU90" s="207">
        <f>--ISNUMBER(IFERROR(SEARCH('PLANILLA DJ'!$X$96,$A90,1),""))</f>
        <v>1</v>
      </c>
      <c r="CV90" s="207">
        <f>--ISNUMBER(IFERROR(SEARCH('PLANILLA DJ'!$X$97,$A90,1),""))</f>
        <v>1</v>
      </c>
      <c r="CW90" s="207">
        <f>--ISNUMBER(IFERROR(SEARCH('PLANILLA DJ'!$X$98,$A90,1),""))</f>
        <v>1</v>
      </c>
      <c r="CX90" s="207">
        <f>--ISNUMBER(IFERROR(SEARCH('PLANILLA DJ'!$X$99,$A90,1),""))</f>
        <v>1</v>
      </c>
      <c r="CY90" s="207">
        <f>--ISNUMBER(IFERROR(SEARCH('PLANILLA DJ'!$X$100,$A90,1),""))</f>
        <v>1</v>
      </c>
      <c r="CZ90" s="207">
        <f>--ISNUMBER(IFERROR(SEARCH('PLANILLA DJ'!$X$101,$A90,1),""))</f>
        <v>1</v>
      </c>
      <c r="DA90" s="207">
        <f>--ISNUMBER(IFERROR(SEARCH('PLANILLA DJ'!$X$102,$A90,1),""))</f>
        <v>1</v>
      </c>
      <c r="DB90" s="206">
        <f>IF(F90=1,COUNTIF($F$2:F90,1),"")</f>
        <v>89</v>
      </c>
      <c r="DC90" s="206">
        <f>IF(G90=1,COUNTIF($G$2:G90,1),"")</f>
        <v>89</v>
      </c>
      <c r="DD90" s="206">
        <f>IF(H90=1,COUNTIF($H$2:H90,1),"")</f>
        <v>89</v>
      </c>
      <c r="DE90" s="206">
        <f>IF(I90=1,COUNTIF($I$2:I90,1),"")</f>
        <v>89</v>
      </c>
      <c r="DF90" s="206">
        <f>IF(J90=1,COUNTIF($J$2:J90,1),"")</f>
        <v>89</v>
      </c>
      <c r="DG90" s="206">
        <f>IF(K90=1,COUNTIF($K$2:K90,1),"")</f>
        <v>89</v>
      </c>
      <c r="DH90" s="206">
        <f>IF(L90=1,COUNTIF($L$2:L90,1),"")</f>
        <v>89</v>
      </c>
      <c r="DI90" s="206">
        <f>IF(M90=1,COUNTIF($M$2:M90,1),"")</f>
        <v>89</v>
      </c>
      <c r="DJ90" s="206">
        <f>IF(N90=1,COUNTIF($N$2:N90,1),"")</f>
        <v>89</v>
      </c>
      <c r="DK90" s="206">
        <f>IF(O90=1,COUNTIF($O$2:O90,1),"")</f>
        <v>89</v>
      </c>
      <c r="DL90" s="206">
        <f>IF(P90=1,COUNTIF($P$2:P90,1),"")</f>
        <v>89</v>
      </c>
      <c r="DM90" s="206">
        <f>IF(Q90=1,COUNTIF($Q$2:Q90,1),"")</f>
        <v>89</v>
      </c>
      <c r="DN90" s="207">
        <f>IF(R90=1,COUNTIF($R$2:R90,1),"")</f>
        <v>89</v>
      </c>
      <c r="DO90" s="207">
        <f>IF(S90=1,COUNTIF($S$2:S90,1),"")</f>
        <v>89</v>
      </c>
      <c r="DP90" s="207">
        <f>IF(T90=1,COUNTIF($T$2:T90,1),"")</f>
        <v>89</v>
      </c>
      <c r="DQ90" s="207">
        <f>IF(U90=1,COUNTIF($U$2:U90,1),"")</f>
        <v>89</v>
      </c>
      <c r="DR90" s="207">
        <f>IF(V90=1,COUNTIF($V$2:V90,1),"")</f>
        <v>89</v>
      </c>
      <c r="DS90" s="207">
        <f>IF(W90=1,COUNTIF($W$2:W90,1),"")</f>
        <v>89</v>
      </c>
      <c r="DT90" s="207">
        <f>IF(X90=1,COUNTIF($X$2:X90,1),"")</f>
        <v>89</v>
      </c>
      <c r="DU90" s="207">
        <f>IF(Y90=1,COUNTIF($Y$2:Y90,1),"")</f>
        <v>89</v>
      </c>
      <c r="DV90" s="207">
        <f>IF(Z90=1,COUNTIF(Z$2:Z90,1),"")</f>
        <v>89</v>
      </c>
      <c r="DW90" s="207">
        <f>IF(AA90=1,COUNTIF($AA$2:AA90,1),"")</f>
        <v>89</v>
      </c>
      <c r="DX90" s="207">
        <f>IF(AB90=1,COUNTIF($AB$2:AB90,1),"")</f>
        <v>89</v>
      </c>
      <c r="DY90" s="207">
        <f>IF(AC90=1,COUNTIF($AC$2:AC90,1),"")</f>
        <v>89</v>
      </c>
      <c r="DZ90" s="207">
        <f>IF(AD90=1,COUNTIF($AD$2:AD90,1),"")</f>
        <v>89</v>
      </c>
      <c r="EA90" s="207">
        <f>IF(AE90=1,COUNTIF($AE$2:AE90,1),"")</f>
        <v>89</v>
      </c>
      <c r="EB90" s="207">
        <f>IF(AF90=1,COUNTIF($AF$2:AF90,1),"")</f>
        <v>89</v>
      </c>
      <c r="EC90" s="207">
        <f>IF(AG90=1,COUNTIF($AG$2:AG90,1),"")</f>
        <v>89</v>
      </c>
      <c r="ED90" s="207">
        <f>IF(AH90=1,COUNTIF($AH$2:AH90,1),"")</f>
        <v>89</v>
      </c>
      <c r="EE90" s="207">
        <f>IF(AI90=1,COUNTIF($AI$2:AI90,1),"")</f>
        <v>89</v>
      </c>
      <c r="EF90" s="207">
        <f>IF(AJ90=1,COUNTIF($AJ$2:AJ90,1),"")</f>
        <v>89</v>
      </c>
      <c r="EG90" s="207">
        <f>IF(AK90=1,COUNTIF($AK$2:AK90,1),"")</f>
        <v>89</v>
      </c>
      <c r="EH90" s="207">
        <f>IF(AL90=1,COUNTIF($AL$2:AL90,1),"")</f>
        <v>89</v>
      </c>
      <c r="EI90" s="207">
        <f>IF(AM90=1,COUNTIF($AM$2:AM90,1),"")</f>
        <v>89</v>
      </c>
      <c r="EJ90" s="207">
        <f>IF(AN90=1,COUNTIF($AN$2:AN90,1),"")</f>
        <v>89</v>
      </c>
      <c r="EK90" s="207">
        <f>IF(AO90=1,COUNTIF($AO$2:AO90,1),"")</f>
        <v>89</v>
      </c>
      <c r="EL90" s="207">
        <f>IF(AP90=1,COUNTIF($AP$2:AP90,1),"")</f>
        <v>89</v>
      </c>
      <c r="EM90" s="207">
        <f>IF(AQ90=1,COUNTIF($AQ$2:AQ90,1),"")</f>
        <v>89</v>
      </c>
      <c r="EN90" s="207">
        <f>IF(AR90=1,COUNTIF($AR$2:AR90,1),"")</f>
        <v>89</v>
      </c>
      <c r="EO90" s="207">
        <f>IF(AS90=1,COUNTIF($AS$2:AS90,1),"")</f>
        <v>89</v>
      </c>
      <c r="EP90" s="207">
        <f>IF(AT90=1,COUNTIF($AT$2:AT90,1),"")</f>
        <v>89</v>
      </c>
      <c r="EQ90" s="207">
        <f>IF(AU90=1,COUNTIF($AU$2:AU90,1),"")</f>
        <v>89</v>
      </c>
      <c r="ER90" s="207">
        <f>IF(AV90=1,COUNTIF($AV$2:AV90,1),"")</f>
        <v>89</v>
      </c>
      <c r="ES90" s="207">
        <f>IF(AW90=1,COUNTIF($AW$2:AW90,1),"")</f>
        <v>89</v>
      </c>
      <c r="ET90" s="207">
        <f>IF(AX90=1,COUNTIF($AX$2:AX90,1),"")</f>
        <v>89</v>
      </c>
      <c r="EU90" s="207">
        <f>IF(AY90=1,COUNTIF($AY$2:AY90,1),"")</f>
        <v>89</v>
      </c>
      <c r="EV90" s="207">
        <f>IF(AZ90=1,COUNTIF($AZ$2:AZ90,1),"")</f>
        <v>89</v>
      </c>
      <c r="EW90" s="207">
        <f>IF(BA90=1,COUNTIF($BA$2:BA90,1),"")</f>
        <v>89</v>
      </c>
      <c r="EX90" s="207">
        <f>IF(BB90=1,COUNTIF($BB$2:BB90,1),"")</f>
        <v>89</v>
      </c>
      <c r="EY90" s="207">
        <f>IF(BC90=1,COUNTIF($BC$2:BC90,1),"")</f>
        <v>89</v>
      </c>
      <c r="EZ90" s="207">
        <f>IF(BD90=1,COUNTIF($BD$2:BD90,1),"")</f>
        <v>89</v>
      </c>
      <c r="FA90" s="207">
        <f>IF(BE90=1,COUNTIF($BE$2:BE90,1),"")</f>
        <v>89</v>
      </c>
      <c r="FB90" s="207">
        <f>IF(BF90=1,COUNTIF($BF$2:BF90,1),"")</f>
        <v>89</v>
      </c>
      <c r="FC90" s="207">
        <f>IF(BG90=1,COUNTIF($BG$2:BG90,1),"")</f>
        <v>89</v>
      </c>
      <c r="FD90" s="207">
        <f>IF(BH90=1,COUNTIF($BH$2:BH90,1),"")</f>
        <v>89</v>
      </c>
      <c r="FE90" s="207">
        <f>IF(BI90=1,COUNTIF($BI$2:BI90,1),"")</f>
        <v>89</v>
      </c>
      <c r="FF90" s="207">
        <f>IF(BJ90=1,COUNTIF($BJ$2:BJ90,1),"")</f>
        <v>89</v>
      </c>
      <c r="FG90" s="207">
        <f>IF(BK90=1,COUNTIF($BK$2:BK90,1),"")</f>
        <v>89</v>
      </c>
      <c r="FH90" s="207">
        <f>IF(BL90=1,COUNTIF($BL$2:BL90,1),"")</f>
        <v>89</v>
      </c>
      <c r="FI90" s="207">
        <f>IF(BM90=1,COUNTIF($BM$2:BM90,1),"")</f>
        <v>89</v>
      </c>
      <c r="FJ90" s="207">
        <f>IF(BN90=1,COUNTIF($BN$2:BN90,1),"")</f>
        <v>89</v>
      </c>
      <c r="FK90" s="207">
        <f>IF(BO90=1,COUNTIF($BO$2:BO90,1),"")</f>
        <v>89</v>
      </c>
      <c r="FL90" s="207">
        <f>IF(BP90=1,COUNTIF($BP$2:BP90,1),"")</f>
        <v>89</v>
      </c>
      <c r="FM90" s="207">
        <f>IF(BQ90=1,COUNTIF($BQ$2:BQ90,1),"")</f>
        <v>89</v>
      </c>
      <c r="FN90" s="207">
        <f>IF(BR90=1,COUNTIF($BR$2:BR90,1),"")</f>
        <v>89</v>
      </c>
      <c r="FO90" s="207">
        <f>IF(BS90=1,COUNTIF($BS$2:BS90,1),"")</f>
        <v>89</v>
      </c>
      <c r="FP90" s="207">
        <f>IF(BT90=1,COUNTIF($BT$2:BT90,1),"")</f>
        <v>89</v>
      </c>
      <c r="FQ90" s="207">
        <f>IF(BU90=1,COUNTIF($BU$2:BU90,1),"")</f>
        <v>89</v>
      </c>
      <c r="FR90" s="207">
        <f>IF(BV90=1,COUNTIF($BV$2:BV90,1),"")</f>
        <v>89</v>
      </c>
      <c r="FS90" s="207">
        <f>IF(BW90=1,COUNTIF($BW$2:BW90,1),"")</f>
        <v>89</v>
      </c>
      <c r="FT90" s="207">
        <f>IF(BX90=1,COUNTIF($BX$2:BX90,1),"")</f>
        <v>89</v>
      </c>
      <c r="FU90" s="207">
        <f>IF(BY90=1,COUNTIF($BY$2:BY90,1),"")</f>
        <v>89</v>
      </c>
      <c r="FV90" s="207">
        <f>IF(BZ90=1,COUNTIF($BZ$2:BZ90,1),"")</f>
        <v>89</v>
      </c>
      <c r="FW90" s="207">
        <f>IF(CA90=1,COUNTIF($CA$2:CA90,1),"")</f>
        <v>89</v>
      </c>
      <c r="FX90" s="207">
        <f>IF(CB90=1,COUNTIF($CB$2:CB90,1),"")</f>
        <v>89</v>
      </c>
      <c r="FY90" s="207">
        <f>IF(CC90=1,COUNTIF($CC$2:CC90,1),"")</f>
        <v>89</v>
      </c>
      <c r="FZ90" s="207">
        <f>IF(CD90=1,COUNTIF($CD$2:CD90,1),"")</f>
        <v>89</v>
      </c>
      <c r="GA90" s="207">
        <f>IF(CE90=1,COUNTIF($CE$2:CE90,1),"")</f>
        <v>89</v>
      </c>
      <c r="GB90" s="207">
        <f>IF(CF90=1,COUNTIF($CF$2:CF90,1),"")</f>
        <v>89</v>
      </c>
      <c r="GC90" s="207">
        <f>IF(CG90=1,COUNTIF($CG$2:CG90,1),"")</f>
        <v>89</v>
      </c>
      <c r="GD90" s="207">
        <f>IF(CH90=1,COUNTIF($CH$2:CH90,1),"")</f>
        <v>89</v>
      </c>
      <c r="GE90" s="207">
        <f>IF(CI90=1,COUNTIF($CI$2:CI90,1),"")</f>
        <v>89</v>
      </c>
      <c r="GF90" s="207">
        <f>IF(CJ90=1,COUNTIF($CJ$2:CJ90,1),"")</f>
        <v>89</v>
      </c>
      <c r="GG90" s="207">
        <f>IF(CK90=1,COUNTIF($CK$2:CK90,1),"")</f>
        <v>89</v>
      </c>
      <c r="GH90" s="207">
        <f>IF(CL90=1,COUNTIF($CL$2:CL90,1),"")</f>
        <v>89</v>
      </c>
      <c r="GI90" s="207">
        <f>IF(CM90=1,COUNTIF($CM$2:CM90,1),"")</f>
        <v>89</v>
      </c>
      <c r="GJ90" s="207">
        <f>IF(CN90=1,COUNTIF($CN$2:CN90,1),"")</f>
        <v>89</v>
      </c>
      <c r="GK90" s="207">
        <f>IF(CO90=1,COUNTIF($CO$2:CO90,1),"")</f>
        <v>89</v>
      </c>
      <c r="GL90" s="207">
        <f>IF(CP90=1,COUNTIF($CP$2:CP90,1),"")</f>
        <v>89</v>
      </c>
      <c r="GM90" s="207">
        <f>IF(CQ90=1,COUNTIF($CQ$2:CQ90,1),"")</f>
        <v>89</v>
      </c>
      <c r="GN90" s="207">
        <f>IF(CR90=1,COUNTIF($CR$2:CR90,1),"")</f>
        <v>89</v>
      </c>
      <c r="GO90" s="207">
        <f>IF(CS90=1,COUNTIF($CS$2:CS90,1),"")</f>
        <v>89</v>
      </c>
      <c r="GP90" s="207">
        <f>IF(CT90=1,COUNTIF($CT$2:CT90,1),"")</f>
        <v>89</v>
      </c>
      <c r="GQ90" s="207">
        <f>IF(CU90=1,COUNTIF($CU$2:CU90,1),"")</f>
        <v>89</v>
      </c>
      <c r="GR90" s="207">
        <f>IF(CV90=1,COUNTIF($CV$2:CV90,1),"")</f>
        <v>89</v>
      </c>
      <c r="GS90" s="207">
        <f>IF(CW90=1,COUNTIF($CW$2:CW90,1),"")</f>
        <v>89</v>
      </c>
      <c r="GT90" s="207">
        <f>IF(CX90=1,COUNTIF($CX$2:CX90,1),"")</f>
        <v>89</v>
      </c>
      <c r="GU90" s="207">
        <f>IF(CY90=1,COUNTIF($CY$2:CY90,1),"")</f>
        <v>89</v>
      </c>
      <c r="GV90" s="207">
        <f>IF(CZ90=1,COUNTIF($CZ$2:CZ90,1),"")</f>
        <v>89</v>
      </c>
      <c r="GW90" s="207">
        <f>IF(DA90=1,COUNTIF($DA$2:DA90,1),"")</f>
        <v>89</v>
      </c>
      <c r="GX90" s="206" t="str">
        <f>IFERROR(INDEX($A$2:$A$113,MATCH(ROWS($DB$2:DB90),$DB$2:$DB$113,0)),"")</f>
        <v>FALSIFICACION DE MONEDA, BILLETES DE BANCO, TITULO AL PORTADOR Y DOCUMENTOS DE CREDITO</v>
      </c>
      <c r="GY90" s="206" t="str">
        <f>IFERROR(INDEX($A$2:$A$113,MATCH(ROWS($DC$2:DC90),$DC$2:$DC$113,0)),"")</f>
        <v>FALSIFICACION DE MONEDA, BILLETES DE BANCO, TITULO AL PORTADOR Y DOCUMENTOS DE CREDITO</v>
      </c>
      <c r="GZ90" s="206" t="str">
        <f>IFERROR(INDEX($A$2:$A$113,MATCH(ROWS($DD$2:DD90),$DD$2:$DD$113,0)),"")</f>
        <v>FALSIFICACION DE MONEDA, BILLETES DE BANCO, TITULO AL PORTADOR Y DOCUMENTOS DE CREDITO</v>
      </c>
      <c r="HA90" s="206" t="str">
        <f>IFERROR(INDEX($A$2:$A$113,MATCH(ROWS($DE$2:DE90),$DE$2:$DE$113,0)),"")</f>
        <v>FALSIFICACION DE MONEDA, BILLETES DE BANCO, TITULO AL PORTADOR Y DOCUMENTOS DE CREDITO</v>
      </c>
      <c r="HB90" s="206" t="str">
        <f>IFERROR(INDEX($A$2:$A$113,MATCH(ROWS($DF$2:DF90),$DF$2:$DF$113,0)),"")</f>
        <v>FALSIFICACION DE MONEDA, BILLETES DE BANCO, TITULO AL PORTADOR Y DOCUMENTOS DE CREDITO</v>
      </c>
      <c r="HC90" s="206" t="str">
        <f>IFERROR(INDEX($A$2:$A$113,MATCH(ROWS($DG$2:DG90),$DG$2:$DG$113,0)),"")</f>
        <v>FALSIFICACION DE MONEDA, BILLETES DE BANCO, TITULO AL PORTADOR Y DOCUMENTOS DE CREDITO</v>
      </c>
      <c r="HD90" s="206" t="str">
        <f>IFERROR(INDEX($A$2:$A$113,MATCH(ROWS($DH$2:DH90),$DH$2:$DH$113,0)),"")</f>
        <v>FALSIFICACION DE MONEDA, BILLETES DE BANCO, TITULO AL PORTADOR Y DOCUMENTOS DE CREDITO</v>
      </c>
      <c r="HE90" s="206" t="str">
        <f>IFERROR(INDEX($A$2:$A$113,MATCH(ROWS($DI$2:DI90),$DI$2:$DI$113,0)),"")</f>
        <v>FALSIFICACION DE MONEDA, BILLETES DE BANCO, TITULO AL PORTADOR Y DOCUMENTOS DE CREDITO</v>
      </c>
      <c r="HF90" s="206" t="str">
        <f>IFERROR(INDEX($A$2:$A$113,MATCH(ROWS($DJ$2:DJ90),$DJ$2:$DJ$113,0)),"")</f>
        <v>FALSIFICACION DE MONEDA, BILLETES DE BANCO, TITULO AL PORTADOR Y DOCUMENTOS DE CREDITO</v>
      </c>
      <c r="HG90" s="206" t="str">
        <f>IFERROR(INDEX($A$2:$A$113,MATCH(ROWS($DK$2:DK90),$DK$2:$DK$113,0)),"")</f>
        <v>FALSIFICACION DE MONEDA, BILLETES DE BANCO, TITULO AL PORTADOR Y DOCUMENTOS DE CREDITO</v>
      </c>
      <c r="HH90" s="206" t="str">
        <f>IFERROR(INDEX($A$2:$A$113,MATCH(ROWS($DL$2:DL90),$DL$2:$DL$113,0)),"")</f>
        <v>FALSIFICACION DE MONEDA, BILLETES DE BANCO, TITULO AL PORTADOR Y DOCUMENTOS DE CREDITO</v>
      </c>
      <c r="HI90" s="206" t="str">
        <f>IFERROR(INDEX($A$2:$A$113,MATCH(ROWS($DM$2:DM90),$DM$2:$DM$113,0)),"")</f>
        <v>FALSIFICACION DE MONEDA, BILLETES DE BANCO, TITULO AL PORTADOR Y DOCUMENTOS DE CREDITO</v>
      </c>
      <c r="HJ90" s="206" t="str">
        <f>IFERROR(INDEX($A$2:$A$113,MATCH(ROWS($DN$2:DN90),$DN$2:$DN$113,0)),"")</f>
        <v>FALSIFICACION DE MONEDA, BILLETES DE BANCO, TITULO AL PORTADOR Y DOCUMENTOS DE CREDITO</v>
      </c>
      <c r="HK90" s="206" t="str">
        <f>IFERROR(INDEX($A$2:$A$113,MATCH(ROWS($DO$2:DO90),$DO$2:$DO$113,0)),"")</f>
        <v>FALSIFICACION DE MONEDA, BILLETES DE BANCO, TITULO AL PORTADOR Y DOCUMENTOS DE CREDITO</v>
      </c>
      <c r="HL90" s="206" t="str">
        <f>IFERROR(INDEX($A$2:$A$113,MATCH(ROWS($DP$2:DP90),$DP$2:$DP$113,0)),"")</f>
        <v>FALSIFICACION DE MONEDA, BILLETES DE BANCO, TITULO AL PORTADOR Y DOCUMENTOS DE CREDITO</v>
      </c>
      <c r="HM90" s="206" t="str">
        <f>IFERROR(INDEX($A$2:$A$113,MATCH(ROWS($DQ$2:DQ90),$DQ$2:$DQ$113,0)),"")</f>
        <v>FALSIFICACION DE MONEDA, BILLETES DE BANCO, TITULO AL PORTADOR Y DOCUMENTOS DE CREDITO</v>
      </c>
      <c r="HN90" s="206" t="str">
        <f>IFERROR(INDEX($A$2:$A$113,MATCH(ROWS($DR$2:DR90),$DR$2:$DR$113,0)),"")</f>
        <v>FALSIFICACION DE MONEDA, BILLETES DE BANCO, TITULO AL PORTADOR Y DOCUMENTOS DE CREDITO</v>
      </c>
      <c r="HO90" s="206" t="str">
        <f>IFERROR(INDEX($A$2:$A$113,MATCH(ROWS($DS$2:DS90),$DS$2:$DS$113,0)),"")</f>
        <v>FALSIFICACION DE MONEDA, BILLETES DE BANCO, TITULO AL PORTADOR Y DOCUMENTOS DE CREDITO</v>
      </c>
      <c r="HP90" s="206" t="str">
        <f>IFERROR(INDEX($A$2:$A$113,MATCH(ROWS($DT$2:DT90),$DT$2:$DT$113,0)),"")</f>
        <v>FALSIFICACION DE MONEDA, BILLETES DE BANCO, TITULO AL PORTADOR Y DOCUMENTOS DE CREDITO</v>
      </c>
      <c r="HQ90" s="206" t="str">
        <f>IFERROR(INDEX($A$2:$A$113,MATCH(ROWS($DU$2:DU90),$DU$2:$DU$113,0)),"")</f>
        <v>FALSIFICACION DE MONEDA, BILLETES DE BANCO, TITULO AL PORTADOR Y DOCUMENTOS DE CREDITO</v>
      </c>
      <c r="HR90" s="206" t="str">
        <f>IFERROR(INDEX($A$2:$A$113,MATCH(ROWS($DV$2:DV90),$DV$2:$DV$113,0)),"")</f>
        <v>FALSIFICACION DE MONEDA, BILLETES DE BANCO, TITULO AL PORTADOR Y DOCUMENTOS DE CREDITO</v>
      </c>
      <c r="HS90" s="206" t="str">
        <f>IFERROR(INDEX($A$2:$A$113,MATCH(ROWS($DW$2:DW90),$DW$2:$DW$113,0)),"")</f>
        <v>FALSIFICACION DE MONEDA, BILLETES DE BANCO, TITULO AL PORTADOR Y DOCUMENTOS DE CREDITO</v>
      </c>
      <c r="HT90" s="206" t="str">
        <f>IFERROR(INDEX($A$2:$A$113,MATCH(ROWS($DX$2:DX90),$DX$2:$DX$113,0)),"")</f>
        <v>FALSIFICACION DE MONEDA, BILLETES DE BANCO, TITULO AL PORTADOR Y DOCUMENTOS DE CREDITO</v>
      </c>
      <c r="HU90" s="206" t="str">
        <f>IFERROR(INDEX($A$2:$A$113,MATCH(ROWS($DY$2:DY90),$DY$2:$DY$113,0)),"")</f>
        <v>FALSIFICACION DE MONEDA, BILLETES DE BANCO, TITULO AL PORTADOR Y DOCUMENTOS DE CREDITO</v>
      </c>
      <c r="HV90" s="206" t="str">
        <f>IFERROR(INDEX($A$2:$A$113,MATCH(ROWS($DZ$2:DZ90),$DZ$2:$DZ$113,0)),"")</f>
        <v>FALSIFICACION DE MONEDA, BILLETES DE BANCO, TITULO AL PORTADOR Y DOCUMENTOS DE CREDITO</v>
      </c>
      <c r="HW90" s="206" t="str">
        <f>IFERROR(INDEX($A$2:$A$113,MATCH(ROWS($EA$2:EA90),$EA$2:$EA$113,0)),"")</f>
        <v>FALSIFICACION DE MONEDA, BILLETES DE BANCO, TITULO AL PORTADOR Y DOCUMENTOS DE CREDITO</v>
      </c>
      <c r="HX90" s="206" t="str">
        <f>IFERROR(INDEX($A$2:$A$113,MATCH(ROWS($EB$2:EB90),$EB$2:$EB$113,0)),"")</f>
        <v>FALSIFICACION DE MONEDA, BILLETES DE BANCO, TITULO AL PORTADOR Y DOCUMENTOS DE CREDITO</v>
      </c>
      <c r="HY90" s="206" t="str">
        <f>IFERROR(INDEX($A$2:$A$113,MATCH(ROWS($EC$2:EC90),$EC$2:$EC$113,0)),"")</f>
        <v>FALSIFICACION DE MONEDA, BILLETES DE BANCO, TITULO AL PORTADOR Y DOCUMENTOS DE CREDITO</v>
      </c>
      <c r="HZ90" s="206" t="str">
        <f>IFERROR(INDEX($A$2:$A$113,MATCH(ROWS($ED$2:ED90),$ED$2:$ED$113,0)),"")</f>
        <v>FALSIFICACION DE MONEDA, BILLETES DE BANCO, TITULO AL PORTADOR Y DOCUMENTOS DE CREDITO</v>
      </c>
      <c r="IA90" s="206" t="str">
        <f>IFERROR(INDEX($A$2:$A$113,MATCH(ROWS($EE$2:EE90),$EE$2:$EE$113,0)),"")</f>
        <v>FALSIFICACION DE MONEDA, BILLETES DE BANCO, TITULO AL PORTADOR Y DOCUMENTOS DE CREDITO</v>
      </c>
      <c r="IB90" s="206" t="str">
        <f>IFERROR(INDEX($A$2:$A$113,MATCH(ROWS($EF$2:EF90),$EF$2:$EF$113,0)),"")</f>
        <v>FALSIFICACION DE MONEDA, BILLETES DE BANCO, TITULO AL PORTADOR Y DOCUMENTOS DE CREDITO</v>
      </c>
      <c r="IC90" s="206" t="str">
        <f>IFERROR(INDEX($A$2:$A$113,MATCH(ROWS($EG$2:EG90),$EG$2:$EG$113,0)),"")</f>
        <v>FALSIFICACION DE MONEDA, BILLETES DE BANCO, TITULO AL PORTADOR Y DOCUMENTOS DE CREDITO</v>
      </c>
      <c r="ID90" s="206" t="str">
        <f>IFERROR(INDEX($A$2:$A$113,MATCH(ROWS($EH$2:EH90),$EH$2:$EH$113,0)),"")</f>
        <v>FALSIFICACION DE MONEDA, BILLETES DE BANCO, TITULO AL PORTADOR Y DOCUMENTOS DE CREDITO</v>
      </c>
      <c r="IE90" s="206" t="str">
        <f>IFERROR(INDEX($A$2:$A$113,MATCH(ROWS($EI$2:EI90),$EI$2:$EI$113,0)),"")</f>
        <v>FALSIFICACION DE MONEDA, BILLETES DE BANCO, TITULO AL PORTADOR Y DOCUMENTOS DE CREDITO</v>
      </c>
      <c r="IF90" s="206" t="str">
        <f>IFERROR(INDEX($A$2:$A$113,MATCH(ROWS($EJ$2:EJ90),$EJ$2:$EJ$113,0)),"")</f>
        <v>FALSIFICACION DE MONEDA, BILLETES DE BANCO, TITULO AL PORTADOR Y DOCUMENTOS DE CREDITO</v>
      </c>
      <c r="IG90" s="206" t="str">
        <f>IFERROR(INDEX($A$2:$A$113,MATCH(ROWS($EK$2:EK90),$EK$2:$EK$113,0)),"")</f>
        <v>FALSIFICACION DE MONEDA, BILLETES DE BANCO, TITULO AL PORTADOR Y DOCUMENTOS DE CREDITO</v>
      </c>
      <c r="IH90" s="206" t="str">
        <f>IFERROR(INDEX($A$2:$A$113,MATCH(ROWS($EL$2:EL90),$EL$2:$EL$113,0)),"")</f>
        <v>FALSIFICACION DE MONEDA, BILLETES DE BANCO, TITULO AL PORTADOR Y DOCUMENTOS DE CREDITO</v>
      </c>
      <c r="II90" s="206" t="str">
        <f>IFERROR(INDEX($A$2:$A$113,MATCH(ROWS($EM$2:EM90),$EM$2:$EM$113,0)),"")</f>
        <v>FALSIFICACION DE MONEDA, BILLETES DE BANCO, TITULO AL PORTADOR Y DOCUMENTOS DE CREDITO</v>
      </c>
      <c r="IJ90" s="206" t="str">
        <f>IFERROR(INDEX($A$2:$A$113,MATCH(ROWS($EN$2:EN90),$EN$2:$EN$113,0)),"")</f>
        <v>FALSIFICACION DE MONEDA, BILLETES DE BANCO, TITULO AL PORTADOR Y DOCUMENTOS DE CREDITO</v>
      </c>
      <c r="IK90" s="207" t="str">
        <f>IFERROR(INDEX($A$2:$A$113,MATCH(ROWS($EO$2:EO90),$EO$2:$EO$113,0)),"")</f>
        <v>FALSIFICACION DE MONEDA, BILLETES DE BANCO, TITULO AL PORTADOR Y DOCUMENTOS DE CREDITO</v>
      </c>
      <c r="IL90" s="207" t="str">
        <f>IFERROR(INDEX($A$2:$A$113,MATCH(ROWS($EP$2:EP90),$EP$2:$EP$113,0)),"")</f>
        <v>FALSIFICACION DE MONEDA, BILLETES DE BANCO, TITULO AL PORTADOR Y DOCUMENTOS DE CREDITO</v>
      </c>
      <c r="IM90" s="207" t="str">
        <f>IFERROR(INDEX($A$2:$A$113,MATCH(ROWS($EQ$2:EQ90),$EQ$2:$EQ$113,0)),"")</f>
        <v>FALSIFICACION DE MONEDA, BILLETES DE BANCO, TITULO AL PORTADOR Y DOCUMENTOS DE CREDITO</v>
      </c>
      <c r="IN90" s="207" t="str">
        <f>IFERROR(INDEX($A$2:$A$113,MATCH(ROWS($ER$2:ER90),$ER$2:$ER$113,0)),"")</f>
        <v>FALSIFICACION DE MONEDA, BILLETES DE BANCO, TITULO AL PORTADOR Y DOCUMENTOS DE CREDITO</v>
      </c>
      <c r="IO90" s="207" t="str">
        <f>IFERROR(INDEX($A$2:$A$113,MATCH(ROWS($ES$2:ES90),$ES$2:$ES$113,0)),"")</f>
        <v>FALSIFICACION DE MONEDA, BILLETES DE BANCO, TITULO AL PORTADOR Y DOCUMENTOS DE CREDITO</v>
      </c>
      <c r="IP90" s="207" t="str">
        <f>IFERROR(INDEX($A$2:$A$113,MATCH(ROWS($ET$2:ET90),$ET$2:$ET$113,0)),"")</f>
        <v>FALSIFICACION DE MONEDA, BILLETES DE BANCO, TITULO AL PORTADOR Y DOCUMENTOS DE CREDITO</v>
      </c>
      <c r="IQ90" s="207" t="str">
        <f>IFERROR(INDEX($A$2:$A$113,MATCH(ROWS($EU$2:EU90),$EU$2:$EU$113,0)),"")</f>
        <v>FALSIFICACION DE MONEDA, BILLETES DE BANCO, TITULO AL PORTADOR Y DOCUMENTOS DE CREDITO</v>
      </c>
      <c r="IR90" s="207" t="str">
        <f>IFERROR(INDEX($A$2:$A$113,MATCH(ROWS($EV$2:EV90),$EV$2:$EV$113,0)),"")</f>
        <v>FALSIFICACION DE MONEDA, BILLETES DE BANCO, TITULO AL PORTADOR Y DOCUMENTOS DE CREDITO</v>
      </c>
      <c r="IS90" s="207" t="str">
        <f>IFERROR(INDEX($A$2:$A$113,MATCH(ROWS($EW$2:EW90),$EW$2:$EW$113,0)),"")</f>
        <v>FALSIFICACION DE MONEDA, BILLETES DE BANCO, TITULO AL PORTADOR Y DOCUMENTOS DE CREDITO</v>
      </c>
      <c r="IT90" s="207" t="str">
        <f>IFERROR(INDEX($A$2:$A$113,MATCH(ROWS($EX$2:EX90),$EX$2:$EX$113,0)),"")</f>
        <v>FALSIFICACION DE MONEDA, BILLETES DE BANCO, TITULO AL PORTADOR Y DOCUMENTOS DE CREDITO</v>
      </c>
      <c r="IU90" s="207" t="str">
        <f>IFERROR(INDEX($A$2:$A$113,MATCH(ROWS($EY$2:EY90),$EY$2:$EY$113,0)),"")</f>
        <v>FALSIFICACION DE MONEDA, BILLETES DE BANCO, TITULO AL PORTADOR Y DOCUMENTOS DE CREDITO</v>
      </c>
      <c r="IV90" s="207" t="str">
        <f>IFERROR(INDEX($A$2:$A$113,MATCH(ROWS($EZ$2:EZ90),$EZ$2:$EZ$113,0)),"")</f>
        <v>FALSIFICACION DE MONEDA, BILLETES DE BANCO, TITULO AL PORTADOR Y DOCUMENTOS DE CREDITO</v>
      </c>
      <c r="IW90" s="207" t="str">
        <f>IFERROR(INDEX($A$2:$A$113,MATCH(ROWS($FA$2:FA90),$FA$2:$FA$113,0)),"")</f>
        <v>FALSIFICACION DE MONEDA, BILLETES DE BANCO, TITULO AL PORTADOR Y DOCUMENTOS DE CREDITO</v>
      </c>
      <c r="IX90" s="207" t="str">
        <f>IFERROR(INDEX($A$2:$A$113,MATCH(ROWS($FB$2:FB90),$FB$2:$FB$113,0)),"")</f>
        <v>FALSIFICACION DE MONEDA, BILLETES DE BANCO, TITULO AL PORTADOR Y DOCUMENTOS DE CREDITO</v>
      </c>
      <c r="IY90" s="207" t="str">
        <f>IFERROR(INDEX($A$2:$A$113,MATCH(ROWS($FC$2:FC90),$FC$2:$FC$113,0)),"")</f>
        <v>FALSIFICACION DE MONEDA, BILLETES DE BANCO, TITULO AL PORTADOR Y DOCUMENTOS DE CREDITO</v>
      </c>
      <c r="IZ90" s="207" t="str">
        <f>IFERROR(INDEX($A$2:$A$113,MATCH(ROWS($FD$2:FD90),$FD$2:$FD$113,0)),"")</f>
        <v>FALSIFICACION DE MONEDA, BILLETES DE BANCO, TITULO AL PORTADOR Y DOCUMENTOS DE CREDITO</v>
      </c>
      <c r="JA90" s="207" t="str">
        <f>IFERROR(INDEX($A$2:$A$113,MATCH(ROWS($FE$2:FE90),$FE$2:$FE$113,0)),"")</f>
        <v>FALSIFICACION DE MONEDA, BILLETES DE BANCO, TITULO AL PORTADOR Y DOCUMENTOS DE CREDITO</v>
      </c>
      <c r="JB90" s="207" t="str">
        <f>IFERROR(INDEX($A$2:$A$113,MATCH(ROWS($FF$2:FF90),$FF$2:$FF$113,0)),"")</f>
        <v>FALSIFICACION DE MONEDA, BILLETES DE BANCO, TITULO AL PORTADOR Y DOCUMENTOS DE CREDITO</v>
      </c>
      <c r="JC90" s="207" t="str">
        <f>IFERROR(INDEX($A$2:$A$113,MATCH(ROWS($FG$2:FG90),$FG$2:$FG$113,0)),"")</f>
        <v>FALSIFICACION DE MONEDA, BILLETES DE BANCO, TITULO AL PORTADOR Y DOCUMENTOS DE CREDITO</v>
      </c>
      <c r="JD90" s="207" t="str">
        <f>IFERROR(INDEX($A$2:$A$113,MATCH(ROWS($FH$2:FH90),$FH$2:$FH$113,0)),"")</f>
        <v>FALSIFICACION DE MONEDA, BILLETES DE BANCO, TITULO AL PORTADOR Y DOCUMENTOS DE CREDITO</v>
      </c>
      <c r="JE90" s="207" t="str">
        <f>IFERROR(INDEX($A$2:$A$113,MATCH(ROWS($FI$2:FI90),$FI$2:$FI$113,0)),"")</f>
        <v>FALSIFICACION DE MONEDA, BILLETES DE BANCO, TITULO AL PORTADOR Y DOCUMENTOS DE CREDITO</v>
      </c>
      <c r="JF90" s="207" t="str">
        <f>IFERROR(INDEX($A$2:$A$113,MATCH(ROWS($FJ$2:FJ90),$FJ$2:$FJ$113,0)),"")</f>
        <v>FALSIFICACION DE MONEDA, BILLETES DE BANCO, TITULO AL PORTADOR Y DOCUMENTOS DE CREDITO</v>
      </c>
      <c r="JG90" s="207" t="str">
        <f>IFERROR(INDEX($A$2:$A$113,MATCH(ROWS($FK$2:FK90),$FK$2:$FK$113,0)),"")</f>
        <v>FALSIFICACION DE MONEDA, BILLETES DE BANCO, TITULO AL PORTADOR Y DOCUMENTOS DE CREDITO</v>
      </c>
      <c r="JH90" s="207" t="str">
        <f>IFERROR(INDEX($A$2:$A$113,MATCH(ROWS($FL$2:FL90),$FL$2:$FL$113,0)),"")</f>
        <v>FALSIFICACION DE MONEDA, BILLETES DE BANCO, TITULO AL PORTADOR Y DOCUMENTOS DE CREDITO</v>
      </c>
      <c r="JI90" s="207" t="str">
        <f>IFERROR(INDEX($A$2:$A$113,MATCH(ROWS($FM$2:FM90),$FM$2:$FM$113,0)),"")</f>
        <v>FALSIFICACION DE MONEDA, BILLETES DE BANCO, TITULO AL PORTADOR Y DOCUMENTOS DE CREDITO</v>
      </c>
      <c r="JJ90" s="207" t="str">
        <f>IFERROR(INDEX($A$2:$A$113,MATCH(ROWS($FN$2:FN90),$FN$2:$FN$113,0)),"")</f>
        <v>FALSIFICACION DE MONEDA, BILLETES DE BANCO, TITULO AL PORTADOR Y DOCUMENTOS DE CREDITO</v>
      </c>
      <c r="JK90" s="207" t="str">
        <f>IFERROR(INDEX($A$2:$A$113,MATCH(ROWS($FO$2:FO90),$FO$2:$FO$113,0)),"")</f>
        <v>FALSIFICACION DE MONEDA, BILLETES DE BANCO, TITULO AL PORTADOR Y DOCUMENTOS DE CREDITO</v>
      </c>
      <c r="JL90" s="207" t="str">
        <f>IFERROR(INDEX($A$2:$A$113,MATCH(ROWS($FP$2:FP90),$FP$2:$FP$113,0)),"")</f>
        <v>FALSIFICACION DE MONEDA, BILLETES DE BANCO, TITULO AL PORTADOR Y DOCUMENTOS DE CREDITO</v>
      </c>
      <c r="JM90" s="207" t="str">
        <f>IFERROR(INDEX($A$2:$A$113,MATCH(ROWS($FQ$2:FQ90),$FQ$2:$FQ$113,0)),"")</f>
        <v>FALSIFICACION DE MONEDA, BILLETES DE BANCO, TITULO AL PORTADOR Y DOCUMENTOS DE CREDITO</v>
      </c>
      <c r="JN90" s="207" t="str">
        <f>IFERROR(INDEX($A$2:$A$113,MATCH(ROWS($FR$2:FR90),$FR$2:$FR$113,0)),"")</f>
        <v>FALSIFICACION DE MONEDA, BILLETES DE BANCO, TITULO AL PORTADOR Y DOCUMENTOS DE CREDITO</v>
      </c>
      <c r="JO90" s="207" t="str">
        <f>IFERROR(INDEX($A$2:$A$113,MATCH(ROWS($FS$2:FS90),$FS$2:$FS$113,0)),"")</f>
        <v>FALSIFICACION DE MONEDA, BILLETES DE BANCO, TITULO AL PORTADOR Y DOCUMENTOS DE CREDITO</v>
      </c>
      <c r="JP90" s="207" t="str">
        <f>IFERROR(INDEX($A$2:$A$113,MATCH(ROWS($FT$2:FT90),$FT$2:$FT$113,0)),"")</f>
        <v>FALSIFICACION DE MONEDA, BILLETES DE BANCO, TITULO AL PORTADOR Y DOCUMENTOS DE CREDITO</v>
      </c>
      <c r="JQ90" s="207" t="str">
        <f>IFERROR(INDEX($A$2:$A$113,MATCH(ROWS($FU$2:FU90),$FU$2:$FU$113,0)),"")</f>
        <v>FALSIFICACION DE MONEDA, BILLETES DE BANCO, TITULO AL PORTADOR Y DOCUMENTOS DE CREDITO</v>
      </c>
      <c r="JR90" s="207" t="str">
        <f>IFERROR(INDEX($A$2:$A$113,MATCH(ROWS($FV$2:FV90),$FV$2:$FV$113,0)),"")</f>
        <v>FALSIFICACION DE MONEDA, BILLETES DE BANCO, TITULO AL PORTADOR Y DOCUMENTOS DE CREDITO</v>
      </c>
      <c r="JS90" s="207" t="str">
        <f>IFERROR(INDEX($A$2:$A$113,MATCH(ROWS($FW$2:FW90),$FW$2:$FW$113,0)),"")</f>
        <v>FALSIFICACION DE MONEDA, BILLETES DE BANCO, TITULO AL PORTADOR Y DOCUMENTOS DE CREDITO</v>
      </c>
      <c r="JT90" s="207" t="str">
        <f>IFERROR(INDEX($A$2:$A$113,MATCH(ROWS($FX$2:FX90),$FX$2:$FX$113,0)),"")</f>
        <v>FALSIFICACION DE MONEDA, BILLETES DE BANCO, TITULO AL PORTADOR Y DOCUMENTOS DE CREDITO</v>
      </c>
      <c r="JU90" s="207" t="str">
        <f>IFERROR(INDEX($A$2:$A$113,MATCH(ROWS($FY$2:FY90),$FY$2:$FY$113,0)),"")</f>
        <v>FALSIFICACION DE MONEDA, BILLETES DE BANCO, TITULO AL PORTADOR Y DOCUMENTOS DE CREDITO</v>
      </c>
      <c r="JV90" s="207" t="str">
        <f>IFERROR(INDEX($A$2:$A$113,MATCH(ROWS($FZ$2:FZ90),$FZ$2:$FZ$113,0)),"")</f>
        <v>FALSIFICACION DE MONEDA, BILLETES DE BANCO, TITULO AL PORTADOR Y DOCUMENTOS DE CREDITO</v>
      </c>
      <c r="JW90" s="207" t="str">
        <f>IFERROR(INDEX($A$2:$A$113,MATCH(ROWS($GA$2:GA90),$GA$2:$GA$113,0)),"")</f>
        <v>FALSIFICACION DE MONEDA, BILLETES DE BANCO, TITULO AL PORTADOR Y DOCUMENTOS DE CREDITO</v>
      </c>
      <c r="JX90" s="207" t="str">
        <f>IFERROR(INDEX($A$2:$A$113,MATCH(ROWS($GB$2:GB90),$GB$2:$GB$113,0)),"")</f>
        <v>FALSIFICACION DE MONEDA, BILLETES DE BANCO, TITULO AL PORTADOR Y DOCUMENTOS DE CREDITO</v>
      </c>
      <c r="JY90" s="207" t="str">
        <f>IFERROR(INDEX($A$2:$A$113,MATCH(ROWS($GC$2:GC90),$GC$2:$GC$113,0)),"")</f>
        <v>FALSIFICACION DE MONEDA, BILLETES DE BANCO, TITULO AL PORTADOR Y DOCUMENTOS DE CREDITO</v>
      </c>
      <c r="JZ90" s="207" t="str">
        <f>IFERROR(INDEX($A$2:$A$113,MATCH(ROWS($GD$2:GD90),$GD$2:$GD$113,0)),"")</f>
        <v>FALSIFICACION DE MONEDA, BILLETES DE BANCO, TITULO AL PORTADOR Y DOCUMENTOS DE CREDITO</v>
      </c>
      <c r="KA90" s="207" t="str">
        <f>IFERROR(INDEX($A$2:$A$113,MATCH(ROWS($GE$2:GE90),$GE$2:$GE$113,0)),"")</f>
        <v>FALSIFICACION DE MONEDA, BILLETES DE BANCO, TITULO AL PORTADOR Y DOCUMENTOS DE CREDITO</v>
      </c>
      <c r="KB90" s="207" t="str">
        <f>IFERROR(INDEX($A$2:$A$113,MATCH(ROWS($GF$2:GF90),$GF$2:$GF$113,0)),"")</f>
        <v>FALSIFICACION DE MONEDA, BILLETES DE BANCO, TITULO AL PORTADOR Y DOCUMENTOS DE CREDITO</v>
      </c>
      <c r="KC90" s="207" t="str">
        <f>IFERROR(INDEX($A$2:$A$113,MATCH(ROWS($GG$2:GG90),$GG$2:$GG$113,0)),"")</f>
        <v>FALSIFICACION DE MONEDA, BILLETES DE BANCO, TITULO AL PORTADOR Y DOCUMENTOS DE CREDITO</v>
      </c>
      <c r="KD90" s="207" t="str">
        <f>IFERROR(INDEX($A$2:$A$113,MATCH(ROWS($GH$2:GH90),$GH$2:$GH$113,0)),"")</f>
        <v>FALSIFICACION DE MONEDA, BILLETES DE BANCO, TITULO AL PORTADOR Y DOCUMENTOS DE CREDITO</v>
      </c>
      <c r="KE90" s="207" t="str">
        <f>IFERROR(INDEX($A$2:$A$113,MATCH(ROWS($GI$2:GI90),$GI$2:$GI$113,0)),"")</f>
        <v>FALSIFICACION DE MONEDA, BILLETES DE BANCO, TITULO AL PORTADOR Y DOCUMENTOS DE CREDITO</v>
      </c>
      <c r="KF90" s="207" t="str">
        <f>IFERROR(INDEX($A$2:$A$113,MATCH(ROWS($GJ$2:GJ90),$GJ$2:$GJ$113,0)),"")</f>
        <v>FALSIFICACION DE MONEDA, BILLETES DE BANCO, TITULO AL PORTADOR Y DOCUMENTOS DE CREDITO</v>
      </c>
      <c r="KG90" s="207" t="str">
        <f>IFERROR(INDEX($A$2:$A$113,MATCH(ROWS($GK$2:GK90),$GK$2:$GK$113,0)),"")</f>
        <v>FALSIFICACION DE MONEDA, BILLETES DE BANCO, TITULO AL PORTADOR Y DOCUMENTOS DE CREDITO</v>
      </c>
      <c r="KH90" s="207" t="str">
        <f>IFERROR(INDEX($A$2:$A$113,MATCH(ROWS($GL$2:GL90),$GL$2:$GL$113,0)),"")</f>
        <v>FALSIFICACION DE MONEDA, BILLETES DE BANCO, TITULO AL PORTADOR Y DOCUMENTOS DE CREDITO</v>
      </c>
      <c r="KI90" s="207" t="str">
        <f>IFERROR(INDEX($A$2:$A$113,MATCH(ROWS($GM$2:GM90),$GM$2:$GM$113,0)),"")</f>
        <v>FALSIFICACION DE MONEDA, BILLETES DE BANCO, TITULO AL PORTADOR Y DOCUMENTOS DE CREDITO</v>
      </c>
      <c r="KJ90" s="207" t="str">
        <f>IFERROR(INDEX($A$2:$A$113,MATCH(ROWS($GN$2:GN90),$GN$2:$GN$113,0)),"")</f>
        <v>FALSIFICACION DE MONEDA, BILLETES DE BANCO, TITULO AL PORTADOR Y DOCUMENTOS DE CREDITO</v>
      </c>
      <c r="KK90" s="207" t="str">
        <f>IFERROR(INDEX($A$2:$A$113,MATCH(ROWS($GO$2:GO90),$GO$2:$GO$113,0)),"")</f>
        <v>FALSIFICACION DE MONEDA, BILLETES DE BANCO, TITULO AL PORTADOR Y DOCUMENTOS DE CREDITO</v>
      </c>
      <c r="KL90" s="207" t="str">
        <f>IFERROR(INDEX($A$2:$A$113,MATCH(ROWS($GP$2:GP90),$GP$2:$GP$113,0)),"")</f>
        <v>FALSIFICACION DE MONEDA, BILLETES DE BANCO, TITULO AL PORTADOR Y DOCUMENTOS DE CREDITO</v>
      </c>
      <c r="KM90" s="207" t="str">
        <f>IFERROR(INDEX($A$2:$A$113,MATCH(ROWS($GQ$2:GQ90),$GQ$2:$GQ$113,0)),"")</f>
        <v>FALSIFICACION DE MONEDA, BILLETES DE BANCO, TITULO AL PORTADOR Y DOCUMENTOS DE CREDITO</v>
      </c>
      <c r="KN90" s="207" t="str">
        <f>IFERROR(INDEX($A$2:$A$113,MATCH(ROWS($GR$2:GR90),$GR$2:$GR$113,0)),"")</f>
        <v>FALSIFICACION DE MONEDA, BILLETES DE BANCO, TITULO AL PORTADOR Y DOCUMENTOS DE CREDITO</v>
      </c>
      <c r="KO90" s="207" t="str">
        <f>IFERROR(INDEX($A$2:$A$113,MATCH(ROWS($GS$2:GS90),$GS$2:$GS$113,0)),"")</f>
        <v>FALSIFICACION DE MONEDA, BILLETES DE BANCO, TITULO AL PORTADOR Y DOCUMENTOS DE CREDITO</v>
      </c>
      <c r="KP90" s="207" t="str">
        <f>IFERROR(INDEX($A$2:$A$113,MATCH(ROWS($GT$2:GT90),$GT$2:$GT$113,0)),"")</f>
        <v>FALSIFICACION DE MONEDA, BILLETES DE BANCO, TITULO AL PORTADOR Y DOCUMENTOS DE CREDITO</v>
      </c>
      <c r="KQ90" s="207" t="str">
        <f>IFERROR(INDEX($A$2:$A$113,MATCH(ROWS($GU$2:GU90),$GU$2:$GU$113,0)),"")</f>
        <v>FALSIFICACION DE MONEDA, BILLETES DE BANCO, TITULO AL PORTADOR Y DOCUMENTOS DE CREDITO</v>
      </c>
      <c r="KR90" s="207" t="str">
        <f>IFERROR(INDEX($A$2:$A$113,MATCH(ROWS($GV$2:GV90),$GV$2:$GV$113,0)),"")</f>
        <v>FALSIFICACION DE MONEDA, BILLETES DE BANCO, TITULO AL PORTADOR Y DOCUMENTOS DE CREDITO</v>
      </c>
      <c r="KS90" s="207" t="str">
        <f>IFERROR(INDEX($A$2:$A$113,MATCH(ROWS($GW$2:GW90),$GW$2:$GW$113,0)),"")</f>
        <v>FALSIFICACION DE MONEDA, BILLETES DE BANCO, TITULO AL PORTADOR Y DOCUMENTOS DE CREDITO</v>
      </c>
    </row>
    <row r="91" spans="1:305" x14ac:dyDescent="0.25">
      <c r="A91" s="206" t="s">
        <v>910</v>
      </c>
      <c r="B91" s="206">
        <v>27</v>
      </c>
      <c r="D91" s="206" t="s">
        <v>30</v>
      </c>
      <c r="E91" s="206" t="s">
        <v>114</v>
      </c>
      <c r="F91" s="207">
        <f>--ISNUMBER(IFERROR(SEARCH('PLANILLA DJ'!$X$3,$A91,1),""))</f>
        <v>1</v>
      </c>
      <c r="G91" s="207">
        <f>--ISNUMBER(IFERROR(SEARCH('PLANILLA DJ'!$X$4,$A91,1),""))</f>
        <v>1</v>
      </c>
      <c r="H91" s="207">
        <f>--ISNUMBER(IFERROR(SEARCH('PLANILLA DJ'!$X$5,$A91,1),""))</f>
        <v>1</v>
      </c>
      <c r="I91" s="207">
        <f>--ISNUMBER(IFERROR(SEARCH('PLANILLA DJ'!$X$6,$A91,1),""))</f>
        <v>1</v>
      </c>
      <c r="J91" s="207">
        <f>--ISNUMBER(IFERROR(SEARCH('PLANILLA DJ'!$X$7,$A91,1),""))</f>
        <v>1</v>
      </c>
      <c r="K91" s="207">
        <f>--ISNUMBER(IFERROR(SEARCH('PLANILLA DJ'!$X$8,$A91,1),""))</f>
        <v>1</v>
      </c>
      <c r="L91" s="207">
        <f>--ISNUMBER(IFERROR(SEARCH('PLANILLA DJ'!$X$9,$A91,1),""))</f>
        <v>1</v>
      </c>
      <c r="M91" s="207">
        <f>--ISNUMBER(IFERROR(SEARCH('PLANILLA DJ'!$X$10,$A91,1),""))</f>
        <v>1</v>
      </c>
      <c r="N91" s="207">
        <f>--ISNUMBER(IFERROR(SEARCH('PLANILLA DJ'!$X$11,$A91,1),""))</f>
        <v>1</v>
      </c>
      <c r="O91" s="207">
        <f>--ISNUMBER(IFERROR(SEARCH('PLANILLA DJ'!$X$12,$A91,1),""))</f>
        <v>1</v>
      </c>
      <c r="P91" s="207">
        <f>--ISNUMBER(IFERROR(SEARCH('PLANILLA DJ'!$X$13,$A91,1),""))</f>
        <v>1</v>
      </c>
      <c r="Q91" s="207">
        <f>--ISNUMBER(IFERROR(SEARCH('PLANILLA DJ'!$X$14,$A91,1),""))</f>
        <v>1</v>
      </c>
      <c r="R91" s="207">
        <f>--ISNUMBER(IFERROR(SEARCH('PLANILLA DJ'!$X$15,$A91,1),""))</f>
        <v>1</v>
      </c>
      <c r="S91" s="207">
        <f>--ISNUMBER(IFERROR(SEARCH('PLANILLA DJ'!$X$16,$A91,1),""))</f>
        <v>1</v>
      </c>
      <c r="T91" s="207">
        <f>--ISNUMBER(IFERROR(SEARCH('PLANILLA DJ'!$X$17,$A91,1),""))</f>
        <v>1</v>
      </c>
      <c r="U91" s="207">
        <f>--ISNUMBER(IFERROR(SEARCH('PLANILLA DJ'!$X$18,$A91,1),""))</f>
        <v>1</v>
      </c>
      <c r="V91" s="207">
        <f>--ISNUMBER(IFERROR(SEARCH('PLANILLA DJ'!$X$19,$A91,1),""))</f>
        <v>1</v>
      </c>
      <c r="W91" s="207">
        <f>--ISNUMBER(IFERROR(SEARCH('PLANILLA DJ'!$X$20,$A91,1),""))</f>
        <v>1</v>
      </c>
      <c r="X91" s="207">
        <f>--ISNUMBER(IFERROR(SEARCH('PLANILLA DJ'!$X$21,$A91,1),""))</f>
        <v>1</v>
      </c>
      <c r="Y91" s="207">
        <f>--ISNUMBER(IFERROR(SEARCH('PLANILLA DJ'!$X$22,$A91,1),""))</f>
        <v>1</v>
      </c>
      <c r="Z91" s="207">
        <f>--ISNUMBER(IFERROR(SEARCH('PLANILLA DJ'!$X$23,$A91,1),""))</f>
        <v>1</v>
      </c>
      <c r="AA91" s="207">
        <f>--ISNUMBER(IFERROR(SEARCH('PLANILLA DJ'!$X$24,$A91,1),""))</f>
        <v>1</v>
      </c>
      <c r="AB91" s="207">
        <f>--ISNUMBER(IFERROR(SEARCH('PLANILLA DJ'!$X$25,$A91,1),""))</f>
        <v>1</v>
      </c>
      <c r="AC91" s="207">
        <f>--ISNUMBER(IFERROR(SEARCH('PLANILLA DJ'!$X$26,$A91,1),""))</f>
        <v>1</v>
      </c>
      <c r="AD91" s="207">
        <f>--ISNUMBER(IFERROR(SEARCH('PLANILLA DJ'!$X$27,$A91,1),""))</f>
        <v>1</v>
      </c>
      <c r="AE91" s="207">
        <f>--ISNUMBER(IFERROR(SEARCH('PLANILLA DJ'!$X$28,$A91,1),""))</f>
        <v>1</v>
      </c>
      <c r="AF91" s="207">
        <f>--ISNUMBER(IFERROR(SEARCH('PLANILLA DJ'!$X$29,$A91,1),""))</f>
        <v>1</v>
      </c>
      <c r="AG91" s="207">
        <f>--ISNUMBER(IFERROR(SEARCH('PLANILLA DJ'!$X$30,$A91,1),""))</f>
        <v>1</v>
      </c>
      <c r="AH91" s="207">
        <f>--ISNUMBER(IFERROR(SEARCH('PLANILLA DJ'!$X$31,$A91,1),""))</f>
        <v>1</v>
      </c>
      <c r="AI91" s="207">
        <f>--ISNUMBER(IFERROR(SEARCH('PLANILLA DJ'!$X$32,$A91,1),""))</f>
        <v>1</v>
      </c>
      <c r="AJ91" s="207">
        <f>--ISNUMBER(IFERROR(SEARCH('PLANILLA DJ'!$X$33,$A91,1),""))</f>
        <v>1</v>
      </c>
      <c r="AK91" s="207">
        <f>--ISNUMBER(IFERROR(SEARCH('PLANILLA DJ'!$X$34,$A91,1),""))</f>
        <v>1</v>
      </c>
      <c r="AL91" s="207">
        <f>--ISNUMBER(IFERROR(SEARCH('PLANILLA DJ'!$X$35,$A91,1),""))</f>
        <v>1</v>
      </c>
      <c r="AM91" s="207">
        <f>--ISNUMBER(IFERROR(SEARCH('PLANILLA DJ'!$X$36,$A91,1),""))</f>
        <v>1</v>
      </c>
      <c r="AN91" s="207">
        <f>--ISNUMBER(IFERROR(SEARCH('PLANILLA DJ'!$X$37,$A91,1),""))</f>
        <v>1</v>
      </c>
      <c r="AO91" s="207">
        <f>--ISNUMBER(IFERROR(SEARCH('PLANILLA DJ'!$X$38,$A91,1),""))</f>
        <v>1</v>
      </c>
      <c r="AP91" s="207">
        <f>--ISNUMBER(IFERROR(SEARCH('PLANILLA DJ'!$X$39,$A91,1),""))</f>
        <v>1</v>
      </c>
      <c r="AQ91" s="207">
        <f>--ISNUMBER(IFERROR(SEARCH('PLANILLA DJ'!$X$40,$A91,1),""))</f>
        <v>1</v>
      </c>
      <c r="AR91" s="207">
        <f>--ISNUMBER(IFERROR(SEARCH('PLANILLA DJ'!$X$41,$A91,1),""))</f>
        <v>1</v>
      </c>
      <c r="AS91" s="207">
        <f>--ISNUMBER(IFERROR(SEARCH('PLANILLA DJ'!$X$42,$A91,1),""))</f>
        <v>1</v>
      </c>
      <c r="AT91" s="207">
        <f>--ISNUMBER(IFERROR(SEARCH('PLANILLA DJ'!$X$43,$A91,1),""))</f>
        <v>1</v>
      </c>
      <c r="AU91" s="207">
        <f>--ISNUMBER(IFERROR(SEARCH('PLANILLA DJ'!$X$44,$A91,1),""))</f>
        <v>1</v>
      </c>
      <c r="AV91" s="207">
        <f>--ISNUMBER(IFERROR(SEARCH('PLANILLA DJ'!$X$45,$A91,1),""))</f>
        <v>1</v>
      </c>
      <c r="AW91" s="207">
        <f>--ISNUMBER(IFERROR(SEARCH('PLANILLA DJ'!$X$46,$A91,1),""))</f>
        <v>1</v>
      </c>
      <c r="AX91" s="207">
        <f>--ISNUMBER(IFERROR(SEARCH('PLANILLA DJ'!$X$47,$A91,1),""))</f>
        <v>1</v>
      </c>
      <c r="AY91" s="207">
        <f>--ISNUMBER(IFERROR(SEARCH('PLANILLA DJ'!$X$48,$A91,1),""))</f>
        <v>1</v>
      </c>
      <c r="AZ91" s="207">
        <f>--ISNUMBER(IFERROR(SEARCH('PLANILLA DJ'!$X$49,$A91,1),""))</f>
        <v>1</v>
      </c>
      <c r="BA91" s="207">
        <f>--ISNUMBER(IFERROR(SEARCH('PLANILLA DJ'!$X$50,$A91,1),""))</f>
        <v>1</v>
      </c>
      <c r="BB91" s="207">
        <f>--ISNUMBER(IFERROR(SEARCH('PLANILLA DJ'!$X$51,$A91,1),""))</f>
        <v>1</v>
      </c>
      <c r="BC91" s="207">
        <f>--ISNUMBER(IFERROR(SEARCH('PLANILLA DJ'!$X$52,$A91,1),""))</f>
        <v>1</v>
      </c>
      <c r="BD91" s="207">
        <f>--ISNUMBER(IFERROR(SEARCH('PLANILLA DJ'!$X$53,$A91,1),""))</f>
        <v>1</v>
      </c>
      <c r="BE91" s="207">
        <f>--ISNUMBER(IFERROR(SEARCH('PLANILLA DJ'!$X$54,$A91,1),""))</f>
        <v>1</v>
      </c>
      <c r="BF91" s="207">
        <f>--ISNUMBER(IFERROR(SEARCH('PLANILLA DJ'!$X$55,$A91,1),""))</f>
        <v>1</v>
      </c>
      <c r="BG91" s="207">
        <f>--ISNUMBER(IFERROR(SEARCH('PLANILLA DJ'!$X$56,$A91,1),""))</f>
        <v>1</v>
      </c>
      <c r="BH91" s="207">
        <f>--ISNUMBER(IFERROR(SEARCH('PLANILLA DJ'!$X$57,$A91,1),""))</f>
        <v>1</v>
      </c>
      <c r="BI91" s="207">
        <f>--ISNUMBER(IFERROR(SEARCH('PLANILLA DJ'!$X$58,$A91,1),""))</f>
        <v>1</v>
      </c>
      <c r="BJ91" s="207">
        <f>--ISNUMBER(IFERROR(SEARCH('PLANILLA DJ'!$X$59,$A91,1),""))</f>
        <v>1</v>
      </c>
      <c r="BK91" s="207">
        <f>--ISNUMBER(IFERROR(SEARCH('PLANILLA DJ'!$X$60,$A91,1),""))</f>
        <v>1</v>
      </c>
      <c r="BL91" s="207">
        <f>--ISNUMBER(IFERROR(SEARCH('PLANILLA DJ'!$X$61,$A91,1),""))</f>
        <v>1</v>
      </c>
      <c r="BM91" s="207">
        <f>--ISNUMBER(IFERROR(SEARCH('PLANILLA DJ'!$X$62,$A91,1),""))</f>
        <v>1</v>
      </c>
      <c r="BN91" s="207">
        <f>--ISNUMBER(IFERROR(SEARCH('PLANILLA DJ'!$X$63,$A91,1),""))</f>
        <v>1</v>
      </c>
      <c r="BO91" s="207">
        <f>--ISNUMBER(IFERROR(SEARCH('PLANILLA DJ'!$X$64,$A91,1),""))</f>
        <v>1</v>
      </c>
      <c r="BP91" s="207">
        <f>--ISNUMBER(IFERROR(SEARCH('PLANILLA DJ'!$X$65,$A91,1),""))</f>
        <v>1</v>
      </c>
      <c r="BQ91" s="207">
        <f>--ISNUMBER(IFERROR(SEARCH('PLANILLA DJ'!$X$66,$A91,1),""))</f>
        <v>1</v>
      </c>
      <c r="BR91" s="207">
        <f>--ISNUMBER(IFERROR(SEARCH('PLANILLA DJ'!$X$67,$A91,1),""))</f>
        <v>1</v>
      </c>
      <c r="BS91" s="207">
        <f>--ISNUMBER(IFERROR(SEARCH('PLANILLA DJ'!$X$68,$A91,1),""))</f>
        <v>1</v>
      </c>
      <c r="BT91" s="207">
        <f>--ISNUMBER(IFERROR(SEARCH('PLANILLA DJ'!$X$69,$A91,1),""))</f>
        <v>1</v>
      </c>
      <c r="BU91" s="207">
        <f>--ISNUMBER(IFERROR(SEARCH('PLANILLA DJ'!$X$70,$A91,1),""))</f>
        <v>1</v>
      </c>
      <c r="BV91" s="207">
        <f>--ISNUMBER(IFERROR(SEARCH('PLANILLA DJ'!$X$71,$A91,1),""))</f>
        <v>1</v>
      </c>
      <c r="BW91" s="207">
        <f>--ISNUMBER(IFERROR(SEARCH('PLANILLA DJ'!$X$72,$A91,1),""))</f>
        <v>1</v>
      </c>
      <c r="BX91" s="207">
        <f>--ISNUMBER(IFERROR(SEARCH('PLANILLA DJ'!$X$73,$A91,1),""))</f>
        <v>1</v>
      </c>
      <c r="BY91" s="207">
        <f>--ISNUMBER(IFERROR(SEARCH('PLANILLA DJ'!$X$74,$A91,1),""))</f>
        <v>1</v>
      </c>
      <c r="BZ91" s="207">
        <f>--ISNUMBER(IFERROR(SEARCH('PLANILLA DJ'!$X$75,$A91,1),""))</f>
        <v>1</v>
      </c>
      <c r="CA91" s="207">
        <f>--ISNUMBER(IFERROR(SEARCH('PLANILLA DJ'!$X$76,$A91,1),""))</f>
        <v>1</v>
      </c>
      <c r="CB91" s="207">
        <f>--ISNUMBER(IFERROR(SEARCH('PLANILLA DJ'!$X$77,$A91,1),""))</f>
        <v>1</v>
      </c>
      <c r="CC91" s="207">
        <f>--ISNUMBER(IFERROR(SEARCH('PLANILLA DJ'!$X$78,$A91,1),""))</f>
        <v>1</v>
      </c>
      <c r="CD91" s="207">
        <f>--ISNUMBER(IFERROR(SEARCH('PLANILLA DJ'!$X$79,$A91,1),""))</f>
        <v>1</v>
      </c>
      <c r="CE91" s="207">
        <f>--ISNUMBER(IFERROR(SEARCH('PLANILLA DJ'!$X$80,$A91,1),""))</f>
        <v>1</v>
      </c>
      <c r="CF91" s="207">
        <f>--ISNUMBER(IFERROR(SEARCH('PLANILLA DJ'!$X$81,$A91,1),""))</f>
        <v>1</v>
      </c>
      <c r="CG91" s="207">
        <f>--ISNUMBER(IFERROR(SEARCH('PLANILLA DJ'!$X$82,$A91,1),""))</f>
        <v>1</v>
      </c>
      <c r="CH91" s="207">
        <f>--ISNUMBER(IFERROR(SEARCH('PLANILLA DJ'!$X$83,$A91,1),""))</f>
        <v>1</v>
      </c>
      <c r="CI91" s="207">
        <f>--ISNUMBER(IFERROR(SEARCH('PLANILLA DJ'!$X$84,$A91,1),""))</f>
        <v>1</v>
      </c>
      <c r="CJ91" s="207">
        <f>--ISNUMBER(IFERROR(SEARCH('PLANILLA DJ'!$X$85,$A91,1),""))</f>
        <v>1</v>
      </c>
      <c r="CK91" s="207">
        <f>--ISNUMBER(IFERROR(SEARCH('PLANILLA DJ'!$X$86,$A91,1),""))</f>
        <v>1</v>
      </c>
      <c r="CL91" s="207">
        <f>--ISNUMBER(IFERROR(SEARCH('PLANILLA DJ'!$X$87,$A91,1),""))</f>
        <v>1</v>
      </c>
      <c r="CM91" s="207">
        <f>--ISNUMBER(IFERROR(SEARCH('PLANILLA DJ'!$X$88,$A91,1),""))</f>
        <v>1</v>
      </c>
      <c r="CN91" s="207">
        <f>--ISNUMBER(IFERROR(SEARCH('PLANILLA DJ'!$X$89,$A91,1),""))</f>
        <v>1</v>
      </c>
      <c r="CO91" s="207">
        <f>--ISNUMBER(IFERROR(SEARCH('PLANILLA DJ'!$X$90,$A91,1),""))</f>
        <v>1</v>
      </c>
      <c r="CP91" s="207">
        <f>--ISNUMBER(IFERROR(SEARCH('PLANILLA DJ'!$X$91,$A91,1),""))</f>
        <v>1</v>
      </c>
      <c r="CQ91" s="207">
        <f>--ISNUMBER(IFERROR(SEARCH('PLANILLA DJ'!$X$92,$A91,1),""))</f>
        <v>1</v>
      </c>
      <c r="CR91" s="207">
        <f>--ISNUMBER(IFERROR(SEARCH('PLANILLA DJ'!$X$93,$A91,1),""))</f>
        <v>1</v>
      </c>
      <c r="CS91" s="207">
        <f>--ISNUMBER(IFERROR(SEARCH('PLANILLA DJ'!$X$94,$A91,1),""))</f>
        <v>1</v>
      </c>
      <c r="CT91" s="207">
        <f>--ISNUMBER(IFERROR(SEARCH('PLANILLA DJ'!$X$95,$A91,1),""))</f>
        <v>1</v>
      </c>
      <c r="CU91" s="207">
        <f>--ISNUMBER(IFERROR(SEARCH('PLANILLA DJ'!$X$96,$A91,1),""))</f>
        <v>1</v>
      </c>
      <c r="CV91" s="207">
        <f>--ISNUMBER(IFERROR(SEARCH('PLANILLA DJ'!$X$97,$A91,1),""))</f>
        <v>1</v>
      </c>
      <c r="CW91" s="207">
        <f>--ISNUMBER(IFERROR(SEARCH('PLANILLA DJ'!$X$98,$A91,1),""))</f>
        <v>1</v>
      </c>
      <c r="CX91" s="207">
        <f>--ISNUMBER(IFERROR(SEARCH('PLANILLA DJ'!$X$99,$A91,1),""))</f>
        <v>1</v>
      </c>
      <c r="CY91" s="207">
        <f>--ISNUMBER(IFERROR(SEARCH('PLANILLA DJ'!$X$100,$A91,1),""))</f>
        <v>1</v>
      </c>
      <c r="CZ91" s="207">
        <f>--ISNUMBER(IFERROR(SEARCH('PLANILLA DJ'!$X$101,$A91,1),""))</f>
        <v>1</v>
      </c>
      <c r="DA91" s="207">
        <f>--ISNUMBER(IFERROR(SEARCH('PLANILLA DJ'!$X$102,$A91,1),""))</f>
        <v>1</v>
      </c>
      <c r="DB91" s="206">
        <f>IF(F91=1,COUNTIF($F$2:F91,1),"")</f>
        <v>90</v>
      </c>
      <c r="DC91" s="206">
        <f>IF(G91=1,COUNTIF($G$2:G91,1),"")</f>
        <v>90</v>
      </c>
      <c r="DD91" s="206">
        <f>IF(H91=1,COUNTIF($H$2:H91,1),"")</f>
        <v>90</v>
      </c>
      <c r="DE91" s="206">
        <f>IF(I91=1,COUNTIF($I$2:I91,1),"")</f>
        <v>90</v>
      </c>
      <c r="DF91" s="206">
        <f>IF(J91=1,COUNTIF($J$2:J91,1),"")</f>
        <v>90</v>
      </c>
      <c r="DG91" s="206">
        <f>IF(K91=1,COUNTIF($K$2:K91,1),"")</f>
        <v>90</v>
      </c>
      <c r="DH91" s="206">
        <f>IF(L91=1,COUNTIF($L$2:L91,1),"")</f>
        <v>90</v>
      </c>
      <c r="DI91" s="206">
        <f>IF(M91=1,COUNTIF($M$2:M91,1),"")</f>
        <v>90</v>
      </c>
      <c r="DJ91" s="206">
        <f>IF(N91=1,COUNTIF($N$2:N91,1),"")</f>
        <v>90</v>
      </c>
      <c r="DK91" s="206">
        <f>IF(O91=1,COUNTIF($O$2:O91,1),"")</f>
        <v>90</v>
      </c>
      <c r="DL91" s="206">
        <f>IF(P91=1,COUNTIF($P$2:P91,1),"")</f>
        <v>90</v>
      </c>
      <c r="DM91" s="206">
        <f>IF(Q91=1,COUNTIF($Q$2:Q91,1),"")</f>
        <v>90</v>
      </c>
      <c r="DN91" s="207">
        <f>IF(R91=1,COUNTIF($R$2:R91,1),"")</f>
        <v>90</v>
      </c>
      <c r="DO91" s="207">
        <f>IF(S91=1,COUNTIF($S$2:S91,1),"")</f>
        <v>90</v>
      </c>
      <c r="DP91" s="207">
        <f>IF(T91=1,COUNTIF($T$2:T91,1),"")</f>
        <v>90</v>
      </c>
      <c r="DQ91" s="207">
        <f>IF(U91=1,COUNTIF($U$2:U91,1),"")</f>
        <v>90</v>
      </c>
      <c r="DR91" s="207">
        <f>IF(V91=1,COUNTIF($V$2:V91,1),"")</f>
        <v>90</v>
      </c>
      <c r="DS91" s="207">
        <f>IF(W91=1,COUNTIF($W$2:W91,1),"")</f>
        <v>90</v>
      </c>
      <c r="DT91" s="207">
        <f>IF(X91=1,COUNTIF($X$2:X91,1),"")</f>
        <v>90</v>
      </c>
      <c r="DU91" s="207">
        <f>IF(Y91=1,COUNTIF($Y$2:Y91,1),"")</f>
        <v>90</v>
      </c>
      <c r="DV91" s="207">
        <f>IF(Z91=1,COUNTIF(Z$2:Z91,1),"")</f>
        <v>90</v>
      </c>
      <c r="DW91" s="207">
        <f>IF(AA91=1,COUNTIF($AA$2:AA91,1),"")</f>
        <v>90</v>
      </c>
      <c r="DX91" s="207">
        <f>IF(AB91=1,COUNTIF($AB$2:AB91,1),"")</f>
        <v>90</v>
      </c>
      <c r="DY91" s="207">
        <f>IF(AC91=1,COUNTIF($AC$2:AC91,1),"")</f>
        <v>90</v>
      </c>
      <c r="DZ91" s="207">
        <f>IF(AD91=1,COUNTIF($AD$2:AD91,1),"")</f>
        <v>90</v>
      </c>
      <c r="EA91" s="207">
        <f>IF(AE91=1,COUNTIF($AE$2:AE91,1),"")</f>
        <v>90</v>
      </c>
      <c r="EB91" s="207">
        <f>IF(AF91=1,COUNTIF($AF$2:AF91,1),"")</f>
        <v>90</v>
      </c>
      <c r="EC91" s="207">
        <f>IF(AG91=1,COUNTIF($AG$2:AG91,1),"")</f>
        <v>90</v>
      </c>
      <c r="ED91" s="207">
        <f>IF(AH91=1,COUNTIF($AH$2:AH91,1),"")</f>
        <v>90</v>
      </c>
      <c r="EE91" s="207">
        <f>IF(AI91=1,COUNTIF($AI$2:AI91,1),"")</f>
        <v>90</v>
      </c>
      <c r="EF91" s="207">
        <f>IF(AJ91=1,COUNTIF($AJ$2:AJ91,1),"")</f>
        <v>90</v>
      </c>
      <c r="EG91" s="207">
        <f>IF(AK91=1,COUNTIF($AK$2:AK91,1),"")</f>
        <v>90</v>
      </c>
      <c r="EH91" s="207">
        <f>IF(AL91=1,COUNTIF($AL$2:AL91,1),"")</f>
        <v>90</v>
      </c>
      <c r="EI91" s="207">
        <f>IF(AM91=1,COUNTIF($AM$2:AM91,1),"")</f>
        <v>90</v>
      </c>
      <c r="EJ91" s="207">
        <f>IF(AN91=1,COUNTIF($AN$2:AN91,1),"")</f>
        <v>90</v>
      </c>
      <c r="EK91" s="207">
        <f>IF(AO91=1,COUNTIF($AO$2:AO91,1),"")</f>
        <v>90</v>
      </c>
      <c r="EL91" s="207">
        <f>IF(AP91=1,COUNTIF($AP$2:AP91,1),"")</f>
        <v>90</v>
      </c>
      <c r="EM91" s="207">
        <f>IF(AQ91=1,COUNTIF($AQ$2:AQ91,1),"")</f>
        <v>90</v>
      </c>
      <c r="EN91" s="207">
        <f>IF(AR91=1,COUNTIF($AR$2:AR91,1),"")</f>
        <v>90</v>
      </c>
      <c r="EO91" s="207">
        <f>IF(AS91=1,COUNTIF($AS$2:AS91,1),"")</f>
        <v>90</v>
      </c>
      <c r="EP91" s="207">
        <f>IF(AT91=1,COUNTIF($AT$2:AT91,1),"")</f>
        <v>90</v>
      </c>
      <c r="EQ91" s="207">
        <f>IF(AU91=1,COUNTIF($AU$2:AU91,1),"")</f>
        <v>90</v>
      </c>
      <c r="ER91" s="207">
        <f>IF(AV91=1,COUNTIF($AV$2:AV91,1),"")</f>
        <v>90</v>
      </c>
      <c r="ES91" s="207">
        <f>IF(AW91=1,COUNTIF($AW$2:AW91,1),"")</f>
        <v>90</v>
      </c>
      <c r="ET91" s="207">
        <f>IF(AX91=1,COUNTIF($AX$2:AX91,1),"")</f>
        <v>90</v>
      </c>
      <c r="EU91" s="207">
        <f>IF(AY91=1,COUNTIF($AY$2:AY91,1),"")</f>
        <v>90</v>
      </c>
      <c r="EV91" s="207">
        <f>IF(AZ91=1,COUNTIF($AZ$2:AZ91,1),"")</f>
        <v>90</v>
      </c>
      <c r="EW91" s="207">
        <f>IF(BA91=1,COUNTIF($BA$2:BA91,1),"")</f>
        <v>90</v>
      </c>
      <c r="EX91" s="207">
        <f>IF(BB91=1,COUNTIF($BB$2:BB91,1),"")</f>
        <v>90</v>
      </c>
      <c r="EY91" s="207">
        <f>IF(BC91=1,COUNTIF($BC$2:BC91,1),"")</f>
        <v>90</v>
      </c>
      <c r="EZ91" s="207">
        <f>IF(BD91=1,COUNTIF($BD$2:BD91,1),"")</f>
        <v>90</v>
      </c>
      <c r="FA91" s="207">
        <f>IF(BE91=1,COUNTIF($BE$2:BE91,1),"")</f>
        <v>90</v>
      </c>
      <c r="FB91" s="207">
        <f>IF(BF91=1,COUNTIF($BF$2:BF91,1),"")</f>
        <v>90</v>
      </c>
      <c r="FC91" s="207">
        <f>IF(BG91=1,COUNTIF($BG$2:BG91,1),"")</f>
        <v>90</v>
      </c>
      <c r="FD91" s="207">
        <f>IF(BH91=1,COUNTIF($BH$2:BH91,1),"")</f>
        <v>90</v>
      </c>
      <c r="FE91" s="207">
        <f>IF(BI91=1,COUNTIF($BI$2:BI91,1),"")</f>
        <v>90</v>
      </c>
      <c r="FF91" s="207">
        <f>IF(BJ91=1,COUNTIF($BJ$2:BJ91,1),"")</f>
        <v>90</v>
      </c>
      <c r="FG91" s="207">
        <f>IF(BK91=1,COUNTIF($BK$2:BK91,1),"")</f>
        <v>90</v>
      </c>
      <c r="FH91" s="207">
        <f>IF(BL91=1,COUNTIF($BL$2:BL91,1),"")</f>
        <v>90</v>
      </c>
      <c r="FI91" s="207">
        <f>IF(BM91=1,COUNTIF($BM$2:BM91,1),"")</f>
        <v>90</v>
      </c>
      <c r="FJ91" s="207">
        <f>IF(BN91=1,COUNTIF($BN$2:BN91,1),"")</f>
        <v>90</v>
      </c>
      <c r="FK91" s="207">
        <f>IF(BO91=1,COUNTIF($BO$2:BO91,1),"")</f>
        <v>90</v>
      </c>
      <c r="FL91" s="207">
        <f>IF(BP91=1,COUNTIF($BP$2:BP91,1),"")</f>
        <v>90</v>
      </c>
      <c r="FM91" s="207">
        <f>IF(BQ91=1,COUNTIF($BQ$2:BQ91,1),"")</f>
        <v>90</v>
      </c>
      <c r="FN91" s="207">
        <f>IF(BR91=1,COUNTIF($BR$2:BR91,1),"")</f>
        <v>90</v>
      </c>
      <c r="FO91" s="207">
        <f>IF(BS91=1,COUNTIF($BS$2:BS91,1),"")</f>
        <v>90</v>
      </c>
      <c r="FP91" s="207">
        <f>IF(BT91=1,COUNTIF($BT$2:BT91,1),"")</f>
        <v>90</v>
      </c>
      <c r="FQ91" s="207">
        <f>IF(BU91=1,COUNTIF($BU$2:BU91,1),"")</f>
        <v>90</v>
      </c>
      <c r="FR91" s="207">
        <f>IF(BV91=1,COUNTIF($BV$2:BV91,1),"")</f>
        <v>90</v>
      </c>
      <c r="FS91" s="207">
        <f>IF(BW91=1,COUNTIF($BW$2:BW91,1),"")</f>
        <v>90</v>
      </c>
      <c r="FT91" s="207">
        <f>IF(BX91=1,COUNTIF($BX$2:BX91,1),"")</f>
        <v>90</v>
      </c>
      <c r="FU91" s="207">
        <f>IF(BY91=1,COUNTIF($BY$2:BY91,1),"")</f>
        <v>90</v>
      </c>
      <c r="FV91" s="207">
        <f>IF(BZ91=1,COUNTIF($BZ$2:BZ91,1),"")</f>
        <v>90</v>
      </c>
      <c r="FW91" s="207">
        <f>IF(CA91=1,COUNTIF($CA$2:CA91,1),"")</f>
        <v>90</v>
      </c>
      <c r="FX91" s="207">
        <f>IF(CB91=1,COUNTIF($CB$2:CB91,1),"")</f>
        <v>90</v>
      </c>
      <c r="FY91" s="207">
        <f>IF(CC91=1,COUNTIF($CC$2:CC91,1),"")</f>
        <v>90</v>
      </c>
      <c r="FZ91" s="207">
        <f>IF(CD91=1,COUNTIF($CD$2:CD91,1),"")</f>
        <v>90</v>
      </c>
      <c r="GA91" s="207">
        <f>IF(CE91=1,COUNTIF($CE$2:CE91,1),"")</f>
        <v>90</v>
      </c>
      <c r="GB91" s="207">
        <f>IF(CF91=1,COUNTIF($CF$2:CF91,1),"")</f>
        <v>90</v>
      </c>
      <c r="GC91" s="207">
        <f>IF(CG91=1,COUNTIF($CG$2:CG91,1),"")</f>
        <v>90</v>
      </c>
      <c r="GD91" s="207">
        <f>IF(CH91=1,COUNTIF($CH$2:CH91,1),"")</f>
        <v>90</v>
      </c>
      <c r="GE91" s="207">
        <f>IF(CI91=1,COUNTIF($CI$2:CI91,1),"")</f>
        <v>90</v>
      </c>
      <c r="GF91" s="207">
        <f>IF(CJ91=1,COUNTIF($CJ$2:CJ91,1),"")</f>
        <v>90</v>
      </c>
      <c r="GG91" s="207">
        <f>IF(CK91=1,COUNTIF($CK$2:CK91,1),"")</f>
        <v>90</v>
      </c>
      <c r="GH91" s="207">
        <f>IF(CL91=1,COUNTIF($CL$2:CL91,1),"")</f>
        <v>90</v>
      </c>
      <c r="GI91" s="207">
        <f>IF(CM91=1,COUNTIF($CM$2:CM91,1),"")</f>
        <v>90</v>
      </c>
      <c r="GJ91" s="207">
        <f>IF(CN91=1,COUNTIF($CN$2:CN91,1),"")</f>
        <v>90</v>
      </c>
      <c r="GK91" s="207">
        <f>IF(CO91=1,COUNTIF($CO$2:CO91,1),"")</f>
        <v>90</v>
      </c>
      <c r="GL91" s="207">
        <f>IF(CP91=1,COUNTIF($CP$2:CP91,1),"")</f>
        <v>90</v>
      </c>
      <c r="GM91" s="207">
        <f>IF(CQ91=1,COUNTIF($CQ$2:CQ91,1),"")</f>
        <v>90</v>
      </c>
      <c r="GN91" s="207">
        <f>IF(CR91=1,COUNTIF($CR$2:CR91,1),"")</f>
        <v>90</v>
      </c>
      <c r="GO91" s="207">
        <f>IF(CS91=1,COUNTIF($CS$2:CS91,1),"")</f>
        <v>90</v>
      </c>
      <c r="GP91" s="207">
        <f>IF(CT91=1,COUNTIF($CT$2:CT91,1),"")</f>
        <v>90</v>
      </c>
      <c r="GQ91" s="207">
        <f>IF(CU91=1,COUNTIF($CU$2:CU91,1),"")</f>
        <v>90</v>
      </c>
      <c r="GR91" s="207">
        <f>IF(CV91=1,COUNTIF($CV$2:CV91,1),"")</f>
        <v>90</v>
      </c>
      <c r="GS91" s="207">
        <f>IF(CW91=1,COUNTIF($CW$2:CW91,1),"")</f>
        <v>90</v>
      </c>
      <c r="GT91" s="207">
        <f>IF(CX91=1,COUNTIF($CX$2:CX91,1),"")</f>
        <v>90</v>
      </c>
      <c r="GU91" s="207">
        <f>IF(CY91=1,COUNTIF($CY$2:CY91,1),"")</f>
        <v>90</v>
      </c>
      <c r="GV91" s="207">
        <f>IF(CZ91=1,COUNTIF($CZ$2:CZ91,1),"")</f>
        <v>90</v>
      </c>
      <c r="GW91" s="207">
        <f>IF(DA91=1,COUNTIF($DA$2:DA91,1),"")</f>
        <v>90</v>
      </c>
      <c r="GX91" s="206" t="str">
        <f>IFERROR(INDEX($A$2:$A$113,MATCH(ROWS($DB$2:DB91),$DB$2:$DB$113,0)),"")</f>
        <v xml:space="preserve">PAGO CON CHEQUES SIN PROVISION DE FONDOS </v>
      </c>
      <c r="GY91" s="206" t="str">
        <f>IFERROR(INDEX($A$2:$A$113,MATCH(ROWS($DC$2:DC91),$DC$2:$DC$113,0)),"")</f>
        <v xml:space="preserve">PAGO CON CHEQUES SIN PROVISION DE FONDOS </v>
      </c>
      <c r="GZ91" s="206" t="str">
        <f>IFERROR(INDEX($A$2:$A$113,MATCH(ROWS($DD$2:DD91),$DD$2:$DD$113,0)),"")</f>
        <v xml:space="preserve">PAGO CON CHEQUES SIN PROVISION DE FONDOS </v>
      </c>
      <c r="HA91" s="206" t="str">
        <f>IFERROR(INDEX($A$2:$A$113,MATCH(ROWS($DE$2:DE91),$DE$2:$DE$113,0)),"")</f>
        <v xml:space="preserve">PAGO CON CHEQUES SIN PROVISION DE FONDOS </v>
      </c>
      <c r="HB91" s="206" t="str">
        <f>IFERROR(INDEX($A$2:$A$113,MATCH(ROWS($DF$2:DF91),$DF$2:$DF$113,0)),"")</f>
        <v xml:space="preserve">PAGO CON CHEQUES SIN PROVISION DE FONDOS </v>
      </c>
      <c r="HC91" s="206" t="str">
        <f>IFERROR(INDEX($A$2:$A$113,MATCH(ROWS($DG$2:DG91),$DG$2:$DG$113,0)),"")</f>
        <v xml:space="preserve">PAGO CON CHEQUES SIN PROVISION DE FONDOS </v>
      </c>
      <c r="HD91" s="206" t="str">
        <f>IFERROR(INDEX($A$2:$A$113,MATCH(ROWS($DH$2:DH91),$DH$2:$DH$113,0)),"")</f>
        <v xml:space="preserve">PAGO CON CHEQUES SIN PROVISION DE FONDOS </v>
      </c>
      <c r="HE91" s="206" t="str">
        <f>IFERROR(INDEX($A$2:$A$113,MATCH(ROWS($DI$2:DI91),$DI$2:$DI$113,0)),"")</f>
        <v xml:space="preserve">PAGO CON CHEQUES SIN PROVISION DE FONDOS </v>
      </c>
      <c r="HF91" s="206" t="str">
        <f>IFERROR(INDEX($A$2:$A$113,MATCH(ROWS($DJ$2:DJ91),$DJ$2:$DJ$113,0)),"")</f>
        <v xml:space="preserve">PAGO CON CHEQUES SIN PROVISION DE FONDOS </v>
      </c>
      <c r="HG91" s="206" t="str">
        <f>IFERROR(INDEX($A$2:$A$113,MATCH(ROWS($DK$2:DK91),$DK$2:$DK$113,0)),"")</f>
        <v xml:space="preserve">PAGO CON CHEQUES SIN PROVISION DE FONDOS </v>
      </c>
      <c r="HH91" s="206" t="str">
        <f>IFERROR(INDEX($A$2:$A$113,MATCH(ROWS($DL$2:DL91),$DL$2:$DL$113,0)),"")</f>
        <v xml:space="preserve">PAGO CON CHEQUES SIN PROVISION DE FONDOS </v>
      </c>
      <c r="HI91" s="206" t="str">
        <f>IFERROR(INDEX($A$2:$A$113,MATCH(ROWS($DM$2:DM91),$DM$2:$DM$113,0)),"")</f>
        <v xml:space="preserve">PAGO CON CHEQUES SIN PROVISION DE FONDOS </v>
      </c>
      <c r="HJ91" s="206" t="str">
        <f>IFERROR(INDEX($A$2:$A$113,MATCH(ROWS($DN$2:DN91),$DN$2:$DN$113,0)),"")</f>
        <v xml:space="preserve">PAGO CON CHEQUES SIN PROVISION DE FONDOS </v>
      </c>
      <c r="HK91" s="206" t="str">
        <f>IFERROR(INDEX($A$2:$A$113,MATCH(ROWS($DO$2:DO91),$DO$2:$DO$113,0)),"")</f>
        <v xml:space="preserve">PAGO CON CHEQUES SIN PROVISION DE FONDOS </v>
      </c>
      <c r="HL91" s="206" t="str">
        <f>IFERROR(INDEX($A$2:$A$113,MATCH(ROWS($DP$2:DP91),$DP$2:$DP$113,0)),"")</f>
        <v xml:space="preserve">PAGO CON CHEQUES SIN PROVISION DE FONDOS </v>
      </c>
      <c r="HM91" s="206" t="str">
        <f>IFERROR(INDEX($A$2:$A$113,MATCH(ROWS($DQ$2:DQ91),$DQ$2:$DQ$113,0)),"")</f>
        <v xml:space="preserve">PAGO CON CHEQUES SIN PROVISION DE FONDOS </v>
      </c>
      <c r="HN91" s="206" t="str">
        <f>IFERROR(INDEX($A$2:$A$113,MATCH(ROWS($DR$2:DR91),$DR$2:$DR$113,0)),"")</f>
        <v xml:space="preserve">PAGO CON CHEQUES SIN PROVISION DE FONDOS </v>
      </c>
      <c r="HO91" s="206" t="str">
        <f>IFERROR(INDEX($A$2:$A$113,MATCH(ROWS($DS$2:DS91),$DS$2:$DS$113,0)),"")</f>
        <v xml:space="preserve">PAGO CON CHEQUES SIN PROVISION DE FONDOS </v>
      </c>
      <c r="HP91" s="206" t="str">
        <f>IFERROR(INDEX($A$2:$A$113,MATCH(ROWS($DT$2:DT91),$DT$2:$DT$113,0)),"")</f>
        <v xml:space="preserve">PAGO CON CHEQUES SIN PROVISION DE FONDOS </v>
      </c>
      <c r="HQ91" s="206" t="str">
        <f>IFERROR(INDEX($A$2:$A$113,MATCH(ROWS($DU$2:DU91),$DU$2:$DU$113,0)),"")</f>
        <v xml:space="preserve">PAGO CON CHEQUES SIN PROVISION DE FONDOS </v>
      </c>
      <c r="HR91" s="206" t="str">
        <f>IFERROR(INDEX($A$2:$A$113,MATCH(ROWS($DV$2:DV91),$DV$2:$DV$113,0)),"")</f>
        <v xml:space="preserve">PAGO CON CHEQUES SIN PROVISION DE FONDOS </v>
      </c>
      <c r="HS91" s="206" t="str">
        <f>IFERROR(INDEX($A$2:$A$113,MATCH(ROWS($DW$2:DW91),$DW$2:$DW$113,0)),"")</f>
        <v xml:space="preserve">PAGO CON CHEQUES SIN PROVISION DE FONDOS </v>
      </c>
      <c r="HT91" s="206" t="str">
        <f>IFERROR(INDEX($A$2:$A$113,MATCH(ROWS($DX$2:DX91),$DX$2:$DX$113,0)),"")</f>
        <v xml:space="preserve">PAGO CON CHEQUES SIN PROVISION DE FONDOS </v>
      </c>
      <c r="HU91" s="206" t="str">
        <f>IFERROR(INDEX($A$2:$A$113,MATCH(ROWS($DY$2:DY91),$DY$2:$DY$113,0)),"")</f>
        <v xml:space="preserve">PAGO CON CHEQUES SIN PROVISION DE FONDOS </v>
      </c>
      <c r="HV91" s="206" t="str">
        <f>IFERROR(INDEX($A$2:$A$113,MATCH(ROWS($DZ$2:DZ91),$DZ$2:$DZ$113,0)),"")</f>
        <v xml:space="preserve">PAGO CON CHEQUES SIN PROVISION DE FONDOS </v>
      </c>
      <c r="HW91" s="206" t="str">
        <f>IFERROR(INDEX($A$2:$A$113,MATCH(ROWS($EA$2:EA91),$EA$2:$EA$113,0)),"")</f>
        <v xml:space="preserve">PAGO CON CHEQUES SIN PROVISION DE FONDOS </v>
      </c>
      <c r="HX91" s="206" t="str">
        <f>IFERROR(INDEX($A$2:$A$113,MATCH(ROWS($EB$2:EB91),$EB$2:$EB$113,0)),"")</f>
        <v xml:space="preserve">PAGO CON CHEQUES SIN PROVISION DE FONDOS </v>
      </c>
      <c r="HY91" s="206" t="str">
        <f>IFERROR(INDEX($A$2:$A$113,MATCH(ROWS($EC$2:EC91),$EC$2:$EC$113,0)),"")</f>
        <v xml:space="preserve">PAGO CON CHEQUES SIN PROVISION DE FONDOS </v>
      </c>
      <c r="HZ91" s="206" t="str">
        <f>IFERROR(INDEX($A$2:$A$113,MATCH(ROWS($ED$2:ED91),$ED$2:$ED$113,0)),"")</f>
        <v xml:space="preserve">PAGO CON CHEQUES SIN PROVISION DE FONDOS </v>
      </c>
      <c r="IA91" s="206" t="str">
        <f>IFERROR(INDEX($A$2:$A$113,MATCH(ROWS($EE$2:EE91),$EE$2:$EE$113,0)),"")</f>
        <v xml:space="preserve">PAGO CON CHEQUES SIN PROVISION DE FONDOS </v>
      </c>
      <c r="IB91" s="206" t="str">
        <f>IFERROR(INDEX($A$2:$A$113,MATCH(ROWS($EF$2:EF91),$EF$2:$EF$113,0)),"")</f>
        <v xml:space="preserve">PAGO CON CHEQUES SIN PROVISION DE FONDOS </v>
      </c>
      <c r="IC91" s="206" t="str">
        <f>IFERROR(INDEX($A$2:$A$113,MATCH(ROWS($EG$2:EG91),$EG$2:$EG$113,0)),"")</f>
        <v xml:space="preserve">PAGO CON CHEQUES SIN PROVISION DE FONDOS </v>
      </c>
      <c r="ID91" s="206" t="str">
        <f>IFERROR(INDEX($A$2:$A$113,MATCH(ROWS($EH$2:EH91),$EH$2:$EH$113,0)),"")</f>
        <v xml:space="preserve">PAGO CON CHEQUES SIN PROVISION DE FONDOS </v>
      </c>
      <c r="IE91" s="206" t="str">
        <f>IFERROR(INDEX($A$2:$A$113,MATCH(ROWS($EI$2:EI91),$EI$2:$EI$113,0)),"")</f>
        <v xml:space="preserve">PAGO CON CHEQUES SIN PROVISION DE FONDOS </v>
      </c>
      <c r="IF91" s="206" t="str">
        <f>IFERROR(INDEX($A$2:$A$113,MATCH(ROWS($EJ$2:EJ91),$EJ$2:$EJ$113,0)),"")</f>
        <v xml:space="preserve">PAGO CON CHEQUES SIN PROVISION DE FONDOS </v>
      </c>
      <c r="IG91" s="206" t="str">
        <f>IFERROR(INDEX($A$2:$A$113,MATCH(ROWS($EK$2:EK91),$EK$2:$EK$113,0)),"")</f>
        <v xml:space="preserve">PAGO CON CHEQUES SIN PROVISION DE FONDOS </v>
      </c>
      <c r="IH91" s="206" t="str">
        <f>IFERROR(INDEX($A$2:$A$113,MATCH(ROWS($EL$2:EL91),$EL$2:$EL$113,0)),"")</f>
        <v xml:space="preserve">PAGO CON CHEQUES SIN PROVISION DE FONDOS </v>
      </c>
      <c r="II91" s="206" t="str">
        <f>IFERROR(INDEX($A$2:$A$113,MATCH(ROWS($EM$2:EM91),$EM$2:$EM$113,0)),"")</f>
        <v xml:space="preserve">PAGO CON CHEQUES SIN PROVISION DE FONDOS </v>
      </c>
      <c r="IJ91" s="206" t="str">
        <f>IFERROR(INDEX($A$2:$A$113,MATCH(ROWS($EN$2:EN91),$EN$2:$EN$113,0)),"")</f>
        <v xml:space="preserve">PAGO CON CHEQUES SIN PROVISION DE FONDOS </v>
      </c>
      <c r="IK91" s="207" t="str">
        <f>IFERROR(INDEX($A$2:$A$113,MATCH(ROWS($EO$2:EO91),$EO$2:$EO$113,0)),"")</f>
        <v xml:space="preserve">PAGO CON CHEQUES SIN PROVISION DE FONDOS </v>
      </c>
      <c r="IL91" s="207" t="str">
        <f>IFERROR(INDEX($A$2:$A$113,MATCH(ROWS($EP$2:EP91),$EP$2:$EP$113,0)),"")</f>
        <v xml:space="preserve">PAGO CON CHEQUES SIN PROVISION DE FONDOS </v>
      </c>
      <c r="IM91" s="207" t="str">
        <f>IFERROR(INDEX($A$2:$A$113,MATCH(ROWS($EQ$2:EQ91),$EQ$2:$EQ$113,0)),"")</f>
        <v xml:space="preserve">PAGO CON CHEQUES SIN PROVISION DE FONDOS </v>
      </c>
      <c r="IN91" s="207" t="str">
        <f>IFERROR(INDEX($A$2:$A$113,MATCH(ROWS($ER$2:ER91),$ER$2:$ER$113,0)),"")</f>
        <v xml:space="preserve">PAGO CON CHEQUES SIN PROVISION DE FONDOS </v>
      </c>
      <c r="IO91" s="207" t="str">
        <f>IFERROR(INDEX($A$2:$A$113,MATCH(ROWS($ES$2:ES91),$ES$2:$ES$113,0)),"")</f>
        <v xml:space="preserve">PAGO CON CHEQUES SIN PROVISION DE FONDOS </v>
      </c>
      <c r="IP91" s="207" t="str">
        <f>IFERROR(INDEX($A$2:$A$113,MATCH(ROWS($ET$2:ET91),$ET$2:$ET$113,0)),"")</f>
        <v xml:space="preserve">PAGO CON CHEQUES SIN PROVISION DE FONDOS </v>
      </c>
      <c r="IQ91" s="207" t="str">
        <f>IFERROR(INDEX($A$2:$A$113,MATCH(ROWS($EU$2:EU91),$EU$2:$EU$113,0)),"")</f>
        <v xml:space="preserve">PAGO CON CHEQUES SIN PROVISION DE FONDOS </v>
      </c>
      <c r="IR91" s="207" t="str">
        <f>IFERROR(INDEX($A$2:$A$113,MATCH(ROWS($EV$2:EV91),$EV$2:$EV$113,0)),"")</f>
        <v xml:space="preserve">PAGO CON CHEQUES SIN PROVISION DE FONDOS </v>
      </c>
      <c r="IS91" s="207" t="str">
        <f>IFERROR(INDEX($A$2:$A$113,MATCH(ROWS($EW$2:EW91),$EW$2:$EW$113,0)),"")</f>
        <v xml:space="preserve">PAGO CON CHEQUES SIN PROVISION DE FONDOS </v>
      </c>
      <c r="IT91" s="207" t="str">
        <f>IFERROR(INDEX($A$2:$A$113,MATCH(ROWS($EX$2:EX91),$EX$2:$EX$113,0)),"")</f>
        <v xml:space="preserve">PAGO CON CHEQUES SIN PROVISION DE FONDOS </v>
      </c>
      <c r="IU91" s="207" t="str">
        <f>IFERROR(INDEX($A$2:$A$113,MATCH(ROWS($EY$2:EY91),$EY$2:$EY$113,0)),"")</f>
        <v xml:space="preserve">PAGO CON CHEQUES SIN PROVISION DE FONDOS </v>
      </c>
      <c r="IV91" s="207" t="str">
        <f>IFERROR(INDEX($A$2:$A$113,MATCH(ROWS($EZ$2:EZ91),$EZ$2:$EZ$113,0)),"")</f>
        <v xml:space="preserve">PAGO CON CHEQUES SIN PROVISION DE FONDOS </v>
      </c>
      <c r="IW91" s="207" t="str">
        <f>IFERROR(INDEX($A$2:$A$113,MATCH(ROWS($FA$2:FA91),$FA$2:$FA$113,0)),"")</f>
        <v xml:space="preserve">PAGO CON CHEQUES SIN PROVISION DE FONDOS </v>
      </c>
      <c r="IX91" s="207" t="str">
        <f>IFERROR(INDEX($A$2:$A$113,MATCH(ROWS($FB$2:FB91),$FB$2:$FB$113,0)),"")</f>
        <v xml:space="preserve">PAGO CON CHEQUES SIN PROVISION DE FONDOS </v>
      </c>
      <c r="IY91" s="207" t="str">
        <f>IFERROR(INDEX($A$2:$A$113,MATCH(ROWS($FC$2:FC91),$FC$2:$FC$113,0)),"")</f>
        <v xml:space="preserve">PAGO CON CHEQUES SIN PROVISION DE FONDOS </v>
      </c>
      <c r="IZ91" s="207" t="str">
        <f>IFERROR(INDEX($A$2:$A$113,MATCH(ROWS($FD$2:FD91),$FD$2:$FD$113,0)),"")</f>
        <v xml:space="preserve">PAGO CON CHEQUES SIN PROVISION DE FONDOS </v>
      </c>
      <c r="JA91" s="207" t="str">
        <f>IFERROR(INDEX($A$2:$A$113,MATCH(ROWS($FE$2:FE91),$FE$2:$FE$113,0)),"")</f>
        <v xml:space="preserve">PAGO CON CHEQUES SIN PROVISION DE FONDOS </v>
      </c>
      <c r="JB91" s="207" t="str">
        <f>IFERROR(INDEX($A$2:$A$113,MATCH(ROWS($FF$2:FF91),$FF$2:$FF$113,0)),"")</f>
        <v xml:space="preserve">PAGO CON CHEQUES SIN PROVISION DE FONDOS </v>
      </c>
      <c r="JC91" s="207" t="str">
        <f>IFERROR(INDEX($A$2:$A$113,MATCH(ROWS($FG$2:FG91),$FG$2:$FG$113,0)),"")</f>
        <v xml:space="preserve">PAGO CON CHEQUES SIN PROVISION DE FONDOS </v>
      </c>
      <c r="JD91" s="207" t="str">
        <f>IFERROR(INDEX($A$2:$A$113,MATCH(ROWS($FH$2:FH91),$FH$2:$FH$113,0)),"")</f>
        <v xml:space="preserve">PAGO CON CHEQUES SIN PROVISION DE FONDOS </v>
      </c>
      <c r="JE91" s="207" t="str">
        <f>IFERROR(INDEX($A$2:$A$113,MATCH(ROWS($FI$2:FI91),$FI$2:$FI$113,0)),"")</f>
        <v xml:space="preserve">PAGO CON CHEQUES SIN PROVISION DE FONDOS </v>
      </c>
      <c r="JF91" s="207" t="str">
        <f>IFERROR(INDEX($A$2:$A$113,MATCH(ROWS($FJ$2:FJ91),$FJ$2:$FJ$113,0)),"")</f>
        <v xml:space="preserve">PAGO CON CHEQUES SIN PROVISION DE FONDOS </v>
      </c>
      <c r="JG91" s="207" t="str">
        <f>IFERROR(INDEX($A$2:$A$113,MATCH(ROWS($FK$2:FK91),$FK$2:$FK$113,0)),"")</f>
        <v xml:space="preserve">PAGO CON CHEQUES SIN PROVISION DE FONDOS </v>
      </c>
      <c r="JH91" s="207" t="str">
        <f>IFERROR(INDEX($A$2:$A$113,MATCH(ROWS($FL$2:FL91),$FL$2:$FL$113,0)),"")</f>
        <v xml:space="preserve">PAGO CON CHEQUES SIN PROVISION DE FONDOS </v>
      </c>
      <c r="JI91" s="207" t="str">
        <f>IFERROR(INDEX($A$2:$A$113,MATCH(ROWS($FM$2:FM91),$FM$2:$FM$113,0)),"")</f>
        <v xml:space="preserve">PAGO CON CHEQUES SIN PROVISION DE FONDOS </v>
      </c>
      <c r="JJ91" s="207" t="str">
        <f>IFERROR(INDEX($A$2:$A$113,MATCH(ROWS($FN$2:FN91),$FN$2:$FN$113,0)),"")</f>
        <v xml:space="preserve">PAGO CON CHEQUES SIN PROVISION DE FONDOS </v>
      </c>
      <c r="JK91" s="207" t="str">
        <f>IFERROR(INDEX($A$2:$A$113,MATCH(ROWS($FO$2:FO91),$FO$2:$FO$113,0)),"")</f>
        <v xml:space="preserve">PAGO CON CHEQUES SIN PROVISION DE FONDOS </v>
      </c>
      <c r="JL91" s="207" t="str">
        <f>IFERROR(INDEX($A$2:$A$113,MATCH(ROWS($FP$2:FP91),$FP$2:$FP$113,0)),"")</f>
        <v xml:space="preserve">PAGO CON CHEQUES SIN PROVISION DE FONDOS </v>
      </c>
      <c r="JM91" s="207" t="str">
        <f>IFERROR(INDEX($A$2:$A$113,MATCH(ROWS($FQ$2:FQ91),$FQ$2:$FQ$113,0)),"")</f>
        <v xml:space="preserve">PAGO CON CHEQUES SIN PROVISION DE FONDOS </v>
      </c>
      <c r="JN91" s="207" t="str">
        <f>IFERROR(INDEX($A$2:$A$113,MATCH(ROWS($FR$2:FR91),$FR$2:$FR$113,0)),"")</f>
        <v xml:space="preserve">PAGO CON CHEQUES SIN PROVISION DE FONDOS </v>
      </c>
      <c r="JO91" s="207" t="str">
        <f>IFERROR(INDEX($A$2:$A$113,MATCH(ROWS($FS$2:FS91),$FS$2:$FS$113,0)),"")</f>
        <v xml:space="preserve">PAGO CON CHEQUES SIN PROVISION DE FONDOS </v>
      </c>
      <c r="JP91" s="207" t="str">
        <f>IFERROR(INDEX($A$2:$A$113,MATCH(ROWS($FT$2:FT91),$FT$2:$FT$113,0)),"")</f>
        <v xml:space="preserve">PAGO CON CHEQUES SIN PROVISION DE FONDOS </v>
      </c>
      <c r="JQ91" s="207" t="str">
        <f>IFERROR(INDEX($A$2:$A$113,MATCH(ROWS($FU$2:FU91),$FU$2:$FU$113,0)),"")</f>
        <v xml:space="preserve">PAGO CON CHEQUES SIN PROVISION DE FONDOS </v>
      </c>
      <c r="JR91" s="207" t="str">
        <f>IFERROR(INDEX($A$2:$A$113,MATCH(ROWS($FV$2:FV91),$FV$2:$FV$113,0)),"")</f>
        <v xml:space="preserve">PAGO CON CHEQUES SIN PROVISION DE FONDOS </v>
      </c>
      <c r="JS91" s="207" t="str">
        <f>IFERROR(INDEX($A$2:$A$113,MATCH(ROWS($FW$2:FW91),$FW$2:$FW$113,0)),"")</f>
        <v xml:space="preserve">PAGO CON CHEQUES SIN PROVISION DE FONDOS </v>
      </c>
      <c r="JT91" s="207" t="str">
        <f>IFERROR(INDEX($A$2:$A$113,MATCH(ROWS($FX$2:FX91),$FX$2:$FX$113,0)),"")</f>
        <v xml:space="preserve">PAGO CON CHEQUES SIN PROVISION DE FONDOS </v>
      </c>
      <c r="JU91" s="207" t="str">
        <f>IFERROR(INDEX($A$2:$A$113,MATCH(ROWS($FY$2:FY91),$FY$2:$FY$113,0)),"")</f>
        <v xml:space="preserve">PAGO CON CHEQUES SIN PROVISION DE FONDOS </v>
      </c>
      <c r="JV91" s="207" t="str">
        <f>IFERROR(INDEX($A$2:$A$113,MATCH(ROWS($FZ$2:FZ91),$FZ$2:$FZ$113,0)),"")</f>
        <v xml:space="preserve">PAGO CON CHEQUES SIN PROVISION DE FONDOS </v>
      </c>
      <c r="JW91" s="207" t="str">
        <f>IFERROR(INDEX($A$2:$A$113,MATCH(ROWS($GA$2:GA91),$GA$2:$GA$113,0)),"")</f>
        <v xml:space="preserve">PAGO CON CHEQUES SIN PROVISION DE FONDOS </v>
      </c>
      <c r="JX91" s="207" t="str">
        <f>IFERROR(INDEX($A$2:$A$113,MATCH(ROWS($GB$2:GB91),$GB$2:$GB$113,0)),"")</f>
        <v xml:space="preserve">PAGO CON CHEQUES SIN PROVISION DE FONDOS </v>
      </c>
      <c r="JY91" s="207" t="str">
        <f>IFERROR(INDEX($A$2:$A$113,MATCH(ROWS($GC$2:GC91),$GC$2:$GC$113,0)),"")</f>
        <v xml:space="preserve">PAGO CON CHEQUES SIN PROVISION DE FONDOS </v>
      </c>
      <c r="JZ91" s="207" t="str">
        <f>IFERROR(INDEX($A$2:$A$113,MATCH(ROWS($GD$2:GD91),$GD$2:$GD$113,0)),"")</f>
        <v xml:space="preserve">PAGO CON CHEQUES SIN PROVISION DE FONDOS </v>
      </c>
      <c r="KA91" s="207" t="str">
        <f>IFERROR(INDEX($A$2:$A$113,MATCH(ROWS($GE$2:GE91),$GE$2:$GE$113,0)),"")</f>
        <v xml:space="preserve">PAGO CON CHEQUES SIN PROVISION DE FONDOS </v>
      </c>
      <c r="KB91" s="207" t="str">
        <f>IFERROR(INDEX($A$2:$A$113,MATCH(ROWS($GF$2:GF91),$GF$2:$GF$113,0)),"")</f>
        <v xml:space="preserve">PAGO CON CHEQUES SIN PROVISION DE FONDOS </v>
      </c>
      <c r="KC91" s="207" t="str">
        <f>IFERROR(INDEX($A$2:$A$113,MATCH(ROWS($GG$2:GG91),$GG$2:$GG$113,0)),"")</f>
        <v xml:space="preserve">PAGO CON CHEQUES SIN PROVISION DE FONDOS </v>
      </c>
      <c r="KD91" s="207" t="str">
        <f>IFERROR(INDEX($A$2:$A$113,MATCH(ROWS($GH$2:GH91),$GH$2:$GH$113,0)),"")</f>
        <v xml:space="preserve">PAGO CON CHEQUES SIN PROVISION DE FONDOS </v>
      </c>
      <c r="KE91" s="207" t="str">
        <f>IFERROR(INDEX($A$2:$A$113,MATCH(ROWS($GI$2:GI91),$GI$2:$GI$113,0)),"")</f>
        <v xml:space="preserve">PAGO CON CHEQUES SIN PROVISION DE FONDOS </v>
      </c>
      <c r="KF91" s="207" t="str">
        <f>IFERROR(INDEX($A$2:$A$113,MATCH(ROWS($GJ$2:GJ91),$GJ$2:$GJ$113,0)),"")</f>
        <v xml:space="preserve">PAGO CON CHEQUES SIN PROVISION DE FONDOS </v>
      </c>
      <c r="KG91" s="207" t="str">
        <f>IFERROR(INDEX($A$2:$A$113,MATCH(ROWS($GK$2:GK91),$GK$2:$GK$113,0)),"")</f>
        <v xml:space="preserve">PAGO CON CHEQUES SIN PROVISION DE FONDOS </v>
      </c>
      <c r="KH91" s="207" t="str">
        <f>IFERROR(INDEX($A$2:$A$113,MATCH(ROWS($GL$2:GL91),$GL$2:$GL$113,0)),"")</f>
        <v xml:space="preserve">PAGO CON CHEQUES SIN PROVISION DE FONDOS </v>
      </c>
      <c r="KI91" s="207" t="str">
        <f>IFERROR(INDEX($A$2:$A$113,MATCH(ROWS($GM$2:GM91),$GM$2:$GM$113,0)),"")</f>
        <v xml:space="preserve">PAGO CON CHEQUES SIN PROVISION DE FONDOS </v>
      </c>
      <c r="KJ91" s="207" t="str">
        <f>IFERROR(INDEX($A$2:$A$113,MATCH(ROWS($GN$2:GN91),$GN$2:$GN$113,0)),"")</f>
        <v xml:space="preserve">PAGO CON CHEQUES SIN PROVISION DE FONDOS </v>
      </c>
      <c r="KK91" s="207" t="str">
        <f>IFERROR(INDEX($A$2:$A$113,MATCH(ROWS($GO$2:GO91),$GO$2:$GO$113,0)),"")</f>
        <v xml:space="preserve">PAGO CON CHEQUES SIN PROVISION DE FONDOS </v>
      </c>
      <c r="KL91" s="207" t="str">
        <f>IFERROR(INDEX($A$2:$A$113,MATCH(ROWS($GP$2:GP91),$GP$2:$GP$113,0)),"")</f>
        <v xml:space="preserve">PAGO CON CHEQUES SIN PROVISION DE FONDOS </v>
      </c>
      <c r="KM91" s="207" t="str">
        <f>IFERROR(INDEX($A$2:$A$113,MATCH(ROWS($GQ$2:GQ91),$GQ$2:$GQ$113,0)),"")</f>
        <v xml:space="preserve">PAGO CON CHEQUES SIN PROVISION DE FONDOS </v>
      </c>
      <c r="KN91" s="207" t="str">
        <f>IFERROR(INDEX($A$2:$A$113,MATCH(ROWS($GR$2:GR91),$GR$2:$GR$113,0)),"")</f>
        <v xml:space="preserve">PAGO CON CHEQUES SIN PROVISION DE FONDOS </v>
      </c>
      <c r="KO91" s="207" t="str">
        <f>IFERROR(INDEX($A$2:$A$113,MATCH(ROWS($GS$2:GS91),$GS$2:$GS$113,0)),"")</f>
        <v xml:space="preserve">PAGO CON CHEQUES SIN PROVISION DE FONDOS </v>
      </c>
      <c r="KP91" s="207" t="str">
        <f>IFERROR(INDEX($A$2:$A$113,MATCH(ROWS($GT$2:GT91),$GT$2:$GT$113,0)),"")</f>
        <v xml:space="preserve">PAGO CON CHEQUES SIN PROVISION DE FONDOS </v>
      </c>
      <c r="KQ91" s="207" t="str">
        <f>IFERROR(INDEX($A$2:$A$113,MATCH(ROWS($GU$2:GU91),$GU$2:$GU$113,0)),"")</f>
        <v xml:space="preserve">PAGO CON CHEQUES SIN PROVISION DE FONDOS </v>
      </c>
      <c r="KR91" s="207" t="str">
        <f>IFERROR(INDEX($A$2:$A$113,MATCH(ROWS($GV$2:GV91),$GV$2:$GV$113,0)),"")</f>
        <v xml:space="preserve">PAGO CON CHEQUES SIN PROVISION DE FONDOS </v>
      </c>
      <c r="KS91" s="207" t="str">
        <f>IFERROR(INDEX($A$2:$A$113,MATCH(ROWS($GW$2:GW91),$GW$2:$GW$113,0)),"")</f>
        <v xml:space="preserve">PAGO CON CHEQUES SIN PROVISION DE FONDOS </v>
      </c>
    </row>
    <row r="92" spans="1:305" x14ac:dyDescent="0.25">
      <c r="A92" s="206" t="s">
        <v>911</v>
      </c>
      <c r="B92" s="206" t="s">
        <v>115</v>
      </c>
      <c r="D92" s="206" t="s">
        <v>31</v>
      </c>
      <c r="E92" s="206" t="s">
        <v>116</v>
      </c>
      <c r="F92" s="207">
        <f>--ISNUMBER(IFERROR(SEARCH('PLANILLA DJ'!$X$3,$A92,1),""))</f>
        <v>1</v>
      </c>
      <c r="G92" s="207">
        <f>--ISNUMBER(IFERROR(SEARCH('PLANILLA DJ'!$X$4,$A92,1),""))</f>
        <v>1</v>
      </c>
      <c r="H92" s="207">
        <f>--ISNUMBER(IFERROR(SEARCH('PLANILLA DJ'!$X$5,$A92,1),""))</f>
        <v>1</v>
      </c>
      <c r="I92" s="207">
        <f>--ISNUMBER(IFERROR(SEARCH('PLANILLA DJ'!$X$6,$A92,1),""))</f>
        <v>1</v>
      </c>
      <c r="J92" s="207">
        <f>--ISNUMBER(IFERROR(SEARCH('PLANILLA DJ'!$X$7,$A92,1),""))</f>
        <v>1</v>
      </c>
      <c r="K92" s="207">
        <f>--ISNUMBER(IFERROR(SEARCH('PLANILLA DJ'!$X$8,$A92,1),""))</f>
        <v>1</v>
      </c>
      <c r="L92" s="207">
        <f>--ISNUMBER(IFERROR(SEARCH('PLANILLA DJ'!$X$9,$A92,1),""))</f>
        <v>1</v>
      </c>
      <c r="M92" s="207">
        <f>--ISNUMBER(IFERROR(SEARCH('PLANILLA DJ'!$X$10,$A92,1),""))</f>
        <v>1</v>
      </c>
      <c r="N92" s="207">
        <f>--ISNUMBER(IFERROR(SEARCH('PLANILLA DJ'!$X$11,$A92,1),""))</f>
        <v>1</v>
      </c>
      <c r="O92" s="207">
        <f>--ISNUMBER(IFERROR(SEARCH('PLANILLA DJ'!$X$12,$A92,1),""))</f>
        <v>1</v>
      </c>
      <c r="P92" s="207">
        <f>--ISNUMBER(IFERROR(SEARCH('PLANILLA DJ'!$X$13,$A92,1),""))</f>
        <v>1</v>
      </c>
      <c r="Q92" s="207">
        <f>--ISNUMBER(IFERROR(SEARCH('PLANILLA DJ'!$X$14,$A92,1),""))</f>
        <v>1</v>
      </c>
      <c r="R92" s="207">
        <f>--ISNUMBER(IFERROR(SEARCH('PLANILLA DJ'!$X$15,$A92,1),""))</f>
        <v>1</v>
      </c>
      <c r="S92" s="207">
        <f>--ISNUMBER(IFERROR(SEARCH('PLANILLA DJ'!$X$16,$A92,1),""))</f>
        <v>1</v>
      </c>
      <c r="T92" s="207">
        <f>--ISNUMBER(IFERROR(SEARCH('PLANILLA DJ'!$X$17,$A92,1),""))</f>
        <v>1</v>
      </c>
      <c r="U92" s="207">
        <f>--ISNUMBER(IFERROR(SEARCH('PLANILLA DJ'!$X$18,$A92,1),""))</f>
        <v>1</v>
      </c>
      <c r="V92" s="207">
        <f>--ISNUMBER(IFERROR(SEARCH('PLANILLA DJ'!$X$19,$A92,1),""))</f>
        <v>1</v>
      </c>
      <c r="W92" s="207">
        <f>--ISNUMBER(IFERROR(SEARCH('PLANILLA DJ'!$X$20,$A92,1),""))</f>
        <v>1</v>
      </c>
      <c r="X92" s="207">
        <f>--ISNUMBER(IFERROR(SEARCH('PLANILLA DJ'!$X$21,$A92,1),""))</f>
        <v>1</v>
      </c>
      <c r="Y92" s="207">
        <f>--ISNUMBER(IFERROR(SEARCH('PLANILLA DJ'!$X$22,$A92,1),""))</f>
        <v>1</v>
      </c>
      <c r="Z92" s="207">
        <f>--ISNUMBER(IFERROR(SEARCH('PLANILLA DJ'!$X$23,$A92,1),""))</f>
        <v>1</v>
      </c>
      <c r="AA92" s="207">
        <f>--ISNUMBER(IFERROR(SEARCH('PLANILLA DJ'!$X$24,$A92,1),""))</f>
        <v>1</v>
      </c>
      <c r="AB92" s="207">
        <f>--ISNUMBER(IFERROR(SEARCH('PLANILLA DJ'!$X$25,$A92,1),""))</f>
        <v>1</v>
      </c>
      <c r="AC92" s="207">
        <f>--ISNUMBER(IFERROR(SEARCH('PLANILLA DJ'!$X$26,$A92,1),""))</f>
        <v>1</v>
      </c>
      <c r="AD92" s="207">
        <f>--ISNUMBER(IFERROR(SEARCH('PLANILLA DJ'!$X$27,$A92,1),""))</f>
        <v>1</v>
      </c>
      <c r="AE92" s="207">
        <f>--ISNUMBER(IFERROR(SEARCH('PLANILLA DJ'!$X$28,$A92,1),""))</f>
        <v>1</v>
      </c>
      <c r="AF92" s="207">
        <f>--ISNUMBER(IFERROR(SEARCH('PLANILLA DJ'!$X$29,$A92,1),""))</f>
        <v>1</v>
      </c>
      <c r="AG92" s="207">
        <f>--ISNUMBER(IFERROR(SEARCH('PLANILLA DJ'!$X$30,$A92,1),""))</f>
        <v>1</v>
      </c>
      <c r="AH92" s="207">
        <f>--ISNUMBER(IFERROR(SEARCH('PLANILLA DJ'!$X$31,$A92,1),""))</f>
        <v>1</v>
      </c>
      <c r="AI92" s="207">
        <f>--ISNUMBER(IFERROR(SEARCH('PLANILLA DJ'!$X$32,$A92,1),""))</f>
        <v>1</v>
      </c>
      <c r="AJ92" s="207">
        <f>--ISNUMBER(IFERROR(SEARCH('PLANILLA DJ'!$X$33,$A92,1),""))</f>
        <v>1</v>
      </c>
      <c r="AK92" s="207">
        <f>--ISNUMBER(IFERROR(SEARCH('PLANILLA DJ'!$X$34,$A92,1),""))</f>
        <v>1</v>
      </c>
      <c r="AL92" s="207">
        <f>--ISNUMBER(IFERROR(SEARCH('PLANILLA DJ'!$X$35,$A92,1),""))</f>
        <v>1</v>
      </c>
      <c r="AM92" s="207">
        <f>--ISNUMBER(IFERROR(SEARCH('PLANILLA DJ'!$X$36,$A92,1),""))</f>
        <v>1</v>
      </c>
      <c r="AN92" s="207">
        <f>--ISNUMBER(IFERROR(SEARCH('PLANILLA DJ'!$X$37,$A92,1),""))</f>
        <v>1</v>
      </c>
      <c r="AO92" s="207">
        <f>--ISNUMBER(IFERROR(SEARCH('PLANILLA DJ'!$X$38,$A92,1),""))</f>
        <v>1</v>
      </c>
      <c r="AP92" s="207">
        <f>--ISNUMBER(IFERROR(SEARCH('PLANILLA DJ'!$X$39,$A92,1),""))</f>
        <v>1</v>
      </c>
      <c r="AQ92" s="207">
        <f>--ISNUMBER(IFERROR(SEARCH('PLANILLA DJ'!$X$40,$A92,1),""))</f>
        <v>1</v>
      </c>
      <c r="AR92" s="207">
        <f>--ISNUMBER(IFERROR(SEARCH('PLANILLA DJ'!$X$41,$A92,1),""))</f>
        <v>1</v>
      </c>
      <c r="AS92" s="207">
        <f>--ISNUMBER(IFERROR(SEARCH('PLANILLA DJ'!$X$42,$A92,1),""))</f>
        <v>1</v>
      </c>
      <c r="AT92" s="207">
        <f>--ISNUMBER(IFERROR(SEARCH('PLANILLA DJ'!$X$43,$A92,1),""))</f>
        <v>1</v>
      </c>
      <c r="AU92" s="207">
        <f>--ISNUMBER(IFERROR(SEARCH('PLANILLA DJ'!$X$44,$A92,1),""))</f>
        <v>1</v>
      </c>
      <c r="AV92" s="207">
        <f>--ISNUMBER(IFERROR(SEARCH('PLANILLA DJ'!$X$45,$A92,1),""))</f>
        <v>1</v>
      </c>
      <c r="AW92" s="207">
        <f>--ISNUMBER(IFERROR(SEARCH('PLANILLA DJ'!$X$46,$A92,1),""))</f>
        <v>1</v>
      </c>
      <c r="AX92" s="207">
        <f>--ISNUMBER(IFERROR(SEARCH('PLANILLA DJ'!$X$47,$A92,1),""))</f>
        <v>1</v>
      </c>
      <c r="AY92" s="207">
        <f>--ISNUMBER(IFERROR(SEARCH('PLANILLA DJ'!$X$48,$A92,1),""))</f>
        <v>1</v>
      </c>
      <c r="AZ92" s="207">
        <f>--ISNUMBER(IFERROR(SEARCH('PLANILLA DJ'!$X$49,$A92,1),""))</f>
        <v>1</v>
      </c>
      <c r="BA92" s="207">
        <f>--ISNUMBER(IFERROR(SEARCH('PLANILLA DJ'!$X$50,$A92,1),""))</f>
        <v>1</v>
      </c>
      <c r="BB92" s="207">
        <f>--ISNUMBER(IFERROR(SEARCH('PLANILLA DJ'!$X$51,$A92,1),""))</f>
        <v>1</v>
      </c>
      <c r="BC92" s="207">
        <f>--ISNUMBER(IFERROR(SEARCH('PLANILLA DJ'!$X$52,$A92,1),""))</f>
        <v>1</v>
      </c>
      <c r="BD92" s="207">
        <f>--ISNUMBER(IFERROR(SEARCH('PLANILLA DJ'!$X$53,$A92,1),""))</f>
        <v>1</v>
      </c>
      <c r="BE92" s="207">
        <f>--ISNUMBER(IFERROR(SEARCH('PLANILLA DJ'!$X$54,$A92,1),""))</f>
        <v>1</v>
      </c>
      <c r="BF92" s="207">
        <f>--ISNUMBER(IFERROR(SEARCH('PLANILLA DJ'!$X$55,$A92,1),""))</f>
        <v>1</v>
      </c>
      <c r="BG92" s="207">
        <f>--ISNUMBER(IFERROR(SEARCH('PLANILLA DJ'!$X$56,$A92,1),""))</f>
        <v>1</v>
      </c>
      <c r="BH92" s="207">
        <f>--ISNUMBER(IFERROR(SEARCH('PLANILLA DJ'!$X$57,$A92,1),""))</f>
        <v>1</v>
      </c>
      <c r="BI92" s="207">
        <f>--ISNUMBER(IFERROR(SEARCH('PLANILLA DJ'!$X$58,$A92,1),""))</f>
        <v>1</v>
      </c>
      <c r="BJ92" s="207">
        <f>--ISNUMBER(IFERROR(SEARCH('PLANILLA DJ'!$X$59,$A92,1),""))</f>
        <v>1</v>
      </c>
      <c r="BK92" s="207">
        <f>--ISNUMBER(IFERROR(SEARCH('PLANILLA DJ'!$X$60,$A92,1),""))</f>
        <v>1</v>
      </c>
      <c r="BL92" s="207">
        <f>--ISNUMBER(IFERROR(SEARCH('PLANILLA DJ'!$X$61,$A92,1),""))</f>
        <v>1</v>
      </c>
      <c r="BM92" s="207">
        <f>--ISNUMBER(IFERROR(SEARCH('PLANILLA DJ'!$X$62,$A92,1),""))</f>
        <v>1</v>
      </c>
      <c r="BN92" s="207">
        <f>--ISNUMBER(IFERROR(SEARCH('PLANILLA DJ'!$X$63,$A92,1),""))</f>
        <v>1</v>
      </c>
      <c r="BO92" s="207">
        <f>--ISNUMBER(IFERROR(SEARCH('PLANILLA DJ'!$X$64,$A92,1),""))</f>
        <v>1</v>
      </c>
      <c r="BP92" s="207">
        <f>--ISNUMBER(IFERROR(SEARCH('PLANILLA DJ'!$X$65,$A92,1),""))</f>
        <v>1</v>
      </c>
      <c r="BQ92" s="207">
        <f>--ISNUMBER(IFERROR(SEARCH('PLANILLA DJ'!$X$66,$A92,1),""))</f>
        <v>1</v>
      </c>
      <c r="BR92" s="207">
        <f>--ISNUMBER(IFERROR(SEARCH('PLANILLA DJ'!$X$67,$A92,1),""))</f>
        <v>1</v>
      </c>
      <c r="BS92" s="207">
        <f>--ISNUMBER(IFERROR(SEARCH('PLANILLA DJ'!$X$68,$A92,1),""))</f>
        <v>1</v>
      </c>
      <c r="BT92" s="207">
        <f>--ISNUMBER(IFERROR(SEARCH('PLANILLA DJ'!$X$69,$A92,1),""))</f>
        <v>1</v>
      </c>
      <c r="BU92" s="207">
        <f>--ISNUMBER(IFERROR(SEARCH('PLANILLA DJ'!$X$70,$A92,1),""))</f>
        <v>1</v>
      </c>
      <c r="BV92" s="207">
        <f>--ISNUMBER(IFERROR(SEARCH('PLANILLA DJ'!$X$71,$A92,1),""))</f>
        <v>1</v>
      </c>
      <c r="BW92" s="207">
        <f>--ISNUMBER(IFERROR(SEARCH('PLANILLA DJ'!$X$72,$A92,1),""))</f>
        <v>1</v>
      </c>
      <c r="BX92" s="207">
        <f>--ISNUMBER(IFERROR(SEARCH('PLANILLA DJ'!$X$73,$A92,1),""))</f>
        <v>1</v>
      </c>
      <c r="BY92" s="207">
        <f>--ISNUMBER(IFERROR(SEARCH('PLANILLA DJ'!$X$74,$A92,1),""))</f>
        <v>1</v>
      </c>
      <c r="BZ92" s="207">
        <f>--ISNUMBER(IFERROR(SEARCH('PLANILLA DJ'!$X$75,$A92,1),""))</f>
        <v>1</v>
      </c>
      <c r="CA92" s="207">
        <f>--ISNUMBER(IFERROR(SEARCH('PLANILLA DJ'!$X$76,$A92,1),""))</f>
        <v>1</v>
      </c>
      <c r="CB92" s="207">
        <f>--ISNUMBER(IFERROR(SEARCH('PLANILLA DJ'!$X$77,$A92,1),""))</f>
        <v>1</v>
      </c>
      <c r="CC92" s="207">
        <f>--ISNUMBER(IFERROR(SEARCH('PLANILLA DJ'!$X$78,$A92,1),""))</f>
        <v>1</v>
      </c>
      <c r="CD92" s="207">
        <f>--ISNUMBER(IFERROR(SEARCH('PLANILLA DJ'!$X$79,$A92,1),""))</f>
        <v>1</v>
      </c>
      <c r="CE92" s="207">
        <f>--ISNUMBER(IFERROR(SEARCH('PLANILLA DJ'!$X$80,$A92,1),""))</f>
        <v>1</v>
      </c>
      <c r="CF92" s="207">
        <f>--ISNUMBER(IFERROR(SEARCH('PLANILLA DJ'!$X$81,$A92,1),""))</f>
        <v>1</v>
      </c>
      <c r="CG92" s="207">
        <f>--ISNUMBER(IFERROR(SEARCH('PLANILLA DJ'!$X$82,$A92,1),""))</f>
        <v>1</v>
      </c>
      <c r="CH92" s="207">
        <f>--ISNUMBER(IFERROR(SEARCH('PLANILLA DJ'!$X$83,$A92,1),""))</f>
        <v>1</v>
      </c>
      <c r="CI92" s="207">
        <f>--ISNUMBER(IFERROR(SEARCH('PLANILLA DJ'!$X$84,$A92,1),""))</f>
        <v>1</v>
      </c>
      <c r="CJ92" s="207">
        <f>--ISNUMBER(IFERROR(SEARCH('PLANILLA DJ'!$X$85,$A92,1),""))</f>
        <v>1</v>
      </c>
      <c r="CK92" s="207">
        <f>--ISNUMBER(IFERROR(SEARCH('PLANILLA DJ'!$X$86,$A92,1),""))</f>
        <v>1</v>
      </c>
      <c r="CL92" s="207">
        <f>--ISNUMBER(IFERROR(SEARCH('PLANILLA DJ'!$X$87,$A92,1),""))</f>
        <v>1</v>
      </c>
      <c r="CM92" s="207">
        <f>--ISNUMBER(IFERROR(SEARCH('PLANILLA DJ'!$X$88,$A92,1),""))</f>
        <v>1</v>
      </c>
      <c r="CN92" s="207">
        <f>--ISNUMBER(IFERROR(SEARCH('PLANILLA DJ'!$X$89,$A92,1),""))</f>
        <v>1</v>
      </c>
      <c r="CO92" s="207">
        <f>--ISNUMBER(IFERROR(SEARCH('PLANILLA DJ'!$X$90,$A92,1),""))</f>
        <v>1</v>
      </c>
      <c r="CP92" s="207">
        <f>--ISNUMBER(IFERROR(SEARCH('PLANILLA DJ'!$X$91,$A92,1),""))</f>
        <v>1</v>
      </c>
      <c r="CQ92" s="207">
        <f>--ISNUMBER(IFERROR(SEARCH('PLANILLA DJ'!$X$92,$A92,1),""))</f>
        <v>1</v>
      </c>
      <c r="CR92" s="207">
        <f>--ISNUMBER(IFERROR(SEARCH('PLANILLA DJ'!$X$93,$A92,1),""))</f>
        <v>1</v>
      </c>
      <c r="CS92" s="207">
        <f>--ISNUMBER(IFERROR(SEARCH('PLANILLA DJ'!$X$94,$A92,1),""))</f>
        <v>1</v>
      </c>
      <c r="CT92" s="207">
        <f>--ISNUMBER(IFERROR(SEARCH('PLANILLA DJ'!$X$95,$A92,1),""))</f>
        <v>1</v>
      </c>
      <c r="CU92" s="207">
        <f>--ISNUMBER(IFERROR(SEARCH('PLANILLA DJ'!$X$96,$A92,1),""))</f>
        <v>1</v>
      </c>
      <c r="CV92" s="207">
        <f>--ISNUMBER(IFERROR(SEARCH('PLANILLA DJ'!$X$97,$A92,1),""))</f>
        <v>1</v>
      </c>
      <c r="CW92" s="207">
        <f>--ISNUMBER(IFERROR(SEARCH('PLANILLA DJ'!$X$98,$A92,1),""))</f>
        <v>1</v>
      </c>
      <c r="CX92" s="207">
        <f>--ISNUMBER(IFERROR(SEARCH('PLANILLA DJ'!$X$99,$A92,1),""))</f>
        <v>1</v>
      </c>
      <c r="CY92" s="207">
        <f>--ISNUMBER(IFERROR(SEARCH('PLANILLA DJ'!$X$100,$A92,1),""))</f>
        <v>1</v>
      </c>
      <c r="CZ92" s="207">
        <f>--ISNUMBER(IFERROR(SEARCH('PLANILLA DJ'!$X$101,$A92,1),""))</f>
        <v>1</v>
      </c>
      <c r="DA92" s="207">
        <f>--ISNUMBER(IFERROR(SEARCH('PLANILLA DJ'!$X$102,$A92,1),""))</f>
        <v>1</v>
      </c>
      <c r="DB92" s="206">
        <f>IF(F92=1,COUNTIF($F$2:F92,1),"")</f>
        <v>91</v>
      </c>
      <c r="DC92" s="206">
        <f>IF(G92=1,COUNTIF($G$2:G92,1),"")</f>
        <v>91</v>
      </c>
      <c r="DD92" s="206">
        <f>IF(H92=1,COUNTIF($H$2:H92,1),"")</f>
        <v>91</v>
      </c>
      <c r="DE92" s="206">
        <f>IF(I92=1,COUNTIF($I$2:I92,1),"")</f>
        <v>91</v>
      </c>
      <c r="DF92" s="206">
        <f>IF(J92=1,COUNTIF($J$2:J92,1),"")</f>
        <v>91</v>
      </c>
      <c r="DG92" s="206">
        <f>IF(K92=1,COUNTIF($K$2:K92,1),"")</f>
        <v>91</v>
      </c>
      <c r="DH92" s="206">
        <f>IF(L92=1,COUNTIF($L$2:L92,1),"")</f>
        <v>91</v>
      </c>
      <c r="DI92" s="206">
        <f>IF(M92=1,COUNTIF($M$2:M92,1),"")</f>
        <v>91</v>
      </c>
      <c r="DJ92" s="206">
        <f>IF(N92=1,COUNTIF($N$2:N92,1),"")</f>
        <v>91</v>
      </c>
      <c r="DK92" s="206">
        <f>IF(O92=1,COUNTIF($O$2:O92,1),"")</f>
        <v>91</v>
      </c>
      <c r="DL92" s="206">
        <f>IF(P92=1,COUNTIF($P$2:P92,1),"")</f>
        <v>91</v>
      </c>
      <c r="DM92" s="206">
        <f>IF(Q92=1,COUNTIF($Q$2:Q92,1),"")</f>
        <v>91</v>
      </c>
      <c r="DN92" s="207">
        <f>IF(R92=1,COUNTIF($R$2:R92,1),"")</f>
        <v>91</v>
      </c>
      <c r="DO92" s="207">
        <f>IF(S92=1,COUNTIF($S$2:S92,1),"")</f>
        <v>91</v>
      </c>
      <c r="DP92" s="207">
        <f>IF(T92=1,COUNTIF($T$2:T92,1),"")</f>
        <v>91</v>
      </c>
      <c r="DQ92" s="207">
        <f>IF(U92=1,COUNTIF($U$2:U92,1),"")</f>
        <v>91</v>
      </c>
      <c r="DR92" s="207">
        <f>IF(V92=1,COUNTIF($V$2:V92,1),"")</f>
        <v>91</v>
      </c>
      <c r="DS92" s="207">
        <f>IF(W92=1,COUNTIF($W$2:W92,1),"")</f>
        <v>91</v>
      </c>
      <c r="DT92" s="207">
        <f>IF(X92=1,COUNTIF($X$2:X92,1),"")</f>
        <v>91</v>
      </c>
      <c r="DU92" s="207">
        <f>IF(Y92=1,COUNTIF($Y$2:Y92,1),"")</f>
        <v>91</v>
      </c>
      <c r="DV92" s="207">
        <f>IF(Z92=1,COUNTIF(Z$2:Z92,1),"")</f>
        <v>91</v>
      </c>
      <c r="DW92" s="207">
        <f>IF(AA92=1,COUNTIF($AA$2:AA92,1),"")</f>
        <v>91</v>
      </c>
      <c r="DX92" s="207">
        <f>IF(AB92=1,COUNTIF($AB$2:AB92,1),"")</f>
        <v>91</v>
      </c>
      <c r="DY92" s="207">
        <f>IF(AC92=1,COUNTIF($AC$2:AC92,1),"")</f>
        <v>91</v>
      </c>
      <c r="DZ92" s="207">
        <f>IF(AD92=1,COUNTIF($AD$2:AD92,1),"")</f>
        <v>91</v>
      </c>
      <c r="EA92" s="207">
        <f>IF(AE92=1,COUNTIF($AE$2:AE92,1),"")</f>
        <v>91</v>
      </c>
      <c r="EB92" s="207">
        <f>IF(AF92=1,COUNTIF($AF$2:AF92,1),"")</f>
        <v>91</v>
      </c>
      <c r="EC92" s="207">
        <f>IF(AG92=1,COUNTIF($AG$2:AG92,1),"")</f>
        <v>91</v>
      </c>
      <c r="ED92" s="207">
        <f>IF(AH92=1,COUNTIF($AH$2:AH92,1),"")</f>
        <v>91</v>
      </c>
      <c r="EE92" s="207">
        <f>IF(AI92=1,COUNTIF($AI$2:AI92,1),"")</f>
        <v>91</v>
      </c>
      <c r="EF92" s="207">
        <f>IF(AJ92=1,COUNTIF($AJ$2:AJ92,1),"")</f>
        <v>91</v>
      </c>
      <c r="EG92" s="207">
        <f>IF(AK92=1,COUNTIF($AK$2:AK92,1),"")</f>
        <v>91</v>
      </c>
      <c r="EH92" s="207">
        <f>IF(AL92=1,COUNTIF($AL$2:AL92,1),"")</f>
        <v>91</v>
      </c>
      <c r="EI92" s="207">
        <f>IF(AM92=1,COUNTIF($AM$2:AM92,1),"")</f>
        <v>91</v>
      </c>
      <c r="EJ92" s="207">
        <f>IF(AN92=1,COUNTIF($AN$2:AN92,1),"")</f>
        <v>91</v>
      </c>
      <c r="EK92" s="207">
        <f>IF(AO92=1,COUNTIF($AO$2:AO92,1),"")</f>
        <v>91</v>
      </c>
      <c r="EL92" s="207">
        <f>IF(AP92=1,COUNTIF($AP$2:AP92,1),"")</f>
        <v>91</v>
      </c>
      <c r="EM92" s="207">
        <f>IF(AQ92=1,COUNTIF($AQ$2:AQ92,1),"")</f>
        <v>91</v>
      </c>
      <c r="EN92" s="207">
        <f>IF(AR92=1,COUNTIF($AR$2:AR92,1),"")</f>
        <v>91</v>
      </c>
      <c r="EO92" s="207">
        <f>IF(AS92=1,COUNTIF($AS$2:AS92,1),"")</f>
        <v>91</v>
      </c>
      <c r="EP92" s="207">
        <f>IF(AT92=1,COUNTIF($AT$2:AT92,1),"")</f>
        <v>91</v>
      </c>
      <c r="EQ92" s="207">
        <f>IF(AU92=1,COUNTIF($AU$2:AU92,1),"")</f>
        <v>91</v>
      </c>
      <c r="ER92" s="207">
        <f>IF(AV92=1,COUNTIF($AV$2:AV92,1),"")</f>
        <v>91</v>
      </c>
      <c r="ES92" s="207">
        <f>IF(AW92=1,COUNTIF($AW$2:AW92,1),"")</f>
        <v>91</v>
      </c>
      <c r="ET92" s="207">
        <f>IF(AX92=1,COUNTIF($AX$2:AX92,1),"")</f>
        <v>91</v>
      </c>
      <c r="EU92" s="207">
        <f>IF(AY92=1,COUNTIF($AY$2:AY92,1),"")</f>
        <v>91</v>
      </c>
      <c r="EV92" s="207">
        <f>IF(AZ92=1,COUNTIF($AZ$2:AZ92,1),"")</f>
        <v>91</v>
      </c>
      <c r="EW92" s="207">
        <f>IF(BA92=1,COUNTIF($BA$2:BA92,1),"")</f>
        <v>91</v>
      </c>
      <c r="EX92" s="207">
        <f>IF(BB92=1,COUNTIF($BB$2:BB92,1),"")</f>
        <v>91</v>
      </c>
      <c r="EY92" s="207">
        <f>IF(BC92=1,COUNTIF($BC$2:BC92,1),"")</f>
        <v>91</v>
      </c>
      <c r="EZ92" s="207">
        <f>IF(BD92=1,COUNTIF($BD$2:BD92,1),"")</f>
        <v>91</v>
      </c>
      <c r="FA92" s="207">
        <f>IF(BE92=1,COUNTIF($BE$2:BE92,1),"")</f>
        <v>91</v>
      </c>
      <c r="FB92" s="207">
        <f>IF(BF92=1,COUNTIF($BF$2:BF92,1),"")</f>
        <v>91</v>
      </c>
      <c r="FC92" s="207">
        <f>IF(BG92=1,COUNTIF($BG$2:BG92,1),"")</f>
        <v>91</v>
      </c>
      <c r="FD92" s="207">
        <f>IF(BH92=1,COUNTIF($BH$2:BH92,1),"")</f>
        <v>91</v>
      </c>
      <c r="FE92" s="207">
        <f>IF(BI92=1,COUNTIF($BI$2:BI92,1),"")</f>
        <v>91</v>
      </c>
      <c r="FF92" s="207">
        <f>IF(BJ92=1,COUNTIF($BJ$2:BJ92,1),"")</f>
        <v>91</v>
      </c>
      <c r="FG92" s="207">
        <f>IF(BK92=1,COUNTIF($BK$2:BK92,1),"")</f>
        <v>91</v>
      </c>
      <c r="FH92" s="207">
        <f>IF(BL92=1,COUNTIF($BL$2:BL92,1),"")</f>
        <v>91</v>
      </c>
      <c r="FI92" s="207">
        <f>IF(BM92=1,COUNTIF($BM$2:BM92,1),"")</f>
        <v>91</v>
      </c>
      <c r="FJ92" s="207">
        <f>IF(BN92=1,COUNTIF($BN$2:BN92,1),"")</f>
        <v>91</v>
      </c>
      <c r="FK92" s="207">
        <f>IF(BO92=1,COUNTIF($BO$2:BO92,1),"")</f>
        <v>91</v>
      </c>
      <c r="FL92" s="207">
        <f>IF(BP92=1,COUNTIF($BP$2:BP92,1),"")</f>
        <v>91</v>
      </c>
      <c r="FM92" s="207">
        <f>IF(BQ92=1,COUNTIF($BQ$2:BQ92,1),"")</f>
        <v>91</v>
      </c>
      <c r="FN92" s="207">
        <f>IF(BR92=1,COUNTIF($BR$2:BR92,1),"")</f>
        <v>91</v>
      </c>
      <c r="FO92" s="207">
        <f>IF(BS92=1,COUNTIF($BS$2:BS92,1),"")</f>
        <v>91</v>
      </c>
      <c r="FP92" s="207">
        <f>IF(BT92=1,COUNTIF($BT$2:BT92,1),"")</f>
        <v>91</v>
      </c>
      <c r="FQ92" s="207">
        <f>IF(BU92=1,COUNTIF($BU$2:BU92,1),"")</f>
        <v>91</v>
      </c>
      <c r="FR92" s="207">
        <f>IF(BV92=1,COUNTIF($BV$2:BV92,1),"")</f>
        <v>91</v>
      </c>
      <c r="FS92" s="207">
        <f>IF(BW92=1,COUNTIF($BW$2:BW92,1),"")</f>
        <v>91</v>
      </c>
      <c r="FT92" s="207">
        <f>IF(BX92=1,COUNTIF($BX$2:BX92,1),"")</f>
        <v>91</v>
      </c>
      <c r="FU92" s="207">
        <f>IF(BY92=1,COUNTIF($BY$2:BY92,1),"")</f>
        <v>91</v>
      </c>
      <c r="FV92" s="207">
        <f>IF(BZ92=1,COUNTIF($BZ$2:BZ92,1),"")</f>
        <v>91</v>
      </c>
      <c r="FW92" s="207">
        <f>IF(CA92=1,COUNTIF($CA$2:CA92,1),"")</f>
        <v>91</v>
      </c>
      <c r="FX92" s="207">
        <f>IF(CB92=1,COUNTIF($CB$2:CB92,1),"")</f>
        <v>91</v>
      </c>
      <c r="FY92" s="207">
        <f>IF(CC92=1,COUNTIF($CC$2:CC92,1),"")</f>
        <v>91</v>
      </c>
      <c r="FZ92" s="207">
        <f>IF(CD92=1,COUNTIF($CD$2:CD92,1),"")</f>
        <v>91</v>
      </c>
      <c r="GA92" s="207">
        <f>IF(CE92=1,COUNTIF($CE$2:CE92,1),"")</f>
        <v>91</v>
      </c>
      <c r="GB92" s="207">
        <f>IF(CF92=1,COUNTIF($CF$2:CF92,1),"")</f>
        <v>91</v>
      </c>
      <c r="GC92" s="207">
        <f>IF(CG92=1,COUNTIF($CG$2:CG92,1),"")</f>
        <v>91</v>
      </c>
      <c r="GD92" s="207">
        <f>IF(CH92=1,COUNTIF($CH$2:CH92,1),"")</f>
        <v>91</v>
      </c>
      <c r="GE92" s="207">
        <f>IF(CI92=1,COUNTIF($CI$2:CI92,1),"")</f>
        <v>91</v>
      </c>
      <c r="GF92" s="207">
        <f>IF(CJ92=1,COUNTIF($CJ$2:CJ92,1),"")</f>
        <v>91</v>
      </c>
      <c r="GG92" s="207">
        <f>IF(CK92=1,COUNTIF($CK$2:CK92,1),"")</f>
        <v>91</v>
      </c>
      <c r="GH92" s="207">
        <f>IF(CL92=1,COUNTIF($CL$2:CL92,1),"")</f>
        <v>91</v>
      </c>
      <c r="GI92" s="207">
        <f>IF(CM92=1,COUNTIF($CM$2:CM92,1),"")</f>
        <v>91</v>
      </c>
      <c r="GJ92" s="207">
        <f>IF(CN92=1,COUNTIF($CN$2:CN92,1),"")</f>
        <v>91</v>
      </c>
      <c r="GK92" s="207">
        <f>IF(CO92=1,COUNTIF($CO$2:CO92,1),"")</f>
        <v>91</v>
      </c>
      <c r="GL92" s="207">
        <f>IF(CP92=1,COUNTIF($CP$2:CP92,1),"")</f>
        <v>91</v>
      </c>
      <c r="GM92" s="207">
        <f>IF(CQ92=1,COUNTIF($CQ$2:CQ92,1),"")</f>
        <v>91</v>
      </c>
      <c r="GN92" s="207">
        <f>IF(CR92=1,COUNTIF($CR$2:CR92,1),"")</f>
        <v>91</v>
      </c>
      <c r="GO92" s="207">
        <f>IF(CS92=1,COUNTIF($CS$2:CS92,1),"")</f>
        <v>91</v>
      </c>
      <c r="GP92" s="207">
        <f>IF(CT92=1,COUNTIF($CT$2:CT92,1),"")</f>
        <v>91</v>
      </c>
      <c r="GQ92" s="207">
        <f>IF(CU92=1,COUNTIF($CU$2:CU92,1),"")</f>
        <v>91</v>
      </c>
      <c r="GR92" s="207">
        <f>IF(CV92=1,COUNTIF($CV$2:CV92,1),"")</f>
        <v>91</v>
      </c>
      <c r="GS92" s="207">
        <f>IF(CW92=1,COUNTIF($CW$2:CW92,1),"")</f>
        <v>91</v>
      </c>
      <c r="GT92" s="207">
        <f>IF(CX92=1,COUNTIF($CX$2:CX92,1),"")</f>
        <v>91</v>
      </c>
      <c r="GU92" s="207">
        <f>IF(CY92=1,COUNTIF($CY$2:CY92,1),"")</f>
        <v>91</v>
      </c>
      <c r="GV92" s="207">
        <f>IF(CZ92=1,COUNTIF($CZ$2:CZ92,1),"")</f>
        <v>91</v>
      </c>
      <c r="GW92" s="207">
        <f>IF(DA92=1,COUNTIF($DA$2:DA92,1),"")</f>
        <v>91</v>
      </c>
      <c r="GX92" s="206" t="str">
        <f>IFERROR(INDEX($A$2:$A$113,MATCH(ROWS($DB$2:DB92),$DB$2:$DB$113,0)),"")</f>
        <v>SIEMBRA Y PRODUCCION DE ESTUPEFACIENTES</v>
      </c>
      <c r="GY92" s="206" t="str">
        <f>IFERROR(INDEX($A$2:$A$113,MATCH(ROWS($DC$2:DC92),$DC$2:$DC$113,0)),"")</f>
        <v>SIEMBRA Y PRODUCCION DE ESTUPEFACIENTES</v>
      </c>
      <c r="GZ92" s="206" t="str">
        <f>IFERROR(INDEX($A$2:$A$113,MATCH(ROWS($DD$2:DD92),$DD$2:$DD$113,0)),"")</f>
        <v>SIEMBRA Y PRODUCCION DE ESTUPEFACIENTES</v>
      </c>
      <c r="HA92" s="206" t="str">
        <f>IFERROR(INDEX($A$2:$A$113,MATCH(ROWS($DE$2:DE92),$DE$2:$DE$113,0)),"")</f>
        <v>SIEMBRA Y PRODUCCION DE ESTUPEFACIENTES</v>
      </c>
      <c r="HB92" s="206" t="str">
        <f>IFERROR(INDEX($A$2:$A$113,MATCH(ROWS($DF$2:DF92),$DF$2:$DF$113,0)),"")</f>
        <v>SIEMBRA Y PRODUCCION DE ESTUPEFACIENTES</v>
      </c>
      <c r="HC92" s="206" t="str">
        <f>IFERROR(INDEX($A$2:$A$113,MATCH(ROWS($DG$2:DG92),$DG$2:$DG$113,0)),"")</f>
        <v>SIEMBRA Y PRODUCCION DE ESTUPEFACIENTES</v>
      </c>
      <c r="HD92" s="206" t="str">
        <f>IFERROR(INDEX($A$2:$A$113,MATCH(ROWS($DH$2:DH92),$DH$2:$DH$113,0)),"")</f>
        <v>SIEMBRA Y PRODUCCION DE ESTUPEFACIENTES</v>
      </c>
      <c r="HE92" s="206" t="str">
        <f>IFERROR(INDEX($A$2:$A$113,MATCH(ROWS($DI$2:DI92),$DI$2:$DI$113,0)),"")</f>
        <v>SIEMBRA Y PRODUCCION DE ESTUPEFACIENTES</v>
      </c>
      <c r="HF92" s="206" t="str">
        <f>IFERROR(INDEX($A$2:$A$113,MATCH(ROWS($DJ$2:DJ92),$DJ$2:$DJ$113,0)),"")</f>
        <v>SIEMBRA Y PRODUCCION DE ESTUPEFACIENTES</v>
      </c>
      <c r="HG92" s="206" t="str">
        <f>IFERROR(INDEX($A$2:$A$113,MATCH(ROWS($DK$2:DK92),$DK$2:$DK$113,0)),"")</f>
        <v>SIEMBRA Y PRODUCCION DE ESTUPEFACIENTES</v>
      </c>
      <c r="HH92" s="206" t="str">
        <f>IFERROR(INDEX($A$2:$A$113,MATCH(ROWS($DL$2:DL92),$DL$2:$DL$113,0)),"")</f>
        <v>SIEMBRA Y PRODUCCION DE ESTUPEFACIENTES</v>
      </c>
      <c r="HI92" s="206" t="str">
        <f>IFERROR(INDEX($A$2:$A$113,MATCH(ROWS($DM$2:DM92),$DM$2:$DM$113,0)),"")</f>
        <v>SIEMBRA Y PRODUCCION DE ESTUPEFACIENTES</v>
      </c>
      <c r="HJ92" s="206" t="str">
        <f>IFERROR(INDEX($A$2:$A$113,MATCH(ROWS($DN$2:DN92),$DN$2:$DN$113,0)),"")</f>
        <v>SIEMBRA Y PRODUCCION DE ESTUPEFACIENTES</v>
      </c>
      <c r="HK92" s="206" t="str">
        <f>IFERROR(INDEX($A$2:$A$113,MATCH(ROWS($DO$2:DO92),$DO$2:$DO$113,0)),"")</f>
        <v>SIEMBRA Y PRODUCCION DE ESTUPEFACIENTES</v>
      </c>
      <c r="HL92" s="206" t="str">
        <f>IFERROR(INDEX($A$2:$A$113,MATCH(ROWS($DP$2:DP92),$DP$2:$DP$113,0)),"")</f>
        <v>SIEMBRA Y PRODUCCION DE ESTUPEFACIENTES</v>
      </c>
      <c r="HM92" s="206" t="str">
        <f>IFERROR(INDEX($A$2:$A$113,MATCH(ROWS($DQ$2:DQ92),$DQ$2:$DQ$113,0)),"")</f>
        <v>SIEMBRA Y PRODUCCION DE ESTUPEFACIENTES</v>
      </c>
      <c r="HN92" s="206" t="str">
        <f>IFERROR(INDEX($A$2:$A$113,MATCH(ROWS($DR$2:DR92),$DR$2:$DR$113,0)),"")</f>
        <v>SIEMBRA Y PRODUCCION DE ESTUPEFACIENTES</v>
      </c>
      <c r="HO92" s="206" t="str">
        <f>IFERROR(INDEX($A$2:$A$113,MATCH(ROWS($DS$2:DS92),$DS$2:$DS$113,0)),"")</f>
        <v>SIEMBRA Y PRODUCCION DE ESTUPEFACIENTES</v>
      </c>
      <c r="HP92" s="206" t="str">
        <f>IFERROR(INDEX($A$2:$A$113,MATCH(ROWS($DT$2:DT92),$DT$2:$DT$113,0)),"")</f>
        <v>SIEMBRA Y PRODUCCION DE ESTUPEFACIENTES</v>
      </c>
      <c r="HQ92" s="206" t="str">
        <f>IFERROR(INDEX($A$2:$A$113,MATCH(ROWS($DU$2:DU92),$DU$2:$DU$113,0)),"")</f>
        <v>SIEMBRA Y PRODUCCION DE ESTUPEFACIENTES</v>
      </c>
      <c r="HR92" s="206" t="str">
        <f>IFERROR(INDEX($A$2:$A$113,MATCH(ROWS($DV$2:DV92),$DV$2:$DV$113,0)),"")</f>
        <v>SIEMBRA Y PRODUCCION DE ESTUPEFACIENTES</v>
      </c>
      <c r="HS92" s="206" t="str">
        <f>IFERROR(INDEX($A$2:$A$113,MATCH(ROWS($DW$2:DW92),$DW$2:$DW$113,0)),"")</f>
        <v>SIEMBRA Y PRODUCCION DE ESTUPEFACIENTES</v>
      </c>
      <c r="HT92" s="206" t="str">
        <f>IFERROR(INDEX($A$2:$A$113,MATCH(ROWS($DX$2:DX92),$DX$2:$DX$113,0)),"")</f>
        <v>SIEMBRA Y PRODUCCION DE ESTUPEFACIENTES</v>
      </c>
      <c r="HU92" s="206" t="str">
        <f>IFERROR(INDEX($A$2:$A$113,MATCH(ROWS($DY$2:DY92),$DY$2:$DY$113,0)),"")</f>
        <v>SIEMBRA Y PRODUCCION DE ESTUPEFACIENTES</v>
      </c>
      <c r="HV92" s="206" t="str">
        <f>IFERROR(INDEX($A$2:$A$113,MATCH(ROWS($DZ$2:DZ92),$DZ$2:$DZ$113,0)),"")</f>
        <v>SIEMBRA Y PRODUCCION DE ESTUPEFACIENTES</v>
      </c>
      <c r="HW92" s="206" t="str">
        <f>IFERROR(INDEX($A$2:$A$113,MATCH(ROWS($EA$2:EA92),$EA$2:$EA$113,0)),"")</f>
        <v>SIEMBRA Y PRODUCCION DE ESTUPEFACIENTES</v>
      </c>
      <c r="HX92" s="206" t="str">
        <f>IFERROR(INDEX($A$2:$A$113,MATCH(ROWS($EB$2:EB92),$EB$2:$EB$113,0)),"")</f>
        <v>SIEMBRA Y PRODUCCION DE ESTUPEFACIENTES</v>
      </c>
      <c r="HY92" s="206" t="str">
        <f>IFERROR(INDEX($A$2:$A$113,MATCH(ROWS($EC$2:EC92),$EC$2:$EC$113,0)),"")</f>
        <v>SIEMBRA Y PRODUCCION DE ESTUPEFACIENTES</v>
      </c>
      <c r="HZ92" s="206" t="str">
        <f>IFERROR(INDEX($A$2:$A$113,MATCH(ROWS($ED$2:ED92),$ED$2:$ED$113,0)),"")</f>
        <v>SIEMBRA Y PRODUCCION DE ESTUPEFACIENTES</v>
      </c>
      <c r="IA92" s="206" t="str">
        <f>IFERROR(INDEX($A$2:$A$113,MATCH(ROWS($EE$2:EE92),$EE$2:$EE$113,0)),"")</f>
        <v>SIEMBRA Y PRODUCCION DE ESTUPEFACIENTES</v>
      </c>
      <c r="IB92" s="206" t="str">
        <f>IFERROR(INDEX($A$2:$A$113,MATCH(ROWS($EF$2:EF92),$EF$2:$EF$113,0)),"")</f>
        <v>SIEMBRA Y PRODUCCION DE ESTUPEFACIENTES</v>
      </c>
      <c r="IC92" s="206" t="str">
        <f>IFERROR(INDEX($A$2:$A$113,MATCH(ROWS($EG$2:EG92),$EG$2:$EG$113,0)),"")</f>
        <v>SIEMBRA Y PRODUCCION DE ESTUPEFACIENTES</v>
      </c>
      <c r="ID92" s="206" t="str">
        <f>IFERROR(INDEX($A$2:$A$113,MATCH(ROWS($EH$2:EH92),$EH$2:$EH$113,0)),"")</f>
        <v>SIEMBRA Y PRODUCCION DE ESTUPEFACIENTES</v>
      </c>
      <c r="IE92" s="206" t="str">
        <f>IFERROR(INDEX($A$2:$A$113,MATCH(ROWS($EI$2:EI92),$EI$2:$EI$113,0)),"")</f>
        <v>SIEMBRA Y PRODUCCION DE ESTUPEFACIENTES</v>
      </c>
      <c r="IF92" s="206" t="str">
        <f>IFERROR(INDEX($A$2:$A$113,MATCH(ROWS($EJ$2:EJ92),$EJ$2:$EJ$113,0)),"")</f>
        <v>SIEMBRA Y PRODUCCION DE ESTUPEFACIENTES</v>
      </c>
      <c r="IG92" s="206" t="str">
        <f>IFERROR(INDEX($A$2:$A$113,MATCH(ROWS($EK$2:EK92),$EK$2:$EK$113,0)),"")</f>
        <v>SIEMBRA Y PRODUCCION DE ESTUPEFACIENTES</v>
      </c>
      <c r="IH92" s="206" t="str">
        <f>IFERROR(INDEX($A$2:$A$113,MATCH(ROWS($EL$2:EL92),$EL$2:$EL$113,0)),"")</f>
        <v>SIEMBRA Y PRODUCCION DE ESTUPEFACIENTES</v>
      </c>
      <c r="II92" s="206" t="str">
        <f>IFERROR(INDEX($A$2:$A$113,MATCH(ROWS($EM$2:EM92),$EM$2:$EM$113,0)),"")</f>
        <v>SIEMBRA Y PRODUCCION DE ESTUPEFACIENTES</v>
      </c>
      <c r="IJ92" s="206" t="str">
        <f>IFERROR(INDEX($A$2:$A$113,MATCH(ROWS($EN$2:EN92),$EN$2:$EN$113,0)),"")</f>
        <v>SIEMBRA Y PRODUCCION DE ESTUPEFACIENTES</v>
      </c>
      <c r="IK92" s="207" t="str">
        <f>IFERROR(INDEX($A$2:$A$113,MATCH(ROWS($EO$2:EO92),$EO$2:$EO$113,0)),"")</f>
        <v>SIEMBRA Y PRODUCCION DE ESTUPEFACIENTES</v>
      </c>
      <c r="IL92" s="207" t="str">
        <f>IFERROR(INDEX($A$2:$A$113,MATCH(ROWS($EP$2:EP92),$EP$2:$EP$113,0)),"")</f>
        <v>SIEMBRA Y PRODUCCION DE ESTUPEFACIENTES</v>
      </c>
      <c r="IM92" s="207" t="str">
        <f>IFERROR(INDEX($A$2:$A$113,MATCH(ROWS($EQ$2:EQ92),$EQ$2:$EQ$113,0)),"")</f>
        <v>SIEMBRA Y PRODUCCION DE ESTUPEFACIENTES</v>
      </c>
      <c r="IN92" s="207" t="str">
        <f>IFERROR(INDEX($A$2:$A$113,MATCH(ROWS($ER$2:ER92),$ER$2:$ER$113,0)),"")</f>
        <v>SIEMBRA Y PRODUCCION DE ESTUPEFACIENTES</v>
      </c>
      <c r="IO92" s="207" t="str">
        <f>IFERROR(INDEX($A$2:$A$113,MATCH(ROWS($ES$2:ES92),$ES$2:$ES$113,0)),"")</f>
        <v>SIEMBRA Y PRODUCCION DE ESTUPEFACIENTES</v>
      </c>
      <c r="IP92" s="207" t="str">
        <f>IFERROR(INDEX($A$2:$A$113,MATCH(ROWS($ET$2:ET92),$ET$2:$ET$113,0)),"")</f>
        <v>SIEMBRA Y PRODUCCION DE ESTUPEFACIENTES</v>
      </c>
      <c r="IQ92" s="207" t="str">
        <f>IFERROR(INDEX($A$2:$A$113,MATCH(ROWS($EU$2:EU92),$EU$2:$EU$113,0)),"")</f>
        <v>SIEMBRA Y PRODUCCION DE ESTUPEFACIENTES</v>
      </c>
      <c r="IR92" s="207" t="str">
        <f>IFERROR(INDEX($A$2:$A$113,MATCH(ROWS($EV$2:EV92),$EV$2:$EV$113,0)),"")</f>
        <v>SIEMBRA Y PRODUCCION DE ESTUPEFACIENTES</v>
      </c>
      <c r="IS92" s="207" t="str">
        <f>IFERROR(INDEX($A$2:$A$113,MATCH(ROWS($EW$2:EW92),$EW$2:$EW$113,0)),"")</f>
        <v>SIEMBRA Y PRODUCCION DE ESTUPEFACIENTES</v>
      </c>
      <c r="IT92" s="207" t="str">
        <f>IFERROR(INDEX($A$2:$A$113,MATCH(ROWS($EX$2:EX92),$EX$2:$EX$113,0)),"")</f>
        <v>SIEMBRA Y PRODUCCION DE ESTUPEFACIENTES</v>
      </c>
      <c r="IU92" s="207" t="str">
        <f>IFERROR(INDEX($A$2:$A$113,MATCH(ROWS($EY$2:EY92),$EY$2:$EY$113,0)),"")</f>
        <v>SIEMBRA Y PRODUCCION DE ESTUPEFACIENTES</v>
      </c>
      <c r="IV92" s="207" t="str">
        <f>IFERROR(INDEX($A$2:$A$113,MATCH(ROWS($EZ$2:EZ92),$EZ$2:$EZ$113,0)),"")</f>
        <v>SIEMBRA Y PRODUCCION DE ESTUPEFACIENTES</v>
      </c>
      <c r="IW92" s="207" t="str">
        <f>IFERROR(INDEX($A$2:$A$113,MATCH(ROWS($FA$2:FA92),$FA$2:$FA$113,0)),"")</f>
        <v>SIEMBRA Y PRODUCCION DE ESTUPEFACIENTES</v>
      </c>
      <c r="IX92" s="207" t="str">
        <f>IFERROR(INDEX($A$2:$A$113,MATCH(ROWS($FB$2:FB92),$FB$2:$FB$113,0)),"")</f>
        <v>SIEMBRA Y PRODUCCION DE ESTUPEFACIENTES</v>
      </c>
      <c r="IY92" s="207" t="str">
        <f>IFERROR(INDEX($A$2:$A$113,MATCH(ROWS($FC$2:FC92),$FC$2:$FC$113,0)),"")</f>
        <v>SIEMBRA Y PRODUCCION DE ESTUPEFACIENTES</v>
      </c>
      <c r="IZ92" s="207" t="str">
        <f>IFERROR(INDEX($A$2:$A$113,MATCH(ROWS($FD$2:FD92),$FD$2:$FD$113,0)),"")</f>
        <v>SIEMBRA Y PRODUCCION DE ESTUPEFACIENTES</v>
      </c>
      <c r="JA92" s="207" t="str">
        <f>IFERROR(INDEX($A$2:$A$113,MATCH(ROWS($FE$2:FE92),$FE$2:$FE$113,0)),"")</f>
        <v>SIEMBRA Y PRODUCCION DE ESTUPEFACIENTES</v>
      </c>
      <c r="JB92" s="207" t="str">
        <f>IFERROR(INDEX($A$2:$A$113,MATCH(ROWS($FF$2:FF92),$FF$2:$FF$113,0)),"")</f>
        <v>SIEMBRA Y PRODUCCION DE ESTUPEFACIENTES</v>
      </c>
      <c r="JC92" s="207" t="str">
        <f>IFERROR(INDEX($A$2:$A$113,MATCH(ROWS($FG$2:FG92),$FG$2:$FG$113,0)),"")</f>
        <v>SIEMBRA Y PRODUCCION DE ESTUPEFACIENTES</v>
      </c>
      <c r="JD92" s="207" t="str">
        <f>IFERROR(INDEX($A$2:$A$113,MATCH(ROWS($FH$2:FH92),$FH$2:$FH$113,0)),"")</f>
        <v>SIEMBRA Y PRODUCCION DE ESTUPEFACIENTES</v>
      </c>
      <c r="JE92" s="207" t="str">
        <f>IFERROR(INDEX($A$2:$A$113,MATCH(ROWS($FI$2:FI92),$FI$2:$FI$113,0)),"")</f>
        <v>SIEMBRA Y PRODUCCION DE ESTUPEFACIENTES</v>
      </c>
      <c r="JF92" s="207" t="str">
        <f>IFERROR(INDEX($A$2:$A$113,MATCH(ROWS($FJ$2:FJ92),$FJ$2:$FJ$113,0)),"")</f>
        <v>SIEMBRA Y PRODUCCION DE ESTUPEFACIENTES</v>
      </c>
      <c r="JG92" s="207" t="str">
        <f>IFERROR(INDEX($A$2:$A$113,MATCH(ROWS($FK$2:FK92),$FK$2:$FK$113,0)),"")</f>
        <v>SIEMBRA Y PRODUCCION DE ESTUPEFACIENTES</v>
      </c>
      <c r="JH92" s="207" t="str">
        <f>IFERROR(INDEX($A$2:$A$113,MATCH(ROWS($FL$2:FL92),$FL$2:$FL$113,0)),"")</f>
        <v>SIEMBRA Y PRODUCCION DE ESTUPEFACIENTES</v>
      </c>
      <c r="JI92" s="207" t="str">
        <f>IFERROR(INDEX($A$2:$A$113,MATCH(ROWS($FM$2:FM92),$FM$2:$FM$113,0)),"")</f>
        <v>SIEMBRA Y PRODUCCION DE ESTUPEFACIENTES</v>
      </c>
      <c r="JJ92" s="207" t="str">
        <f>IFERROR(INDEX($A$2:$A$113,MATCH(ROWS($FN$2:FN92),$FN$2:$FN$113,0)),"")</f>
        <v>SIEMBRA Y PRODUCCION DE ESTUPEFACIENTES</v>
      </c>
      <c r="JK92" s="207" t="str">
        <f>IFERROR(INDEX($A$2:$A$113,MATCH(ROWS($FO$2:FO92),$FO$2:$FO$113,0)),"")</f>
        <v>SIEMBRA Y PRODUCCION DE ESTUPEFACIENTES</v>
      </c>
      <c r="JL92" s="207" t="str">
        <f>IFERROR(INDEX($A$2:$A$113,MATCH(ROWS($FP$2:FP92),$FP$2:$FP$113,0)),"")</f>
        <v>SIEMBRA Y PRODUCCION DE ESTUPEFACIENTES</v>
      </c>
      <c r="JM92" s="207" t="str">
        <f>IFERROR(INDEX($A$2:$A$113,MATCH(ROWS($FQ$2:FQ92),$FQ$2:$FQ$113,0)),"")</f>
        <v>SIEMBRA Y PRODUCCION DE ESTUPEFACIENTES</v>
      </c>
      <c r="JN92" s="207" t="str">
        <f>IFERROR(INDEX($A$2:$A$113,MATCH(ROWS($FR$2:FR92),$FR$2:$FR$113,0)),"")</f>
        <v>SIEMBRA Y PRODUCCION DE ESTUPEFACIENTES</v>
      </c>
      <c r="JO92" s="207" t="str">
        <f>IFERROR(INDEX($A$2:$A$113,MATCH(ROWS($FS$2:FS92),$FS$2:$FS$113,0)),"")</f>
        <v>SIEMBRA Y PRODUCCION DE ESTUPEFACIENTES</v>
      </c>
      <c r="JP92" s="207" t="str">
        <f>IFERROR(INDEX($A$2:$A$113,MATCH(ROWS($FT$2:FT92),$FT$2:$FT$113,0)),"")</f>
        <v>SIEMBRA Y PRODUCCION DE ESTUPEFACIENTES</v>
      </c>
      <c r="JQ92" s="207" t="str">
        <f>IFERROR(INDEX($A$2:$A$113,MATCH(ROWS($FU$2:FU92),$FU$2:$FU$113,0)),"")</f>
        <v>SIEMBRA Y PRODUCCION DE ESTUPEFACIENTES</v>
      </c>
      <c r="JR92" s="207" t="str">
        <f>IFERROR(INDEX($A$2:$A$113,MATCH(ROWS($FV$2:FV92),$FV$2:$FV$113,0)),"")</f>
        <v>SIEMBRA Y PRODUCCION DE ESTUPEFACIENTES</v>
      </c>
      <c r="JS92" s="207" t="str">
        <f>IFERROR(INDEX($A$2:$A$113,MATCH(ROWS($FW$2:FW92),$FW$2:$FW$113,0)),"")</f>
        <v>SIEMBRA Y PRODUCCION DE ESTUPEFACIENTES</v>
      </c>
      <c r="JT92" s="207" t="str">
        <f>IFERROR(INDEX($A$2:$A$113,MATCH(ROWS($FX$2:FX92),$FX$2:$FX$113,0)),"")</f>
        <v>SIEMBRA Y PRODUCCION DE ESTUPEFACIENTES</v>
      </c>
      <c r="JU92" s="207" t="str">
        <f>IFERROR(INDEX($A$2:$A$113,MATCH(ROWS($FY$2:FY92),$FY$2:$FY$113,0)),"")</f>
        <v>SIEMBRA Y PRODUCCION DE ESTUPEFACIENTES</v>
      </c>
      <c r="JV92" s="207" t="str">
        <f>IFERROR(INDEX($A$2:$A$113,MATCH(ROWS($FZ$2:FZ92),$FZ$2:$FZ$113,0)),"")</f>
        <v>SIEMBRA Y PRODUCCION DE ESTUPEFACIENTES</v>
      </c>
      <c r="JW92" s="207" t="str">
        <f>IFERROR(INDEX($A$2:$A$113,MATCH(ROWS($GA$2:GA92),$GA$2:$GA$113,0)),"")</f>
        <v>SIEMBRA Y PRODUCCION DE ESTUPEFACIENTES</v>
      </c>
      <c r="JX92" s="207" t="str">
        <f>IFERROR(INDEX($A$2:$A$113,MATCH(ROWS($GB$2:GB92),$GB$2:$GB$113,0)),"")</f>
        <v>SIEMBRA Y PRODUCCION DE ESTUPEFACIENTES</v>
      </c>
      <c r="JY92" s="207" t="str">
        <f>IFERROR(INDEX($A$2:$A$113,MATCH(ROWS($GC$2:GC92),$GC$2:$GC$113,0)),"")</f>
        <v>SIEMBRA Y PRODUCCION DE ESTUPEFACIENTES</v>
      </c>
      <c r="JZ92" s="207" t="str">
        <f>IFERROR(INDEX($A$2:$A$113,MATCH(ROWS($GD$2:GD92),$GD$2:$GD$113,0)),"")</f>
        <v>SIEMBRA Y PRODUCCION DE ESTUPEFACIENTES</v>
      </c>
      <c r="KA92" s="207" t="str">
        <f>IFERROR(INDEX($A$2:$A$113,MATCH(ROWS($GE$2:GE92),$GE$2:$GE$113,0)),"")</f>
        <v>SIEMBRA Y PRODUCCION DE ESTUPEFACIENTES</v>
      </c>
      <c r="KB92" s="207" t="str">
        <f>IFERROR(INDEX($A$2:$A$113,MATCH(ROWS($GF$2:GF92),$GF$2:$GF$113,0)),"")</f>
        <v>SIEMBRA Y PRODUCCION DE ESTUPEFACIENTES</v>
      </c>
      <c r="KC92" s="207" t="str">
        <f>IFERROR(INDEX($A$2:$A$113,MATCH(ROWS($GG$2:GG92),$GG$2:$GG$113,0)),"")</f>
        <v>SIEMBRA Y PRODUCCION DE ESTUPEFACIENTES</v>
      </c>
      <c r="KD92" s="207" t="str">
        <f>IFERROR(INDEX($A$2:$A$113,MATCH(ROWS($GH$2:GH92),$GH$2:$GH$113,0)),"")</f>
        <v>SIEMBRA Y PRODUCCION DE ESTUPEFACIENTES</v>
      </c>
      <c r="KE92" s="207" t="str">
        <f>IFERROR(INDEX($A$2:$A$113,MATCH(ROWS($GI$2:GI92),$GI$2:$GI$113,0)),"")</f>
        <v>SIEMBRA Y PRODUCCION DE ESTUPEFACIENTES</v>
      </c>
      <c r="KF92" s="207" t="str">
        <f>IFERROR(INDEX($A$2:$A$113,MATCH(ROWS($GJ$2:GJ92),$GJ$2:$GJ$113,0)),"")</f>
        <v>SIEMBRA Y PRODUCCION DE ESTUPEFACIENTES</v>
      </c>
      <c r="KG92" s="207" t="str">
        <f>IFERROR(INDEX($A$2:$A$113,MATCH(ROWS($GK$2:GK92),$GK$2:$GK$113,0)),"")</f>
        <v>SIEMBRA Y PRODUCCION DE ESTUPEFACIENTES</v>
      </c>
      <c r="KH92" s="207" t="str">
        <f>IFERROR(INDEX($A$2:$A$113,MATCH(ROWS($GL$2:GL92),$GL$2:$GL$113,0)),"")</f>
        <v>SIEMBRA Y PRODUCCION DE ESTUPEFACIENTES</v>
      </c>
      <c r="KI92" s="207" t="str">
        <f>IFERROR(INDEX($A$2:$A$113,MATCH(ROWS($GM$2:GM92),$GM$2:$GM$113,0)),"")</f>
        <v>SIEMBRA Y PRODUCCION DE ESTUPEFACIENTES</v>
      </c>
      <c r="KJ92" s="207" t="str">
        <f>IFERROR(INDEX($A$2:$A$113,MATCH(ROWS($GN$2:GN92),$GN$2:$GN$113,0)),"")</f>
        <v>SIEMBRA Y PRODUCCION DE ESTUPEFACIENTES</v>
      </c>
      <c r="KK92" s="207" t="str">
        <f>IFERROR(INDEX($A$2:$A$113,MATCH(ROWS($GO$2:GO92),$GO$2:$GO$113,0)),"")</f>
        <v>SIEMBRA Y PRODUCCION DE ESTUPEFACIENTES</v>
      </c>
      <c r="KL92" s="207" t="str">
        <f>IFERROR(INDEX($A$2:$A$113,MATCH(ROWS($GP$2:GP92),$GP$2:$GP$113,0)),"")</f>
        <v>SIEMBRA Y PRODUCCION DE ESTUPEFACIENTES</v>
      </c>
      <c r="KM92" s="207" t="str">
        <f>IFERROR(INDEX($A$2:$A$113,MATCH(ROWS($GQ$2:GQ92),$GQ$2:$GQ$113,0)),"")</f>
        <v>SIEMBRA Y PRODUCCION DE ESTUPEFACIENTES</v>
      </c>
      <c r="KN92" s="207" t="str">
        <f>IFERROR(INDEX($A$2:$A$113,MATCH(ROWS($GR$2:GR92),$GR$2:$GR$113,0)),"")</f>
        <v>SIEMBRA Y PRODUCCION DE ESTUPEFACIENTES</v>
      </c>
      <c r="KO92" s="207" t="str">
        <f>IFERROR(INDEX($A$2:$A$113,MATCH(ROWS($GS$2:GS92),$GS$2:$GS$113,0)),"")</f>
        <v>SIEMBRA Y PRODUCCION DE ESTUPEFACIENTES</v>
      </c>
      <c r="KP92" s="207" t="str">
        <f>IFERROR(INDEX($A$2:$A$113,MATCH(ROWS($GT$2:GT92),$GT$2:$GT$113,0)),"")</f>
        <v>SIEMBRA Y PRODUCCION DE ESTUPEFACIENTES</v>
      </c>
      <c r="KQ92" s="207" t="str">
        <f>IFERROR(INDEX($A$2:$A$113,MATCH(ROWS($GU$2:GU92),$GU$2:$GU$113,0)),"")</f>
        <v>SIEMBRA Y PRODUCCION DE ESTUPEFACIENTES</v>
      </c>
      <c r="KR92" s="207" t="str">
        <f>IFERROR(INDEX($A$2:$A$113,MATCH(ROWS($GV$2:GV92),$GV$2:$GV$113,0)),"")</f>
        <v>SIEMBRA Y PRODUCCION DE ESTUPEFACIENTES</v>
      </c>
      <c r="KS92" s="207" t="str">
        <f>IFERROR(INDEX($A$2:$A$113,MATCH(ROWS($GW$2:GW92),$GW$2:$GW$113,0)),"")</f>
        <v>SIEMBRA Y PRODUCCION DE ESTUPEFACIENTES</v>
      </c>
    </row>
    <row r="93" spans="1:305" x14ac:dyDescent="0.25">
      <c r="A93" s="206" t="s">
        <v>912</v>
      </c>
      <c r="B93" s="206" t="s">
        <v>117</v>
      </c>
      <c r="D93" s="206" t="s">
        <v>32</v>
      </c>
      <c r="E93" s="206" t="s">
        <v>116</v>
      </c>
      <c r="F93" s="207">
        <f>--ISNUMBER(IFERROR(SEARCH('PLANILLA DJ'!$X$3,$A93,1),""))</f>
        <v>1</v>
      </c>
      <c r="G93" s="207">
        <f>--ISNUMBER(IFERROR(SEARCH('PLANILLA DJ'!$X$4,$A93,1),""))</f>
        <v>1</v>
      </c>
      <c r="H93" s="207">
        <f>--ISNUMBER(IFERROR(SEARCH('PLANILLA DJ'!$X$5,$A93,1),""))</f>
        <v>1</v>
      </c>
      <c r="I93" s="207">
        <f>--ISNUMBER(IFERROR(SEARCH('PLANILLA DJ'!$X$6,$A93,1),""))</f>
        <v>1</v>
      </c>
      <c r="J93" s="207">
        <f>--ISNUMBER(IFERROR(SEARCH('PLANILLA DJ'!$X$7,$A93,1),""))</f>
        <v>1</v>
      </c>
      <c r="K93" s="207">
        <f>--ISNUMBER(IFERROR(SEARCH('PLANILLA DJ'!$X$8,$A93,1),""))</f>
        <v>1</v>
      </c>
      <c r="L93" s="207">
        <f>--ISNUMBER(IFERROR(SEARCH('PLANILLA DJ'!$X$9,$A93,1),""))</f>
        <v>1</v>
      </c>
      <c r="M93" s="207">
        <f>--ISNUMBER(IFERROR(SEARCH('PLANILLA DJ'!$X$10,$A93,1),""))</f>
        <v>1</v>
      </c>
      <c r="N93" s="207">
        <f>--ISNUMBER(IFERROR(SEARCH('PLANILLA DJ'!$X$11,$A93,1),""))</f>
        <v>1</v>
      </c>
      <c r="O93" s="207">
        <f>--ISNUMBER(IFERROR(SEARCH('PLANILLA DJ'!$X$12,$A93,1),""))</f>
        <v>1</v>
      </c>
      <c r="P93" s="207">
        <f>--ISNUMBER(IFERROR(SEARCH('PLANILLA DJ'!$X$13,$A93,1),""))</f>
        <v>1</v>
      </c>
      <c r="Q93" s="207">
        <f>--ISNUMBER(IFERROR(SEARCH('PLANILLA DJ'!$X$14,$A93,1),""))</f>
        <v>1</v>
      </c>
      <c r="R93" s="207">
        <f>--ISNUMBER(IFERROR(SEARCH('PLANILLA DJ'!$X$15,$A93,1),""))</f>
        <v>1</v>
      </c>
      <c r="S93" s="207">
        <f>--ISNUMBER(IFERROR(SEARCH('PLANILLA DJ'!$X$16,$A93,1),""))</f>
        <v>1</v>
      </c>
      <c r="T93" s="207">
        <f>--ISNUMBER(IFERROR(SEARCH('PLANILLA DJ'!$X$17,$A93,1),""))</f>
        <v>1</v>
      </c>
      <c r="U93" s="207">
        <f>--ISNUMBER(IFERROR(SEARCH('PLANILLA DJ'!$X$18,$A93,1),""))</f>
        <v>1</v>
      </c>
      <c r="V93" s="207">
        <f>--ISNUMBER(IFERROR(SEARCH('PLANILLA DJ'!$X$19,$A93,1),""))</f>
        <v>1</v>
      </c>
      <c r="W93" s="207">
        <f>--ISNUMBER(IFERROR(SEARCH('PLANILLA DJ'!$X$20,$A93,1),""))</f>
        <v>1</v>
      </c>
      <c r="X93" s="207">
        <f>--ISNUMBER(IFERROR(SEARCH('PLANILLA DJ'!$X$21,$A93,1),""))</f>
        <v>1</v>
      </c>
      <c r="Y93" s="207">
        <f>--ISNUMBER(IFERROR(SEARCH('PLANILLA DJ'!$X$22,$A93,1),""))</f>
        <v>1</v>
      </c>
      <c r="Z93" s="207">
        <f>--ISNUMBER(IFERROR(SEARCH('PLANILLA DJ'!$X$23,$A93,1),""))</f>
        <v>1</v>
      </c>
      <c r="AA93" s="207">
        <f>--ISNUMBER(IFERROR(SEARCH('PLANILLA DJ'!$X$24,$A93,1),""))</f>
        <v>1</v>
      </c>
      <c r="AB93" s="207">
        <f>--ISNUMBER(IFERROR(SEARCH('PLANILLA DJ'!$X$25,$A93,1),""))</f>
        <v>1</v>
      </c>
      <c r="AC93" s="207">
        <f>--ISNUMBER(IFERROR(SEARCH('PLANILLA DJ'!$X$26,$A93,1),""))</f>
        <v>1</v>
      </c>
      <c r="AD93" s="207">
        <f>--ISNUMBER(IFERROR(SEARCH('PLANILLA DJ'!$X$27,$A93,1),""))</f>
        <v>1</v>
      </c>
      <c r="AE93" s="207">
        <f>--ISNUMBER(IFERROR(SEARCH('PLANILLA DJ'!$X$28,$A93,1),""))</f>
        <v>1</v>
      </c>
      <c r="AF93" s="207">
        <f>--ISNUMBER(IFERROR(SEARCH('PLANILLA DJ'!$X$29,$A93,1),""))</f>
        <v>1</v>
      </c>
      <c r="AG93" s="207">
        <f>--ISNUMBER(IFERROR(SEARCH('PLANILLA DJ'!$X$30,$A93,1),""))</f>
        <v>1</v>
      </c>
      <c r="AH93" s="207">
        <f>--ISNUMBER(IFERROR(SEARCH('PLANILLA DJ'!$X$31,$A93,1),""))</f>
        <v>1</v>
      </c>
      <c r="AI93" s="207">
        <f>--ISNUMBER(IFERROR(SEARCH('PLANILLA DJ'!$X$32,$A93,1),""))</f>
        <v>1</v>
      </c>
      <c r="AJ93" s="207">
        <f>--ISNUMBER(IFERROR(SEARCH('PLANILLA DJ'!$X$33,$A93,1),""))</f>
        <v>1</v>
      </c>
      <c r="AK93" s="207">
        <f>--ISNUMBER(IFERROR(SEARCH('PLANILLA DJ'!$X$34,$A93,1),""))</f>
        <v>1</v>
      </c>
      <c r="AL93" s="207">
        <f>--ISNUMBER(IFERROR(SEARCH('PLANILLA DJ'!$X$35,$A93,1),""))</f>
        <v>1</v>
      </c>
      <c r="AM93" s="207">
        <f>--ISNUMBER(IFERROR(SEARCH('PLANILLA DJ'!$X$36,$A93,1),""))</f>
        <v>1</v>
      </c>
      <c r="AN93" s="207">
        <f>--ISNUMBER(IFERROR(SEARCH('PLANILLA DJ'!$X$37,$A93,1),""))</f>
        <v>1</v>
      </c>
      <c r="AO93" s="207">
        <f>--ISNUMBER(IFERROR(SEARCH('PLANILLA DJ'!$X$38,$A93,1),""))</f>
        <v>1</v>
      </c>
      <c r="AP93" s="207">
        <f>--ISNUMBER(IFERROR(SEARCH('PLANILLA DJ'!$X$39,$A93,1),""))</f>
        <v>1</v>
      </c>
      <c r="AQ93" s="207">
        <f>--ISNUMBER(IFERROR(SEARCH('PLANILLA DJ'!$X$40,$A93,1),""))</f>
        <v>1</v>
      </c>
      <c r="AR93" s="207">
        <f>--ISNUMBER(IFERROR(SEARCH('PLANILLA DJ'!$X$41,$A93,1),""))</f>
        <v>1</v>
      </c>
      <c r="AS93" s="207">
        <f>--ISNUMBER(IFERROR(SEARCH('PLANILLA DJ'!$X$42,$A93,1),""))</f>
        <v>1</v>
      </c>
      <c r="AT93" s="207">
        <f>--ISNUMBER(IFERROR(SEARCH('PLANILLA DJ'!$X$43,$A93,1),""))</f>
        <v>1</v>
      </c>
      <c r="AU93" s="207">
        <f>--ISNUMBER(IFERROR(SEARCH('PLANILLA DJ'!$X$44,$A93,1),""))</f>
        <v>1</v>
      </c>
      <c r="AV93" s="207">
        <f>--ISNUMBER(IFERROR(SEARCH('PLANILLA DJ'!$X$45,$A93,1),""))</f>
        <v>1</v>
      </c>
      <c r="AW93" s="207">
        <f>--ISNUMBER(IFERROR(SEARCH('PLANILLA DJ'!$X$46,$A93,1),""))</f>
        <v>1</v>
      </c>
      <c r="AX93" s="207">
        <f>--ISNUMBER(IFERROR(SEARCH('PLANILLA DJ'!$X$47,$A93,1),""))</f>
        <v>1</v>
      </c>
      <c r="AY93" s="207">
        <f>--ISNUMBER(IFERROR(SEARCH('PLANILLA DJ'!$X$48,$A93,1),""))</f>
        <v>1</v>
      </c>
      <c r="AZ93" s="207">
        <f>--ISNUMBER(IFERROR(SEARCH('PLANILLA DJ'!$X$49,$A93,1),""))</f>
        <v>1</v>
      </c>
      <c r="BA93" s="207">
        <f>--ISNUMBER(IFERROR(SEARCH('PLANILLA DJ'!$X$50,$A93,1),""))</f>
        <v>1</v>
      </c>
      <c r="BB93" s="207">
        <f>--ISNUMBER(IFERROR(SEARCH('PLANILLA DJ'!$X$51,$A93,1),""))</f>
        <v>1</v>
      </c>
      <c r="BC93" s="207">
        <f>--ISNUMBER(IFERROR(SEARCH('PLANILLA DJ'!$X$52,$A93,1),""))</f>
        <v>1</v>
      </c>
      <c r="BD93" s="207">
        <f>--ISNUMBER(IFERROR(SEARCH('PLANILLA DJ'!$X$53,$A93,1),""))</f>
        <v>1</v>
      </c>
      <c r="BE93" s="207">
        <f>--ISNUMBER(IFERROR(SEARCH('PLANILLA DJ'!$X$54,$A93,1),""))</f>
        <v>1</v>
      </c>
      <c r="BF93" s="207">
        <f>--ISNUMBER(IFERROR(SEARCH('PLANILLA DJ'!$X$55,$A93,1),""))</f>
        <v>1</v>
      </c>
      <c r="BG93" s="207">
        <f>--ISNUMBER(IFERROR(SEARCH('PLANILLA DJ'!$X$56,$A93,1),""))</f>
        <v>1</v>
      </c>
      <c r="BH93" s="207">
        <f>--ISNUMBER(IFERROR(SEARCH('PLANILLA DJ'!$X$57,$A93,1),""))</f>
        <v>1</v>
      </c>
      <c r="BI93" s="207">
        <f>--ISNUMBER(IFERROR(SEARCH('PLANILLA DJ'!$X$58,$A93,1),""))</f>
        <v>1</v>
      </c>
      <c r="BJ93" s="207">
        <f>--ISNUMBER(IFERROR(SEARCH('PLANILLA DJ'!$X$59,$A93,1),""))</f>
        <v>1</v>
      </c>
      <c r="BK93" s="207">
        <f>--ISNUMBER(IFERROR(SEARCH('PLANILLA DJ'!$X$60,$A93,1),""))</f>
        <v>1</v>
      </c>
      <c r="BL93" s="207">
        <f>--ISNUMBER(IFERROR(SEARCH('PLANILLA DJ'!$X$61,$A93,1),""))</f>
        <v>1</v>
      </c>
      <c r="BM93" s="207">
        <f>--ISNUMBER(IFERROR(SEARCH('PLANILLA DJ'!$X$62,$A93,1),""))</f>
        <v>1</v>
      </c>
      <c r="BN93" s="207">
        <f>--ISNUMBER(IFERROR(SEARCH('PLANILLA DJ'!$X$63,$A93,1),""))</f>
        <v>1</v>
      </c>
      <c r="BO93" s="207">
        <f>--ISNUMBER(IFERROR(SEARCH('PLANILLA DJ'!$X$64,$A93,1),""))</f>
        <v>1</v>
      </c>
      <c r="BP93" s="207">
        <f>--ISNUMBER(IFERROR(SEARCH('PLANILLA DJ'!$X$65,$A93,1),""))</f>
        <v>1</v>
      </c>
      <c r="BQ93" s="207">
        <f>--ISNUMBER(IFERROR(SEARCH('PLANILLA DJ'!$X$66,$A93,1),""))</f>
        <v>1</v>
      </c>
      <c r="BR93" s="207">
        <f>--ISNUMBER(IFERROR(SEARCH('PLANILLA DJ'!$X$67,$A93,1),""))</f>
        <v>1</v>
      </c>
      <c r="BS93" s="207">
        <f>--ISNUMBER(IFERROR(SEARCH('PLANILLA DJ'!$X$68,$A93,1),""))</f>
        <v>1</v>
      </c>
      <c r="BT93" s="207">
        <f>--ISNUMBER(IFERROR(SEARCH('PLANILLA DJ'!$X$69,$A93,1),""))</f>
        <v>1</v>
      </c>
      <c r="BU93" s="207">
        <f>--ISNUMBER(IFERROR(SEARCH('PLANILLA DJ'!$X$70,$A93,1),""))</f>
        <v>1</v>
      </c>
      <c r="BV93" s="207">
        <f>--ISNUMBER(IFERROR(SEARCH('PLANILLA DJ'!$X$71,$A93,1),""))</f>
        <v>1</v>
      </c>
      <c r="BW93" s="207">
        <f>--ISNUMBER(IFERROR(SEARCH('PLANILLA DJ'!$X$72,$A93,1),""))</f>
        <v>1</v>
      </c>
      <c r="BX93" s="207">
        <f>--ISNUMBER(IFERROR(SEARCH('PLANILLA DJ'!$X$73,$A93,1),""))</f>
        <v>1</v>
      </c>
      <c r="BY93" s="207">
        <f>--ISNUMBER(IFERROR(SEARCH('PLANILLA DJ'!$X$74,$A93,1),""))</f>
        <v>1</v>
      </c>
      <c r="BZ93" s="207">
        <f>--ISNUMBER(IFERROR(SEARCH('PLANILLA DJ'!$X$75,$A93,1),""))</f>
        <v>1</v>
      </c>
      <c r="CA93" s="207">
        <f>--ISNUMBER(IFERROR(SEARCH('PLANILLA DJ'!$X$76,$A93,1),""))</f>
        <v>1</v>
      </c>
      <c r="CB93" s="207">
        <f>--ISNUMBER(IFERROR(SEARCH('PLANILLA DJ'!$X$77,$A93,1),""))</f>
        <v>1</v>
      </c>
      <c r="CC93" s="207">
        <f>--ISNUMBER(IFERROR(SEARCH('PLANILLA DJ'!$X$78,$A93,1),""))</f>
        <v>1</v>
      </c>
      <c r="CD93" s="207">
        <f>--ISNUMBER(IFERROR(SEARCH('PLANILLA DJ'!$X$79,$A93,1),""))</f>
        <v>1</v>
      </c>
      <c r="CE93" s="207">
        <f>--ISNUMBER(IFERROR(SEARCH('PLANILLA DJ'!$X$80,$A93,1),""))</f>
        <v>1</v>
      </c>
      <c r="CF93" s="207">
        <f>--ISNUMBER(IFERROR(SEARCH('PLANILLA DJ'!$X$81,$A93,1),""))</f>
        <v>1</v>
      </c>
      <c r="CG93" s="207">
        <f>--ISNUMBER(IFERROR(SEARCH('PLANILLA DJ'!$X$82,$A93,1),""))</f>
        <v>1</v>
      </c>
      <c r="CH93" s="207">
        <f>--ISNUMBER(IFERROR(SEARCH('PLANILLA DJ'!$X$83,$A93,1),""))</f>
        <v>1</v>
      </c>
      <c r="CI93" s="207">
        <f>--ISNUMBER(IFERROR(SEARCH('PLANILLA DJ'!$X$84,$A93,1),""))</f>
        <v>1</v>
      </c>
      <c r="CJ93" s="207">
        <f>--ISNUMBER(IFERROR(SEARCH('PLANILLA DJ'!$X$85,$A93,1),""))</f>
        <v>1</v>
      </c>
      <c r="CK93" s="207">
        <f>--ISNUMBER(IFERROR(SEARCH('PLANILLA DJ'!$X$86,$A93,1),""))</f>
        <v>1</v>
      </c>
      <c r="CL93" s="207">
        <f>--ISNUMBER(IFERROR(SEARCH('PLANILLA DJ'!$X$87,$A93,1),""))</f>
        <v>1</v>
      </c>
      <c r="CM93" s="207">
        <f>--ISNUMBER(IFERROR(SEARCH('PLANILLA DJ'!$X$88,$A93,1),""))</f>
        <v>1</v>
      </c>
      <c r="CN93" s="207">
        <f>--ISNUMBER(IFERROR(SEARCH('PLANILLA DJ'!$X$89,$A93,1),""))</f>
        <v>1</v>
      </c>
      <c r="CO93" s="207">
        <f>--ISNUMBER(IFERROR(SEARCH('PLANILLA DJ'!$X$90,$A93,1),""))</f>
        <v>1</v>
      </c>
      <c r="CP93" s="207">
        <f>--ISNUMBER(IFERROR(SEARCH('PLANILLA DJ'!$X$91,$A93,1),""))</f>
        <v>1</v>
      </c>
      <c r="CQ93" s="207">
        <f>--ISNUMBER(IFERROR(SEARCH('PLANILLA DJ'!$X$92,$A93,1),""))</f>
        <v>1</v>
      </c>
      <c r="CR93" s="207">
        <f>--ISNUMBER(IFERROR(SEARCH('PLANILLA DJ'!$X$93,$A93,1),""))</f>
        <v>1</v>
      </c>
      <c r="CS93" s="207">
        <f>--ISNUMBER(IFERROR(SEARCH('PLANILLA DJ'!$X$94,$A93,1),""))</f>
        <v>1</v>
      </c>
      <c r="CT93" s="207">
        <f>--ISNUMBER(IFERROR(SEARCH('PLANILLA DJ'!$X$95,$A93,1),""))</f>
        <v>1</v>
      </c>
      <c r="CU93" s="207">
        <f>--ISNUMBER(IFERROR(SEARCH('PLANILLA DJ'!$X$96,$A93,1),""))</f>
        <v>1</v>
      </c>
      <c r="CV93" s="207">
        <f>--ISNUMBER(IFERROR(SEARCH('PLANILLA DJ'!$X$97,$A93,1),""))</f>
        <v>1</v>
      </c>
      <c r="CW93" s="207">
        <f>--ISNUMBER(IFERROR(SEARCH('PLANILLA DJ'!$X$98,$A93,1),""))</f>
        <v>1</v>
      </c>
      <c r="CX93" s="207">
        <f>--ISNUMBER(IFERROR(SEARCH('PLANILLA DJ'!$X$99,$A93,1),""))</f>
        <v>1</v>
      </c>
      <c r="CY93" s="207">
        <f>--ISNUMBER(IFERROR(SEARCH('PLANILLA DJ'!$X$100,$A93,1),""))</f>
        <v>1</v>
      </c>
      <c r="CZ93" s="207">
        <f>--ISNUMBER(IFERROR(SEARCH('PLANILLA DJ'!$X$101,$A93,1),""))</f>
        <v>1</v>
      </c>
      <c r="DA93" s="207">
        <f>--ISNUMBER(IFERROR(SEARCH('PLANILLA DJ'!$X$102,$A93,1),""))</f>
        <v>1</v>
      </c>
      <c r="DB93" s="206">
        <f>IF(F93=1,COUNTIF($F$2:F93,1),"")</f>
        <v>92</v>
      </c>
      <c r="DC93" s="206">
        <f>IF(G93=1,COUNTIF($G$2:G93,1),"")</f>
        <v>92</v>
      </c>
      <c r="DD93" s="206">
        <f>IF(H93=1,COUNTIF($H$2:H93,1),"")</f>
        <v>92</v>
      </c>
      <c r="DE93" s="206">
        <f>IF(I93=1,COUNTIF($I$2:I93,1),"")</f>
        <v>92</v>
      </c>
      <c r="DF93" s="206">
        <f>IF(J93=1,COUNTIF($J$2:J93,1),"")</f>
        <v>92</v>
      </c>
      <c r="DG93" s="206">
        <f>IF(K93=1,COUNTIF($K$2:K93,1),"")</f>
        <v>92</v>
      </c>
      <c r="DH93" s="206">
        <f>IF(L93=1,COUNTIF($L$2:L93,1),"")</f>
        <v>92</v>
      </c>
      <c r="DI93" s="206">
        <f>IF(M93=1,COUNTIF($M$2:M93,1),"")</f>
        <v>92</v>
      </c>
      <c r="DJ93" s="206">
        <f>IF(N93=1,COUNTIF($N$2:N93,1),"")</f>
        <v>92</v>
      </c>
      <c r="DK93" s="206">
        <f>IF(O93=1,COUNTIF($O$2:O93,1),"")</f>
        <v>92</v>
      </c>
      <c r="DL93" s="206">
        <f>IF(P93=1,COUNTIF($P$2:P93,1),"")</f>
        <v>92</v>
      </c>
      <c r="DM93" s="206">
        <f>IF(Q93=1,COUNTIF($Q$2:Q93,1),"")</f>
        <v>92</v>
      </c>
      <c r="DN93" s="207">
        <f>IF(R93=1,COUNTIF($R$2:R93,1),"")</f>
        <v>92</v>
      </c>
      <c r="DO93" s="207">
        <f>IF(S93=1,COUNTIF($S$2:S93,1),"")</f>
        <v>92</v>
      </c>
      <c r="DP93" s="207">
        <f>IF(T93=1,COUNTIF($T$2:T93,1),"")</f>
        <v>92</v>
      </c>
      <c r="DQ93" s="207">
        <f>IF(U93=1,COUNTIF($U$2:U93,1),"")</f>
        <v>92</v>
      </c>
      <c r="DR93" s="207">
        <f>IF(V93=1,COUNTIF($V$2:V93,1),"")</f>
        <v>92</v>
      </c>
      <c r="DS93" s="207">
        <f>IF(W93=1,COUNTIF($W$2:W93,1),"")</f>
        <v>92</v>
      </c>
      <c r="DT93" s="207">
        <f>IF(X93=1,COUNTIF($X$2:X93,1),"")</f>
        <v>92</v>
      </c>
      <c r="DU93" s="207">
        <f>IF(Y93=1,COUNTIF($Y$2:Y93,1),"")</f>
        <v>92</v>
      </c>
      <c r="DV93" s="207">
        <f>IF(Z93=1,COUNTIF(Z$2:Z93,1),"")</f>
        <v>92</v>
      </c>
      <c r="DW93" s="207">
        <f>IF(AA93=1,COUNTIF($AA$2:AA93,1),"")</f>
        <v>92</v>
      </c>
      <c r="DX93" s="207">
        <f>IF(AB93=1,COUNTIF($AB$2:AB93,1),"")</f>
        <v>92</v>
      </c>
      <c r="DY93" s="207">
        <f>IF(AC93=1,COUNTIF($AC$2:AC93,1),"")</f>
        <v>92</v>
      </c>
      <c r="DZ93" s="207">
        <f>IF(AD93=1,COUNTIF($AD$2:AD93,1),"")</f>
        <v>92</v>
      </c>
      <c r="EA93" s="207">
        <f>IF(AE93=1,COUNTIF($AE$2:AE93,1),"")</f>
        <v>92</v>
      </c>
      <c r="EB93" s="207">
        <f>IF(AF93=1,COUNTIF($AF$2:AF93,1),"")</f>
        <v>92</v>
      </c>
      <c r="EC93" s="207">
        <f>IF(AG93=1,COUNTIF($AG$2:AG93,1),"")</f>
        <v>92</v>
      </c>
      <c r="ED93" s="207">
        <f>IF(AH93=1,COUNTIF($AH$2:AH93,1),"")</f>
        <v>92</v>
      </c>
      <c r="EE93" s="207">
        <f>IF(AI93=1,COUNTIF($AI$2:AI93,1),"")</f>
        <v>92</v>
      </c>
      <c r="EF93" s="207">
        <f>IF(AJ93=1,COUNTIF($AJ$2:AJ93,1),"")</f>
        <v>92</v>
      </c>
      <c r="EG93" s="207">
        <f>IF(AK93=1,COUNTIF($AK$2:AK93,1),"")</f>
        <v>92</v>
      </c>
      <c r="EH93" s="207">
        <f>IF(AL93=1,COUNTIF($AL$2:AL93,1),"")</f>
        <v>92</v>
      </c>
      <c r="EI93" s="207">
        <f>IF(AM93=1,COUNTIF($AM$2:AM93,1),"")</f>
        <v>92</v>
      </c>
      <c r="EJ93" s="207">
        <f>IF(AN93=1,COUNTIF($AN$2:AN93,1),"")</f>
        <v>92</v>
      </c>
      <c r="EK93" s="207">
        <f>IF(AO93=1,COUNTIF($AO$2:AO93,1),"")</f>
        <v>92</v>
      </c>
      <c r="EL93" s="207">
        <f>IF(AP93=1,COUNTIF($AP$2:AP93,1),"")</f>
        <v>92</v>
      </c>
      <c r="EM93" s="207">
        <f>IF(AQ93=1,COUNTIF($AQ$2:AQ93,1),"")</f>
        <v>92</v>
      </c>
      <c r="EN93" s="207">
        <f>IF(AR93=1,COUNTIF($AR$2:AR93,1),"")</f>
        <v>92</v>
      </c>
      <c r="EO93" s="207">
        <f>IF(AS93=1,COUNTIF($AS$2:AS93,1),"")</f>
        <v>92</v>
      </c>
      <c r="EP93" s="207">
        <f>IF(AT93=1,COUNTIF($AT$2:AT93,1),"")</f>
        <v>92</v>
      </c>
      <c r="EQ93" s="207">
        <f>IF(AU93=1,COUNTIF($AU$2:AU93,1),"")</f>
        <v>92</v>
      </c>
      <c r="ER93" s="207">
        <f>IF(AV93=1,COUNTIF($AV$2:AV93,1),"")</f>
        <v>92</v>
      </c>
      <c r="ES93" s="207">
        <f>IF(AW93=1,COUNTIF($AW$2:AW93,1),"")</f>
        <v>92</v>
      </c>
      <c r="ET93" s="207">
        <f>IF(AX93=1,COUNTIF($AX$2:AX93,1),"")</f>
        <v>92</v>
      </c>
      <c r="EU93" s="207">
        <f>IF(AY93=1,COUNTIF($AY$2:AY93,1),"")</f>
        <v>92</v>
      </c>
      <c r="EV93" s="207">
        <f>IF(AZ93=1,COUNTIF($AZ$2:AZ93,1),"")</f>
        <v>92</v>
      </c>
      <c r="EW93" s="207">
        <f>IF(BA93=1,COUNTIF($BA$2:BA93,1),"")</f>
        <v>92</v>
      </c>
      <c r="EX93" s="207">
        <f>IF(BB93=1,COUNTIF($BB$2:BB93,1),"")</f>
        <v>92</v>
      </c>
      <c r="EY93" s="207">
        <f>IF(BC93=1,COUNTIF($BC$2:BC93,1),"")</f>
        <v>92</v>
      </c>
      <c r="EZ93" s="207">
        <f>IF(BD93=1,COUNTIF($BD$2:BD93,1),"")</f>
        <v>92</v>
      </c>
      <c r="FA93" s="207">
        <f>IF(BE93=1,COUNTIF($BE$2:BE93,1),"")</f>
        <v>92</v>
      </c>
      <c r="FB93" s="207">
        <f>IF(BF93=1,COUNTIF($BF$2:BF93,1),"")</f>
        <v>92</v>
      </c>
      <c r="FC93" s="207">
        <f>IF(BG93=1,COUNTIF($BG$2:BG93,1),"")</f>
        <v>92</v>
      </c>
      <c r="FD93" s="207">
        <f>IF(BH93=1,COUNTIF($BH$2:BH93,1),"")</f>
        <v>92</v>
      </c>
      <c r="FE93" s="207">
        <f>IF(BI93=1,COUNTIF($BI$2:BI93,1),"")</f>
        <v>92</v>
      </c>
      <c r="FF93" s="207">
        <f>IF(BJ93=1,COUNTIF($BJ$2:BJ93,1),"")</f>
        <v>92</v>
      </c>
      <c r="FG93" s="207">
        <f>IF(BK93=1,COUNTIF($BK$2:BK93,1),"")</f>
        <v>92</v>
      </c>
      <c r="FH93" s="207">
        <f>IF(BL93=1,COUNTIF($BL$2:BL93,1),"")</f>
        <v>92</v>
      </c>
      <c r="FI93" s="207">
        <f>IF(BM93=1,COUNTIF($BM$2:BM93,1),"")</f>
        <v>92</v>
      </c>
      <c r="FJ93" s="207">
        <f>IF(BN93=1,COUNTIF($BN$2:BN93,1),"")</f>
        <v>92</v>
      </c>
      <c r="FK93" s="207">
        <f>IF(BO93=1,COUNTIF($BO$2:BO93,1),"")</f>
        <v>92</v>
      </c>
      <c r="FL93" s="207">
        <f>IF(BP93=1,COUNTIF($BP$2:BP93,1),"")</f>
        <v>92</v>
      </c>
      <c r="FM93" s="207">
        <f>IF(BQ93=1,COUNTIF($BQ$2:BQ93,1),"")</f>
        <v>92</v>
      </c>
      <c r="FN93" s="207">
        <f>IF(BR93=1,COUNTIF($BR$2:BR93,1),"")</f>
        <v>92</v>
      </c>
      <c r="FO93" s="207">
        <f>IF(BS93=1,COUNTIF($BS$2:BS93,1),"")</f>
        <v>92</v>
      </c>
      <c r="FP93" s="207">
        <f>IF(BT93=1,COUNTIF($BT$2:BT93,1),"")</f>
        <v>92</v>
      </c>
      <c r="FQ93" s="207">
        <f>IF(BU93=1,COUNTIF($BU$2:BU93,1),"")</f>
        <v>92</v>
      </c>
      <c r="FR93" s="207">
        <f>IF(BV93=1,COUNTIF($BV$2:BV93,1),"")</f>
        <v>92</v>
      </c>
      <c r="FS93" s="207">
        <f>IF(BW93=1,COUNTIF($BW$2:BW93,1),"")</f>
        <v>92</v>
      </c>
      <c r="FT93" s="207">
        <f>IF(BX93=1,COUNTIF($BX$2:BX93,1),"")</f>
        <v>92</v>
      </c>
      <c r="FU93" s="207">
        <f>IF(BY93=1,COUNTIF($BY$2:BY93,1),"")</f>
        <v>92</v>
      </c>
      <c r="FV93" s="207">
        <f>IF(BZ93=1,COUNTIF($BZ$2:BZ93,1),"")</f>
        <v>92</v>
      </c>
      <c r="FW93" s="207">
        <f>IF(CA93=1,COUNTIF($CA$2:CA93,1),"")</f>
        <v>92</v>
      </c>
      <c r="FX93" s="207">
        <f>IF(CB93=1,COUNTIF($CB$2:CB93,1),"")</f>
        <v>92</v>
      </c>
      <c r="FY93" s="207">
        <f>IF(CC93=1,COUNTIF($CC$2:CC93,1),"")</f>
        <v>92</v>
      </c>
      <c r="FZ93" s="207">
        <f>IF(CD93=1,COUNTIF($CD$2:CD93,1),"")</f>
        <v>92</v>
      </c>
      <c r="GA93" s="207">
        <f>IF(CE93=1,COUNTIF($CE$2:CE93,1),"")</f>
        <v>92</v>
      </c>
      <c r="GB93" s="207">
        <f>IF(CF93=1,COUNTIF($CF$2:CF93,1),"")</f>
        <v>92</v>
      </c>
      <c r="GC93" s="207">
        <f>IF(CG93=1,COUNTIF($CG$2:CG93,1),"")</f>
        <v>92</v>
      </c>
      <c r="GD93" s="207">
        <f>IF(CH93=1,COUNTIF($CH$2:CH93,1),"")</f>
        <v>92</v>
      </c>
      <c r="GE93" s="207">
        <f>IF(CI93=1,COUNTIF($CI$2:CI93,1),"")</f>
        <v>92</v>
      </c>
      <c r="GF93" s="207">
        <f>IF(CJ93=1,COUNTIF($CJ$2:CJ93,1),"")</f>
        <v>92</v>
      </c>
      <c r="GG93" s="207">
        <f>IF(CK93=1,COUNTIF($CK$2:CK93,1),"")</f>
        <v>92</v>
      </c>
      <c r="GH93" s="207">
        <f>IF(CL93=1,COUNTIF($CL$2:CL93,1),"")</f>
        <v>92</v>
      </c>
      <c r="GI93" s="207">
        <f>IF(CM93=1,COUNTIF($CM$2:CM93,1),"")</f>
        <v>92</v>
      </c>
      <c r="GJ93" s="207">
        <f>IF(CN93=1,COUNTIF($CN$2:CN93,1),"")</f>
        <v>92</v>
      </c>
      <c r="GK93" s="207">
        <f>IF(CO93=1,COUNTIF($CO$2:CO93,1),"")</f>
        <v>92</v>
      </c>
      <c r="GL93" s="207">
        <f>IF(CP93=1,COUNTIF($CP$2:CP93,1),"")</f>
        <v>92</v>
      </c>
      <c r="GM93" s="207">
        <f>IF(CQ93=1,COUNTIF($CQ$2:CQ93,1),"")</f>
        <v>92</v>
      </c>
      <c r="GN93" s="207">
        <f>IF(CR93=1,COUNTIF($CR$2:CR93,1),"")</f>
        <v>92</v>
      </c>
      <c r="GO93" s="207">
        <f>IF(CS93=1,COUNTIF($CS$2:CS93,1),"")</f>
        <v>92</v>
      </c>
      <c r="GP93" s="207">
        <f>IF(CT93=1,COUNTIF($CT$2:CT93,1),"")</f>
        <v>92</v>
      </c>
      <c r="GQ93" s="207">
        <f>IF(CU93=1,COUNTIF($CU$2:CU93,1),"")</f>
        <v>92</v>
      </c>
      <c r="GR93" s="207">
        <f>IF(CV93=1,COUNTIF($CV$2:CV93,1),"")</f>
        <v>92</v>
      </c>
      <c r="GS93" s="207">
        <f>IF(CW93=1,COUNTIF($CW$2:CW93,1),"")</f>
        <v>92</v>
      </c>
      <c r="GT93" s="207">
        <f>IF(CX93=1,COUNTIF($CX$2:CX93,1),"")</f>
        <v>92</v>
      </c>
      <c r="GU93" s="207">
        <f>IF(CY93=1,COUNTIF($CY$2:CY93,1),"")</f>
        <v>92</v>
      </c>
      <c r="GV93" s="207">
        <f>IF(CZ93=1,COUNTIF($CZ$2:CZ93,1),"")</f>
        <v>92</v>
      </c>
      <c r="GW93" s="207">
        <f>IF(DA93=1,COUNTIF($DA$2:DA93,1),"")</f>
        <v>92</v>
      </c>
      <c r="GX93" s="206" t="str">
        <f>IFERROR(INDEX($A$2:$A$113,MATCH(ROWS($DB$2:DB93),$DB$2:$DB$113,0)),"")</f>
        <v>COMERCIALIZACION Y ENTREGA DE ESTUPEFACIENTES</v>
      </c>
      <c r="GY93" s="206" t="str">
        <f>IFERROR(INDEX($A$2:$A$113,MATCH(ROWS($DC$2:DC93),$DC$2:$DC$113,0)),"")</f>
        <v>COMERCIALIZACION Y ENTREGA DE ESTUPEFACIENTES</v>
      </c>
      <c r="GZ93" s="206" t="str">
        <f>IFERROR(INDEX($A$2:$A$113,MATCH(ROWS($DD$2:DD93),$DD$2:$DD$113,0)),"")</f>
        <v>COMERCIALIZACION Y ENTREGA DE ESTUPEFACIENTES</v>
      </c>
      <c r="HA93" s="206" t="str">
        <f>IFERROR(INDEX($A$2:$A$113,MATCH(ROWS($DE$2:DE93),$DE$2:$DE$113,0)),"")</f>
        <v>COMERCIALIZACION Y ENTREGA DE ESTUPEFACIENTES</v>
      </c>
      <c r="HB93" s="206" t="str">
        <f>IFERROR(INDEX($A$2:$A$113,MATCH(ROWS($DF$2:DF93),$DF$2:$DF$113,0)),"")</f>
        <v>COMERCIALIZACION Y ENTREGA DE ESTUPEFACIENTES</v>
      </c>
      <c r="HC93" s="206" t="str">
        <f>IFERROR(INDEX($A$2:$A$113,MATCH(ROWS($DG$2:DG93),$DG$2:$DG$113,0)),"")</f>
        <v>COMERCIALIZACION Y ENTREGA DE ESTUPEFACIENTES</v>
      </c>
      <c r="HD93" s="206" t="str">
        <f>IFERROR(INDEX($A$2:$A$113,MATCH(ROWS($DH$2:DH93),$DH$2:$DH$113,0)),"")</f>
        <v>COMERCIALIZACION Y ENTREGA DE ESTUPEFACIENTES</v>
      </c>
      <c r="HE93" s="206" t="str">
        <f>IFERROR(INDEX($A$2:$A$113,MATCH(ROWS($DI$2:DI93),$DI$2:$DI$113,0)),"")</f>
        <v>COMERCIALIZACION Y ENTREGA DE ESTUPEFACIENTES</v>
      </c>
      <c r="HF93" s="206" t="str">
        <f>IFERROR(INDEX($A$2:$A$113,MATCH(ROWS($DJ$2:DJ93),$DJ$2:$DJ$113,0)),"")</f>
        <v>COMERCIALIZACION Y ENTREGA DE ESTUPEFACIENTES</v>
      </c>
      <c r="HG93" s="206" t="str">
        <f>IFERROR(INDEX($A$2:$A$113,MATCH(ROWS($DK$2:DK93),$DK$2:$DK$113,0)),"")</f>
        <v>COMERCIALIZACION Y ENTREGA DE ESTUPEFACIENTES</v>
      </c>
      <c r="HH93" s="206" t="str">
        <f>IFERROR(INDEX($A$2:$A$113,MATCH(ROWS($DL$2:DL93),$DL$2:$DL$113,0)),"")</f>
        <v>COMERCIALIZACION Y ENTREGA DE ESTUPEFACIENTES</v>
      </c>
      <c r="HI93" s="206" t="str">
        <f>IFERROR(INDEX($A$2:$A$113,MATCH(ROWS($DM$2:DM93),$DM$2:$DM$113,0)),"")</f>
        <v>COMERCIALIZACION Y ENTREGA DE ESTUPEFACIENTES</v>
      </c>
      <c r="HJ93" s="206" t="str">
        <f>IFERROR(INDEX($A$2:$A$113,MATCH(ROWS($DN$2:DN93),$DN$2:$DN$113,0)),"")</f>
        <v>COMERCIALIZACION Y ENTREGA DE ESTUPEFACIENTES</v>
      </c>
      <c r="HK93" s="206" t="str">
        <f>IFERROR(INDEX($A$2:$A$113,MATCH(ROWS($DO$2:DO93),$DO$2:$DO$113,0)),"")</f>
        <v>COMERCIALIZACION Y ENTREGA DE ESTUPEFACIENTES</v>
      </c>
      <c r="HL93" s="206" t="str">
        <f>IFERROR(INDEX($A$2:$A$113,MATCH(ROWS($DP$2:DP93),$DP$2:$DP$113,0)),"")</f>
        <v>COMERCIALIZACION Y ENTREGA DE ESTUPEFACIENTES</v>
      </c>
      <c r="HM93" s="206" t="str">
        <f>IFERROR(INDEX($A$2:$A$113,MATCH(ROWS($DQ$2:DQ93),$DQ$2:$DQ$113,0)),"")</f>
        <v>COMERCIALIZACION Y ENTREGA DE ESTUPEFACIENTES</v>
      </c>
      <c r="HN93" s="206" t="str">
        <f>IFERROR(INDEX($A$2:$A$113,MATCH(ROWS($DR$2:DR93),$DR$2:$DR$113,0)),"")</f>
        <v>COMERCIALIZACION Y ENTREGA DE ESTUPEFACIENTES</v>
      </c>
      <c r="HO93" s="206" t="str">
        <f>IFERROR(INDEX($A$2:$A$113,MATCH(ROWS($DS$2:DS93),$DS$2:$DS$113,0)),"")</f>
        <v>COMERCIALIZACION Y ENTREGA DE ESTUPEFACIENTES</v>
      </c>
      <c r="HP93" s="206" t="str">
        <f>IFERROR(INDEX($A$2:$A$113,MATCH(ROWS($DT$2:DT93),$DT$2:$DT$113,0)),"")</f>
        <v>COMERCIALIZACION Y ENTREGA DE ESTUPEFACIENTES</v>
      </c>
      <c r="HQ93" s="206" t="str">
        <f>IFERROR(INDEX($A$2:$A$113,MATCH(ROWS($DU$2:DU93),$DU$2:$DU$113,0)),"")</f>
        <v>COMERCIALIZACION Y ENTREGA DE ESTUPEFACIENTES</v>
      </c>
      <c r="HR93" s="206" t="str">
        <f>IFERROR(INDEX($A$2:$A$113,MATCH(ROWS($DV$2:DV93),$DV$2:$DV$113,0)),"")</f>
        <v>COMERCIALIZACION Y ENTREGA DE ESTUPEFACIENTES</v>
      </c>
      <c r="HS93" s="206" t="str">
        <f>IFERROR(INDEX($A$2:$A$113,MATCH(ROWS($DW$2:DW93),$DW$2:$DW$113,0)),"")</f>
        <v>COMERCIALIZACION Y ENTREGA DE ESTUPEFACIENTES</v>
      </c>
      <c r="HT93" s="206" t="str">
        <f>IFERROR(INDEX($A$2:$A$113,MATCH(ROWS($DX$2:DX93),$DX$2:$DX$113,0)),"")</f>
        <v>COMERCIALIZACION Y ENTREGA DE ESTUPEFACIENTES</v>
      </c>
      <c r="HU93" s="206" t="str">
        <f>IFERROR(INDEX($A$2:$A$113,MATCH(ROWS($DY$2:DY93),$DY$2:$DY$113,0)),"")</f>
        <v>COMERCIALIZACION Y ENTREGA DE ESTUPEFACIENTES</v>
      </c>
      <c r="HV93" s="206" t="str">
        <f>IFERROR(INDEX($A$2:$A$113,MATCH(ROWS($DZ$2:DZ93),$DZ$2:$DZ$113,0)),"")</f>
        <v>COMERCIALIZACION Y ENTREGA DE ESTUPEFACIENTES</v>
      </c>
      <c r="HW93" s="206" t="str">
        <f>IFERROR(INDEX($A$2:$A$113,MATCH(ROWS($EA$2:EA93),$EA$2:$EA$113,0)),"")</f>
        <v>COMERCIALIZACION Y ENTREGA DE ESTUPEFACIENTES</v>
      </c>
      <c r="HX93" s="206" t="str">
        <f>IFERROR(INDEX($A$2:$A$113,MATCH(ROWS($EB$2:EB93),$EB$2:$EB$113,0)),"")</f>
        <v>COMERCIALIZACION Y ENTREGA DE ESTUPEFACIENTES</v>
      </c>
      <c r="HY93" s="206" t="str">
        <f>IFERROR(INDEX($A$2:$A$113,MATCH(ROWS($EC$2:EC93),$EC$2:$EC$113,0)),"")</f>
        <v>COMERCIALIZACION Y ENTREGA DE ESTUPEFACIENTES</v>
      </c>
      <c r="HZ93" s="206" t="str">
        <f>IFERROR(INDEX($A$2:$A$113,MATCH(ROWS($ED$2:ED93),$ED$2:$ED$113,0)),"")</f>
        <v>COMERCIALIZACION Y ENTREGA DE ESTUPEFACIENTES</v>
      </c>
      <c r="IA93" s="206" t="str">
        <f>IFERROR(INDEX($A$2:$A$113,MATCH(ROWS($EE$2:EE93),$EE$2:$EE$113,0)),"")</f>
        <v>COMERCIALIZACION Y ENTREGA DE ESTUPEFACIENTES</v>
      </c>
      <c r="IB93" s="206" t="str">
        <f>IFERROR(INDEX($A$2:$A$113,MATCH(ROWS($EF$2:EF93),$EF$2:$EF$113,0)),"")</f>
        <v>COMERCIALIZACION Y ENTREGA DE ESTUPEFACIENTES</v>
      </c>
      <c r="IC93" s="206" t="str">
        <f>IFERROR(INDEX($A$2:$A$113,MATCH(ROWS($EG$2:EG93),$EG$2:$EG$113,0)),"")</f>
        <v>COMERCIALIZACION Y ENTREGA DE ESTUPEFACIENTES</v>
      </c>
      <c r="ID93" s="206" t="str">
        <f>IFERROR(INDEX($A$2:$A$113,MATCH(ROWS($EH$2:EH93),$EH$2:$EH$113,0)),"")</f>
        <v>COMERCIALIZACION Y ENTREGA DE ESTUPEFACIENTES</v>
      </c>
      <c r="IE93" s="206" t="str">
        <f>IFERROR(INDEX($A$2:$A$113,MATCH(ROWS($EI$2:EI93),$EI$2:$EI$113,0)),"")</f>
        <v>COMERCIALIZACION Y ENTREGA DE ESTUPEFACIENTES</v>
      </c>
      <c r="IF93" s="206" t="str">
        <f>IFERROR(INDEX($A$2:$A$113,MATCH(ROWS($EJ$2:EJ93),$EJ$2:$EJ$113,0)),"")</f>
        <v>COMERCIALIZACION Y ENTREGA DE ESTUPEFACIENTES</v>
      </c>
      <c r="IG93" s="206" t="str">
        <f>IFERROR(INDEX($A$2:$A$113,MATCH(ROWS($EK$2:EK93),$EK$2:$EK$113,0)),"")</f>
        <v>COMERCIALIZACION Y ENTREGA DE ESTUPEFACIENTES</v>
      </c>
      <c r="IH93" s="206" t="str">
        <f>IFERROR(INDEX($A$2:$A$113,MATCH(ROWS($EL$2:EL93),$EL$2:$EL$113,0)),"")</f>
        <v>COMERCIALIZACION Y ENTREGA DE ESTUPEFACIENTES</v>
      </c>
      <c r="II93" s="206" t="str">
        <f>IFERROR(INDEX($A$2:$A$113,MATCH(ROWS($EM$2:EM93),$EM$2:$EM$113,0)),"")</f>
        <v>COMERCIALIZACION Y ENTREGA DE ESTUPEFACIENTES</v>
      </c>
      <c r="IJ93" s="206" t="str">
        <f>IFERROR(INDEX($A$2:$A$113,MATCH(ROWS($EN$2:EN93),$EN$2:$EN$113,0)),"")</f>
        <v>COMERCIALIZACION Y ENTREGA DE ESTUPEFACIENTES</v>
      </c>
      <c r="IK93" s="207" t="str">
        <f>IFERROR(INDEX($A$2:$A$113,MATCH(ROWS($EO$2:EO93),$EO$2:$EO$113,0)),"")</f>
        <v>COMERCIALIZACION Y ENTREGA DE ESTUPEFACIENTES</v>
      </c>
      <c r="IL93" s="207" t="str">
        <f>IFERROR(INDEX($A$2:$A$113,MATCH(ROWS($EP$2:EP93),$EP$2:$EP$113,0)),"")</f>
        <v>COMERCIALIZACION Y ENTREGA DE ESTUPEFACIENTES</v>
      </c>
      <c r="IM93" s="207" t="str">
        <f>IFERROR(INDEX($A$2:$A$113,MATCH(ROWS($EQ$2:EQ93),$EQ$2:$EQ$113,0)),"")</f>
        <v>COMERCIALIZACION Y ENTREGA DE ESTUPEFACIENTES</v>
      </c>
      <c r="IN93" s="207" t="str">
        <f>IFERROR(INDEX($A$2:$A$113,MATCH(ROWS($ER$2:ER93),$ER$2:$ER$113,0)),"")</f>
        <v>COMERCIALIZACION Y ENTREGA DE ESTUPEFACIENTES</v>
      </c>
      <c r="IO93" s="207" t="str">
        <f>IFERROR(INDEX($A$2:$A$113,MATCH(ROWS($ES$2:ES93),$ES$2:$ES$113,0)),"")</f>
        <v>COMERCIALIZACION Y ENTREGA DE ESTUPEFACIENTES</v>
      </c>
      <c r="IP93" s="207" t="str">
        <f>IFERROR(INDEX($A$2:$A$113,MATCH(ROWS($ET$2:ET93),$ET$2:$ET$113,0)),"")</f>
        <v>COMERCIALIZACION Y ENTREGA DE ESTUPEFACIENTES</v>
      </c>
      <c r="IQ93" s="207" t="str">
        <f>IFERROR(INDEX($A$2:$A$113,MATCH(ROWS($EU$2:EU93),$EU$2:$EU$113,0)),"")</f>
        <v>COMERCIALIZACION Y ENTREGA DE ESTUPEFACIENTES</v>
      </c>
      <c r="IR93" s="207" t="str">
        <f>IFERROR(INDEX($A$2:$A$113,MATCH(ROWS($EV$2:EV93),$EV$2:$EV$113,0)),"")</f>
        <v>COMERCIALIZACION Y ENTREGA DE ESTUPEFACIENTES</v>
      </c>
      <c r="IS93" s="207" t="str">
        <f>IFERROR(INDEX($A$2:$A$113,MATCH(ROWS($EW$2:EW93),$EW$2:$EW$113,0)),"")</f>
        <v>COMERCIALIZACION Y ENTREGA DE ESTUPEFACIENTES</v>
      </c>
      <c r="IT93" s="207" t="str">
        <f>IFERROR(INDEX($A$2:$A$113,MATCH(ROWS($EX$2:EX93),$EX$2:$EX$113,0)),"")</f>
        <v>COMERCIALIZACION Y ENTREGA DE ESTUPEFACIENTES</v>
      </c>
      <c r="IU93" s="207" t="str">
        <f>IFERROR(INDEX($A$2:$A$113,MATCH(ROWS($EY$2:EY93),$EY$2:$EY$113,0)),"")</f>
        <v>COMERCIALIZACION Y ENTREGA DE ESTUPEFACIENTES</v>
      </c>
      <c r="IV93" s="207" t="str">
        <f>IFERROR(INDEX($A$2:$A$113,MATCH(ROWS($EZ$2:EZ93),$EZ$2:$EZ$113,0)),"")</f>
        <v>COMERCIALIZACION Y ENTREGA DE ESTUPEFACIENTES</v>
      </c>
      <c r="IW93" s="207" t="str">
        <f>IFERROR(INDEX($A$2:$A$113,MATCH(ROWS($FA$2:FA93),$FA$2:$FA$113,0)),"")</f>
        <v>COMERCIALIZACION Y ENTREGA DE ESTUPEFACIENTES</v>
      </c>
      <c r="IX93" s="207" t="str">
        <f>IFERROR(INDEX($A$2:$A$113,MATCH(ROWS($FB$2:FB93),$FB$2:$FB$113,0)),"")</f>
        <v>COMERCIALIZACION Y ENTREGA DE ESTUPEFACIENTES</v>
      </c>
      <c r="IY93" s="207" t="str">
        <f>IFERROR(INDEX($A$2:$A$113,MATCH(ROWS($FC$2:FC93),$FC$2:$FC$113,0)),"")</f>
        <v>COMERCIALIZACION Y ENTREGA DE ESTUPEFACIENTES</v>
      </c>
      <c r="IZ93" s="207" t="str">
        <f>IFERROR(INDEX($A$2:$A$113,MATCH(ROWS($FD$2:FD93),$FD$2:$FD$113,0)),"")</f>
        <v>COMERCIALIZACION Y ENTREGA DE ESTUPEFACIENTES</v>
      </c>
      <c r="JA93" s="207" t="str">
        <f>IFERROR(INDEX($A$2:$A$113,MATCH(ROWS($FE$2:FE93),$FE$2:$FE$113,0)),"")</f>
        <v>COMERCIALIZACION Y ENTREGA DE ESTUPEFACIENTES</v>
      </c>
      <c r="JB93" s="207" t="str">
        <f>IFERROR(INDEX($A$2:$A$113,MATCH(ROWS($FF$2:FF93),$FF$2:$FF$113,0)),"")</f>
        <v>COMERCIALIZACION Y ENTREGA DE ESTUPEFACIENTES</v>
      </c>
      <c r="JC93" s="207" t="str">
        <f>IFERROR(INDEX($A$2:$A$113,MATCH(ROWS($FG$2:FG93),$FG$2:$FG$113,0)),"")</f>
        <v>COMERCIALIZACION Y ENTREGA DE ESTUPEFACIENTES</v>
      </c>
      <c r="JD93" s="207" t="str">
        <f>IFERROR(INDEX($A$2:$A$113,MATCH(ROWS($FH$2:FH93),$FH$2:$FH$113,0)),"")</f>
        <v>COMERCIALIZACION Y ENTREGA DE ESTUPEFACIENTES</v>
      </c>
      <c r="JE93" s="207" t="str">
        <f>IFERROR(INDEX($A$2:$A$113,MATCH(ROWS($FI$2:FI93),$FI$2:$FI$113,0)),"")</f>
        <v>COMERCIALIZACION Y ENTREGA DE ESTUPEFACIENTES</v>
      </c>
      <c r="JF93" s="207" t="str">
        <f>IFERROR(INDEX($A$2:$A$113,MATCH(ROWS($FJ$2:FJ93),$FJ$2:$FJ$113,0)),"")</f>
        <v>COMERCIALIZACION Y ENTREGA DE ESTUPEFACIENTES</v>
      </c>
      <c r="JG93" s="207" t="str">
        <f>IFERROR(INDEX($A$2:$A$113,MATCH(ROWS($FK$2:FK93),$FK$2:$FK$113,0)),"")</f>
        <v>COMERCIALIZACION Y ENTREGA DE ESTUPEFACIENTES</v>
      </c>
      <c r="JH93" s="207" t="str">
        <f>IFERROR(INDEX($A$2:$A$113,MATCH(ROWS($FL$2:FL93),$FL$2:$FL$113,0)),"")</f>
        <v>COMERCIALIZACION Y ENTREGA DE ESTUPEFACIENTES</v>
      </c>
      <c r="JI93" s="207" t="str">
        <f>IFERROR(INDEX($A$2:$A$113,MATCH(ROWS($FM$2:FM93),$FM$2:$FM$113,0)),"")</f>
        <v>COMERCIALIZACION Y ENTREGA DE ESTUPEFACIENTES</v>
      </c>
      <c r="JJ93" s="207" t="str">
        <f>IFERROR(INDEX($A$2:$A$113,MATCH(ROWS($FN$2:FN93),$FN$2:$FN$113,0)),"")</f>
        <v>COMERCIALIZACION Y ENTREGA DE ESTUPEFACIENTES</v>
      </c>
      <c r="JK93" s="207" t="str">
        <f>IFERROR(INDEX($A$2:$A$113,MATCH(ROWS($FO$2:FO93),$FO$2:$FO$113,0)),"")</f>
        <v>COMERCIALIZACION Y ENTREGA DE ESTUPEFACIENTES</v>
      </c>
      <c r="JL93" s="207" t="str">
        <f>IFERROR(INDEX($A$2:$A$113,MATCH(ROWS($FP$2:FP93),$FP$2:$FP$113,0)),"")</f>
        <v>COMERCIALIZACION Y ENTREGA DE ESTUPEFACIENTES</v>
      </c>
      <c r="JM93" s="207" t="str">
        <f>IFERROR(INDEX($A$2:$A$113,MATCH(ROWS($FQ$2:FQ93),$FQ$2:$FQ$113,0)),"")</f>
        <v>COMERCIALIZACION Y ENTREGA DE ESTUPEFACIENTES</v>
      </c>
      <c r="JN93" s="207" t="str">
        <f>IFERROR(INDEX($A$2:$A$113,MATCH(ROWS($FR$2:FR93),$FR$2:$FR$113,0)),"")</f>
        <v>COMERCIALIZACION Y ENTREGA DE ESTUPEFACIENTES</v>
      </c>
      <c r="JO93" s="207" t="str">
        <f>IFERROR(INDEX($A$2:$A$113,MATCH(ROWS($FS$2:FS93),$FS$2:$FS$113,0)),"")</f>
        <v>COMERCIALIZACION Y ENTREGA DE ESTUPEFACIENTES</v>
      </c>
      <c r="JP93" s="207" t="str">
        <f>IFERROR(INDEX($A$2:$A$113,MATCH(ROWS($FT$2:FT93),$FT$2:$FT$113,0)),"")</f>
        <v>COMERCIALIZACION Y ENTREGA DE ESTUPEFACIENTES</v>
      </c>
      <c r="JQ93" s="207" t="str">
        <f>IFERROR(INDEX($A$2:$A$113,MATCH(ROWS($FU$2:FU93),$FU$2:$FU$113,0)),"")</f>
        <v>COMERCIALIZACION Y ENTREGA DE ESTUPEFACIENTES</v>
      </c>
      <c r="JR93" s="207" t="str">
        <f>IFERROR(INDEX($A$2:$A$113,MATCH(ROWS($FV$2:FV93),$FV$2:$FV$113,0)),"")</f>
        <v>COMERCIALIZACION Y ENTREGA DE ESTUPEFACIENTES</v>
      </c>
      <c r="JS93" s="207" t="str">
        <f>IFERROR(INDEX($A$2:$A$113,MATCH(ROWS($FW$2:FW93),$FW$2:$FW$113,0)),"")</f>
        <v>COMERCIALIZACION Y ENTREGA DE ESTUPEFACIENTES</v>
      </c>
      <c r="JT93" s="207" t="str">
        <f>IFERROR(INDEX($A$2:$A$113,MATCH(ROWS($FX$2:FX93),$FX$2:$FX$113,0)),"")</f>
        <v>COMERCIALIZACION Y ENTREGA DE ESTUPEFACIENTES</v>
      </c>
      <c r="JU93" s="207" t="str">
        <f>IFERROR(INDEX($A$2:$A$113,MATCH(ROWS($FY$2:FY93),$FY$2:$FY$113,0)),"")</f>
        <v>COMERCIALIZACION Y ENTREGA DE ESTUPEFACIENTES</v>
      </c>
      <c r="JV93" s="207" t="str">
        <f>IFERROR(INDEX($A$2:$A$113,MATCH(ROWS($FZ$2:FZ93),$FZ$2:$FZ$113,0)),"")</f>
        <v>COMERCIALIZACION Y ENTREGA DE ESTUPEFACIENTES</v>
      </c>
      <c r="JW93" s="207" t="str">
        <f>IFERROR(INDEX($A$2:$A$113,MATCH(ROWS($GA$2:GA93),$GA$2:$GA$113,0)),"")</f>
        <v>COMERCIALIZACION Y ENTREGA DE ESTUPEFACIENTES</v>
      </c>
      <c r="JX93" s="207" t="str">
        <f>IFERROR(INDEX($A$2:$A$113,MATCH(ROWS($GB$2:GB93),$GB$2:$GB$113,0)),"")</f>
        <v>COMERCIALIZACION Y ENTREGA DE ESTUPEFACIENTES</v>
      </c>
      <c r="JY93" s="207" t="str">
        <f>IFERROR(INDEX($A$2:$A$113,MATCH(ROWS($GC$2:GC93),$GC$2:$GC$113,0)),"")</f>
        <v>COMERCIALIZACION Y ENTREGA DE ESTUPEFACIENTES</v>
      </c>
      <c r="JZ93" s="207" t="str">
        <f>IFERROR(INDEX($A$2:$A$113,MATCH(ROWS($GD$2:GD93),$GD$2:$GD$113,0)),"")</f>
        <v>COMERCIALIZACION Y ENTREGA DE ESTUPEFACIENTES</v>
      </c>
      <c r="KA93" s="207" t="str">
        <f>IFERROR(INDEX($A$2:$A$113,MATCH(ROWS($GE$2:GE93),$GE$2:$GE$113,0)),"")</f>
        <v>COMERCIALIZACION Y ENTREGA DE ESTUPEFACIENTES</v>
      </c>
      <c r="KB93" s="207" t="str">
        <f>IFERROR(INDEX($A$2:$A$113,MATCH(ROWS($GF$2:GF93),$GF$2:$GF$113,0)),"")</f>
        <v>COMERCIALIZACION Y ENTREGA DE ESTUPEFACIENTES</v>
      </c>
      <c r="KC93" s="207" t="str">
        <f>IFERROR(INDEX($A$2:$A$113,MATCH(ROWS($GG$2:GG93),$GG$2:$GG$113,0)),"")</f>
        <v>COMERCIALIZACION Y ENTREGA DE ESTUPEFACIENTES</v>
      </c>
      <c r="KD93" s="207" t="str">
        <f>IFERROR(INDEX($A$2:$A$113,MATCH(ROWS($GH$2:GH93),$GH$2:$GH$113,0)),"")</f>
        <v>COMERCIALIZACION Y ENTREGA DE ESTUPEFACIENTES</v>
      </c>
      <c r="KE93" s="207" t="str">
        <f>IFERROR(INDEX($A$2:$A$113,MATCH(ROWS($GI$2:GI93),$GI$2:$GI$113,0)),"")</f>
        <v>COMERCIALIZACION Y ENTREGA DE ESTUPEFACIENTES</v>
      </c>
      <c r="KF93" s="207" t="str">
        <f>IFERROR(INDEX($A$2:$A$113,MATCH(ROWS($GJ$2:GJ93),$GJ$2:$GJ$113,0)),"")</f>
        <v>COMERCIALIZACION Y ENTREGA DE ESTUPEFACIENTES</v>
      </c>
      <c r="KG93" s="207" t="str">
        <f>IFERROR(INDEX($A$2:$A$113,MATCH(ROWS($GK$2:GK93),$GK$2:$GK$113,0)),"")</f>
        <v>COMERCIALIZACION Y ENTREGA DE ESTUPEFACIENTES</v>
      </c>
      <c r="KH93" s="207" t="str">
        <f>IFERROR(INDEX($A$2:$A$113,MATCH(ROWS($GL$2:GL93),$GL$2:$GL$113,0)),"")</f>
        <v>COMERCIALIZACION Y ENTREGA DE ESTUPEFACIENTES</v>
      </c>
      <c r="KI93" s="207" t="str">
        <f>IFERROR(INDEX($A$2:$A$113,MATCH(ROWS($GM$2:GM93),$GM$2:$GM$113,0)),"")</f>
        <v>COMERCIALIZACION Y ENTREGA DE ESTUPEFACIENTES</v>
      </c>
      <c r="KJ93" s="207" t="str">
        <f>IFERROR(INDEX($A$2:$A$113,MATCH(ROWS($GN$2:GN93),$GN$2:$GN$113,0)),"")</f>
        <v>COMERCIALIZACION Y ENTREGA DE ESTUPEFACIENTES</v>
      </c>
      <c r="KK93" s="207" t="str">
        <f>IFERROR(INDEX($A$2:$A$113,MATCH(ROWS($GO$2:GO93),$GO$2:$GO$113,0)),"")</f>
        <v>COMERCIALIZACION Y ENTREGA DE ESTUPEFACIENTES</v>
      </c>
      <c r="KL93" s="207" t="str">
        <f>IFERROR(INDEX($A$2:$A$113,MATCH(ROWS($GP$2:GP93),$GP$2:$GP$113,0)),"")</f>
        <v>COMERCIALIZACION Y ENTREGA DE ESTUPEFACIENTES</v>
      </c>
      <c r="KM93" s="207" t="str">
        <f>IFERROR(INDEX($A$2:$A$113,MATCH(ROWS($GQ$2:GQ93),$GQ$2:$GQ$113,0)),"")</f>
        <v>COMERCIALIZACION Y ENTREGA DE ESTUPEFACIENTES</v>
      </c>
      <c r="KN93" s="207" t="str">
        <f>IFERROR(INDEX($A$2:$A$113,MATCH(ROWS($GR$2:GR93),$GR$2:$GR$113,0)),"")</f>
        <v>COMERCIALIZACION Y ENTREGA DE ESTUPEFACIENTES</v>
      </c>
      <c r="KO93" s="207" t="str">
        <f>IFERROR(INDEX($A$2:$A$113,MATCH(ROWS($GS$2:GS93),$GS$2:$GS$113,0)),"")</f>
        <v>COMERCIALIZACION Y ENTREGA DE ESTUPEFACIENTES</v>
      </c>
      <c r="KP93" s="207" t="str">
        <f>IFERROR(INDEX($A$2:$A$113,MATCH(ROWS($GT$2:GT93),$GT$2:$GT$113,0)),"")</f>
        <v>COMERCIALIZACION Y ENTREGA DE ESTUPEFACIENTES</v>
      </c>
      <c r="KQ93" s="207" t="str">
        <f>IFERROR(INDEX($A$2:$A$113,MATCH(ROWS($GU$2:GU93),$GU$2:$GU$113,0)),"")</f>
        <v>COMERCIALIZACION Y ENTREGA DE ESTUPEFACIENTES</v>
      </c>
      <c r="KR93" s="207" t="str">
        <f>IFERROR(INDEX($A$2:$A$113,MATCH(ROWS($GV$2:GV93),$GV$2:$GV$113,0)),"")</f>
        <v>COMERCIALIZACION Y ENTREGA DE ESTUPEFACIENTES</v>
      </c>
      <c r="KS93" s="207" t="str">
        <f>IFERROR(INDEX($A$2:$A$113,MATCH(ROWS($GW$2:GW93),$GW$2:$GW$113,0)),"")</f>
        <v>COMERCIALIZACION Y ENTREGA DE ESTUPEFACIENTES</v>
      </c>
    </row>
    <row r="94" spans="1:305" x14ac:dyDescent="0.25">
      <c r="A94" s="206" t="s">
        <v>33</v>
      </c>
      <c r="B94" s="206" t="s">
        <v>118</v>
      </c>
      <c r="D94" s="206" t="s">
        <v>33</v>
      </c>
      <c r="E94" s="206" t="s">
        <v>116</v>
      </c>
      <c r="F94" s="207">
        <f>--ISNUMBER(IFERROR(SEARCH('PLANILLA DJ'!$X$3,$A94,1),""))</f>
        <v>1</v>
      </c>
      <c r="G94" s="207">
        <f>--ISNUMBER(IFERROR(SEARCH('PLANILLA DJ'!$X$4,$A94,1),""))</f>
        <v>1</v>
      </c>
      <c r="H94" s="207">
        <f>--ISNUMBER(IFERROR(SEARCH('PLANILLA DJ'!$X$5,$A94,1),""))</f>
        <v>1</v>
      </c>
      <c r="I94" s="207">
        <f>--ISNUMBER(IFERROR(SEARCH('PLANILLA DJ'!$X$6,$A94,1),""))</f>
        <v>1</v>
      </c>
      <c r="J94" s="207">
        <f>--ISNUMBER(IFERROR(SEARCH('PLANILLA DJ'!$X$7,$A94,1),""))</f>
        <v>1</v>
      </c>
      <c r="K94" s="207">
        <f>--ISNUMBER(IFERROR(SEARCH('PLANILLA DJ'!$X$8,$A94,1),""))</f>
        <v>1</v>
      </c>
      <c r="L94" s="207">
        <f>--ISNUMBER(IFERROR(SEARCH('PLANILLA DJ'!$X$9,$A94,1),""))</f>
        <v>1</v>
      </c>
      <c r="M94" s="207">
        <f>--ISNUMBER(IFERROR(SEARCH('PLANILLA DJ'!$X$10,$A94,1),""))</f>
        <v>1</v>
      </c>
      <c r="N94" s="207">
        <f>--ISNUMBER(IFERROR(SEARCH('PLANILLA DJ'!$X$11,$A94,1),""))</f>
        <v>1</v>
      </c>
      <c r="O94" s="207">
        <f>--ISNUMBER(IFERROR(SEARCH('PLANILLA DJ'!$X$12,$A94,1),""))</f>
        <v>1</v>
      </c>
      <c r="P94" s="207">
        <f>--ISNUMBER(IFERROR(SEARCH('PLANILLA DJ'!$X$13,$A94,1),""))</f>
        <v>1</v>
      </c>
      <c r="Q94" s="207">
        <f>--ISNUMBER(IFERROR(SEARCH('PLANILLA DJ'!$X$14,$A94,1),""))</f>
        <v>1</v>
      </c>
      <c r="R94" s="207">
        <f>--ISNUMBER(IFERROR(SEARCH('PLANILLA DJ'!$X$15,$A94,1),""))</f>
        <v>1</v>
      </c>
      <c r="S94" s="207">
        <f>--ISNUMBER(IFERROR(SEARCH('PLANILLA DJ'!$X$16,$A94,1),""))</f>
        <v>1</v>
      </c>
      <c r="T94" s="207">
        <f>--ISNUMBER(IFERROR(SEARCH('PLANILLA DJ'!$X$17,$A94,1),""))</f>
        <v>1</v>
      </c>
      <c r="U94" s="207">
        <f>--ISNUMBER(IFERROR(SEARCH('PLANILLA DJ'!$X$18,$A94,1),""))</f>
        <v>1</v>
      </c>
      <c r="V94" s="207">
        <f>--ISNUMBER(IFERROR(SEARCH('PLANILLA DJ'!$X$19,$A94,1),""))</f>
        <v>1</v>
      </c>
      <c r="W94" s="207">
        <f>--ISNUMBER(IFERROR(SEARCH('PLANILLA DJ'!$X$20,$A94,1),""))</f>
        <v>1</v>
      </c>
      <c r="X94" s="207">
        <f>--ISNUMBER(IFERROR(SEARCH('PLANILLA DJ'!$X$21,$A94,1),""))</f>
        <v>1</v>
      </c>
      <c r="Y94" s="207">
        <f>--ISNUMBER(IFERROR(SEARCH('PLANILLA DJ'!$X$22,$A94,1),""))</f>
        <v>1</v>
      </c>
      <c r="Z94" s="207">
        <f>--ISNUMBER(IFERROR(SEARCH('PLANILLA DJ'!$X$23,$A94,1),""))</f>
        <v>1</v>
      </c>
      <c r="AA94" s="207">
        <f>--ISNUMBER(IFERROR(SEARCH('PLANILLA DJ'!$X$24,$A94,1),""))</f>
        <v>1</v>
      </c>
      <c r="AB94" s="207">
        <f>--ISNUMBER(IFERROR(SEARCH('PLANILLA DJ'!$X$25,$A94,1),""))</f>
        <v>1</v>
      </c>
      <c r="AC94" s="207">
        <f>--ISNUMBER(IFERROR(SEARCH('PLANILLA DJ'!$X$26,$A94,1),""))</f>
        <v>1</v>
      </c>
      <c r="AD94" s="207">
        <f>--ISNUMBER(IFERROR(SEARCH('PLANILLA DJ'!$X$27,$A94,1),""))</f>
        <v>1</v>
      </c>
      <c r="AE94" s="207">
        <f>--ISNUMBER(IFERROR(SEARCH('PLANILLA DJ'!$X$28,$A94,1),""))</f>
        <v>1</v>
      </c>
      <c r="AF94" s="207">
        <f>--ISNUMBER(IFERROR(SEARCH('PLANILLA DJ'!$X$29,$A94,1),""))</f>
        <v>1</v>
      </c>
      <c r="AG94" s="207">
        <f>--ISNUMBER(IFERROR(SEARCH('PLANILLA DJ'!$X$30,$A94,1),""))</f>
        <v>1</v>
      </c>
      <c r="AH94" s="207">
        <f>--ISNUMBER(IFERROR(SEARCH('PLANILLA DJ'!$X$31,$A94,1),""))</f>
        <v>1</v>
      </c>
      <c r="AI94" s="207">
        <f>--ISNUMBER(IFERROR(SEARCH('PLANILLA DJ'!$X$32,$A94,1),""))</f>
        <v>1</v>
      </c>
      <c r="AJ94" s="207">
        <f>--ISNUMBER(IFERROR(SEARCH('PLANILLA DJ'!$X$33,$A94,1),""))</f>
        <v>1</v>
      </c>
      <c r="AK94" s="207">
        <f>--ISNUMBER(IFERROR(SEARCH('PLANILLA DJ'!$X$34,$A94,1),""))</f>
        <v>1</v>
      </c>
      <c r="AL94" s="207">
        <f>--ISNUMBER(IFERROR(SEARCH('PLANILLA DJ'!$X$35,$A94,1),""))</f>
        <v>1</v>
      </c>
      <c r="AM94" s="207">
        <f>--ISNUMBER(IFERROR(SEARCH('PLANILLA DJ'!$X$36,$A94,1),""))</f>
        <v>1</v>
      </c>
      <c r="AN94" s="207">
        <f>--ISNUMBER(IFERROR(SEARCH('PLANILLA DJ'!$X$37,$A94,1),""))</f>
        <v>1</v>
      </c>
      <c r="AO94" s="207">
        <f>--ISNUMBER(IFERROR(SEARCH('PLANILLA DJ'!$X$38,$A94,1),""))</f>
        <v>1</v>
      </c>
      <c r="AP94" s="207">
        <f>--ISNUMBER(IFERROR(SEARCH('PLANILLA DJ'!$X$39,$A94,1),""))</f>
        <v>1</v>
      </c>
      <c r="AQ94" s="207">
        <f>--ISNUMBER(IFERROR(SEARCH('PLANILLA DJ'!$X$40,$A94,1),""))</f>
        <v>1</v>
      </c>
      <c r="AR94" s="207">
        <f>--ISNUMBER(IFERROR(SEARCH('PLANILLA DJ'!$X$41,$A94,1),""))</f>
        <v>1</v>
      </c>
      <c r="AS94" s="207">
        <f>--ISNUMBER(IFERROR(SEARCH('PLANILLA DJ'!$X$42,$A94,1),""))</f>
        <v>1</v>
      </c>
      <c r="AT94" s="207">
        <f>--ISNUMBER(IFERROR(SEARCH('PLANILLA DJ'!$X$43,$A94,1),""))</f>
        <v>1</v>
      </c>
      <c r="AU94" s="207">
        <f>--ISNUMBER(IFERROR(SEARCH('PLANILLA DJ'!$X$44,$A94,1),""))</f>
        <v>1</v>
      </c>
      <c r="AV94" s="207">
        <f>--ISNUMBER(IFERROR(SEARCH('PLANILLA DJ'!$X$45,$A94,1),""))</f>
        <v>1</v>
      </c>
      <c r="AW94" s="207">
        <f>--ISNUMBER(IFERROR(SEARCH('PLANILLA DJ'!$X$46,$A94,1),""))</f>
        <v>1</v>
      </c>
      <c r="AX94" s="207">
        <f>--ISNUMBER(IFERROR(SEARCH('PLANILLA DJ'!$X$47,$A94,1),""))</f>
        <v>1</v>
      </c>
      <c r="AY94" s="207">
        <f>--ISNUMBER(IFERROR(SEARCH('PLANILLA DJ'!$X$48,$A94,1),""))</f>
        <v>1</v>
      </c>
      <c r="AZ94" s="207">
        <f>--ISNUMBER(IFERROR(SEARCH('PLANILLA DJ'!$X$49,$A94,1),""))</f>
        <v>1</v>
      </c>
      <c r="BA94" s="207">
        <f>--ISNUMBER(IFERROR(SEARCH('PLANILLA DJ'!$X$50,$A94,1),""))</f>
        <v>1</v>
      </c>
      <c r="BB94" s="207">
        <f>--ISNUMBER(IFERROR(SEARCH('PLANILLA DJ'!$X$51,$A94,1),""))</f>
        <v>1</v>
      </c>
      <c r="BC94" s="207">
        <f>--ISNUMBER(IFERROR(SEARCH('PLANILLA DJ'!$X$52,$A94,1),""))</f>
        <v>1</v>
      </c>
      <c r="BD94" s="207">
        <f>--ISNUMBER(IFERROR(SEARCH('PLANILLA DJ'!$X$53,$A94,1),""))</f>
        <v>1</v>
      </c>
      <c r="BE94" s="207">
        <f>--ISNUMBER(IFERROR(SEARCH('PLANILLA DJ'!$X$54,$A94,1),""))</f>
        <v>1</v>
      </c>
      <c r="BF94" s="207">
        <f>--ISNUMBER(IFERROR(SEARCH('PLANILLA DJ'!$X$55,$A94,1),""))</f>
        <v>1</v>
      </c>
      <c r="BG94" s="207">
        <f>--ISNUMBER(IFERROR(SEARCH('PLANILLA DJ'!$X$56,$A94,1),""))</f>
        <v>1</v>
      </c>
      <c r="BH94" s="207">
        <f>--ISNUMBER(IFERROR(SEARCH('PLANILLA DJ'!$X$57,$A94,1),""))</f>
        <v>1</v>
      </c>
      <c r="BI94" s="207">
        <f>--ISNUMBER(IFERROR(SEARCH('PLANILLA DJ'!$X$58,$A94,1),""))</f>
        <v>1</v>
      </c>
      <c r="BJ94" s="207">
        <f>--ISNUMBER(IFERROR(SEARCH('PLANILLA DJ'!$X$59,$A94,1),""))</f>
        <v>1</v>
      </c>
      <c r="BK94" s="207">
        <f>--ISNUMBER(IFERROR(SEARCH('PLANILLA DJ'!$X$60,$A94,1),""))</f>
        <v>1</v>
      </c>
      <c r="BL94" s="207">
        <f>--ISNUMBER(IFERROR(SEARCH('PLANILLA DJ'!$X$61,$A94,1),""))</f>
        <v>1</v>
      </c>
      <c r="BM94" s="207">
        <f>--ISNUMBER(IFERROR(SEARCH('PLANILLA DJ'!$X$62,$A94,1),""))</f>
        <v>1</v>
      </c>
      <c r="BN94" s="207">
        <f>--ISNUMBER(IFERROR(SEARCH('PLANILLA DJ'!$X$63,$A94,1),""))</f>
        <v>1</v>
      </c>
      <c r="BO94" s="207">
        <f>--ISNUMBER(IFERROR(SEARCH('PLANILLA DJ'!$X$64,$A94,1),""))</f>
        <v>1</v>
      </c>
      <c r="BP94" s="207">
        <f>--ISNUMBER(IFERROR(SEARCH('PLANILLA DJ'!$X$65,$A94,1),""))</f>
        <v>1</v>
      </c>
      <c r="BQ94" s="207">
        <f>--ISNUMBER(IFERROR(SEARCH('PLANILLA DJ'!$X$66,$A94,1),""))</f>
        <v>1</v>
      </c>
      <c r="BR94" s="207">
        <f>--ISNUMBER(IFERROR(SEARCH('PLANILLA DJ'!$X$67,$A94,1),""))</f>
        <v>1</v>
      </c>
      <c r="BS94" s="207">
        <f>--ISNUMBER(IFERROR(SEARCH('PLANILLA DJ'!$X$68,$A94,1),""))</f>
        <v>1</v>
      </c>
      <c r="BT94" s="207">
        <f>--ISNUMBER(IFERROR(SEARCH('PLANILLA DJ'!$X$69,$A94,1),""))</f>
        <v>1</v>
      </c>
      <c r="BU94" s="207">
        <f>--ISNUMBER(IFERROR(SEARCH('PLANILLA DJ'!$X$70,$A94,1),""))</f>
        <v>1</v>
      </c>
      <c r="BV94" s="207">
        <f>--ISNUMBER(IFERROR(SEARCH('PLANILLA DJ'!$X$71,$A94,1),""))</f>
        <v>1</v>
      </c>
      <c r="BW94" s="207">
        <f>--ISNUMBER(IFERROR(SEARCH('PLANILLA DJ'!$X$72,$A94,1),""))</f>
        <v>1</v>
      </c>
      <c r="BX94" s="207">
        <f>--ISNUMBER(IFERROR(SEARCH('PLANILLA DJ'!$X$73,$A94,1),""))</f>
        <v>1</v>
      </c>
      <c r="BY94" s="207">
        <f>--ISNUMBER(IFERROR(SEARCH('PLANILLA DJ'!$X$74,$A94,1),""))</f>
        <v>1</v>
      </c>
      <c r="BZ94" s="207">
        <f>--ISNUMBER(IFERROR(SEARCH('PLANILLA DJ'!$X$75,$A94,1),""))</f>
        <v>1</v>
      </c>
      <c r="CA94" s="207">
        <f>--ISNUMBER(IFERROR(SEARCH('PLANILLA DJ'!$X$76,$A94,1),""))</f>
        <v>1</v>
      </c>
      <c r="CB94" s="207">
        <f>--ISNUMBER(IFERROR(SEARCH('PLANILLA DJ'!$X$77,$A94,1),""))</f>
        <v>1</v>
      </c>
      <c r="CC94" s="207">
        <f>--ISNUMBER(IFERROR(SEARCH('PLANILLA DJ'!$X$78,$A94,1),""))</f>
        <v>1</v>
      </c>
      <c r="CD94" s="207">
        <f>--ISNUMBER(IFERROR(SEARCH('PLANILLA DJ'!$X$79,$A94,1),""))</f>
        <v>1</v>
      </c>
      <c r="CE94" s="207">
        <f>--ISNUMBER(IFERROR(SEARCH('PLANILLA DJ'!$X$80,$A94,1),""))</f>
        <v>1</v>
      </c>
      <c r="CF94" s="207">
        <f>--ISNUMBER(IFERROR(SEARCH('PLANILLA DJ'!$X$81,$A94,1),""))</f>
        <v>1</v>
      </c>
      <c r="CG94" s="207">
        <f>--ISNUMBER(IFERROR(SEARCH('PLANILLA DJ'!$X$82,$A94,1),""))</f>
        <v>1</v>
      </c>
      <c r="CH94" s="207">
        <f>--ISNUMBER(IFERROR(SEARCH('PLANILLA DJ'!$X$83,$A94,1),""))</f>
        <v>1</v>
      </c>
      <c r="CI94" s="207">
        <f>--ISNUMBER(IFERROR(SEARCH('PLANILLA DJ'!$X$84,$A94,1),""))</f>
        <v>1</v>
      </c>
      <c r="CJ94" s="207">
        <f>--ISNUMBER(IFERROR(SEARCH('PLANILLA DJ'!$X$85,$A94,1),""))</f>
        <v>1</v>
      </c>
      <c r="CK94" s="207">
        <f>--ISNUMBER(IFERROR(SEARCH('PLANILLA DJ'!$X$86,$A94,1),""))</f>
        <v>1</v>
      </c>
      <c r="CL94" s="207">
        <f>--ISNUMBER(IFERROR(SEARCH('PLANILLA DJ'!$X$87,$A94,1),""))</f>
        <v>1</v>
      </c>
      <c r="CM94" s="207">
        <f>--ISNUMBER(IFERROR(SEARCH('PLANILLA DJ'!$X$88,$A94,1),""))</f>
        <v>1</v>
      </c>
      <c r="CN94" s="207">
        <f>--ISNUMBER(IFERROR(SEARCH('PLANILLA DJ'!$X$89,$A94,1),""))</f>
        <v>1</v>
      </c>
      <c r="CO94" s="207">
        <f>--ISNUMBER(IFERROR(SEARCH('PLANILLA DJ'!$X$90,$A94,1),""))</f>
        <v>1</v>
      </c>
      <c r="CP94" s="207">
        <f>--ISNUMBER(IFERROR(SEARCH('PLANILLA DJ'!$X$91,$A94,1),""))</f>
        <v>1</v>
      </c>
      <c r="CQ94" s="207">
        <f>--ISNUMBER(IFERROR(SEARCH('PLANILLA DJ'!$X$92,$A94,1),""))</f>
        <v>1</v>
      </c>
      <c r="CR94" s="207">
        <f>--ISNUMBER(IFERROR(SEARCH('PLANILLA DJ'!$X$93,$A94,1),""))</f>
        <v>1</v>
      </c>
      <c r="CS94" s="207">
        <f>--ISNUMBER(IFERROR(SEARCH('PLANILLA DJ'!$X$94,$A94,1),""))</f>
        <v>1</v>
      </c>
      <c r="CT94" s="207">
        <f>--ISNUMBER(IFERROR(SEARCH('PLANILLA DJ'!$X$95,$A94,1),""))</f>
        <v>1</v>
      </c>
      <c r="CU94" s="207">
        <f>--ISNUMBER(IFERROR(SEARCH('PLANILLA DJ'!$X$96,$A94,1),""))</f>
        <v>1</v>
      </c>
      <c r="CV94" s="207">
        <f>--ISNUMBER(IFERROR(SEARCH('PLANILLA DJ'!$X$97,$A94,1),""))</f>
        <v>1</v>
      </c>
      <c r="CW94" s="207">
        <f>--ISNUMBER(IFERROR(SEARCH('PLANILLA DJ'!$X$98,$A94,1),""))</f>
        <v>1</v>
      </c>
      <c r="CX94" s="207">
        <f>--ISNUMBER(IFERROR(SEARCH('PLANILLA DJ'!$X$99,$A94,1),""))</f>
        <v>1</v>
      </c>
      <c r="CY94" s="207">
        <f>--ISNUMBER(IFERROR(SEARCH('PLANILLA DJ'!$X$100,$A94,1),""))</f>
        <v>1</v>
      </c>
      <c r="CZ94" s="207">
        <f>--ISNUMBER(IFERROR(SEARCH('PLANILLA DJ'!$X$101,$A94,1),""))</f>
        <v>1</v>
      </c>
      <c r="DA94" s="207">
        <f>--ISNUMBER(IFERROR(SEARCH('PLANILLA DJ'!$X$102,$A94,1),""))</f>
        <v>1</v>
      </c>
      <c r="DB94" s="206">
        <f>IF(F94=1,COUNTIF($F$2:F94,1),"")</f>
        <v>93</v>
      </c>
      <c r="DC94" s="206">
        <f>IF(G94=1,COUNTIF($G$2:G94,1),"")</f>
        <v>93</v>
      </c>
      <c r="DD94" s="206">
        <f>IF(H94=1,COUNTIF($H$2:H94,1),"")</f>
        <v>93</v>
      </c>
      <c r="DE94" s="206">
        <f>IF(I94=1,COUNTIF($I$2:I94,1),"")</f>
        <v>93</v>
      </c>
      <c r="DF94" s="206">
        <f>IF(J94=1,COUNTIF($J$2:J94,1),"")</f>
        <v>93</v>
      </c>
      <c r="DG94" s="206">
        <f>IF(K94=1,COUNTIF($K$2:K94,1),"")</f>
        <v>93</v>
      </c>
      <c r="DH94" s="206">
        <f>IF(L94=1,COUNTIF($L$2:L94,1),"")</f>
        <v>93</v>
      </c>
      <c r="DI94" s="206">
        <f>IF(M94=1,COUNTIF($M$2:M94,1),"")</f>
        <v>93</v>
      </c>
      <c r="DJ94" s="206">
        <f>IF(N94=1,COUNTIF($N$2:N94,1),"")</f>
        <v>93</v>
      </c>
      <c r="DK94" s="206">
        <f>IF(O94=1,COUNTIF($O$2:O94,1),"")</f>
        <v>93</v>
      </c>
      <c r="DL94" s="206">
        <f>IF(P94=1,COUNTIF($P$2:P94,1),"")</f>
        <v>93</v>
      </c>
      <c r="DM94" s="206">
        <f>IF(Q94=1,COUNTIF($Q$2:Q94,1),"")</f>
        <v>93</v>
      </c>
      <c r="DN94" s="207">
        <f>IF(R94=1,COUNTIF($R$2:R94,1),"")</f>
        <v>93</v>
      </c>
      <c r="DO94" s="207">
        <f>IF(S94=1,COUNTIF($S$2:S94,1),"")</f>
        <v>93</v>
      </c>
      <c r="DP94" s="207">
        <f>IF(T94=1,COUNTIF($T$2:T94,1),"")</f>
        <v>93</v>
      </c>
      <c r="DQ94" s="207">
        <f>IF(U94=1,COUNTIF($U$2:U94,1),"")</f>
        <v>93</v>
      </c>
      <c r="DR94" s="207">
        <f>IF(V94=1,COUNTIF($V$2:V94,1),"")</f>
        <v>93</v>
      </c>
      <c r="DS94" s="207">
        <f>IF(W94=1,COUNTIF($W$2:W94,1),"")</f>
        <v>93</v>
      </c>
      <c r="DT94" s="207">
        <f>IF(X94=1,COUNTIF($X$2:X94,1),"")</f>
        <v>93</v>
      </c>
      <c r="DU94" s="207">
        <f>IF(Y94=1,COUNTIF($Y$2:Y94,1),"")</f>
        <v>93</v>
      </c>
      <c r="DV94" s="207">
        <f>IF(Z94=1,COUNTIF(Z$2:Z94,1),"")</f>
        <v>93</v>
      </c>
      <c r="DW94" s="207">
        <f>IF(AA94=1,COUNTIF($AA$2:AA94,1),"")</f>
        <v>93</v>
      </c>
      <c r="DX94" s="207">
        <f>IF(AB94=1,COUNTIF($AB$2:AB94,1),"")</f>
        <v>93</v>
      </c>
      <c r="DY94" s="207">
        <f>IF(AC94=1,COUNTIF($AC$2:AC94,1),"")</f>
        <v>93</v>
      </c>
      <c r="DZ94" s="207">
        <f>IF(AD94=1,COUNTIF($AD$2:AD94,1),"")</f>
        <v>93</v>
      </c>
      <c r="EA94" s="207">
        <f>IF(AE94=1,COUNTIF($AE$2:AE94,1),"")</f>
        <v>93</v>
      </c>
      <c r="EB94" s="207">
        <f>IF(AF94=1,COUNTIF($AF$2:AF94,1),"")</f>
        <v>93</v>
      </c>
      <c r="EC94" s="207">
        <f>IF(AG94=1,COUNTIF($AG$2:AG94,1),"")</f>
        <v>93</v>
      </c>
      <c r="ED94" s="207">
        <f>IF(AH94=1,COUNTIF($AH$2:AH94,1),"")</f>
        <v>93</v>
      </c>
      <c r="EE94" s="207">
        <f>IF(AI94=1,COUNTIF($AI$2:AI94,1),"")</f>
        <v>93</v>
      </c>
      <c r="EF94" s="207">
        <f>IF(AJ94=1,COUNTIF($AJ$2:AJ94,1),"")</f>
        <v>93</v>
      </c>
      <c r="EG94" s="207">
        <f>IF(AK94=1,COUNTIF($AK$2:AK94,1),"")</f>
        <v>93</v>
      </c>
      <c r="EH94" s="207">
        <f>IF(AL94=1,COUNTIF($AL$2:AL94,1),"")</f>
        <v>93</v>
      </c>
      <c r="EI94" s="207">
        <f>IF(AM94=1,COUNTIF($AM$2:AM94,1),"")</f>
        <v>93</v>
      </c>
      <c r="EJ94" s="207">
        <f>IF(AN94=1,COUNTIF($AN$2:AN94,1),"")</f>
        <v>93</v>
      </c>
      <c r="EK94" s="207">
        <f>IF(AO94=1,COUNTIF($AO$2:AO94,1),"")</f>
        <v>93</v>
      </c>
      <c r="EL94" s="207">
        <f>IF(AP94=1,COUNTIF($AP$2:AP94,1),"")</f>
        <v>93</v>
      </c>
      <c r="EM94" s="207">
        <f>IF(AQ94=1,COUNTIF($AQ$2:AQ94,1),"")</f>
        <v>93</v>
      </c>
      <c r="EN94" s="207">
        <f>IF(AR94=1,COUNTIF($AR$2:AR94,1),"")</f>
        <v>93</v>
      </c>
      <c r="EO94" s="207">
        <f>IF(AS94=1,COUNTIF($AS$2:AS94,1),"")</f>
        <v>93</v>
      </c>
      <c r="EP94" s="207">
        <f>IF(AT94=1,COUNTIF($AT$2:AT94,1),"")</f>
        <v>93</v>
      </c>
      <c r="EQ94" s="207">
        <f>IF(AU94=1,COUNTIF($AU$2:AU94,1),"")</f>
        <v>93</v>
      </c>
      <c r="ER94" s="207">
        <f>IF(AV94=1,COUNTIF($AV$2:AV94,1),"")</f>
        <v>93</v>
      </c>
      <c r="ES94" s="207">
        <f>IF(AW94=1,COUNTIF($AW$2:AW94,1),"")</f>
        <v>93</v>
      </c>
      <c r="ET94" s="207">
        <f>IF(AX94=1,COUNTIF($AX$2:AX94,1),"")</f>
        <v>93</v>
      </c>
      <c r="EU94" s="207">
        <f>IF(AY94=1,COUNTIF($AY$2:AY94,1),"")</f>
        <v>93</v>
      </c>
      <c r="EV94" s="207">
        <f>IF(AZ94=1,COUNTIF($AZ$2:AZ94,1),"")</f>
        <v>93</v>
      </c>
      <c r="EW94" s="207">
        <f>IF(BA94=1,COUNTIF($BA$2:BA94,1),"")</f>
        <v>93</v>
      </c>
      <c r="EX94" s="207">
        <f>IF(BB94=1,COUNTIF($BB$2:BB94,1),"")</f>
        <v>93</v>
      </c>
      <c r="EY94" s="207">
        <f>IF(BC94=1,COUNTIF($BC$2:BC94,1),"")</f>
        <v>93</v>
      </c>
      <c r="EZ94" s="207">
        <f>IF(BD94=1,COUNTIF($BD$2:BD94,1),"")</f>
        <v>93</v>
      </c>
      <c r="FA94" s="207">
        <f>IF(BE94=1,COUNTIF($BE$2:BE94,1),"")</f>
        <v>93</v>
      </c>
      <c r="FB94" s="207">
        <f>IF(BF94=1,COUNTIF($BF$2:BF94,1),"")</f>
        <v>93</v>
      </c>
      <c r="FC94" s="207">
        <f>IF(BG94=1,COUNTIF($BG$2:BG94,1),"")</f>
        <v>93</v>
      </c>
      <c r="FD94" s="207">
        <f>IF(BH94=1,COUNTIF($BH$2:BH94,1),"")</f>
        <v>93</v>
      </c>
      <c r="FE94" s="207">
        <f>IF(BI94=1,COUNTIF($BI$2:BI94,1),"")</f>
        <v>93</v>
      </c>
      <c r="FF94" s="207">
        <f>IF(BJ94=1,COUNTIF($BJ$2:BJ94,1),"")</f>
        <v>93</v>
      </c>
      <c r="FG94" s="207">
        <f>IF(BK94=1,COUNTIF($BK$2:BK94,1),"")</f>
        <v>93</v>
      </c>
      <c r="FH94" s="207">
        <f>IF(BL94=1,COUNTIF($BL$2:BL94,1),"")</f>
        <v>93</v>
      </c>
      <c r="FI94" s="207">
        <f>IF(BM94=1,COUNTIF($BM$2:BM94,1),"")</f>
        <v>93</v>
      </c>
      <c r="FJ94" s="207">
        <f>IF(BN94=1,COUNTIF($BN$2:BN94,1),"")</f>
        <v>93</v>
      </c>
      <c r="FK94" s="207">
        <f>IF(BO94=1,COUNTIF($BO$2:BO94,1),"")</f>
        <v>93</v>
      </c>
      <c r="FL94" s="207">
        <f>IF(BP94=1,COUNTIF($BP$2:BP94,1),"")</f>
        <v>93</v>
      </c>
      <c r="FM94" s="207">
        <f>IF(BQ94=1,COUNTIF($BQ$2:BQ94,1),"")</f>
        <v>93</v>
      </c>
      <c r="FN94" s="207">
        <f>IF(BR94=1,COUNTIF($BR$2:BR94,1),"")</f>
        <v>93</v>
      </c>
      <c r="FO94" s="207">
        <f>IF(BS94=1,COUNTIF($BS$2:BS94,1),"")</f>
        <v>93</v>
      </c>
      <c r="FP94" s="207">
        <f>IF(BT94=1,COUNTIF($BT$2:BT94,1),"")</f>
        <v>93</v>
      </c>
      <c r="FQ94" s="207">
        <f>IF(BU94=1,COUNTIF($BU$2:BU94,1),"")</f>
        <v>93</v>
      </c>
      <c r="FR94" s="207">
        <f>IF(BV94=1,COUNTIF($BV$2:BV94,1),"")</f>
        <v>93</v>
      </c>
      <c r="FS94" s="207">
        <f>IF(BW94=1,COUNTIF($BW$2:BW94,1),"")</f>
        <v>93</v>
      </c>
      <c r="FT94" s="207">
        <f>IF(BX94=1,COUNTIF($BX$2:BX94,1),"")</f>
        <v>93</v>
      </c>
      <c r="FU94" s="207">
        <f>IF(BY94=1,COUNTIF($BY$2:BY94,1),"")</f>
        <v>93</v>
      </c>
      <c r="FV94" s="207">
        <f>IF(BZ94=1,COUNTIF($BZ$2:BZ94,1),"")</f>
        <v>93</v>
      </c>
      <c r="FW94" s="207">
        <f>IF(CA94=1,COUNTIF($CA$2:CA94,1),"")</f>
        <v>93</v>
      </c>
      <c r="FX94" s="207">
        <f>IF(CB94=1,COUNTIF($CB$2:CB94,1),"")</f>
        <v>93</v>
      </c>
      <c r="FY94" s="207">
        <f>IF(CC94=1,COUNTIF($CC$2:CC94,1),"")</f>
        <v>93</v>
      </c>
      <c r="FZ94" s="207">
        <f>IF(CD94=1,COUNTIF($CD$2:CD94,1),"")</f>
        <v>93</v>
      </c>
      <c r="GA94" s="207">
        <f>IF(CE94=1,COUNTIF($CE$2:CE94,1),"")</f>
        <v>93</v>
      </c>
      <c r="GB94" s="207">
        <f>IF(CF94=1,COUNTIF($CF$2:CF94,1),"")</f>
        <v>93</v>
      </c>
      <c r="GC94" s="207">
        <f>IF(CG94=1,COUNTIF($CG$2:CG94,1),"")</f>
        <v>93</v>
      </c>
      <c r="GD94" s="207">
        <f>IF(CH94=1,COUNTIF($CH$2:CH94,1),"")</f>
        <v>93</v>
      </c>
      <c r="GE94" s="207">
        <f>IF(CI94=1,COUNTIF($CI$2:CI94,1),"")</f>
        <v>93</v>
      </c>
      <c r="GF94" s="207">
        <f>IF(CJ94=1,COUNTIF($CJ$2:CJ94,1),"")</f>
        <v>93</v>
      </c>
      <c r="GG94" s="207">
        <f>IF(CK94=1,COUNTIF($CK$2:CK94,1),"")</f>
        <v>93</v>
      </c>
      <c r="GH94" s="207">
        <f>IF(CL94=1,COUNTIF($CL$2:CL94,1),"")</f>
        <v>93</v>
      </c>
      <c r="GI94" s="207">
        <f>IF(CM94=1,COUNTIF($CM$2:CM94,1),"")</f>
        <v>93</v>
      </c>
      <c r="GJ94" s="207">
        <f>IF(CN94=1,COUNTIF($CN$2:CN94,1),"")</f>
        <v>93</v>
      </c>
      <c r="GK94" s="207">
        <f>IF(CO94=1,COUNTIF($CO$2:CO94,1),"")</f>
        <v>93</v>
      </c>
      <c r="GL94" s="207">
        <f>IF(CP94=1,COUNTIF($CP$2:CP94,1),"")</f>
        <v>93</v>
      </c>
      <c r="GM94" s="207">
        <f>IF(CQ94=1,COUNTIF($CQ$2:CQ94,1),"")</f>
        <v>93</v>
      </c>
      <c r="GN94" s="207">
        <f>IF(CR94=1,COUNTIF($CR$2:CR94,1),"")</f>
        <v>93</v>
      </c>
      <c r="GO94" s="207">
        <f>IF(CS94=1,COUNTIF($CS$2:CS94,1),"")</f>
        <v>93</v>
      </c>
      <c r="GP94" s="207">
        <f>IF(CT94=1,COUNTIF($CT$2:CT94,1),"")</f>
        <v>93</v>
      </c>
      <c r="GQ94" s="207">
        <f>IF(CU94=1,COUNTIF($CU$2:CU94,1),"")</f>
        <v>93</v>
      </c>
      <c r="GR94" s="207">
        <f>IF(CV94=1,COUNTIF($CV$2:CV94,1),"")</f>
        <v>93</v>
      </c>
      <c r="GS94" s="207">
        <f>IF(CW94=1,COUNTIF($CW$2:CW94,1),"")</f>
        <v>93</v>
      </c>
      <c r="GT94" s="207">
        <f>IF(CX94=1,COUNTIF($CX$2:CX94,1),"")</f>
        <v>93</v>
      </c>
      <c r="GU94" s="207">
        <f>IF(CY94=1,COUNTIF($CY$2:CY94,1),"")</f>
        <v>93</v>
      </c>
      <c r="GV94" s="207">
        <f>IF(CZ94=1,COUNTIF($CZ$2:CZ94,1),"")</f>
        <v>93</v>
      </c>
      <c r="GW94" s="207">
        <f>IF(DA94=1,COUNTIF($DA$2:DA94,1),"")</f>
        <v>93</v>
      </c>
      <c r="GX94" s="206" t="str">
        <f>IFERROR(INDEX($A$2:$A$113,MATCH(ROWS($DB$2:DB94),$DB$2:$DB$113,0)),"")</f>
        <v>TENENCIA O ENTREGA ATENUADA DE ESTUPEFACIENTES</v>
      </c>
      <c r="GY94" s="206" t="str">
        <f>IFERROR(INDEX($A$2:$A$113,MATCH(ROWS($DC$2:DC94),$DC$2:$DC$113,0)),"")</f>
        <v>TENENCIA O ENTREGA ATENUADA DE ESTUPEFACIENTES</v>
      </c>
      <c r="GZ94" s="206" t="str">
        <f>IFERROR(INDEX($A$2:$A$113,MATCH(ROWS($DD$2:DD94),$DD$2:$DD$113,0)),"")</f>
        <v>TENENCIA O ENTREGA ATENUADA DE ESTUPEFACIENTES</v>
      </c>
      <c r="HA94" s="206" t="str">
        <f>IFERROR(INDEX($A$2:$A$113,MATCH(ROWS($DE$2:DE94),$DE$2:$DE$113,0)),"")</f>
        <v>TENENCIA O ENTREGA ATENUADA DE ESTUPEFACIENTES</v>
      </c>
      <c r="HB94" s="206" t="str">
        <f>IFERROR(INDEX($A$2:$A$113,MATCH(ROWS($DF$2:DF94),$DF$2:$DF$113,0)),"")</f>
        <v>TENENCIA O ENTREGA ATENUADA DE ESTUPEFACIENTES</v>
      </c>
      <c r="HC94" s="206" t="str">
        <f>IFERROR(INDEX($A$2:$A$113,MATCH(ROWS($DG$2:DG94),$DG$2:$DG$113,0)),"")</f>
        <v>TENENCIA O ENTREGA ATENUADA DE ESTUPEFACIENTES</v>
      </c>
      <c r="HD94" s="206" t="str">
        <f>IFERROR(INDEX($A$2:$A$113,MATCH(ROWS($DH$2:DH94),$DH$2:$DH$113,0)),"")</f>
        <v>TENENCIA O ENTREGA ATENUADA DE ESTUPEFACIENTES</v>
      </c>
      <c r="HE94" s="206" t="str">
        <f>IFERROR(INDEX($A$2:$A$113,MATCH(ROWS($DI$2:DI94),$DI$2:$DI$113,0)),"")</f>
        <v>TENENCIA O ENTREGA ATENUADA DE ESTUPEFACIENTES</v>
      </c>
      <c r="HF94" s="206" t="str">
        <f>IFERROR(INDEX($A$2:$A$113,MATCH(ROWS($DJ$2:DJ94),$DJ$2:$DJ$113,0)),"")</f>
        <v>TENENCIA O ENTREGA ATENUADA DE ESTUPEFACIENTES</v>
      </c>
      <c r="HG94" s="206" t="str">
        <f>IFERROR(INDEX($A$2:$A$113,MATCH(ROWS($DK$2:DK94),$DK$2:$DK$113,0)),"")</f>
        <v>TENENCIA O ENTREGA ATENUADA DE ESTUPEFACIENTES</v>
      </c>
      <c r="HH94" s="206" t="str">
        <f>IFERROR(INDEX($A$2:$A$113,MATCH(ROWS($DL$2:DL94),$DL$2:$DL$113,0)),"")</f>
        <v>TENENCIA O ENTREGA ATENUADA DE ESTUPEFACIENTES</v>
      </c>
      <c r="HI94" s="206" t="str">
        <f>IFERROR(INDEX($A$2:$A$113,MATCH(ROWS($DM$2:DM94),$DM$2:$DM$113,0)),"")</f>
        <v>TENENCIA O ENTREGA ATENUADA DE ESTUPEFACIENTES</v>
      </c>
      <c r="HJ94" s="206" t="str">
        <f>IFERROR(INDEX($A$2:$A$113,MATCH(ROWS($DN$2:DN94),$DN$2:$DN$113,0)),"")</f>
        <v>TENENCIA O ENTREGA ATENUADA DE ESTUPEFACIENTES</v>
      </c>
      <c r="HK94" s="206" t="str">
        <f>IFERROR(INDEX($A$2:$A$113,MATCH(ROWS($DO$2:DO94),$DO$2:$DO$113,0)),"")</f>
        <v>TENENCIA O ENTREGA ATENUADA DE ESTUPEFACIENTES</v>
      </c>
      <c r="HL94" s="206" t="str">
        <f>IFERROR(INDEX($A$2:$A$113,MATCH(ROWS($DP$2:DP94),$DP$2:$DP$113,0)),"")</f>
        <v>TENENCIA O ENTREGA ATENUADA DE ESTUPEFACIENTES</v>
      </c>
      <c r="HM94" s="206" t="str">
        <f>IFERROR(INDEX($A$2:$A$113,MATCH(ROWS($DQ$2:DQ94),$DQ$2:$DQ$113,0)),"")</f>
        <v>TENENCIA O ENTREGA ATENUADA DE ESTUPEFACIENTES</v>
      </c>
      <c r="HN94" s="206" t="str">
        <f>IFERROR(INDEX($A$2:$A$113,MATCH(ROWS($DR$2:DR94),$DR$2:$DR$113,0)),"")</f>
        <v>TENENCIA O ENTREGA ATENUADA DE ESTUPEFACIENTES</v>
      </c>
      <c r="HO94" s="206" t="str">
        <f>IFERROR(INDEX($A$2:$A$113,MATCH(ROWS($DS$2:DS94),$DS$2:$DS$113,0)),"")</f>
        <v>TENENCIA O ENTREGA ATENUADA DE ESTUPEFACIENTES</v>
      </c>
      <c r="HP94" s="206" t="str">
        <f>IFERROR(INDEX($A$2:$A$113,MATCH(ROWS($DT$2:DT94),$DT$2:$DT$113,0)),"")</f>
        <v>TENENCIA O ENTREGA ATENUADA DE ESTUPEFACIENTES</v>
      </c>
      <c r="HQ94" s="206" t="str">
        <f>IFERROR(INDEX($A$2:$A$113,MATCH(ROWS($DU$2:DU94),$DU$2:$DU$113,0)),"")</f>
        <v>TENENCIA O ENTREGA ATENUADA DE ESTUPEFACIENTES</v>
      </c>
      <c r="HR94" s="206" t="str">
        <f>IFERROR(INDEX($A$2:$A$113,MATCH(ROWS($DV$2:DV94),$DV$2:$DV$113,0)),"")</f>
        <v>TENENCIA O ENTREGA ATENUADA DE ESTUPEFACIENTES</v>
      </c>
      <c r="HS94" s="206" t="str">
        <f>IFERROR(INDEX($A$2:$A$113,MATCH(ROWS($DW$2:DW94),$DW$2:$DW$113,0)),"")</f>
        <v>TENENCIA O ENTREGA ATENUADA DE ESTUPEFACIENTES</v>
      </c>
      <c r="HT94" s="206" t="str">
        <f>IFERROR(INDEX($A$2:$A$113,MATCH(ROWS($DX$2:DX94),$DX$2:$DX$113,0)),"")</f>
        <v>TENENCIA O ENTREGA ATENUADA DE ESTUPEFACIENTES</v>
      </c>
      <c r="HU94" s="206" t="str">
        <f>IFERROR(INDEX($A$2:$A$113,MATCH(ROWS($DY$2:DY94),$DY$2:$DY$113,0)),"")</f>
        <v>TENENCIA O ENTREGA ATENUADA DE ESTUPEFACIENTES</v>
      </c>
      <c r="HV94" s="206" t="str">
        <f>IFERROR(INDEX($A$2:$A$113,MATCH(ROWS($DZ$2:DZ94),$DZ$2:$DZ$113,0)),"")</f>
        <v>TENENCIA O ENTREGA ATENUADA DE ESTUPEFACIENTES</v>
      </c>
      <c r="HW94" s="206" t="str">
        <f>IFERROR(INDEX($A$2:$A$113,MATCH(ROWS($EA$2:EA94),$EA$2:$EA$113,0)),"")</f>
        <v>TENENCIA O ENTREGA ATENUADA DE ESTUPEFACIENTES</v>
      </c>
      <c r="HX94" s="206" t="str">
        <f>IFERROR(INDEX($A$2:$A$113,MATCH(ROWS($EB$2:EB94),$EB$2:$EB$113,0)),"")</f>
        <v>TENENCIA O ENTREGA ATENUADA DE ESTUPEFACIENTES</v>
      </c>
      <c r="HY94" s="206" t="str">
        <f>IFERROR(INDEX($A$2:$A$113,MATCH(ROWS($EC$2:EC94),$EC$2:$EC$113,0)),"")</f>
        <v>TENENCIA O ENTREGA ATENUADA DE ESTUPEFACIENTES</v>
      </c>
      <c r="HZ94" s="206" t="str">
        <f>IFERROR(INDEX($A$2:$A$113,MATCH(ROWS($ED$2:ED94),$ED$2:$ED$113,0)),"")</f>
        <v>TENENCIA O ENTREGA ATENUADA DE ESTUPEFACIENTES</v>
      </c>
      <c r="IA94" s="206" t="str">
        <f>IFERROR(INDEX($A$2:$A$113,MATCH(ROWS($EE$2:EE94),$EE$2:$EE$113,0)),"")</f>
        <v>TENENCIA O ENTREGA ATENUADA DE ESTUPEFACIENTES</v>
      </c>
      <c r="IB94" s="206" t="str">
        <f>IFERROR(INDEX($A$2:$A$113,MATCH(ROWS($EF$2:EF94),$EF$2:$EF$113,0)),"")</f>
        <v>TENENCIA O ENTREGA ATENUADA DE ESTUPEFACIENTES</v>
      </c>
      <c r="IC94" s="206" t="str">
        <f>IFERROR(INDEX($A$2:$A$113,MATCH(ROWS($EG$2:EG94),$EG$2:$EG$113,0)),"")</f>
        <v>TENENCIA O ENTREGA ATENUADA DE ESTUPEFACIENTES</v>
      </c>
      <c r="ID94" s="206" t="str">
        <f>IFERROR(INDEX($A$2:$A$113,MATCH(ROWS($EH$2:EH94),$EH$2:$EH$113,0)),"")</f>
        <v>TENENCIA O ENTREGA ATENUADA DE ESTUPEFACIENTES</v>
      </c>
      <c r="IE94" s="206" t="str">
        <f>IFERROR(INDEX($A$2:$A$113,MATCH(ROWS($EI$2:EI94),$EI$2:$EI$113,0)),"")</f>
        <v>TENENCIA O ENTREGA ATENUADA DE ESTUPEFACIENTES</v>
      </c>
      <c r="IF94" s="206" t="str">
        <f>IFERROR(INDEX($A$2:$A$113,MATCH(ROWS($EJ$2:EJ94),$EJ$2:$EJ$113,0)),"")</f>
        <v>TENENCIA O ENTREGA ATENUADA DE ESTUPEFACIENTES</v>
      </c>
      <c r="IG94" s="206" t="str">
        <f>IFERROR(INDEX($A$2:$A$113,MATCH(ROWS($EK$2:EK94),$EK$2:$EK$113,0)),"")</f>
        <v>TENENCIA O ENTREGA ATENUADA DE ESTUPEFACIENTES</v>
      </c>
      <c r="IH94" s="206" t="str">
        <f>IFERROR(INDEX($A$2:$A$113,MATCH(ROWS($EL$2:EL94),$EL$2:$EL$113,0)),"")</f>
        <v>TENENCIA O ENTREGA ATENUADA DE ESTUPEFACIENTES</v>
      </c>
      <c r="II94" s="206" t="str">
        <f>IFERROR(INDEX($A$2:$A$113,MATCH(ROWS($EM$2:EM94),$EM$2:$EM$113,0)),"")</f>
        <v>TENENCIA O ENTREGA ATENUADA DE ESTUPEFACIENTES</v>
      </c>
      <c r="IJ94" s="206" t="str">
        <f>IFERROR(INDEX($A$2:$A$113,MATCH(ROWS($EN$2:EN94),$EN$2:$EN$113,0)),"")</f>
        <v>TENENCIA O ENTREGA ATENUADA DE ESTUPEFACIENTES</v>
      </c>
      <c r="IK94" s="207" t="str">
        <f>IFERROR(INDEX($A$2:$A$113,MATCH(ROWS($EO$2:EO94),$EO$2:$EO$113,0)),"")</f>
        <v>TENENCIA O ENTREGA ATENUADA DE ESTUPEFACIENTES</v>
      </c>
      <c r="IL94" s="207" t="str">
        <f>IFERROR(INDEX($A$2:$A$113,MATCH(ROWS($EP$2:EP94),$EP$2:$EP$113,0)),"")</f>
        <v>TENENCIA O ENTREGA ATENUADA DE ESTUPEFACIENTES</v>
      </c>
      <c r="IM94" s="207" t="str">
        <f>IFERROR(INDEX($A$2:$A$113,MATCH(ROWS($EQ$2:EQ94),$EQ$2:$EQ$113,0)),"")</f>
        <v>TENENCIA O ENTREGA ATENUADA DE ESTUPEFACIENTES</v>
      </c>
      <c r="IN94" s="207" t="str">
        <f>IFERROR(INDEX($A$2:$A$113,MATCH(ROWS($ER$2:ER94),$ER$2:$ER$113,0)),"")</f>
        <v>TENENCIA O ENTREGA ATENUADA DE ESTUPEFACIENTES</v>
      </c>
      <c r="IO94" s="207" t="str">
        <f>IFERROR(INDEX($A$2:$A$113,MATCH(ROWS($ES$2:ES94),$ES$2:$ES$113,0)),"")</f>
        <v>TENENCIA O ENTREGA ATENUADA DE ESTUPEFACIENTES</v>
      </c>
      <c r="IP94" s="207" t="str">
        <f>IFERROR(INDEX($A$2:$A$113,MATCH(ROWS($ET$2:ET94),$ET$2:$ET$113,0)),"")</f>
        <v>TENENCIA O ENTREGA ATENUADA DE ESTUPEFACIENTES</v>
      </c>
      <c r="IQ94" s="207" t="str">
        <f>IFERROR(INDEX($A$2:$A$113,MATCH(ROWS($EU$2:EU94),$EU$2:$EU$113,0)),"")</f>
        <v>TENENCIA O ENTREGA ATENUADA DE ESTUPEFACIENTES</v>
      </c>
      <c r="IR94" s="207" t="str">
        <f>IFERROR(INDEX($A$2:$A$113,MATCH(ROWS($EV$2:EV94),$EV$2:$EV$113,0)),"")</f>
        <v>TENENCIA O ENTREGA ATENUADA DE ESTUPEFACIENTES</v>
      </c>
      <c r="IS94" s="207" t="str">
        <f>IFERROR(INDEX($A$2:$A$113,MATCH(ROWS($EW$2:EW94),$EW$2:$EW$113,0)),"")</f>
        <v>TENENCIA O ENTREGA ATENUADA DE ESTUPEFACIENTES</v>
      </c>
      <c r="IT94" s="207" t="str">
        <f>IFERROR(INDEX($A$2:$A$113,MATCH(ROWS($EX$2:EX94),$EX$2:$EX$113,0)),"")</f>
        <v>TENENCIA O ENTREGA ATENUADA DE ESTUPEFACIENTES</v>
      </c>
      <c r="IU94" s="207" t="str">
        <f>IFERROR(INDEX($A$2:$A$113,MATCH(ROWS($EY$2:EY94),$EY$2:$EY$113,0)),"")</f>
        <v>TENENCIA O ENTREGA ATENUADA DE ESTUPEFACIENTES</v>
      </c>
      <c r="IV94" s="207" t="str">
        <f>IFERROR(INDEX($A$2:$A$113,MATCH(ROWS($EZ$2:EZ94),$EZ$2:$EZ$113,0)),"")</f>
        <v>TENENCIA O ENTREGA ATENUADA DE ESTUPEFACIENTES</v>
      </c>
      <c r="IW94" s="207" t="str">
        <f>IFERROR(INDEX($A$2:$A$113,MATCH(ROWS($FA$2:FA94),$FA$2:$FA$113,0)),"")</f>
        <v>TENENCIA O ENTREGA ATENUADA DE ESTUPEFACIENTES</v>
      </c>
      <c r="IX94" s="207" t="str">
        <f>IFERROR(INDEX($A$2:$A$113,MATCH(ROWS($FB$2:FB94),$FB$2:$FB$113,0)),"")</f>
        <v>TENENCIA O ENTREGA ATENUADA DE ESTUPEFACIENTES</v>
      </c>
      <c r="IY94" s="207" t="str">
        <f>IFERROR(INDEX($A$2:$A$113,MATCH(ROWS($FC$2:FC94),$FC$2:$FC$113,0)),"")</f>
        <v>TENENCIA O ENTREGA ATENUADA DE ESTUPEFACIENTES</v>
      </c>
      <c r="IZ94" s="207" t="str">
        <f>IFERROR(INDEX($A$2:$A$113,MATCH(ROWS($FD$2:FD94),$FD$2:$FD$113,0)),"")</f>
        <v>TENENCIA O ENTREGA ATENUADA DE ESTUPEFACIENTES</v>
      </c>
      <c r="JA94" s="207" t="str">
        <f>IFERROR(INDEX($A$2:$A$113,MATCH(ROWS($FE$2:FE94),$FE$2:$FE$113,0)),"")</f>
        <v>TENENCIA O ENTREGA ATENUADA DE ESTUPEFACIENTES</v>
      </c>
      <c r="JB94" s="207" t="str">
        <f>IFERROR(INDEX($A$2:$A$113,MATCH(ROWS($FF$2:FF94),$FF$2:$FF$113,0)),"")</f>
        <v>TENENCIA O ENTREGA ATENUADA DE ESTUPEFACIENTES</v>
      </c>
      <c r="JC94" s="207" t="str">
        <f>IFERROR(INDEX($A$2:$A$113,MATCH(ROWS($FG$2:FG94),$FG$2:$FG$113,0)),"")</f>
        <v>TENENCIA O ENTREGA ATENUADA DE ESTUPEFACIENTES</v>
      </c>
      <c r="JD94" s="207" t="str">
        <f>IFERROR(INDEX($A$2:$A$113,MATCH(ROWS($FH$2:FH94),$FH$2:$FH$113,0)),"")</f>
        <v>TENENCIA O ENTREGA ATENUADA DE ESTUPEFACIENTES</v>
      </c>
      <c r="JE94" s="207" t="str">
        <f>IFERROR(INDEX($A$2:$A$113,MATCH(ROWS($FI$2:FI94),$FI$2:$FI$113,0)),"")</f>
        <v>TENENCIA O ENTREGA ATENUADA DE ESTUPEFACIENTES</v>
      </c>
      <c r="JF94" s="207" t="str">
        <f>IFERROR(INDEX($A$2:$A$113,MATCH(ROWS($FJ$2:FJ94),$FJ$2:$FJ$113,0)),"")</f>
        <v>TENENCIA O ENTREGA ATENUADA DE ESTUPEFACIENTES</v>
      </c>
      <c r="JG94" s="207" t="str">
        <f>IFERROR(INDEX($A$2:$A$113,MATCH(ROWS($FK$2:FK94),$FK$2:$FK$113,0)),"")</f>
        <v>TENENCIA O ENTREGA ATENUADA DE ESTUPEFACIENTES</v>
      </c>
      <c r="JH94" s="207" t="str">
        <f>IFERROR(INDEX($A$2:$A$113,MATCH(ROWS($FL$2:FL94),$FL$2:$FL$113,0)),"")</f>
        <v>TENENCIA O ENTREGA ATENUADA DE ESTUPEFACIENTES</v>
      </c>
      <c r="JI94" s="207" t="str">
        <f>IFERROR(INDEX($A$2:$A$113,MATCH(ROWS($FM$2:FM94),$FM$2:$FM$113,0)),"")</f>
        <v>TENENCIA O ENTREGA ATENUADA DE ESTUPEFACIENTES</v>
      </c>
      <c r="JJ94" s="207" t="str">
        <f>IFERROR(INDEX($A$2:$A$113,MATCH(ROWS($FN$2:FN94),$FN$2:$FN$113,0)),"")</f>
        <v>TENENCIA O ENTREGA ATENUADA DE ESTUPEFACIENTES</v>
      </c>
      <c r="JK94" s="207" t="str">
        <f>IFERROR(INDEX($A$2:$A$113,MATCH(ROWS($FO$2:FO94),$FO$2:$FO$113,0)),"")</f>
        <v>TENENCIA O ENTREGA ATENUADA DE ESTUPEFACIENTES</v>
      </c>
      <c r="JL94" s="207" t="str">
        <f>IFERROR(INDEX($A$2:$A$113,MATCH(ROWS($FP$2:FP94),$FP$2:$FP$113,0)),"")</f>
        <v>TENENCIA O ENTREGA ATENUADA DE ESTUPEFACIENTES</v>
      </c>
      <c r="JM94" s="207" t="str">
        <f>IFERROR(INDEX($A$2:$A$113,MATCH(ROWS($FQ$2:FQ94),$FQ$2:$FQ$113,0)),"")</f>
        <v>TENENCIA O ENTREGA ATENUADA DE ESTUPEFACIENTES</v>
      </c>
      <c r="JN94" s="207" t="str">
        <f>IFERROR(INDEX($A$2:$A$113,MATCH(ROWS($FR$2:FR94),$FR$2:$FR$113,0)),"")</f>
        <v>TENENCIA O ENTREGA ATENUADA DE ESTUPEFACIENTES</v>
      </c>
      <c r="JO94" s="207" t="str">
        <f>IFERROR(INDEX($A$2:$A$113,MATCH(ROWS($FS$2:FS94),$FS$2:$FS$113,0)),"")</f>
        <v>TENENCIA O ENTREGA ATENUADA DE ESTUPEFACIENTES</v>
      </c>
      <c r="JP94" s="207" t="str">
        <f>IFERROR(INDEX($A$2:$A$113,MATCH(ROWS($FT$2:FT94),$FT$2:$FT$113,0)),"")</f>
        <v>TENENCIA O ENTREGA ATENUADA DE ESTUPEFACIENTES</v>
      </c>
      <c r="JQ94" s="207" t="str">
        <f>IFERROR(INDEX($A$2:$A$113,MATCH(ROWS($FU$2:FU94),$FU$2:$FU$113,0)),"")</f>
        <v>TENENCIA O ENTREGA ATENUADA DE ESTUPEFACIENTES</v>
      </c>
      <c r="JR94" s="207" t="str">
        <f>IFERROR(INDEX($A$2:$A$113,MATCH(ROWS($FV$2:FV94),$FV$2:$FV$113,0)),"")</f>
        <v>TENENCIA O ENTREGA ATENUADA DE ESTUPEFACIENTES</v>
      </c>
      <c r="JS94" s="207" t="str">
        <f>IFERROR(INDEX($A$2:$A$113,MATCH(ROWS($FW$2:FW94),$FW$2:$FW$113,0)),"")</f>
        <v>TENENCIA O ENTREGA ATENUADA DE ESTUPEFACIENTES</v>
      </c>
      <c r="JT94" s="207" t="str">
        <f>IFERROR(INDEX($A$2:$A$113,MATCH(ROWS($FX$2:FX94),$FX$2:$FX$113,0)),"")</f>
        <v>TENENCIA O ENTREGA ATENUADA DE ESTUPEFACIENTES</v>
      </c>
      <c r="JU94" s="207" t="str">
        <f>IFERROR(INDEX($A$2:$A$113,MATCH(ROWS($FY$2:FY94),$FY$2:$FY$113,0)),"")</f>
        <v>TENENCIA O ENTREGA ATENUADA DE ESTUPEFACIENTES</v>
      </c>
      <c r="JV94" s="207" t="str">
        <f>IFERROR(INDEX($A$2:$A$113,MATCH(ROWS($FZ$2:FZ94),$FZ$2:$FZ$113,0)),"")</f>
        <v>TENENCIA O ENTREGA ATENUADA DE ESTUPEFACIENTES</v>
      </c>
      <c r="JW94" s="207" t="str">
        <f>IFERROR(INDEX($A$2:$A$113,MATCH(ROWS($GA$2:GA94),$GA$2:$GA$113,0)),"")</f>
        <v>TENENCIA O ENTREGA ATENUADA DE ESTUPEFACIENTES</v>
      </c>
      <c r="JX94" s="207" t="str">
        <f>IFERROR(INDEX($A$2:$A$113,MATCH(ROWS($GB$2:GB94),$GB$2:$GB$113,0)),"")</f>
        <v>TENENCIA O ENTREGA ATENUADA DE ESTUPEFACIENTES</v>
      </c>
      <c r="JY94" s="207" t="str">
        <f>IFERROR(INDEX($A$2:$A$113,MATCH(ROWS($GC$2:GC94),$GC$2:$GC$113,0)),"")</f>
        <v>TENENCIA O ENTREGA ATENUADA DE ESTUPEFACIENTES</v>
      </c>
      <c r="JZ94" s="207" t="str">
        <f>IFERROR(INDEX($A$2:$A$113,MATCH(ROWS($GD$2:GD94),$GD$2:$GD$113,0)),"")</f>
        <v>TENENCIA O ENTREGA ATENUADA DE ESTUPEFACIENTES</v>
      </c>
      <c r="KA94" s="207" t="str">
        <f>IFERROR(INDEX($A$2:$A$113,MATCH(ROWS($GE$2:GE94),$GE$2:$GE$113,0)),"")</f>
        <v>TENENCIA O ENTREGA ATENUADA DE ESTUPEFACIENTES</v>
      </c>
      <c r="KB94" s="207" t="str">
        <f>IFERROR(INDEX($A$2:$A$113,MATCH(ROWS($GF$2:GF94),$GF$2:$GF$113,0)),"")</f>
        <v>TENENCIA O ENTREGA ATENUADA DE ESTUPEFACIENTES</v>
      </c>
      <c r="KC94" s="207" t="str">
        <f>IFERROR(INDEX($A$2:$A$113,MATCH(ROWS($GG$2:GG94),$GG$2:$GG$113,0)),"")</f>
        <v>TENENCIA O ENTREGA ATENUADA DE ESTUPEFACIENTES</v>
      </c>
      <c r="KD94" s="207" t="str">
        <f>IFERROR(INDEX($A$2:$A$113,MATCH(ROWS($GH$2:GH94),$GH$2:$GH$113,0)),"")</f>
        <v>TENENCIA O ENTREGA ATENUADA DE ESTUPEFACIENTES</v>
      </c>
      <c r="KE94" s="207" t="str">
        <f>IFERROR(INDEX($A$2:$A$113,MATCH(ROWS($GI$2:GI94),$GI$2:$GI$113,0)),"")</f>
        <v>TENENCIA O ENTREGA ATENUADA DE ESTUPEFACIENTES</v>
      </c>
      <c r="KF94" s="207" t="str">
        <f>IFERROR(INDEX($A$2:$A$113,MATCH(ROWS($GJ$2:GJ94),$GJ$2:$GJ$113,0)),"")</f>
        <v>TENENCIA O ENTREGA ATENUADA DE ESTUPEFACIENTES</v>
      </c>
      <c r="KG94" s="207" t="str">
        <f>IFERROR(INDEX($A$2:$A$113,MATCH(ROWS($GK$2:GK94),$GK$2:$GK$113,0)),"")</f>
        <v>TENENCIA O ENTREGA ATENUADA DE ESTUPEFACIENTES</v>
      </c>
      <c r="KH94" s="207" t="str">
        <f>IFERROR(INDEX($A$2:$A$113,MATCH(ROWS($GL$2:GL94),$GL$2:$GL$113,0)),"")</f>
        <v>TENENCIA O ENTREGA ATENUADA DE ESTUPEFACIENTES</v>
      </c>
      <c r="KI94" s="207" t="str">
        <f>IFERROR(INDEX($A$2:$A$113,MATCH(ROWS($GM$2:GM94),$GM$2:$GM$113,0)),"")</f>
        <v>TENENCIA O ENTREGA ATENUADA DE ESTUPEFACIENTES</v>
      </c>
      <c r="KJ94" s="207" t="str">
        <f>IFERROR(INDEX($A$2:$A$113,MATCH(ROWS($GN$2:GN94),$GN$2:$GN$113,0)),"")</f>
        <v>TENENCIA O ENTREGA ATENUADA DE ESTUPEFACIENTES</v>
      </c>
      <c r="KK94" s="207" t="str">
        <f>IFERROR(INDEX($A$2:$A$113,MATCH(ROWS($GO$2:GO94),$GO$2:$GO$113,0)),"")</f>
        <v>TENENCIA O ENTREGA ATENUADA DE ESTUPEFACIENTES</v>
      </c>
      <c r="KL94" s="207" t="str">
        <f>IFERROR(INDEX($A$2:$A$113,MATCH(ROWS($GP$2:GP94),$GP$2:$GP$113,0)),"")</f>
        <v>TENENCIA O ENTREGA ATENUADA DE ESTUPEFACIENTES</v>
      </c>
      <c r="KM94" s="207" t="str">
        <f>IFERROR(INDEX($A$2:$A$113,MATCH(ROWS($GQ$2:GQ94),$GQ$2:$GQ$113,0)),"")</f>
        <v>TENENCIA O ENTREGA ATENUADA DE ESTUPEFACIENTES</v>
      </c>
      <c r="KN94" s="207" t="str">
        <f>IFERROR(INDEX($A$2:$A$113,MATCH(ROWS($GR$2:GR94),$GR$2:$GR$113,0)),"")</f>
        <v>TENENCIA O ENTREGA ATENUADA DE ESTUPEFACIENTES</v>
      </c>
      <c r="KO94" s="207" t="str">
        <f>IFERROR(INDEX($A$2:$A$113,MATCH(ROWS($GS$2:GS94),$GS$2:$GS$113,0)),"")</f>
        <v>TENENCIA O ENTREGA ATENUADA DE ESTUPEFACIENTES</v>
      </c>
      <c r="KP94" s="207" t="str">
        <f>IFERROR(INDEX($A$2:$A$113,MATCH(ROWS($GT$2:GT94),$GT$2:$GT$113,0)),"")</f>
        <v>TENENCIA O ENTREGA ATENUADA DE ESTUPEFACIENTES</v>
      </c>
      <c r="KQ94" s="207" t="str">
        <f>IFERROR(INDEX($A$2:$A$113,MATCH(ROWS($GU$2:GU94),$GU$2:$GU$113,0)),"")</f>
        <v>TENENCIA O ENTREGA ATENUADA DE ESTUPEFACIENTES</v>
      </c>
      <c r="KR94" s="207" t="str">
        <f>IFERROR(INDEX($A$2:$A$113,MATCH(ROWS($GV$2:GV94),$GV$2:$GV$113,0)),"")</f>
        <v>TENENCIA O ENTREGA ATENUADA DE ESTUPEFACIENTES</v>
      </c>
      <c r="KS94" s="207" t="str">
        <f>IFERROR(INDEX($A$2:$A$113,MATCH(ROWS($GW$2:GW94),$GW$2:$GW$113,0)),"")</f>
        <v>TENENCIA O ENTREGA ATENUADA DE ESTUPEFACIENTES</v>
      </c>
    </row>
    <row r="95" spans="1:305" x14ac:dyDescent="0.25">
      <c r="A95" s="206" t="s">
        <v>913</v>
      </c>
      <c r="B95" s="206" t="s">
        <v>119</v>
      </c>
      <c r="D95" s="206" t="s">
        <v>34</v>
      </c>
      <c r="E95" s="206" t="s">
        <v>116</v>
      </c>
      <c r="F95" s="207">
        <f>--ISNUMBER(IFERROR(SEARCH('PLANILLA DJ'!$X$3,$A95,1),""))</f>
        <v>1</v>
      </c>
      <c r="G95" s="207">
        <f>--ISNUMBER(IFERROR(SEARCH('PLANILLA DJ'!$X$4,$A95,1),""))</f>
        <v>1</v>
      </c>
      <c r="H95" s="207">
        <f>--ISNUMBER(IFERROR(SEARCH('PLANILLA DJ'!$X$5,$A95,1),""))</f>
        <v>1</v>
      </c>
      <c r="I95" s="207">
        <f>--ISNUMBER(IFERROR(SEARCH('PLANILLA DJ'!$X$6,$A95,1),""))</f>
        <v>1</v>
      </c>
      <c r="J95" s="207">
        <f>--ISNUMBER(IFERROR(SEARCH('PLANILLA DJ'!$X$7,$A95,1),""))</f>
        <v>1</v>
      </c>
      <c r="K95" s="207">
        <f>--ISNUMBER(IFERROR(SEARCH('PLANILLA DJ'!$X$8,$A95,1),""))</f>
        <v>1</v>
      </c>
      <c r="L95" s="207">
        <f>--ISNUMBER(IFERROR(SEARCH('PLANILLA DJ'!$X$9,$A95,1),""))</f>
        <v>1</v>
      </c>
      <c r="M95" s="207">
        <f>--ISNUMBER(IFERROR(SEARCH('PLANILLA DJ'!$X$10,$A95,1),""))</f>
        <v>1</v>
      </c>
      <c r="N95" s="207">
        <f>--ISNUMBER(IFERROR(SEARCH('PLANILLA DJ'!$X$11,$A95,1),""))</f>
        <v>1</v>
      </c>
      <c r="O95" s="207">
        <f>--ISNUMBER(IFERROR(SEARCH('PLANILLA DJ'!$X$12,$A95,1),""))</f>
        <v>1</v>
      </c>
      <c r="P95" s="207">
        <f>--ISNUMBER(IFERROR(SEARCH('PLANILLA DJ'!$X$13,$A95,1),""))</f>
        <v>1</v>
      </c>
      <c r="Q95" s="207">
        <f>--ISNUMBER(IFERROR(SEARCH('PLANILLA DJ'!$X$14,$A95,1),""))</f>
        <v>1</v>
      </c>
      <c r="R95" s="207">
        <f>--ISNUMBER(IFERROR(SEARCH('PLANILLA DJ'!$X$15,$A95,1),""))</f>
        <v>1</v>
      </c>
      <c r="S95" s="207">
        <f>--ISNUMBER(IFERROR(SEARCH('PLANILLA DJ'!$X$16,$A95,1),""))</f>
        <v>1</v>
      </c>
      <c r="T95" s="207">
        <f>--ISNUMBER(IFERROR(SEARCH('PLANILLA DJ'!$X$17,$A95,1),""))</f>
        <v>1</v>
      </c>
      <c r="U95" s="207">
        <f>--ISNUMBER(IFERROR(SEARCH('PLANILLA DJ'!$X$18,$A95,1),""))</f>
        <v>1</v>
      </c>
      <c r="V95" s="207">
        <f>--ISNUMBER(IFERROR(SEARCH('PLANILLA DJ'!$X$19,$A95,1),""))</f>
        <v>1</v>
      </c>
      <c r="W95" s="207">
        <f>--ISNUMBER(IFERROR(SEARCH('PLANILLA DJ'!$X$20,$A95,1),""))</f>
        <v>1</v>
      </c>
      <c r="X95" s="207">
        <f>--ISNUMBER(IFERROR(SEARCH('PLANILLA DJ'!$X$21,$A95,1),""))</f>
        <v>1</v>
      </c>
      <c r="Y95" s="207">
        <f>--ISNUMBER(IFERROR(SEARCH('PLANILLA DJ'!$X$22,$A95,1),""))</f>
        <v>1</v>
      </c>
      <c r="Z95" s="207">
        <f>--ISNUMBER(IFERROR(SEARCH('PLANILLA DJ'!$X$23,$A95,1),""))</f>
        <v>1</v>
      </c>
      <c r="AA95" s="207">
        <f>--ISNUMBER(IFERROR(SEARCH('PLANILLA DJ'!$X$24,$A95,1),""))</f>
        <v>1</v>
      </c>
      <c r="AB95" s="207">
        <f>--ISNUMBER(IFERROR(SEARCH('PLANILLA DJ'!$X$25,$A95,1),""))</f>
        <v>1</v>
      </c>
      <c r="AC95" s="207">
        <f>--ISNUMBER(IFERROR(SEARCH('PLANILLA DJ'!$X$26,$A95,1),""))</f>
        <v>1</v>
      </c>
      <c r="AD95" s="207">
        <f>--ISNUMBER(IFERROR(SEARCH('PLANILLA DJ'!$X$27,$A95,1),""))</f>
        <v>1</v>
      </c>
      <c r="AE95" s="207">
        <f>--ISNUMBER(IFERROR(SEARCH('PLANILLA DJ'!$X$28,$A95,1),""))</f>
        <v>1</v>
      </c>
      <c r="AF95" s="207">
        <f>--ISNUMBER(IFERROR(SEARCH('PLANILLA DJ'!$X$29,$A95,1),""))</f>
        <v>1</v>
      </c>
      <c r="AG95" s="207">
        <f>--ISNUMBER(IFERROR(SEARCH('PLANILLA DJ'!$X$30,$A95,1),""))</f>
        <v>1</v>
      </c>
      <c r="AH95" s="207">
        <f>--ISNUMBER(IFERROR(SEARCH('PLANILLA DJ'!$X$31,$A95,1),""))</f>
        <v>1</v>
      </c>
      <c r="AI95" s="207">
        <f>--ISNUMBER(IFERROR(SEARCH('PLANILLA DJ'!$X$32,$A95,1),""))</f>
        <v>1</v>
      </c>
      <c r="AJ95" s="207">
        <f>--ISNUMBER(IFERROR(SEARCH('PLANILLA DJ'!$X$33,$A95,1),""))</f>
        <v>1</v>
      </c>
      <c r="AK95" s="207">
        <f>--ISNUMBER(IFERROR(SEARCH('PLANILLA DJ'!$X$34,$A95,1),""))</f>
        <v>1</v>
      </c>
      <c r="AL95" s="207">
        <f>--ISNUMBER(IFERROR(SEARCH('PLANILLA DJ'!$X$35,$A95,1),""))</f>
        <v>1</v>
      </c>
      <c r="AM95" s="207">
        <f>--ISNUMBER(IFERROR(SEARCH('PLANILLA DJ'!$X$36,$A95,1),""))</f>
        <v>1</v>
      </c>
      <c r="AN95" s="207">
        <f>--ISNUMBER(IFERROR(SEARCH('PLANILLA DJ'!$X$37,$A95,1),""))</f>
        <v>1</v>
      </c>
      <c r="AO95" s="207">
        <f>--ISNUMBER(IFERROR(SEARCH('PLANILLA DJ'!$X$38,$A95,1),""))</f>
        <v>1</v>
      </c>
      <c r="AP95" s="207">
        <f>--ISNUMBER(IFERROR(SEARCH('PLANILLA DJ'!$X$39,$A95,1),""))</f>
        <v>1</v>
      </c>
      <c r="AQ95" s="207">
        <f>--ISNUMBER(IFERROR(SEARCH('PLANILLA DJ'!$X$40,$A95,1),""))</f>
        <v>1</v>
      </c>
      <c r="AR95" s="207">
        <f>--ISNUMBER(IFERROR(SEARCH('PLANILLA DJ'!$X$41,$A95,1),""))</f>
        <v>1</v>
      </c>
      <c r="AS95" s="207">
        <f>--ISNUMBER(IFERROR(SEARCH('PLANILLA DJ'!$X$42,$A95,1),""))</f>
        <v>1</v>
      </c>
      <c r="AT95" s="207">
        <f>--ISNUMBER(IFERROR(SEARCH('PLANILLA DJ'!$X$43,$A95,1),""))</f>
        <v>1</v>
      </c>
      <c r="AU95" s="207">
        <f>--ISNUMBER(IFERROR(SEARCH('PLANILLA DJ'!$X$44,$A95,1),""))</f>
        <v>1</v>
      </c>
      <c r="AV95" s="207">
        <f>--ISNUMBER(IFERROR(SEARCH('PLANILLA DJ'!$X$45,$A95,1),""))</f>
        <v>1</v>
      </c>
      <c r="AW95" s="207">
        <f>--ISNUMBER(IFERROR(SEARCH('PLANILLA DJ'!$X$46,$A95,1),""))</f>
        <v>1</v>
      </c>
      <c r="AX95" s="207">
        <f>--ISNUMBER(IFERROR(SEARCH('PLANILLA DJ'!$X$47,$A95,1),""))</f>
        <v>1</v>
      </c>
      <c r="AY95" s="207">
        <f>--ISNUMBER(IFERROR(SEARCH('PLANILLA DJ'!$X$48,$A95,1),""))</f>
        <v>1</v>
      </c>
      <c r="AZ95" s="207">
        <f>--ISNUMBER(IFERROR(SEARCH('PLANILLA DJ'!$X$49,$A95,1),""))</f>
        <v>1</v>
      </c>
      <c r="BA95" s="207">
        <f>--ISNUMBER(IFERROR(SEARCH('PLANILLA DJ'!$X$50,$A95,1),""))</f>
        <v>1</v>
      </c>
      <c r="BB95" s="207">
        <f>--ISNUMBER(IFERROR(SEARCH('PLANILLA DJ'!$X$51,$A95,1),""))</f>
        <v>1</v>
      </c>
      <c r="BC95" s="207">
        <f>--ISNUMBER(IFERROR(SEARCH('PLANILLA DJ'!$X$52,$A95,1),""))</f>
        <v>1</v>
      </c>
      <c r="BD95" s="207">
        <f>--ISNUMBER(IFERROR(SEARCH('PLANILLA DJ'!$X$53,$A95,1),""))</f>
        <v>1</v>
      </c>
      <c r="BE95" s="207">
        <f>--ISNUMBER(IFERROR(SEARCH('PLANILLA DJ'!$X$54,$A95,1),""))</f>
        <v>1</v>
      </c>
      <c r="BF95" s="207">
        <f>--ISNUMBER(IFERROR(SEARCH('PLANILLA DJ'!$X$55,$A95,1),""))</f>
        <v>1</v>
      </c>
      <c r="BG95" s="207">
        <f>--ISNUMBER(IFERROR(SEARCH('PLANILLA DJ'!$X$56,$A95,1),""))</f>
        <v>1</v>
      </c>
      <c r="BH95" s="207">
        <f>--ISNUMBER(IFERROR(SEARCH('PLANILLA DJ'!$X$57,$A95,1),""))</f>
        <v>1</v>
      </c>
      <c r="BI95" s="207">
        <f>--ISNUMBER(IFERROR(SEARCH('PLANILLA DJ'!$X$58,$A95,1),""))</f>
        <v>1</v>
      </c>
      <c r="BJ95" s="207">
        <f>--ISNUMBER(IFERROR(SEARCH('PLANILLA DJ'!$X$59,$A95,1),""))</f>
        <v>1</v>
      </c>
      <c r="BK95" s="207">
        <f>--ISNUMBER(IFERROR(SEARCH('PLANILLA DJ'!$X$60,$A95,1),""))</f>
        <v>1</v>
      </c>
      <c r="BL95" s="207">
        <f>--ISNUMBER(IFERROR(SEARCH('PLANILLA DJ'!$X$61,$A95,1),""))</f>
        <v>1</v>
      </c>
      <c r="BM95" s="207">
        <f>--ISNUMBER(IFERROR(SEARCH('PLANILLA DJ'!$X$62,$A95,1),""))</f>
        <v>1</v>
      </c>
      <c r="BN95" s="207">
        <f>--ISNUMBER(IFERROR(SEARCH('PLANILLA DJ'!$X$63,$A95,1),""))</f>
        <v>1</v>
      </c>
      <c r="BO95" s="207">
        <f>--ISNUMBER(IFERROR(SEARCH('PLANILLA DJ'!$X$64,$A95,1),""))</f>
        <v>1</v>
      </c>
      <c r="BP95" s="207">
        <f>--ISNUMBER(IFERROR(SEARCH('PLANILLA DJ'!$X$65,$A95,1),""))</f>
        <v>1</v>
      </c>
      <c r="BQ95" s="207">
        <f>--ISNUMBER(IFERROR(SEARCH('PLANILLA DJ'!$X$66,$A95,1),""))</f>
        <v>1</v>
      </c>
      <c r="BR95" s="207">
        <f>--ISNUMBER(IFERROR(SEARCH('PLANILLA DJ'!$X$67,$A95,1),""))</f>
        <v>1</v>
      </c>
      <c r="BS95" s="207">
        <f>--ISNUMBER(IFERROR(SEARCH('PLANILLA DJ'!$X$68,$A95,1),""))</f>
        <v>1</v>
      </c>
      <c r="BT95" s="207">
        <f>--ISNUMBER(IFERROR(SEARCH('PLANILLA DJ'!$X$69,$A95,1),""))</f>
        <v>1</v>
      </c>
      <c r="BU95" s="207">
        <f>--ISNUMBER(IFERROR(SEARCH('PLANILLA DJ'!$X$70,$A95,1),""))</f>
        <v>1</v>
      </c>
      <c r="BV95" s="207">
        <f>--ISNUMBER(IFERROR(SEARCH('PLANILLA DJ'!$X$71,$A95,1),""))</f>
        <v>1</v>
      </c>
      <c r="BW95" s="207">
        <f>--ISNUMBER(IFERROR(SEARCH('PLANILLA DJ'!$X$72,$A95,1),""))</f>
        <v>1</v>
      </c>
      <c r="BX95" s="207">
        <f>--ISNUMBER(IFERROR(SEARCH('PLANILLA DJ'!$X$73,$A95,1),""))</f>
        <v>1</v>
      </c>
      <c r="BY95" s="207">
        <f>--ISNUMBER(IFERROR(SEARCH('PLANILLA DJ'!$X$74,$A95,1),""))</f>
        <v>1</v>
      </c>
      <c r="BZ95" s="207">
        <f>--ISNUMBER(IFERROR(SEARCH('PLANILLA DJ'!$X$75,$A95,1),""))</f>
        <v>1</v>
      </c>
      <c r="CA95" s="207">
        <f>--ISNUMBER(IFERROR(SEARCH('PLANILLA DJ'!$X$76,$A95,1),""))</f>
        <v>1</v>
      </c>
      <c r="CB95" s="207">
        <f>--ISNUMBER(IFERROR(SEARCH('PLANILLA DJ'!$X$77,$A95,1),""))</f>
        <v>1</v>
      </c>
      <c r="CC95" s="207">
        <f>--ISNUMBER(IFERROR(SEARCH('PLANILLA DJ'!$X$78,$A95,1),""))</f>
        <v>1</v>
      </c>
      <c r="CD95" s="207">
        <f>--ISNUMBER(IFERROR(SEARCH('PLANILLA DJ'!$X$79,$A95,1),""))</f>
        <v>1</v>
      </c>
      <c r="CE95" s="207">
        <f>--ISNUMBER(IFERROR(SEARCH('PLANILLA DJ'!$X$80,$A95,1),""))</f>
        <v>1</v>
      </c>
      <c r="CF95" s="207">
        <f>--ISNUMBER(IFERROR(SEARCH('PLANILLA DJ'!$X$81,$A95,1),""))</f>
        <v>1</v>
      </c>
      <c r="CG95" s="207">
        <f>--ISNUMBER(IFERROR(SEARCH('PLANILLA DJ'!$X$82,$A95,1),""))</f>
        <v>1</v>
      </c>
      <c r="CH95" s="207">
        <f>--ISNUMBER(IFERROR(SEARCH('PLANILLA DJ'!$X$83,$A95,1),""))</f>
        <v>1</v>
      </c>
      <c r="CI95" s="207">
        <f>--ISNUMBER(IFERROR(SEARCH('PLANILLA DJ'!$X$84,$A95,1),""))</f>
        <v>1</v>
      </c>
      <c r="CJ95" s="207">
        <f>--ISNUMBER(IFERROR(SEARCH('PLANILLA DJ'!$X$85,$A95,1),""))</f>
        <v>1</v>
      </c>
      <c r="CK95" s="207">
        <f>--ISNUMBER(IFERROR(SEARCH('PLANILLA DJ'!$X$86,$A95,1),""))</f>
        <v>1</v>
      </c>
      <c r="CL95" s="207">
        <f>--ISNUMBER(IFERROR(SEARCH('PLANILLA DJ'!$X$87,$A95,1),""))</f>
        <v>1</v>
      </c>
      <c r="CM95" s="207">
        <f>--ISNUMBER(IFERROR(SEARCH('PLANILLA DJ'!$X$88,$A95,1),""))</f>
        <v>1</v>
      </c>
      <c r="CN95" s="207">
        <f>--ISNUMBER(IFERROR(SEARCH('PLANILLA DJ'!$X$89,$A95,1),""))</f>
        <v>1</v>
      </c>
      <c r="CO95" s="207">
        <f>--ISNUMBER(IFERROR(SEARCH('PLANILLA DJ'!$X$90,$A95,1),""))</f>
        <v>1</v>
      </c>
      <c r="CP95" s="207">
        <f>--ISNUMBER(IFERROR(SEARCH('PLANILLA DJ'!$X$91,$A95,1),""))</f>
        <v>1</v>
      </c>
      <c r="CQ95" s="207">
        <f>--ISNUMBER(IFERROR(SEARCH('PLANILLA DJ'!$X$92,$A95,1),""))</f>
        <v>1</v>
      </c>
      <c r="CR95" s="207">
        <f>--ISNUMBER(IFERROR(SEARCH('PLANILLA DJ'!$X$93,$A95,1),""))</f>
        <v>1</v>
      </c>
      <c r="CS95" s="207">
        <f>--ISNUMBER(IFERROR(SEARCH('PLANILLA DJ'!$X$94,$A95,1),""))</f>
        <v>1</v>
      </c>
      <c r="CT95" s="207">
        <f>--ISNUMBER(IFERROR(SEARCH('PLANILLA DJ'!$X$95,$A95,1),""))</f>
        <v>1</v>
      </c>
      <c r="CU95" s="207">
        <f>--ISNUMBER(IFERROR(SEARCH('PLANILLA DJ'!$X$96,$A95,1),""))</f>
        <v>1</v>
      </c>
      <c r="CV95" s="207">
        <f>--ISNUMBER(IFERROR(SEARCH('PLANILLA DJ'!$X$97,$A95,1),""))</f>
        <v>1</v>
      </c>
      <c r="CW95" s="207">
        <f>--ISNUMBER(IFERROR(SEARCH('PLANILLA DJ'!$X$98,$A95,1),""))</f>
        <v>1</v>
      </c>
      <c r="CX95" s="207">
        <f>--ISNUMBER(IFERROR(SEARCH('PLANILLA DJ'!$X$99,$A95,1),""))</f>
        <v>1</v>
      </c>
      <c r="CY95" s="207">
        <f>--ISNUMBER(IFERROR(SEARCH('PLANILLA DJ'!$X$100,$A95,1),""))</f>
        <v>1</v>
      </c>
      <c r="CZ95" s="207">
        <f>--ISNUMBER(IFERROR(SEARCH('PLANILLA DJ'!$X$101,$A95,1),""))</f>
        <v>1</v>
      </c>
      <c r="DA95" s="207">
        <f>--ISNUMBER(IFERROR(SEARCH('PLANILLA DJ'!$X$102,$A95,1),""))</f>
        <v>1</v>
      </c>
      <c r="DB95" s="206">
        <f>IF(F95=1,COUNTIF($F$2:F95,1),"")</f>
        <v>94</v>
      </c>
      <c r="DC95" s="206">
        <f>IF(G95=1,COUNTIF($G$2:G95,1),"")</f>
        <v>94</v>
      </c>
      <c r="DD95" s="206">
        <f>IF(H95=1,COUNTIF($H$2:H95,1),"")</f>
        <v>94</v>
      </c>
      <c r="DE95" s="206">
        <f>IF(I95=1,COUNTIF($I$2:I95,1),"")</f>
        <v>94</v>
      </c>
      <c r="DF95" s="206">
        <f>IF(J95=1,COUNTIF($J$2:J95,1),"")</f>
        <v>94</v>
      </c>
      <c r="DG95" s="206">
        <f>IF(K95=1,COUNTIF($K$2:K95,1),"")</f>
        <v>94</v>
      </c>
      <c r="DH95" s="206">
        <f>IF(L95=1,COUNTIF($L$2:L95,1),"")</f>
        <v>94</v>
      </c>
      <c r="DI95" s="206">
        <f>IF(M95=1,COUNTIF($M$2:M95,1),"")</f>
        <v>94</v>
      </c>
      <c r="DJ95" s="206">
        <f>IF(N95=1,COUNTIF($N$2:N95,1),"")</f>
        <v>94</v>
      </c>
      <c r="DK95" s="206">
        <f>IF(O95=1,COUNTIF($O$2:O95,1),"")</f>
        <v>94</v>
      </c>
      <c r="DL95" s="206">
        <f>IF(P95=1,COUNTIF($P$2:P95,1),"")</f>
        <v>94</v>
      </c>
      <c r="DM95" s="206">
        <f>IF(Q95=1,COUNTIF($Q$2:Q95,1),"")</f>
        <v>94</v>
      </c>
      <c r="DN95" s="207">
        <f>IF(R95=1,COUNTIF($R$2:R95,1),"")</f>
        <v>94</v>
      </c>
      <c r="DO95" s="207">
        <f>IF(S95=1,COUNTIF($S$2:S95,1),"")</f>
        <v>94</v>
      </c>
      <c r="DP95" s="207">
        <f>IF(T95=1,COUNTIF($T$2:T95,1),"")</f>
        <v>94</v>
      </c>
      <c r="DQ95" s="207">
        <f>IF(U95=1,COUNTIF($U$2:U95,1),"")</f>
        <v>94</v>
      </c>
      <c r="DR95" s="207">
        <f>IF(V95=1,COUNTIF($V$2:V95,1),"")</f>
        <v>94</v>
      </c>
      <c r="DS95" s="207">
        <f>IF(W95=1,COUNTIF($W$2:W95,1),"")</f>
        <v>94</v>
      </c>
      <c r="DT95" s="207">
        <f>IF(X95=1,COUNTIF($X$2:X95,1),"")</f>
        <v>94</v>
      </c>
      <c r="DU95" s="207">
        <f>IF(Y95=1,COUNTIF($Y$2:Y95,1),"")</f>
        <v>94</v>
      </c>
      <c r="DV95" s="207">
        <f>IF(Z95=1,COUNTIF(Z$2:Z95,1),"")</f>
        <v>94</v>
      </c>
      <c r="DW95" s="207">
        <f>IF(AA95=1,COUNTIF($AA$2:AA95,1),"")</f>
        <v>94</v>
      </c>
      <c r="DX95" s="207">
        <f>IF(AB95=1,COUNTIF($AB$2:AB95,1),"")</f>
        <v>94</v>
      </c>
      <c r="DY95" s="207">
        <f>IF(AC95=1,COUNTIF($AC$2:AC95,1),"")</f>
        <v>94</v>
      </c>
      <c r="DZ95" s="207">
        <f>IF(AD95=1,COUNTIF($AD$2:AD95,1),"")</f>
        <v>94</v>
      </c>
      <c r="EA95" s="207">
        <f>IF(AE95=1,COUNTIF($AE$2:AE95,1),"")</f>
        <v>94</v>
      </c>
      <c r="EB95" s="207">
        <f>IF(AF95=1,COUNTIF($AF$2:AF95,1),"")</f>
        <v>94</v>
      </c>
      <c r="EC95" s="207">
        <f>IF(AG95=1,COUNTIF($AG$2:AG95,1),"")</f>
        <v>94</v>
      </c>
      <c r="ED95" s="207">
        <f>IF(AH95=1,COUNTIF($AH$2:AH95,1),"")</f>
        <v>94</v>
      </c>
      <c r="EE95" s="207">
        <f>IF(AI95=1,COUNTIF($AI$2:AI95,1),"")</f>
        <v>94</v>
      </c>
      <c r="EF95" s="207">
        <f>IF(AJ95=1,COUNTIF($AJ$2:AJ95,1),"")</f>
        <v>94</v>
      </c>
      <c r="EG95" s="207">
        <f>IF(AK95=1,COUNTIF($AK$2:AK95,1),"")</f>
        <v>94</v>
      </c>
      <c r="EH95" s="207">
        <f>IF(AL95=1,COUNTIF($AL$2:AL95,1),"")</f>
        <v>94</v>
      </c>
      <c r="EI95" s="207">
        <f>IF(AM95=1,COUNTIF($AM$2:AM95,1),"")</f>
        <v>94</v>
      </c>
      <c r="EJ95" s="207">
        <f>IF(AN95=1,COUNTIF($AN$2:AN95,1),"")</f>
        <v>94</v>
      </c>
      <c r="EK95" s="207">
        <f>IF(AO95=1,COUNTIF($AO$2:AO95,1),"")</f>
        <v>94</v>
      </c>
      <c r="EL95" s="207">
        <f>IF(AP95=1,COUNTIF($AP$2:AP95,1),"")</f>
        <v>94</v>
      </c>
      <c r="EM95" s="207">
        <f>IF(AQ95=1,COUNTIF($AQ$2:AQ95,1),"")</f>
        <v>94</v>
      </c>
      <c r="EN95" s="207">
        <f>IF(AR95=1,COUNTIF($AR$2:AR95,1),"")</f>
        <v>94</v>
      </c>
      <c r="EO95" s="207">
        <f>IF(AS95=1,COUNTIF($AS$2:AS95,1),"")</f>
        <v>94</v>
      </c>
      <c r="EP95" s="207">
        <f>IF(AT95=1,COUNTIF($AT$2:AT95,1),"")</f>
        <v>94</v>
      </c>
      <c r="EQ95" s="207">
        <f>IF(AU95=1,COUNTIF($AU$2:AU95,1),"")</f>
        <v>94</v>
      </c>
      <c r="ER95" s="207">
        <f>IF(AV95=1,COUNTIF($AV$2:AV95,1),"")</f>
        <v>94</v>
      </c>
      <c r="ES95" s="207">
        <f>IF(AW95=1,COUNTIF($AW$2:AW95,1),"")</f>
        <v>94</v>
      </c>
      <c r="ET95" s="207">
        <f>IF(AX95=1,COUNTIF($AX$2:AX95,1),"")</f>
        <v>94</v>
      </c>
      <c r="EU95" s="207">
        <f>IF(AY95=1,COUNTIF($AY$2:AY95,1),"")</f>
        <v>94</v>
      </c>
      <c r="EV95" s="207">
        <f>IF(AZ95=1,COUNTIF($AZ$2:AZ95,1),"")</f>
        <v>94</v>
      </c>
      <c r="EW95" s="207">
        <f>IF(BA95=1,COUNTIF($BA$2:BA95,1),"")</f>
        <v>94</v>
      </c>
      <c r="EX95" s="207">
        <f>IF(BB95=1,COUNTIF($BB$2:BB95,1),"")</f>
        <v>94</v>
      </c>
      <c r="EY95" s="207">
        <f>IF(BC95=1,COUNTIF($BC$2:BC95,1),"")</f>
        <v>94</v>
      </c>
      <c r="EZ95" s="207">
        <f>IF(BD95=1,COUNTIF($BD$2:BD95,1),"")</f>
        <v>94</v>
      </c>
      <c r="FA95" s="207">
        <f>IF(BE95=1,COUNTIF($BE$2:BE95,1),"")</f>
        <v>94</v>
      </c>
      <c r="FB95" s="207">
        <f>IF(BF95=1,COUNTIF($BF$2:BF95,1),"")</f>
        <v>94</v>
      </c>
      <c r="FC95" s="207">
        <f>IF(BG95=1,COUNTIF($BG$2:BG95,1),"")</f>
        <v>94</v>
      </c>
      <c r="FD95" s="207">
        <f>IF(BH95=1,COUNTIF($BH$2:BH95,1),"")</f>
        <v>94</v>
      </c>
      <c r="FE95" s="207">
        <f>IF(BI95=1,COUNTIF($BI$2:BI95,1),"")</f>
        <v>94</v>
      </c>
      <c r="FF95" s="207">
        <f>IF(BJ95=1,COUNTIF($BJ$2:BJ95,1),"")</f>
        <v>94</v>
      </c>
      <c r="FG95" s="207">
        <f>IF(BK95=1,COUNTIF($BK$2:BK95,1),"")</f>
        <v>94</v>
      </c>
      <c r="FH95" s="207">
        <f>IF(BL95=1,COUNTIF($BL$2:BL95,1),"")</f>
        <v>94</v>
      </c>
      <c r="FI95" s="207">
        <f>IF(BM95=1,COUNTIF($BM$2:BM95,1),"")</f>
        <v>94</v>
      </c>
      <c r="FJ95" s="207">
        <f>IF(BN95=1,COUNTIF($BN$2:BN95,1),"")</f>
        <v>94</v>
      </c>
      <c r="FK95" s="207">
        <f>IF(BO95=1,COUNTIF($BO$2:BO95,1),"")</f>
        <v>94</v>
      </c>
      <c r="FL95" s="207">
        <f>IF(BP95=1,COUNTIF($BP$2:BP95,1),"")</f>
        <v>94</v>
      </c>
      <c r="FM95" s="207">
        <f>IF(BQ95=1,COUNTIF($BQ$2:BQ95,1),"")</f>
        <v>94</v>
      </c>
      <c r="FN95" s="207">
        <f>IF(BR95=1,COUNTIF($BR$2:BR95,1),"")</f>
        <v>94</v>
      </c>
      <c r="FO95" s="207">
        <f>IF(BS95=1,COUNTIF($BS$2:BS95,1),"")</f>
        <v>94</v>
      </c>
      <c r="FP95" s="207">
        <f>IF(BT95=1,COUNTIF($BT$2:BT95,1),"")</f>
        <v>94</v>
      </c>
      <c r="FQ95" s="207">
        <f>IF(BU95=1,COUNTIF($BU$2:BU95,1),"")</f>
        <v>94</v>
      </c>
      <c r="FR95" s="207">
        <f>IF(BV95=1,COUNTIF($BV$2:BV95,1),"")</f>
        <v>94</v>
      </c>
      <c r="FS95" s="207">
        <f>IF(BW95=1,COUNTIF($BW$2:BW95,1),"")</f>
        <v>94</v>
      </c>
      <c r="FT95" s="207">
        <f>IF(BX95=1,COUNTIF($BX$2:BX95,1),"")</f>
        <v>94</v>
      </c>
      <c r="FU95" s="207">
        <f>IF(BY95=1,COUNTIF($BY$2:BY95,1),"")</f>
        <v>94</v>
      </c>
      <c r="FV95" s="207">
        <f>IF(BZ95=1,COUNTIF($BZ$2:BZ95,1),"")</f>
        <v>94</v>
      </c>
      <c r="FW95" s="207">
        <f>IF(CA95=1,COUNTIF($CA$2:CA95,1),"")</f>
        <v>94</v>
      </c>
      <c r="FX95" s="207">
        <f>IF(CB95=1,COUNTIF($CB$2:CB95,1),"")</f>
        <v>94</v>
      </c>
      <c r="FY95" s="207">
        <f>IF(CC95=1,COUNTIF($CC$2:CC95,1),"")</f>
        <v>94</v>
      </c>
      <c r="FZ95" s="207">
        <f>IF(CD95=1,COUNTIF($CD$2:CD95,1),"")</f>
        <v>94</v>
      </c>
      <c r="GA95" s="207">
        <f>IF(CE95=1,COUNTIF($CE$2:CE95,1),"")</f>
        <v>94</v>
      </c>
      <c r="GB95" s="207">
        <f>IF(CF95=1,COUNTIF($CF$2:CF95,1),"")</f>
        <v>94</v>
      </c>
      <c r="GC95" s="207">
        <f>IF(CG95=1,COUNTIF($CG$2:CG95,1),"")</f>
        <v>94</v>
      </c>
      <c r="GD95" s="207">
        <f>IF(CH95=1,COUNTIF($CH$2:CH95,1),"")</f>
        <v>94</v>
      </c>
      <c r="GE95" s="207">
        <f>IF(CI95=1,COUNTIF($CI$2:CI95,1),"")</f>
        <v>94</v>
      </c>
      <c r="GF95" s="207">
        <f>IF(CJ95=1,COUNTIF($CJ$2:CJ95,1),"")</f>
        <v>94</v>
      </c>
      <c r="GG95" s="207">
        <f>IF(CK95=1,COUNTIF($CK$2:CK95,1),"")</f>
        <v>94</v>
      </c>
      <c r="GH95" s="207">
        <f>IF(CL95=1,COUNTIF($CL$2:CL95,1),"")</f>
        <v>94</v>
      </c>
      <c r="GI95" s="207">
        <f>IF(CM95=1,COUNTIF($CM$2:CM95,1),"")</f>
        <v>94</v>
      </c>
      <c r="GJ95" s="207">
        <f>IF(CN95=1,COUNTIF($CN$2:CN95,1),"")</f>
        <v>94</v>
      </c>
      <c r="GK95" s="207">
        <f>IF(CO95=1,COUNTIF($CO$2:CO95,1),"")</f>
        <v>94</v>
      </c>
      <c r="GL95" s="207">
        <f>IF(CP95=1,COUNTIF($CP$2:CP95,1),"")</f>
        <v>94</v>
      </c>
      <c r="GM95" s="207">
        <f>IF(CQ95=1,COUNTIF($CQ$2:CQ95,1),"")</f>
        <v>94</v>
      </c>
      <c r="GN95" s="207">
        <f>IF(CR95=1,COUNTIF($CR$2:CR95,1),"")</f>
        <v>94</v>
      </c>
      <c r="GO95" s="207">
        <f>IF(CS95=1,COUNTIF($CS$2:CS95,1),"")</f>
        <v>94</v>
      </c>
      <c r="GP95" s="207">
        <f>IF(CT95=1,COUNTIF($CT$2:CT95,1),"")</f>
        <v>94</v>
      </c>
      <c r="GQ95" s="207">
        <f>IF(CU95=1,COUNTIF($CU$2:CU95,1),"")</f>
        <v>94</v>
      </c>
      <c r="GR95" s="207">
        <f>IF(CV95=1,COUNTIF($CV$2:CV95,1),"")</f>
        <v>94</v>
      </c>
      <c r="GS95" s="207">
        <f>IF(CW95=1,COUNTIF($CW$2:CW95,1),"")</f>
        <v>94</v>
      </c>
      <c r="GT95" s="207">
        <f>IF(CX95=1,COUNTIF($CX$2:CX95,1),"")</f>
        <v>94</v>
      </c>
      <c r="GU95" s="207">
        <f>IF(CY95=1,COUNTIF($CY$2:CY95,1),"")</f>
        <v>94</v>
      </c>
      <c r="GV95" s="207">
        <f>IF(CZ95=1,COUNTIF($CZ$2:CZ95,1),"")</f>
        <v>94</v>
      </c>
      <c r="GW95" s="207">
        <f>IF(DA95=1,COUNTIF($DA$2:DA95,1),"")</f>
        <v>94</v>
      </c>
      <c r="GX95" s="206" t="str">
        <f>IFERROR(INDEX($A$2:$A$113,MATCH(ROWS($DB$2:DB95),$DB$2:$DB$113,0)),"")</f>
        <v>DESVIO DE IMPORTACION DE ESTUPEFACIENTES</v>
      </c>
      <c r="GY95" s="206" t="str">
        <f>IFERROR(INDEX($A$2:$A$113,MATCH(ROWS($DC$2:DC95),$DC$2:$DC$113,0)),"")</f>
        <v>DESVIO DE IMPORTACION DE ESTUPEFACIENTES</v>
      </c>
      <c r="GZ95" s="206" t="str">
        <f>IFERROR(INDEX($A$2:$A$113,MATCH(ROWS($DD$2:DD95),$DD$2:$DD$113,0)),"")</f>
        <v>DESVIO DE IMPORTACION DE ESTUPEFACIENTES</v>
      </c>
      <c r="HA95" s="206" t="str">
        <f>IFERROR(INDEX($A$2:$A$113,MATCH(ROWS($DE$2:DE95),$DE$2:$DE$113,0)),"")</f>
        <v>DESVIO DE IMPORTACION DE ESTUPEFACIENTES</v>
      </c>
      <c r="HB95" s="206" t="str">
        <f>IFERROR(INDEX($A$2:$A$113,MATCH(ROWS($DF$2:DF95),$DF$2:$DF$113,0)),"")</f>
        <v>DESVIO DE IMPORTACION DE ESTUPEFACIENTES</v>
      </c>
      <c r="HC95" s="206" t="str">
        <f>IFERROR(INDEX($A$2:$A$113,MATCH(ROWS($DG$2:DG95),$DG$2:$DG$113,0)),"")</f>
        <v>DESVIO DE IMPORTACION DE ESTUPEFACIENTES</v>
      </c>
      <c r="HD95" s="206" t="str">
        <f>IFERROR(INDEX($A$2:$A$113,MATCH(ROWS($DH$2:DH95),$DH$2:$DH$113,0)),"")</f>
        <v>DESVIO DE IMPORTACION DE ESTUPEFACIENTES</v>
      </c>
      <c r="HE95" s="206" t="str">
        <f>IFERROR(INDEX($A$2:$A$113,MATCH(ROWS($DI$2:DI95),$DI$2:$DI$113,0)),"")</f>
        <v>DESVIO DE IMPORTACION DE ESTUPEFACIENTES</v>
      </c>
      <c r="HF95" s="206" t="str">
        <f>IFERROR(INDEX($A$2:$A$113,MATCH(ROWS($DJ$2:DJ95),$DJ$2:$DJ$113,0)),"")</f>
        <v>DESVIO DE IMPORTACION DE ESTUPEFACIENTES</v>
      </c>
      <c r="HG95" s="206" t="str">
        <f>IFERROR(INDEX($A$2:$A$113,MATCH(ROWS($DK$2:DK95),$DK$2:$DK$113,0)),"")</f>
        <v>DESVIO DE IMPORTACION DE ESTUPEFACIENTES</v>
      </c>
      <c r="HH95" s="206" t="str">
        <f>IFERROR(INDEX($A$2:$A$113,MATCH(ROWS($DL$2:DL95),$DL$2:$DL$113,0)),"")</f>
        <v>DESVIO DE IMPORTACION DE ESTUPEFACIENTES</v>
      </c>
      <c r="HI95" s="206" t="str">
        <f>IFERROR(INDEX($A$2:$A$113,MATCH(ROWS($DM$2:DM95),$DM$2:$DM$113,0)),"")</f>
        <v>DESVIO DE IMPORTACION DE ESTUPEFACIENTES</v>
      </c>
      <c r="HJ95" s="206" t="str">
        <f>IFERROR(INDEX($A$2:$A$113,MATCH(ROWS($DN$2:DN95),$DN$2:$DN$113,0)),"")</f>
        <v>DESVIO DE IMPORTACION DE ESTUPEFACIENTES</v>
      </c>
      <c r="HK95" s="206" t="str">
        <f>IFERROR(INDEX($A$2:$A$113,MATCH(ROWS($DO$2:DO95),$DO$2:$DO$113,0)),"")</f>
        <v>DESVIO DE IMPORTACION DE ESTUPEFACIENTES</v>
      </c>
      <c r="HL95" s="206" t="str">
        <f>IFERROR(INDEX($A$2:$A$113,MATCH(ROWS($DP$2:DP95),$DP$2:$DP$113,0)),"")</f>
        <v>DESVIO DE IMPORTACION DE ESTUPEFACIENTES</v>
      </c>
      <c r="HM95" s="206" t="str">
        <f>IFERROR(INDEX($A$2:$A$113,MATCH(ROWS($DQ$2:DQ95),$DQ$2:$DQ$113,0)),"")</f>
        <v>DESVIO DE IMPORTACION DE ESTUPEFACIENTES</v>
      </c>
      <c r="HN95" s="206" t="str">
        <f>IFERROR(INDEX($A$2:$A$113,MATCH(ROWS($DR$2:DR95),$DR$2:$DR$113,0)),"")</f>
        <v>DESVIO DE IMPORTACION DE ESTUPEFACIENTES</v>
      </c>
      <c r="HO95" s="206" t="str">
        <f>IFERROR(INDEX($A$2:$A$113,MATCH(ROWS($DS$2:DS95),$DS$2:$DS$113,0)),"")</f>
        <v>DESVIO DE IMPORTACION DE ESTUPEFACIENTES</v>
      </c>
      <c r="HP95" s="206" t="str">
        <f>IFERROR(INDEX($A$2:$A$113,MATCH(ROWS($DT$2:DT95),$DT$2:$DT$113,0)),"")</f>
        <v>DESVIO DE IMPORTACION DE ESTUPEFACIENTES</v>
      </c>
      <c r="HQ95" s="206" t="str">
        <f>IFERROR(INDEX($A$2:$A$113,MATCH(ROWS($DU$2:DU95),$DU$2:$DU$113,0)),"")</f>
        <v>DESVIO DE IMPORTACION DE ESTUPEFACIENTES</v>
      </c>
      <c r="HR95" s="206" t="str">
        <f>IFERROR(INDEX($A$2:$A$113,MATCH(ROWS($DV$2:DV95),$DV$2:$DV$113,0)),"")</f>
        <v>DESVIO DE IMPORTACION DE ESTUPEFACIENTES</v>
      </c>
      <c r="HS95" s="206" t="str">
        <f>IFERROR(INDEX($A$2:$A$113,MATCH(ROWS($DW$2:DW95),$DW$2:$DW$113,0)),"")</f>
        <v>DESVIO DE IMPORTACION DE ESTUPEFACIENTES</v>
      </c>
      <c r="HT95" s="206" t="str">
        <f>IFERROR(INDEX($A$2:$A$113,MATCH(ROWS($DX$2:DX95),$DX$2:$DX$113,0)),"")</f>
        <v>DESVIO DE IMPORTACION DE ESTUPEFACIENTES</v>
      </c>
      <c r="HU95" s="206" t="str">
        <f>IFERROR(INDEX($A$2:$A$113,MATCH(ROWS($DY$2:DY95),$DY$2:$DY$113,0)),"")</f>
        <v>DESVIO DE IMPORTACION DE ESTUPEFACIENTES</v>
      </c>
      <c r="HV95" s="206" t="str">
        <f>IFERROR(INDEX($A$2:$A$113,MATCH(ROWS($DZ$2:DZ95),$DZ$2:$DZ$113,0)),"")</f>
        <v>DESVIO DE IMPORTACION DE ESTUPEFACIENTES</v>
      </c>
      <c r="HW95" s="206" t="str">
        <f>IFERROR(INDEX($A$2:$A$113,MATCH(ROWS($EA$2:EA95),$EA$2:$EA$113,0)),"")</f>
        <v>DESVIO DE IMPORTACION DE ESTUPEFACIENTES</v>
      </c>
      <c r="HX95" s="206" t="str">
        <f>IFERROR(INDEX($A$2:$A$113,MATCH(ROWS($EB$2:EB95),$EB$2:$EB$113,0)),"")</f>
        <v>DESVIO DE IMPORTACION DE ESTUPEFACIENTES</v>
      </c>
      <c r="HY95" s="206" t="str">
        <f>IFERROR(INDEX($A$2:$A$113,MATCH(ROWS($EC$2:EC95),$EC$2:$EC$113,0)),"")</f>
        <v>DESVIO DE IMPORTACION DE ESTUPEFACIENTES</v>
      </c>
      <c r="HZ95" s="206" t="str">
        <f>IFERROR(INDEX($A$2:$A$113,MATCH(ROWS($ED$2:ED95),$ED$2:$ED$113,0)),"")</f>
        <v>DESVIO DE IMPORTACION DE ESTUPEFACIENTES</v>
      </c>
      <c r="IA95" s="206" t="str">
        <f>IFERROR(INDEX($A$2:$A$113,MATCH(ROWS($EE$2:EE95),$EE$2:$EE$113,0)),"")</f>
        <v>DESVIO DE IMPORTACION DE ESTUPEFACIENTES</v>
      </c>
      <c r="IB95" s="206" t="str">
        <f>IFERROR(INDEX($A$2:$A$113,MATCH(ROWS($EF$2:EF95),$EF$2:$EF$113,0)),"")</f>
        <v>DESVIO DE IMPORTACION DE ESTUPEFACIENTES</v>
      </c>
      <c r="IC95" s="206" t="str">
        <f>IFERROR(INDEX($A$2:$A$113,MATCH(ROWS($EG$2:EG95),$EG$2:$EG$113,0)),"")</f>
        <v>DESVIO DE IMPORTACION DE ESTUPEFACIENTES</v>
      </c>
      <c r="ID95" s="206" t="str">
        <f>IFERROR(INDEX($A$2:$A$113,MATCH(ROWS($EH$2:EH95),$EH$2:$EH$113,0)),"")</f>
        <v>DESVIO DE IMPORTACION DE ESTUPEFACIENTES</v>
      </c>
      <c r="IE95" s="206" t="str">
        <f>IFERROR(INDEX($A$2:$A$113,MATCH(ROWS($EI$2:EI95),$EI$2:$EI$113,0)),"")</f>
        <v>DESVIO DE IMPORTACION DE ESTUPEFACIENTES</v>
      </c>
      <c r="IF95" s="206" t="str">
        <f>IFERROR(INDEX($A$2:$A$113,MATCH(ROWS($EJ$2:EJ95),$EJ$2:$EJ$113,0)),"")</f>
        <v>DESVIO DE IMPORTACION DE ESTUPEFACIENTES</v>
      </c>
      <c r="IG95" s="206" t="str">
        <f>IFERROR(INDEX($A$2:$A$113,MATCH(ROWS($EK$2:EK95),$EK$2:$EK$113,0)),"")</f>
        <v>DESVIO DE IMPORTACION DE ESTUPEFACIENTES</v>
      </c>
      <c r="IH95" s="206" t="str">
        <f>IFERROR(INDEX($A$2:$A$113,MATCH(ROWS($EL$2:EL95),$EL$2:$EL$113,0)),"")</f>
        <v>DESVIO DE IMPORTACION DE ESTUPEFACIENTES</v>
      </c>
      <c r="II95" s="206" t="str">
        <f>IFERROR(INDEX($A$2:$A$113,MATCH(ROWS($EM$2:EM95),$EM$2:$EM$113,0)),"")</f>
        <v>DESVIO DE IMPORTACION DE ESTUPEFACIENTES</v>
      </c>
      <c r="IJ95" s="206" t="str">
        <f>IFERROR(INDEX($A$2:$A$113,MATCH(ROWS($EN$2:EN95),$EN$2:$EN$113,0)),"")</f>
        <v>DESVIO DE IMPORTACION DE ESTUPEFACIENTES</v>
      </c>
      <c r="IK95" s="207" t="str">
        <f>IFERROR(INDEX($A$2:$A$113,MATCH(ROWS($EO$2:EO95),$EO$2:$EO$113,0)),"")</f>
        <v>DESVIO DE IMPORTACION DE ESTUPEFACIENTES</v>
      </c>
      <c r="IL95" s="207" t="str">
        <f>IFERROR(INDEX($A$2:$A$113,MATCH(ROWS($EP$2:EP95),$EP$2:$EP$113,0)),"")</f>
        <v>DESVIO DE IMPORTACION DE ESTUPEFACIENTES</v>
      </c>
      <c r="IM95" s="207" t="str">
        <f>IFERROR(INDEX($A$2:$A$113,MATCH(ROWS($EQ$2:EQ95),$EQ$2:$EQ$113,0)),"")</f>
        <v>DESVIO DE IMPORTACION DE ESTUPEFACIENTES</v>
      </c>
      <c r="IN95" s="207" t="str">
        <f>IFERROR(INDEX($A$2:$A$113,MATCH(ROWS($ER$2:ER95),$ER$2:$ER$113,0)),"")</f>
        <v>DESVIO DE IMPORTACION DE ESTUPEFACIENTES</v>
      </c>
      <c r="IO95" s="207" t="str">
        <f>IFERROR(INDEX($A$2:$A$113,MATCH(ROWS($ES$2:ES95),$ES$2:$ES$113,0)),"")</f>
        <v>DESVIO DE IMPORTACION DE ESTUPEFACIENTES</v>
      </c>
      <c r="IP95" s="207" t="str">
        <f>IFERROR(INDEX($A$2:$A$113,MATCH(ROWS($ET$2:ET95),$ET$2:$ET$113,0)),"")</f>
        <v>DESVIO DE IMPORTACION DE ESTUPEFACIENTES</v>
      </c>
      <c r="IQ95" s="207" t="str">
        <f>IFERROR(INDEX($A$2:$A$113,MATCH(ROWS($EU$2:EU95),$EU$2:$EU$113,0)),"")</f>
        <v>DESVIO DE IMPORTACION DE ESTUPEFACIENTES</v>
      </c>
      <c r="IR95" s="207" t="str">
        <f>IFERROR(INDEX($A$2:$A$113,MATCH(ROWS($EV$2:EV95),$EV$2:$EV$113,0)),"")</f>
        <v>DESVIO DE IMPORTACION DE ESTUPEFACIENTES</v>
      </c>
      <c r="IS95" s="207" t="str">
        <f>IFERROR(INDEX($A$2:$A$113,MATCH(ROWS($EW$2:EW95),$EW$2:$EW$113,0)),"")</f>
        <v>DESVIO DE IMPORTACION DE ESTUPEFACIENTES</v>
      </c>
      <c r="IT95" s="207" t="str">
        <f>IFERROR(INDEX($A$2:$A$113,MATCH(ROWS($EX$2:EX95),$EX$2:$EX$113,0)),"")</f>
        <v>DESVIO DE IMPORTACION DE ESTUPEFACIENTES</v>
      </c>
      <c r="IU95" s="207" t="str">
        <f>IFERROR(INDEX($A$2:$A$113,MATCH(ROWS($EY$2:EY95),$EY$2:$EY$113,0)),"")</f>
        <v>DESVIO DE IMPORTACION DE ESTUPEFACIENTES</v>
      </c>
      <c r="IV95" s="207" t="str">
        <f>IFERROR(INDEX($A$2:$A$113,MATCH(ROWS($EZ$2:EZ95),$EZ$2:$EZ$113,0)),"")</f>
        <v>DESVIO DE IMPORTACION DE ESTUPEFACIENTES</v>
      </c>
      <c r="IW95" s="207" t="str">
        <f>IFERROR(INDEX($A$2:$A$113,MATCH(ROWS($FA$2:FA95),$FA$2:$FA$113,0)),"")</f>
        <v>DESVIO DE IMPORTACION DE ESTUPEFACIENTES</v>
      </c>
      <c r="IX95" s="207" t="str">
        <f>IFERROR(INDEX($A$2:$A$113,MATCH(ROWS($FB$2:FB95),$FB$2:$FB$113,0)),"")</f>
        <v>DESVIO DE IMPORTACION DE ESTUPEFACIENTES</v>
      </c>
      <c r="IY95" s="207" t="str">
        <f>IFERROR(INDEX($A$2:$A$113,MATCH(ROWS($FC$2:FC95),$FC$2:$FC$113,0)),"")</f>
        <v>DESVIO DE IMPORTACION DE ESTUPEFACIENTES</v>
      </c>
      <c r="IZ95" s="207" t="str">
        <f>IFERROR(INDEX($A$2:$A$113,MATCH(ROWS($FD$2:FD95),$FD$2:$FD$113,0)),"")</f>
        <v>DESVIO DE IMPORTACION DE ESTUPEFACIENTES</v>
      </c>
      <c r="JA95" s="207" t="str">
        <f>IFERROR(INDEX($A$2:$A$113,MATCH(ROWS($FE$2:FE95),$FE$2:$FE$113,0)),"")</f>
        <v>DESVIO DE IMPORTACION DE ESTUPEFACIENTES</v>
      </c>
      <c r="JB95" s="207" t="str">
        <f>IFERROR(INDEX($A$2:$A$113,MATCH(ROWS($FF$2:FF95),$FF$2:$FF$113,0)),"")</f>
        <v>DESVIO DE IMPORTACION DE ESTUPEFACIENTES</v>
      </c>
      <c r="JC95" s="207" t="str">
        <f>IFERROR(INDEX($A$2:$A$113,MATCH(ROWS($FG$2:FG95),$FG$2:$FG$113,0)),"")</f>
        <v>DESVIO DE IMPORTACION DE ESTUPEFACIENTES</v>
      </c>
      <c r="JD95" s="207" t="str">
        <f>IFERROR(INDEX($A$2:$A$113,MATCH(ROWS($FH$2:FH95),$FH$2:$FH$113,0)),"")</f>
        <v>DESVIO DE IMPORTACION DE ESTUPEFACIENTES</v>
      </c>
      <c r="JE95" s="207" t="str">
        <f>IFERROR(INDEX($A$2:$A$113,MATCH(ROWS($FI$2:FI95),$FI$2:$FI$113,0)),"")</f>
        <v>DESVIO DE IMPORTACION DE ESTUPEFACIENTES</v>
      </c>
      <c r="JF95" s="207" t="str">
        <f>IFERROR(INDEX($A$2:$A$113,MATCH(ROWS($FJ$2:FJ95),$FJ$2:$FJ$113,0)),"")</f>
        <v>DESVIO DE IMPORTACION DE ESTUPEFACIENTES</v>
      </c>
      <c r="JG95" s="207" t="str">
        <f>IFERROR(INDEX($A$2:$A$113,MATCH(ROWS($FK$2:FK95),$FK$2:$FK$113,0)),"")</f>
        <v>DESVIO DE IMPORTACION DE ESTUPEFACIENTES</v>
      </c>
      <c r="JH95" s="207" t="str">
        <f>IFERROR(INDEX($A$2:$A$113,MATCH(ROWS($FL$2:FL95),$FL$2:$FL$113,0)),"")</f>
        <v>DESVIO DE IMPORTACION DE ESTUPEFACIENTES</v>
      </c>
      <c r="JI95" s="207" t="str">
        <f>IFERROR(INDEX($A$2:$A$113,MATCH(ROWS($FM$2:FM95),$FM$2:$FM$113,0)),"")</f>
        <v>DESVIO DE IMPORTACION DE ESTUPEFACIENTES</v>
      </c>
      <c r="JJ95" s="207" t="str">
        <f>IFERROR(INDEX($A$2:$A$113,MATCH(ROWS($FN$2:FN95),$FN$2:$FN$113,0)),"")</f>
        <v>DESVIO DE IMPORTACION DE ESTUPEFACIENTES</v>
      </c>
      <c r="JK95" s="207" t="str">
        <f>IFERROR(INDEX($A$2:$A$113,MATCH(ROWS($FO$2:FO95),$FO$2:$FO$113,0)),"")</f>
        <v>DESVIO DE IMPORTACION DE ESTUPEFACIENTES</v>
      </c>
      <c r="JL95" s="207" t="str">
        <f>IFERROR(INDEX($A$2:$A$113,MATCH(ROWS($FP$2:FP95),$FP$2:$FP$113,0)),"")</f>
        <v>DESVIO DE IMPORTACION DE ESTUPEFACIENTES</v>
      </c>
      <c r="JM95" s="207" t="str">
        <f>IFERROR(INDEX($A$2:$A$113,MATCH(ROWS($FQ$2:FQ95),$FQ$2:$FQ$113,0)),"")</f>
        <v>DESVIO DE IMPORTACION DE ESTUPEFACIENTES</v>
      </c>
      <c r="JN95" s="207" t="str">
        <f>IFERROR(INDEX($A$2:$A$113,MATCH(ROWS($FR$2:FR95),$FR$2:$FR$113,0)),"")</f>
        <v>DESVIO DE IMPORTACION DE ESTUPEFACIENTES</v>
      </c>
      <c r="JO95" s="207" t="str">
        <f>IFERROR(INDEX($A$2:$A$113,MATCH(ROWS($FS$2:FS95),$FS$2:$FS$113,0)),"")</f>
        <v>DESVIO DE IMPORTACION DE ESTUPEFACIENTES</v>
      </c>
      <c r="JP95" s="207" t="str">
        <f>IFERROR(INDEX($A$2:$A$113,MATCH(ROWS($FT$2:FT95),$FT$2:$FT$113,0)),"")</f>
        <v>DESVIO DE IMPORTACION DE ESTUPEFACIENTES</v>
      </c>
      <c r="JQ95" s="207" t="str">
        <f>IFERROR(INDEX($A$2:$A$113,MATCH(ROWS($FU$2:FU95),$FU$2:$FU$113,0)),"")</f>
        <v>DESVIO DE IMPORTACION DE ESTUPEFACIENTES</v>
      </c>
      <c r="JR95" s="207" t="str">
        <f>IFERROR(INDEX($A$2:$A$113,MATCH(ROWS($FV$2:FV95),$FV$2:$FV$113,0)),"")</f>
        <v>DESVIO DE IMPORTACION DE ESTUPEFACIENTES</v>
      </c>
      <c r="JS95" s="207" t="str">
        <f>IFERROR(INDEX($A$2:$A$113,MATCH(ROWS($FW$2:FW95),$FW$2:$FW$113,0)),"")</f>
        <v>DESVIO DE IMPORTACION DE ESTUPEFACIENTES</v>
      </c>
      <c r="JT95" s="207" t="str">
        <f>IFERROR(INDEX($A$2:$A$113,MATCH(ROWS($FX$2:FX95),$FX$2:$FX$113,0)),"")</f>
        <v>DESVIO DE IMPORTACION DE ESTUPEFACIENTES</v>
      </c>
      <c r="JU95" s="207" t="str">
        <f>IFERROR(INDEX($A$2:$A$113,MATCH(ROWS($FY$2:FY95),$FY$2:$FY$113,0)),"")</f>
        <v>DESVIO DE IMPORTACION DE ESTUPEFACIENTES</v>
      </c>
      <c r="JV95" s="207" t="str">
        <f>IFERROR(INDEX($A$2:$A$113,MATCH(ROWS($FZ$2:FZ95),$FZ$2:$FZ$113,0)),"")</f>
        <v>DESVIO DE IMPORTACION DE ESTUPEFACIENTES</v>
      </c>
      <c r="JW95" s="207" t="str">
        <f>IFERROR(INDEX($A$2:$A$113,MATCH(ROWS($GA$2:GA95),$GA$2:$GA$113,0)),"")</f>
        <v>DESVIO DE IMPORTACION DE ESTUPEFACIENTES</v>
      </c>
      <c r="JX95" s="207" t="str">
        <f>IFERROR(INDEX($A$2:$A$113,MATCH(ROWS($GB$2:GB95),$GB$2:$GB$113,0)),"")</f>
        <v>DESVIO DE IMPORTACION DE ESTUPEFACIENTES</v>
      </c>
      <c r="JY95" s="207" t="str">
        <f>IFERROR(INDEX($A$2:$A$113,MATCH(ROWS($GC$2:GC95),$GC$2:$GC$113,0)),"")</f>
        <v>DESVIO DE IMPORTACION DE ESTUPEFACIENTES</v>
      </c>
      <c r="JZ95" s="207" t="str">
        <f>IFERROR(INDEX($A$2:$A$113,MATCH(ROWS($GD$2:GD95),$GD$2:$GD$113,0)),"")</f>
        <v>DESVIO DE IMPORTACION DE ESTUPEFACIENTES</v>
      </c>
      <c r="KA95" s="207" t="str">
        <f>IFERROR(INDEX($A$2:$A$113,MATCH(ROWS($GE$2:GE95),$GE$2:$GE$113,0)),"")</f>
        <v>DESVIO DE IMPORTACION DE ESTUPEFACIENTES</v>
      </c>
      <c r="KB95" s="207" t="str">
        <f>IFERROR(INDEX($A$2:$A$113,MATCH(ROWS($GF$2:GF95),$GF$2:$GF$113,0)),"")</f>
        <v>DESVIO DE IMPORTACION DE ESTUPEFACIENTES</v>
      </c>
      <c r="KC95" s="207" t="str">
        <f>IFERROR(INDEX($A$2:$A$113,MATCH(ROWS($GG$2:GG95),$GG$2:$GG$113,0)),"")</f>
        <v>DESVIO DE IMPORTACION DE ESTUPEFACIENTES</v>
      </c>
      <c r="KD95" s="207" t="str">
        <f>IFERROR(INDEX($A$2:$A$113,MATCH(ROWS($GH$2:GH95),$GH$2:$GH$113,0)),"")</f>
        <v>DESVIO DE IMPORTACION DE ESTUPEFACIENTES</v>
      </c>
      <c r="KE95" s="207" t="str">
        <f>IFERROR(INDEX($A$2:$A$113,MATCH(ROWS($GI$2:GI95),$GI$2:$GI$113,0)),"")</f>
        <v>DESVIO DE IMPORTACION DE ESTUPEFACIENTES</v>
      </c>
      <c r="KF95" s="207" t="str">
        <f>IFERROR(INDEX($A$2:$A$113,MATCH(ROWS($GJ$2:GJ95),$GJ$2:$GJ$113,0)),"")</f>
        <v>DESVIO DE IMPORTACION DE ESTUPEFACIENTES</v>
      </c>
      <c r="KG95" s="207" t="str">
        <f>IFERROR(INDEX($A$2:$A$113,MATCH(ROWS($GK$2:GK95),$GK$2:$GK$113,0)),"")</f>
        <v>DESVIO DE IMPORTACION DE ESTUPEFACIENTES</v>
      </c>
      <c r="KH95" s="207" t="str">
        <f>IFERROR(INDEX($A$2:$A$113,MATCH(ROWS($GL$2:GL95),$GL$2:$GL$113,0)),"")</f>
        <v>DESVIO DE IMPORTACION DE ESTUPEFACIENTES</v>
      </c>
      <c r="KI95" s="207" t="str">
        <f>IFERROR(INDEX($A$2:$A$113,MATCH(ROWS($GM$2:GM95),$GM$2:$GM$113,0)),"")</f>
        <v>DESVIO DE IMPORTACION DE ESTUPEFACIENTES</v>
      </c>
      <c r="KJ95" s="207" t="str">
        <f>IFERROR(INDEX($A$2:$A$113,MATCH(ROWS($GN$2:GN95),$GN$2:$GN$113,0)),"")</f>
        <v>DESVIO DE IMPORTACION DE ESTUPEFACIENTES</v>
      </c>
      <c r="KK95" s="207" t="str">
        <f>IFERROR(INDEX($A$2:$A$113,MATCH(ROWS($GO$2:GO95),$GO$2:$GO$113,0)),"")</f>
        <v>DESVIO DE IMPORTACION DE ESTUPEFACIENTES</v>
      </c>
      <c r="KL95" s="207" t="str">
        <f>IFERROR(INDEX($A$2:$A$113,MATCH(ROWS($GP$2:GP95),$GP$2:$GP$113,0)),"")</f>
        <v>DESVIO DE IMPORTACION DE ESTUPEFACIENTES</v>
      </c>
      <c r="KM95" s="207" t="str">
        <f>IFERROR(INDEX($A$2:$A$113,MATCH(ROWS($GQ$2:GQ95),$GQ$2:$GQ$113,0)),"")</f>
        <v>DESVIO DE IMPORTACION DE ESTUPEFACIENTES</v>
      </c>
      <c r="KN95" s="207" t="str">
        <f>IFERROR(INDEX($A$2:$A$113,MATCH(ROWS($GR$2:GR95),$GR$2:$GR$113,0)),"")</f>
        <v>DESVIO DE IMPORTACION DE ESTUPEFACIENTES</v>
      </c>
      <c r="KO95" s="207" t="str">
        <f>IFERROR(INDEX($A$2:$A$113,MATCH(ROWS($GS$2:GS95),$GS$2:$GS$113,0)),"")</f>
        <v>DESVIO DE IMPORTACION DE ESTUPEFACIENTES</v>
      </c>
      <c r="KP95" s="207" t="str">
        <f>IFERROR(INDEX($A$2:$A$113,MATCH(ROWS($GT$2:GT95),$GT$2:$GT$113,0)),"")</f>
        <v>DESVIO DE IMPORTACION DE ESTUPEFACIENTES</v>
      </c>
      <c r="KQ95" s="207" t="str">
        <f>IFERROR(INDEX($A$2:$A$113,MATCH(ROWS($GU$2:GU95),$GU$2:$GU$113,0)),"")</f>
        <v>DESVIO DE IMPORTACION DE ESTUPEFACIENTES</v>
      </c>
      <c r="KR95" s="207" t="str">
        <f>IFERROR(INDEX($A$2:$A$113,MATCH(ROWS($GV$2:GV95),$GV$2:$GV$113,0)),"")</f>
        <v>DESVIO DE IMPORTACION DE ESTUPEFACIENTES</v>
      </c>
      <c r="KS95" s="207" t="str">
        <f>IFERROR(INDEX($A$2:$A$113,MATCH(ROWS($GW$2:GW95),$GW$2:$GW$113,0)),"")</f>
        <v>DESVIO DE IMPORTACION DE ESTUPEFACIENTES</v>
      </c>
    </row>
    <row r="96" spans="1:305" x14ac:dyDescent="0.25">
      <c r="A96" s="206" t="s">
        <v>914</v>
      </c>
      <c r="B96" s="206" t="s">
        <v>120</v>
      </c>
      <c r="D96" s="206" t="s">
        <v>35</v>
      </c>
      <c r="E96" s="206" t="s">
        <v>116</v>
      </c>
      <c r="F96" s="207">
        <f>--ISNUMBER(IFERROR(SEARCH('PLANILLA DJ'!$X$3,$A96,1),""))</f>
        <v>1</v>
      </c>
      <c r="G96" s="207">
        <f>--ISNUMBER(IFERROR(SEARCH('PLANILLA DJ'!$X$4,$A96,1),""))</f>
        <v>1</v>
      </c>
      <c r="H96" s="207">
        <f>--ISNUMBER(IFERROR(SEARCH('PLANILLA DJ'!$X$5,$A96,1),""))</f>
        <v>1</v>
      </c>
      <c r="I96" s="207">
        <f>--ISNUMBER(IFERROR(SEARCH('PLANILLA DJ'!$X$6,$A96,1),""))</f>
        <v>1</v>
      </c>
      <c r="J96" s="207">
        <f>--ISNUMBER(IFERROR(SEARCH('PLANILLA DJ'!$X$7,$A96,1),""))</f>
        <v>1</v>
      </c>
      <c r="K96" s="207">
        <f>--ISNUMBER(IFERROR(SEARCH('PLANILLA DJ'!$X$8,$A96,1),""))</f>
        <v>1</v>
      </c>
      <c r="L96" s="207">
        <f>--ISNUMBER(IFERROR(SEARCH('PLANILLA DJ'!$X$9,$A96,1),""))</f>
        <v>1</v>
      </c>
      <c r="M96" s="207">
        <f>--ISNUMBER(IFERROR(SEARCH('PLANILLA DJ'!$X$10,$A96,1),""))</f>
        <v>1</v>
      </c>
      <c r="N96" s="207">
        <f>--ISNUMBER(IFERROR(SEARCH('PLANILLA DJ'!$X$11,$A96,1),""))</f>
        <v>1</v>
      </c>
      <c r="O96" s="207">
        <f>--ISNUMBER(IFERROR(SEARCH('PLANILLA DJ'!$X$12,$A96,1),""))</f>
        <v>1</v>
      </c>
      <c r="P96" s="207">
        <f>--ISNUMBER(IFERROR(SEARCH('PLANILLA DJ'!$X$13,$A96,1),""))</f>
        <v>1</v>
      </c>
      <c r="Q96" s="207">
        <f>--ISNUMBER(IFERROR(SEARCH('PLANILLA DJ'!$X$14,$A96,1),""))</f>
        <v>1</v>
      </c>
      <c r="R96" s="207">
        <f>--ISNUMBER(IFERROR(SEARCH('PLANILLA DJ'!$X$15,$A96,1),""))</f>
        <v>1</v>
      </c>
      <c r="S96" s="207">
        <f>--ISNUMBER(IFERROR(SEARCH('PLANILLA DJ'!$X$16,$A96,1),""))</f>
        <v>1</v>
      </c>
      <c r="T96" s="207">
        <f>--ISNUMBER(IFERROR(SEARCH('PLANILLA DJ'!$X$17,$A96,1),""))</f>
        <v>1</v>
      </c>
      <c r="U96" s="207">
        <f>--ISNUMBER(IFERROR(SEARCH('PLANILLA DJ'!$X$18,$A96,1),""))</f>
        <v>1</v>
      </c>
      <c r="V96" s="207">
        <f>--ISNUMBER(IFERROR(SEARCH('PLANILLA DJ'!$X$19,$A96,1),""))</f>
        <v>1</v>
      </c>
      <c r="W96" s="207">
        <f>--ISNUMBER(IFERROR(SEARCH('PLANILLA DJ'!$X$20,$A96,1),""))</f>
        <v>1</v>
      </c>
      <c r="X96" s="207">
        <f>--ISNUMBER(IFERROR(SEARCH('PLANILLA DJ'!$X$21,$A96,1),""))</f>
        <v>1</v>
      </c>
      <c r="Y96" s="207">
        <f>--ISNUMBER(IFERROR(SEARCH('PLANILLA DJ'!$X$22,$A96,1),""))</f>
        <v>1</v>
      </c>
      <c r="Z96" s="207">
        <f>--ISNUMBER(IFERROR(SEARCH('PLANILLA DJ'!$X$23,$A96,1),""))</f>
        <v>1</v>
      </c>
      <c r="AA96" s="207">
        <f>--ISNUMBER(IFERROR(SEARCH('PLANILLA DJ'!$X$24,$A96,1),""))</f>
        <v>1</v>
      </c>
      <c r="AB96" s="207">
        <f>--ISNUMBER(IFERROR(SEARCH('PLANILLA DJ'!$X$25,$A96,1),""))</f>
        <v>1</v>
      </c>
      <c r="AC96" s="207">
        <f>--ISNUMBER(IFERROR(SEARCH('PLANILLA DJ'!$X$26,$A96,1),""))</f>
        <v>1</v>
      </c>
      <c r="AD96" s="207">
        <f>--ISNUMBER(IFERROR(SEARCH('PLANILLA DJ'!$X$27,$A96,1),""))</f>
        <v>1</v>
      </c>
      <c r="AE96" s="207">
        <f>--ISNUMBER(IFERROR(SEARCH('PLANILLA DJ'!$X$28,$A96,1),""))</f>
        <v>1</v>
      </c>
      <c r="AF96" s="207">
        <f>--ISNUMBER(IFERROR(SEARCH('PLANILLA DJ'!$X$29,$A96,1),""))</f>
        <v>1</v>
      </c>
      <c r="AG96" s="207">
        <f>--ISNUMBER(IFERROR(SEARCH('PLANILLA DJ'!$X$30,$A96,1),""))</f>
        <v>1</v>
      </c>
      <c r="AH96" s="207">
        <f>--ISNUMBER(IFERROR(SEARCH('PLANILLA DJ'!$X$31,$A96,1),""))</f>
        <v>1</v>
      </c>
      <c r="AI96" s="207">
        <f>--ISNUMBER(IFERROR(SEARCH('PLANILLA DJ'!$X$32,$A96,1),""))</f>
        <v>1</v>
      </c>
      <c r="AJ96" s="207">
        <f>--ISNUMBER(IFERROR(SEARCH('PLANILLA DJ'!$X$33,$A96,1),""))</f>
        <v>1</v>
      </c>
      <c r="AK96" s="207">
        <f>--ISNUMBER(IFERROR(SEARCH('PLANILLA DJ'!$X$34,$A96,1),""))</f>
        <v>1</v>
      </c>
      <c r="AL96" s="207">
        <f>--ISNUMBER(IFERROR(SEARCH('PLANILLA DJ'!$X$35,$A96,1),""))</f>
        <v>1</v>
      </c>
      <c r="AM96" s="207">
        <f>--ISNUMBER(IFERROR(SEARCH('PLANILLA DJ'!$X$36,$A96,1),""))</f>
        <v>1</v>
      </c>
      <c r="AN96" s="207">
        <f>--ISNUMBER(IFERROR(SEARCH('PLANILLA DJ'!$X$37,$A96,1),""))</f>
        <v>1</v>
      </c>
      <c r="AO96" s="207">
        <f>--ISNUMBER(IFERROR(SEARCH('PLANILLA DJ'!$X$38,$A96,1),""))</f>
        <v>1</v>
      </c>
      <c r="AP96" s="207">
        <f>--ISNUMBER(IFERROR(SEARCH('PLANILLA DJ'!$X$39,$A96,1),""))</f>
        <v>1</v>
      </c>
      <c r="AQ96" s="207">
        <f>--ISNUMBER(IFERROR(SEARCH('PLANILLA DJ'!$X$40,$A96,1),""))</f>
        <v>1</v>
      </c>
      <c r="AR96" s="207">
        <f>--ISNUMBER(IFERROR(SEARCH('PLANILLA DJ'!$X$41,$A96,1),""))</f>
        <v>1</v>
      </c>
      <c r="AS96" s="207">
        <f>--ISNUMBER(IFERROR(SEARCH('PLANILLA DJ'!$X$42,$A96,1),""))</f>
        <v>1</v>
      </c>
      <c r="AT96" s="207">
        <f>--ISNUMBER(IFERROR(SEARCH('PLANILLA DJ'!$X$43,$A96,1),""))</f>
        <v>1</v>
      </c>
      <c r="AU96" s="207">
        <f>--ISNUMBER(IFERROR(SEARCH('PLANILLA DJ'!$X$44,$A96,1),""))</f>
        <v>1</v>
      </c>
      <c r="AV96" s="207">
        <f>--ISNUMBER(IFERROR(SEARCH('PLANILLA DJ'!$X$45,$A96,1),""))</f>
        <v>1</v>
      </c>
      <c r="AW96" s="207">
        <f>--ISNUMBER(IFERROR(SEARCH('PLANILLA DJ'!$X$46,$A96,1),""))</f>
        <v>1</v>
      </c>
      <c r="AX96" s="207">
        <f>--ISNUMBER(IFERROR(SEARCH('PLANILLA DJ'!$X$47,$A96,1),""))</f>
        <v>1</v>
      </c>
      <c r="AY96" s="207">
        <f>--ISNUMBER(IFERROR(SEARCH('PLANILLA DJ'!$X$48,$A96,1),""))</f>
        <v>1</v>
      </c>
      <c r="AZ96" s="207">
        <f>--ISNUMBER(IFERROR(SEARCH('PLANILLA DJ'!$X$49,$A96,1),""))</f>
        <v>1</v>
      </c>
      <c r="BA96" s="207">
        <f>--ISNUMBER(IFERROR(SEARCH('PLANILLA DJ'!$X$50,$A96,1),""))</f>
        <v>1</v>
      </c>
      <c r="BB96" s="207">
        <f>--ISNUMBER(IFERROR(SEARCH('PLANILLA DJ'!$X$51,$A96,1),""))</f>
        <v>1</v>
      </c>
      <c r="BC96" s="207">
        <f>--ISNUMBER(IFERROR(SEARCH('PLANILLA DJ'!$X$52,$A96,1),""))</f>
        <v>1</v>
      </c>
      <c r="BD96" s="207">
        <f>--ISNUMBER(IFERROR(SEARCH('PLANILLA DJ'!$X$53,$A96,1),""))</f>
        <v>1</v>
      </c>
      <c r="BE96" s="207">
        <f>--ISNUMBER(IFERROR(SEARCH('PLANILLA DJ'!$X$54,$A96,1),""))</f>
        <v>1</v>
      </c>
      <c r="BF96" s="207">
        <f>--ISNUMBER(IFERROR(SEARCH('PLANILLA DJ'!$X$55,$A96,1),""))</f>
        <v>1</v>
      </c>
      <c r="BG96" s="207">
        <f>--ISNUMBER(IFERROR(SEARCH('PLANILLA DJ'!$X$56,$A96,1),""))</f>
        <v>1</v>
      </c>
      <c r="BH96" s="207">
        <f>--ISNUMBER(IFERROR(SEARCH('PLANILLA DJ'!$X$57,$A96,1),""))</f>
        <v>1</v>
      </c>
      <c r="BI96" s="207">
        <f>--ISNUMBER(IFERROR(SEARCH('PLANILLA DJ'!$X$58,$A96,1),""))</f>
        <v>1</v>
      </c>
      <c r="BJ96" s="207">
        <f>--ISNUMBER(IFERROR(SEARCH('PLANILLA DJ'!$X$59,$A96,1),""))</f>
        <v>1</v>
      </c>
      <c r="BK96" s="207">
        <f>--ISNUMBER(IFERROR(SEARCH('PLANILLA DJ'!$X$60,$A96,1),""))</f>
        <v>1</v>
      </c>
      <c r="BL96" s="207">
        <f>--ISNUMBER(IFERROR(SEARCH('PLANILLA DJ'!$X$61,$A96,1),""))</f>
        <v>1</v>
      </c>
      <c r="BM96" s="207">
        <f>--ISNUMBER(IFERROR(SEARCH('PLANILLA DJ'!$X$62,$A96,1),""))</f>
        <v>1</v>
      </c>
      <c r="BN96" s="207">
        <f>--ISNUMBER(IFERROR(SEARCH('PLANILLA DJ'!$X$63,$A96,1),""))</f>
        <v>1</v>
      </c>
      <c r="BO96" s="207">
        <f>--ISNUMBER(IFERROR(SEARCH('PLANILLA DJ'!$X$64,$A96,1),""))</f>
        <v>1</v>
      </c>
      <c r="BP96" s="207">
        <f>--ISNUMBER(IFERROR(SEARCH('PLANILLA DJ'!$X$65,$A96,1),""))</f>
        <v>1</v>
      </c>
      <c r="BQ96" s="207">
        <f>--ISNUMBER(IFERROR(SEARCH('PLANILLA DJ'!$X$66,$A96,1),""))</f>
        <v>1</v>
      </c>
      <c r="BR96" s="207">
        <f>--ISNUMBER(IFERROR(SEARCH('PLANILLA DJ'!$X$67,$A96,1),""))</f>
        <v>1</v>
      </c>
      <c r="BS96" s="207">
        <f>--ISNUMBER(IFERROR(SEARCH('PLANILLA DJ'!$X$68,$A96,1),""))</f>
        <v>1</v>
      </c>
      <c r="BT96" s="207">
        <f>--ISNUMBER(IFERROR(SEARCH('PLANILLA DJ'!$X$69,$A96,1),""))</f>
        <v>1</v>
      </c>
      <c r="BU96" s="207">
        <f>--ISNUMBER(IFERROR(SEARCH('PLANILLA DJ'!$X$70,$A96,1),""))</f>
        <v>1</v>
      </c>
      <c r="BV96" s="207">
        <f>--ISNUMBER(IFERROR(SEARCH('PLANILLA DJ'!$X$71,$A96,1),""))</f>
        <v>1</v>
      </c>
      <c r="BW96" s="207">
        <f>--ISNUMBER(IFERROR(SEARCH('PLANILLA DJ'!$X$72,$A96,1),""))</f>
        <v>1</v>
      </c>
      <c r="BX96" s="207">
        <f>--ISNUMBER(IFERROR(SEARCH('PLANILLA DJ'!$X$73,$A96,1),""))</f>
        <v>1</v>
      </c>
      <c r="BY96" s="207">
        <f>--ISNUMBER(IFERROR(SEARCH('PLANILLA DJ'!$X$74,$A96,1),""))</f>
        <v>1</v>
      </c>
      <c r="BZ96" s="207">
        <f>--ISNUMBER(IFERROR(SEARCH('PLANILLA DJ'!$X$75,$A96,1),""))</f>
        <v>1</v>
      </c>
      <c r="CA96" s="207">
        <f>--ISNUMBER(IFERROR(SEARCH('PLANILLA DJ'!$X$76,$A96,1),""))</f>
        <v>1</v>
      </c>
      <c r="CB96" s="207">
        <f>--ISNUMBER(IFERROR(SEARCH('PLANILLA DJ'!$X$77,$A96,1),""))</f>
        <v>1</v>
      </c>
      <c r="CC96" s="207">
        <f>--ISNUMBER(IFERROR(SEARCH('PLANILLA DJ'!$X$78,$A96,1),""))</f>
        <v>1</v>
      </c>
      <c r="CD96" s="207">
        <f>--ISNUMBER(IFERROR(SEARCH('PLANILLA DJ'!$X$79,$A96,1),""))</f>
        <v>1</v>
      </c>
      <c r="CE96" s="207">
        <f>--ISNUMBER(IFERROR(SEARCH('PLANILLA DJ'!$X$80,$A96,1),""))</f>
        <v>1</v>
      </c>
      <c r="CF96" s="207">
        <f>--ISNUMBER(IFERROR(SEARCH('PLANILLA DJ'!$X$81,$A96,1),""))</f>
        <v>1</v>
      </c>
      <c r="CG96" s="207">
        <f>--ISNUMBER(IFERROR(SEARCH('PLANILLA DJ'!$X$82,$A96,1),""))</f>
        <v>1</v>
      </c>
      <c r="CH96" s="207">
        <f>--ISNUMBER(IFERROR(SEARCH('PLANILLA DJ'!$X$83,$A96,1),""))</f>
        <v>1</v>
      </c>
      <c r="CI96" s="207">
        <f>--ISNUMBER(IFERROR(SEARCH('PLANILLA DJ'!$X$84,$A96,1),""))</f>
        <v>1</v>
      </c>
      <c r="CJ96" s="207">
        <f>--ISNUMBER(IFERROR(SEARCH('PLANILLA DJ'!$X$85,$A96,1),""))</f>
        <v>1</v>
      </c>
      <c r="CK96" s="207">
        <f>--ISNUMBER(IFERROR(SEARCH('PLANILLA DJ'!$X$86,$A96,1),""))</f>
        <v>1</v>
      </c>
      <c r="CL96" s="207">
        <f>--ISNUMBER(IFERROR(SEARCH('PLANILLA DJ'!$X$87,$A96,1),""))</f>
        <v>1</v>
      </c>
      <c r="CM96" s="207">
        <f>--ISNUMBER(IFERROR(SEARCH('PLANILLA DJ'!$X$88,$A96,1),""))</f>
        <v>1</v>
      </c>
      <c r="CN96" s="207">
        <f>--ISNUMBER(IFERROR(SEARCH('PLANILLA DJ'!$X$89,$A96,1),""))</f>
        <v>1</v>
      </c>
      <c r="CO96" s="207">
        <f>--ISNUMBER(IFERROR(SEARCH('PLANILLA DJ'!$X$90,$A96,1),""))</f>
        <v>1</v>
      </c>
      <c r="CP96" s="207">
        <f>--ISNUMBER(IFERROR(SEARCH('PLANILLA DJ'!$X$91,$A96,1),""))</f>
        <v>1</v>
      </c>
      <c r="CQ96" s="207">
        <f>--ISNUMBER(IFERROR(SEARCH('PLANILLA DJ'!$X$92,$A96,1),""))</f>
        <v>1</v>
      </c>
      <c r="CR96" s="207">
        <f>--ISNUMBER(IFERROR(SEARCH('PLANILLA DJ'!$X$93,$A96,1),""))</f>
        <v>1</v>
      </c>
      <c r="CS96" s="207">
        <f>--ISNUMBER(IFERROR(SEARCH('PLANILLA DJ'!$X$94,$A96,1),""))</f>
        <v>1</v>
      </c>
      <c r="CT96" s="207">
        <f>--ISNUMBER(IFERROR(SEARCH('PLANILLA DJ'!$X$95,$A96,1),""))</f>
        <v>1</v>
      </c>
      <c r="CU96" s="207">
        <f>--ISNUMBER(IFERROR(SEARCH('PLANILLA DJ'!$X$96,$A96,1),""))</f>
        <v>1</v>
      </c>
      <c r="CV96" s="207">
        <f>--ISNUMBER(IFERROR(SEARCH('PLANILLA DJ'!$X$97,$A96,1),""))</f>
        <v>1</v>
      </c>
      <c r="CW96" s="207">
        <f>--ISNUMBER(IFERROR(SEARCH('PLANILLA DJ'!$X$98,$A96,1),""))</f>
        <v>1</v>
      </c>
      <c r="CX96" s="207">
        <f>--ISNUMBER(IFERROR(SEARCH('PLANILLA DJ'!$X$99,$A96,1),""))</f>
        <v>1</v>
      </c>
      <c r="CY96" s="207">
        <f>--ISNUMBER(IFERROR(SEARCH('PLANILLA DJ'!$X$100,$A96,1),""))</f>
        <v>1</v>
      </c>
      <c r="CZ96" s="207">
        <f>--ISNUMBER(IFERROR(SEARCH('PLANILLA DJ'!$X$101,$A96,1),""))</f>
        <v>1</v>
      </c>
      <c r="DA96" s="207">
        <f>--ISNUMBER(IFERROR(SEARCH('PLANILLA DJ'!$X$102,$A96,1),""))</f>
        <v>1</v>
      </c>
      <c r="DB96" s="206">
        <f>IF(F96=1,COUNTIF($F$2:F96,1),"")</f>
        <v>95</v>
      </c>
      <c r="DC96" s="206">
        <f>IF(G96=1,COUNTIF($G$2:G96,1),"")</f>
        <v>95</v>
      </c>
      <c r="DD96" s="206">
        <f>IF(H96=1,COUNTIF($H$2:H96,1),"")</f>
        <v>95</v>
      </c>
      <c r="DE96" s="206">
        <f>IF(I96=1,COUNTIF($I$2:I96,1),"")</f>
        <v>95</v>
      </c>
      <c r="DF96" s="206">
        <f>IF(J96=1,COUNTIF($J$2:J96,1),"")</f>
        <v>95</v>
      </c>
      <c r="DG96" s="206">
        <f>IF(K96=1,COUNTIF($K$2:K96,1),"")</f>
        <v>95</v>
      </c>
      <c r="DH96" s="206">
        <f>IF(L96=1,COUNTIF($L$2:L96,1),"")</f>
        <v>95</v>
      </c>
      <c r="DI96" s="206">
        <f>IF(M96=1,COUNTIF($M$2:M96,1),"")</f>
        <v>95</v>
      </c>
      <c r="DJ96" s="206">
        <f>IF(N96=1,COUNTIF($N$2:N96,1),"")</f>
        <v>95</v>
      </c>
      <c r="DK96" s="206">
        <f>IF(O96=1,COUNTIF($O$2:O96,1),"")</f>
        <v>95</v>
      </c>
      <c r="DL96" s="206">
        <f>IF(P96=1,COUNTIF($P$2:P96,1),"")</f>
        <v>95</v>
      </c>
      <c r="DM96" s="206">
        <f>IF(Q96=1,COUNTIF($Q$2:Q96,1),"")</f>
        <v>95</v>
      </c>
      <c r="DN96" s="207">
        <f>IF(R96=1,COUNTIF($R$2:R96,1),"")</f>
        <v>95</v>
      </c>
      <c r="DO96" s="207">
        <f>IF(S96=1,COUNTIF($S$2:S96,1),"")</f>
        <v>95</v>
      </c>
      <c r="DP96" s="207">
        <f>IF(T96=1,COUNTIF($T$2:T96,1),"")</f>
        <v>95</v>
      </c>
      <c r="DQ96" s="207">
        <f>IF(U96=1,COUNTIF($U$2:U96,1),"")</f>
        <v>95</v>
      </c>
      <c r="DR96" s="207">
        <f>IF(V96=1,COUNTIF($V$2:V96,1),"")</f>
        <v>95</v>
      </c>
      <c r="DS96" s="207">
        <f>IF(W96=1,COUNTIF($W$2:W96,1),"")</f>
        <v>95</v>
      </c>
      <c r="DT96" s="207">
        <f>IF(X96=1,COUNTIF($X$2:X96,1),"")</f>
        <v>95</v>
      </c>
      <c r="DU96" s="207">
        <f>IF(Y96=1,COUNTIF($Y$2:Y96,1),"")</f>
        <v>95</v>
      </c>
      <c r="DV96" s="207">
        <f>IF(Z96=1,COUNTIF(Z$2:Z96,1),"")</f>
        <v>95</v>
      </c>
      <c r="DW96" s="207">
        <f>IF(AA96=1,COUNTIF($AA$2:AA96,1),"")</f>
        <v>95</v>
      </c>
      <c r="DX96" s="207">
        <f>IF(AB96=1,COUNTIF($AB$2:AB96,1),"")</f>
        <v>95</v>
      </c>
      <c r="DY96" s="207">
        <f>IF(AC96=1,COUNTIF($AC$2:AC96,1),"")</f>
        <v>95</v>
      </c>
      <c r="DZ96" s="207">
        <f>IF(AD96=1,COUNTIF($AD$2:AD96,1),"")</f>
        <v>95</v>
      </c>
      <c r="EA96" s="207">
        <f>IF(AE96=1,COUNTIF($AE$2:AE96,1),"")</f>
        <v>95</v>
      </c>
      <c r="EB96" s="207">
        <f>IF(AF96=1,COUNTIF($AF$2:AF96,1),"")</f>
        <v>95</v>
      </c>
      <c r="EC96" s="207">
        <f>IF(AG96=1,COUNTIF($AG$2:AG96,1),"")</f>
        <v>95</v>
      </c>
      <c r="ED96" s="207">
        <f>IF(AH96=1,COUNTIF($AH$2:AH96,1),"")</f>
        <v>95</v>
      </c>
      <c r="EE96" s="207">
        <f>IF(AI96=1,COUNTIF($AI$2:AI96,1),"")</f>
        <v>95</v>
      </c>
      <c r="EF96" s="207">
        <f>IF(AJ96=1,COUNTIF($AJ$2:AJ96,1),"")</f>
        <v>95</v>
      </c>
      <c r="EG96" s="207">
        <f>IF(AK96=1,COUNTIF($AK$2:AK96,1),"")</f>
        <v>95</v>
      </c>
      <c r="EH96" s="207">
        <f>IF(AL96=1,COUNTIF($AL$2:AL96,1),"")</f>
        <v>95</v>
      </c>
      <c r="EI96" s="207">
        <f>IF(AM96=1,COUNTIF($AM$2:AM96,1),"")</f>
        <v>95</v>
      </c>
      <c r="EJ96" s="207">
        <f>IF(AN96=1,COUNTIF($AN$2:AN96,1),"")</f>
        <v>95</v>
      </c>
      <c r="EK96" s="207">
        <f>IF(AO96=1,COUNTIF($AO$2:AO96,1),"")</f>
        <v>95</v>
      </c>
      <c r="EL96" s="207">
        <f>IF(AP96=1,COUNTIF($AP$2:AP96,1),"")</f>
        <v>95</v>
      </c>
      <c r="EM96" s="207">
        <f>IF(AQ96=1,COUNTIF($AQ$2:AQ96,1),"")</f>
        <v>95</v>
      </c>
      <c r="EN96" s="207">
        <f>IF(AR96=1,COUNTIF($AR$2:AR96,1),"")</f>
        <v>95</v>
      </c>
      <c r="EO96" s="207">
        <f>IF(AS96=1,COUNTIF($AS$2:AS96,1),"")</f>
        <v>95</v>
      </c>
      <c r="EP96" s="207">
        <f>IF(AT96=1,COUNTIF($AT$2:AT96,1),"")</f>
        <v>95</v>
      </c>
      <c r="EQ96" s="207">
        <f>IF(AU96=1,COUNTIF($AU$2:AU96,1),"")</f>
        <v>95</v>
      </c>
      <c r="ER96" s="207">
        <f>IF(AV96=1,COUNTIF($AV$2:AV96,1),"")</f>
        <v>95</v>
      </c>
      <c r="ES96" s="207">
        <f>IF(AW96=1,COUNTIF($AW$2:AW96,1),"")</f>
        <v>95</v>
      </c>
      <c r="ET96" s="207">
        <f>IF(AX96=1,COUNTIF($AX$2:AX96,1),"")</f>
        <v>95</v>
      </c>
      <c r="EU96" s="207">
        <f>IF(AY96=1,COUNTIF($AY$2:AY96,1),"")</f>
        <v>95</v>
      </c>
      <c r="EV96" s="207">
        <f>IF(AZ96=1,COUNTIF($AZ$2:AZ96,1),"")</f>
        <v>95</v>
      </c>
      <c r="EW96" s="207">
        <f>IF(BA96=1,COUNTIF($BA$2:BA96,1),"")</f>
        <v>95</v>
      </c>
      <c r="EX96" s="207">
        <f>IF(BB96=1,COUNTIF($BB$2:BB96,1),"")</f>
        <v>95</v>
      </c>
      <c r="EY96" s="207">
        <f>IF(BC96=1,COUNTIF($BC$2:BC96,1),"")</f>
        <v>95</v>
      </c>
      <c r="EZ96" s="207">
        <f>IF(BD96=1,COUNTIF($BD$2:BD96,1),"")</f>
        <v>95</v>
      </c>
      <c r="FA96" s="207">
        <f>IF(BE96=1,COUNTIF($BE$2:BE96,1),"")</f>
        <v>95</v>
      </c>
      <c r="FB96" s="207">
        <f>IF(BF96=1,COUNTIF($BF$2:BF96,1),"")</f>
        <v>95</v>
      </c>
      <c r="FC96" s="207">
        <f>IF(BG96=1,COUNTIF($BG$2:BG96,1),"")</f>
        <v>95</v>
      </c>
      <c r="FD96" s="207">
        <f>IF(BH96=1,COUNTIF($BH$2:BH96,1),"")</f>
        <v>95</v>
      </c>
      <c r="FE96" s="207">
        <f>IF(BI96=1,COUNTIF($BI$2:BI96,1),"")</f>
        <v>95</v>
      </c>
      <c r="FF96" s="207">
        <f>IF(BJ96=1,COUNTIF($BJ$2:BJ96,1),"")</f>
        <v>95</v>
      </c>
      <c r="FG96" s="207">
        <f>IF(BK96=1,COUNTIF($BK$2:BK96,1),"")</f>
        <v>95</v>
      </c>
      <c r="FH96" s="207">
        <f>IF(BL96=1,COUNTIF($BL$2:BL96,1),"")</f>
        <v>95</v>
      </c>
      <c r="FI96" s="207">
        <f>IF(BM96=1,COUNTIF($BM$2:BM96,1),"")</f>
        <v>95</v>
      </c>
      <c r="FJ96" s="207">
        <f>IF(BN96=1,COUNTIF($BN$2:BN96,1),"")</f>
        <v>95</v>
      </c>
      <c r="FK96" s="207">
        <f>IF(BO96=1,COUNTIF($BO$2:BO96,1),"")</f>
        <v>95</v>
      </c>
      <c r="FL96" s="207">
        <f>IF(BP96=1,COUNTIF($BP$2:BP96,1),"")</f>
        <v>95</v>
      </c>
      <c r="FM96" s="207">
        <f>IF(BQ96=1,COUNTIF($BQ$2:BQ96,1),"")</f>
        <v>95</v>
      </c>
      <c r="FN96" s="207">
        <f>IF(BR96=1,COUNTIF($BR$2:BR96,1),"")</f>
        <v>95</v>
      </c>
      <c r="FO96" s="207">
        <f>IF(BS96=1,COUNTIF($BS$2:BS96,1),"")</f>
        <v>95</v>
      </c>
      <c r="FP96" s="207">
        <f>IF(BT96=1,COUNTIF($BT$2:BT96,1),"")</f>
        <v>95</v>
      </c>
      <c r="FQ96" s="207">
        <f>IF(BU96=1,COUNTIF($BU$2:BU96,1),"")</f>
        <v>95</v>
      </c>
      <c r="FR96" s="207">
        <f>IF(BV96=1,COUNTIF($BV$2:BV96,1),"")</f>
        <v>95</v>
      </c>
      <c r="FS96" s="207">
        <f>IF(BW96=1,COUNTIF($BW$2:BW96,1),"")</f>
        <v>95</v>
      </c>
      <c r="FT96" s="207">
        <f>IF(BX96=1,COUNTIF($BX$2:BX96,1),"")</f>
        <v>95</v>
      </c>
      <c r="FU96" s="207">
        <f>IF(BY96=1,COUNTIF($BY$2:BY96,1),"")</f>
        <v>95</v>
      </c>
      <c r="FV96" s="207">
        <f>IF(BZ96=1,COUNTIF($BZ$2:BZ96,1),"")</f>
        <v>95</v>
      </c>
      <c r="FW96" s="207">
        <f>IF(CA96=1,COUNTIF($CA$2:CA96,1),"")</f>
        <v>95</v>
      </c>
      <c r="FX96" s="207">
        <f>IF(CB96=1,COUNTIF($CB$2:CB96,1),"")</f>
        <v>95</v>
      </c>
      <c r="FY96" s="207">
        <f>IF(CC96=1,COUNTIF($CC$2:CC96,1),"")</f>
        <v>95</v>
      </c>
      <c r="FZ96" s="207">
        <f>IF(CD96=1,COUNTIF($CD$2:CD96,1),"")</f>
        <v>95</v>
      </c>
      <c r="GA96" s="207">
        <f>IF(CE96=1,COUNTIF($CE$2:CE96,1),"")</f>
        <v>95</v>
      </c>
      <c r="GB96" s="207">
        <f>IF(CF96=1,COUNTIF($CF$2:CF96,1),"")</f>
        <v>95</v>
      </c>
      <c r="GC96" s="207">
        <f>IF(CG96=1,COUNTIF($CG$2:CG96,1),"")</f>
        <v>95</v>
      </c>
      <c r="GD96" s="207">
        <f>IF(CH96=1,COUNTIF($CH$2:CH96,1),"")</f>
        <v>95</v>
      </c>
      <c r="GE96" s="207">
        <f>IF(CI96=1,COUNTIF($CI$2:CI96,1),"")</f>
        <v>95</v>
      </c>
      <c r="GF96" s="207">
        <f>IF(CJ96=1,COUNTIF($CJ$2:CJ96,1),"")</f>
        <v>95</v>
      </c>
      <c r="GG96" s="207">
        <f>IF(CK96=1,COUNTIF($CK$2:CK96,1),"")</f>
        <v>95</v>
      </c>
      <c r="GH96" s="207">
        <f>IF(CL96=1,COUNTIF($CL$2:CL96,1),"")</f>
        <v>95</v>
      </c>
      <c r="GI96" s="207">
        <f>IF(CM96=1,COUNTIF($CM$2:CM96,1),"")</f>
        <v>95</v>
      </c>
      <c r="GJ96" s="207">
        <f>IF(CN96=1,COUNTIF($CN$2:CN96,1),"")</f>
        <v>95</v>
      </c>
      <c r="GK96" s="207">
        <f>IF(CO96=1,COUNTIF($CO$2:CO96,1),"")</f>
        <v>95</v>
      </c>
      <c r="GL96" s="207">
        <f>IF(CP96=1,COUNTIF($CP$2:CP96,1),"")</f>
        <v>95</v>
      </c>
      <c r="GM96" s="207">
        <f>IF(CQ96=1,COUNTIF($CQ$2:CQ96,1),"")</f>
        <v>95</v>
      </c>
      <c r="GN96" s="207">
        <f>IF(CR96=1,COUNTIF($CR$2:CR96,1),"")</f>
        <v>95</v>
      </c>
      <c r="GO96" s="207">
        <f>IF(CS96=1,COUNTIF($CS$2:CS96,1),"")</f>
        <v>95</v>
      </c>
      <c r="GP96" s="207">
        <f>IF(CT96=1,COUNTIF($CT$2:CT96,1),"")</f>
        <v>95</v>
      </c>
      <c r="GQ96" s="207">
        <f>IF(CU96=1,COUNTIF($CU$2:CU96,1),"")</f>
        <v>95</v>
      </c>
      <c r="GR96" s="207">
        <f>IF(CV96=1,COUNTIF($CV$2:CV96,1),"")</f>
        <v>95</v>
      </c>
      <c r="GS96" s="207">
        <f>IF(CW96=1,COUNTIF($CW$2:CW96,1),"")</f>
        <v>95</v>
      </c>
      <c r="GT96" s="207">
        <f>IF(CX96=1,COUNTIF($CX$2:CX96,1),"")</f>
        <v>95</v>
      </c>
      <c r="GU96" s="207">
        <f>IF(CY96=1,COUNTIF($CY$2:CY96,1),"")</f>
        <v>95</v>
      </c>
      <c r="GV96" s="207">
        <f>IF(CZ96=1,COUNTIF($CZ$2:CZ96,1),"")</f>
        <v>95</v>
      </c>
      <c r="GW96" s="207">
        <f>IF(DA96=1,COUNTIF($DA$2:DA96,1),"")</f>
        <v>95</v>
      </c>
      <c r="GX96" s="206" t="str">
        <f>IFERROR(INDEX($A$2:$A$113,MATCH(ROWS($DB$2:DB96),$DB$2:$DB$113,0)),"")</f>
        <v>ORGANIZACION Y FINANCIACION DE ESTUPEFACIENTES</v>
      </c>
      <c r="GY96" s="206" t="str">
        <f>IFERROR(INDEX($A$2:$A$113,MATCH(ROWS($DC$2:DC96),$DC$2:$DC$113,0)),"")</f>
        <v>ORGANIZACION Y FINANCIACION DE ESTUPEFACIENTES</v>
      </c>
      <c r="GZ96" s="206" t="str">
        <f>IFERROR(INDEX($A$2:$A$113,MATCH(ROWS($DD$2:DD96),$DD$2:$DD$113,0)),"")</f>
        <v>ORGANIZACION Y FINANCIACION DE ESTUPEFACIENTES</v>
      </c>
      <c r="HA96" s="206" t="str">
        <f>IFERROR(INDEX($A$2:$A$113,MATCH(ROWS($DE$2:DE96),$DE$2:$DE$113,0)),"")</f>
        <v>ORGANIZACION Y FINANCIACION DE ESTUPEFACIENTES</v>
      </c>
      <c r="HB96" s="206" t="str">
        <f>IFERROR(INDEX($A$2:$A$113,MATCH(ROWS($DF$2:DF96),$DF$2:$DF$113,0)),"")</f>
        <v>ORGANIZACION Y FINANCIACION DE ESTUPEFACIENTES</v>
      </c>
      <c r="HC96" s="206" t="str">
        <f>IFERROR(INDEX($A$2:$A$113,MATCH(ROWS($DG$2:DG96),$DG$2:$DG$113,0)),"")</f>
        <v>ORGANIZACION Y FINANCIACION DE ESTUPEFACIENTES</v>
      </c>
      <c r="HD96" s="206" t="str">
        <f>IFERROR(INDEX($A$2:$A$113,MATCH(ROWS($DH$2:DH96),$DH$2:$DH$113,0)),"")</f>
        <v>ORGANIZACION Y FINANCIACION DE ESTUPEFACIENTES</v>
      </c>
      <c r="HE96" s="206" t="str">
        <f>IFERROR(INDEX($A$2:$A$113,MATCH(ROWS($DI$2:DI96),$DI$2:$DI$113,0)),"")</f>
        <v>ORGANIZACION Y FINANCIACION DE ESTUPEFACIENTES</v>
      </c>
      <c r="HF96" s="206" t="str">
        <f>IFERROR(INDEX($A$2:$A$113,MATCH(ROWS($DJ$2:DJ96),$DJ$2:$DJ$113,0)),"")</f>
        <v>ORGANIZACION Y FINANCIACION DE ESTUPEFACIENTES</v>
      </c>
      <c r="HG96" s="206" t="str">
        <f>IFERROR(INDEX($A$2:$A$113,MATCH(ROWS($DK$2:DK96),$DK$2:$DK$113,0)),"")</f>
        <v>ORGANIZACION Y FINANCIACION DE ESTUPEFACIENTES</v>
      </c>
      <c r="HH96" s="206" t="str">
        <f>IFERROR(INDEX($A$2:$A$113,MATCH(ROWS($DL$2:DL96),$DL$2:$DL$113,0)),"")</f>
        <v>ORGANIZACION Y FINANCIACION DE ESTUPEFACIENTES</v>
      </c>
      <c r="HI96" s="206" t="str">
        <f>IFERROR(INDEX($A$2:$A$113,MATCH(ROWS($DM$2:DM96),$DM$2:$DM$113,0)),"")</f>
        <v>ORGANIZACION Y FINANCIACION DE ESTUPEFACIENTES</v>
      </c>
      <c r="HJ96" s="206" t="str">
        <f>IFERROR(INDEX($A$2:$A$113,MATCH(ROWS($DN$2:DN96),$DN$2:$DN$113,0)),"")</f>
        <v>ORGANIZACION Y FINANCIACION DE ESTUPEFACIENTES</v>
      </c>
      <c r="HK96" s="206" t="str">
        <f>IFERROR(INDEX($A$2:$A$113,MATCH(ROWS($DO$2:DO96),$DO$2:$DO$113,0)),"")</f>
        <v>ORGANIZACION Y FINANCIACION DE ESTUPEFACIENTES</v>
      </c>
      <c r="HL96" s="206" t="str">
        <f>IFERROR(INDEX($A$2:$A$113,MATCH(ROWS($DP$2:DP96),$DP$2:$DP$113,0)),"")</f>
        <v>ORGANIZACION Y FINANCIACION DE ESTUPEFACIENTES</v>
      </c>
      <c r="HM96" s="206" t="str">
        <f>IFERROR(INDEX($A$2:$A$113,MATCH(ROWS($DQ$2:DQ96),$DQ$2:$DQ$113,0)),"")</f>
        <v>ORGANIZACION Y FINANCIACION DE ESTUPEFACIENTES</v>
      </c>
      <c r="HN96" s="206" t="str">
        <f>IFERROR(INDEX($A$2:$A$113,MATCH(ROWS($DR$2:DR96),$DR$2:$DR$113,0)),"")</f>
        <v>ORGANIZACION Y FINANCIACION DE ESTUPEFACIENTES</v>
      </c>
      <c r="HO96" s="206" t="str">
        <f>IFERROR(INDEX($A$2:$A$113,MATCH(ROWS($DS$2:DS96),$DS$2:$DS$113,0)),"")</f>
        <v>ORGANIZACION Y FINANCIACION DE ESTUPEFACIENTES</v>
      </c>
      <c r="HP96" s="206" t="str">
        <f>IFERROR(INDEX($A$2:$A$113,MATCH(ROWS($DT$2:DT96),$DT$2:$DT$113,0)),"")</f>
        <v>ORGANIZACION Y FINANCIACION DE ESTUPEFACIENTES</v>
      </c>
      <c r="HQ96" s="206" t="str">
        <f>IFERROR(INDEX($A$2:$A$113,MATCH(ROWS($DU$2:DU96),$DU$2:$DU$113,0)),"")</f>
        <v>ORGANIZACION Y FINANCIACION DE ESTUPEFACIENTES</v>
      </c>
      <c r="HR96" s="206" t="str">
        <f>IFERROR(INDEX($A$2:$A$113,MATCH(ROWS($DV$2:DV96),$DV$2:$DV$113,0)),"")</f>
        <v>ORGANIZACION Y FINANCIACION DE ESTUPEFACIENTES</v>
      </c>
      <c r="HS96" s="206" t="str">
        <f>IFERROR(INDEX($A$2:$A$113,MATCH(ROWS($DW$2:DW96),$DW$2:$DW$113,0)),"")</f>
        <v>ORGANIZACION Y FINANCIACION DE ESTUPEFACIENTES</v>
      </c>
      <c r="HT96" s="206" t="str">
        <f>IFERROR(INDEX($A$2:$A$113,MATCH(ROWS($DX$2:DX96),$DX$2:$DX$113,0)),"")</f>
        <v>ORGANIZACION Y FINANCIACION DE ESTUPEFACIENTES</v>
      </c>
      <c r="HU96" s="206" t="str">
        <f>IFERROR(INDEX($A$2:$A$113,MATCH(ROWS($DY$2:DY96),$DY$2:$DY$113,0)),"")</f>
        <v>ORGANIZACION Y FINANCIACION DE ESTUPEFACIENTES</v>
      </c>
      <c r="HV96" s="206" t="str">
        <f>IFERROR(INDEX($A$2:$A$113,MATCH(ROWS($DZ$2:DZ96),$DZ$2:$DZ$113,0)),"")</f>
        <v>ORGANIZACION Y FINANCIACION DE ESTUPEFACIENTES</v>
      </c>
      <c r="HW96" s="206" t="str">
        <f>IFERROR(INDEX($A$2:$A$113,MATCH(ROWS($EA$2:EA96),$EA$2:$EA$113,0)),"")</f>
        <v>ORGANIZACION Y FINANCIACION DE ESTUPEFACIENTES</v>
      </c>
      <c r="HX96" s="206" t="str">
        <f>IFERROR(INDEX($A$2:$A$113,MATCH(ROWS($EB$2:EB96),$EB$2:$EB$113,0)),"")</f>
        <v>ORGANIZACION Y FINANCIACION DE ESTUPEFACIENTES</v>
      </c>
      <c r="HY96" s="206" t="str">
        <f>IFERROR(INDEX($A$2:$A$113,MATCH(ROWS($EC$2:EC96),$EC$2:$EC$113,0)),"")</f>
        <v>ORGANIZACION Y FINANCIACION DE ESTUPEFACIENTES</v>
      </c>
      <c r="HZ96" s="206" t="str">
        <f>IFERROR(INDEX($A$2:$A$113,MATCH(ROWS($ED$2:ED96),$ED$2:$ED$113,0)),"")</f>
        <v>ORGANIZACION Y FINANCIACION DE ESTUPEFACIENTES</v>
      </c>
      <c r="IA96" s="206" t="str">
        <f>IFERROR(INDEX($A$2:$A$113,MATCH(ROWS($EE$2:EE96),$EE$2:$EE$113,0)),"")</f>
        <v>ORGANIZACION Y FINANCIACION DE ESTUPEFACIENTES</v>
      </c>
      <c r="IB96" s="206" t="str">
        <f>IFERROR(INDEX($A$2:$A$113,MATCH(ROWS($EF$2:EF96),$EF$2:$EF$113,0)),"")</f>
        <v>ORGANIZACION Y FINANCIACION DE ESTUPEFACIENTES</v>
      </c>
      <c r="IC96" s="206" t="str">
        <f>IFERROR(INDEX($A$2:$A$113,MATCH(ROWS($EG$2:EG96),$EG$2:$EG$113,0)),"")</f>
        <v>ORGANIZACION Y FINANCIACION DE ESTUPEFACIENTES</v>
      </c>
      <c r="ID96" s="206" t="str">
        <f>IFERROR(INDEX($A$2:$A$113,MATCH(ROWS($EH$2:EH96),$EH$2:$EH$113,0)),"")</f>
        <v>ORGANIZACION Y FINANCIACION DE ESTUPEFACIENTES</v>
      </c>
      <c r="IE96" s="206" t="str">
        <f>IFERROR(INDEX($A$2:$A$113,MATCH(ROWS($EI$2:EI96),$EI$2:$EI$113,0)),"")</f>
        <v>ORGANIZACION Y FINANCIACION DE ESTUPEFACIENTES</v>
      </c>
      <c r="IF96" s="206" t="str">
        <f>IFERROR(INDEX($A$2:$A$113,MATCH(ROWS($EJ$2:EJ96),$EJ$2:$EJ$113,0)),"")</f>
        <v>ORGANIZACION Y FINANCIACION DE ESTUPEFACIENTES</v>
      </c>
      <c r="IG96" s="206" t="str">
        <f>IFERROR(INDEX($A$2:$A$113,MATCH(ROWS($EK$2:EK96),$EK$2:$EK$113,0)),"")</f>
        <v>ORGANIZACION Y FINANCIACION DE ESTUPEFACIENTES</v>
      </c>
      <c r="IH96" s="206" t="str">
        <f>IFERROR(INDEX($A$2:$A$113,MATCH(ROWS($EL$2:EL96),$EL$2:$EL$113,0)),"")</f>
        <v>ORGANIZACION Y FINANCIACION DE ESTUPEFACIENTES</v>
      </c>
      <c r="II96" s="206" t="str">
        <f>IFERROR(INDEX($A$2:$A$113,MATCH(ROWS($EM$2:EM96),$EM$2:$EM$113,0)),"")</f>
        <v>ORGANIZACION Y FINANCIACION DE ESTUPEFACIENTES</v>
      </c>
      <c r="IJ96" s="206" t="str">
        <f>IFERROR(INDEX($A$2:$A$113,MATCH(ROWS($EN$2:EN96),$EN$2:$EN$113,0)),"")</f>
        <v>ORGANIZACION Y FINANCIACION DE ESTUPEFACIENTES</v>
      </c>
      <c r="IK96" s="207" t="str">
        <f>IFERROR(INDEX($A$2:$A$113,MATCH(ROWS($EO$2:EO96),$EO$2:$EO$113,0)),"")</f>
        <v>ORGANIZACION Y FINANCIACION DE ESTUPEFACIENTES</v>
      </c>
      <c r="IL96" s="207" t="str">
        <f>IFERROR(INDEX($A$2:$A$113,MATCH(ROWS($EP$2:EP96),$EP$2:$EP$113,0)),"")</f>
        <v>ORGANIZACION Y FINANCIACION DE ESTUPEFACIENTES</v>
      </c>
      <c r="IM96" s="207" t="str">
        <f>IFERROR(INDEX($A$2:$A$113,MATCH(ROWS($EQ$2:EQ96),$EQ$2:$EQ$113,0)),"")</f>
        <v>ORGANIZACION Y FINANCIACION DE ESTUPEFACIENTES</v>
      </c>
      <c r="IN96" s="207" t="str">
        <f>IFERROR(INDEX($A$2:$A$113,MATCH(ROWS($ER$2:ER96),$ER$2:$ER$113,0)),"")</f>
        <v>ORGANIZACION Y FINANCIACION DE ESTUPEFACIENTES</v>
      </c>
      <c r="IO96" s="207" t="str">
        <f>IFERROR(INDEX($A$2:$A$113,MATCH(ROWS($ES$2:ES96),$ES$2:$ES$113,0)),"")</f>
        <v>ORGANIZACION Y FINANCIACION DE ESTUPEFACIENTES</v>
      </c>
      <c r="IP96" s="207" t="str">
        <f>IFERROR(INDEX($A$2:$A$113,MATCH(ROWS($ET$2:ET96),$ET$2:$ET$113,0)),"")</f>
        <v>ORGANIZACION Y FINANCIACION DE ESTUPEFACIENTES</v>
      </c>
      <c r="IQ96" s="207" t="str">
        <f>IFERROR(INDEX($A$2:$A$113,MATCH(ROWS($EU$2:EU96),$EU$2:$EU$113,0)),"")</f>
        <v>ORGANIZACION Y FINANCIACION DE ESTUPEFACIENTES</v>
      </c>
      <c r="IR96" s="207" t="str">
        <f>IFERROR(INDEX($A$2:$A$113,MATCH(ROWS($EV$2:EV96),$EV$2:$EV$113,0)),"")</f>
        <v>ORGANIZACION Y FINANCIACION DE ESTUPEFACIENTES</v>
      </c>
      <c r="IS96" s="207" t="str">
        <f>IFERROR(INDEX($A$2:$A$113,MATCH(ROWS($EW$2:EW96),$EW$2:$EW$113,0)),"")</f>
        <v>ORGANIZACION Y FINANCIACION DE ESTUPEFACIENTES</v>
      </c>
      <c r="IT96" s="207" t="str">
        <f>IFERROR(INDEX($A$2:$A$113,MATCH(ROWS($EX$2:EX96),$EX$2:$EX$113,0)),"")</f>
        <v>ORGANIZACION Y FINANCIACION DE ESTUPEFACIENTES</v>
      </c>
      <c r="IU96" s="207" t="str">
        <f>IFERROR(INDEX($A$2:$A$113,MATCH(ROWS($EY$2:EY96),$EY$2:$EY$113,0)),"")</f>
        <v>ORGANIZACION Y FINANCIACION DE ESTUPEFACIENTES</v>
      </c>
      <c r="IV96" s="207" t="str">
        <f>IFERROR(INDEX($A$2:$A$113,MATCH(ROWS($EZ$2:EZ96),$EZ$2:$EZ$113,0)),"")</f>
        <v>ORGANIZACION Y FINANCIACION DE ESTUPEFACIENTES</v>
      </c>
      <c r="IW96" s="207" t="str">
        <f>IFERROR(INDEX($A$2:$A$113,MATCH(ROWS($FA$2:FA96),$FA$2:$FA$113,0)),"")</f>
        <v>ORGANIZACION Y FINANCIACION DE ESTUPEFACIENTES</v>
      </c>
      <c r="IX96" s="207" t="str">
        <f>IFERROR(INDEX($A$2:$A$113,MATCH(ROWS($FB$2:FB96),$FB$2:$FB$113,0)),"")</f>
        <v>ORGANIZACION Y FINANCIACION DE ESTUPEFACIENTES</v>
      </c>
      <c r="IY96" s="207" t="str">
        <f>IFERROR(INDEX($A$2:$A$113,MATCH(ROWS($FC$2:FC96),$FC$2:$FC$113,0)),"")</f>
        <v>ORGANIZACION Y FINANCIACION DE ESTUPEFACIENTES</v>
      </c>
      <c r="IZ96" s="207" t="str">
        <f>IFERROR(INDEX($A$2:$A$113,MATCH(ROWS($FD$2:FD96),$FD$2:$FD$113,0)),"")</f>
        <v>ORGANIZACION Y FINANCIACION DE ESTUPEFACIENTES</v>
      </c>
      <c r="JA96" s="207" t="str">
        <f>IFERROR(INDEX($A$2:$A$113,MATCH(ROWS($FE$2:FE96),$FE$2:$FE$113,0)),"")</f>
        <v>ORGANIZACION Y FINANCIACION DE ESTUPEFACIENTES</v>
      </c>
      <c r="JB96" s="207" t="str">
        <f>IFERROR(INDEX($A$2:$A$113,MATCH(ROWS($FF$2:FF96),$FF$2:$FF$113,0)),"")</f>
        <v>ORGANIZACION Y FINANCIACION DE ESTUPEFACIENTES</v>
      </c>
      <c r="JC96" s="207" t="str">
        <f>IFERROR(INDEX($A$2:$A$113,MATCH(ROWS($FG$2:FG96),$FG$2:$FG$113,0)),"")</f>
        <v>ORGANIZACION Y FINANCIACION DE ESTUPEFACIENTES</v>
      </c>
      <c r="JD96" s="207" t="str">
        <f>IFERROR(INDEX($A$2:$A$113,MATCH(ROWS($FH$2:FH96),$FH$2:$FH$113,0)),"")</f>
        <v>ORGANIZACION Y FINANCIACION DE ESTUPEFACIENTES</v>
      </c>
      <c r="JE96" s="207" t="str">
        <f>IFERROR(INDEX($A$2:$A$113,MATCH(ROWS($FI$2:FI96),$FI$2:$FI$113,0)),"")</f>
        <v>ORGANIZACION Y FINANCIACION DE ESTUPEFACIENTES</v>
      </c>
      <c r="JF96" s="207" t="str">
        <f>IFERROR(INDEX($A$2:$A$113,MATCH(ROWS($FJ$2:FJ96),$FJ$2:$FJ$113,0)),"")</f>
        <v>ORGANIZACION Y FINANCIACION DE ESTUPEFACIENTES</v>
      </c>
      <c r="JG96" s="207" t="str">
        <f>IFERROR(INDEX($A$2:$A$113,MATCH(ROWS($FK$2:FK96),$FK$2:$FK$113,0)),"")</f>
        <v>ORGANIZACION Y FINANCIACION DE ESTUPEFACIENTES</v>
      </c>
      <c r="JH96" s="207" t="str">
        <f>IFERROR(INDEX($A$2:$A$113,MATCH(ROWS($FL$2:FL96),$FL$2:$FL$113,0)),"")</f>
        <v>ORGANIZACION Y FINANCIACION DE ESTUPEFACIENTES</v>
      </c>
      <c r="JI96" s="207" t="str">
        <f>IFERROR(INDEX($A$2:$A$113,MATCH(ROWS($FM$2:FM96),$FM$2:$FM$113,0)),"")</f>
        <v>ORGANIZACION Y FINANCIACION DE ESTUPEFACIENTES</v>
      </c>
      <c r="JJ96" s="207" t="str">
        <f>IFERROR(INDEX($A$2:$A$113,MATCH(ROWS($FN$2:FN96),$FN$2:$FN$113,0)),"")</f>
        <v>ORGANIZACION Y FINANCIACION DE ESTUPEFACIENTES</v>
      </c>
      <c r="JK96" s="207" t="str">
        <f>IFERROR(INDEX($A$2:$A$113,MATCH(ROWS($FO$2:FO96),$FO$2:$FO$113,0)),"")</f>
        <v>ORGANIZACION Y FINANCIACION DE ESTUPEFACIENTES</v>
      </c>
      <c r="JL96" s="207" t="str">
        <f>IFERROR(INDEX($A$2:$A$113,MATCH(ROWS($FP$2:FP96),$FP$2:$FP$113,0)),"")</f>
        <v>ORGANIZACION Y FINANCIACION DE ESTUPEFACIENTES</v>
      </c>
      <c r="JM96" s="207" t="str">
        <f>IFERROR(INDEX($A$2:$A$113,MATCH(ROWS($FQ$2:FQ96),$FQ$2:$FQ$113,0)),"")</f>
        <v>ORGANIZACION Y FINANCIACION DE ESTUPEFACIENTES</v>
      </c>
      <c r="JN96" s="207" t="str">
        <f>IFERROR(INDEX($A$2:$A$113,MATCH(ROWS($FR$2:FR96),$FR$2:$FR$113,0)),"")</f>
        <v>ORGANIZACION Y FINANCIACION DE ESTUPEFACIENTES</v>
      </c>
      <c r="JO96" s="207" t="str">
        <f>IFERROR(INDEX($A$2:$A$113,MATCH(ROWS($FS$2:FS96),$FS$2:$FS$113,0)),"")</f>
        <v>ORGANIZACION Y FINANCIACION DE ESTUPEFACIENTES</v>
      </c>
      <c r="JP96" s="207" t="str">
        <f>IFERROR(INDEX($A$2:$A$113,MATCH(ROWS($FT$2:FT96),$FT$2:$FT$113,0)),"")</f>
        <v>ORGANIZACION Y FINANCIACION DE ESTUPEFACIENTES</v>
      </c>
      <c r="JQ96" s="207" t="str">
        <f>IFERROR(INDEX($A$2:$A$113,MATCH(ROWS($FU$2:FU96),$FU$2:$FU$113,0)),"")</f>
        <v>ORGANIZACION Y FINANCIACION DE ESTUPEFACIENTES</v>
      </c>
      <c r="JR96" s="207" t="str">
        <f>IFERROR(INDEX($A$2:$A$113,MATCH(ROWS($FV$2:FV96),$FV$2:$FV$113,0)),"")</f>
        <v>ORGANIZACION Y FINANCIACION DE ESTUPEFACIENTES</v>
      </c>
      <c r="JS96" s="207" t="str">
        <f>IFERROR(INDEX($A$2:$A$113,MATCH(ROWS($FW$2:FW96),$FW$2:$FW$113,0)),"")</f>
        <v>ORGANIZACION Y FINANCIACION DE ESTUPEFACIENTES</v>
      </c>
      <c r="JT96" s="207" t="str">
        <f>IFERROR(INDEX($A$2:$A$113,MATCH(ROWS($FX$2:FX96),$FX$2:$FX$113,0)),"")</f>
        <v>ORGANIZACION Y FINANCIACION DE ESTUPEFACIENTES</v>
      </c>
      <c r="JU96" s="207" t="str">
        <f>IFERROR(INDEX($A$2:$A$113,MATCH(ROWS($FY$2:FY96),$FY$2:$FY$113,0)),"")</f>
        <v>ORGANIZACION Y FINANCIACION DE ESTUPEFACIENTES</v>
      </c>
      <c r="JV96" s="207" t="str">
        <f>IFERROR(INDEX($A$2:$A$113,MATCH(ROWS($FZ$2:FZ96),$FZ$2:$FZ$113,0)),"")</f>
        <v>ORGANIZACION Y FINANCIACION DE ESTUPEFACIENTES</v>
      </c>
      <c r="JW96" s="207" t="str">
        <f>IFERROR(INDEX($A$2:$A$113,MATCH(ROWS($GA$2:GA96),$GA$2:$GA$113,0)),"")</f>
        <v>ORGANIZACION Y FINANCIACION DE ESTUPEFACIENTES</v>
      </c>
      <c r="JX96" s="207" t="str">
        <f>IFERROR(INDEX($A$2:$A$113,MATCH(ROWS($GB$2:GB96),$GB$2:$GB$113,0)),"")</f>
        <v>ORGANIZACION Y FINANCIACION DE ESTUPEFACIENTES</v>
      </c>
      <c r="JY96" s="207" t="str">
        <f>IFERROR(INDEX($A$2:$A$113,MATCH(ROWS($GC$2:GC96),$GC$2:$GC$113,0)),"")</f>
        <v>ORGANIZACION Y FINANCIACION DE ESTUPEFACIENTES</v>
      </c>
      <c r="JZ96" s="207" t="str">
        <f>IFERROR(INDEX($A$2:$A$113,MATCH(ROWS($GD$2:GD96),$GD$2:$GD$113,0)),"")</f>
        <v>ORGANIZACION Y FINANCIACION DE ESTUPEFACIENTES</v>
      </c>
      <c r="KA96" s="207" t="str">
        <f>IFERROR(INDEX($A$2:$A$113,MATCH(ROWS($GE$2:GE96),$GE$2:$GE$113,0)),"")</f>
        <v>ORGANIZACION Y FINANCIACION DE ESTUPEFACIENTES</v>
      </c>
      <c r="KB96" s="207" t="str">
        <f>IFERROR(INDEX($A$2:$A$113,MATCH(ROWS($GF$2:GF96),$GF$2:$GF$113,0)),"")</f>
        <v>ORGANIZACION Y FINANCIACION DE ESTUPEFACIENTES</v>
      </c>
      <c r="KC96" s="207" t="str">
        <f>IFERROR(INDEX($A$2:$A$113,MATCH(ROWS($GG$2:GG96),$GG$2:$GG$113,0)),"")</f>
        <v>ORGANIZACION Y FINANCIACION DE ESTUPEFACIENTES</v>
      </c>
      <c r="KD96" s="207" t="str">
        <f>IFERROR(INDEX($A$2:$A$113,MATCH(ROWS($GH$2:GH96),$GH$2:$GH$113,0)),"")</f>
        <v>ORGANIZACION Y FINANCIACION DE ESTUPEFACIENTES</v>
      </c>
      <c r="KE96" s="207" t="str">
        <f>IFERROR(INDEX($A$2:$A$113,MATCH(ROWS($GI$2:GI96),$GI$2:$GI$113,0)),"")</f>
        <v>ORGANIZACION Y FINANCIACION DE ESTUPEFACIENTES</v>
      </c>
      <c r="KF96" s="207" t="str">
        <f>IFERROR(INDEX($A$2:$A$113,MATCH(ROWS($GJ$2:GJ96),$GJ$2:$GJ$113,0)),"")</f>
        <v>ORGANIZACION Y FINANCIACION DE ESTUPEFACIENTES</v>
      </c>
      <c r="KG96" s="207" t="str">
        <f>IFERROR(INDEX($A$2:$A$113,MATCH(ROWS($GK$2:GK96),$GK$2:$GK$113,0)),"")</f>
        <v>ORGANIZACION Y FINANCIACION DE ESTUPEFACIENTES</v>
      </c>
      <c r="KH96" s="207" t="str">
        <f>IFERROR(INDEX($A$2:$A$113,MATCH(ROWS($GL$2:GL96),$GL$2:$GL$113,0)),"")</f>
        <v>ORGANIZACION Y FINANCIACION DE ESTUPEFACIENTES</v>
      </c>
      <c r="KI96" s="207" t="str">
        <f>IFERROR(INDEX($A$2:$A$113,MATCH(ROWS($GM$2:GM96),$GM$2:$GM$113,0)),"")</f>
        <v>ORGANIZACION Y FINANCIACION DE ESTUPEFACIENTES</v>
      </c>
      <c r="KJ96" s="207" t="str">
        <f>IFERROR(INDEX($A$2:$A$113,MATCH(ROWS($GN$2:GN96),$GN$2:$GN$113,0)),"")</f>
        <v>ORGANIZACION Y FINANCIACION DE ESTUPEFACIENTES</v>
      </c>
      <c r="KK96" s="207" t="str">
        <f>IFERROR(INDEX($A$2:$A$113,MATCH(ROWS($GO$2:GO96),$GO$2:$GO$113,0)),"")</f>
        <v>ORGANIZACION Y FINANCIACION DE ESTUPEFACIENTES</v>
      </c>
      <c r="KL96" s="207" t="str">
        <f>IFERROR(INDEX($A$2:$A$113,MATCH(ROWS($GP$2:GP96),$GP$2:$GP$113,0)),"")</f>
        <v>ORGANIZACION Y FINANCIACION DE ESTUPEFACIENTES</v>
      </c>
      <c r="KM96" s="207" t="str">
        <f>IFERROR(INDEX($A$2:$A$113,MATCH(ROWS($GQ$2:GQ96),$GQ$2:$GQ$113,0)),"")</f>
        <v>ORGANIZACION Y FINANCIACION DE ESTUPEFACIENTES</v>
      </c>
      <c r="KN96" s="207" t="str">
        <f>IFERROR(INDEX($A$2:$A$113,MATCH(ROWS($GR$2:GR96),$GR$2:$GR$113,0)),"")</f>
        <v>ORGANIZACION Y FINANCIACION DE ESTUPEFACIENTES</v>
      </c>
      <c r="KO96" s="207" t="str">
        <f>IFERROR(INDEX($A$2:$A$113,MATCH(ROWS($GS$2:GS96),$GS$2:$GS$113,0)),"")</f>
        <v>ORGANIZACION Y FINANCIACION DE ESTUPEFACIENTES</v>
      </c>
      <c r="KP96" s="207" t="str">
        <f>IFERROR(INDEX($A$2:$A$113,MATCH(ROWS($GT$2:GT96),$GT$2:$GT$113,0)),"")</f>
        <v>ORGANIZACION Y FINANCIACION DE ESTUPEFACIENTES</v>
      </c>
      <c r="KQ96" s="207" t="str">
        <f>IFERROR(INDEX($A$2:$A$113,MATCH(ROWS($GU$2:GU96),$GU$2:$GU$113,0)),"")</f>
        <v>ORGANIZACION Y FINANCIACION DE ESTUPEFACIENTES</v>
      </c>
      <c r="KR96" s="207" t="str">
        <f>IFERROR(INDEX($A$2:$A$113,MATCH(ROWS($GV$2:GV96),$GV$2:$GV$113,0)),"")</f>
        <v>ORGANIZACION Y FINANCIACION DE ESTUPEFACIENTES</v>
      </c>
      <c r="KS96" s="207" t="str">
        <f>IFERROR(INDEX($A$2:$A$113,MATCH(ROWS($GW$2:GW96),$GW$2:$GW$113,0)),"")</f>
        <v>ORGANIZACION Y FINANCIACION DE ESTUPEFACIENTES</v>
      </c>
    </row>
    <row r="97" spans="1:305" x14ac:dyDescent="0.25">
      <c r="A97" s="206" t="s">
        <v>36</v>
      </c>
      <c r="B97" s="206" t="s">
        <v>121</v>
      </c>
      <c r="D97" s="206" t="s">
        <v>36</v>
      </c>
      <c r="E97" s="206" t="s">
        <v>116</v>
      </c>
      <c r="F97" s="207">
        <f>--ISNUMBER(IFERROR(SEARCH('PLANILLA DJ'!$X$3,$A97,1),""))</f>
        <v>1</v>
      </c>
      <c r="G97" s="207">
        <f>--ISNUMBER(IFERROR(SEARCH('PLANILLA DJ'!$X$4,$A97,1),""))</f>
        <v>1</v>
      </c>
      <c r="H97" s="207">
        <f>--ISNUMBER(IFERROR(SEARCH('PLANILLA DJ'!$X$5,$A97,1),""))</f>
        <v>1</v>
      </c>
      <c r="I97" s="207">
        <f>--ISNUMBER(IFERROR(SEARCH('PLANILLA DJ'!$X$6,$A97,1),""))</f>
        <v>1</v>
      </c>
      <c r="J97" s="207">
        <f>--ISNUMBER(IFERROR(SEARCH('PLANILLA DJ'!$X$7,$A97,1),""))</f>
        <v>1</v>
      </c>
      <c r="K97" s="207">
        <f>--ISNUMBER(IFERROR(SEARCH('PLANILLA DJ'!$X$8,$A97,1),""))</f>
        <v>1</v>
      </c>
      <c r="L97" s="207">
        <f>--ISNUMBER(IFERROR(SEARCH('PLANILLA DJ'!$X$9,$A97,1),""))</f>
        <v>1</v>
      </c>
      <c r="M97" s="207">
        <f>--ISNUMBER(IFERROR(SEARCH('PLANILLA DJ'!$X$10,$A97,1),""))</f>
        <v>1</v>
      </c>
      <c r="N97" s="207">
        <f>--ISNUMBER(IFERROR(SEARCH('PLANILLA DJ'!$X$11,$A97,1),""))</f>
        <v>1</v>
      </c>
      <c r="O97" s="207">
        <f>--ISNUMBER(IFERROR(SEARCH('PLANILLA DJ'!$X$12,$A97,1),""))</f>
        <v>1</v>
      </c>
      <c r="P97" s="207">
        <f>--ISNUMBER(IFERROR(SEARCH('PLANILLA DJ'!$X$13,$A97,1),""))</f>
        <v>1</v>
      </c>
      <c r="Q97" s="207">
        <f>--ISNUMBER(IFERROR(SEARCH('PLANILLA DJ'!$X$14,$A97,1),""))</f>
        <v>1</v>
      </c>
      <c r="R97" s="207">
        <f>--ISNUMBER(IFERROR(SEARCH('PLANILLA DJ'!$X$15,$A97,1),""))</f>
        <v>1</v>
      </c>
      <c r="S97" s="207">
        <f>--ISNUMBER(IFERROR(SEARCH('PLANILLA DJ'!$X$16,$A97,1),""))</f>
        <v>1</v>
      </c>
      <c r="T97" s="207">
        <f>--ISNUMBER(IFERROR(SEARCH('PLANILLA DJ'!$X$17,$A97,1),""))</f>
        <v>1</v>
      </c>
      <c r="U97" s="207">
        <f>--ISNUMBER(IFERROR(SEARCH('PLANILLA DJ'!$X$18,$A97,1),""))</f>
        <v>1</v>
      </c>
      <c r="V97" s="207">
        <f>--ISNUMBER(IFERROR(SEARCH('PLANILLA DJ'!$X$19,$A97,1),""))</f>
        <v>1</v>
      </c>
      <c r="W97" s="207">
        <f>--ISNUMBER(IFERROR(SEARCH('PLANILLA DJ'!$X$20,$A97,1),""))</f>
        <v>1</v>
      </c>
      <c r="X97" s="207">
        <f>--ISNUMBER(IFERROR(SEARCH('PLANILLA DJ'!$X$21,$A97,1),""))</f>
        <v>1</v>
      </c>
      <c r="Y97" s="207">
        <f>--ISNUMBER(IFERROR(SEARCH('PLANILLA DJ'!$X$22,$A97,1),""))</f>
        <v>1</v>
      </c>
      <c r="Z97" s="207">
        <f>--ISNUMBER(IFERROR(SEARCH('PLANILLA DJ'!$X$23,$A97,1),""))</f>
        <v>1</v>
      </c>
      <c r="AA97" s="207">
        <f>--ISNUMBER(IFERROR(SEARCH('PLANILLA DJ'!$X$24,$A97,1),""))</f>
        <v>1</v>
      </c>
      <c r="AB97" s="207">
        <f>--ISNUMBER(IFERROR(SEARCH('PLANILLA DJ'!$X$25,$A97,1),""))</f>
        <v>1</v>
      </c>
      <c r="AC97" s="207">
        <f>--ISNUMBER(IFERROR(SEARCH('PLANILLA DJ'!$X$26,$A97,1),""))</f>
        <v>1</v>
      </c>
      <c r="AD97" s="207">
        <f>--ISNUMBER(IFERROR(SEARCH('PLANILLA DJ'!$X$27,$A97,1),""))</f>
        <v>1</v>
      </c>
      <c r="AE97" s="207">
        <f>--ISNUMBER(IFERROR(SEARCH('PLANILLA DJ'!$X$28,$A97,1),""))</f>
        <v>1</v>
      </c>
      <c r="AF97" s="207">
        <f>--ISNUMBER(IFERROR(SEARCH('PLANILLA DJ'!$X$29,$A97,1),""))</f>
        <v>1</v>
      </c>
      <c r="AG97" s="207">
        <f>--ISNUMBER(IFERROR(SEARCH('PLANILLA DJ'!$X$30,$A97,1),""))</f>
        <v>1</v>
      </c>
      <c r="AH97" s="207">
        <f>--ISNUMBER(IFERROR(SEARCH('PLANILLA DJ'!$X$31,$A97,1),""))</f>
        <v>1</v>
      </c>
      <c r="AI97" s="207">
        <f>--ISNUMBER(IFERROR(SEARCH('PLANILLA DJ'!$X$32,$A97,1),""))</f>
        <v>1</v>
      </c>
      <c r="AJ97" s="207">
        <f>--ISNUMBER(IFERROR(SEARCH('PLANILLA DJ'!$X$33,$A97,1),""))</f>
        <v>1</v>
      </c>
      <c r="AK97" s="207">
        <f>--ISNUMBER(IFERROR(SEARCH('PLANILLA DJ'!$X$34,$A97,1),""))</f>
        <v>1</v>
      </c>
      <c r="AL97" s="207">
        <f>--ISNUMBER(IFERROR(SEARCH('PLANILLA DJ'!$X$35,$A97,1),""))</f>
        <v>1</v>
      </c>
      <c r="AM97" s="207">
        <f>--ISNUMBER(IFERROR(SEARCH('PLANILLA DJ'!$X$36,$A97,1),""))</f>
        <v>1</v>
      </c>
      <c r="AN97" s="207">
        <f>--ISNUMBER(IFERROR(SEARCH('PLANILLA DJ'!$X$37,$A97,1),""))</f>
        <v>1</v>
      </c>
      <c r="AO97" s="207">
        <f>--ISNUMBER(IFERROR(SEARCH('PLANILLA DJ'!$X$38,$A97,1),""))</f>
        <v>1</v>
      </c>
      <c r="AP97" s="207">
        <f>--ISNUMBER(IFERROR(SEARCH('PLANILLA DJ'!$X$39,$A97,1),""))</f>
        <v>1</v>
      </c>
      <c r="AQ97" s="207">
        <f>--ISNUMBER(IFERROR(SEARCH('PLANILLA DJ'!$X$40,$A97,1),""))</f>
        <v>1</v>
      </c>
      <c r="AR97" s="207">
        <f>--ISNUMBER(IFERROR(SEARCH('PLANILLA DJ'!$X$41,$A97,1),""))</f>
        <v>1</v>
      </c>
      <c r="AS97" s="207">
        <f>--ISNUMBER(IFERROR(SEARCH('PLANILLA DJ'!$X$42,$A97,1),""))</f>
        <v>1</v>
      </c>
      <c r="AT97" s="207">
        <f>--ISNUMBER(IFERROR(SEARCH('PLANILLA DJ'!$X$43,$A97,1),""))</f>
        <v>1</v>
      </c>
      <c r="AU97" s="207">
        <f>--ISNUMBER(IFERROR(SEARCH('PLANILLA DJ'!$X$44,$A97,1),""))</f>
        <v>1</v>
      </c>
      <c r="AV97" s="207">
        <f>--ISNUMBER(IFERROR(SEARCH('PLANILLA DJ'!$X$45,$A97,1),""))</f>
        <v>1</v>
      </c>
      <c r="AW97" s="207">
        <f>--ISNUMBER(IFERROR(SEARCH('PLANILLA DJ'!$X$46,$A97,1),""))</f>
        <v>1</v>
      </c>
      <c r="AX97" s="207">
        <f>--ISNUMBER(IFERROR(SEARCH('PLANILLA DJ'!$X$47,$A97,1),""))</f>
        <v>1</v>
      </c>
      <c r="AY97" s="207">
        <f>--ISNUMBER(IFERROR(SEARCH('PLANILLA DJ'!$X$48,$A97,1),""))</f>
        <v>1</v>
      </c>
      <c r="AZ97" s="207">
        <f>--ISNUMBER(IFERROR(SEARCH('PLANILLA DJ'!$X$49,$A97,1),""))</f>
        <v>1</v>
      </c>
      <c r="BA97" s="207">
        <f>--ISNUMBER(IFERROR(SEARCH('PLANILLA DJ'!$X$50,$A97,1),""))</f>
        <v>1</v>
      </c>
      <c r="BB97" s="207">
        <f>--ISNUMBER(IFERROR(SEARCH('PLANILLA DJ'!$X$51,$A97,1),""))</f>
        <v>1</v>
      </c>
      <c r="BC97" s="207">
        <f>--ISNUMBER(IFERROR(SEARCH('PLANILLA DJ'!$X$52,$A97,1),""))</f>
        <v>1</v>
      </c>
      <c r="BD97" s="207">
        <f>--ISNUMBER(IFERROR(SEARCH('PLANILLA DJ'!$X$53,$A97,1),""))</f>
        <v>1</v>
      </c>
      <c r="BE97" s="207">
        <f>--ISNUMBER(IFERROR(SEARCH('PLANILLA DJ'!$X$54,$A97,1),""))</f>
        <v>1</v>
      </c>
      <c r="BF97" s="207">
        <f>--ISNUMBER(IFERROR(SEARCH('PLANILLA DJ'!$X$55,$A97,1),""))</f>
        <v>1</v>
      </c>
      <c r="BG97" s="207">
        <f>--ISNUMBER(IFERROR(SEARCH('PLANILLA DJ'!$X$56,$A97,1),""))</f>
        <v>1</v>
      </c>
      <c r="BH97" s="207">
        <f>--ISNUMBER(IFERROR(SEARCH('PLANILLA DJ'!$X$57,$A97,1),""))</f>
        <v>1</v>
      </c>
      <c r="BI97" s="207">
        <f>--ISNUMBER(IFERROR(SEARCH('PLANILLA DJ'!$X$58,$A97,1),""))</f>
        <v>1</v>
      </c>
      <c r="BJ97" s="207">
        <f>--ISNUMBER(IFERROR(SEARCH('PLANILLA DJ'!$X$59,$A97,1),""))</f>
        <v>1</v>
      </c>
      <c r="BK97" s="207">
        <f>--ISNUMBER(IFERROR(SEARCH('PLANILLA DJ'!$X$60,$A97,1),""))</f>
        <v>1</v>
      </c>
      <c r="BL97" s="207">
        <f>--ISNUMBER(IFERROR(SEARCH('PLANILLA DJ'!$X$61,$A97,1),""))</f>
        <v>1</v>
      </c>
      <c r="BM97" s="207">
        <f>--ISNUMBER(IFERROR(SEARCH('PLANILLA DJ'!$X$62,$A97,1),""))</f>
        <v>1</v>
      </c>
      <c r="BN97" s="207">
        <f>--ISNUMBER(IFERROR(SEARCH('PLANILLA DJ'!$X$63,$A97,1),""))</f>
        <v>1</v>
      </c>
      <c r="BO97" s="207">
        <f>--ISNUMBER(IFERROR(SEARCH('PLANILLA DJ'!$X$64,$A97,1),""))</f>
        <v>1</v>
      </c>
      <c r="BP97" s="207">
        <f>--ISNUMBER(IFERROR(SEARCH('PLANILLA DJ'!$X$65,$A97,1),""))</f>
        <v>1</v>
      </c>
      <c r="BQ97" s="207">
        <f>--ISNUMBER(IFERROR(SEARCH('PLANILLA DJ'!$X$66,$A97,1),""))</f>
        <v>1</v>
      </c>
      <c r="BR97" s="207">
        <f>--ISNUMBER(IFERROR(SEARCH('PLANILLA DJ'!$X$67,$A97,1),""))</f>
        <v>1</v>
      </c>
      <c r="BS97" s="207">
        <f>--ISNUMBER(IFERROR(SEARCH('PLANILLA DJ'!$X$68,$A97,1),""))</f>
        <v>1</v>
      </c>
      <c r="BT97" s="207">
        <f>--ISNUMBER(IFERROR(SEARCH('PLANILLA DJ'!$X$69,$A97,1),""))</f>
        <v>1</v>
      </c>
      <c r="BU97" s="207">
        <f>--ISNUMBER(IFERROR(SEARCH('PLANILLA DJ'!$X$70,$A97,1),""))</f>
        <v>1</v>
      </c>
      <c r="BV97" s="207">
        <f>--ISNUMBER(IFERROR(SEARCH('PLANILLA DJ'!$X$71,$A97,1),""))</f>
        <v>1</v>
      </c>
      <c r="BW97" s="207">
        <f>--ISNUMBER(IFERROR(SEARCH('PLANILLA DJ'!$X$72,$A97,1),""))</f>
        <v>1</v>
      </c>
      <c r="BX97" s="207">
        <f>--ISNUMBER(IFERROR(SEARCH('PLANILLA DJ'!$X$73,$A97,1),""))</f>
        <v>1</v>
      </c>
      <c r="BY97" s="207">
        <f>--ISNUMBER(IFERROR(SEARCH('PLANILLA DJ'!$X$74,$A97,1),""))</f>
        <v>1</v>
      </c>
      <c r="BZ97" s="207">
        <f>--ISNUMBER(IFERROR(SEARCH('PLANILLA DJ'!$X$75,$A97,1),""))</f>
        <v>1</v>
      </c>
      <c r="CA97" s="207">
        <f>--ISNUMBER(IFERROR(SEARCH('PLANILLA DJ'!$X$76,$A97,1),""))</f>
        <v>1</v>
      </c>
      <c r="CB97" s="207">
        <f>--ISNUMBER(IFERROR(SEARCH('PLANILLA DJ'!$X$77,$A97,1),""))</f>
        <v>1</v>
      </c>
      <c r="CC97" s="207">
        <f>--ISNUMBER(IFERROR(SEARCH('PLANILLA DJ'!$X$78,$A97,1),""))</f>
        <v>1</v>
      </c>
      <c r="CD97" s="207">
        <f>--ISNUMBER(IFERROR(SEARCH('PLANILLA DJ'!$X$79,$A97,1),""))</f>
        <v>1</v>
      </c>
      <c r="CE97" s="207">
        <f>--ISNUMBER(IFERROR(SEARCH('PLANILLA DJ'!$X$80,$A97,1),""))</f>
        <v>1</v>
      </c>
      <c r="CF97" s="207">
        <f>--ISNUMBER(IFERROR(SEARCH('PLANILLA DJ'!$X$81,$A97,1),""))</f>
        <v>1</v>
      </c>
      <c r="CG97" s="207">
        <f>--ISNUMBER(IFERROR(SEARCH('PLANILLA DJ'!$X$82,$A97,1),""))</f>
        <v>1</v>
      </c>
      <c r="CH97" s="207">
        <f>--ISNUMBER(IFERROR(SEARCH('PLANILLA DJ'!$X$83,$A97,1),""))</f>
        <v>1</v>
      </c>
      <c r="CI97" s="207">
        <f>--ISNUMBER(IFERROR(SEARCH('PLANILLA DJ'!$X$84,$A97,1),""))</f>
        <v>1</v>
      </c>
      <c r="CJ97" s="207">
        <f>--ISNUMBER(IFERROR(SEARCH('PLANILLA DJ'!$X$85,$A97,1),""))</f>
        <v>1</v>
      </c>
      <c r="CK97" s="207">
        <f>--ISNUMBER(IFERROR(SEARCH('PLANILLA DJ'!$X$86,$A97,1),""))</f>
        <v>1</v>
      </c>
      <c r="CL97" s="207">
        <f>--ISNUMBER(IFERROR(SEARCH('PLANILLA DJ'!$X$87,$A97,1),""))</f>
        <v>1</v>
      </c>
      <c r="CM97" s="207">
        <f>--ISNUMBER(IFERROR(SEARCH('PLANILLA DJ'!$X$88,$A97,1),""))</f>
        <v>1</v>
      </c>
      <c r="CN97" s="207">
        <f>--ISNUMBER(IFERROR(SEARCH('PLANILLA DJ'!$X$89,$A97,1),""))</f>
        <v>1</v>
      </c>
      <c r="CO97" s="207">
        <f>--ISNUMBER(IFERROR(SEARCH('PLANILLA DJ'!$X$90,$A97,1),""))</f>
        <v>1</v>
      </c>
      <c r="CP97" s="207">
        <f>--ISNUMBER(IFERROR(SEARCH('PLANILLA DJ'!$X$91,$A97,1),""))</f>
        <v>1</v>
      </c>
      <c r="CQ97" s="207">
        <f>--ISNUMBER(IFERROR(SEARCH('PLANILLA DJ'!$X$92,$A97,1),""))</f>
        <v>1</v>
      </c>
      <c r="CR97" s="207">
        <f>--ISNUMBER(IFERROR(SEARCH('PLANILLA DJ'!$X$93,$A97,1),""))</f>
        <v>1</v>
      </c>
      <c r="CS97" s="207">
        <f>--ISNUMBER(IFERROR(SEARCH('PLANILLA DJ'!$X$94,$A97,1),""))</f>
        <v>1</v>
      </c>
      <c r="CT97" s="207">
        <f>--ISNUMBER(IFERROR(SEARCH('PLANILLA DJ'!$X$95,$A97,1),""))</f>
        <v>1</v>
      </c>
      <c r="CU97" s="207">
        <f>--ISNUMBER(IFERROR(SEARCH('PLANILLA DJ'!$X$96,$A97,1),""))</f>
        <v>1</v>
      </c>
      <c r="CV97" s="207">
        <f>--ISNUMBER(IFERROR(SEARCH('PLANILLA DJ'!$X$97,$A97,1),""))</f>
        <v>1</v>
      </c>
      <c r="CW97" s="207">
        <f>--ISNUMBER(IFERROR(SEARCH('PLANILLA DJ'!$X$98,$A97,1),""))</f>
        <v>1</v>
      </c>
      <c r="CX97" s="207">
        <f>--ISNUMBER(IFERROR(SEARCH('PLANILLA DJ'!$X$99,$A97,1),""))</f>
        <v>1</v>
      </c>
      <c r="CY97" s="207">
        <f>--ISNUMBER(IFERROR(SEARCH('PLANILLA DJ'!$X$100,$A97,1),""))</f>
        <v>1</v>
      </c>
      <c r="CZ97" s="207">
        <f>--ISNUMBER(IFERROR(SEARCH('PLANILLA DJ'!$X$101,$A97,1),""))</f>
        <v>1</v>
      </c>
      <c r="DA97" s="207">
        <f>--ISNUMBER(IFERROR(SEARCH('PLANILLA DJ'!$X$102,$A97,1),""))</f>
        <v>1</v>
      </c>
      <c r="DB97" s="206">
        <f>IF(F97=1,COUNTIF($F$2:F97,1),"")</f>
        <v>96</v>
      </c>
      <c r="DC97" s="206">
        <f>IF(G97=1,COUNTIF($G$2:G97,1),"")</f>
        <v>96</v>
      </c>
      <c r="DD97" s="206">
        <f>IF(H97=1,COUNTIF($H$2:H97,1),"")</f>
        <v>96</v>
      </c>
      <c r="DE97" s="206">
        <f>IF(I97=1,COUNTIF($I$2:I97,1),"")</f>
        <v>96</v>
      </c>
      <c r="DF97" s="206">
        <f>IF(J97=1,COUNTIF($J$2:J97,1),"")</f>
        <v>96</v>
      </c>
      <c r="DG97" s="206">
        <f>IF(K97=1,COUNTIF($K$2:K97,1),"")</f>
        <v>96</v>
      </c>
      <c r="DH97" s="206">
        <f>IF(L97=1,COUNTIF($L$2:L97,1),"")</f>
        <v>96</v>
      </c>
      <c r="DI97" s="206">
        <f>IF(M97=1,COUNTIF($M$2:M97,1),"")</f>
        <v>96</v>
      </c>
      <c r="DJ97" s="206">
        <f>IF(N97=1,COUNTIF($N$2:N97,1),"")</f>
        <v>96</v>
      </c>
      <c r="DK97" s="206">
        <f>IF(O97=1,COUNTIF($O$2:O97,1),"")</f>
        <v>96</v>
      </c>
      <c r="DL97" s="206">
        <f>IF(P97=1,COUNTIF($P$2:P97,1),"")</f>
        <v>96</v>
      </c>
      <c r="DM97" s="206">
        <f>IF(Q97=1,COUNTIF($Q$2:Q97,1),"")</f>
        <v>96</v>
      </c>
      <c r="DN97" s="207">
        <f>IF(R97=1,COUNTIF($R$2:R97,1),"")</f>
        <v>96</v>
      </c>
      <c r="DO97" s="207">
        <f>IF(S97=1,COUNTIF($S$2:S97,1),"")</f>
        <v>96</v>
      </c>
      <c r="DP97" s="207">
        <f>IF(T97=1,COUNTIF($T$2:T97,1),"")</f>
        <v>96</v>
      </c>
      <c r="DQ97" s="207">
        <f>IF(U97=1,COUNTIF($U$2:U97,1),"")</f>
        <v>96</v>
      </c>
      <c r="DR97" s="207">
        <f>IF(V97=1,COUNTIF($V$2:V97,1),"")</f>
        <v>96</v>
      </c>
      <c r="DS97" s="207">
        <f>IF(W97=1,COUNTIF($W$2:W97,1),"")</f>
        <v>96</v>
      </c>
      <c r="DT97" s="207">
        <f>IF(X97=1,COUNTIF($X$2:X97,1),"")</f>
        <v>96</v>
      </c>
      <c r="DU97" s="207">
        <f>IF(Y97=1,COUNTIF($Y$2:Y97,1),"")</f>
        <v>96</v>
      </c>
      <c r="DV97" s="207">
        <f>IF(Z97=1,COUNTIF(Z$2:Z97,1),"")</f>
        <v>96</v>
      </c>
      <c r="DW97" s="207">
        <f>IF(AA97=1,COUNTIF($AA$2:AA97,1),"")</f>
        <v>96</v>
      </c>
      <c r="DX97" s="207">
        <f>IF(AB97=1,COUNTIF($AB$2:AB97,1),"")</f>
        <v>96</v>
      </c>
      <c r="DY97" s="207">
        <f>IF(AC97=1,COUNTIF($AC$2:AC97,1),"")</f>
        <v>96</v>
      </c>
      <c r="DZ97" s="207">
        <f>IF(AD97=1,COUNTIF($AD$2:AD97,1),"")</f>
        <v>96</v>
      </c>
      <c r="EA97" s="207">
        <f>IF(AE97=1,COUNTIF($AE$2:AE97,1),"")</f>
        <v>96</v>
      </c>
      <c r="EB97" s="207">
        <f>IF(AF97=1,COUNTIF($AF$2:AF97,1),"")</f>
        <v>96</v>
      </c>
      <c r="EC97" s="207">
        <f>IF(AG97=1,COUNTIF($AG$2:AG97,1),"")</f>
        <v>96</v>
      </c>
      <c r="ED97" s="207">
        <f>IF(AH97=1,COUNTIF($AH$2:AH97,1),"")</f>
        <v>96</v>
      </c>
      <c r="EE97" s="207">
        <f>IF(AI97=1,COUNTIF($AI$2:AI97,1),"")</f>
        <v>96</v>
      </c>
      <c r="EF97" s="207">
        <f>IF(AJ97=1,COUNTIF($AJ$2:AJ97,1),"")</f>
        <v>96</v>
      </c>
      <c r="EG97" s="207">
        <f>IF(AK97=1,COUNTIF($AK$2:AK97,1),"")</f>
        <v>96</v>
      </c>
      <c r="EH97" s="207">
        <f>IF(AL97=1,COUNTIF($AL$2:AL97,1),"")</f>
        <v>96</v>
      </c>
      <c r="EI97" s="207">
        <f>IF(AM97=1,COUNTIF($AM$2:AM97,1),"")</f>
        <v>96</v>
      </c>
      <c r="EJ97" s="207">
        <f>IF(AN97=1,COUNTIF($AN$2:AN97,1),"")</f>
        <v>96</v>
      </c>
      <c r="EK97" s="207">
        <f>IF(AO97=1,COUNTIF($AO$2:AO97,1),"")</f>
        <v>96</v>
      </c>
      <c r="EL97" s="207">
        <f>IF(AP97=1,COUNTIF($AP$2:AP97,1),"")</f>
        <v>96</v>
      </c>
      <c r="EM97" s="207">
        <f>IF(AQ97=1,COUNTIF($AQ$2:AQ97,1),"")</f>
        <v>96</v>
      </c>
      <c r="EN97" s="207">
        <f>IF(AR97=1,COUNTIF($AR$2:AR97,1),"")</f>
        <v>96</v>
      </c>
      <c r="EO97" s="207">
        <f>IF(AS97=1,COUNTIF($AS$2:AS97,1),"")</f>
        <v>96</v>
      </c>
      <c r="EP97" s="207">
        <f>IF(AT97=1,COUNTIF($AT$2:AT97,1),"")</f>
        <v>96</v>
      </c>
      <c r="EQ97" s="207">
        <f>IF(AU97=1,COUNTIF($AU$2:AU97,1),"")</f>
        <v>96</v>
      </c>
      <c r="ER97" s="207">
        <f>IF(AV97=1,COUNTIF($AV$2:AV97,1),"")</f>
        <v>96</v>
      </c>
      <c r="ES97" s="207">
        <f>IF(AW97=1,COUNTIF($AW$2:AW97,1),"")</f>
        <v>96</v>
      </c>
      <c r="ET97" s="207">
        <f>IF(AX97=1,COUNTIF($AX$2:AX97,1),"")</f>
        <v>96</v>
      </c>
      <c r="EU97" s="207">
        <f>IF(AY97=1,COUNTIF($AY$2:AY97,1),"")</f>
        <v>96</v>
      </c>
      <c r="EV97" s="207">
        <f>IF(AZ97=1,COUNTIF($AZ$2:AZ97,1),"")</f>
        <v>96</v>
      </c>
      <c r="EW97" s="207">
        <f>IF(BA97=1,COUNTIF($BA$2:BA97,1),"")</f>
        <v>96</v>
      </c>
      <c r="EX97" s="207">
        <f>IF(BB97=1,COUNTIF($BB$2:BB97,1),"")</f>
        <v>96</v>
      </c>
      <c r="EY97" s="207">
        <f>IF(BC97=1,COUNTIF($BC$2:BC97,1),"")</f>
        <v>96</v>
      </c>
      <c r="EZ97" s="207">
        <f>IF(BD97=1,COUNTIF($BD$2:BD97,1),"")</f>
        <v>96</v>
      </c>
      <c r="FA97" s="207">
        <f>IF(BE97=1,COUNTIF($BE$2:BE97,1),"")</f>
        <v>96</v>
      </c>
      <c r="FB97" s="207">
        <f>IF(BF97=1,COUNTIF($BF$2:BF97,1),"")</f>
        <v>96</v>
      </c>
      <c r="FC97" s="207">
        <f>IF(BG97=1,COUNTIF($BG$2:BG97,1),"")</f>
        <v>96</v>
      </c>
      <c r="FD97" s="207">
        <f>IF(BH97=1,COUNTIF($BH$2:BH97,1),"")</f>
        <v>96</v>
      </c>
      <c r="FE97" s="207">
        <f>IF(BI97=1,COUNTIF($BI$2:BI97,1),"")</f>
        <v>96</v>
      </c>
      <c r="FF97" s="207">
        <f>IF(BJ97=1,COUNTIF($BJ$2:BJ97,1),"")</f>
        <v>96</v>
      </c>
      <c r="FG97" s="207">
        <f>IF(BK97=1,COUNTIF($BK$2:BK97,1),"")</f>
        <v>96</v>
      </c>
      <c r="FH97" s="207">
        <f>IF(BL97=1,COUNTIF($BL$2:BL97,1),"")</f>
        <v>96</v>
      </c>
      <c r="FI97" s="207">
        <f>IF(BM97=1,COUNTIF($BM$2:BM97,1),"")</f>
        <v>96</v>
      </c>
      <c r="FJ97" s="207">
        <f>IF(BN97=1,COUNTIF($BN$2:BN97,1),"")</f>
        <v>96</v>
      </c>
      <c r="FK97" s="207">
        <f>IF(BO97=1,COUNTIF($BO$2:BO97,1),"")</f>
        <v>96</v>
      </c>
      <c r="FL97" s="207">
        <f>IF(BP97=1,COUNTIF($BP$2:BP97,1),"")</f>
        <v>96</v>
      </c>
      <c r="FM97" s="207">
        <f>IF(BQ97=1,COUNTIF($BQ$2:BQ97,1),"")</f>
        <v>96</v>
      </c>
      <c r="FN97" s="207">
        <f>IF(BR97=1,COUNTIF($BR$2:BR97,1),"")</f>
        <v>96</v>
      </c>
      <c r="FO97" s="207">
        <f>IF(BS97=1,COUNTIF($BS$2:BS97,1),"")</f>
        <v>96</v>
      </c>
      <c r="FP97" s="207">
        <f>IF(BT97=1,COUNTIF($BT$2:BT97,1),"")</f>
        <v>96</v>
      </c>
      <c r="FQ97" s="207">
        <f>IF(BU97=1,COUNTIF($BU$2:BU97,1),"")</f>
        <v>96</v>
      </c>
      <c r="FR97" s="207">
        <f>IF(BV97=1,COUNTIF($BV$2:BV97,1),"")</f>
        <v>96</v>
      </c>
      <c r="FS97" s="207">
        <f>IF(BW97=1,COUNTIF($BW$2:BW97,1),"")</f>
        <v>96</v>
      </c>
      <c r="FT97" s="207">
        <f>IF(BX97=1,COUNTIF($BX$2:BX97,1),"")</f>
        <v>96</v>
      </c>
      <c r="FU97" s="207">
        <f>IF(BY97=1,COUNTIF($BY$2:BY97,1),"")</f>
        <v>96</v>
      </c>
      <c r="FV97" s="207">
        <f>IF(BZ97=1,COUNTIF($BZ$2:BZ97,1),"")</f>
        <v>96</v>
      </c>
      <c r="FW97" s="207">
        <f>IF(CA97=1,COUNTIF($CA$2:CA97,1),"")</f>
        <v>96</v>
      </c>
      <c r="FX97" s="207">
        <f>IF(CB97=1,COUNTIF($CB$2:CB97,1),"")</f>
        <v>96</v>
      </c>
      <c r="FY97" s="207">
        <f>IF(CC97=1,COUNTIF($CC$2:CC97,1),"")</f>
        <v>96</v>
      </c>
      <c r="FZ97" s="207">
        <f>IF(CD97=1,COUNTIF($CD$2:CD97,1),"")</f>
        <v>96</v>
      </c>
      <c r="GA97" s="207">
        <f>IF(CE97=1,COUNTIF($CE$2:CE97,1),"")</f>
        <v>96</v>
      </c>
      <c r="GB97" s="207">
        <f>IF(CF97=1,COUNTIF($CF$2:CF97,1),"")</f>
        <v>96</v>
      </c>
      <c r="GC97" s="207">
        <f>IF(CG97=1,COUNTIF($CG$2:CG97,1),"")</f>
        <v>96</v>
      </c>
      <c r="GD97" s="207">
        <f>IF(CH97=1,COUNTIF($CH$2:CH97,1),"")</f>
        <v>96</v>
      </c>
      <c r="GE97" s="207">
        <f>IF(CI97=1,COUNTIF($CI$2:CI97,1),"")</f>
        <v>96</v>
      </c>
      <c r="GF97" s="207">
        <f>IF(CJ97=1,COUNTIF($CJ$2:CJ97,1),"")</f>
        <v>96</v>
      </c>
      <c r="GG97" s="207">
        <f>IF(CK97=1,COUNTIF($CK$2:CK97,1),"")</f>
        <v>96</v>
      </c>
      <c r="GH97" s="207">
        <f>IF(CL97=1,COUNTIF($CL$2:CL97,1),"")</f>
        <v>96</v>
      </c>
      <c r="GI97" s="207">
        <f>IF(CM97=1,COUNTIF($CM$2:CM97,1),"")</f>
        <v>96</v>
      </c>
      <c r="GJ97" s="207">
        <f>IF(CN97=1,COUNTIF($CN$2:CN97,1),"")</f>
        <v>96</v>
      </c>
      <c r="GK97" s="207">
        <f>IF(CO97=1,COUNTIF($CO$2:CO97,1),"")</f>
        <v>96</v>
      </c>
      <c r="GL97" s="207">
        <f>IF(CP97=1,COUNTIF($CP$2:CP97,1),"")</f>
        <v>96</v>
      </c>
      <c r="GM97" s="207">
        <f>IF(CQ97=1,COUNTIF($CQ$2:CQ97,1),"")</f>
        <v>96</v>
      </c>
      <c r="GN97" s="207">
        <f>IF(CR97=1,COUNTIF($CR$2:CR97,1),"")</f>
        <v>96</v>
      </c>
      <c r="GO97" s="207">
        <f>IF(CS97=1,COUNTIF($CS$2:CS97,1),"")</f>
        <v>96</v>
      </c>
      <c r="GP97" s="207">
        <f>IF(CT97=1,COUNTIF($CT$2:CT97,1),"")</f>
        <v>96</v>
      </c>
      <c r="GQ97" s="207">
        <f>IF(CU97=1,COUNTIF($CU$2:CU97,1),"")</f>
        <v>96</v>
      </c>
      <c r="GR97" s="207">
        <f>IF(CV97=1,COUNTIF($CV$2:CV97,1),"")</f>
        <v>96</v>
      </c>
      <c r="GS97" s="207">
        <f>IF(CW97=1,COUNTIF($CW$2:CW97,1),"")</f>
        <v>96</v>
      </c>
      <c r="GT97" s="207">
        <f>IF(CX97=1,COUNTIF($CX$2:CX97,1),"")</f>
        <v>96</v>
      </c>
      <c r="GU97" s="207">
        <f>IF(CY97=1,COUNTIF($CY$2:CY97,1),"")</f>
        <v>96</v>
      </c>
      <c r="GV97" s="207">
        <f>IF(CZ97=1,COUNTIF($CZ$2:CZ97,1),"")</f>
        <v>96</v>
      </c>
      <c r="GW97" s="207">
        <f>IF(DA97=1,COUNTIF($DA$2:DA97,1),"")</f>
        <v>96</v>
      </c>
      <c r="GX97" s="206" t="str">
        <f>IFERROR(INDEX($A$2:$A$113,MATCH(ROWS($DB$2:DB97),$DB$2:$DB$113,0)),"")</f>
        <v>TENENCIA SIMPLE DE ESTUPEFACIENTES</v>
      </c>
      <c r="GY97" s="206" t="str">
        <f>IFERROR(INDEX($A$2:$A$113,MATCH(ROWS($DC$2:DC97),$DC$2:$DC$113,0)),"")</f>
        <v>TENENCIA SIMPLE DE ESTUPEFACIENTES</v>
      </c>
      <c r="GZ97" s="206" t="str">
        <f>IFERROR(INDEX($A$2:$A$113,MATCH(ROWS($DD$2:DD97),$DD$2:$DD$113,0)),"")</f>
        <v>TENENCIA SIMPLE DE ESTUPEFACIENTES</v>
      </c>
      <c r="HA97" s="206" t="str">
        <f>IFERROR(INDEX($A$2:$A$113,MATCH(ROWS($DE$2:DE97),$DE$2:$DE$113,0)),"")</f>
        <v>TENENCIA SIMPLE DE ESTUPEFACIENTES</v>
      </c>
      <c r="HB97" s="206" t="str">
        <f>IFERROR(INDEX($A$2:$A$113,MATCH(ROWS($DF$2:DF97),$DF$2:$DF$113,0)),"")</f>
        <v>TENENCIA SIMPLE DE ESTUPEFACIENTES</v>
      </c>
      <c r="HC97" s="206" t="str">
        <f>IFERROR(INDEX($A$2:$A$113,MATCH(ROWS($DG$2:DG97),$DG$2:$DG$113,0)),"")</f>
        <v>TENENCIA SIMPLE DE ESTUPEFACIENTES</v>
      </c>
      <c r="HD97" s="206" t="str">
        <f>IFERROR(INDEX($A$2:$A$113,MATCH(ROWS($DH$2:DH97),$DH$2:$DH$113,0)),"")</f>
        <v>TENENCIA SIMPLE DE ESTUPEFACIENTES</v>
      </c>
      <c r="HE97" s="206" t="str">
        <f>IFERROR(INDEX($A$2:$A$113,MATCH(ROWS($DI$2:DI97),$DI$2:$DI$113,0)),"")</f>
        <v>TENENCIA SIMPLE DE ESTUPEFACIENTES</v>
      </c>
      <c r="HF97" s="206" t="str">
        <f>IFERROR(INDEX($A$2:$A$113,MATCH(ROWS($DJ$2:DJ97),$DJ$2:$DJ$113,0)),"")</f>
        <v>TENENCIA SIMPLE DE ESTUPEFACIENTES</v>
      </c>
      <c r="HG97" s="206" t="str">
        <f>IFERROR(INDEX($A$2:$A$113,MATCH(ROWS($DK$2:DK97),$DK$2:$DK$113,0)),"")</f>
        <v>TENENCIA SIMPLE DE ESTUPEFACIENTES</v>
      </c>
      <c r="HH97" s="206" t="str">
        <f>IFERROR(INDEX($A$2:$A$113,MATCH(ROWS($DL$2:DL97),$DL$2:$DL$113,0)),"")</f>
        <v>TENENCIA SIMPLE DE ESTUPEFACIENTES</v>
      </c>
      <c r="HI97" s="206" t="str">
        <f>IFERROR(INDEX($A$2:$A$113,MATCH(ROWS($DM$2:DM97),$DM$2:$DM$113,0)),"")</f>
        <v>TENENCIA SIMPLE DE ESTUPEFACIENTES</v>
      </c>
      <c r="HJ97" s="206" t="str">
        <f>IFERROR(INDEX($A$2:$A$113,MATCH(ROWS($DN$2:DN97),$DN$2:$DN$113,0)),"")</f>
        <v>TENENCIA SIMPLE DE ESTUPEFACIENTES</v>
      </c>
      <c r="HK97" s="206" t="str">
        <f>IFERROR(INDEX($A$2:$A$113,MATCH(ROWS($DO$2:DO97),$DO$2:$DO$113,0)),"")</f>
        <v>TENENCIA SIMPLE DE ESTUPEFACIENTES</v>
      </c>
      <c r="HL97" s="206" t="str">
        <f>IFERROR(INDEX($A$2:$A$113,MATCH(ROWS($DP$2:DP97),$DP$2:$DP$113,0)),"")</f>
        <v>TENENCIA SIMPLE DE ESTUPEFACIENTES</v>
      </c>
      <c r="HM97" s="206" t="str">
        <f>IFERROR(INDEX($A$2:$A$113,MATCH(ROWS($DQ$2:DQ97),$DQ$2:$DQ$113,0)),"")</f>
        <v>TENENCIA SIMPLE DE ESTUPEFACIENTES</v>
      </c>
      <c r="HN97" s="206" t="str">
        <f>IFERROR(INDEX($A$2:$A$113,MATCH(ROWS($DR$2:DR97),$DR$2:$DR$113,0)),"")</f>
        <v>TENENCIA SIMPLE DE ESTUPEFACIENTES</v>
      </c>
      <c r="HO97" s="206" t="str">
        <f>IFERROR(INDEX($A$2:$A$113,MATCH(ROWS($DS$2:DS97),$DS$2:$DS$113,0)),"")</f>
        <v>TENENCIA SIMPLE DE ESTUPEFACIENTES</v>
      </c>
      <c r="HP97" s="206" t="str">
        <f>IFERROR(INDEX($A$2:$A$113,MATCH(ROWS($DT$2:DT97),$DT$2:$DT$113,0)),"")</f>
        <v>TENENCIA SIMPLE DE ESTUPEFACIENTES</v>
      </c>
      <c r="HQ97" s="206" t="str">
        <f>IFERROR(INDEX($A$2:$A$113,MATCH(ROWS($DU$2:DU97),$DU$2:$DU$113,0)),"")</f>
        <v>TENENCIA SIMPLE DE ESTUPEFACIENTES</v>
      </c>
      <c r="HR97" s="206" t="str">
        <f>IFERROR(INDEX($A$2:$A$113,MATCH(ROWS($DV$2:DV97),$DV$2:$DV$113,0)),"")</f>
        <v>TENENCIA SIMPLE DE ESTUPEFACIENTES</v>
      </c>
      <c r="HS97" s="206" t="str">
        <f>IFERROR(INDEX($A$2:$A$113,MATCH(ROWS($DW$2:DW97),$DW$2:$DW$113,0)),"")</f>
        <v>TENENCIA SIMPLE DE ESTUPEFACIENTES</v>
      </c>
      <c r="HT97" s="206" t="str">
        <f>IFERROR(INDEX($A$2:$A$113,MATCH(ROWS($DX$2:DX97),$DX$2:$DX$113,0)),"")</f>
        <v>TENENCIA SIMPLE DE ESTUPEFACIENTES</v>
      </c>
      <c r="HU97" s="206" t="str">
        <f>IFERROR(INDEX($A$2:$A$113,MATCH(ROWS($DY$2:DY97),$DY$2:$DY$113,0)),"")</f>
        <v>TENENCIA SIMPLE DE ESTUPEFACIENTES</v>
      </c>
      <c r="HV97" s="206" t="str">
        <f>IFERROR(INDEX($A$2:$A$113,MATCH(ROWS($DZ$2:DZ97),$DZ$2:$DZ$113,0)),"")</f>
        <v>TENENCIA SIMPLE DE ESTUPEFACIENTES</v>
      </c>
      <c r="HW97" s="206" t="str">
        <f>IFERROR(INDEX($A$2:$A$113,MATCH(ROWS($EA$2:EA97),$EA$2:$EA$113,0)),"")</f>
        <v>TENENCIA SIMPLE DE ESTUPEFACIENTES</v>
      </c>
      <c r="HX97" s="206" t="str">
        <f>IFERROR(INDEX($A$2:$A$113,MATCH(ROWS($EB$2:EB97),$EB$2:$EB$113,0)),"")</f>
        <v>TENENCIA SIMPLE DE ESTUPEFACIENTES</v>
      </c>
      <c r="HY97" s="206" t="str">
        <f>IFERROR(INDEX($A$2:$A$113,MATCH(ROWS($EC$2:EC97),$EC$2:$EC$113,0)),"")</f>
        <v>TENENCIA SIMPLE DE ESTUPEFACIENTES</v>
      </c>
      <c r="HZ97" s="206" t="str">
        <f>IFERROR(INDEX($A$2:$A$113,MATCH(ROWS($ED$2:ED97),$ED$2:$ED$113,0)),"")</f>
        <v>TENENCIA SIMPLE DE ESTUPEFACIENTES</v>
      </c>
      <c r="IA97" s="206" t="str">
        <f>IFERROR(INDEX($A$2:$A$113,MATCH(ROWS($EE$2:EE97),$EE$2:$EE$113,0)),"")</f>
        <v>TENENCIA SIMPLE DE ESTUPEFACIENTES</v>
      </c>
      <c r="IB97" s="206" t="str">
        <f>IFERROR(INDEX($A$2:$A$113,MATCH(ROWS($EF$2:EF97),$EF$2:$EF$113,0)),"")</f>
        <v>TENENCIA SIMPLE DE ESTUPEFACIENTES</v>
      </c>
      <c r="IC97" s="206" t="str">
        <f>IFERROR(INDEX($A$2:$A$113,MATCH(ROWS($EG$2:EG97),$EG$2:$EG$113,0)),"")</f>
        <v>TENENCIA SIMPLE DE ESTUPEFACIENTES</v>
      </c>
      <c r="ID97" s="206" t="str">
        <f>IFERROR(INDEX($A$2:$A$113,MATCH(ROWS($EH$2:EH97),$EH$2:$EH$113,0)),"")</f>
        <v>TENENCIA SIMPLE DE ESTUPEFACIENTES</v>
      </c>
      <c r="IE97" s="206" t="str">
        <f>IFERROR(INDEX($A$2:$A$113,MATCH(ROWS($EI$2:EI97),$EI$2:$EI$113,0)),"")</f>
        <v>TENENCIA SIMPLE DE ESTUPEFACIENTES</v>
      </c>
      <c r="IF97" s="206" t="str">
        <f>IFERROR(INDEX($A$2:$A$113,MATCH(ROWS($EJ$2:EJ97),$EJ$2:$EJ$113,0)),"")</f>
        <v>TENENCIA SIMPLE DE ESTUPEFACIENTES</v>
      </c>
      <c r="IG97" s="206" t="str">
        <f>IFERROR(INDEX($A$2:$A$113,MATCH(ROWS($EK$2:EK97),$EK$2:$EK$113,0)),"")</f>
        <v>TENENCIA SIMPLE DE ESTUPEFACIENTES</v>
      </c>
      <c r="IH97" s="206" t="str">
        <f>IFERROR(INDEX($A$2:$A$113,MATCH(ROWS($EL$2:EL97),$EL$2:$EL$113,0)),"")</f>
        <v>TENENCIA SIMPLE DE ESTUPEFACIENTES</v>
      </c>
      <c r="II97" s="206" t="str">
        <f>IFERROR(INDEX($A$2:$A$113,MATCH(ROWS($EM$2:EM97),$EM$2:$EM$113,0)),"")</f>
        <v>TENENCIA SIMPLE DE ESTUPEFACIENTES</v>
      </c>
      <c r="IJ97" s="206" t="str">
        <f>IFERROR(INDEX($A$2:$A$113,MATCH(ROWS($EN$2:EN97),$EN$2:$EN$113,0)),"")</f>
        <v>TENENCIA SIMPLE DE ESTUPEFACIENTES</v>
      </c>
      <c r="IK97" s="207" t="str">
        <f>IFERROR(INDEX($A$2:$A$113,MATCH(ROWS($EO$2:EO97),$EO$2:$EO$113,0)),"")</f>
        <v>TENENCIA SIMPLE DE ESTUPEFACIENTES</v>
      </c>
      <c r="IL97" s="207" t="str">
        <f>IFERROR(INDEX($A$2:$A$113,MATCH(ROWS($EP$2:EP97),$EP$2:$EP$113,0)),"")</f>
        <v>TENENCIA SIMPLE DE ESTUPEFACIENTES</v>
      </c>
      <c r="IM97" s="207" t="str">
        <f>IFERROR(INDEX($A$2:$A$113,MATCH(ROWS($EQ$2:EQ97),$EQ$2:$EQ$113,0)),"")</f>
        <v>TENENCIA SIMPLE DE ESTUPEFACIENTES</v>
      </c>
      <c r="IN97" s="207" t="str">
        <f>IFERROR(INDEX($A$2:$A$113,MATCH(ROWS($ER$2:ER97),$ER$2:$ER$113,0)),"")</f>
        <v>TENENCIA SIMPLE DE ESTUPEFACIENTES</v>
      </c>
      <c r="IO97" s="207" t="str">
        <f>IFERROR(INDEX($A$2:$A$113,MATCH(ROWS($ES$2:ES97),$ES$2:$ES$113,0)),"")</f>
        <v>TENENCIA SIMPLE DE ESTUPEFACIENTES</v>
      </c>
      <c r="IP97" s="207" t="str">
        <f>IFERROR(INDEX($A$2:$A$113,MATCH(ROWS($ET$2:ET97),$ET$2:$ET$113,0)),"")</f>
        <v>TENENCIA SIMPLE DE ESTUPEFACIENTES</v>
      </c>
      <c r="IQ97" s="207" t="str">
        <f>IFERROR(INDEX($A$2:$A$113,MATCH(ROWS($EU$2:EU97),$EU$2:$EU$113,0)),"")</f>
        <v>TENENCIA SIMPLE DE ESTUPEFACIENTES</v>
      </c>
      <c r="IR97" s="207" t="str">
        <f>IFERROR(INDEX($A$2:$A$113,MATCH(ROWS($EV$2:EV97),$EV$2:$EV$113,0)),"")</f>
        <v>TENENCIA SIMPLE DE ESTUPEFACIENTES</v>
      </c>
      <c r="IS97" s="207" t="str">
        <f>IFERROR(INDEX($A$2:$A$113,MATCH(ROWS($EW$2:EW97),$EW$2:$EW$113,0)),"")</f>
        <v>TENENCIA SIMPLE DE ESTUPEFACIENTES</v>
      </c>
      <c r="IT97" s="207" t="str">
        <f>IFERROR(INDEX($A$2:$A$113,MATCH(ROWS($EX$2:EX97),$EX$2:$EX$113,0)),"")</f>
        <v>TENENCIA SIMPLE DE ESTUPEFACIENTES</v>
      </c>
      <c r="IU97" s="207" t="str">
        <f>IFERROR(INDEX($A$2:$A$113,MATCH(ROWS($EY$2:EY97),$EY$2:$EY$113,0)),"")</f>
        <v>TENENCIA SIMPLE DE ESTUPEFACIENTES</v>
      </c>
      <c r="IV97" s="207" t="str">
        <f>IFERROR(INDEX($A$2:$A$113,MATCH(ROWS($EZ$2:EZ97),$EZ$2:$EZ$113,0)),"")</f>
        <v>TENENCIA SIMPLE DE ESTUPEFACIENTES</v>
      </c>
      <c r="IW97" s="207" t="str">
        <f>IFERROR(INDEX($A$2:$A$113,MATCH(ROWS($FA$2:FA97),$FA$2:$FA$113,0)),"")</f>
        <v>TENENCIA SIMPLE DE ESTUPEFACIENTES</v>
      </c>
      <c r="IX97" s="207" t="str">
        <f>IFERROR(INDEX($A$2:$A$113,MATCH(ROWS($FB$2:FB97),$FB$2:$FB$113,0)),"")</f>
        <v>TENENCIA SIMPLE DE ESTUPEFACIENTES</v>
      </c>
      <c r="IY97" s="207" t="str">
        <f>IFERROR(INDEX($A$2:$A$113,MATCH(ROWS($FC$2:FC97),$FC$2:$FC$113,0)),"")</f>
        <v>TENENCIA SIMPLE DE ESTUPEFACIENTES</v>
      </c>
      <c r="IZ97" s="207" t="str">
        <f>IFERROR(INDEX($A$2:$A$113,MATCH(ROWS($FD$2:FD97),$FD$2:$FD$113,0)),"")</f>
        <v>TENENCIA SIMPLE DE ESTUPEFACIENTES</v>
      </c>
      <c r="JA97" s="207" t="str">
        <f>IFERROR(INDEX($A$2:$A$113,MATCH(ROWS($FE$2:FE97),$FE$2:$FE$113,0)),"")</f>
        <v>TENENCIA SIMPLE DE ESTUPEFACIENTES</v>
      </c>
      <c r="JB97" s="207" t="str">
        <f>IFERROR(INDEX($A$2:$A$113,MATCH(ROWS($FF$2:FF97),$FF$2:$FF$113,0)),"")</f>
        <v>TENENCIA SIMPLE DE ESTUPEFACIENTES</v>
      </c>
      <c r="JC97" s="207" t="str">
        <f>IFERROR(INDEX($A$2:$A$113,MATCH(ROWS($FG$2:FG97),$FG$2:$FG$113,0)),"")</f>
        <v>TENENCIA SIMPLE DE ESTUPEFACIENTES</v>
      </c>
      <c r="JD97" s="207" t="str">
        <f>IFERROR(INDEX($A$2:$A$113,MATCH(ROWS($FH$2:FH97),$FH$2:$FH$113,0)),"")</f>
        <v>TENENCIA SIMPLE DE ESTUPEFACIENTES</v>
      </c>
      <c r="JE97" s="207" t="str">
        <f>IFERROR(INDEX($A$2:$A$113,MATCH(ROWS($FI$2:FI97),$FI$2:$FI$113,0)),"")</f>
        <v>TENENCIA SIMPLE DE ESTUPEFACIENTES</v>
      </c>
      <c r="JF97" s="207" t="str">
        <f>IFERROR(INDEX($A$2:$A$113,MATCH(ROWS($FJ$2:FJ97),$FJ$2:$FJ$113,0)),"")</f>
        <v>TENENCIA SIMPLE DE ESTUPEFACIENTES</v>
      </c>
      <c r="JG97" s="207" t="str">
        <f>IFERROR(INDEX($A$2:$A$113,MATCH(ROWS($FK$2:FK97),$FK$2:$FK$113,0)),"")</f>
        <v>TENENCIA SIMPLE DE ESTUPEFACIENTES</v>
      </c>
      <c r="JH97" s="207" t="str">
        <f>IFERROR(INDEX($A$2:$A$113,MATCH(ROWS($FL$2:FL97),$FL$2:$FL$113,0)),"")</f>
        <v>TENENCIA SIMPLE DE ESTUPEFACIENTES</v>
      </c>
      <c r="JI97" s="207" t="str">
        <f>IFERROR(INDEX($A$2:$A$113,MATCH(ROWS($FM$2:FM97),$FM$2:$FM$113,0)),"")</f>
        <v>TENENCIA SIMPLE DE ESTUPEFACIENTES</v>
      </c>
      <c r="JJ97" s="207" t="str">
        <f>IFERROR(INDEX($A$2:$A$113,MATCH(ROWS($FN$2:FN97),$FN$2:$FN$113,0)),"")</f>
        <v>TENENCIA SIMPLE DE ESTUPEFACIENTES</v>
      </c>
      <c r="JK97" s="207" t="str">
        <f>IFERROR(INDEX($A$2:$A$113,MATCH(ROWS($FO$2:FO97),$FO$2:$FO$113,0)),"")</f>
        <v>TENENCIA SIMPLE DE ESTUPEFACIENTES</v>
      </c>
      <c r="JL97" s="207" t="str">
        <f>IFERROR(INDEX($A$2:$A$113,MATCH(ROWS($FP$2:FP97),$FP$2:$FP$113,0)),"")</f>
        <v>TENENCIA SIMPLE DE ESTUPEFACIENTES</v>
      </c>
      <c r="JM97" s="207" t="str">
        <f>IFERROR(INDEX($A$2:$A$113,MATCH(ROWS($FQ$2:FQ97),$FQ$2:$FQ$113,0)),"")</f>
        <v>TENENCIA SIMPLE DE ESTUPEFACIENTES</v>
      </c>
      <c r="JN97" s="207" t="str">
        <f>IFERROR(INDEX($A$2:$A$113,MATCH(ROWS($FR$2:FR97),$FR$2:$FR$113,0)),"")</f>
        <v>TENENCIA SIMPLE DE ESTUPEFACIENTES</v>
      </c>
      <c r="JO97" s="207" t="str">
        <f>IFERROR(INDEX($A$2:$A$113,MATCH(ROWS($FS$2:FS97),$FS$2:$FS$113,0)),"")</f>
        <v>TENENCIA SIMPLE DE ESTUPEFACIENTES</v>
      </c>
      <c r="JP97" s="207" t="str">
        <f>IFERROR(INDEX($A$2:$A$113,MATCH(ROWS($FT$2:FT97),$FT$2:$FT$113,0)),"")</f>
        <v>TENENCIA SIMPLE DE ESTUPEFACIENTES</v>
      </c>
      <c r="JQ97" s="207" t="str">
        <f>IFERROR(INDEX($A$2:$A$113,MATCH(ROWS($FU$2:FU97),$FU$2:$FU$113,0)),"")</f>
        <v>TENENCIA SIMPLE DE ESTUPEFACIENTES</v>
      </c>
      <c r="JR97" s="207" t="str">
        <f>IFERROR(INDEX($A$2:$A$113,MATCH(ROWS($FV$2:FV97),$FV$2:$FV$113,0)),"")</f>
        <v>TENENCIA SIMPLE DE ESTUPEFACIENTES</v>
      </c>
      <c r="JS97" s="207" t="str">
        <f>IFERROR(INDEX($A$2:$A$113,MATCH(ROWS($FW$2:FW97),$FW$2:$FW$113,0)),"")</f>
        <v>TENENCIA SIMPLE DE ESTUPEFACIENTES</v>
      </c>
      <c r="JT97" s="207" t="str">
        <f>IFERROR(INDEX($A$2:$A$113,MATCH(ROWS($FX$2:FX97),$FX$2:$FX$113,0)),"")</f>
        <v>TENENCIA SIMPLE DE ESTUPEFACIENTES</v>
      </c>
      <c r="JU97" s="207" t="str">
        <f>IFERROR(INDEX($A$2:$A$113,MATCH(ROWS($FY$2:FY97),$FY$2:$FY$113,0)),"")</f>
        <v>TENENCIA SIMPLE DE ESTUPEFACIENTES</v>
      </c>
      <c r="JV97" s="207" t="str">
        <f>IFERROR(INDEX($A$2:$A$113,MATCH(ROWS($FZ$2:FZ97),$FZ$2:$FZ$113,0)),"")</f>
        <v>TENENCIA SIMPLE DE ESTUPEFACIENTES</v>
      </c>
      <c r="JW97" s="207" t="str">
        <f>IFERROR(INDEX($A$2:$A$113,MATCH(ROWS($GA$2:GA97),$GA$2:$GA$113,0)),"")</f>
        <v>TENENCIA SIMPLE DE ESTUPEFACIENTES</v>
      </c>
      <c r="JX97" s="207" t="str">
        <f>IFERROR(INDEX($A$2:$A$113,MATCH(ROWS($GB$2:GB97),$GB$2:$GB$113,0)),"")</f>
        <v>TENENCIA SIMPLE DE ESTUPEFACIENTES</v>
      </c>
      <c r="JY97" s="207" t="str">
        <f>IFERROR(INDEX($A$2:$A$113,MATCH(ROWS($GC$2:GC97),$GC$2:$GC$113,0)),"")</f>
        <v>TENENCIA SIMPLE DE ESTUPEFACIENTES</v>
      </c>
      <c r="JZ97" s="207" t="str">
        <f>IFERROR(INDEX($A$2:$A$113,MATCH(ROWS($GD$2:GD97),$GD$2:$GD$113,0)),"")</f>
        <v>TENENCIA SIMPLE DE ESTUPEFACIENTES</v>
      </c>
      <c r="KA97" s="207" t="str">
        <f>IFERROR(INDEX($A$2:$A$113,MATCH(ROWS($GE$2:GE97),$GE$2:$GE$113,0)),"")</f>
        <v>TENENCIA SIMPLE DE ESTUPEFACIENTES</v>
      </c>
      <c r="KB97" s="207" t="str">
        <f>IFERROR(INDEX($A$2:$A$113,MATCH(ROWS($GF$2:GF97),$GF$2:$GF$113,0)),"")</f>
        <v>TENENCIA SIMPLE DE ESTUPEFACIENTES</v>
      </c>
      <c r="KC97" s="207" t="str">
        <f>IFERROR(INDEX($A$2:$A$113,MATCH(ROWS($GG$2:GG97),$GG$2:$GG$113,0)),"")</f>
        <v>TENENCIA SIMPLE DE ESTUPEFACIENTES</v>
      </c>
      <c r="KD97" s="207" t="str">
        <f>IFERROR(INDEX($A$2:$A$113,MATCH(ROWS($GH$2:GH97),$GH$2:$GH$113,0)),"")</f>
        <v>TENENCIA SIMPLE DE ESTUPEFACIENTES</v>
      </c>
      <c r="KE97" s="207" t="str">
        <f>IFERROR(INDEX($A$2:$A$113,MATCH(ROWS($GI$2:GI97),$GI$2:$GI$113,0)),"")</f>
        <v>TENENCIA SIMPLE DE ESTUPEFACIENTES</v>
      </c>
      <c r="KF97" s="207" t="str">
        <f>IFERROR(INDEX($A$2:$A$113,MATCH(ROWS($GJ$2:GJ97),$GJ$2:$GJ$113,0)),"")</f>
        <v>TENENCIA SIMPLE DE ESTUPEFACIENTES</v>
      </c>
      <c r="KG97" s="207" t="str">
        <f>IFERROR(INDEX($A$2:$A$113,MATCH(ROWS($GK$2:GK97),$GK$2:$GK$113,0)),"")</f>
        <v>TENENCIA SIMPLE DE ESTUPEFACIENTES</v>
      </c>
      <c r="KH97" s="207" t="str">
        <f>IFERROR(INDEX($A$2:$A$113,MATCH(ROWS($GL$2:GL97),$GL$2:$GL$113,0)),"")</f>
        <v>TENENCIA SIMPLE DE ESTUPEFACIENTES</v>
      </c>
      <c r="KI97" s="207" t="str">
        <f>IFERROR(INDEX($A$2:$A$113,MATCH(ROWS($GM$2:GM97),$GM$2:$GM$113,0)),"")</f>
        <v>TENENCIA SIMPLE DE ESTUPEFACIENTES</v>
      </c>
      <c r="KJ97" s="207" t="str">
        <f>IFERROR(INDEX($A$2:$A$113,MATCH(ROWS($GN$2:GN97),$GN$2:$GN$113,0)),"")</f>
        <v>TENENCIA SIMPLE DE ESTUPEFACIENTES</v>
      </c>
      <c r="KK97" s="207" t="str">
        <f>IFERROR(INDEX($A$2:$A$113,MATCH(ROWS($GO$2:GO97),$GO$2:$GO$113,0)),"")</f>
        <v>TENENCIA SIMPLE DE ESTUPEFACIENTES</v>
      </c>
      <c r="KL97" s="207" t="str">
        <f>IFERROR(INDEX($A$2:$A$113,MATCH(ROWS($GP$2:GP97),$GP$2:$GP$113,0)),"")</f>
        <v>TENENCIA SIMPLE DE ESTUPEFACIENTES</v>
      </c>
      <c r="KM97" s="207" t="str">
        <f>IFERROR(INDEX($A$2:$A$113,MATCH(ROWS($GQ$2:GQ97),$GQ$2:$GQ$113,0)),"")</f>
        <v>TENENCIA SIMPLE DE ESTUPEFACIENTES</v>
      </c>
      <c r="KN97" s="207" t="str">
        <f>IFERROR(INDEX($A$2:$A$113,MATCH(ROWS($GR$2:GR97),$GR$2:$GR$113,0)),"")</f>
        <v>TENENCIA SIMPLE DE ESTUPEFACIENTES</v>
      </c>
      <c r="KO97" s="207" t="str">
        <f>IFERROR(INDEX($A$2:$A$113,MATCH(ROWS($GS$2:GS97),$GS$2:$GS$113,0)),"")</f>
        <v>TENENCIA SIMPLE DE ESTUPEFACIENTES</v>
      </c>
      <c r="KP97" s="207" t="str">
        <f>IFERROR(INDEX($A$2:$A$113,MATCH(ROWS($GT$2:GT97),$GT$2:$GT$113,0)),"")</f>
        <v>TENENCIA SIMPLE DE ESTUPEFACIENTES</v>
      </c>
      <c r="KQ97" s="207" t="str">
        <f>IFERROR(INDEX($A$2:$A$113,MATCH(ROWS($GU$2:GU97),$GU$2:$GU$113,0)),"")</f>
        <v>TENENCIA SIMPLE DE ESTUPEFACIENTES</v>
      </c>
      <c r="KR97" s="207" t="str">
        <f>IFERROR(INDEX($A$2:$A$113,MATCH(ROWS($GV$2:GV97),$GV$2:$GV$113,0)),"")</f>
        <v>TENENCIA SIMPLE DE ESTUPEFACIENTES</v>
      </c>
      <c r="KS97" s="207" t="str">
        <f>IFERROR(INDEX($A$2:$A$113,MATCH(ROWS($GW$2:GW97),$GW$2:$GW$113,0)),"")</f>
        <v>TENENCIA SIMPLE DE ESTUPEFACIENTES</v>
      </c>
    </row>
    <row r="98" spans="1:305" x14ac:dyDescent="0.25">
      <c r="A98" s="206" t="s">
        <v>37</v>
      </c>
      <c r="B98" s="206" t="s">
        <v>122</v>
      </c>
      <c r="D98" s="206" t="s">
        <v>37</v>
      </c>
      <c r="E98" s="206" t="s">
        <v>116</v>
      </c>
      <c r="F98" s="207">
        <f>--ISNUMBER(IFERROR(SEARCH('PLANILLA DJ'!$X$3,$A98,1),""))</f>
        <v>1</v>
      </c>
      <c r="G98" s="207">
        <f>--ISNUMBER(IFERROR(SEARCH('PLANILLA DJ'!$X$4,$A98,1),""))</f>
        <v>1</v>
      </c>
      <c r="H98" s="207">
        <f>--ISNUMBER(IFERROR(SEARCH('PLANILLA DJ'!$X$5,$A98,1),""))</f>
        <v>1</v>
      </c>
      <c r="I98" s="207">
        <f>--ISNUMBER(IFERROR(SEARCH('PLANILLA DJ'!$X$6,$A98,1),""))</f>
        <v>1</v>
      </c>
      <c r="J98" s="207">
        <f>--ISNUMBER(IFERROR(SEARCH('PLANILLA DJ'!$X$7,$A98,1),""))</f>
        <v>1</v>
      </c>
      <c r="K98" s="207">
        <f>--ISNUMBER(IFERROR(SEARCH('PLANILLA DJ'!$X$8,$A98,1),""))</f>
        <v>1</v>
      </c>
      <c r="L98" s="207">
        <f>--ISNUMBER(IFERROR(SEARCH('PLANILLA DJ'!$X$9,$A98,1),""))</f>
        <v>1</v>
      </c>
      <c r="M98" s="207">
        <f>--ISNUMBER(IFERROR(SEARCH('PLANILLA DJ'!$X$10,$A98,1),""))</f>
        <v>1</v>
      </c>
      <c r="N98" s="207">
        <f>--ISNUMBER(IFERROR(SEARCH('PLANILLA DJ'!$X$11,$A98,1),""))</f>
        <v>1</v>
      </c>
      <c r="O98" s="207">
        <f>--ISNUMBER(IFERROR(SEARCH('PLANILLA DJ'!$X$12,$A98,1),""))</f>
        <v>1</v>
      </c>
      <c r="P98" s="207">
        <f>--ISNUMBER(IFERROR(SEARCH('PLANILLA DJ'!$X$13,$A98,1),""))</f>
        <v>1</v>
      </c>
      <c r="Q98" s="207">
        <f>--ISNUMBER(IFERROR(SEARCH('PLANILLA DJ'!$X$14,$A98,1),""))</f>
        <v>1</v>
      </c>
      <c r="R98" s="207">
        <f>--ISNUMBER(IFERROR(SEARCH('PLANILLA DJ'!$X$15,$A98,1),""))</f>
        <v>1</v>
      </c>
      <c r="S98" s="207">
        <f>--ISNUMBER(IFERROR(SEARCH('PLANILLA DJ'!$X$16,$A98,1),""))</f>
        <v>1</v>
      </c>
      <c r="T98" s="207">
        <f>--ISNUMBER(IFERROR(SEARCH('PLANILLA DJ'!$X$17,$A98,1),""))</f>
        <v>1</v>
      </c>
      <c r="U98" s="207">
        <f>--ISNUMBER(IFERROR(SEARCH('PLANILLA DJ'!$X$18,$A98,1),""))</f>
        <v>1</v>
      </c>
      <c r="V98" s="207">
        <f>--ISNUMBER(IFERROR(SEARCH('PLANILLA DJ'!$X$19,$A98,1),""))</f>
        <v>1</v>
      </c>
      <c r="W98" s="207">
        <f>--ISNUMBER(IFERROR(SEARCH('PLANILLA DJ'!$X$20,$A98,1),""))</f>
        <v>1</v>
      </c>
      <c r="X98" s="207">
        <f>--ISNUMBER(IFERROR(SEARCH('PLANILLA DJ'!$X$21,$A98,1),""))</f>
        <v>1</v>
      </c>
      <c r="Y98" s="207">
        <f>--ISNUMBER(IFERROR(SEARCH('PLANILLA DJ'!$X$22,$A98,1),""))</f>
        <v>1</v>
      </c>
      <c r="Z98" s="207">
        <f>--ISNUMBER(IFERROR(SEARCH('PLANILLA DJ'!$X$23,$A98,1),""))</f>
        <v>1</v>
      </c>
      <c r="AA98" s="207">
        <f>--ISNUMBER(IFERROR(SEARCH('PLANILLA DJ'!$X$24,$A98,1),""))</f>
        <v>1</v>
      </c>
      <c r="AB98" s="207">
        <f>--ISNUMBER(IFERROR(SEARCH('PLANILLA DJ'!$X$25,$A98,1),""))</f>
        <v>1</v>
      </c>
      <c r="AC98" s="207">
        <f>--ISNUMBER(IFERROR(SEARCH('PLANILLA DJ'!$X$26,$A98,1),""))</f>
        <v>1</v>
      </c>
      <c r="AD98" s="207">
        <f>--ISNUMBER(IFERROR(SEARCH('PLANILLA DJ'!$X$27,$A98,1),""))</f>
        <v>1</v>
      </c>
      <c r="AE98" s="207">
        <f>--ISNUMBER(IFERROR(SEARCH('PLANILLA DJ'!$X$28,$A98,1),""))</f>
        <v>1</v>
      </c>
      <c r="AF98" s="207">
        <f>--ISNUMBER(IFERROR(SEARCH('PLANILLA DJ'!$X$29,$A98,1),""))</f>
        <v>1</v>
      </c>
      <c r="AG98" s="207">
        <f>--ISNUMBER(IFERROR(SEARCH('PLANILLA DJ'!$X$30,$A98,1),""))</f>
        <v>1</v>
      </c>
      <c r="AH98" s="207">
        <f>--ISNUMBER(IFERROR(SEARCH('PLANILLA DJ'!$X$31,$A98,1),""))</f>
        <v>1</v>
      </c>
      <c r="AI98" s="207">
        <f>--ISNUMBER(IFERROR(SEARCH('PLANILLA DJ'!$X$32,$A98,1),""))</f>
        <v>1</v>
      </c>
      <c r="AJ98" s="207">
        <f>--ISNUMBER(IFERROR(SEARCH('PLANILLA DJ'!$X$33,$A98,1),""))</f>
        <v>1</v>
      </c>
      <c r="AK98" s="207">
        <f>--ISNUMBER(IFERROR(SEARCH('PLANILLA DJ'!$X$34,$A98,1),""))</f>
        <v>1</v>
      </c>
      <c r="AL98" s="207">
        <f>--ISNUMBER(IFERROR(SEARCH('PLANILLA DJ'!$X$35,$A98,1),""))</f>
        <v>1</v>
      </c>
      <c r="AM98" s="207">
        <f>--ISNUMBER(IFERROR(SEARCH('PLANILLA DJ'!$X$36,$A98,1),""))</f>
        <v>1</v>
      </c>
      <c r="AN98" s="207">
        <f>--ISNUMBER(IFERROR(SEARCH('PLANILLA DJ'!$X$37,$A98,1),""))</f>
        <v>1</v>
      </c>
      <c r="AO98" s="207">
        <f>--ISNUMBER(IFERROR(SEARCH('PLANILLA DJ'!$X$38,$A98,1),""))</f>
        <v>1</v>
      </c>
      <c r="AP98" s="207">
        <f>--ISNUMBER(IFERROR(SEARCH('PLANILLA DJ'!$X$39,$A98,1),""))</f>
        <v>1</v>
      </c>
      <c r="AQ98" s="207">
        <f>--ISNUMBER(IFERROR(SEARCH('PLANILLA DJ'!$X$40,$A98,1),""))</f>
        <v>1</v>
      </c>
      <c r="AR98" s="207">
        <f>--ISNUMBER(IFERROR(SEARCH('PLANILLA DJ'!$X$41,$A98,1),""))</f>
        <v>1</v>
      </c>
      <c r="AS98" s="207">
        <f>--ISNUMBER(IFERROR(SEARCH('PLANILLA DJ'!$X$42,$A98,1),""))</f>
        <v>1</v>
      </c>
      <c r="AT98" s="207">
        <f>--ISNUMBER(IFERROR(SEARCH('PLANILLA DJ'!$X$43,$A98,1),""))</f>
        <v>1</v>
      </c>
      <c r="AU98" s="207">
        <f>--ISNUMBER(IFERROR(SEARCH('PLANILLA DJ'!$X$44,$A98,1),""))</f>
        <v>1</v>
      </c>
      <c r="AV98" s="207">
        <f>--ISNUMBER(IFERROR(SEARCH('PLANILLA DJ'!$X$45,$A98,1),""))</f>
        <v>1</v>
      </c>
      <c r="AW98" s="207">
        <f>--ISNUMBER(IFERROR(SEARCH('PLANILLA DJ'!$X$46,$A98,1),""))</f>
        <v>1</v>
      </c>
      <c r="AX98" s="207">
        <f>--ISNUMBER(IFERROR(SEARCH('PLANILLA DJ'!$X$47,$A98,1),""))</f>
        <v>1</v>
      </c>
      <c r="AY98" s="207">
        <f>--ISNUMBER(IFERROR(SEARCH('PLANILLA DJ'!$X$48,$A98,1),""))</f>
        <v>1</v>
      </c>
      <c r="AZ98" s="207">
        <f>--ISNUMBER(IFERROR(SEARCH('PLANILLA DJ'!$X$49,$A98,1),""))</f>
        <v>1</v>
      </c>
      <c r="BA98" s="207">
        <f>--ISNUMBER(IFERROR(SEARCH('PLANILLA DJ'!$X$50,$A98,1),""))</f>
        <v>1</v>
      </c>
      <c r="BB98" s="207">
        <f>--ISNUMBER(IFERROR(SEARCH('PLANILLA DJ'!$X$51,$A98,1),""))</f>
        <v>1</v>
      </c>
      <c r="BC98" s="207">
        <f>--ISNUMBER(IFERROR(SEARCH('PLANILLA DJ'!$X$52,$A98,1),""))</f>
        <v>1</v>
      </c>
      <c r="BD98" s="207">
        <f>--ISNUMBER(IFERROR(SEARCH('PLANILLA DJ'!$X$53,$A98,1),""))</f>
        <v>1</v>
      </c>
      <c r="BE98" s="207">
        <f>--ISNUMBER(IFERROR(SEARCH('PLANILLA DJ'!$X$54,$A98,1),""))</f>
        <v>1</v>
      </c>
      <c r="BF98" s="207">
        <f>--ISNUMBER(IFERROR(SEARCH('PLANILLA DJ'!$X$55,$A98,1),""))</f>
        <v>1</v>
      </c>
      <c r="BG98" s="207">
        <f>--ISNUMBER(IFERROR(SEARCH('PLANILLA DJ'!$X$56,$A98,1),""))</f>
        <v>1</v>
      </c>
      <c r="BH98" s="207">
        <f>--ISNUMBER(IFERROR(SEARCH('PLANILLA DJ'!$X$57,$A98,1),""))</f>
        <v>1</v>
      </c>
      <c r="BI98" s="207">
        <f>--ISNUMBER(IFERROR(SEARCH('PLANILLA DJ'!$X$58,$A98,1),""))</f>
        <v>1</v>
      </c>
      <c r="BJ98" s="207">
        <f>--ISNUMBER(IFERROR(SEARCH('PLANILLA DJ'!$X$59,$A98,1),""))</f>
        <v>1</v>
      </c>
      <c r="BK98" s="207">
        <f>--ISNUMBER(IFERROR(SEARCH('PLANILLA DJ'!$X$60,$A98,1),""))</f>
        <v>1</v>
      </c>
      <c r="BL98" s="207">
        <f>--ISNUMBER(IFERROR(SEARCH('PLANILLA DJ'!$X$61,$A98,1),""))</f>
        <v>1</v>
      </c>
      <c r="BM98" s="207">
        <f>--ISNUMBER(IFERROR(SEARCH('PLANILLA DJ'!$X$62,$A98,1),""))</f>
        <v>1</v>
      </c>
      <c r="BN98" s="207">
        <f>--ISNUMBER(IFERROR(SEARCH('PLANILLA DJ'!$X$63,$A98,1),""))</f>
        <v>1</v>
      </c>
      <c r="BO98" s="207">
        <f>--ISNUMBER(IFERROR(SEARCH('PLANILLA DJ'!$X$64,$A98,1),""))</f>
        <v>1</v>
      </c>
      <c r="BP98" s="207">
        <f>--ISNUMBER(IFERROR(SEARCH('PLANILLA DJ'!$X$65,$A98,1),""))</f>
        <v>1</v>
      </c>
      <c r="BQ98" s="207">
        <f>--ISNUMBER(IFERROR(SEARCH('PLANILLA DJ'!$X$66,$A98,1),""))</f>
        <v>1</v>
      </c>
      <c r="BR98" s="207">
        <f>--ISNUMBER(IFERROR(SEARCH('PLANILLA DJ'!$X$67,$A98,1),""))</f>
        <v>1</v>
      </c>
      <c r="BS98" s="207">
        <f>--ISNUMBER(IFERROR(SEARCH('PLANILLA DJ'!$X$68,$A98,1),""))</f>
        <v>1</v>
      </c>
      <c r="BT98" s="207">
        <f>--ISNUMBER(IFERROR(SEARCH('PLANILLA DJ'!$X$69,$A98,1),""))</f>
        <v>1</v>
      </c>
      <c r="BU98" s="207">
        <f>--ISNUMBER(IFERROR(SEARCH('PLANILLA DJ'!$X$70,$A98,1),""))</f>
        <v>1</v>
      </c>
      <c r="BV98" s="207">
        <f>--ISNUMBER(IFERROR(SEARCH('PLANILLA DJ'!$X$71,$A98,1),""))</f>
        <v>1</v>
      </c>
      <c r="BW98" s="207">
        <f>--ISNUMBER(IFERROR(SEARCH('PLANILLA DJ'!$X$72,$A98,1),""))</f>
        <v>1</v>
      </c>
      <c r="BX98" s="207">
        <f>--ISNUMBER(IFERROR(SEARCH('PLANILLA DJ'!$X$73,$A98,1),""))</f>
        <v>1</v>
      </c>
      <c r="BY98" s="207">
        <f>--ISNUMBER(IFERROR(SEARCH('PLANILLA DJ'!$X$74,$A98,1),""))</f>
        <v>1</v>
      </c>
      <c r="BZ98" s="207">
        <f>--ISNUMBER(IFERROR(SEARCH('PLANILLA DJ'!$X$75,$A98,1),""))</f>
        <v>1</v>
      </c>
      <c r="CA98" s="207">
        <f>--ISNUMBER(IFERROR(SEARCH('PLANILLA DJ'!$X$76,$A98,1),""))</f>
        <v>1</v>
      </c>
      <c r="CB98" s="207">
        <f>--ISNUMBER(IFERROR(SEARCH('PLANILLA DJ'!$X$77,$A98,1),""))</f>
        <v>1</v>
      </c>
      <c r="CC98" s="207">
        <f>--ISNUMBER(IFERROR(SEARCH('PLANILLA DJ'!$X$78,$A98,1),""))</f>
        <v>1</v>
      </c>
      <c r="CD98" s="207">
        <f>--ISNUMBER(IFERROR(SEARCH('PLANILLA DJ'!$X$79,$A98,1),""))</f>
        <v>1</v>
      </c>
      <c r="CE98" s="207">
        <f>--ISNUMBER(IFERROR(SEARCH('PLANILLA DJ'!$X$80,$A98,1),""))</f>
        <v>1</v>
      </c>
      <c r="CF98" s="207">
        <f>--ISNUMBER(IFERROR(SEARCH('PLANILLA DJ'!$X$81,$A98,1),""))</f>
        <v>1</v>
      </c>
      <c r="CG98" s="207">
        <f>--ISNUMBER(IFERROR(SEARCH('PLANILLA DJ'!$X$82,$A98,1),""))</f>
        <v>1</v>
      </c>
      <c r="CH98" s="207">
        <f>--ISNUMBER(IFERROR(SEARCH('PLANILLA DJ'!$X$83,$A98,1),""))</f>
        <v>1</v>
      </c>
      <c r="CI98" s="207">
        <f>--ISNUMBER(IFERROR(SEARCH('PLANILLA DJ'!$X$84,$A98,1),""))</f>
        <v>1</v>
      </c>
      <c r="CJ98" s="207">
        <f>--ISNUMBER(IFERROR(SEARCH('PLANILLA DJ'!$X$85,$A98,1),""))</f>
        <v>1</v>
      </c>
      <c r="CK98" s="207">
        <f>--ISNUMBER(IFERROR(SEARCH('PLANILLA DJ'!$X$86,$A98,1),""))</f>
        <v>1</v>
      </c>
      <c r="CL98" s="207">
        <f>--ISNUMBER(IFERROR(SEARCH('PLANILLA DJ'!$X$87,$A98,1),""))</f>
        <v>1</v>
      </c>
      <c r="CM98" s="207">
        <f>--ISNUMBER(IFERROR(SEARCH('PLANILLA DJ'!$X$88,$A98,1),""))</f>
        <v>1</v>
      </c>
      <c r="CN98" s="207">
        <f>--ISNUMBER(IFERROR(SEARCH('PLANILLA DJ'!$X$89,$A98,1),""))</f>
        <v>1</v>
      </c>
      <c r="CO98" s="207">
        <f>--ISNUMBER(IFERROR(SEARCH('PLANILLA DJ'!$X$90,$A98,1),""))</f>
        <v>1</v>
      </c>
      <c r="CP98" s="207">
        <f>--ISNUMBER(IFERROR(SEARCH('PLANILLA DJ'!$X$91,$A98,1),""))</f>
        <v>1</v>
      </c>
      <c r="CQ98" s="207">
        <f>--ISNUMBER(IFERROR(SEARCH('PLANILLA DJ'!$X$92,$A98,1),""))</f>
        <v>1</v>
      </c>
      <c r="CR98" s="207">
        <f>--ISNUMBER(IFERROR(SEARCH('PLANILLA DJ'!$X$93,$A98,1),""))</f>
        <v>1</v>
      </c>
      <c r="CS98" s="207">
        <f>--ISNUMBER(IFERROR(SEARCH('PLANILLA DJ'!$X$94,$A98,1),""))</f>
        <v>1</v>
      </c>
      <c r="CT98" s="207">
        <f>--ISNUMBER(IFERROR(SEARCH('PLANILLA DJ'!$X$95,$A98,1),""))</f>
        <v>1</v>
      </c>
      <c r="CU98" s="207">
        <f>--ISNUMBER(IFERROR(SEARCH('PLANILLA DJ'!$X$96,$A98,1),""))</f>
        <v>1</v>
      </c>
      <c r="CV98" s="207">
        <f>--ISNUMBER(IFERROR(SEARCH('PLANILLA DJ'!$X$97,$A98,1),""))</f>
        <v>1</v>
      </c>
      <c r="CW98" s="207">
        <f>--ISNUMBER(IFERROR(SEARCH('PLANILLA DJ'!$X$98,$A98,1),""))</f>
        <v>1</v>
      </c>
      <c r="CX98" s="207">
        <f>--ISNUMBER(IFERROR(SEARCH('PLANILLA DJ'!$X$99,$A98,1),""))</f>
        <v>1</v>
      </c>
      <c r="CY98" s="207">
        <f>--ISNUMBER(IFERROR(SEARCH('PLANILLA DJ'!$X$100,$A98,1),""))</f>
        <v>1</v>
      </c>
      <c r="CZ98" s="207">
        <f>--ISNUMBER(IFERROR(SEARCH('PLANILLA DJ'!$X$101,$A98,1),""))</f>
        <v>1</v>
      </c>
      <c r="DA98" s="207">
        <f>--ISNUMBER(IFERROR(SEARCH('PLANILLA DJ'!$X$102,$A98,1),""))</f>
        <v>1</v>
      </c>
      <c r="DB98" s="206">
        <f>IF(F98=1,COUNTIF($F$2:F98,1),"")</f>
        <v>97</v>
      </c>
      <c r="DC98" s="206">
        <f>IF(G98=1,COUNTIF($G$2:G98,1),"")</f>
        <v>97</v>
      </c>
      <c r="DD98" s="206">
        <f>IF(H98=1,COUNTIF($H$2:H98,1),"")</f>
        <v>97</v>
      </c>
      <c r="DE98" s="206">
        <f>IF(I98=1,COUNTIF($I$2:I98,1),"")</f>
        <v>97</v>
      </c>
      <c r="DF98" s="206">
        <f>IF(J98=1,COUNTIF($J$2:J98,1),"")</f>
        <v>97</v>
      </c>
      <c r="DG98" s="206">
        <f>IF(K98=1,COUNTIF($K$2:K98,1),"")</f>
        <v>97</v>
      </c>
      <c r="DH98" s="206">
        <f>IF(L98=1,COUNTIF($L$2:L98,1),"")</f>
        <v>97</v>
      </c>
      <c r="DI98" s="206">
        <f>IF(M98=1,COUNTIF($M$2:M98,1),"")</f>
        <v>97</v>
      </c>
      <c r="DJ98" s="206">
        <f>IF(N98=1,COUNTIF($N$2:N98,1),"")</f>
        <v>97</v>
      </c>
      <c r="DK98" s="206">
        <f>IF(O98=1,COUNTIF($O$2:O98,1),"")</f>
        <v>97</v>
      </c>
      <c r="DL98" s="206">
        <f>IF(P98=1,COUNTIF($P$2:P98,1),"")</f>
        <v>97</v>
      </c>
      <c r="DM98" s="206">
        <f>IF(Q98=1,COUNTIF($Q$2:Q98,1),"")</f>
        <v>97</v>
      </c>
      <c r="DN98" s="207">
        <f>IF(R98=1,COUNTIF($R$2:R98,1),"")</f>
        <v>97</v>
      </c>
      <c r="DO98" s="207">
        <f>IF(S98=1,COUNTIF($S$2:S98,1),"")</f>
        <v>97</v>
      </c>
      <c r="DP98" s="207">
        <f>IF(T98=1,COUNTIF($T$2:T98,1),"")</f>
        <v>97</v>
      </c>
      <c r="DQ98" s="207">
        <f>IF(U98=1,COUNTIF($U$2:U98,1),"")</f>
        <v>97</v>
      </c>
      <c r="DR98" s="207">
        <f>IF(V98=1,COUNTIF($V$2:V98,1),"")</f>
        <v>97</v>
      </c>
      <c r="DS98" s="207">
        <f>IF(W98=1,COUNTIF($W$2:W98,1),"")</f>
        <v>97</v>
      </c>
      <c r="DT98" s="207">
        <f>IF(X98=1,COUNTIF($X$2:X98,1),"")</f>
        <v>97</v>
      </c>
      <c r="DU98" s="207">
        <f>IF(Y98=1,COUNTIF($Y$2:Y98,1),"")</f>
        <v>97</v>
      </c>
      <c r="DV98" s="207">
        <f>IF(Z98=1,COUNTIF(Z$2:Z98,1),"")</f>
        <v>97</v>
      </c>
      <c r="DW98" s="207">
        <f>IF(AA98=1,COUNTIF($AA$2:AA98,1),"")</f>
        <v>97</v>
      </c>
      <c r="DX98" s="207">
        <f>IF(AB98=1,COUNTIF($AB$2:AB98,1),"")</f>
        <v>97</v>
      </c>
      <c r="DY98" s="207">
        <f>IF(AC98=1,COUNTIF($AC$2:AC98,1),"")</f>
        <v>97</v>
      </c>
      <c r="DZ98" s="207">
        <f>IF(AD98=1,COUNTIF($AD$2:AD98,1),"")</f>
        <v>97</v>
      </c>
      <c r="EA98" s="207">
        <f>IF(AE98=1,COUNTIF($AE$2:AE98,1),"")</f>
        <v>97</v>
      </c>
      <c r="EB98" s="207">
        <f>IF(AF98=1,COUNTIF($AF$2:AF98,1),"")</f>
        <v>97</v>
      </c>
      <c r="EC98" s="207">
        <f>IF(AG98=1,COUNTIF($AG$2:AG98,1),"")</f>
        <v>97</v>
      </c>
      <c r="ED98" s="207">
        <f>IF(AH98=1,COUNTIF($AH$2:AH98,1),"")</f>
        <v>97</v>
      </c>
      <c r="EE98" s="207">
        <f>IF(AI98=1,COUNTIF($AI$2:AI98,1),"")</f>
        <v>97</v>
      </c>
      <c r="EF98" s="207">
        <f>IF(AJ98=1,COUNTIF($AJ$2:AJ98,1),"")</f>
        <v>97</v>
      </c>
      <c r="EG98" s="207">
        <f>IF(AK98=1,COUNTIF($AK$2:AK98,1),"")</f>
        <v>97</v>
      </c>
      <c r="EH98" s="207">
        <f>IF(AL98=1,COUNTIF($AL$2:AL98,1),"")</f>
        <v>97</v>
      </c>
      <c r="EI98" s="207">
        <f>IF(AM98=1,COUNTIF($AM$2:AM98,1),"")</f>
        <v>97</v>
      </c>
      <c r="EJ98" s="207">
        <f>IF(AN98=1,COUNTIF($AN$2:AN98,1),"")</f>
        <v>97</v>
      </c>
      <c r="EK98" s="207">
        <f>IF(AO98=1,COUNTIF($AO$2:AO98,1),"")</f>
        <v>97</v>
      </c>
      <c r="EL98" s="207">
        <f>IF(AP98=1,COUNTIF($AP$2:AP98,1),"")</f>
        <v>97</v>
      </c>
      <c r="EM98" s="207">
        <f>IF(AQ98=1,COUNTIF($AQ$2:AQ98,1),"")</f>
        <v>97</v>
      </c>
      <c r="EN98" s="207">
        <f>IF(AR98=1,COUNTIF($AR$2:AR98,1),"")</f>
        <v>97</v>
      </c>
      <c r="EO98" s="207">
        <f>IF(AS98=1,COUNTIF($AS$2:AS98,1),"")</f>
        <v>97</v>
      </c>
      <c r="EP98" s="207">
        <f>IF(AT98=1,COUNTIF($AT$2:AT98,1),"")</f>
        <v>97</v>
      </c>
      <c r="EQ98" s="207">
        <f>IF(AU98=1,COUNTIF($AU$2:AU98,1),"")</f>
        <v>97</v>
      </c>
      <c r="ER98" s="207">
        <f>IF(AV98=1,COUNTIF($AV$2:AV98,1),"")</f>
        <v>97</v>
      </c>
      <c r="ES98" s="207">
        <f>IF(AW98=1,COUNTIF($AW$2:AW98,1),"")</f>
        <v>97</v>
      </c>
      <c r="ET98" s="207">
        <f>IF(AX98=1,COUNTIF($AX$2:AX98,1),"")</f>
        <v>97</v>
      </c>
      <c r="EU98" s="207">
        <f>IF(AY98=1,COUNTIF($AY$2:AY98,1),"")</f>
        <v>97</v>
      </c>
      <c r="EV98" s="207">
        <f>IF(AZ98=1,COUNTIF($AZ$2:AZ98,1),"")</f>
        <v>97</v>
      </c>
      <c r="EW98" s="207">
        <f>IF(BA98=1,COUNTIF($BA$2:BA98,1),"")</f>
        <v>97</v>
      </c>
      <c r="EX98" s="207">
        <f>IF(BB98=1,COUNTIF($BB$2:BB98,1),"")</f>
        <v>97</v>
      </c>
      <c r="EY98" s="207">
        <f>IF(BC98=1,COUNTIF($BC$2:BC98,1),"")</f>
        <v>97</v>
      </c>
      <c r="EZ98" s="207">
        <f>IF(BD98=1,COUNTIF($BD$2:BD98,1),"")</f>
        <v>97</v>
      </c>
      <c r="FA98" s="207">
        <f>IF(BE98=1,COUNTIF($BE$2:BE98,1),"")</f>
        <v>97</v>
      </c>
      <c r="FB98" s="207">
        <f>IF(BF98=1,COUNTIF($BF$2:BF98,1),"")</f>
        <v>97</v>
      </c>
      <c r="FC98" s="207">
        <f>IF(BG98=1,COUNTIF($BG$2:BG98,1),"")</f>
        <v>97</v>
      </c>
      <c r="FD98" s="207">
        <f>IF(BH98=1,COUNTIF($BH$2:BH98,1),"")</f>
        <v>97</v>
      </c>
      <c r="FE98" s="207">
        <f>IF(BI98=1,COUNTIF($BI$2:BI98,1),"")</f>
        <v>97</v>
      </c>
      <c r="FF98" s="207">
        <f>IF(BJ98=1,COUNTIF($BJ$2:BJ98,1),"")</f>
        <v>97</v>
      </c>
      <c r="FG98" s="207">
        <f>IF(BK98=1,COUNTIF($BK$2:BK98,1),"")</f>
        <v>97</v>
      </c>
      <c r="FH98" s="207">
        <f>IF(BL98=1,COUNTIF($BL$2:BL98,1),"")</f>
        <v>97</v>
      </c>
      <c r="FI98" s="207">
        <f>IF(BM98=1,COUNTIF($BM$2:BM98,1),"")</f>
        <v>97</v>
      </c>
      <c r="FJ98" s="207">
        <f>IF(BN98=1,COUNTIF($BN$2:BN98,1),"")</f>
        <v>97</v>
      </c>
      <c r="FK98" s="207">
        <f>IF(BO98=1,COUNTIF($BO$2:BO98,1),"")</f>
        <v>97</v>
      </c>
      <c r="FL98" s="207">
        <f>IF(BP98=1,COUNTIF($BP$2:BP98,1),"")</f>
        <v>97</v>
      </c>
      <c r="FM98" s="207">
        <f>IF(BQ98=1,COUNTIF($BQ$2:BQ98,1),"")</f>
        <v>97</v>
      </c>
      <c r="FN98" s="207">
        <f>IF(BR98=1,COUNTIF($BR$2:BR98,1),"")</f>
        <v>97</v>
      </c>
      <c r="FO98" s="207">
        <f>IF(BS98=1,COUNTIF($BS$2:BS98,1),"")</f>
        <v>97</v>
      </c>
      <c r="FP98" s="207">
        <f>IF(BT98=1,COUNTIF($BT$2:BT98,1),"")</f>
        <v>97</v>
      </c>
      <c r="FQ98" s="207">
        <f>IF(BU98=1,COUNTIF($BU$2:BU98,1),"")</f>
        <v>97</v>
      </c>
      <c r="FR98" s="207">
        <f>IF(BV98=1,COUNTIF($BV$2:BV98,1),"")</f>
        <v>97</v>
      </c>
      <c r="FS98" s="207">
        <f>IF(BW98=1,COUNTIF($BW$2:BW98,1),"")</f>
        <v>97</v>
      </c>
      <c r="FT98" s="207">
        <f>IF(BX98=1,COUNTIF($BX$2:BX98,1),"")</f>
        <v>97</v>
      </c>
      <c r="FU98" s="207">
        <f>IF(BY98=1,COUNTIF($BY$2:BY98,1),"")</f>
        <v>97</v>
      </c>
      <c r="FV98" s="207">
        <f>IF(BZ98=1,COUNTIF($BZ$2:BZ98,1),"")</f>
        <v>97</v>
      </c>
      <c r="FW98" s="207">
        <f>IF(CA98=1,COUNTIF($CA$2:CA98,1),"")</f>
        <v>97</v>
      </c>
      <c r="FX98" s="207">
        <f>IF(CB98=1,COUNTIF($CB$2:CB98,1),"")</f>
        <v>97</v>
      </c>
      <c r="FY98" s="207">
        <f>IF(CC98=1,COUNTIF($CC$2:CC98,1),"")</f>
        <v>97</v>
      </c>
      <c r="FZ98" s="207">
        <f>IF(CD98=1,COUNTIF($CD$2:CD98,1),"")</f>
        <v>97</v>
      </c>
      <c r="GA98" s="207">
        <f>IF(CE98=1,COUNTIF($CE$2:CE98,1),"")</f>
        <v>97</v>
      </c>
      <c r="GB98" s="207">
        <f>IF(CF98=1,COUNTIF($CF$2:CF98,1),"")</f>
        <v>97</v>
      </c>
      <c r="GC98" s="207">
        <f>IF(CG98=1,COUNTIF($CG$2:CG98,1),"")</f>
        <v>97</v>
      </c>
      <c r="GD98" s="207">
        <f>IF(CH98=1,COUNTIF($CH$2:CH98,1),"")</f>
        <v>97</v>
      </c>
      <c r="GE98" s="207">
        <f>IF(CI98=1,COUNTIF($CI$2:CI98,1),"")</f>
        <v>97</v>
      </c>
      <c r="GF98" s="207">
        <f>IF(CJ98=1,COUNTIF($CJ$2:CJ98,1),"")</f>
        <v>97</v>
      </c>
      <c r="GG98" s="207">
        <f>IF(CK98=1,COUNTIF($CK$2:CK98,1),"")</f>
        <v>97</v>
      </c>
      <c r="GH98" s="207">
        <f>IF(CL98=1,COUNTIF($CL$2:CL98,1),"")</f>
        <v>97</v>
      </c>
      <c r="GI98" s="207">
        <f>IF(CM98=1,COUNTIF($CM$2:CM98,1),"")</f>
        <v>97</v>
      </c>
      <c r="GJ98" s="207">
        <f>IF(CN98=1,COUNTIF($CN$2:CN98,1),"")</f>
        <v>97</v>
      </c>
      <c r="GK98" s="207">
        <f>IF(CO98=1,COUNTIF($CO$2:CO98,1),"")</f>
        <v>97</v>
      </c>
      <c r="GL98" s="207">
        <f>IF(CP98=1,COUNTIF($CP$2:CP98,1),"")</f>
        <v>97</v>
      </c>
      <c r="GM98" s="207">
        <f>IF(CQ98=1,COUNTIF($CQ$2:CQ98,1),"")</f>
        <v>97</v>
      </c>
      <c r="GN98" s="207">
        <f>IF(CR98=1,COUNTIF($CR$2:CR98,1),"")</f>
        <v>97</v>
      </c>
      <c r="GO98" s="207">
        <f>IF(CS98=1,COUNTIF($CS$2:CS98,1),"")</f>
        <v>97</v>
      </c>
      <c r="GP98" s="207">
        <f>IF(CT98=1,COUNTIF($CT$2:CT98,1),"")</f>
        <v>97</v>
      </c>
      <c r="GQ98" s="207">
        <f>IF(CU98=1,COUNTIF($CU$2:CU98,1),"")</f>
        <v>97</v>
      </c>
      <c r="GR98" s="207">
        <f>IF(CV98=1,COUNTIF($CV$2:CV98,1),"")</f>
        <v>97</v>
      </c>
      <c r="GS98" s="207">
        <f>IF(CW98=1,COUNTIF($CW$2:CW98,1),"")</f>
        <v>97</v>
      </c>
      <c r="GT98" s="207">
        <f>IF(CX98=1,COUNTIF($CX$2:CX98,1),"")</f>
        <v>97</v>
      </c>
      <c r="GU98" s="207">
        <f>IF(CY98=1,COUNTIF($CY$2:CY98,1),"")</f>
        <v>97</v>
      </c>
      <c r="GV98" s="207">
        <f>IF(CZ98=1,COUNTIF($CZ$2:CZ98,1),"")</f>
        <v>97</v>
      </c>
      <c r="GW98" s="207">
        <f>IF(DA98=1,COUNTIF($DA$2:DA98,1),"")</f>
        <v>97</v>
      </c>
      <c r="GX98" s="206" t="str">
        <f>IFERROR(INDEX($A$2:$A$113,MATCH(ROWS($DB$2:DB98),$DB$2:$DB$113,0)),"")</f>
        <v>TENENCIA SIMPLE ATENUADA PARA USO PERSONAL DE ESTUPEFACIENTES</v>
      </c>
      <c r="GY98" s="206" t="str">
        <f>IFERROR(INDEX($A$2:$A$113,MATCH(ROWS($DC$2:DC98),$DC$2:$DC$113,0)),"")</f>
        <v>TENENCIA SIMPLE ATENUADA PARA USO PERSONAL DE ESTUPEFACIENTES</v>
      </c>
      <c r="GZ98" s="206" t="str">
        <f>IFERROR(INDEX($A$2:$A$113,MATCH(ROWS($DD$2:DD98),$DD$2:$DD$113,0)),"")</f>
        <v>TENENCIA SIMPLE ATENUADA PARA USO PERSONAL DE ESTUPEFACIENTES</v>
      </c>
      <c r="HA98" s="206" t="str">
        <f>IFERROR(INDEX($A$2:$A$113,MATCH(ROWS($DE$2:DE98),$DE$2:$DE$113,0)),"")</f>
        <v>TENENCIA SIMPLE ATENUADA PARA USO PERSONAL DE ESTUPEFACIENTES</v>
      </c>
      <c r="HB98" s="206" t="str">
        <f>IFERROR(INDEX($A$2:$A$113,MATCH(ROWS($DF$2:DF98),$DF$2:$DF$113,0)),"")</f>
        <v>TENENCIA SIMPLE ATENUADA PARA USO PERSONAL DE ESTUPEFACIENTES</v>
      </c>
      <c r="HC98" s="206" t="str">
        <f>IFERROR(INDEX($A$2:$A$113,MATCH(ROWS($DG$2:DG98),$DG$2:$DG$113,0)),"")</f>
        <v>TENENCIA SIMPLE ATENUADA PARA USO PERSONAL DE ESTUPEFACIENTES</v>
      </c>
      <c r="HD98" s="206" t="str">
        <f>IFERROR(INDEX($A$2:$A$113,MATCH(ROWS($DH$2:DH98),$DH$2:$DH$113,0)),"")</f>
        <v>TENENCIA SIMPLE ATENUADA PARA USO PERSONAL DE ESTUPEFACIENTES</v>
      </c>
      <c r="HE98" s="206" t="str">
        <f>IFERROR(INDEX($A$2:$A$113,MATCH(ROWS($DI$2:DI98),$DI$2:$DI$113,0)),"")</f>
        <v>TENENCIA SIMPLE ATENUADA PARA USO PERSONAL DE ESTUPEFACIENTES</v>
      </c>
      <c r="HF98" s="206" t="str">
        <f>IFERROR(INDEX($A$2:$A$113,MATCH(ROWS($DJ$2:DJ98),$DJ$2:$DJ$113,0)),"")</f>
        <v>TENENCIA SIMPLE ATENUADA PARA USO PERSONAL DE ESTUPEFACIENTES</v>
      </c>
      <c r="HG98" s="206" t="str">
        <f>IFERROR(INDEX($A$2:$A$113,MATCH(ROWS($DK$2:DK98),$DK$2:$DK$113,0)),"")</f>
        <v>TENENCIA SIMPLE ATENUADA PARA USO PERSONAL DE ESTUPEFACIENTES</v>
      </c>
      <c r="HH98" s="206" t="str">
        <f>IFERROR(INDEX($A$2:$A$113,MATCH(ROWS($DL$2:DL98),$DL$2:$DL$113,0)),"")</f>
        <v>TENENCIA SIMPLE ATENUADA PARA USO PERSONAL DE ESTUPEFACIENTES</v>
      </c>
      <c r="HI98" s="206" t="str">
        <f>IFERROR(INDEX($A$2:$A$113,MATCH(ROWS($DM$2:DM98),$DM$2:$DM$113,0)),"")</f>
        <v>TENENCIA SIMPLE ATENUADA PARA USO PERSONAL DE ESTUPEFACIENTES</v>
      </c>
      <c r="HJ98" s="206" t="str">
        <f>IFERROR(INDEX($A$2:$A$113,MATCH(ROWS($DN$2:DN98),$DN$2:$DN$113,0)),"")</f>
        <v>TENENCIA SIMPLE ATENUADA PARA USO PERSONAL DE ESTUPEFACIENTES</v>
      </c>
      <c r="HK98" s="206" t="str">
        <f>IFERROR(INDEX($A$2:$A$113,MATCH(ROWS($DO$2:DO98),$DO$2:$DO$113,0)),"")</f>
        <v>TENENCIA SIMPLE ATENUADA PARA USO PERSONAL DE ESTUPEFACIENTES</v>
      </c>
      <c r="HL98" s="206" t="str">
        <f>IFERROR(INDEX($A$2:$A$113,MATCH(ROWS($DP$2:DP98),$DP$2:$DP$113,0)),"")</f>
        <v>TENENCIA SIMPLE ATENUADA PARA USO PERSONAL DE ESTUPEFACIENTES</v>
      </c>
      <c r="HM98" s="206" t="str">
        <f>IFERROR(INDEX($A$2:$A$113,MATCH(ROWS($DQ$2:DQ98),$DQ$2:$DQ$113,0)),"")</f>
        <v>TENENCIA SIMPLE ATENUADA PARA USO PERSONAL DE ESTUPEFACIENTES</v>
      </c>
      <c r="HN98" s="206" t="str">
        <f>IFERROR(INDEX($A$2:$A$113,MATCH(ROWS($DR$2:DR98),$DR$2:$DR$113,0)),"")</f>
        <v>TENENCIA SIMPLE ATENUADA PARA USO PERSONAL DE ESTUPEFACIENTES</v>
      </c>
      <c r="HO98" s="206" t="str">
        <f>IFERROR(INDEX($A$2:$A$113,MATCH(ROWS($DS$2:DS98),$DS$2:$DS$113,0)),"")</f>
        <v>TENENCIA SIMPLE ATENUADA PARA USO PERSONAL DE ESTUPEFACIENTES</v>
      </c>
      <c r="HP98" s="206" t="str">
        <f>IFERROR(INDEX($A$2:$A$113,MATCH(ROWS($DT$2:DT98),$DT$2:$DT$113,0)),"")</f>
        <v>TENENCIA SIMPLE ATENUADA PARA USO PERSONAL DE ESTUPEFACIENTES</v>
      </c>
      <c r="HQ98" s="206" t="str">
        <f>IFERROR(INDEX($A$2:$A$113,MATCH(ROWS($DU$2:DU98),$DU$2:$DU$113,0)),"")</f>
        <v>TENENCIA SIMPLE ATENUADA PARA USO PERSONAL DE ESTUPEFACIENTES</v>
      </c>
      <c r="HR98" s="206" t="str">
        <f>IFERROR(INDEX($A$2:$A$113,MATCH(ROWS($DV$2:DV98),$DV$2:$DV$113,0)),"")</f>
        <v>TENENCIA SIMPLE ATENUADA PARA USO PERSONAL DE ESTUPEFACIENTES</v>
      </c>
      <c r="HS98" s="206" t="str">
        <f>IFERROR(INDEX($A$2:$A$113,MATCH(ROWS($DW$2:DW98),$DW$2:$DW$113,0)),"")</f>
        <v>TENENCIA SIMPLE ATENUADA PARA USO PERSONAL DE ESTUPEFACIENTES</v>
      </c>
      <c r="HT98" s="206" t="str">
        <f>IFERROR(INDEX($A$2:$A$113,MATCH(ROWS($DX$2:DX98),$DX$2:$DX$113,0)),"")</f>
        <v>TENENCIA SIMPLE ATENUADA PARA USO PERSONAL DE ESTUPEFACIENTES</v>
      </c>
      <c r="HU98" s="206" t="str">
        <f>IFERROR(INDEX($A$2:$A$113,MATCH(ROWS($DY$2:DY98),$DY$2:$DY$113,0)),"")</f>
        <v>TENENCIA SIMPLE ATENUADA PARA USO PERSONAL DE ESTUPEFACIENTES</v>
      </c>
      <c r="HV98" s="206" t="str">
        <f>IFERROR(INDEX($A$2:$A$113,MATCH(ROWS($DZ$2:DZ98),$DZ$2:$DZ$113,0)),"")</f>
        <v>TENENCIA SIMPLE ATENUADA PARA USO PERSONAL DE ESTUPEFACIENTES</v>
      </c>
      <c r="HW98" s="206" t="str">
        <f>IFERROR(INDEX($A$2:$A$113,MATCH(ROWS($EA$2:EA98),$EA$2:$EA$113,0)),"")</f>
        <v>TENENCIA SIMPLE ATENUADA PARA USO PERSONAL DE ESTUPEFACIENTES</v>
      </c>
      <c r="HX98" s="206" t="str">
        <f>IFERROR(INDEX($A$2:$A$113,MATCH(ROWS($EB$2:EB98),$EB$2:$EB$113,0)),"")</f>
        <v>TENENCIA SIMPLE ATENUADA PARA USO PERSONAL DE ESTUPEFACIENTES</v>
      </c>
      <c r="HY98" s="206" t="str">
        <f>IFERROR(INDEX($A$2:$A$113,MATCH(ROWS($EC$2:EC98),$EC$2:$EC$113,0)),"")</f>
        <v>TENENCIA SIMPLE ATENUADA PARA USO PERSONAL DE ESTUPEFACIENTES</v>
      </c>
      <c r="HZ98" s="206" t="str">
        <f>IFERROR(INDEX($A$2:$A$113,MATCH(ROWS($ED$2:ED98),$ED$2:$ED$113,0)),"")</f>
        <v>TENENCIA SIMPLE ATENUADA PARA USO PERSONAL DE ESTUPEFACIENTES</v>
      </c>
      <c r="IA98" s="206" t="str">
        <f>IFERROR(INDEX($A$2:$A$113,MATCH(ROWS($EE$2:EE98),$EE$2:$EE$113,0)),"")</f>
        <v>TENENCIA SIMPLE ATENUADA PARA USO PERSONAL DE ESTUPEFACIENTES</v>
      </c>
      <c r="IB98" s="206" t="str">
        <f>IFERROR(INDEX($A$2:$A$113,MATCH(ROWS($EF$2:EF98),$EF$2:$EF$113,0)),"")</f>
        <v>TENENCIA SIMPLE ATENUADA PARA USO PERSONAL DE ESTUPEFACIENTES</v>
      </c>
      <c r="IC98" s="206" t="str">
        <f>IFERROR(INDEX($A$2:$A$113,MATCH(ROWS($EG$2:EG98),$EG$2:$EG$113,0)),"")</f>
        <v>TENENCIA SIMPLE ATENUADA PARA USO PERSONAL DE ESTUPEFACIENTES</v>
      </c>
      <c r="ID98" s="206" t="str">
        <f>IFERROR(INDEX($A$2:$A$113,MATCH(ROWS($EH$2:EH98),$EH$2:$EH$113,0)),"")</f>
        <v>TENENCIA SIMPLE ATENUADA PARA USO PERSONAL DE ESTUPEFACIENTES</v>
      </c>
      <c r="IE98" s="206" t="str">
        <f>IFERROR(INDEX($A$2:$A$113,MATCH(ROWS($EI$2:EI98),$EI$2:$EI$113,0)),"")</f>
        <v>TENENCIA SIMPLE ATENUADA PARA USO PERSONAL DE ESTUPEFACIENTES</v>
      </c>
      <c r="IF98" s="206" t="str">
        <f>IFERROR(INDEX($A$2:$A$113,MATCH(ROWS($EJ$2:EJ98),$EJ$2:$EJ$113,0)),"")</f>
        <v>TENENCIA SIMPLE ATENUADA PARA USO PERSONAL DE ESTUPEFACIENTES</v>
      </c>
      <c r="IG98" s="206" t="str">
        <f>IFERROR(INDEX($A$2:$A$113,MATCH(ROWS($EK$2:EK98),$EK$2:$EK$113,0)),"")</f>
        <v>TENENCIA SIMPLE ATENUADA PARA USO PERSONAL DE ESTUPEFACIENTES</v>
      </c>
      <c r="IH98" s="206" t="str">
        <f>IFERROR(INDEX($A$2:$A$113,MATCH(ROWS($EL$2:EL98),$EL$2:$EL$113,0)),"")</f>
        <v>TENENCIA SIMPLE ATENUADA PARA USO PERSONAL DE ESTUPEFACIENTES</v>
      </c>
      <c r="II98" s="206" t="str">
        <f>IFERROR(INDEX($A$2:$A$113,MATCH(ROWS($EM$2:EM98),$EM$2:$EM$113,0)),"")</f>
        <v>TENENCIA SIMPLE ATENUADA PARA USO PERSONAL DE ESTUPEFACIENTES</v>
      </c>
      <c r="IJ98" s="206" t="str">
        <f>IFERROR(INDEX($A$2:$A$113,MATCH(ROWS($EN$2:EN98),$EN$2:$EN$113,0)),"")</f>
        <v>TENENCIA SIMPLE ATENUADA PARA USO PERSONAL DE ESTUPEFACIENTES</v>
      </c>
      <c r="IK98" s="207" t="str">
        <f>IFERROR(INDEX($A$2:$A$113,MATCH(ROWS($EO$2:EO98),$EO$2:$EO$113,0)),"")</f>
        <v>TENENCIA SIMPLE ATENUADA PARA USO PERSONAL DE ESTUPEFACIENTES</v>
      </c>
      <c r="IL98" s="207" t="str">
        <f>IFERROR(INDEX($A$2:$A$113,MATCH(ROWS($EP$2:EP98),$EP$2:$EP$113,0)),"")</f>
        <v>TENENCIA SIMPLE ATENUADA PARA USO PERSONAL DE ESTUPEFACIENTES</v>
      </c>
      <c r="IM98" s="207" t="str">
        <f>IFERROR(INDEX($A$2:$A$113,MATCH(ROWS($EQ$2:EQ98),$EQ$2:$EQ$113,0)),"")</f>
        <v>TENENCIA SIMPLE ATENUADA PARA USO PERSONAL DE ESTUPEFACIENTES</v>
      </c>
      <c r="IN98" s="207" t="str">
        <f>IFERROR(INDEX($A$2:$A$113,MATCH(ROWS($ER$2:ER98),$ER$2:$ER$113,0)),"")</f>
        <v>TENENCIA SIMPLE ATENUADA PARA USO PERSONAL DE ESTUPEFACIENTES</v>
      </c>
      <c r="IO98" s="207" t="str">
        <f>IFERROR(INDEX($A$2:$A$113,MATCH(ROWS($ES$2:ES98),$ES$2:$ES$113,0)),"")</f>
        <v>TENENCIA SIMPLE ATENUADA PARA USO PERSONAL DE ESTUPEFACIENTES</v>
      </c>
      <c r="IP98" s="207" t="str">
        <f>IFERROR(INDEX($A$2:$A$113,MATCH(ROWS($ET$2:ET98),$ET$2:$ET$113,0)),"")</f>
        <v>TENENCIA SIMPLE ATENUADA PARA USO PERSONAL DE ESTUPEFACIENTES</v>
      </c>
      <c r="IQ98" s="207" t="str">
        <f>IFERROR(INDEX($A$2:$A$113,MATCH(ROWS($EU$2:EU98),$EU$2:$EU$113,0)),"")</f>
        <v>TENENCIA SIMPLE ATENUADA PARA USO PERSONAL DE ESTUPEFACIENTES</v>
      </c>
      <c r="IR98" s="207" t="str">
        <f>IFERROR(INDEX($A$2:$A$113,MATCH(ROWS($EV$2:EV98),$EV$2:$EV$113,0)),"")</f>
        <v>TENENCIA SIMPLE ATENUADA PARA USO PERSONAL DE ESTUPEFACIENTES</v>
      </c>
      <c r="IS98" s="207" t="str">
        <f>IFERROR(INDEX($A$2:$A$113,MATCH(ROWS($EW$2:EW98),$EW$2:$EW$113,0)),"")</f>
        <v>TENENCIA SIMPLE ATENUADA PARA USO PERSONAL DE ESTUPEFACIENTES</v>
      </c>
      <c r="IT98" s="207" t="str">
        <f>IFERROR(INDEX($A$2:$A$113,MATCH(ROWS($EX$2:EX98),$EX$2:$EX$113,0)),"")</f>
        <v>TENENCIA SIMPLE ATENUADA PARA USO PERSONAL DE ESTUPEFACIENTES</v>
      </c>
      <c r="IU98" s="207" t="str">
        <f>IFERROR(INDEX($A$2:$A$113,MATCH(ROWS($EY$2:EY98),$EY$2:$EY$113,0)),"")</f>
        <v>TENENCIA SIMPLE ATENUADA PARA USO PERSONAL DE ESTUPEFACIENTES</v>
      </c>
      <c r="IV98" s="207" t="str">
        <f>IFERROR(INDEX($A$2:$A$113,MATCH(ROWS($EZ$2:EZ98),$EZ$2:$EZ$113,0)),"")</f>
        <v>TENENCIA SIMPLE ATENUADA PARA USO PERSONAL DE ESTUPEFACIENTES</v>
      </c>
      <c r="IW98" s="207" t="str">
        <f>IFERROR(INDEX($A$2:$A$113,MATCH(ROWS($FA$2:FA98),$FA$2:$FA$113,0)),"")</f>
        <v>TENENCIA SIMPLE ATENUADA PARA USO PERSONAL DE ESTUPEFACIENTES</v>
      </c>
      <c r="IX98" s="207" t="str">
        <f>IFERROR(INDEX($A$2:$A$113,MATCH(ROWS($FB$2:FB98),$FB$2:$FB$113,0)),"")</f>
        <v>TENENCIA SIMPLE ATENUADA PARA USO PERSONAL DE ESTUPEFACIENTES</v>
      </c>
      <c r="IY98" s="207" t="str">
        <f>IFERROR(INDEX($A$2:$A$113,MATCH(ROWS($FC$2:FC98),$FC$2:$FC$113,0)),"")</f>
        <v>TENENCIA SIMPLE ATENUADA PARA USO PERSONAL DE ESTUPEFACIENTES</v>
      </c>
      <c r="IZ98" s="207" t="str">
        <f>IFERROR(INDEX($A$2:$A$113,MATCH(ROWS($FD$2:FD98),$FD$2:$FD$113,0)),"")</f>
        <v>TENENCIA SIMPLE ATENUADA PARA USO PERSONAL DE ESTUPEFACIENTES</v>
      </c>
      <c r="JA98" s="207" t="str">
        <f>IFERROR(INDEX($A$2:$A$113,MATCH(ROWS($FE$2:FE98),$FE$2:$FE$113,0)),"")</f>
        <v>TENENCIA SIMPLE ATENUADA PARA USO PERSONAL DE ESTUPEFACIENTES</v>
      </c>
      <c r="JB98" s="207" t="str">
        <f>IFERROR(INDEX($A$2:$A$113,MATCH(ROWS($FF$2:FF98),$FF$2:$FF$113,0)),"")</f>
        <v>TENENCIA SIMPLE ATENUADA PARA USO PERSONAL DE ESTUPEFACIENTES</v>
      </c>
      <c r="JC98" s="207" t="str">
        <f>IFERROR(INDEX($A$2:$A$113,MATCH(ROWS($FG$2:FG98),$FG$2:$FG$113,0)),"")</f>
        <v>TENENCIA SIMPLE ATENUADA PARA USO PERSONAL DE ESTUPEFACIENTES</v>
      </c>
      <c r="JD98" s="207" t="str">
        <f>IFERROR(INDEX($A$2:$A$113,MATCH(ROWS($FH$2:FH98),$FH$2:$FH$113,0)),"")</f>
        <v>TENENCIA SIMPLE ATENUADA PARA USO PERSONAL DE ESTUPEFACIENTES</v>
      </c>
      <c r="JE98" s="207" t="str">
        <f>IFERROR(INDEX($A$2:$A$113,MATCH(ROWS($FI$2:FI98),$FI$2:$FI$113,0)),"")</f>
        <v>TENENCIA SIMPLE ATENUADA PARA USO PERSONAL DE ESTUPEFACIENTES</v>
      </c>
      <c r="JF98" s="207" t="str">
        <f>IFERROR(INDEX($A$2:$A$113,MATCH(ROWS($FJ$2:FJ98),$FJ$2:$FJ$113,0)),"")</f>
        <v>TENENCIA SIMPLE ATENUADA PARA USO PERSONAL DE ESTUPEFACIENTES</v>
      </c>
      <c r="JG98" s="207" t="str">
        <f>IFERROR(INDEX($A$2:$A$113,MATCH(ROWS($FK$2:FK98),$FK$2:$FK$113,0)),"")</f>
        <v>TENENCIA SIMPLE ATENUADA PARA USO PERSONAL DE ESTUPEFACIENTES</v>
      </c>
      <c r="JH98" s="207" t="str">
        <f>IFERROR(INDEX($A$2:$A$113,MATCH(ROWS($FL$2:FL98),$FL$2:$FL$113,0)),"")</f>
        <v>TENENCIA SIMPLE ATENUADA PARA USO PERSONAL DE ESTUPEFACIENTES</v>
      </c>
      <c r="JI98" s="207" t="str">
        <f>IFERROR(INDEX($A$2:$A$113,MATCH(ROWS($FM$2:FM98),$FM$2:$FM$113,0)),"")</f>
        <v>TENENCIA SIMPLE ATENUADA PARA USO PERSONAL DE ESTUPEFACIENTES</v>
      </c>
      <c r="JJ98" s="207" t="str">
        <f>IFERROR(INDEX($A$2:$A$113,MATCH(ROWS($FN$2:FN98),$FN$2:$FN$113,0)),"")</f>
        <v>TENENCIA SIMPLE ATENUADA PARA USO PERSONAL DE ESTUPEFACIENTES</v>
      </c>
      <c r="JK98" s="207" t="str">
        <f>IFERROR(INDEX($A$2:$A$113,MATCH(ROWS($FO$2:FO98),$FO$2:$FO$113,0)),"")</f>
        <v>TENENCIA SIMPLE ATENUADA PARA USO PERSONAL DE ESTUPEFACIENTES</v>
      </c>
      <c r="JL98" s="207" t="str">
        <f>IFERROR(INDEX($A$2:$A$113,MATCH(ROWS($FP$2:FP98),$FP$2:$FP$113,0)),"")</f>
        <v>TENENCIA SIMPLE ATENUADA PARA USO PERSONAL DE ESTUPEFACIENTES</v>
      </c>
      <c r="JM98" s="207" t="str">
        <f>IFERROR(INDEX($A$2:$A$113,MATCH(ROWS($FQ$2:FQ98),$FQ$2:$FQ$113,0)),"")</f>
        <v>TENENCIA SIMPLE ATENUADA PARA USO PERSONAL DE ESTUPEFACIENTES</v>
      </c>
      <c r="JN98" s="207" t="str">
        <f>IFERROR(INDEX($A$2:$A$113,MATCH(ROWS($FR$2:FR98),$FR$2:$FR$113,0)),"")</f>
        <v>TENENCIA SIMPLE ATENUADA PARA USO PERSONAL DE ESTUPEFACIENTES</v>
      </c>
      <c r="JO98" s="207" t="str">
        <f>IFERROR(INDEX($A$2:$A$113,MATCH(ROWS($FS$2:FS98),$FS$2:$FS$113,0)),"")</f>
        <v>TENENCIA SIMPLE ATENUADA PARA USO PERSONAL DE ESTUPEFACIENTES</v>
      </c>
      <c r="JP98" s="207" t="str">
        <f>IFERROR(INDEX($A$2:$A$113,MATCH(ROWS($FT$2:FT98),$FT$2:$FT$113,0)),"")</f>
        <v>TENENCIA SIMPLE ATENUADA PARA USO PERSONAL DE ESTUPEFACIENTES</v>
      </c>
      <c r="JQ98" s="207" t="str">
        <f>IFERROR(INDEX($A$2:$A$113,MATCH(ROWS($FU$2:FU98),$FU$2:$FU$113,0)),"")</f>
        <v>TENENCIA SIMPLE ATENUADA PARA USO PERSONAL DE ESTUPEFACIENTES</v>
      </c>
      <c r="JR98" s="207" t="str">
        <f>IFERROR(INDEX($A$2:$A$113,MATCH(ROWS($FV$2:FV98),$FV$2:$FV$113,0)),"")</f>
        <v>TENENCIA SIMPLE ATENUADA PARA USO PERSONAL DE ESTUPEFACIENTES</v>
      </c>
      <c r="JS98" s="207" t="str">
        <f>IFERROR(INDEX($A$2:$A$113,MATCH(ROWS($FW$2:FW98),$FW$2:$FW$113,0)),"")</f>
        <v>TENENCIA SIMPLE ATENUADA PARA USO PERSONAL DE ESTUPEFACIENTES</v>
      </c>
      <c r="JT98" s="207" t="str">
        <f>IFERROR(INDEX($A$2:$A$113,MATCH(ROWS($FX$2:FX98),$FX$2:$FX$113,0)),"")</f>
        <v>TENENCIA SIMPLE ATENUADA PARA USO PERSONAL DE ESTUPEFACIENTES</v>
      </c>
      <c r="JU98" s="207" t="str">
        <f>IFERROR(INDEX($A$2:$A$113,MATCH(ROWS($FY$2:FY98),$FY$2:$FY$113,0)),"")</f>
        <v>TENENCIA SIMPLE ATENUADA PARA USO PERSONAL DE ESTUPEFACIENTES</v>
      </c>
      <c r="JV98" s="207" t="str">
        <f>IFERROR(INDEX($A$2:$A$113,MATCH(ROWS($FZ$2:FZ98),$FZ$2:$FZ$113,0)),"")</f>
        <v>TENENCIA SIMPLE ATENUADA PARA USO PERSONAL DE ESTUPEFACIENTES</v>
      </c>
      <c r="JW98" s="207" t="str">
        <f>IFERROR(INDEX($A$2:$A$113,MATCH(ROWS($GA$2:GA98),$GA$2:$GA$113,0)),"")</f>
        <v>TENENCIA SIMPLE ATENUADA PARA USO PERSONAL DE ESTUPEFACIENTES</v>
      </c>
      <c r="JX98" s="207" t="str">
        <f>IFERROR(INDEX($A$2:$A$113,MATCH(ROWS($GB$2:GB98),$GB$2:$GB$113,0)),"")</f>
        <v>TENENCIA SIMPLE ATENUADA PARA USO PERSONAL DE ESTUPEFACIENTES</v>
      </c>
      <c r="JY98" s="207" t="str">
        <f>IFERROR(INDEX($A$2:$A$113,MATCH(ROWS($GC$2:GC98),$GC$2:$GC$113,0)),"")</f>
        <v>TENENCIA SIMPLE ATENUADA PARA USO PERSONAL DE ESTUPEFACIENTES</v>
      </c>
      <c r="JZ98" s="207" t="str">
        <f>IFERROR(INDEX($A$2:$A$113,MATCH(ROWS($GD$2:GD98),$GD$2:$GD$113,0)),"")</f>
        <v>TENENCIA SIMPLE ATENUADA PARA USO PERSONAL DE ESTUPEFACIENTES</v>
      </c>
      <c r="KA98" s="207" t="str">
        <f>IFERROR(INDEX($A$2:$A$113,MATCH(ROWS($GE$2:GE98),$GE$2:$GE$113,0)),"")</f>
        <v>TENENCIA SIMPLE ATENUADA PARA USO PERSONAL DE ESTUPEFACIENTES</v>
      </c>
      <c r="KB98" s="207" t="str">
        <f>IFERROR(INDEX($A$2:$A$113,MATCH(ROWS($GF$2:GF98),$GF$2:$GF$113,0)),"")</f>
        <v>TENENCIA SIMPLE ATENUADA PARA USO PERSONAL DE ESTUPEFACIENTES</v>
      </c>
      <c r="KC98" s="207" t="str">
        <f>IFERROR(INDEX($A$2:$A$113,MATCH(ROWS($GG$2:GG98),$GG$2:$GG$113,0)),"")</f>
        <v>TENENCIA SIMPLE ATENUADA PARA USO PERSONAL DE ESTUPEFACIENTES</v>
      </c>
      <c r="KD98" s="207" t="str">
        <f>IFERROR(INDEX($A$2:$A$113,MATCH(ROWS($GH$2:GH98),$GH$2:$GH$113,0)),"")</f>
        <v>TENENCIA SIMPLE ATENUADA PARA USO PERSONAL DE ESTUPEFACIENTES</v>
      </c>
      <c r="KE98" s="207" t="str">
        <f>IFERROR(INDEX($A$2:$A$113,MATCH(ROWS($GI$2:GI98),$GI$2:$GI$113,0)),"")</f>
        <v>TENENCIA SIMPLE ATENUADA PARA USO PERSONAL DE ESTUPEFACIENTES</v>
      </c>
      <c r="KF98" s="207" t="str">
        <f>IFERROR(INDEX($A$2:$A$113,MATCH(ROWS($GJ$2:GJ98),$GJ$2:$GJ$113,0)),"")</f>
        <v>TENENCIA SIMPLE ATENUADA PARA USO PERSONAL DE ESTUPEFACIENTES</v>
      </c>
      <c r="KG98" s="207" t="str">
        <f>IFERROR(INDEX($A$2:$A$113,MATCH(ROWS($GK$2:GK98),$GK$2:$GK$113,0)),"")</f>
        <v>TENENCIA SIMPLE ATENUADA PARA USO PERSONAL DE ESTUPEFACIENTES</v>
      </c>
      <c r="KH98" s="207" t="str">
        <f>IFERROR(INDEX($A$2:$A$113,MATCH(ROWS($GL$2:GL98),$GL$2:$GL$113,0)),"")</f>
        <v>TENENCIA SIMPLE ATENUADA PARA USO PERSONAL DE ESTUPEFACIENTES</v>
      </c>
      <c r="KI98" s="207" t="str">
        <f>IFERROR(INDEX($A$2:$A$113,MATCH(ROWS($GM$2:GM98),$GM$2:$GM$113,0)),"")</f>
        <v>TENENCIA SIMPLE ATENUADA PARA USO PERSONAL DE ESTUPEFACIENTES</v>
      </c>
      <c r="KJ98" s="207" t="str">
        <f>IFERROR(INDEX($A$2:$A$113,MATCH(ROWS($GN$2:GN98),$GN$2:$GN$113,0)),"")</f>
        <v>TENENCIA SIMPLE ATENUADA PARA USO PERSONAL DE ESTUPEFACIENTES</v>
      </c>
      <c r="KK98" s="207" t="str">
        <f>IFERROR(INDEX($A$2:$A$113,MATCH(ROWS($GO$2:GO98),$GO$2:$GO$113,0)),"")</f>
        <v>TENENCIA SIMPLE ATENUADA PARA USO PERSONAL DE ESTUPEFACIENTES</v>
      </c>
      <c r="KL98" s="207" t="str">
        <f>IFERROR(INDEX($A$2:$A$113,MATCH(ROWS($GP$2:GP98),$GP$2:$GP$113,0)),"")</f>
        <v>TENENCIA SIMPLE ATENUADA PARA USO PERSONAL DE ESTUPEFACIENTES</v>
      </c>
      <c r="KM98" s="207" t="str">
        <f>IFERROR(INDEX($A$2:$A$113,MATCH(ROWS($GQ$2:GQ98),$GQ$2:$GQ$113,0)),"")</f>
        <v>TENENCIA SIMPLE ATENUADA PARA USO PERSONAL DE ESTUPEFACIENTES</v>
      </c>
      <c r="KN98" s="207" t="str">
        <f>IFERROR(INDEX($A$2:$A$113,MATCH(ROWS($GR$2:GR98),$GR$2:$GR$113,0)),"")</f>
        <v>TENENCIA SIMPLE ATENUADA PARA USO PERSONAL DE ESTUPEFACIENTES</v>
      </c>
      <c r="KO98" s="207" t="str">
        <f>IFERROR(INDEX($A$2:$A$113,MATCH(ROWS($GS$2:GS98),$GS$2:$GS$113,0)),"")</f>
        <v>TENENCIA SIMPLE ATENUADA PARA USO PERSONAL DE ESTUPEFACIENTES</v>
      </c>
      <c r="KP98" s="207" t="str">
        <f>IFERROR(INDEX($A$2:$A$113,MATCH(ROWS($GT$2:GT98),$GT$2:$GT$113,0)),"")</f>
        <v>TENENCIA SIMPLE ATENUADA PARA USO PERSONAL DE ESTUPEFACIENTES</v>
      </c>
      <c r="KQ98" s="207" t="str">
        <f>IFERROR(INDEX($A$2:$A$113,MATCH(ROWS($GU$2:GU98),$GU$2:$GU$113,0)),"")</f>
        <v>TENENCIA SIMPLE ATENUADA PARA USO PERSONAL DE ESTUPEFACIENTES</v>
      </c>
      <c r="KR98" s="207" t="str">
        <f>IFERROR(INDEX($A$2:$A$113,MATCH(ROWS($GV$2:GV98),$GV$2:$GV$113,0)),"")</f>
        <v>TENENCIA SIMPLE ATENUADA PARA USO PERSONAL DE ESTUPEFACIENTES</v>
      </c>
      <c r="KS98" s="207" t="str">
        <f>IFERROR(INDEX($A$2:$A$113,MATCH(ROWS($GW$2:GW98),$GW$2:$GW$113,0)),"")</f>
        <v>TENENCIA SIMPLE ATENUADA PARA USO PERSONAL DE ESTUPEFACIENTES</v>
      </c>
    </row>
    <row r="99" spans="1:305" x14ac:dyDescent="0.25">
      <c r="A99" s="206" t="s">
        <v>915</v>
      </c>
      <c r="B99" s="206" t="s">
        <v>123</v>
      </c>
      <c r="D99" s="206" t="s">
        <v>38</v>
      </c>
      <c r="E99" s="206" t="s">
        <v>116</v>
      </c>
      <c r="F99" s="207">
        <f>--ISNUMBER(IFERROR(SEARCH('PLANILLA DJ'!$X$3,$A99,1),""))</f>
        <v>1</v>
      </c>
      <c r="G99" s="207">
        <f>--ISNUMBER(IFERROR(SEARCH('PLANILLA DJ'!$X$4,$A99,1),""))</f>
        <v>1</v>
      </c>
      <c r="H99" s="207">
        <f>--ISNUMBER(IFERROR(SEARCH('PLANILLA DJ'!$X$5,$A99,1),""))</f>
        <v>1</v>
      </c>
      <c r="I99" s="207">
        <f>--ISNUMBER(IFERROR(SEARCH('PLANILLA DJ'!$X$6,$A99,1),""))</f>
        <v>1</v>
      </c>
      <c r="J99" s="207">
        <f>--ISNUMBER(IFERROR(SEARCH('PLANILLA DJ'!$X$7,$A99,1),""))</f>
        <v>1</v>
      </c>
      <c r="K99" s="207">
        <f>--ISNUMBER(IFERROR(SEARCH('PLANILLA DJ'!$X$8,$A99,1),""))</f>
        <v>1</v>
      </c>
      <c r="L99" s="207">
        <f>--ISNUMBER(IFERROR(SEARCH('PLANILLA DJ'!$X$9,$A99,1),""))</f>
        <v>1</v>
      </c>
      <c r="M99" s="207">
        <f>--ISNUMBER(IFERROR(SEARCH('PLANILLA DJ'!$X$10,$A99,1),""))</f>
        <v>1</v>
      </c>
      <c r="N99" s="207">
        <f>--ISNUMBER(IFERROR(SEARCH('PLANILLA DJ'!$X$11,$A99,1),""))</f>
        <v>1</v>
      </c>
      <c r="O99" s="207">
        <f>--ISNUMBER(IFERROR(SEARCH('PLANILLA DJ'!$X$12,$A99,1),""))</f>
        <v>1</v>
      </c>
      <c r="P99" s="207">
        <f>--ISNUMBER(IFERROR(SEARCH('PLANILLA DJ'!$X$13,$A99,1),""))</f>
        <v>1</v>
      </c>
      <c r="Q99" s="207">
        <f>--ISNUMBER(IFERROR(SEARCH('PLANILLA DJ'!$X$14,$A99,1),""))</f>
        <v>1</v>
      </c>
      <c r="R99" s="207">
        <f>--ISNUMBER(IFERROR(SEARCH('PLANILLA DJ'!$X$15,$A99,1),""))</f>
        <v>1</v>
      </c>
      <c r="S99" s="207">
        <f>--ISNUMBER(IFERROR(SEARCH('PLANILLA DJ'!$X$16,$A99,1),""))</f>
        <v>1</v>
      </c>
      <c r="T99" s="207">
        <f>--ISNUMBER(IFERROR(SEARCH('PLANILLA DJ'!$X$17,$A99,1),""))</f>
        <v>1</v>
      </c>
      <c r="U99" s="207">
        <f>--ISNUMBER(IFERROR(SEARCH('PLANILLA DJ'!$X$18,$A99,1),""))</f>
        <v>1</v>
      </c>
      <c r="V99" s="207">
        <f>--ISNUMBER(IFERROR(SEARCH('PLANILLA DJ'!$X$19,$A99,1),""))</f>
        <v>1</v>
      </c>
      <c r="W99" s="207">
        <f>--ISNUMBER(IFERROR(SEARCH('PLANILLA DJ'!$X$20,$A99,1),""))</f>
        <v>1</v>
      </c>
      <c r="X99" s="207">
        <f>--ISNUMBER(IFERROR(SEARCH('PLANILLA DJ'!$X$21,$A99,1),""))</f>
        <v>1</v>
      </c>
      <c r="Y99" s="207">
        <f>--ISNUMBER(IFERROR(SEARCH('PLANILLA DJ'!$X$22,$A99,1),""))</f>
        <v>1</v>
      </c>
      <c r="Z99" s="207">
        <f>--ISNUMBER(IFERROR(SEARCH('PLANILLA DJ'!$X$23,$A99,1),""))</f>
        <v>1</v>
      </c>
      <c r="AA99" s="207">
        <f>--ISNUMBER(IFERROR(SEARCH('PLANILLA DJ'!$X$24,$A99,1),""))</f>
        <v>1</v>
      </c>
      <c r="AB99" s="207">
        <f>--ISNUMBER(IFERROR(SEARCH('PLANILLA DJ'!$X$25,$A99,1),""))</f>
        <v>1</v>
      </c>
      <c r="AC99" s="207">
        <f>--ISNUMBER(IFERROR(SEARCH('PLANILLA DJ'!$X$26,$A99,1),""))</f>
        <v>1</v>
      </c>
      <c r="AD99" s="207">
        <f>--ISNUMBER(IFERROR(SEARCH('PLANILLA DJ'!$X$27,$A99,1),""))</f>
        <v>1</v>
      </c>
      <c r="AE99" s="207">
        <f>--ISNUMBER(IFERROR(SEARCH('PLANILLA DJ'!$X$28,$A99,1),""))</f>
        <v>1</v>
      </c>
      <c r="AF99" s="207">
        <f>--ISNUMBER(IFERROR(SEARCH('PLANILLA DJ'!$X$29,$A99,1),""))</f>
        <v>1</v>
      </c>
      <c r="AG99" s="207">
        <f>--ISNUMBER(IFERROR(SEARCH('PLANILLA DJ'!$X$30,$A99,1),""))</f>
        <v>1</v>
      </c>
      <c r="AH99" s="207">
        <f>--ISNUMBER(IFERROR(SEARCH('PLANILLA DJ'!$X$31,$A99,1),""))</f>
        <v>1</v>
      </c>
      <c r="AI99" s="207">
        <f>--ISNUMBER(IFERROR(SEARCH('PLANILLA DJ'!$X$32,$A99,1),""))</f>
        <v>1</v>
      </c>
      <c r="AJ99" s="207">
        <f>--ISNUMBER(IFERROR(SEARCH('PLANILLA DJ'!$X$33,$A99,1),""))</f>
        <v>1</v>
      </c>
      <c r="AK99" s="207">
        <f>--ISNUMBER(IFERROR(SEARCH('PLANILLA DJ'!$X$34,$A99,1),""))</f>
        <v>1</v>
      </c>
      <c r="AL99" s="207">
        <f>--ISNUMBER(IFERROR(SEARCH('PLANILLA DJ'!$X$35,$A99,1),""))</f>
        <v>1</v>
      </c>
      <c r="AM99" s="207">
        <f>--ISNUMBER(IFERROR(SEARCH('PLANILLA DJ'!$X$36,$A99,1),""))</f>
        <v>1</v>
      </c>
      <c r="AN99" s="207">
        <f>--ISNUMBER(IFERROR(SEARCH('PLANILLA DJ'!$X$37,$A99,1),""))</f>
        <v>1</v>
      </c>
      <c r="AO99" s="207">
        <f>--ISNUMBER(IFERROR(SEARCH('PLANILLA DJ'!$X$38,$A99,1),""))</f>
        <v>1</v>
      </c>
      <c r="AP99" s="207">
        <f>--ISNUMBER(IFERROR(SEARCH('PLANILLA DJ'!$X$39,$A99,1),""))</f>
        <v>1</v>
      </c>
      <c r="AQ99" s="207">
        <f>--ISNUMBER(IFERROR(SEARCH('PLANILLA DJ'!$X$40,$A99,1),""))</f>
        <v>1</v>
      </c>
      <c r="AR99" s="207">
        <f>--ISNUMBER(IFERROR(SEARCH('PLANILLA DJ'!$X$41,$A99,1),""))</f>
        <v>1</v>
      </c>
      <c r="AS99" s="207">
        <f>--ISNUMBER(IFERROR(SEARCH('PLANILLA DJ'!$X$42,$A99,1),""))</f>
        <v>1</v>
      </c>
      <c r="AT99" s="207">
        <f>--ISNUMBER(IFERROR(SEARCH('PLANILLA DJ'!$X$43,$A99,1),""))</f>
        <v>1</v>
      </c>
      <c r="AU99" s="207">
        <f>--ISNUMBER(IFERROR(SEARCH('PLANILLA DJ'!$X$44,$A99,1),""))</f>
        <v>1</v>
      </c>
      <c r="AV99" s="207">
        <f>--ISNUMBER(IFERROR(SEARCH('PLANILLA DJ'!$X$45,$A99,1),""))</f>
        <v>1</v>
      </c>
      <c r="AW99" s="207">
        <f>--ISNUMBER(IFERROR(SEARCH('PLANILLA DJ'!$X$46,$A99,1),""))</f>
        <v>1</v>
      </c>
      <c r="AX99" s="207">
        <f>--ISNUMBER(IFERROR(SEARCH('PLANILLA DJ'!$X$47,$A99,1),""))</f>
        <v>1</v>
      </c>
      <c r="AY99" s="207">
        <f>--ISNUMBER(IFERROR(SEARCH('PLANILLA DJ'!$X$48,$A99,1),""))</f>
        <v>1</v>
      </c>
      <c r="AZ99" s="207">
        <f>--ISNUMBER(IFERROR(SEARCH('PLANILLA DJ'!$X$49,$A99,1),""))</f>
        <v>1</v>
      </c>
      <c r="BA99" s="207">
        <f>--ISNUMBER(IFERROR(SEARCH('PLANILLA DJ'!$X$50,$A99,1),""))</f>
        <v>1</v>
      </c>
      <c r="BB99" s="207">
        <f>--ISNUMBER(IFERROR(SEARCH('PLANILLA DJ'!$X$51,$A99,1),""))</f>
        <v>1</v>
      </c>
      <c r="BC99" s="207">
        <f>--ISNUMBER(IFERROR(SEARCH('PLANILLA DJ'!$X$52,$A99,1),""))</f>
        <v>1</v>
      </c>
      <c r="BD99" s="207">
        <f>--ISNUMBER(IFERROR(SEARCH('PLANILLA DJ'!$X$53,$A99,1),""))</f>
        <v>1</v>
      </c>
      <c r="BE99" s="207">
        <f>--ISNUMBER(IFERROR(SEARCH('PLANILLA DJ'!$X$54,$A99,1),""))</f>
        <v>1</v>
      </c>
      <c r="BF99" s="207">
        <f>--ISNUMBER(IFERROR(SEARCH('PLANILLA DJ'!$X$55,$A99,1),""))</f>
        <v>1</v>
      </c>
      <c r="BG99" s="207">
        <f>--ISNUMBER(IFERROR(SEARCH('PLANILLA DJ'!$X$56,$A99,1),""))</f>
        <v>1</v>
      </c>
      <c r="BH99" s="207">
        <f>--ISNUMBER(IFERROR(SEARCH('PLANILLA DJ'!$X$57,$A99,1),""))</f>
        <v>1</v>
      </c>
      <c r="BI99" s="207">
        <f>--ISNUMBER(IFERROR(SEARCH('PLANILLA DJ'!$X$58,$A99,1),""))</f>
        <v>1</v>
      </c>
      <c r="BJ99" s="207">
        <f>--ISNUMBER(IFERROR(SEARCH('PLANILLA DJ'!$X$59,$A99,1),""))</f>
        <v>1</v>
      </c>
      <c r="BK99" s="207">
        <f>--ISNUMBER(IFERROR(SEARCH('PLANILLA DJ'!$X$60,$A99,1),""))</f>
        <v>1</v>
      </c>
      <c r="BL99" s="207">
        <f>--ISNUMBER(IFERROR(SEARCH('PLANILLA DJ'!$X$61,$A99,1),""))</f>
        <v>1</v>
      </c>
      <c r="BM99" s="207">
        <f>--ISNUMBER(IFERROR(SEARCH('PLANILLA DJ'!$X$62,$A99,1),""))</f>
        <v>1</v>
      </c>
      <c r="BN99" s="207">
        <f>--ISNUMBER(IFERROR(SEARCH('PLANILLA DJ'!$X$63,$A99,1),""))</f>
        <v>1</v>
      </c>
      <c r="BO99" s="207">
        <f>--ISNUMBER(IFERROR(SEARCH('PLANILLA DJ'!$X$64,$A99,1),""))</f>
        <v>1</v>
      </c>
      <c r="BP99" s="207">
        <f>--ISNUMBER(IFERROR(SEARCH('PLANILLA DJ'!$X$65,$A99,1),""))</f>
        <v>1</v>
      </c>
      <c r="BQ99" s="207">
        <f>--ISNUMBER(IFERROR(SEARCH('PLANILLA DJ'!$X$66,$A99,1),""))</f>
        <v>1</v>
      </c>
      <c r="BR99" s="207">
        <f>--ISNUMBER(IFERROR(SEARCH('PLANILLA DJ'!$X$67,$A99,1),""))</f>
        <v>1</v>
      </c>
      <c r="BS99" s="207">
        <f>--ISNUMBER(IFERROR(SEARCH('PLANILLA DJ'!$X$68,$A99,1),""))</f>
        <v>1</v>
      </c>
      <c r="BT99" s="207">
        <f>--ISNUMBER(IFERROR(SEARCH('PLANILLA DJ'!$X$69,$A99,1),""))</f>
        <v>1</v>
      </c>
      <c r="BU99" s="207">
        <f>--ISNUMBER(IFERROR(SEARCH('PLANILLA DJ'!$X$70,$A99,1),""))</f>
        <v>1</v>
      </c>
      <c r="BV99" s="207">
        <f>--ISNUMBER(IFERROR(SEARCH('PLANILLA DJ'!$X$71,$A99,1),""))</f>
        <v>1</v>
      </c>
      <c r="BW99" s="207">
        <f>--ISNUMBER(IFERROR(SEARCH('PLANILLA DJ'!$X$72,$A99,1),""))</f>
        <v>1</v>
      </c>
      <c r="BX99" s="207">
        <f>--ISNUMBER(IFERROR(SEARCH('PLANILLA DJ'!$X$73,$A99,1),""))</f>
        <v>1</v>
      </c>
      <c r="BY99" s="207">
        <f>--ISNUMBER(IFERROR(SEARCH('PLANILLA DJ'!$X$74,$A99,1),""))</f>
        <v>1</v>
      </c>
      <c r="BZ99" s="207">
        <f>--ISNUMBER(IFERROR(SEARCH('PLANILLA DJ'!$X$75,$A99,1),""))</f>
        <v>1</v>
      </c>
      <c r="CA99" s="207">
        <f>--ISNUMBER(IFERROR(SEARCH('PLANILLA DJ'!$X$76,$A99,1),""))</f>
        <v>1</v>
      </c>
      <c r="CB99" s="207">
        <f>--ISNUMBER(IFERROR(SEARCH('PLANILLA DJ'!$X$77,$A99,1),""))</f>
        <v>1</v>
      </c>
      <c r="CC99" s="207">
        <f>--ISNUMBER(IFERROR(SEARCH('PLANILLA DJ'!$X$78,$A99,1),""))</f>
        <v>1</v>
      </c>
      <c r="CD99" s="207">
        <f>--ISNUMBER(IFERROR(SEARCH('PLANILLA DJ'!$X$79,$A99,1),""))</f>
        <v>1</v>
      </c>
      <c r="CE99" s="207">
        <f>--ISNUMBER(IFERROR(SEARCH('PLANILLA DJ'!$X$80,$A99,1),""))</f>
        <v>1</v>
      </c>
      <c r="CF99" s="207">
        <f>--ISNUMBER(IFERROR(SEARCH('PLANILLA DJ'!$X$81,$A99,1),""))</f>
        <v>1</v>
      </c>
      <c r="CG99" s="207">
        <f>--ISNUMBER(IFERROR(SEARCH('PLANILLA DJ'!$X$82,$A99,1),""))</f>
        <v>1</v>
      </c>
      <c r="CH99" s="207">
        <f>--ISNUMBER(IFERROR(SEARCH('PLANILLA DJ'!$X$83,$A99,1),""))</f>
        <v>1</v>
      </c>
      <c r="CI99" s="207">
        <f>--ISNUMBER(IFERROR(SEARCH('PLANILLA DJ'!$X$84,$A99,1),""))</f>
        <v>1</v>
      </c>
      <c r="CJ99" s="207">
        <f>--ISNUMBER(IFERROR(SEARCH('PLANILLA DJ'!$X$85,$A99,1),""))</f>
        <v>1</v>
      </c>
      <c r="CK99" s="207">
        <f>--ISNUMBER(IFERROR(SEARCH('PLANILLA DJ'!$X$86,$A99,1),""))</f>
        <v>1</v>
      </c>
      <c r="CL99" s="207">
        <f>--ISNUMBER(IFERROR(SEARCH('PLANILLA DJ'!$X$87,$A99,1),""))</f>
        <v>1</v>
      </c>
      <c r="CM99" s="207">
        <f>--ISNUMBER(IFERROR(SEARCH('PLANILLA DJ'!$X$88,$A99,1),""))</f>
        <v>1</v>
      </c>
      <c r="CN99" s="207">
        <f>--ISNUMBER(IFERROR(SEARCH('PLANILLA DJ'!$X$89,$A99,1),""))</f>
        <v>1</v>
      </c>
      <c r="CO99" s="207">
        <f>--ISNUMBER(IFERROR(SEARCH('PLANILLA DJ'!$X$90,$A99,1),""))</f>
        <v>1</v>
      </c>
      <c r="CP99" s="207">
        <f>--ISNUMBER(IFERROR(SEARCH('PLANILLA DJ'!$X$91,$A99,1),""))</f>
        <v>1</v>
      </c>
      <c r="CQ99" s="207">
        <f>--ISNUMBER(IFERROR(SEARCH('PLANILLA DJ'!$X$92,$A99,1),""))</f>
        <v>1</v>
      </c>
      <c r="CR99" s="207">
        <f>--ISNUMBER(IFERROR(SEARCH('PLANILLA DJ'!$X$93,$A99,1),""))</f>
        <v>1</v>
      </c>
      <c r="CS99" s="207">
        <f>--ISNUMBER(IFERROR(SEARCH('PLANILLA DJ'!$X$94,$A99,1),""))</f>
        <v>1</v>
      </c>
      <c r="CT99" s="207">
        <f>--ISNUMBER(IFERROR(SEARCH('PLANILLA DJ'!$X$95,$A99,1),""))</f>
        <v>1</v>
      </c>
      <c r="CU99" s="207">
        <f>--ISNUMBER(IFERROR(SEARCH('PLANILLA DJ'!$X$96,$A99,1),""))</f>
        <v>1</v>
      </c>
      <c r="CV99" s="207">
        <f>--ISNUMBER(IFERROR(SEARCH('PLANILLA DJ'!$X$97,$A99,1),""))</f>
        <v>1</v>
      </c>
      <c r="CW99" s="207">
        <f>--ISNUMBER(IFERROR(SEARCH('PLANILLA DJ'!$X$98,$A99,1),""))</f>
        <v>1</v>
      </c>
      <c r="CX99" s="207">
        <f>--ISNUMBER(IFERROR(SEARCH('PLANILLA DJ'!$X$99,$A99,1),""))</f>
        <v>1</v>
      </c>
      <c r="CY99" s="207">
        <f>--ISNUMBER(IFERROR(SEARCH('PLANILLA DJ'!$X$100,$A99,1),""))</f>
        <v>1</v>
      </c>
      <c r="CZ99" s="207">
        <f>--ISNUMBER(IFERROR(SEARCH('PLANILLA DJ'!$X$101,$A99,1),""))</f>
        <v>1</v>
      </c>
      <c r="DA99" s="207">
        <f>--ISNUMBER(IFERROR(SEARCH('PLANILLA DJ'!$X$102,$A99,1),""))</f>
        <v>1</v>
      </c>
      <c r="DB99" s="206">
        <f>IF(F99=1,COUNTIF($F$2:F99,1),"")</f>
        <v>98</v>
      </c>
      <c r="DC99" s="206">
        <f>IF(G99=1,COUNTIF($G$2:G99,1),"")</f>
        <v>98</v>
      </c>
      <c r="DD99" s="206">
        <f>IF(H99=1,COUNTIF($H$2:H99,1),"")</f>
        <v>98</v>
      </c>
      <c r="DE99" s="206">
        <f>IF(I99=1,COUNTIF($I$2:I99,1),"")</f>
        <v>98</v>
      </c>
      <c r="DF99" s="206">
        <f>IF(J99=1,COUNTIF($J$2:J99,1),"")</f>
        <v>98</v>
      </c>
      <c r="DG99" s="206">
        <f>IF(K99=1,COUNTIF($K$2:K99,1),"")</f>
        <v>98</v>
      </c>
      <c r="DH99" s="206">
        <f>IF(L99=1,COUNTIF($L$2:L99,1),"")</f>
        <v>98</v>
      </c>
      <c r="DI99" s="206">
        <f>IF(M99=1,COUNTIF($M$2:M99,1),"")</f>
        <v>98</v>
      </c>
      <c r="DJ99" s="206">
        <f>IF(N99=1,COUNTIF($N$2:N99,1),"")</f>
        <v>98</v>
      </c>
      <c r="DK99" s="206">
        <f>IF(O99=1,COUNTIF($O$2:O99,1),"")</f>
        <v>98</v>
      </c>
      <c r="DL99" s="206">
        <f>IF(P99=1,COUNTIF($P$2:P99,1),"")</f>
        <v>98</v>
      </c>
      <c r="DM99" s="206">
        <f>IF(Q99=1,COUNTIF($Q$2:Q99,1),"")</f>
        <v>98</v>
      </c>
      <c r="DN99" s="207">
        <f>IF(R99=1,COUNTIF($R$2:R99,1),"")</f>
        <v>98</v>
      </c>
      <c r="DO99" s="207">
        <f>IF(S99=1,COUNTIF($S$2:S99,1),"")</f>
        <v>98</v>
      </c>
      <c r="DP99" s="207">
        <f>IF(T99=1,COUNTIF($T$2:T99,1),"")</f>
        <v>98</v>
      </c>
      <c r="DQ99" s="207">
        <f>IF(U99=1,COUNTIF($U$2:U99,1),"")</f>
        <v>98</v>
      </c>
      <c r="DR99" s="207">
        <f>IF(V99=1,COUNTIF($V$2:V99,1),"")</f>
        <v>98</v>
      </c>
      <c r="DS99" s="207">
        <f>IF(W99=1,COUNTIF($W$2:W99,1),"")</f>
        <v>98</v>
      </c>
      <c r="DT99" s="207">
        <f>IF(X99=1,COUNTIF($X$2:X99,1),"")</f>
        <v>98</v>
      </c>
      <c r="DU99" s="207">
        <f>IF(Y99=1,COUNTIF($Y$2:Y99,1),"")</f>
        <v>98</v>
      </c>
      <c r="DV99" s="207">
        <f>IF(Z99=1,COUNTIF(Z$2:Z99,1),"")</f>
        <v>98</v>
      </c>
      <c r="DW99" s="207">
        <f>IF(AA99=1,COUNTIF($AA$2:AA99,1),"")</f>
        <v>98</v>
      </c>
      <c r="DX99" s="207">
        <f>IF(AB99=1,COUNTIF($AB$2:AB99,1),"")</f>
        <v>98</v>
      </c>
      <c r="DY99" s="207">
        <f>IF(AC99=1,COUNTIF($AC$2:AC99,1),"")</f>
        <v>98</v>
      </c>
      <c r="DZ99" s="207">
        <f>IF(AD99=1,COUNTIF($AD$2:AD99,1),"")</f>
        <v>98</v>
      </c>
      <c r="EA99" s="207">
        <f>IF(AE99=1,COUNTIF($AE$2:AE99,1),"")</f>
        <v>98</v>
      </c>
      <c r="EB99" s="207">
        <f>IF(AF99=1,COUNTIF($AF$2:AF99,1),"")</f>
        <v>98</v>
      </c>
      <c r="EC99" s="207">
        <f>IF(AG99=1,COUNTIF($AG$2:AG99,1),"")</f>
        <v>98</v>
      </c>
      <c r="ED99" s="207">
        <f>IF(AH99=1,COUNTIF($AH$2:AH99,1),"")</f>
        <v>98</v>
      </c>
      <c r="EE99" s="207">
        <f>IF(AI99=1,COUNTIF($AI$2:AI99,1),"")</f>
        <v>98</v>
      </c>
      <c r="EF99" s="207">
        <f>IF(AJ99=1,COUNTIF($AJ$2:AJ99,1),"")</f>
        <v>98</v>
      </c>
      <c r="EG99" s="207">
        <f>IF(AK99=1,COUNTIF($AK$2:AK99,1),"")</f>
        <v>98</v>
      </c>
      <c r="EH99" s="207">
        <f>IF(AL99=1,COUNTIF($AL$2:AL99,1),"")</f>
        <v>98</v>
      </c>
      <c r="EI99" s="207">
        <f>IF(AM99=1,COUNTIF($AM$2:AM99,1),"")</f>
        <v>98</v>
      </c>
      <c r="EJ99" s="207">
        <f>IF(AN99=1,COUNTIF($AN$2:AN99,1),"")</f>
        <v>98</v>
      </c>
      <c r="EK99" s="207">
        <f>IF(AO99=1,COUNTIF($AO$2:AO99,1),"")</f>
        <v>98</v>
      </c>
      <c r="EL99" s="207">
        <f>IF(AP99=1,COUNTIF($AP$2:AP99,1),"")</f>
        <v>98</v>
      </c>
      <c r="EM99" s="207">
        <f>IF(AQ99=1,COUNTIF($AQ$2:AQ99,1),"")</f>
        <v>98</v>
      </c>
      <c r="EN99" s="207">
        <f>IF(AR99=1,COUNTIF($AR$2:AR99,1),"")</f>
        <v>98</v>
      </c>
      <c r="EO99" s="207">
        <f>IF(AS99=1,COUNTIF($AS$2:AS99,1),"")</f>
        <v>98</v>
      </c>
      <c r="EP99" s="207">
        <f>IF(AT99=1,COUNTIF($AT$2:AT99,1),"")</f>
        <v>98</v>
      </c>
      <c r="EQ99" s="207">
        <f>IF(AU99=1,COUNTIF($AU$2:AU99,1),"")</f>
        <v>98</v>
      </c>
      <c r="ER99" s="207">
        <f>IF(AV99=1,COUNTIF($AV$2:AV99,1),"")</f>
        <v>98</v>
      </c>
      <c r="ES99" s="207">
        <f>IF(AW99=1,COUNTIF($AW$2:AW99,1),"")</f>
        <v>98</v>
      </c>
      <c r="ET99" s="207">
        <f>IF(AX99=1,COUNTIF($AX$2:AX99,1),"")</f>
        <v>98</v>
      </c>
      <c r="EU99" s="207">
        <f>IF(AY99=1,COUNTIF($AY$2:AY99,1),"")</f>
        <v>98</v>
      </c>
      <c r="EV99" s="207">
        <f>IF(AZ99=1,COUNTIF($AZ$2:AZ99,1),"")</f>
        <v>98</v>
      </c>
      <c r="EW99" s="207">
        <f>IF(BA99=1,COUNTIF($BA$2:BA99,1),"")</f>
        <v>98</v>
      </c>
      <c r="EX99" s="207">
        <f>IF(BB99=1,COUNTIF($BB$2:BB99,1),"")</f>
        <v>98</v>
      </c>
      <c r="EY99" s="207">
        <f>IF(BC99=1,COUNTIF($BC$2:BC99,1),"")</f>
        <v>98</v>
      </c>
      <c r="EZ99" s="207">
        <f>IF(BD99=1,COUNTIF($BD$2:BD99,1),"")</f>
        <v>98</v>
      </c>
      <c r="FA99" s="207">
        <f>IF(BE99=1,COUNTIF($BE$2:BE99,1),"")</f>
        <v>98</v>
      </c>
      <c r="FB99" s="207">
        <f>IF(BF99=1,COUNTIF($BF$2:BF99,1),"")</f>
        <v>98</v>
      </c>
      <c r="FC99" s="207">
        <f>IF(BG99=1,COUNTIF($BG$2:BG99,1),"")</f>
        <v>98</v>
      </c>
      <c r="FD99" s="207">
        <f>IF(BH99=1,COUNTIF($BH$2:BH99,1),"")</f>
        <v>98</v>
      </c>
      <c r="FE99" s="207">
        <f>IF(BI99=1,COUNTIF($BI$2:BI99,1),"")</f>
        <v>98</v>
      </c>
      <c r="FF99" s="207">
        <f>IF(BJ99=1,COUNTIF($BJ$2:BJ99,1),"")</f>
        <v>98</v>
      </c>
      <c r="FG99" s="207">
        <f>IF(BK99=1,COUNTIF($BK$2:BK99,1),"")</f>
        <v>98</v>
      </c>
      <c r="FH99" s="207">
        <f>IF(BL99=1,COUNTIF($BL$2:BL99,1),"")</f>
        <v>98</v>
      </c>
      <c r="FI99" s="207">
        <f>IF(BM99=1,COUNTIF($BM$2:BM99,1),"")</f>
        <v>98</v>
      </c>
      <c r="FJ99" s="207">
        <f>IF(BN99=1,COUNTIF($BN$2:BN99,1),"")</f>
        <v>98</v>
      </c>
      <c r="FK99" s="207">
        <f>IF(BO99=1,COUNTIF($BO$2:BO99,1),"")</f>
        <v>98</v>
      </c>
      <c r="FL99" s="207">
        <f>IF(BP99=1,COUNTIF($BP$2:BP99,1),"")</f>
        <v>98</v>
      </c>
      <c r="FM99" s="207">
        <f>IF(BQ99=1,COUNTIF($BQ$2:BQ99,1),"")</f>
        <v>98</v>
      </c>
      <c r="FN99" s="207">
        <f>IF(BR99=1,COUNTIF($BR$2:BR99,1),"")</f>
        <v>98</v>
      </c>
      <c r="FO99" s="207">
        <f>IF(BS99=1,COUNTIF($BS$2:BS99,1),"")</f>
        <v>98</v>
      </c>
      <c r="FP99" s="207">
        <f>IF(BT99=1,COUNTIF($BT$2:BT99,1),"")</f>
        <v>98</v>
      </c>
      <c r="FQ99" s="207">
        <f>IF(BU99=1,COUNTIF($BU$2:BU99,1),"")</f>
        <v>98</v>
      </c>
      <c r="FR99" s="207">
        <f>IF(BV99=1,COUNTIF($BV$2:BV99,1),"")</f>
        <v>98</v>
      </c>
      <c r="FS99" s="207">
        <f>IF(BW99=1,COUNTIF($BW$2:BW99,1),"")</f>
        <v>98</v>
      </c>
      <c r="FT99" s="207">
        <f>IF(BX99=1,COUNTIF($BX$2:BX99,1),"")</f>
        <v>98</v>
      </c>
      <c r="FU99" s="207">
        <f>IF(BY99=1,COUNTIF($BY$2:BY99,1),"")</f>
        <v>98</v>
      </c>
      <c r="FV99" s="207">
        <f>IF(BZ99=1,COUNTIF($BZ$2:BZ99,1),"")</f>
        <v>98</v>
      </c>
      <c r="FW99" s="207">
        <f>IF(CA99=1,COUNTIF($CA$2:CA99,1),"")</f>
        <v>98</v>
      </c>
      <c r="FX99" s="207">
        <f>IF(CB99=1,COUNTIF($CB$2:CB99,1),"")</f>
        <v>98</v>
      </c>
      <c r="FY99" s="207">
        <f>IF(CC99=1,COUNTIF($CC$2:CC99,1),"")</f>
        <v>98</v>
      </c>
      <c r="FZ99" s="207">
        <f>IF(CD99=1,COUNTIF($CD$2:CD99,1),"")</f>
        <v>98</v>
      </c>
      <c r="GA99" s="207">
        <f>IF(CE99=1,COUNTIF($CE$2:CE99,1),"")</f>
        <v>98</v>
      </c>
      <c r="GB99" s="207">
        <f>IF(CF99=1,COUNTIF($CF$2:CF99,1),"")</f>
        <v>98</v>
      </c>
      <c r="GC99" s="207">
        <f>IF(CG99=1,COUNTIF($CG$2:CG99,1),"")</f>
        <v>98</v>
      </c>
      <c r="GD99" s="207">
        <f>IF(CH99=1,COUNTIF($CH$2:CH99,1),"")</f>
        <v>98</v>
      </c>
      <c r="GE99" s="207">
        <f>IF(CI99=1,COUNTIF($CI$2:CI99,1),"")</f>
        <v>98</v>
      </c>
      <c r="GF99" s="207">
        <f>IF(CJ99=1,COUNTIF($CJ$2:CJ99,1),"")</f>
        <v>98</v>
      </c>
      <c r="GG99" s="207">
        <f>IF(CK99=1,COUNTIF($CK$2:CK99,1),"")</f>
        <v>98</v>
      </c>
      <c r="GH99" s="207">
        <f>IF(CL99=1,COUNTIF($CL$2:CL99,1),"")</f>
        <v>98</v>
      </c>
      <c r="GI99" s="207">
        <f>IF(CM99=1,COUNTIF($CM$2:CM99,1),"")</f>
        <v>98</v>
      </c>
      <c r="GJ99" s="207">
        <f>IF(CN99=1,COUNTIF($CN$2:CN99,1),"")</f>
        <v>98</v>
      </c>
      <c r="GK99" s="207">
        <f>IF(CO99=1,COUNTIF($CO$2:CO99,1),"")</f>
        <v>98</v>
      </c>
      <c r="GL99" s="207">
        <f>IF(CP99=1,COUNTIF($CP$2:CP99,1),"")</f>
        <v>98</v>
      </c>
      <c r="GM99" s="207">
        <f>IF(CQ99=1,COUNTIF($CQ$2:CQ99,1),"")</f>
        <v>98</v>
      </c>
      <c r="GN99" s="207">
        <f>IF(CR99=1,COUNTIF($CR$2:CR99,1),"")</f>
        <v>98</v>
      </c>
      <c r="GO99" s="207">
        <f>IF(CS99=1,COUNTIF($CS$2:CS99,1),"")</f>
        <v>98</v>
      </c>
      <c r="GP99" s="207">
        <f>IF(CT99=1,COUNTIF($CT$2:CT99,1),"")</f>
        <v>98</v>
      </c>
      <c r="GQ99" s="207">
        <f>IF(CU99=1,COUNTIF($CU$2:CU99,1),"")</f>
        <v>98</v>
      </c>
      <c r="GR99" s="207">
        <f>IF(CV99=1,COUNTIF($CV$2:CV99,1),"")</f>
        <v>98</v>
      </c>
      <c r="GS99" s="207">
        <f>IF(CW99=1,COUNTIF($CW$2:CW99,1),"")</f>
        <v>98</v>
      </c>
      <c r="GT99" s="207">
        <f>IF(CX99=1,COUNTIF($CX$2:CX99,1),"")</f>
        <v>98</v>
      </c>
      <c r="GU99" s="207">
        <f>IF(CY99=1,COUNTIF($CY$2:CY99,1),"")</f>
        <v>98</v>
      </c>
      <c r="GV99" s="207">
        <f>IF(CZ99=1,COUNTIF($CZ$2:CZ99,1),"")</f>
        <v>98</v>
      </c>
      <c r="GW99" s="207">
        <f>IF(DA99=1,COUNTIF($DA$2:DA99,1),"")</f>
        <v>98</v>
      </c>
      <c r="GX99" s="206" t="str">
        <f>IFERROR(INDEX($A$2:$A$113,MATCH(ROWS($DB$2:DB99),$DB$2:$DB$113,0)),"")</f>
        <v>CONFABULACION DE ESTUPEFACIENTES</v>
      </c>
      <c r="GY99" s="206" t="str">
        <f>IFERROR(INDEX($A$2:$A$113,MATCH(ROWS($DC$2:DC99),$DC$2:$DC$113,0)),"")</f>
        <v>CONFABULACION DE ESTUPEFACIENTES</v>
      </c>
      <c r="GZ99" s="206" t="str">
        <f>IFERROR(INDEX($A$2:$A$113,MATCH(ROWS($DD$2:DD99),$DD$2:$DD$113,0)),"")</f>
        <v>CONFABULACION DE ESTUPEFACIENTES</v>
      </c>
      <c r="HA99" s="206" t="str">
        <f>IFERROR(INDEX($A$2:$A$113,MATCH(ROWS($DE$2:DE99),$DE$2:$DE$113,0)),"")</f>
        <v>CONFABULACION DE ESTUPEFACIENTES</v>
      </c>
      <c r="HB99" s="206" t="str">
        <f>IFERROR(INDEX($A$2:$A$113,MATCH(ROWS($DF$2:DF99),$DF$2:$DF$113,0)),"")</f>
        <v>CONFABULACION DE ESTUPEFACIENTES</v>
      </c>
      <c r="HC99" s="206" t="str">
        <f>IFERROR(INDEX($A$2:$A$113,MATCH(ROWS($DG$2:DG99),$DG$2:$DG$113,0)),"")</f>
        <v>CONFABULACION DE ESTUPEFACIENTES</v>
      </c>
      <c r="HD99" s="206" t="str">
        <f>IFERROR(INDEX($A$2:$A$113,MATCH(ROWS($DH$2:DH99),$DH$2:$DH$113,0)),"")</f>
        <v>CONFABULACION DE ESTUPEFACIENTES</v>
      </c>
      <c r="HE99" s="206" t="str">
        <f>IFERROR(INDEX($A$2:$A$113,MATCH(ROWS($DI$2:DI99),$DI$2:$DI$113,0)),"")</f>
        <v>CONFABULACION DE ESTUPEFACIENTES</v>
      </c>
      <c r="HF99" s="206" t="str">
        <f>IFERROR(INDEX($A$2:$A$113,MATCH(ROWS($DJ$2:DJ99),$DJ$2:$DJ$113,0)),"")</f>
        <v>CONFABULACION DE ESTUPEFACIENTES</v>
      </c>
      <c r="HG99" s="206" t="str">
        <f>IFERROR(INDEX($A$2:$A$113,MATCH(ROWS($DK$2:DK99),$DK$2:$DK$113,0)),"")</f>
        <v>CONFABULACION DE ESTUPEFACIENTES</v>
      </c>
      <c r="HH99" s="206" t="str">
        <f>IFERROR(INDEX($A$2:$A$113,MATCH(ROWS($DL$2:DL99),$DL$2:$DL$113,0)),"")</f>
        <v>CONFABULACION DE ESTUPEFACIENTES</v>
      </c>
      <c r="HI99" s="206" t="str">
        <f>IFERROR(INDEX($A$2:$A$113,MATCH(ROWS($DM$2:DM99),$DM$2:$DM$113,0)),"")</f>
        <v>CONFABULACION DE ESTUPEFACIENTES</v>
      </c>
      <c r="HJ99" s="206" t="str">
        <f>IFERROR(INDEX($A$2:$A$113,MATCH(ROWS($DN$2:DN99),$DN$2:$DN$113,0)),"")</f>
        <v>CONFABULACION DE ESTUPEFACIENTES</v>
      </c>
      <c r="HK99" s="206" t="str">
        <f>IFERROR(INDEX($A$2:$A$113,MATCH(ROWS($DO$2:DO99),$DO$2:$DO$113,0)),"")</f>
        <v>CONFABULACION DE ESTUPEFACIENTES</v>
      </c>
      <c r="HL99" s="206" t="str">
        <f>IFERROR(INDEX($A$2:$A$113,MATCH(ROWS($DP$2:DP99),$DP$2:$DP$113,0)),"")</f>
        <v>CONFABULACION DE ESTUPEFACIENTES</v>
      </c>
      <c r="HM99" s="206" t="str">
        <f>IFERROR(INDEX($A$2:$A$113,MATCH(ROWS($DQ$2:DQ99),$DQ$2:$DQ$113,0)),"")</f>
        <v>CONFABULACION DE ESTUPEFACIENTES</v>
      </c>
      <c r="HN99" s="206" t="str">
        <f>IFERROR(INDEX($A$2:$A$113,MATCH(ROWS($DR$2:DR99),$DR$2:$DR$113,0)),"")</f>
        <v>CONFABULACION DE ESTUPEFACIENTES</v>
      </c>
      <c r="HO99" s="206" t="str">
        <f>IFERROR(INDEX($A$2:$A$113,MATCH(ROWS($DS$2:DS99),$DS$2:$DS$113,0)),"")</f>
        <v>CONFABULACION DE ESTUPEFACIENTES</v>
      </c>
      <c r="HP99" s="206" t="str">
        <f>IFERROR(INDEX($A$2:$A$113,MATCH(ROWS($DT$2:DT99),$DT$2:$DT$113,0)),"")</f>
        <v>CONFABULACION DE ESTUPEFACIENTES</v>
      </c>
      <c r="HQ99" s="206" t="str">
        <f>IFERROR(INDEX($A$2:$A$113,MATCH(ROWS($DU$2:DU99),$DU$2:$DU$113,0)),"")</f>
        <v>CONFABULACION DE ESTUPEFACIENTES</v>
      </c>
      <c r="HR99" s="206" t="str">
        <f>IFERROR(INDEX($A$2:$A$113,MATCH(ROWS($DV$2:DV99),$DV$2:$DV$113,0)),"")</f>
        <v>CONFABULACION DE ESTUPEFACIENTES</v>
      </c>
      <c r="HS99" s="206" t="str">
        <f>IFERROR(INDEX($A$2:$A$113,MATCH(ROWS($DW$2:DW99),$DW$2:$DW$113,0)),"")</f>
        <v>CONFABULACION DE ESTUPEFACIENTES</v>
      </c>
      <c r="HT99" s="206" t="str">
        <f>IFERROR(INDEX($A$2:$A$113,MATCH(ROWS($DX$2:DX99),$DX$2:$DX$113,0)),"")</f>
        <v>CONFABULACION DE ESTUPEFACIENTES</v>
      </c>
      <c r="HU99" s="206" t="str">
        <f>IFERROR(INDEX($A$2:$A$113,MATCH(ROWS($DY$2:DY99),$DY$2:$DY$113,0)),"")</f>
        <v>CONFABULACION DE ESTUPEFACIENTES</v>
      </c>
      <c r="HV99" s="206" t="str">
        <f>IFERROR(INDEX($A$2:$A$113,MATCH(ROWS($DZ$2:DZ99),$DZ$2:$DZ$113,0)),"")</f>
        <v>CONFABULACION DE ESTUPEFACIENTES</v>
      </c>
      <c r="HW99" s="206" t="str">
        <f>IFERROR(INDEX($A$2:$A$113,MATCH(ROWS($EA$2:EA99),$EA$2:$EA$113,0)),"")</f>
        <v>CONFABULACION DE ESTUPEFACIENTES</v>
      </c>
      <c r="HX99" s="206" t="str">
        <f>IFERROR(INDEX($A$2:$A$113,MATCH(ROWS($EB$2:EB99),$EB$2:$EB$113,0)),"")</f>
        <v>CONFABULACION DE ESTUPEFACIENTES</v>
      </c>
      <c r="HY99" s="206" t="str">
        <f>IFERROR(INDEX($A$2:$A$113,MATCH(ROWS($EC$2:EC99),$EC$2:$EC$113,0)),"")</f>
        <v>CONFABULACION DE ESTUPEFACIENTES</v>
      </c>
      <c r="HZ99" s="206" t="str">
        <f>IFERROR(INDEX($A$2:$A$113,MATCH(ROWS($ED$2:ED99),$ED$2:$ED$113,0)),"")</f>
        <v>CONFABULACION DE ESTUPEFACIENTES</v>
      </c>
      <c r="IA99" s="206" t="str">
        <f>IFERROR(INDEX($A$2:$A$113,MATCH(ROWS($EE$2:EE99),$EE$2:$EE$113,0)),"")</f>
        <v>CONFABULACION DE ESTUPEFACIENTES</v>
      </c>
      <c r="IB99" s="206" t="str">
        <f>IFERROR(INDEX($A$2:$A$113,MATCH(ROWS($EF$2:EF99),$EF$2:$EF$113,0)),"")</f>
        <v>CONFABULACION DE ESTUPEFACIENTES</v>
      </c>
      <c r="IC99" s="206" t="str">
        <f>IFERROR(INDEX($A$2:$A$113,MATCH(ROWS($EG$2:EG99),$EG$2:$EG$113,0)),"")</f>
        <v>CONFABULACION DE ESTUPEFACIENTES</v>
      </c>
      <c r="ID99" s="206" t="str">
        <f>IFERROR(INDEX($A$2:$A$113,MATCH(ROWS($EH$2:EH99),$EH$2:$EH$113,0)),"")</f>
        <v>CONFABULACION DE ESTUPEFACIENTES</v>
      </c>
      <c r="IE99" s="206" t="str">
        <f>IFERROR(INDEX($A$2:$A$113,MATCH(ROWS($EI$2:EI99),$EI$2:$EI$113,0)),"")</f>
        <v>CONFABULACION DE ESTUPEFACIENTES</v>
      </c>
      <c r="IF99" s="206" t="str">
        <f>IFERROR(INDEX($A$2:$A$113,MATCH(ROWS($EJ$2:EJ99),$EJ$2:$EJ$113,0)),"")</f>
        <v>CONFABULACION DE ESTUPEFACIENTES</v>
      </c>
      <c r="IG99" s="206" t="str">
        <f>IFERROR(INDEX($A$2:$A$113,MATCH(ROWS($EK$2:EK99),$EK$2:$EK$113,0)),"")</f>
        <v>CONFABULACION DE ESTUPEFACIENTES</v>
      </c>
      <c r="IH99" s="206" t="str">
        <f>IFERROR(INDEX($A$2:$A$113,MATCH(ROWS($EL$2:EL99),$EL$2:$EL$113,0)),"")</f>
        <v>CONFABULACION DE ESTUPEFACIENTES</v>
      </c>
      <c r="II99" s="206" t="str">
        <f>IFERROR(INDEX($A$2:$A$113,MATCH(ROWS($EM$2:EM99),$EM$2:$EM$113,0)),"")</f>
        <v>CONFABULACION DE ESTUPEFACIENTES</v>
      </c>
      <c r="IJ99" s="206" t="str">
        <f>IFERROR(INDEX($A$2:$A$113,MATCH(ROWS($EN$2:EN99),$EN$2:$EN$113,0)),"")</f>
        <v>CONFABULACION DE ESTUPEFACIENTES</v>
      </c>
      <c r="IK99" s="207" t="str">
        <f>IFERROR(INDEX($A$2:$A$113,MATCH(ROWS($EO$2:EO99),$EO$2:$EO$113,0)),"")</f>
        <v>CONFABULACION DE ESTUPEFACIENTES</v>
      </c>
      <c r="IL99" s="207" t="str">
        <f>IFERROR(INDEX($A$2:$A$113,MATCH(ROWS($EP$2:EP99),$EP$2:$EP$113,0)),"")</f>
        <v>CONFABULACION DE ESTUPEFACIENTES</v>
      </c>
      <c r="IM99" s="207" t="str">
        <f>IFERROR(INDEX($A$2:$A$113,MATCH(ROWS($EQ$2:EQ99),$EQ$2:$EQ$113,0)),"")</f>
        <v>CONFABULACION DE ESTUPEFACIENTES</v>
      </c>
      <c r="IN99" s="207" t="str">
        <f>IFERROR(INDEX($A$2:$A$113,MATCH(ROWS($ER$2:ER99),$ER$2:$ER$113,0)),"")</f>
        <v>CONFABULACION DE ESTUPEFACIENTES</v>
      </c>
      <c r="IO99" s="207" t="str">
        <f>IFERROR(INDEX($A$2:$A$113,MATCH(ROWS($ES$2:ES99),$ES$2:$ES$113,0)),"")</f>
        <v>CONFABULACION DE ESTUPEFACIENTES</v>
      </c>
      <c r="IP99" s="207" t="str">
        <f>IFERROR(INDEX($A$2:$A$113,MATCH(ROWS($ET$2:ET99),$ET$2:$ET$113,0)),"")</f>
        <v>CONFABULACION DE ESTUPEFACIENTES</v>
      </c>
      <c r="IQ99" s="207" t="str">
        <f>IFERROR(INDEX($A$2:$A$113,MATCH(ROWS($EU$2:EU99),$EU$2:$EU$113,0)),"")</f>
        <v>CONFABULACION DE ESTUPEFACIENTES</v>
      </c>
      <c r="IR99" s="207" t="str">
        <f>IFERROR(INDEX($A$2:$A$113,MATCH(ROWS($EV$2:EV99),$EV$2:$EV$113,0)),"")</f>
        <v>CONFABULACION DE ESTUPEFACIENTES</v>
      </c>
      <c r="IS99" s="207" t="str">
        <f>IFERROR(INDEX($A$2:$A$113,MATCH(ROWS($EW$2:EW99),$EW$2:$EW$113,0)),"")</f>
        <v>CONFABULACION DE ESTUPEFACIENTES</v>
      </c>
      <c r="IT99" s="207" t="str">
        <f>IFERROR(INDEX($A$2:$A$113,MATCH(ROWS($EX$2:EX99),$EX$2:$EX$113,0)),"")</f>
        <v>CONFABULACION DE ESTUPEFACIENTES</v>
      </c>
      <c r="IU99" s="207" t="str">
        <f>IFERROR(INDEX($A$2:$A$113,MATCH(ROWS($EY$2:EY99),$EY$2:$EY$113,0)),"")</f>
        <v>CONFABULACION DE ESTUPEFACIENTES</v>
      </c>
      <c r="IV99" s="207" t="str">
        <f>IFERROR(INDEX($A$2:$A$113,MATCH(ROWS($EZ$2:EZ99),$EZ$2:$EZ$113,0)),"")</f>
        <v>CONFABULACION DE ESTUPEFACIENTES</v>
      </c>
      <c r="IW99" s="207" t="str">
        <f>IFERROR(INDEX($A$2:$A$113,MATCH(ROWS($FA$2:FA99),$FA$2:$FA$113,0)),"")</f>
        <v>CONFABULACION DE ESTUPEFACIENTES</v>
      </c>
      <c r="IX99" s="207" t="str">
        <f>IFERROR(INDEX($A$2:$A$113,MATCH(ROWS($FB$2:FB99),$FB$2:$FB$113,0)),"")</f>
        <v>CONFABULACION DE ESTUPEFACIENTES</v>
      </c>
      <c r="IY99" s="207" t="str">
        <f>IFERROR(INDEX($A$2:$A$113,MATCH(ROWS($FC$2:FC99),$FC$2:$FC$113,0)),"")</f>
        <v>CONFABULACION DE ESTUPEFACIENTES</v>
      </c>
      <c r="IZ99" s="207" t="str">
        <f>IFERROR(INDEX($A$2:$A$113,MATCH(ROWS($FD$2:FD99),$FD$2:$FD$113,0)),"")</f>
        <v>CONFABULACION DE ESTUPEFACIENTES</v>
      </c>
      <c r="JA99" s="207" t="str">
        <f>IFERROR(INDEX($A$2:$A$113,MATCH(ROWS($FE$2:FE99),$FE$2:$FE$113,0)),"")</f>
        <v>CONFABULACION DE ESTUPEFACIENTES</v>
      </c>
      <c r="JB99" s="207" t="str">
        <f>IFERROR(INDEX($A$2:$A$113,MATCH(ROWS($FF$2:FF99),$FF$2:$FF$113,0)),"")</f>
        <v>CONFABULACION DE ESTUPEFACIENTES</v>
      </c>
      <c r="JC99" s="207" t="str">
        <f>IFERROR(INDEX($A$2:$A$113,MATCH(ROWS($FG$2:FG99),$FG$2:$FG$113,0)),"")</f>
        <v>CONFABULACION DE ESTUPEFACIENTES</v>
      </c>
      <c r="JD99" s="207" t="str">
        <f>IFERROR(INDEX($A$2:$A$113,MATCH(ROWS($FH$2:FH99),$FH$2:$FH$113,0)),"")</f>
        <v>CONFABULACION DE ESTUPEFACIENTES</v>
      </c>
      <c r="JE99" s="207" t="str">
        <f>IFERROR(INDEX($A$2:$A$113,MATCH(ROWS($FI$2:FI99),$FI$2:$FI$113,0)),"")</f>
        <v>CONFABULACION DE ESTUPEFACIENTES</v>
      </c>
      <c r="JF99" s="207" t="str">
        <f>IFERROR(INDEX($A$2:$A$113,MATCH(ROWS($FJ$2:FJ99),$FJ$2:$FJ$113,0)),"")</f>
        <v>CONFABULACION DE ESTUPEFACIENTES</v>
      </c>
      <c r="JG99" s="207" t="str">
        <f>IFERROR(INDEX($A$2:$A$113,MATCH(ROWS($FK$2:FK99),$FK$2:$FK$113,0)),"")</f>
        <v>CONFABULACION DE ESTUPEFACIENTES</v>
      </c>
      <c r="JH99" s="207" t="str">
        <f>IFERROR(INDEX($A$2:$A$113,MATCH(ROWS($FL$2:FL99),$FL$2:$FL$113,0)),"")</f>
        <v>CONFABULACION DE ESTUPEFACIENTES</v>
      </c>
      <c r="JI99" s="207" t="str">
        <f>IFERROR(INDEX($A$2:$A$113,MATCH(ROWS($FM$2:FM99),$FM$2:$FM$113,0)),"")</f>
        <v>CONFABULACION DE ESTUPEFACIENTES</v>
      </c>
      <c r="JJ99" s="207" t="str">
        <f>IFERROR(INDEX($A$2:$A$113,MATCH(ROWS($FN$2:FN99),$FN$2:$FN$113,0)),"")</f>
        <v>CONFABULACION DE ESTUPEFACIENTES</v>
      </c>
      <c r="JK99" s="207" t="str">
        <f>IFERROR(INDEX($A$2:$A$113,MATCH(ROWS($FO$2:FO99),$FO$2:$FO$113,0)),"")</f>
        <v>CONFABULACION DE ESTUPEFACIENTES</v>
      </c>
      <c r="JL99" s="207" t="str">
        <f>IFERROR(INDEX($A$2:$A$113,MATCH(ROWS($FP$2:FP99),$FP$2:$FP$113,0)),"")</f>
        <v>CONFABULACION DE ESTUPEFACIENTES</v>
      </c>
      <c r="JM99" s="207" t="str">
        <f>IFERROR(INDEX($A$2:$A$113,MATCH(ROWS($FQ$2:FQ99),$FQ$2:$FQ$113,0)),"")</f>
        <v>CONFABULACION DE ESTUPEFACIENTES</v>
      </c>
      <c r="JN99" s="207" t="str">
        <f>IFERROR(INDEX($A$2:$A$113,MATCH(ROWS($FR$2:FR99),$FR$2:$FR$113,0)),"")</f>
        <v>CONFABULACION DE ESTUPEFACIENTES</v>
      </c>
      <c r="JO99" s="207" t="str">
        <f>IFERROR(INDEX($A$2:$A$113,MATCH(ROWS($FS$2:FS99),$FS$2:$FS$113,0)),"")</f>
        <v>CONFABULACION DE ESTUPEFACIENTES</v>
      </c>
      <c r="JP99" s="207" t="str">
        <f>IFERROR(INDEX($A$2:$A$113,MATCH(ROWS($FT$2:FT99),$FT$2:$FT$113,0)),"")</f>
        <v>CONFABULACION DE ESTUPEFACIENTES</v>
      </c>
      <c r="JQ99" s="207" t="str">
        <f>IFERROR(INDEX($A$2:$A$113,MATCH(ROWS($FU$2:FU99),$FU$2:$FU$113,0)),"")</f>
        <v>CONFABULACION DE ESTUPEFACIENTES</v>
      </c>
      <c r="JR99" s="207" t="str">
        <f>IFERROR(INDEX($A$2:$A$113,MATCH(ROWS($FV$2:FV99),$FV$2:$FV$113,0)),"")</f>
        <v>CONFABULACION DE ESTUPEFACIENTES</v>
      </c>
      <c r="JS99" s="207" t="str">
        <f>IFERROR(INDEX($A$2:$A$113,MATCH(ROWS($FW$2:FW99),$FW$2:$FW$113,0)),"")</f>
        <v>CONFABULACION DE ESTUPEFACIENTES</v>
      </c>
      <c r="JT99" s="207" t="str">
        <f>IFERROR(INDEX($A$2:$A$113,MATCH(ROWS($FX$2:FX99),$FX$2:$FX$113,0)),"")</f>
        <v>CONFABULACION DE ESTUPEFACIENTES</v>
      </c>
      <c r="JU99" s="207" t="str">
        <f>IFERROR(INDEX($A$2:$A$113,MATCH(ROWS($FY$2:FY99),$FY$2:$FY$113,0)),"")</f>
        <v>CONFABULACION DE ESTUPEFACIENTES</v>
      </c>
      <c r="JV99" s="207" t="str">
        <f>IFERROR(INDEX($A$2:$A$113,MATCH(ROWS($FZ$2:FZ99),$FZ$2:$FZ$113,0)),"")</f>
        <v>CONFABULACION DE ESTUPEFACIENTES</v>
      </c>
      <c r="JW99" s="207" t="str">
        <f>IFERROR(INDEX($A$2:$A$113,MATCH(ROWS($GA$2:GA99),$GA$2:$GA$113,0)),"")</f>
        <v>CONFABULACION DE ESTUPEFACIENTES</v>
      </c>
      <c r="JX99" s="207" t="str">
        <f>IFERROR(INDEX($A$2:$A$113,MATCH(ROWS($GB$2:GB99),$GB$2:$GB$113,0)),"")</f>
        <v>CONFABULACION DE ESTUPEFACIENTES</v>
      </c>
      <c r="JY99" s="207" t="str">
        <f>IFERROR(INDEX($A$2:$A$113,MATCH(ROWS($GC$2:GC99),$GC$2:$GC$113,0)),"")</f>
        <v>CONFABULACION DE ESTUPEFACIENTES</v>
      </c>
      <c r="JZ99" s="207" t="str">
        <f>IFERROR(INDEX($A$2:$A$113,MATCH(ROWS($GD$2:GD99),$GD$2:$GD$113,0)),"")</f>
        <v>CONFABULACION DE ESTUPEFACIENTES</v>
      </c>
      <c r="KA99" s="207" t="str">
        <f>IFERROR(INDEX($A$2:$A$113,MATCH(ROWS($GE$2:GE99),$GE$2:$GE$113,0)),"")</f>
        <v>CONFABULACION DE ESTUPEFACIENTES</v>
      </c>
      <c r="KB99" s="207" t="str">
        <f>IFERROR(INDEX($A$2:$A$113,MATCH(ROWS($GF$2:GF99),$GF$2:$GF$113,0)),"")</f>
        <v>CONFABULACION DE ESTUPEFACIENTES</v>
      </c>
      <c r="KC99" s="207" t="str">
        <f>IFERROR(INDEX($A$2:$A$113,MATCH(ROWS($GG$2:GG99),$GG$2:$GG$113,0)),"")</f>
        <v>CONFABULACION DE ESTUPEFACIENTES</v>
      </c>
      <c r="KD99" s="207" t="str">
        <f>IFERROR(INDEX($A$2:$A$113,MATCH(ROWS($GH$2:GH99),$GH$2:$GH$113,0)),"")</f>
        <v>CONFABULACION DE ESTUPEFACIENTES</v>
      </c>
      <c r="KE99" s="207" t="str">
        <f>IFERROR(INDEX($A$2:$A$113,MATCH(ROWS($GI$2:GI99),$GI$2:$GI$113,0)),"")</f>
        <v>CONFABULACION DE ESTUPEFACIENTES</v>
      </c>
      <c r="KF99" s="207" t="str">
        <f>IFERROR(INDEX($A$2:$A$113,MATCH(ROWS($GJ$2:GJ99),$GJ$2:$GJ$113,0)),"")</f>
        <v>CONFABULACION DE ESTUPEFACIENTES</v>
      </c>
      <c r="KG99" s="207" t="str">
        <f>IFERROR(INDEX($A$2:$A$113,MATCH(ROWS($GK$2:GK99),$GK$2:$GK$113,0)),"")</f>
        <v>CONFABULACION DE ESTUPEFACIENTES</v>
      </c>
      <c r="KH99" s="207" t="str">
        <f>IFERROR(INDEX($A$2:$A$113,MATCH(ROWS($GL$2:GL99),$GL$2:$GL$113,0)),"")</f>
        <v>CONFABULACION DE ESTUPEFACIENTES</v>
      </c>
      <c r="KI99" s="207" t="str">
        <f>IFERROR(INDEX($A$2:$A$113,MATCH(ROWS($GM$2:GM99),$GM$2:$GM$113,0)),"")</f>
        <v>CONFABULACION DE ESTUPEFACIENTES</v>
      </c>
      <c r="KJ99" s="207" t="str">
        <f>IFERROR(INDEX($A$2:$A$113,MATCH(ROWS($GN$2:GN99),$GN$2:$GN$113,0)),"")</f>
        <v>CONFABULACION DE ESTUPEFACIENTES</v>
      </c>
      <c r="KK99" s="207" t="str">
        <f>IFERROR(INDEX($A$2:$A$113,MATCH(ROWS($GO$2:GO99),$GO$2:$GO$113,0)),"")</f>
        <v>CONFABULACION DE ESTUPEFACIENTES</v>
      </c>
      <c r="KL99" s="207" t="str">
        <f>IFERROR(INDEX($A$2:$A$113,MATCH(ROWS($GP$2:GP99),$GP$2:$GP$113,0)),"")</f>
        <v>CONFABULACION DE ESTUPEFACIENTES</v>
      </c>
      <c r="KM99" s="207" t="str">
        <f>IFERROR(INDEX($A$2:$A$113,MATCH(ROWS($GQ$2:GQ99),$GQ$2:$GQ$113,0)),"")</f>
        <v>CONFABULACION DE ESTUPEFACIENTES</v>
      </c>
      <c r="KN99" s="207" t="str">
        <f>IFERROR(INDEX($A$2:$A$113,MATCH(ROWS($GR$2:GR99),$GR$2:$GR$113,0)),"")</f>
        <v>CONFABULACION DE ESTUPEFACIENTES</v>
      </c>
      <c r="KO99" s="207" t="str">
        <f>IFERROR(INDEX($A$2:$A$113,MATCH(ROWS($GS$2:GS99),$GS$2:$GS$113,0)),"")</f>
        <v>CONFABULACION DE ESTUPEFACIENTES</v>
      </c>
      <c r="KP99" s="207" t="str">
        <f>IFERROR(INDEX($A$2:$A$113,MATCH(ROWS($GT$2:GT99),$GT$2:$GT$113,0)),"")</f>
        <v>CONFABULACION DE ESTUPEFACIENTES</v>
      </c>
      <c r="KQ99" s="207" t="str">
        <f>IFERROR(INDEX($A$2:$A$113,MATCH(ROWS($GU$2:GU99),$GU$2:$GU$113,0)),"")</f>
        <v>CONFABULACION DE ESTUPEFACIENTES</v>
      </c>
      <c r="KR99" s="207" t="str">
        <f>IFERROR(INDEX($A$2:$A$113,MATCH(ROWS($GV$2:GV99),$GV$2:$GV$113,0)),"")</f>
        <v>CONFABULACION DE ESTUPEFACIENTES</v>
      </c>
      <c r="KS99" s="207" t="str">
        <f>IFERROR(INDEX($A$2:$A$113,MATCH(ROWS($GW$2:GW99),$GW$2:$GW$113,0)),"")</f>
        <v>CONFABULACION DE ESTUPEFACIENTES</v>
      </c>
    </row>
    <row r="100" spans="1:305" x14ac:dyDescent="0.25">
      <c r="A100" s="206" t="s">
        <v>39</v>
      </c>
      <c r="B100" s="206" t="s">
        <v>124</v>
      </c>
      <c r="D100" s="206" t="s">
        <v>39</v>
      </c>
      <c r="E100" s="206" t="s">
        <v>116</v>
      </c>
      <c r="F100" s="207">
        <f>--ISNUMBER(IFERROR(SEARCH('PLANILLA DJ'!$X$3,$A100,1),""))</f>
        <v>1</v>
      </c>
      <c r="G100" s="207">
        <f>--ISNUMBER(IFERROR(SEARCH('PLANILLA DJ'!$X$4,$A100,1),""))</f>
        <v>1</v>
      </c>
      <c r="H100" s="207">
        <f>--ISNUMBER(IFERROR(SEARCH('PLANILLA DJ'!$X$5,$A100,1),""))</f>
        <v>1</v>
      </c>
      <c r="I100" s="207">
        <f>--ISNUMBER(IFERROR(SEARCH('PLANILLA DJ'!$X$6,$A100,1),""))</f>
        <v>1</v>
      </c>
      <c r="J100" s="207">
        <f>--ISNUMBER(IFERROR(SEARCH('PLANILLA DJ'!$X$7,$A100,1),""))</f>
        <v>1</v>
      </c>
      <c r="K100" s="207">
        <f>--ISNUMBER(IFERROR(SEARCH('PLANILLA DJ'!$X$8,$A100,1),""))</f>
        <v>1</v>
      </c>
      <c r="L100" s="207">
        <f>--ISNUMBER(IFERROR(SEARCH('PLANILLA DJ'!$X$9,$A100,1),""))</f>
        <v>1</v>
      </c>
      <c r="M100" s="207">
        <f>--ISNUMBER(IFERROR(SEARCH('PLANILLA DJ'!$X$10,$A100,1),""))</f>
        <v>1</v>
      </c>
      <c r="N100" s="207">
        <f>--ISNUMBER(IFERROR(SEARCH('PLANILLA DJ'!$X$11,$A100,1),""))</f>
        <v>1</v>
      </c>
      <c r="O100" s="207">
        <f>--ISNUMBER(IFERROR(SEARCH('PLANILLA DJ'!$X$12,$A100,1),""))</f>
        <v>1</v>
      </c>
      <c r="P100" s="207">
        <f>--ISNUMBER(IFERROR(SEARCH('PLANILLA DJ'!$X$13,$A100,1),""))</f>
        <v>1</v>
      </c>
      <c r="Q100" s="207">
        <f>--ISNUMBER(IFERROR(SEARCH('PLANILLA DJ'!$X$14,$A100,1),""))</f>
        <v>1</v>
      </c>
      <c r="R100" s="207">
        <f>--ISNUMBER(IFERROR(SEARCH('PLANILLA DJ'!$X$15,$A100,1),""))</f>
        <v>1</v>
      </c>
      <c r="S100" s="207">
        <f>--ISNUMBER(IFERROR(SEARCH('PLANILLA DJ'!$X$16,$A100,1),""))</f>
        <v>1</v>
      </c>
      <c r="T100" s="207">
        <f>--ISNUMBER(IFERROR(SEARCH('PLANILLA DJ'!$X$17,$A100,1),""))</f>
        <v>1</v>
      </c>
      <c r="U100" s="207">
        <f>--ISNUMBER(IFERROR(SEARCH('PLANILLA DJ'!$X$18,$A100,1),""))</f>
        <v>1</v>
      </c>
      <c r="V100" s="207">
        <f>--ISNUMBER(IFERROR(SEARCH('PLANILLA DJ'!$X$19,$A100,1),""))</f>
        <v>1</v>
      </c>
      <c r="W100" s="207">
        <f>--ISNUMBER(IFERROR(SEARCH('PLANILLA DJ'!$X$20,$A100,1),""))</f>
        <v>1</v>
      </c>
      <c r="X100" s="207">
        <f>--ISNUMBER(IFERROR(SEARCH('PLANILLA DJ'!$X$21,$A100,1),""))</f>
        <v>1</v>
      </c>
      <c r="Y100" s="207">
        <f>--ISNUMBER(IFERROR(SEARCH('PLANILLA DJ'!$X$22,$A100,1),""))</f>
        <v>1</v>
      </c>
      <c r="Z100" s="207">
        <f>--ISNUMBER(IFERROR(SEARCH('PLANILLA DJ'!$X$23,$A100,1),""))</f>
        <v>1</v>
      </c>
      <c r="AA100" s="207">
        <f>--ISNUMBER(IFERROR(SEARCH('PLANILLA DJ'!$X$24,$A100,1),""))</f>
        <v>1</v>
      </c>
      <c r="AB100" s="207">
        <f>--ISNUMBER(IFERROR(SEARCH('PLANILLA DJ'!$X$25,$A100,1),""))</f>
        <v>1</v>
      </c>
      <c r="AC100" s="207">
        <f>--ISNUMBER(IFERROR(SEARCH('PLANILLA DJ'!$X$26,$A100,1),""))</f>
        <v>1</v>
      </c>
      <c r="AD100" s="207">
        <f>--ISNUMBER(IFERROR(SEARCH('PLANILLA DJ'!$X$27,$A100,1),""))</f>
        <v>1</v>
      </c>
      <c r="AE100" s="207">
        <f>--ISNUMBER(IFERROR(SEARCH('PLANILLA DJ'!$X$28,$A100,1),""))</f>
        <v>1</v>
      </c>
      <c r="AF100" s="207">
        <f>--ISNUMBER(IFERROR(SEARCH('PLANILLA DJ'!$X$29,$A100,1),""))</f>
        <v>1</v>
      </c>
      <c r="AG100" s="207">
        <f>--ISNUMBER(IFERROR(SEARCH('PLANILLA DJ'!$X$30,$A100,1),""))</f>
        <v>1</v>
      </c>
      <c r="AH100" s="207">
        <f>--ISNUMBER(IFERROR(SEARCH('PLANILLA DJ'!$X$31,$A100,1),""))</f>
        <v>1</v>
      </c>
      <c r="AI100" s="207">
        <f>--ISNUMBER(IFERROR(SEARCH('PLANILLA DJ'!$X$32,$A100,1),""))</f>
        <v>1</v>
      </c>
      <c r="AJ100" s="207">
        <f>--ISNUMBER(IFERROR(SEARCH('PLANILLA DJ'!$X$33,$A100,1),""))</f>
        <v>1</v>
      </c>
      <c r="AK100" s="207">
        <f>--ISNUMBER(IFERROR(SEARCH('PLANILLA DJ'!$X$34,$A100,1),""))</f>
        <v>1</v>
      </c>
      <c r="AL100" s="207">
        <f>--ISNUMBER(IFERROR(SEARCH('PLANILLA DJ'!$X$35,$A100,1),""))</f>
        <v>1</v>
      </c>
      <c r="AM100" s="207">
        <f>--ISNUMBER(IFERROR(SEARCH('PLANILLA DJ'!$X$36,$A100,1),""))</f>
        <v>1</v>
      </c>
      <c r="AN100" s="207">
        <f>--ISNUMBER(IFERROR(SEARCH('PLANILLA DJ'!$X$37,$A100,1),""))</f>
        <v>1</v>
      </c>
      <c r="AO100" s="207">
        <f>--ISNUMBER(IFERROR(SEARCH('PLANILLA DJ'!$X$38,$A100,1),""))</f>
        <v>1</v>
      </c>
      <c r="AP100" s="207">
        <f>--ISNUMBER(IFERROR(SEARCH('PLANILLA DJ'!$X$39,$A100,1),""))</f>
        <v>1</v>
      </c>
      <c r="AQ100" s="207">
        <f>--ISNUMBER(IFERROR(SEARCH('PLANILLA DJ'!$X$40,$A100,1),""))</f>
        <v>1</v>
      </c>
      <c r="AR100" s="207">
        <f>--ISNUMBER(IFERROR(SEARCH('PLANILLA DJ'!$X$41,$A100,1),""))</f>
        <v>1</v>
      </c>
      <c r="AS100" s="207">
        <f>--ISNUMBER(IFERROR(SEARCH('PLANILLA DJ'!$X$42,$A100,1),""))</f>
        <v>1</v>
      </c>
      <c r="AT100" s="207">
        <f>--ISNUMBER(IFERROR(SEARCH('PLANILLA DJ'!$X$43,$A100,1),""))</f>
        <v>1</v>
      </c>
      <c r="AU100" s="207">
        <f>--ISNUMBER(IFERROR(SEARCH('PLANILLA DJ'!$X$44,$A100,1),""))</f>
        <v>1</v>
      </c>
      <c r="AV100" s="207">
        <f>--ISNUMBER(IFERROR(SEARCH('PLANILLA DJ'!$X$45,$A100,1),""))</f>
        <v>1</v>
      </c>
      <c r="AW100" s="207">
        <f>--ISNUMBER(IFERROR(SEARCH('PLANILLA DJ'!$X$46,$A100,1),""))</f>
        <v>1</v>
      </c>
      <c r="AX100" s="207">
        <f>--ISNUMBER(IFERROR(SEARCH('PLANILLA DJ'!$X$47,$A100,1),""))</f>
        <v>1</v>
      </c>
      <c r="AY100" s="207">
        <f>--ISNUMBER(IFERROR(SEARCH('PLANILLA DJ'!$X$48,$A100,1),""))</f>
        <v>1</v>
      </c>
      <c r="AZ100" s="207">
        <f>--ISNUMBER(IFERROR(SEARCH('PLANILLA DJ'!$X$49,$A100,1),""))</f>
        <v>1</v>
      </c>
      <c r="BA100" s="207">
        <f>--ISNUMBER(IFERROR(SEARCH('PLANILLA DJ'!$X$50,$A100,1),""))</f>
        <v>1</v>
      </c>
      <c r="BB100" s="207">
        <f>--ISNUMBER(IFERROR(SEARCH('PLANILLA DJ'!$X$51,$A100,1),""))</f>
        <v>1</v>
      </c>
      <c r="BC100" s="207">
        <f>--ISNUMBER(IFERROR(SEARCH('PLANILLA DJ'!$X$52,$A100,1),""))</f>
        <v>1</v>
      </c>
      <c r="BD100" s="207">
        <f>--ISNUMBER(IFERROR(SEARCH('PLANILLA DJ'!$X$53,$A100,1),""))</f>
        <v>1</v>
      </c>
      <c r="BE100" s="207">
        <f>--ISNUMBER(IFERROR(SEARCH('PLANILLA DJ'!$X$54,$A100,1),""))</f>
        <v>1</v>
      </c>
      <c r="BF100" s="207">
        <f>--ISNUMBER(IFERROR(SEARCH('PLANILLA DJ'!$X$55,$A100,1),""))</f>
        <v>1</v>
      </c>
      <c r="BG100" s="207">
        <f>--ISNUMBER(IFERROR(SEARCH('PLANILLA DJ'!$X$56,$A100,1),""))</f>
        <v>1</v>
      </c>
      <c r="BH100" s="207">
        <f>--ISNUMBER(IFERROR(SEARCH('PLANILLA DJ'!$X$57,$A100,1),""))</f>
        <v>1</v>
      </c>
      <c r="BI100" s="207">
        <f>--ISNUMBER(IFERROR(SEARCH('PLANILLA DJ'!$X$58,$A100,1),""))</f>
        <v>1</v>
      </c>
      <c r="BJ100" s="207">
        <f>--ISNUMBER(IFERROR(SEARCH('PLANILLA DJ'!$X$59,$A100,1),""))</f>
        <v>1</v>
      </c>
      <c r="BK100" s="207">
        <f>--ISNUMBER(IFERROR(SEARCH('PLANILLA DJ'!$X$60,$A100,1),""))</f>
        <v>1</v>
      </c>
      <c r="BL100" s="207">
        <f>--ISNUMBER(IFERROR(SEARCH('PLANILLA DJ'!$X$61,$A100,1),""))</f>
        <v>1</v>
      </c>
      <c r="BM100" s="207">
        <f>--ISNUMBER(IFERROR(SEARCH('PLANILLA DJ'!$X$62,$A100,1),""))</f>
        <v>1</v>
      </c>
      <c r="BN100" s="207">
        <f>--ISNUMBER(IFERROR(SEARCH('PLANILLA DJ'!$X$63,$A100,1),""))</f>
        <v>1</v>
      </c>
      <c r="BO100" s="207">
        <f>--ISNUMBER(IFERROR(SEARCH('PLANILLA DJ'!$X$64,$A100,1),""))</f>
        <v>1</v>
      </c>
      <c r="BP100" s="207">
        <f>--ISNUMBER(IFERROR(SEARCH('PLANILLA DJ'!$X$65,$A100,1),""))</f>
        <v>1</v>
      </c>
      <c r="BQ100" s="207">
        <f>--ISNUMBER(IFERROR(SEARCH('PLANILLA DJ'!$X$66,$A100,1),""))</f>
        <v>1</v>
      </c>
      <c r="BR100" s="207">
        <f>--ISNUMBER(IFERROR(SEARCH('PLANILLA DJ'!$X$67,$A100,1),""))</f>
        <v>1</v>
      </c>
      <c r="BS100" s="207">
        <f>--ISNUMBER(IFERROR(SEARCH('PLANILLA DJ'!$X$68,$A100,1),""))</f>
        <v>1</v>
      </c>
      <c r="BT100" s="207">
        <f>--ISNUMBER(IFERROR(SEARCH('PLANILLA DJ'!$X$69,$A100,1),""))</f>
        <v>1</v>
      </c>
      <c r="BU100" s="207">
        <f>--ISNUMBER(IFERROR(SEARCH('PLANILLA DJ'!$X$70,$A100,1),""))</f>
        <v>1</v>
      </c>
      <c r="BV100" s="207">
        <f>--ISNUMBER(IFERROR(SEARCH('PLANILLA DJ'!$X$71,$A100,1),""))</f>
        <v>1</v>
      </c>
      <c r="BW100" s="207">
        <f>--ISNUMBER(IFERROR(SEARCH('PLANILLA DJ'!$X$72,$A100,1),""))</f>
        <v>1</v>
      </c>
      <c r="BX100" s="207">
        <f>--ISNUMBER(IFERROR(SEARCH('PLANILLA DJ'!$X$73,$A100,1),""))</f>
        <v>1</v>
      </c>
      <c r="BY100" s="207">
        <f>--ISNUMBER(IFERROR(SEARCH('PLANILLA DJ'!$X$74,$A100,1),""))</f>
        <v>1</v>
      </c>
      <c r="BZ100" s="207">
        <f>--ISNUMBER(IFERROR(SEARCH('PLANILLA DJ'!$X$75,$A100,1),""))</f>
        <v>1</v>
      </c>
      <c r="CA100" s="207">
        <f>--ISNUMBER(IFERROR(SEARCH('PLANILLA DJ'!$X$76,$A100,1),""))</f>
        <v>1</v>
      </c>
      <c r="CB100" s="207">
        <f>--ISNUMBER(IFERROR(SEARCH('PLANILLA DJ'!$X$77,$A100,1),""))</f>
        <v>1</v>
      </c>
      <c r="CC100" s="207">
        <f>--ISNUMBER(IFERROR(SEARCH('PLANILLA DJ'!$X$78,$A100,1),""))</f>
        <v>1</v>
      </c>
      <c r="CD100" s="207">
        <f>--ISNUMBER(IFERROR(SEARCH('PLANILLA DJ'!$X$79,$A100,1),""))</f>
        <v>1</v>
      </c>
      <c r="CE100" s="207">
        <f>--ISNUMBER(IFERROR(SEARCH('PLANILLA DJ'!$X$80,$A100,1),""))</f>
        <v>1</v>
      </c>
      <c r="CF100" s="207">
        <f>--ISNUMBER(IFERROR(SEARCH('PLANILLA DJ'!$X$81,$A100,1),""))</f>
        <v>1</v>
      </c>
      <c r="CG100" s="207">
        <f>--ISNUMBER(IFERROR(SEARCH('PLANILLA DJ'!$X$82,$A100,1),""))</f>
        <v>1</v>
      </c>
      <c r="CH100" s="207">
        <f>--ISNUMBER(IFERROR(SEARCH('PLANILLA DJ'!$X$83,$A100,1),""))</f>
        <v>1</v>
      </c>
      <c r="CI100" s="207">
        <f>--ISNUMBER(IFERROR(SEARCH('PLANILLA DJ'!$X$84,$A100,1),""))</f>
        <v>1</v>
      </c>
      <c r="CJ100" s="207">
        <f>--ISNUMBER(IFERROR(SEARCH('PLANILLA DJ'!$X$85,$A100,1),""))</f>
        <v>1</v>
      </c>
      <c r="CK100" s="207">
        <f>--ISNUMBER(IFERROR(SEARCH('PLANILLA DJ'!$X$86,$A100,1),""))</f>
        <v>1</v>
      </c>
      <c r="CL100" s="207">
        <f>--ISNUMBER(IFERROR(SEARCH('PLANILLA DJ'!$X$87,$A100,1),""))</f>
        <v>1</v>
      </c>
      <c r="CM100" s="207">
        <f>--ISNUMBER(IFERROR(SEARCH('PLANILLA DJ'!$X$88,$A100,1),""))</f>
        <v>1</v>
      </c>
      <c r="CN100" s="207">
        <f>--ISNUMBER(IFERROR(SEARCH('PLANILLA DJ'!$X$89,$A100,1),""))</f>
        <v>1</v>
      </c>
      <c r="CO100" s="207">
        <f>--ISNUMBER(IFERROR(SEARCH('PLANILLA DJ'!$X$90,$A100,1),""))</f>
        <v>1</v>
      </c>
      <c r="CP100" s="207">
        <f>--ISNUMBER(IFERROR(SEARCH('PLANILLA DJ'!$X$91,$A100,1),""))</f>
        <v>1</v>
      </c>
      <c r="CQ100" s="207">
        <f>--ISNUMBER(IFERROR(SEARCH('PLANILLA DJ'!$X$92,$A100,1),""))</f>
        <v>1</v>
      </c>
      <c r="CR100" s="207">
        <f>--ISNUMBER(IFERROR(SEARCH('PLANILLA DJ'!$X$93,$A100,1),""))</f>
        <v>1</v>
      </c>
      <c r="CS100" s="207">
        <f>--ISNUMBER(IFERROR(SEARCH('PLANILLA DJ'!$X$94,$A100,1),""))</f>
        <v>1</v>
      </c>
      <c r="CT100" s="207">
        <f>--ISNUMBER(IFERROR(SEARCH('PLANILLA DJ'!$X$95,$A100,1),""))</f>
        <v>1</v>
      </c>
      <c r="CU100" s="207">
        <f>--ISNUMBER(IFERROR(SEARCH('PLANILLA DJ'!$X$96,$A100,1),""))</f>
        <v>1</v>
      </c>
      <c r="CV100" s="207">
        <f>--ISNUMBER(IFERROR(SEARCH('PLANILLA DJ'!$X$97,$A100,1),""))</f>
        <v>1</v>
      </c>
      <c r="CW100" s="207">
        <f>--ISNUMBER(IFERROR(SEARCH('PLANILLA DJ'!$X$98,$A100,1),""))</f>
        <v>1</v>
      </c>
      <c r="CX100" s="207">
        <f>--ISNUMBER(IFERROR(SEARCH('PLANILLA DJ'!$X$99,$A100,1),""))</f>
        <v>1</v>
      </c>
      <c r="CY100" s="207">
        <f>--ISNUMBER(IFERROR(SEARCH('PLANILLA DJ'!$X$100,$A100,1),""))</f>
        <v>1</v>
      </c>
      <c r="CZ100" s="207">
        <f>--ISNUMBER(IFERROR(SEARCH('PLANILLA DJ'!$X$101,$A100,1),""))</f>
        <v>1</v>
      </c>
      <c r="DA100" s="207">
        <f>--ISNUMBER(IFERROR(SEARCH('PLANILLA DJ'!$X$102,$A100,1),""))</f>
        <v>1</v>
      </c>
      <c r="DB100" s="206">
        <f>IF(F100=1,COUNTIF($F$2:F100,1),"")</f>
        <v>99</v>
      </c>
      <c r="DC100" s="206">
        <f>IF(G100=1,COUNTIF($G$2:G100,1),"")</f>
        <v>99</v>
      </c>
      <c r="DD100" s="206">
        <f>IF(H100=1,COUNTIF($H$2:H100,1),"")</f>
        <v>99</v>
      </c>
      <c r="DE100" s="206">
        <f>IF(I100=1,COUNTIF($I$2:I100,1),"")</f>
        <v>99</v>
      </c>
      <c r="DF100" s="206">
        <f>IF(J100=1,COUNTIF($J$2:J100,1),"")</f>
        <v>99</v>
      </c>
      <c r="DG100" s="206">
        <f>IF(K100=1,COUNTIF($K$2:K100,1),"")</f>
        <v>99</v>
      </c>
      <c r="DH100" s="206">
        <f>IF(L100=1,COUNTIF($L$2:L100,1),"")</f>
        <v>99</v>
      </c>
      <c r="DI100" s="206">
        <f>IF(M100=1,COUNTIF($M$2:M100,1),"")</f>
        <v>99</v>
      </c>
      <c r="DJ100" s="206">
        <f>IF(N100=1,COUNTIF($N$2:N100,1),"")</f>
        <v>99</v>
      </c>
      <c r="DK100" s="206">
        <f>IF(O100=1,COUNTIF($O$2:O100,1),"")</f>
        <v>99</v>
      </c>
      <c r="DL100" s="206">
        <f>IF(P100=1,COUNTIF($P$2:P100,1),"")</f>
        <v>99</v>
      </c>
      <c r="DM100" s="206">
        <f>IF(Q100=1,COUNTIF($Q$2:Q100,1),"")</f>
        <v>99</v>
      </c>
      <c r="DN100" s="207">
        <f>IF(R100=1,COUNTIF($R$2:R100,1),"")</f>
        <v>99</v>
      </c>
      <c r="DO100" s="207">
        <f>IF(S100=1,COUNTIF($S$2:S100,1),"")</f>
        <v>99</v>
      </c>
      <c r="DP100" s="207">
        <f>IF(T100=1,COUNTIF($T$2:T100,1),"")</f>
        <v>99</v>
      </c>
      <c r="DQ100" s="207">
        <f>IF(U100=1,COUNTIF($U$2:U100,1),"")</f>
        <v>99</v>
      </c>
      <c r="DR100" s="207">
        <f>IF(V100=1,COUNTIF($V$2:V100,1),"")</f>
        <v>99</v>
      </c>
      <c r="DS100" s="207">
        <f>IF(W100=1,COUNTIF($W$2:W100,1),"")</f>
        <v>99</v>
      </c>
      <c r="DT100" s="207">
        <f>IF(X100=1,COUNTIF($X$2:X100,1),"")</f>
        <v>99</v>
      </c>
      <c r="DU100" s="207">
        <f>IF(Y100=1,COUNTIF($Y$2:Y100,1),"")</f>
        <v>99</v>
      </c>
      <c r="DV100" s="207">
        <f>IF(Z100=1,COUNTIF(Z$2:Z100,1),"")</f>
        <v>99</v>
      </c>
      <c r="DW100" s="207">
        <f>IF(AA100=1,COUNTIF($AA$2:AA100,1),"")</f>
        <v>99</v>
      </c>
      <c r="DX100" s="207">
        <f>IF(AB100=1,COUNTIF($AB$2:AB100,1),"")</f>
        <v>99</v>
      </c>
      <c r="DY100" s="207">
        <f>IF(AC100=1,COUNTIF($AC$2:AC100,1),"")</f>
        <v>99</v>
      </c>
      <c r="DZ100" s="207">
        <f>IF(AD100=1,COUNTIF($AD$2:AD100,1),"")</f>
        <v>99</v>
      </c>
      <c r="EA100" s="207">
        <f>IF(AE100=1,COUNTIF($AE$2:AE100,1),"")</f>
        <v>99</v>
      </c>
      <c r="EB100" s="207">
        <f>IF(AF100=1,COUNTIF($AF$2:AF100,1),"")</f>
        <v>99</v>
      </c>
      <c r="EC100" s="207">
        <f>IF(AG100=1,COUNTIF($AG$2:AG100,1),"")</f>
        <v>99</v>
      </c>
      <c r="ED100" s="207">
        <f>IF(AH100=1,COUNTIF($AH$2:AH100,1),"")</f>
        <v>99</v>
      </c>
      <c r="EE100" s="207">
        <f>IF(AI100=1,COUNTIF($AI$2:AI100,1),"")</f>
        <v>99</v>
      </c>
      <c r="EF100" s="207">
        <f>IF(AJ100=1,COUNTIF($AJ$2:AJ100,1),"")</f>
        <v>99</v>
      </c>
      <c r="EG100" s="207">
        <f>IF(AK100=1,COUNTIF($AK$2:AK100,1),"")</f>
        <v>99</v>
      </c>
      <c r="EH100" s="207">
        <f>IF(AL100=1,COUNTIF($AL$2:AL100,1),"")</f>
        <v>99</v>
      </c>
      <c r="EI100" s="207">
        <f>IF(AM100=1,COUNTIF($AM$2:AM100,1),"")</f>
        <v>99</v>
      </c>
      <c r="EJ100" s="207">
        <f>IF(AN100=1,COUNTIF($AN$2:AN100,1),"")</f>
        <v>99</v>
      </c>
      <c r="EK100" s="207">
        <f>IF(AO100=1,COUNTIF($AO$2:AO100,1),"")</f>
        <v>99</v>
      </c>
      <c r="EL100" s="207">
        <f>IF(AP100=1,COUNTIF($AP$2:AP100,1),"")</f>
        <v>99</v>
      </c>
      <c r="EM100" s="207">
        <f>IF(AQ100=1,COUNTIF($AQ$2:AQ100,1),"")</f>
        <v>99</v>
      </c>
      <c r="EN100" s="207">
        <f>IF(AR100=1,COUNTIF($AR$2:AR100,1),"")</f>
        <v>99</v>
      </c>
      <c r="EO100" s="207">
        <f>IF(AS100=1,COUNTIF($AS$2:AS100,1),"")</f>
        <v>99</v>
      </c>
      <c r="EP100" s="207">
        <f>IF(AT100=1,COUNTIF($AT$2:AT100,1),"")</f>
        <v>99</v>
      </c>
      <c r="EQ100" s="207">
        <f>IF(AU100=1,COUNTIF($AU$2:AU100,1),"")</f>
        <v>99</v>
      </c>
      <c r="ER100" s="207">
        <f>IF(AV100=1,COUNTIF($AV$2:AV100,1),"")</f>
        <v>99</v>
      </c>
      <c r="ES100" s="207">
        <f>IF(AW100=1,COUNTIF($AW$2:AW100,1),"")</f>
        <v>99</v>
      </c>
      <c r="ET100" s="207">
        <f>IF(AX100=1,COUNTIF($AX$2:AX100,1),"")</f>
        <v>99</v>
      </c>
      <c r="EU100" s="207">
        <f>IF(AY100=1,COUNTIF($AY$2:AY100,1),"")</f>
        <v>99</v>
      </c>
      <c r="EV100" s="207">
        <f>IF(AZ100=1,COUNTIF($AZ$2:AZ100,1),"")</f>
        <v>99</v>
      </c>
      <c r="EW100" s="207">
        <f>IF(BA100=1,COUNTIF($BA$2:BA100,1),"")</f>
        <v>99</v>
      </c>
      <c r="EX100" s="207">
        <f>IF(BB100=1,COUNTIF($BB$2:BB100,1),"")</f>
        <v>99</v>
      </c>
      <c r="EY100" s="207">
        <f>IF(BC100=1,COUNTIF($BC$2:BC100,1),"")</f>
        <v>99</v>
      </c>
      <c r="EZ100" s="207">
        <f>IF(BD100=1,COUNTIF($BD$2:BD100,1),"")</f>
        <v>99</v>
      </c>
      <c r="FA100" s="207">
        <f>IF(BE100=1,COUNTIF($BE$2:BE100,1),"")</f>
        <v>99</v>
      </c>
      <c r="FB100" s="207">
        <f>IF(BF100=1,COUNTIF($BF$2:BF100,1),"")</f>
        <v>99</v>
      </c>
      <c r="FC100" s="207">
        <f>IF(BG100=1,COUNTIF($BG$2:BG100,1),"")</f>
        <v>99</v>
      </c>
      <c r="FD100" s="207">
        <f>IF(BH100=1,COUNTIF($BH$2:BH100,1),"")</f>
        <v>99</v>
      </c>
      <c r="FE100" s="207">
        <f>IF(BI100=1,COUNTIF($BI$2:BI100,1),"")</f>
        <v>99</v>
      </c>
      <c r="FF100" s="207">
        <f>IF(BJ100=1,COUNTIF($BJ$2:BJ100,1),"")</f>
        <v>99</v>
      </c>
      <c r="FG100" s="207">
        <f>IF(BK100=1,COUNTIF($BK$2:BK100,1),"")</f>
        <v>99</v>
      </c>
      <c r="FH100" s="207">
        <f>IF(BL100=1,COUNTIF($BL$2:BL100,1),"")</f>
        <v>99</v>
      </c>
      <c r="FI100" s="207">
        <f>IF(BM100=1,COUNTIF($BM$2:BM100,1),"")</f>
        <v>99</v>
      </c>
      <c r="FJ100" s="207">
        <f>IF(BN100=1,COUNTIF($BN$2:BN100,1),"")</f>
        <v>99</v>
      </c>
      <c r="FK100" s="207">
        <f>IF(BO100=1,COUNTIF($BO$2:BO100,1),"")</f>
        <v>99</v>
      </c>
      <c r="FL100" s="207">
        <f>IF(BP100=1,COUNTIF($BP$2:BP100,1),"")</f>
        <v>99</v>
      </c>
      <c r="FM100" s="207">
        <f>IF(BQ100=1,COUNTIF($BQ$2:BQ100,1),"")</f>
        <v>99</v>
      </c>
      <c r="FN100" s="207">
        <f>IF(BR100=1,COUNTIF($BR$2:BR100,1),"")</f>
        <v>99</v>
      </c>
      <c r="FO100" s="207">
        <f>IF(BS100=1,COUNTIF($BS$2:BS100,1),"")</f>
        <v>99</v>
      </c>
      <c r="FP100" s="207">
        <f>IF(BT100=1,COUNTIF($BT$2:BT100,1),"")</f>
        <v>99</v>
      </c>
      <c r="FQ100" s="207">
        <f>IF(BU100=1,COUNTIF($BU$2:BU100,1),"")</f>
        <v>99</v>
      </c>
      <c r="FR100" s="207">
        <f>IF(BV100=1,COUNTIF($BV$2:BV100,1),"")</f>
        <v>99</v>
      </c>
      <c r="FS100" s="207">
        <f>IF(BW100=1,COUNTIF($BW$2:BW100,1),"")</f>
        <v>99</v>
      </c>
      <c r="FT100" s="207">
        <f>IF(BX100=1,COUNTIF($BX$2:BX100,1),"")</f>
        <v>99</v>
      </c>
      <c r="FU100" s="207">
        <f>IF(BY100=1,COUNTIF($BY$2:BY100,1),"")</f>
        <v>99</v>
      </c>
      <c r="FV100" s="207">
        <f>IF(BZ100=1,COUNTIF($BZ$2:BZ100,1),"")</f>
        <v>99</v>
      </c>
      <c r="FW100" s="207">
        <f>IF(CA100=1,COUNTIF($CA$2:CA100,1),"")</f>
        <v>99</v>
      </c>
      <c r="FX100" s="207">
        <f>IF(CB100=1,COUNTIF($CB$2:CB100,1),"")</f>
        <v>99</v>
      </c>
      <c r="FY100" s="207">
        <f>IF(CC100=1,COUNTIF($CC$2:CC100,1),"")</f>
        <v>99</v>
      </c>
      <c r="FZ100" s="207">
        <f>IF(CD100=1,COUNTIF($CD$2:CD100,1),"")</f>
        <v>99</v>
      </c>
      <c r="GA100" s="207">
        <f>IF(CE100=1,COUNTIF($CE$2:CE100,1),"")</f>
        <v>99</v>
      </c>
      <c r="GB100" s="207">
        <f>IF(CF100=1,COUNTIF($CF$2:CF100,1),"")</f>
        <v>99</v>
      </c>
      <c r="GC100" s="207">
        <f>IF(CG100=1,COUNTIF($CG$2:CG100,1),"")</f>
        <v>99</v>
      </c>
      <c r="GD100" s="207">
        <f>IF(CH100=1,COUNTIF($CH$2:CH100,1),"")</f>
        <v>99</v>
      </c>
      <c r="GE100" s="207">
        <f>IF(CI100=1,COUNTIF($CI$2:CI100,1),"")</f>
        <v>99</v>
      </c>
      <c r="GF100" s="207">
        <f>IF(CJ100=1,COUNTIF($CJ$2:CJ100,1),"")</f>
        <v>99</v>
      </c>
      <c r="GG100" s="207">
        <f>IF(CK100=1,COUNTIF($CK$2:CK100,1),"")</f>
        <v>99</v>
      </c>
      <c r="GH100" s="207">
        <f>IF(CL100=1,COUNTIF($CL$2:CL100,1),"")</f>
        <v>99</v>
      </c>
      <c r="GI100" s="207">
        <f>IF(CM100=1,COUNTIF($CM$2:CM100,1),"")</f>
        <v>99</v>
      </c>
      <c r="GJ100" s="207">
        <f>IF(CN100=1,COUNTIF($CN$2:CN100,1),"")</f>
        <v>99</v>
      </c>
      <c r="GK100" s="207">
        <f>IF(CO100=1,COUNTIF($CO$2:CO100,1),"")</f>
        <v>99</v>
      </c>
      <c r="GL100" s="207">
        <f>IF(CP100=1,COUNTIF($CP$2:CP100,1),"")</f>
        <v>99</v>
      </c>
      <c r="GM100" s="207">
        <f>IF(CQ100=1,COUNTIF($CQ$2:CQ100,1),"")</f>
        <v>99</v>
      </c>
      <c r="GN100" s="207">
        <f>IF(CR100=1,COUNTIF($CR$2:CR100,1),"")</f>
        <v>99</v>
      </c>
      <c r="GO100" s="207">
        <f>IF(CS100=1,COUNTIF($CS$2:CS100,1),"")</f>
        <v>99</v>
      </c>
      <c r="GP100" s="207">
        <f>IF(CT100=1,COUNTIF($CT$2:CT100,1),"")</f>
        <v>99</v>
      </c>
      <c r="GQ100" s="207">
        <f>IF(CU100=1,COUNTIF($CU$2:CU100,1),"")</f>
        <v>99</v>
      </c>
      <c r="GR100" s="207">
        <f>IF(CV100=1,COUNTIF($CV$2:CV100,1),"")</f>
        <v>99</v>
      </c>
      <c r="GS100" s="207">
        <f>IF(CW100=1,COUNTIF($CW$2:CW100,1),"")</f>
        <v>99</v>
      </c>
      <c r="GT100" s="207">
        <f>IF(CX100=1,COUNTIF($CX$2:CX100,1),"")</f>
        <v>99</v>
      </c>
      <c r="GU100" s="207">
        <f>IF(CY100=1,COUNTIF($CY$2:CY100,1),"")</f>
        <v>99</v>
      </c>
      <c r="GV100" s="207">
        <f>IF(CZ100=1,COUNTIF($CZ$2:CZ100,1),"")</f>
        <v>99</v>
      </c>
      <c r="GW100" s="207">
        <f>IF(DA100=1,COUNTIF($DA$2:DA100,1),"")</f>
        <v>99</v>
      </c>
      <c r="GX100" s="206" t="str">
        <f>IFERROR(INDEX($A$2:$A$113,MATCH(ROWS($DB$2:DB100),$DB$2:$DB$113,0)),"")</f>
        <v>CONTRABANDO DE ESTUPEFACIENTES</v>
      </c>
      <c r="GY100" s="206" t="str">
        <f>IFERROR(INDEX($A$2:$A$113,MATCH(ROWS($DC$2:DC100),$DC$2:$DC$113,0)),"")</f>
        <v>CONTRABANDO DE ESTUPEFACIENTES</v>
      </c>
      <c r="GZ100" s="206" t="str">
        <f>IFERROR(INDEX($A$2:$A$113,MATCH(ROWS($DD$2:DD100),$DD$2:$DD$113,0)),"")</f>
        <v>CONTRABANDO DE ESTUPEFACIENTES</v>
      </c>
      <c r="HA100" s="206" t="str">
        <f>IFERROR(INDEX($A$2:$A$113,MATCH(ROWS($DE$2:DE100),$DE$2:$DE$113,0)),"")</f>
        <v>CONTRABANDO DE ESTUPEFACIENTES</v>
      </c>
      <c r="HB100" s="206" t="str">
        <f>IFERROR(INDEX($A$2:$A$113,MATCH(ROWS($DF$2:DF100),$DF$2:$DF$113,0)),"")</f>
        <v>CONTRABANDO DE ESTUPEFACIENTES</v>
      </c>
      <c r="HC100" s="206" t="str">
        <f>IFERROR(INDEX($A$2:$A$113,MATCH(ROWS($DG$2:DG100),$DG$2:$DG$113,0)),"")</f>
        <v>CONTRABANDO DE ESTUPEFACIENTES</v>
      </c>
      <c r="HD100" s="206" t="str">
        <f>IFERROR(INDEX($A$2:$A$113,MATCH(ROWS($DH$2:DH100),$DH$2:$DH$113,0)),"")</f>
        <v>CONTRABANDO DE ESTUPEFACIENTES</v>
      </c>
      <c r="HE100" s="206" t="str">
        <f>IFERROR(INDEX($A$2:$A$113,MATCH(ROWS($DI$2:DI100),$DI$2:$DI$113,0)),"")</f>
        <v>CONTRABANDO DE ESTUPEFACIENTES</v>
      </c>
      <c r="HF100" s="206" t="str">
        <f>IFERROR(INDEX($A$2:$A$113,MATCH(ROWS($DJ$2:DJ100),$DJ$2:$DJ$113,0)),"")</f>
        <v>CONTRABANDO DE ESTUPEFACIENTES</v>
      </c>
      <c r="HG100" s="206" t="str">
        <f>IFERROR(INDEX($A$2:$A$113,MATCH(ROWS($DK$2:DK100),$DK$2:$DK$113,0)),"")</f>
        <v>CONTRABANDO DE ESTUPEFACIENTES</v>
      </c>
      <c r="HH100" s="206" t="str">
        <f>IFERROR(INDEX($A$2:$A$113,MATCH(ROWS($DL$2:DL100),$DL$2:$DL$113,0)),"")</f>
        <v>CONTRABANDO DE ESTUPEFACIENTES</v>
      </c>
      <c r="HI100" s="206" t="str">
        <f>IFERROR(INDEX($A$2:$A$113,MATCH(ROWS($DM$2:DM100),$DM$2:$DM$113,0)),"")</f>
        <v>CONTRABANDO DE ESTUPEFACIENTES</v>
      </c>
      <c r="HJ100" s="206" t="str">
        <f>IFERROR(INDEX($A$2:$A$113,MATCH(ROWS($DN$2:DN100),$DN$2:$DN$113,0)),"")</f>
        <v>CONTRABANDO DE ESTUPEFACIENTES</v>
      </c>
      <c r="HK100" s="206" t="str">
        <f>IFERROR(INDEX($A$2:$A$113,MATCH(ROWS($DO$2:DO100),$DO$2:$DO$113,0)),"")</f>
        <v>CONTRABANDO DE ESTUPEFACIENTES</v>
      </c>
      <c r="HL100" s="206" t="str">
        <f>IFERROR(INDEX($A$2:$A$113,MATCH(ROWS($DP$2:DP100),$DP$2:$DP$113,0)),"")</f>
        <v>CONTRABANDO DE ESTUPEFACIENTES</v>
      </c>
      <c r="HM100" s="206" t="str">
        <f>IFERROR(INDEX($A$2:$A$113,MATCH(ROWS($DQ$2:DQ100),$DQ$2:$DQ$113,0)),"")</f>
        <v>CONTRABANDO DE ESTUPEFACIENTES</v>
      </c>
      <c r="HN100" s="206" t="str">
        <f>IFERROR(INDEX($A$2:$A$113,MATCH(ROWS($DR$2:DR100),$DR$2:$DR$113,0)),"")</f>
        <v>CONTRABANDO DE ESTUPEFACIENTES</v>
      </c>
      <c r="HO100" s="206" t="str">
        <f>IFERROR(INDEX($A$2:$A$113,MATCH(ROWS($DS$2:DS100),$DS$2:$DS$113,0)),"")</f>
        <v>CONTRABANDO DE ESTUPEFACIENTES</v>
      </c>
      <c r="HP100" s="206" t="str">
        <f>IFERROR(INDEX($A$2:$A$113,MATCH(ROWS($DT$2:DT100),$DT$2:$DT$113,0)),"")</f>
        <v>CONTRABANDO DE ESTUPEFACIENTES</v>
      </c>
      <c r="HQ100" s="206" t="str">
        <f>IFERROR(INDEX($A$2:$A$113,MATCH(ROWS($DU$2:DU100),$DU$2:$DU$113,0)),"")</f>
        <v>CONTRABANDO DE ESTUPEFACIENTES</v>
      </c>
      <c r="HR100" s="206" t="str">
        <f>IFERROR(INDEX($A$2:$A$113,MATCH(ROWS($DV$2:DV100),$DV$2:$DV$113,0)),"")</f>
        <v>CONTRABANDO DE ESTUPEFACIENTES</v>
      </c>
      <c r="HS100" s="206" t="str">
        <f>IFERROR(INDEX($A$2:$A$113,MATCH(ROWS($DW$2:DW100),$DW$2:$DW$113,0)),"")</f>
        <v>CONTRABANDO DE ESTUPEFACIENTES</v>
      </c>
      <c r="HT100" s="206" t="str">
        <f>IFERROR(INDEX($A$2:$A$113,MATCH(ROWS($DX$2:DX100),$DX$2:$DX$113,0)),"")</f>
        <v>CONTRABANDO DE ESTUPEFACIENTES</v>
      </c>
      <c r="HU100" s="206" t="str">
        <f>IFERROR(INDEX($A$2:$A$113,MATCH(ROWS($DY$2:DY100),$DY$2:$DY$113,0)),"")</f>
        <v>CONTRABANDO DE ESTUPEFACIENTES</v>
      </c>
      <c r="HV100" s="206" t="str">
        <f>IFERROR(INDEX($A$2:$A$113,MATCH(ROWS($DZ$2:DZ100),$DZ$2:$DZ$113,0)),"")</f>
        <v>CONTRABANDO DE ESTUPEFACIENTES</v>
      </c>
      <c r="HW100" s="206" t="str">
        <f>IFERROR(INDEX($A$2:$A$113,MATCH(ROWS($EA$2:EA100),$EA$2:$EA$113,0)),"")</f>
        <v>CONTRABANDO DE ESTUPEFACIENTES</v>
      </c>
      <c r="HX100" s="206" t="str">
        <f>IFERROR(INDEX($A$2:$A$113,MATCH(ROWS($EB$2:EB100),$EB$2:$EB$113,0)),"")</f>
        <v>CONTRABANDO DE ESTUPEFACIENTES</v>
      </c>
      <c r="HY100" s="206" t="str">
        <f>IFERROR(INDEX($A$2:$A$113,MATCH(ROWS($EC$2:EC100),$EC$2:$EC$113,0)),"")</f>
        <v>CONTRABANDO DE ESTUPEFACIENTES</v>
      </c>
      <c r="HZ100" s="206" t="str">
        <f>IFERROR(INDEX($A$2:$A$113,MATCH(ROWS($ED$2:ED100),$ED$2:$ED$113,0)),"")</f>
        <v>CONTRABANDO DE ESTUPEFACIENTES</v>
      </c>
      <c r="IA100" s="206" t="str">
        <f>IFERROR(INDEX($A$2:$A$113,MATCH(ROWS($EE$2:EE100),$EE$2:$EE$113,0)),"")</f>
        <v>CONTRABANDO DE ESTUPEFACIENTES</v>
      </c>
      <c r="IB100" s="206" t="str">
        <f>IFERROR(INDEX($A$2:$A$113,MATCH(ROWS($EF$2:EF100),$EF$2:$EF$113,0)),"")</f>
        <v>CONTRABANDO DE ESTUPEFACIENTES</v>
      </c>
      <c r="IC100" s="206" t="str">
        <f>IFERROR(INDEX($A$2:$A$113,MATCH(ROWS($EG$2:EG100),$EG$2:$EG$113,0)),"")</f>
        <v>CONTRABANDO DE ESTUPEFACIENTES</v>
      </c>
      <c r="ID100" s="206" t="str">
        <f>IFERROR(INDEX($A$2:$A$113,MATCH(ROWS($EH$2:EH100),$EH$2:$EH$113,0)),"")</f>
        <v>CONTRABANDO DE ESTUPEFACIENTES</v>
      </c>
      <c r="IE100" s="206" t="str">
        <f>IFERROR(INDEX($A$2:$A$113,MATCH(ROWS($EI$2:EI100),$EI$2:$EI$113,0)),"")</f>
        <v>CONTRABANDO DE ESTUPEFACIENTES</v>
      </c>
      <c r="IF100" s="206" t="str">
        <f>IFERROR(INDEX($A$2:$A$113,MATCH(ROWS($EJ$2:EJ100),$EJ$2:$EJ$113,0)),"")</f>
        <v>CONTRABANDO DE ESTUPEFACIENTES</v>
      </c>
      <c r="IG100" s="206" t="str">
        <f>IFERROR(INDEX($A$2:$A$113,MATCH(ROWS($EK$2:EK100),$EK$2:$EK$113,0)),"")</f>
        <v>CONTRABANDO DE ESTUPEFACIENTES</v>
      </c>
      <c r="IH100" s="206" t="str">
        <f>IFERROR(INDEX($A$2:$A$113,MATCH(ROWS($EL$2:EL100),$EL$2:$EL$113,0)),"")</f>
        <v>CONTRABANDO DE ESTUPEFACIENTES</v>
      </c>
      <c r="II100" s="206" t="str">
        <f>IFERROR(INDEX($A$2:$A$113,MATCH(ROWS($EM$2:EM100),$EM$2:$EM$113,0)),"")</f>
        <v>CONTRABANDO DE ESTUPEFACIENTES</v>
      </c>
      <c r="IJ100" s="206" t="str">
        <f>IFERROR(INDEX($A$2:$A$113,MATCH(ROWS($EN$2:EN100),$EN$2:$EN$113,0)),"")</f>
        <v>CONTRABANDO DE ESTUPEFACIENTES</v>
      </c>
      <c r="IK100" s="207" t="str">
        <f>IFERROR(INDEX($A$2:$A$113,MATCH(ROWS($EO$2:EO100),$EO$2:$EO$113,0)),"")</f>
        <v>CONTRABANDO DE ESTUPEFACIENTES</v>
      </c>
      <c r="IL100" s="207" t="str">
        <f>IFERROR(INDEX($A$2:$A$113,MATCH(ROWS($EP$2:EP100),$EP$2:$EP$113,0)),"")</f>
        <v>CONTRABANDO DE ESTUPEFACIENTES</v>
      </c>
      <c r="IM100" s="207" t="str">
        <f>IFERROR(INDEX($A$2:$A$113,MATCH(ROWS($EQ$2:EQ100),$EQ$2:$EQ$113,0)),"")</f>
        <v>CONTRABANDO DE ESTUPEFACIENTES</v>
      </c>
      <c r="IN100" s="207" t="str">
        <f>IFERROR(INDEX($A$2:$A$113,MATCH(ROWS($ER$2:ER100),$ER$2:$ER$113,0)),"")</f>
        <v>CONTRABANDO DE ESTUPEFACIENTES</v>
      </c>
      <c r="IO100" s="207" t="str">
        <f>IFERROR(INDEX($A$2:$A$113,MATCH(ROWS($ES$2:ES100),$ES$2:$ES$113,0)),"")</f>
        <v>CONTRABANDO DE ESTUPEFACIENTES</v>
      </c>
      <c r="IP100" s="207" t="str">
        <f>IFERROR(INDEX($A$2:$A$113,MATCH(ROWS($ET$2:ET100),$ET$2:$ET$113,0)),"")</f>
        <v>CONTRABANDO DE ESTUPEFACIENTES</v>
      </c>
      <c r="IQ100" s="207" t="str">
        <f>IFERROR(INDEX($A$2:$A$113,MATCH(ROWS($EU$2:EU100),$EU$2:$EU$113,0)),"")</f>
        <v>CONTRABANDO DE ESTUPEFACIENTES</v>
      </c>
      <c r="IR100" s="207" t="str">
        <f>IFERROR(INDEX($A$2:$A$113,MATCH(ROWS($EV$2:EV100),$EV$2:$EV$113,0)),"")</f>
        <v>CONTRABANDO DE ESTUPEFACIENTES</v>
      </c>
      <c r="IS100" s="207" t="str">
        <f>IFERROR(INDEX($A$2:$A$113,MATCH(ROWS($EW$2:EW100),$EW$2:$EW$113,0)),"")</f>
        <v>CONTRABANDO DE ESTUPEFACIENTES</v>
      </c>
      <c r="IT100" s="207" t="str">
        <f>IFERROR(INDEX($A$2:$A$113,MATCH(ROWS($EX$2:EX100),$EX$2:$EX$113,0)),"")</f>
        <v>CONTRABANDO DE ESTUPEFACIENTES</v>
      </c>
      <c r="IU100" s="207" t="str">
        <f>IFERROR(INDEX($A$2:$A$113,MATCH(ROWS($EY$2:EY100),$EY$2:$EY$113,0)),"")</f>
        <v>CONTRABANDO DE ESTUPEFACIENTES</v>
      </c>
      <c r="IV100" s="207" t="str">
        <f>IFERROR(INDEX($A$2:$A$113,MATCH(ROWS($EZ$2:EZ100),$EZ$2:$EZ$113,0)),"")</f>
        <v>CONTRABANDO DE ESTUPEFACIENTES</v>
      </c>
      <c r="IW100" s="207" t="str">
        <f>IFERROR(INDEX($A$2:$A$113,MATCH(ROWS($FA$2:FA100),$FA$2:$FA$113,0)),"")</f>
        <v>CONTRABANDO DE ESTUPEFACIENTES</v>
      </c>
      <c r="IX100" s="207" t="str">
        <f>IFERROR(INDEX($A$2:$A$113,MATCH(ROWS($FB$2:FB100),$FB$2:$FB$113,0)),"")</f>
        <v>CONTRABANDO DE ESTUPEFACIENTES</v>
      </c>
      <c r="IY100" s="207" t="str">
        <f>IFERROR(INDEX($A$2:$A$113,MATCH(ROWS($FC$2:FC100),$FC$2:$FC$113,0)),"")</f>
        <v>CONTRABANDO DE ESTUPEFACIENTES</v>
      </c>
      <c r="IZ100" s="207" t="str">
        <f>IFERROR(INDEX($A$2:$A$113,MATCH(ROWS($FD$2:FD100),$FD$2:$FD$113,0)),"")</f>
        <v>CONTRABANDO DE ESTUPEFACIENTES</v>
      </c>
      <c r="JA100" s="207" t="str">
        <f>IFERROR(INDEX($A$2:$A$113,MATCH(ROWS($FE$2:FE100),$FE$2:$FE$113,0)),"")</f>
        <v>CONTRABANDO DE ESTUPEFACIENTES</v>
      </c>
      <c r="JB100" s="207" t="str">
        <f>IFERROR(INDEX($A$2:$A$113,MATCH(ROWS($FF$2:FF100),$FF$2:$FF$113,0)),"")</f>
        <v>CONTRABANDO DE ESTUPEFACIENTES</v>
      </c>
      <c r="JC100" s="207" t="str">
        <f>IFERROR(INDEX($A$2:$A$113,MATCH(ROWS($FG$2:FG100),$FG$2:$FG$113,0)),"")</f>
        <v>CONTRABANDO DE ESTUPEFACIENTES</v>
      </c>
      <c r="JD100" s="207" t="str">
        <f>IFERROR(INDEX($A$2:$A$113,MATCH(ROWS($FH$2:FH100),$FH$2:$FH$113,0)),"")</f>
        <v>CONTRABANDO DE ESTUPEFACIENTES</v>
      </c>
      <c r="JE100" s="207" t="str">
        <f>IFERROR(INDEX($A$2:$A$113,MATCH(ROWS($FI$2:FI100),$FI$2:$FI$113,0)),"")</f>
        <v>CONTRABANDO DE ESTUPEFACIENTES</v>
      </c>
      <c r="JF100" s="207" t="str">
        <f>IFERROR(INDEX($A$2:$A$113,MATCH(ROWS($FJ$2:FJ100),$FJ$2:$FJ$113,0)),"")</f>
        <v>CONTRABANDO DE ESTUPEFACIENTES</v>
      </c>
      <c r="JG100" s="207" t="str">
        <f>IFERROR(INDEX($A$2:$A$113,MATCH(ROWS($FK$2:FK100),$FK$2:$FK$113,0)),"")</f>
        <v>CONTRABANDO DE ESTUPEFACIENTES</v>
      </c>
      <c r="JH100" s="207" t="str">
        <f>IFERROR(INDEX($A$2:$A$113,MATCH(ROWS($FL$2:FL100),$FL$2:$FL$113,0)),"")</f>
        <v>CONTRABANDO DE ESTUPEFACIENTES</v>
      </c>
      <c r="JI100" s="207" t="str">
        <f>IFERROR(INDEX($A$2:$A$113,MATCH(ROWS($FM$2:FM100),$FM$2:$FM$113,0)),"")</f>
        <v>CONTRABANDO DE ESTUPEFACIENTES</v>
      </c>
      <c r="JJ100" s="207" t="str">
        <f>IFERROR(INDEX($A$2:$A$113,MATCH(ROWS($FN$2:FN100),$FN$2:$FN$113,0)),"")</f>
        <v>CONTRABANDO DE ESTUPEFACIENTES</v>
      </c>
      <c r="JK100" s="207" t="str">
        <f>IFERROR(INDEX($A$2:$A$113,MATCH(ROWS($FO$2:FO100),$FO$2:$FO$113,0)),"")</f>
        <v>CONTRABANDO DE ESTUPEFACIENTES</v>
      </c>
      <c r="JL100" s="207" t="str">
        <f>IFERROR(INDEX($A$2:$A$113,MATCH(ROWS($FP$2:FP100),$FP$2:$FP$113,0)),"")</f>
        <v>CONTRABANDO DE ESTUPEFACIENTES</v>
      </c>
      <c r="JM100" s="207" t="str">
        <f>IFERROR(INDEX($A$2:$A$113,MATCH(ROWS($FQ$2:FQ100),$FQ$2:$FQ$113,0)),"")</f>
        <v>CONTRABANDO DE ESTUPEFACIENTES</v>
      </c>
      <c r="JN100" s="207" t="str">
        <f>IFERROR(INDEX($A$2:$A$113,MATCH(ROWS($FR$2:FR100),$FR$2:$FR$113,0)),"")</f>
        <v>CONTRABANDO DE ESTUPEFACIENTES</v>
      </c>
      <c r="JO100" s="207" t="str">
        <f>IFERROR(INDEX($A$2:$A$113,MATCH(ROWS($FS$2:FS100),$FS$2:$FS$113,0)),"")</f>
        <v>CONTRABANDO DE ESTUPEFACIENTES</v>
      </c>
      <c r="JP100" s="207" t="str">
        <f>IFERROR(INDEX($A$2:$A$113,MATCH(ROWS($FT$2:FT100),$FT$2:$FT$113,0)),"")</f>
        <v>CONTRABANDO DE ESTUPEFACIENTES</v>
      </c>
      <c r="JQ100" s="207" t="str">
        <f>IFERROR(INDEX($A$2:$A$113,MATCH(ROWS($FU$2:FU100),$FU$2:$FU$113,0)),"")</f>
        <v>CONTRABANDO DE ESTUPEFACIENTES</v>
      </c>
      <c r="JR100" s="207" t="str">
        <f>IFERROR(INDEX($A$2:$A$113,MATCH(ROWS($FV$2:FV100),$FV$2:$FV$113,0)),"")</f>
        <v>CONTRABANDO DE ESTUPEFACIENTES</v>
      </c>
      <c r="JS100" s="207" t="str">
        <f>IFERROR(INDEX($A$2:$A$113,MATCH(ROWS($FW$2:FW100),$FW$2:$FW$113,0)),"")</f>
        <v>CONTRABANDO DE ESTUPEFACIENTES</v>
      </c>
      <c r="JT100" s="207" t="str">
        <f>IFERROR(INDEX($A$2:$A$113,MATCH(ROWS($FX$2:FX100),$FX$2:$FX$113,0)),"")</f>
        <v>CONTRABANDO DE ESTUPEFACIENTES</v>
      </c>
      <c r="JU100" s="207" t="str">
        <f>IFERROR(INDEX($A$2:$A$113,MATCH(ROWS($FY$2:FY100),$FY$2:$FY$113,0)),"")</f>
        <v>CONTRABANDO DE ESTUPEFACIENTES</v>
      </c>
      <c r="JV100" s="207" t="str">
        <f>IFERROR(INDEX($A$2:$A$113,MATCH(ROWS($FZ$2:FZ100),$FZ$2:$FZ$113,0)),"")</f>
        <v>CONTRABANDO DE ESTUPEFACIENTES</v>
      </c>
      <c r="JW100" s="207" t="str">
        <f>IFERROR(INDEX($A$2:$A$113,MATCH(ROWS($GA$2:GA100),$GA$2:$GA$113,0)),"")</f>
        <v>CONTRABANDO DE ESTUPEFACIENTES</v>
      </c>
      <c r="JX100" s="207" t="str">
        <f>IFERROR(INDEX($A$2:$A$113,MATCH(ROWS($GB$2:GB100),$GB$2:$GB$113,0)),"")</f>
        <v>CONTRABANDO DE ESTUPEFACIENTES</v>
      </c>
      <c r="JY100" s="207" t="str">
        <f>IFERROR(INDEX($A$2:$A$113,MATCH(ROWS($GC$2:GC100),$GC$2:$GC$113,0)),"")</f>
        <v>CONTRABANDO DE ESTUPEFACIENTES</v>
      </c>
      <c r="JZ100" s="207" t="str">
        <f>IFERROR(INDEX($A$2:$A$113,MATCH(ROWS($GD$2:GD100),$GD$2:$GD$113,0)),"")</f>
        <v>CONTRABANDO DE ESTUPEFACIENTES</v>
      </c>
      <c r="KA100" s="207" t="str">
        <f>IFERROR(INDEX($A$2:$A$113,MATCH(ROWS($GE$2:GE100),$GE$2:$GE$113,0)),"")</f>
        <v>CONTRABANDO DE ESTUPEFACIENTES</v>
      </c>
      <c r="KB100" s="207" t="str">
        <f>IFERROR(INDEX($A$2:$A$113,MATCH(ROWS($GF$2:GF100),$GF$2:$GF$113,0)),"")</f>
        <v>CONTRABANDO DE ESTUPEFACIENTES</v>
      </c>
      <c r="KC100" s="207" t="str">
        <f>IFERROR(INDEX($A$2:$A$113,MATCH(ROWS($GG$2:GG100),$GG$2:$GG$113,0)),"")</f>
        <v>CONTRABANDO DE ESTUPEFACIENTES</v>
      </c>
      <c r="KD100" s="207" t="str">
        <f>IFERROR(INDEX($A$2:$A$113,MATCH(ROWS($GH$2:GH100),$GH$2:$GH$113,0)),"")</f>
        <v>CONTRABANDO DE ESTUPEFACIENTES</v>
      </c>
      <c r="KE100" s="207" t="str">
        <f>IFERROR(INDEX($A$2:$A$113,MATCH(ROWS($GI$2:GI100),$GI$2:$GI$113,0)),"")</f>
        <v>CONTRABANDO DE ESTUPEFACIENTES</v>
      </c>
      <c r="KF100" s="207" t="str">
        <f>IFERROR(INDEX($A$2:$A$113,MATCH(ROWS($GJ$2:GJ100),$GJ$2:$GJ$113,0)),"")</f>
        <v>CONTRABANDO DE ESTUPEFACIENTES</v>
      </c>
      <c r="KG100" s="207" t="str">
        <f>IFERROR(INDEX($A$2:$A$113,MATCH(ROWS($GK$2:GK100),$GK$2:$GK$113,0)),"")</f>
        <v>CONTRABANDO DE ESTUPEFACIENTES</v>
      </c>
      <c r="KH100" s="207" t="str">
        <f>IFERROR(INDEX($A$2:$A$113,MATCH(ROWS($GL$2:GL100),$GL$2:$GL$113,0)),"")</f>
        <v>CONTRABANDO DE ESTUPEFACIENTES</v>
      </c>
      <c r="KI100" s="207" t="str">
        <f>IFERROR(INDEX($A$2:$A$113,MATCH(ROWS($GM$2:GM100),$GM$2:$GM$113,0)),"")</f>
        <v>CONTRABANDO DE ESTUPEFACIENTES</v>
      </c>
      <c r="KJ100" s="207" t="str">
        <f>IFERROR(INDEX($A$2:$A$113,MATCH(ROWS($GN$2:GN100),$GN$2:$GN$113,0)),"")</f>
        <v>CONTRABANDO DE ESTUPEFACIENTES</v>
      </c>
      <c r="KK100" s="207" t="str">
        <f>IFERROR(INDEX($A$2:$A$113,MATCH(ROWS($GO$2:GO100),$GO$2:$GO$113,0)),"")</f>
        <v>CONTRABANDO DE ESTUPEFACIENTES</v>
      </c>
      <c r="KL100" s="207" t="str">
        <f>IFERROR(INDEX($A$2:$A$113,MATCH(ROWS($GP$2:GP100),$GP$2:$GP$113,0)),"")</f>
        <v>CONTRABANDO DE ESTUPEFACIENTES</v>
      </c>
      <c r="KM100" s="207" t="str">
        <f>IFERROR(INDEX($A$2:$A$113,MATCH(ROWS($GQ$2:GQ100),$GQ$2:$GQ$113,0)),"")</f>
        <v>CONTRABANDO DE ESTUPEFACIENTES</v>
      </c>
      <c r="KN100" s="207" t="str">
        <f>IFERROR(INDEX($A$2:$A$113,MATCH(ROWS($GR$2:GR100),$GR$2:$GR$113,0)),"")</f>
        <v>CONTRABANDO DE ESTUPEFACIENTES</v>
      </c>
      <c r="KO100" s="207" t="str">
        <f>IFERROR(INDEX($A$2:$A$113,MATCH(ROWS($GS$2:GS100),$GS$2:$GS$113,0)),"")</f>
        <v>CONTRABANDO DE ESTUPEFACIENTES</v>
      </c>
      <c r="KP100" s="207" t="str">
        <f>IFERROR(INDEX($A$2:$A$113,MATCH(ROWS($GT$2:GT100),$GT$2:$GT$113,0)),"")</f>
        <v>CONTRABANDO DE ESTUPEFACIENTES</v>
      </c>
      <c r="KQ100" s="207" t="str">
        <f>IFERROR(INDEX($A$2:$A$113,MATCH(ROWS($GU$2:GU100),$GU$2:$GU$113,0)),"")</f>
        <v>CONTRABANDO DE ESTUPEFACIENTES</v>
      </c>
      <c r="KR100" s="207" t="str">
        <f>IFERROR(INDEX($A$2:$A$113,MATCH(ROWS($GV$2:GV100),$GV$2:$GV$113,0)),"")</f>
        <v>CONTRABANDO DE ESTUPEFACIENTES</v>
      </c>
      <c r="KS100" s="207" t="str">
        <f>IFERROR(INDEX($A$2:$A$113,MATCH(ROWS($GW$2:GW100),$GW$2:$GW$113,0)),"")</f>
        <v>CONTRABANDO DE ESTUPEFACIENTES</v>
      </c>
    </row>
    <row r="101" spans="1:305" x14ac:dyDescent="0.25">
      <c r="A101" s="206" t="s">
        <v>125</v>
      </c>
      <c r="B101" s="206" t="s">
        <v>126</v>
      </c>
      <c r="D101" s="206" t="s">
        <v>125</v>
      </c>
      <c r="E101" s="206" t="s">
        <v>116</v>
      </c>
      <c r="F101" s="207">
        <f>--ISNUMBER(IFERROR(SEARCH('PLANILLA DJ'!$X$3,$A101,1),""))</f>
        <v>1</v>
      </c>
      <c r="G101" s="207">
        <f>--ISNUMBER(IFERROR(SEARCH('PLANILLA DJ'!$X$4,$A101,1),""))</f>
        <v>1</v>
      </c>
      <c r="H101" s="207">
        <f>--ISNUMBER(IFERROR(SEARCH('PLANILLA DJ'!$X$5,$A101,1),""))</f>
        <v>1</v>
      </c>
      <c r="I101" s="207">
        <f>--ISNUMBER(IFERROR(SEARCH('PLANILLA DJ'!$X$6,$A101,1),""))</f>
        <v>1</v>
      </c>
      <c r="J101" s="207">
        <f>--ISNUMBER(IFERROR(SEARCH('PLANILLA DJ'!$X$7,$A101,1),""))</f>
        <v>1</v>
      </c>
      <c r="K101" s="207">
        <f>--ISNUMBER(IFERROR(SEARCH('PLANILLA DJ'!$X$8,$A101,1),""))</f>
        <v>1</v>
      </c>
      <c r="L101" s="207">
        <f>--ISNUMBER(IFERROR(SEARCH('PLANILLA DJ'!$X$9,$A101,1),""))</f>
        <v>1</v>
      </c>
      <c r="M101" s="207">
        <f>--ISNUMBER(IFERROR(SEARCH('PLANILLA DJ'!$X$10,$A101,1),""))</f>
        <v>1</v>
      </c>
      <c r="N101" s="207">
        <f>--ISNUMBER(IFERROR(SEARCH('PLANILLA DJ'!$X$11,$A101,1),""))</f>
        <v>1</v>
      </c>
      <c r="O101" s="207">
        <f>--ISNUMBER(IFERROR(SEARCH('PLANILLA DJ'!$X$12,$A101,1),""))</f>
        <v>1</v>
      </c>
      <c r="P101" s="207">
        <f>--ISNUMBER(IFERROR(SEARCH('PLANILLA DJ'!$X$13,$A101,1),""))</f>
        <v>1</v>
      </c>
      <c r="Q101" s="207">
        <f>--ISNUMBER(IFERROR(SEARCH('PLANILLA DJ'!$X$14,$A101,1),""))</f>
        <v>1</v>
      </c>
      <c r="R101" s="207">
        <f>--ISNUMBER(IFERROR(SEARCH('PLANILLA DJ'!$X$15,$A101,1),""))</f>
        <v>1</v>
      </c>
      <c r="S101" s="207">
        <f>--ISNUMBER(IFERROR(SEARCH('PLANILLA DJ'!$X$16,$A101,1),""))</f>
        <v>1</v>
      </c>
      <c r="T101" s="207">
        <f>--ISNUMBER(IFERROR(SEARCH('PLANILLA DJ'!$X$17,$A101,1),""))</f>
        <v>1</v>
      </c>
      <c r="U101" s="207">
        <f>--ISNUMBER(IFERROR(SEARCH('PLANILLA DJ'!$X$18,$A101,1),""))</f>
        <v>1</v>
      </c>
      <c r="V101" s="207">
        <f>--ISNUMBER(IFERROR(SEARCH('PLANILLA DJ'!$X$19,$A101,1),""))</f>
        <v>1</v>
      </c>
      <c r="W101" s="207">
        <f>--ISNUMBER(IFERROR(SEARCH('PLANILLA DJ'!$X$20,$A101,1),""))</f>
        <v>1</v>
      </c>
      <c r="X101" s="207">
        <f>--ISNUMBER(IFERROR(SEARCH('PLANILLA DJ'!$X$21,$A101,1),""))</f>
        <v>1</v>
      </c>
      <c r="Y101" s="207">
        <f>--ISNUMBER(IFERROR(SEARCH('PLANILLA DJ'!$X$22,$A101,1),""))</f>
        <v>1</v>
      </c>
      <c r="Z101" s="207">
        <f>--ISNUMBER(IFERROR(SEARCH('PLANILLA DJ'!$X$23,$A101,1),""))</f>
        <v>1</v>
      </c>
      <c r="AA101" s="207">
        <f>--ISNUMBER(IFERROR(SEARCH('PLANILLA DJ'!$X$24,$A101,1),""))</f>
        <v>1</v>
      </c>
      <c r="AB101" s="207">
        <f>--ISNUMBER(IFERROR(SEARCH('PLANILLA DJ'!$X$25,$A101,1),""))</f>
        <v>1</v>
      </c>
      <c r="AC101" s="207">
        <f>--ISNUMBER(IFERROR(SEARCH('PLANILLA DJ'!$X$26,$A101,1),""))</f>
        <v>1</v>
      </c>
      <c r="AD101" s="207">
        <f>--ISNUMBER(IFERROR(SEARCH('PLANILLA DJ'!$X$27,$A101,1),""))</f>
        <v>1</v>
      </c>
      <c r="AE101" s="207">
        <f>--ISNUMBER(IFERROR(SEARCH('PLANILLA DJ'!$X$28,$A101,1),""))</f>
        <v>1</v>
      </c>
      <c r="AF101" s="207">
        <f>--ISNUMBER(IFERROR(SEARCH('PLANILLA DJ'!$X$29,$A101,1),""))</f>
        <v>1</v>
      </c>
      <c r="AG101" s="207">
        <f>--ISNUMBER(IFERROR(SEARCH('PLANILLA DJ'!$X$30,$A101,1),""))</f>
        <v>1</v>
      </c>
      <c r="AH101" s="207">
        <f>--ISNUMBER(IFERROR(SEARCH('PLANILLA DJ'!$X$31,$A101,1),""))</f>
        <v>1</v>
      </c>
      <c r="AI101" s="207">
        <f>--ISNUMBER(IFERROR(SEARCH('PLANILLA DJ'!$X$32,$A101,1),""))</f>
        <v>1</v>
      </c>
      <c r="AJ101" s="207">
        <f>--ISNUMBER(IFERROR(SEARCH('PLANILLA DJ'!$X$33,$A101,1),""))</f>
        <v>1</v>
      </c>
      <c r="AK101" s="207">
        <f>--ISNUMBER(IFERROR(SEARCH('PLANILLA DJ'!$X$34,$A101,1),""))</f>
        <v>1</v>
      </c>
      <c r="AL101" s="207">
        <f>--ISNUMBER(IFERROR(SEARCH('PLANILLA DJ'!$X$35,$A101,1),""))</f>
        <v>1</v>
      </c>
      <c r="AM101" s="207">
        <f>--ISNUMBER(IFERROR(SEARCH('PLANILLA DJ'!$X$36,$A101,1),""))</f>
        <v>1</v>
      </c>
      <c r="AN101" s="207">
        <f>--ISNUMBER(IFERROR(SEARCH('PLANILLA DJ'!$X$37,$A101,1),""))</f>
        <v>1</v>
      </c>
      <c r="AO101" s="207">
        <f>--ISNUMBER(IFERROR(SEARCH('PLANILLA DJ'!$X$38,$A101,1),""))</f>
        <v>1</v>
      </c>
      <c r="AP101" s="207">
        <f>--ISNUMBER(IFERROR(SEARCH('PLANILLA DJ'!$X$39,$A101,1),""))</f>
        <v>1</v>
      </c>
      <c r="AQ101" s="207">
        <f>--ISNUMBER(IFERROR(SEARCH('PLANILLA DJ'!$X$40,$A101,1),""))</f>
        <v>1</v>
      </c>
      <c r="AR101" s="207">
        <f>--ISNUMBER(IFERROR(SEARCH('PLANILLA DJ'!$X$41,$A101,1),""))</f>
        <v>1</v>
      </c>
      <c r="AS101" s="207">
        <f>--ISNUMBER(IFERROR(SEARCH('PLANILLA DJ'!$X$42,$A101,1),""))</f>
        <v>1</v>
      </c>
      <c r="AT101" s="207">
        <f>--ISNUMBER(IFERROR(SEARCH('PLANILLA DJ'!$X$43,$A101,1),""))</f>
        <v>1</v>
      </c>
      <c r="AU101" s="207">
        <f>--ISNUMBER(IFERROR(SEARCH('PLANILLA DJ'!$X$44,$A101,1),""))</f>
        <v>1</v>
      </c>
      <c r="AV101" s="207">
        <f>--ISNUMBER(IFERROR(SEARCH('PLANILLA DJ'!$X$45,$A101,1),""))</f>
        <v>1</v>
      </c>
      <c r="AW101" s="207">
        <f>--ISNUMBER(IFERROR(SEARCH('PLANILLA DJ'!$X$46,$A101,1),""))</f>
        <v>1</v>
      </c>
      <c r="AX101" s="207">
        <f>--ISNUMBER(IFERROR(SEARCH('PLANILLA DJ'!$X$47,$A101,1),""))</f>
        <v>1</v>
      </c>
      <c r="AY101" s="207">
        <f>--ISNUMBER(IFERROR(SEARCH('PLANILLA DJ'!$X$48,$A101,1),""))</f>
        <v>1</v>
      </c>
      <c r="AZ101" s="207">
        <f>--ISNUMBER(IFERROR(SEARCH('PLANILLA DJ'!$X$49,$A101,1),""))</f>
        <v>1</v>
      </c>
      <c r="BA101" s="207">
        <f>--ISNUMBER(IFERROR(SEARCH('PLANILLA DJ'!$X$50,$A101,1),""))</f>
        <v>1</v>
      </c>
      <c r="BB101" s="207">
        <f>--ISNUMBER(IFERROR(SEARCH('PLANILLA DJ'!$X$51,$A101,1),""))</f>
        <v>1</v>
      </c>
      <c r="BC101" s="207">
        <f>--ISNUMBER(IFERROR(SEARCH('PLANILLA DJ'!$X$52,$A101,1),""))</f>
        <v>1</v>
      </c>
      <c r="BD101" s="207">
        <f>--ISNUMBER(IFERROR(SEARCH('PLANILLA DJ'!$X$53,$A101,1),""))</f>
        <v>1</v>
      </c>
      <c r="BE101" s="207">
        <f>--ISNUMBER(IFERROR(SEARCH('PLANILLA DJ'!$X$54,$A101,1),""))</f>
        <v>1</v>
      </c>
      <c r="BF101" s="207">
        <f>--ISNUMBER(IFERROR(SEARCH('PLANILLA DJ'!$X$55,$A101,1),""))</f>
        <v>1</v>
      </c>
      <c r="BG101" s="207">
        <f>--ISNUMBER(IFERROR(SEARCH('PLANILLA DJ'!$X$56,$A101,1),""))</f>
        <v>1</v>
      </c>
      <c r="BH101" s="207">
        <f>--ISNUMBER(IFERROR(SEARCH('PLANILLA DJ'!$X$57,$A101,1),""))</f>
        <v>1</v>
      </c>
      <c r="BI101" s="207">
        <f>--ISNUMBER(IFERROR(SEARCH('PLANILLA DJ'!$X$58,$A101,1),""))</f>
        <v>1</v>
      </c>
      <c r="BJ101" s="207">
        <f>--ISNUMBER(IFERROR(SEARCH('PLANILLA DJ'!$X$59,$A101,1),""))</f>
        <v>1</v>
      </c>
      <c r="BK101" s="207">
        <f>--ISNUMBER(IFERROR(SEARCH('PLANILLA DJ'!$X$60,$A101,1),""))</f>
        <v>1</v>
      </c>
      <c r="BL101" s="207">
        <f>--ISNUMBER(IFERROR(SEARCH('PLANILLA DJ'!$X$61,$A101,1),""))</f>
        <v>1</v>
      </c>
      <c r="BM101" s="207">
        <f>--ISNUMBER(IFERROR(SEARCH('PLANILLA DJ'!$X$62,$A101,1),""))</f>
        <v>1</v>
      </c>
      <c r="BN101" s="207">
        <f>--ISNUMBER(IFERROR(SEARCH('PLANILLA DJ'!$X$63,$A101,1),""))</f>
        <v>1</v>
      </c>
      <c r="BO101" s="207">
        <f>--ISNUMBER(IFERROR(SEARCH('PLANILLA DJ'!$X$64,$A101,1),""))</f>
        <v>1</v>
      </c>
      <c r="BP101" s="207">
        <f>--ISNUMBER(IFERROR(SEARCH('PLANILLA DJ'!$X$65,$A101,1),""))</f>
        <v>1</v>
      </c>
      <c r="BQ101" s="207">
        <f>--ISNUMBER(IFERROR(SEARCH('PLANILLA DJ'!$X$66,$A101,1),""))</f>
        <v>1</v>
      </c>
      <c r="BR101" s="207">
        <f>--ISNUMBER(IFERROR(SEARCH('PLANILLA DJ'!$X$67,$A101,1),""))</f>
        <v>1</v>
      </c>
      <c r="BS101" s="207">
        <f>--ISNUMBER(IFERROR(SEARCH('PLANILLA DJ'!$X$68,$A101,1),""))</f>
        <v>1</v>
      </c>
      <c r="BT101" s="207">
        <f>--ISNUMBER(IFERROR(SEARCH('PLANILLA DJ'!$X$69,$A101,1),""))</f>
        <v>1</v>
      </c>
      <c r="BU101" s="207">
        <f>--ISNUMBER(IFERROR(SEARCH('PLANILLA DJ'!$X$70,$A101,1),""))</f>
        <v>1</v>
      </c>
      <c r="BV101" s="207">
        <f>--ISNUMBER(IFERROR(SEARCH('PLANILLA DJ'!$X$71,$A101,1),""))</f>
        <v>1</v>
      </c>
      <c r="BW101" s="207">
        <f>--ISNUMBER(IFERROR(SEARCH('PLANILLA DJ'!$X$72,$A101,1),""))</f>
        <v>1</v>
      </c>
      <c r="BX101" s="207">
        <f>--ISNUMBER(IFERROR(SEARCH('PLANILLA DJ'!$X$73,$A101,1),""))</f>
        <v>1</v>
      </c>
      <c r="BY101" s="207">
        <f>--ISNUMBER(IFERROR(SEARCH('PLANILLA DJ'!$X$74,$A101,1),""))</f>
        <v>1</v>
      </c>
      <c r="BZ101" s="207">
        <f>--ISNUMBER(IFERROR(SEARCH('PLANILLA DJ'!$X$75,$A101,1),""))</f>
        <v>1</v>
      </c>
      <c r="CA101" s="207">
        <f>--ISNUMBER(IFERROR(SEARCH('PLANILLA DJ'!$X$76,$A101,1),""))</f>
        <v>1</v>
      </c>
      <c r="CB101" s="207">
        <f>--ISNUMBER(IFERROR(SEARCH('PLANILLA DJ'!$X$77,$A101,1),""))</f>
        <v>1</v>
      </c>
      <c r="CC101" s="207">
        <f>--ISNUMBER(IFERROR(SEARCH('PLANILLA DJ'!$X$78,$A101,1),""))</f>
        <v>1</v>
      </c>
      <c r="CD101" s="207">
        <f>--ISNUMBER(IFERROR(SEARCH('PLANILLA DJ'!$X$79,$A101,1),""))</f>
        <v>1</v>
      </c>
      <c r="CE101" s="207">
        <f>--ISNUMBER(IFERROR(SEARCH('PLANILLA DJ'!$X$80,$A101,1),""))</f>
        <v>1</v>
      </c>
      <c r="CF101" s="207">
        <f>--ISNUMBER(IFERROR(SEARCH('PLANILLA DJ'!$X$81,$A101,1),""))</f>
        <v>1</v>
      </c>
      <c r="CG101" s="207">
        <f>--ISNUMBER(IFERROR(SEARCH('PLANILLA DJ'!$X$82,$A101,1),""))</f>
        <v>1</v>
      </c>
      <c r="CH101" s="207">
        <f>--ISNUMBER(IFERROR(SEARCH('PLANILLA DJ'!$X$83,$A101,1),""))</f>
        <v>1</v>
      </c>
      <c r="CI101" s="207">
        <f>--ISNUMBER(IFERROR(SEARCH('PLANILLA DJ'!$X$84,$A101,1),""))</f>
        <v>1</v>
      </c>
      <c r="CJ101" s="207">
        <f>--ISNUMBER(IFERROR(SEARCH('PLANILLA DJ'!$X$85,$A101,1),""))</f>
        <v>1</v>
      </c>
      <c r="CK101" s="207">
        <f>--ISNUMBER(IFERROR(SEARCH('PLANILLA DJ'!$X$86,$A101,1),""))</f>
        <v>1</v>
      </c>
      <c r="CL101" s="207">
        <f>--ISNUMBER(IFERROR(SEARCH('PLANILLA DJ'!$X$87,$A101,1),""))</f>
        <v>1</v>
      </c>
      <c r="CM101" s="207">
        <f>--ISNUMBER(IFERROR(SEARCH('PLANILLA DJ'!$X$88,$A101,1),""))</f>
        <v>1</v>
      </c>
      <c r="CN101" s="207">
        <f>--ISNUMBER(IFERROR(SEARCH('PLANILLA DJ'!$X$89,$A101,1),""))</f>
        <v>1</v>
      </c>
      <c r="CO101" s="207">
        <f>--ISNUMBER(IFERROR(SEARCH('PLANILLA DJ'!$X$90,$A101,1),""))</f>
        <v>1</v>
      </c>
      <c r="CP101" s="207">
        <f>--ISNUMBER(IFERROR(SEARCH('PLANILLA DJ'!$X$91,$A101,1),""))</f>
        <v>1</v>
      </c>
      <c r="CQ101" s="207">
        <f>--ISNUMBER(IFERROR(SEARCH('PLANILLA DJ'!$X$92,$A101,1),""))</f>
        <v>1</v>
      </c>
      <c r="CR101" s="207">
        <f>--ISNUMBER(IFERROR(SEARCH('PLANILLA DJ'!$X$93,$A101,1),""))</f>
        <v>1</v>
      </c>
      <c r="CS101" s="207">
        <f>--ISNUMBER(IFERROR(SEARCH('PLANILLA DJ'!$X$94,$A101,1),""))</f>
        <v>1</v>
      </c>
      <c r="CT101" s="207">
        <f>--ISNUMBER(IFERROR(SEARCH('PLANILLA DJ'!$X$95,$A101,1),""))</f>
        <v>1</v>
      </c>
      <c r="CU101" s="207">
        <f>--ISNUMBER(IFERROR(SEARCH('PLANILLA DJ'!$X$96,$A101,1),""))</f>
        <v>1</v>
      </c>
      <c r="CV101" s="207">
        <f>--ISNUMBER(IFERROR(SEARCH('PLANILLA DJ'!$X$97,$A101,1),""))</f>
        <v>1</v>
      </c>
      <c r="CW101" s="207">
        <f>--ISNUMBER(IFERROR(SEARCH('PLANILLA DJ'!$X$98,$A101,1),""))</f>
        <v>1</v>
      </c>
      <c r="CX101" s="207">
        <f>--ISNUMBER(IFERROR(SEARCH('PLANILLA DJ'!$X$99,$A101,1),""))</f>
        <v>1</v>
      </c>
      <c r="CY101" s="207">
        <f>--ISNUMBER(IFERROR(SEARCH('PLANILLA DJ'!$X$100,$A101,1),""))</f>
        <v>1</v>
      </c>
      <c r="CZ101" s="207">
        <f>--ISNUMBER(IFERROR(SEARCH('PLANILLA DJ'!$X$101,$A101,1),""))</f>
        <v>1</v>
      </c>
      <c r="DA101" s="207">
        <f>--ISNUMBER(IFERROR(SEARCH('PLANILLA DJ'!$X$102,$A101,1),""))</f>
        <v>1</v>
      </c>
      <c r="DB101" s="206">
        <f>IF(F101=1,COUNTIF($F$2:F101,1),"")</f>
        <v>100</v>
      </c>
      <c r="DC101" s="206">
        <f>IF(G101=1,COUNTIF($G$2:G101,1),"")</f>
        <v>100</v>
      </c>
      <c r="DD101" s="206">
        <f>IF(H101=1,COUNTIF($H$2:H101,1),"")</f>
        <v>100</v>
      </c>
      <c r="DE101" s="206">
        <f>IF(I101=1,COUNTIF($I$2:I101,1),"")</f>
        <v>100</v>
      </c>
      <c r="DF101" s="206">
        <f>IF(J101=1,COUNTIF($J$2:J101,1),"")</f>
        <v>100</v>
      </c>
      <c r="DG101" s="206">
        <f>IF(K101=1,COUNTIF($K$2:K101,1),"")</f>
        <v>100</v>
      </c>
      <c r="DH101" s="206">
        <f>IF(L101=1,COUNTIF($L$2:L101,1),"")</f>
        <v>100</v>
      </c>
      <c r="DI101" s="206">
        <f>IF(M101=1,COUNTIF($M$2:M101,1),"")</f>
        <v>100</v>
      </c>
      <c r="DJ101" s="206">
        <f>IF(N101=1,COUNTIF($N$2:N101,1),"")</f>
        <v>100</v>
      </c>
      <c r="DK101" s="206">
        <f>IF(O101=1,COUNTIF($O$2:O101,1),"")</f>
        <v>100</v>
      </c>
      <c r="DL101" s="206">
        <f>IF(P101=1,COUNTIF($P$2:P101,1),"")</f>
        <v>100</v>
      </c>
      <c r="DM101" s="206">
        <f>IF(Q101=1,COUNTIF($Q$2:Q101,1),"")</f>
        <v>100</v>
      </c>
      <c r="DN101" s="207">
        <f>IF(R101=1,COUNTIF($R$2:R101,1),"")</f>
        <v>100</v>
      </c>
      <c r="DO101" s="207">
        <f>IF(S101=1,COUNTIF($S$2:S101,1),"")</f>
        <v>100</v>
      </c>
      <c r="DP101" s="207">
        <f>IF(T101=1,COUNTIF($T$2:T101,1),"")</f>
        <v>100</v>
      </c>
      <c r="DQ101" s="207">
        <f>IF(U101=1,COUNTIF($U$2:U101,1),"")</f>
        <v>100</v>
      </c>
      <c r="DR101" s="207">
        <f>IF(V101=1,COUNTIF($V$2:V101,1),"")</f>
        <v>100</v>
      </c>
      <c r="DS101" s="207">
        <f>IF(W101=1,COUNTIF($W$2:W101,1),"")</f>
        <v>100</v>
      </c>
      <c r="DT101" s="207">
        <f>IF(X101=1,COUNTIF($X$2:X101,1),"")</f>
        <v>100</v>
      </c>
      <c r="DU101" s="207">
        <f>IF(Y101=1,COUNTIF($Y$2:Y101,1),"")</f>
        <v>100</v>
      </c>
      <c r="DV101" s="207">
        <f>IF(Z101=1,COUNTIF(Z$2:Z101,1),"")</f>
        <v>100</v>
      </c>
      <c r="DW101" s="207">
        <f>IF(AA101=1,COUNTIF($AA$2:AA101,1),"")</f>
        <v>100</v>
      </c>
      <c r="DX101" s="207">
        <f>IF(AB101=1,COUNTIF($AB$2:AB101,1),"")</f>
        <v>100</v>
      </c>
      <c r="DY101" s="207">
        <f>IF(AC101=1,COUNTIF($AC$2:AC101,1),"")</f>
        <v>100</v>
      </c>
      <c r="DZ101" s="207">
        <f>IF(AD101=1,COUNTIF($AD$2:AD101,1),"")</f>
        <v>100</v>
      </c>
      <c r="EA101" s="207">
        <f>IF(AE101=1,COUNTIF($AE$2:AE101,1),"")</f>
        <v>100</v>
      </c>
      <c r="EB101" s="207">
        <f>IF(AF101=1,COUNTIF($AF$2:AF101,1),"")</f>
        <v>100</v>
      </c>
      <c r="EC101" s="207">
        <f>IF(AG101=1,COUNTIF($AG$2:AG101,1),"")</f>
        <v>100</v>
      </c>
      <c r="ED101" s="207">
        <f>IF(AH101=1,COUNTIF($AH$2:AH101,1),"")</f>
        <v>100</v>
      </c>
      <c r="EE101" s="207">
        <f>IF(AI101=1,COUNTIF($AI$2:AI101,1),"")</f>
        <v>100</v>
      </c>
      <c r="EF101" s="207">
        <f>IF(AJ101=1,COUNTIF($AJ$2:AJ101,1),"")</f>
        <v>100</v>
      </c>
      <c r="EG101" s="207">
        <f>IF(AK101=1,COUNTIF($AK$2:AK101,1),"")</f>
        <v>100</v>
      </c>
      <c r="EH101" s="207">
        <f>IF(AL101=1,COUNTIF($AL$2:AL101,1),"")</f>
        <v>100</v>
      </c>
      <c r="EI101" s="207">
        <f>IF(AM101=1,COUNTIF($AM$2:AM101,1),"")</f>
        <v>100</v>
      </c>
      <c r="EJ101" s="207">
        <f>IF(AN101=1,COUNTIF($AN$2:AN101,1),"")</f>
        <v>100</v>
      </c>
      <c r="EK101" s="207">
        <f>IF(AO101=1,COUNTIF($AO$2:AO101,1),"")</f>
        <v>100</v>
      </c>
      <c r="EL101" s="207">
        <f>IF(AP101=1,COUNTIF($AP$2:AP101,1),"")</f>
        <v>100</v>
      </c>
      <c r="EM101" s="207">
        <f>IF(AQ101=1,COUNTIF($AQ$2:AQ101,1),"")</f>
        <v>100</v>
      </c>
      <c r="EN101" s="207">
        <f>IF(AR101=1,COUNTIF($AR$2:AR101,1),"")</f>
        <v>100</v>
      </c>
      <c r="EO101" s="207">
        <f>IF(AS101=1,COUNTIF($AS$2:AS101,1),"")</f>
        <v>100</v>
      </c>
      <c r="EP101" s="207">
        <f>IF(AT101=1,COUNTIF($AT$2:AT101,1),"")</f>
        <v>100</v>
      </c>
      <c r="EQ101" s="207">
        <f>IF(AU101=1,COUNTIF($AU$2:AU101,1),"")</f>
        <v>100</v>
      </c>
      <c r="ER101" s="207">
        <f>IF(AV101=1,COUNTIF($AV$2:AV101,1),"")</f>
        <v>100</v>
      </c>
      <c r="ES101" s="207">
        <f>IF(AW101=1,COUNTIF($AW$2:AW101,1),"")</f>
        <v>100</v>
      </c>
      <c r="ET101" s="207">
        <f>IF(AX101=1,COUNTIF($AX$2:AX101,1),"")</f>
        <v>100</v>
      </c>
      <c r="EU101" s="207">
        <f>IF(AY101=1,COUNTIF($AY$2:AY101,1),"")</f>
        <v>100</v>
      </c>
      <c r="EV101" s="207">
        <f>IF(AZ101=1,COUNTIF($AZ$2:AZ101,1),"")</f>
        <v>100</v>
      </c>
      <c r="EW101" s="207">
        <f>IF(BA101=1,COUNTIF($BA$2:BA101,1),"")</f>
        <v>100</v>
      </c>
      <c r="EX101" s="207">
        <f>IF(BB101=1,COUNTIF($BB$2:BB101,1),"")</f>
        <v>100</v>
      </c>
      <c r="EY101" s="207">
        <f>IF(BC101=1,COUNTIF($BC$2:BC101,1),"")</f>
        <v>100</v>
      </c>
      <c r="EZ101" s="207">
        <f>IF(BD101=1,COUNTIF($BD$2:BD101,1),"")</f>
        <v>100</v>
      </c>
      <c r="FA101" s="207">
        <f>IF(BE101=1,COUNTIF($BE$2:BE101,1),"")</f>
        <v>100</v>
      </c>
      <c r="FB101" s="207">
        <f>IF(BF101=1,COUNTIF($BF$2:BF101,1),"")</f>
        <v>100</v>
      </c>
      <c r="FC101" s="207">
        <f>IF(BG101=1,COUNTIF($BG$2:BG101,1),"")</f>
        <v>100</v>
      </c>
      <c r="FD101" s="207">
        <f>IF(BH101=1,COUNTIF($BH$2:BH101,1),"")</f>
        <v>100</v>
      </c>
      <c r="FE101" s="207">
        <f>IF(BI101=1,COUNTIF($BI$2:BI101,1),"")</f>
        <v>100</v>
      </c>
      <c r="FF101" s="207">
        <f>IF(BJ101=1,COUNTIF($BJ$2:BJ101,1),"")</f>
        <v>100</v>
      </c>
      <c r="FG101" s="207">
        <f>IF(BK101=1,COUNTIF($BK$2:BK101,1),"")</f>
        <v>100</v>
      </c>
      <c r="FH101" s="207">
        <f>IF(BL101=1,COUNTIF($BL$2:BL101,1),"")</f>
        <v>100</v>
      </c>
      <c r="FI101" s="207">
        <f>IF(BM101=1,COUNTIF($BM$2:BM101,1),"")</f>
        <v>100</v>
      </c>
      <c r="FJ101" s="207">
        <f>IF(BN101=1,COUNTIF($BN$2:BN101,1),"")</f>
        <v>100</v>
      </c>
      <c r="FK101" s="207">
        <f>IF(BO101=1,COUNTIF($BO$2:BO101,1),"")</f>
        <v>100</v>
      </c>
      <c r="FL101" s="207">
        <f>IF(BP101=1,COUNTIF($BP$2:BP101,1),"")</f>
        <v>100</v>
      </c>
      <c r="FM101" s="207">
        <f>IF(BQ101=1,COUNTIF($BQ$2:BQ101,1),"")</f>
        <v>100</v>
      </c>
      <c r="FN101" s="207">
        <f>IF(BR101=1,COUNTIF($BR$2:BR101,1),"")</f>
        <v>100</v>
      </c>
      <c r="FO101" s="207">
        <f>IF(BS101=1,COUNTIF($BS$2:BS101,1),"")</f>
        <v>100</v>
      </c>
      <c r="FP101" s="207">
        <f>IF(BT101=1,COUNTIF($BT$2:BT101,1),"")</f>
        <v>100</v>
      </c>
      <c r="FQ101" s="207">
        <f>IF(BU101=1,COUNTIF($BU$2:BU101,1),"")</f>
        <v>100</v>
      </c>
      <c r="FR101" s="207">
        <f>IF(BV101=1,COUNTIF($BV$2:BV101,1),"")</f>
        <v>100</v>
      </c>
      <c r="FS101" s="207">
        <f>IF(BW101=1,COUNTIF($BW$2:BW101,1),"")</f>
        <v>100</v>
      </c>
      <c r="FT101" s="207">
        <f>IF(BX101=1,COUNTIF($BX$2:BX101,1),"")</f>
        <v>100</v>
      </c>
      <c r="FU101" s="207">
        <f>IF(BY101=1,COUNTIF($BY$2:BY101,1),"")</f>
        <v>100</v>
      </c>
      <c r="FV101" s="207">
        <f>IF(BZ101=1,COUNTIF($BZ$2:BZ101,1),"")</f>
        <v>100</v>
      </c>
      <c r="FW101" s="207">
        <f>IF(CA101=1,COUNTIF($CA$2:CA101,1),"")</f>
        <v>100</v>
      </c>
      <c r="FX101" s="207">
        <f>IF(CB101=1,COUNTIF($CB$2:CB101,1),"")</f>
        <v>100</v>
      </c>
      <c r="FY101" s="207">
        <f>IF(CC101=1,COUNTIF($CC$2:CC101,1),"")</f>
        <v>100</v>
      </c>
      <c r="FZ101" s="207">
        <f>IF(CD101=1,COUNTIF($CD$2:CD101,1),"")</f>
        <v>100</v>
      </c>
      <c r="GA101" s="207">
        <f>IF(CE101=1,COUNTIF($CE$2:CE101,1),"")</f>
        <v>100</v>
      </c>
      <c r="GB101" s="207">
        <f>IF(CF101=1,COUNTIF($CF$2:CF101,1),"")</f>
        <v>100</v>
      </c>
      <c r="GC101" s="207">
        <f>IF(CG101=1,COUNTIF($CG$2:CG101,1),"")</f>
        <v>100</v>
      </c>
      <c r="GD101" s="207">
        <f>IF(CH101=1,COUNTIF($CH$2:CH101,1),"")</f>
        <v>100</v>
      </c>
      <c r="GE101" s="207">
        <f>IF(CI101=1,COUNTIF($CI$2:CI101,1),"")</f>
        <v>100</v>
      </c>
      <c r="GF101" s="207">
        <f>IF(CJ101=1,COUNTIF($CJ$2:CJ101,1),"")</f>
        <v>100</v>
      </c>
      <c r="GG101" s="207">
        <f>IF(CK101=1,COUNTIF($CK$2:CK101,1),"")</f>
        <v>100</v>
      </c>
      <c r="GH101" s="207">
        <f>IF(CL101=1,COUNTIF($CL$2:CL101,1),"")</f>
        <v>100</v>
      </c>
      <c r="GI101" s="207">
        <f>IF(CM101=1,COUNTIF($CM$2:CM101,1),"")</f>
        <v>100</v>
      </c>
      <c r="GJ101" s="207">
        <f>IF(CN101=1,COUNTIF($CN$2:CN101,1),"")</f>
        <v>100</v>
      </c>
      <c r="GK101" s="207">
        <f>IF(CO101=1,COUNTIF($CO$2:CO101,1),"")</f>
        <v>100</v>
      </c>
      <c r="GL101" s="207">
        <f>IF(CP101=1,COUNTIF($CP$2:CP101,1),"")</f>
        <v>100</v>
      </c>
      <c r="GM101" s="207">
        <f>IF(CQ101=1,COUNTIF($CQ$2:CQ101,1),"")</f>
        <v>100</v>
      </c>
      <c r="GN101" s="207">
        <f>IF(CR101=1,COUNTIF($CR$2:CR101,1),"")</f>
        <v>100</v>
      </c>
      <c r="GO101" s="207">
        <f>IF(CS101=1,COUNTIF($CS$2:CS101,1),"")</f>
        <v>100</v>
      </c>
      <c r="GP101" s="207">
        <f>IF(CT101=1,COUNTIF($CT$2:CT101,1),"")</f>
        <v>100</v>
      </c>
      <c r="GQ101" s="207">
        <f>IF(CU101=1,COUNTIF($CU$2:CU101,1),"")</f>
        <v>100</v>
      </c>
      <c r="GR101" s="207">
        <f>IF(CV101=1,COUNTIF($CV$2:CV101,1),"")</f>
        <v>100</v>
      </c>
      <c r="GS101" s="207">
        <f>IF(CW101=1,COUNTIF($CW$2:CW101,1),"")</f>
        <v>100</v>
      </c>
      <c r="GT101" s="207">
        <f>IF(CX101=1,COUNTIF($CX$2:CX101,1),"")</f>
        <v>100</v>
      </c>
      <c r="GU101" s="207">
        <f>IF(CY101=1,COUNTIF($CY$2:CY101,1),"")</f>
        <v>100</v>
      </c>
      <c r="GV101" s="207">
        <f>IF(CZ101=1,COUNTIF($CZ$2:CZ101,1),"")</f>
        <v>100</v>
      </c>
      <c r="GW101" s="207">
        <f>IF(DA101=1,COUNTIF($DA$2:DA101,1),"")</f>
        <v>100</v>
      </c>
      <c r="GX101" s="206" t="str">
        <f>IFERROR(INDEX($A$2:$A$113,MATCH(ROWS($DB$2:DB101),$DB$2:$DB$113,0)),"")</f>
        <v>OTROS DELITOS PREVISTOS EN LA LEY DE ESTUPEFACIENTES 23.737</v>
      </c>
      <c r="GY101" s="206" t="str">
        <f>IFERROR(INDEX($A$2:$A$113,MATCH(ROWS($DC$2:DC101),$DC$2:$DC$113,0)),"")</f>
        <v>OTROS DELITOS PREVISTOS EN LA LEY DE ESTUPEFACIENTES 23.737</v>
      </c>
      <c r="GZ101" s="206" t="str">
        <f>IFERROR(INDEX($A$2:$A$113,MATCH(ROWS($DD$2:DD101),$DD$2:$DD$113,0)),"")</f>
        <v>OTROS DELITOS PREVISTOS EN LA LEY DE ESTUPEFACIENTES 23.737</v>
      </c>
      <c r="HA101" s="206" t="str">
        <f>IFERROR(INDEX($A$2:$A$113,MATCH(ROWS($DE$2:DE101),$DE$2:$DE$113,0)),"")</f>
        <v>OTROS DELITOS PREVISTOS EN LA LEY DE ESTUPEFACIENTES 23.737</v>
      </c>
      <c r="HB101" s="206" t="str">
        <f>IFERROR(INDEX($A$2:$A$113,MATCH(ROWS($DF$2:DF101),$DF$2:$DF$113,0)),"")</f>
        <v>OTROS DELITOS PREVISTOS EN LA LEY DE ESTUPEFACIENTES 23.737</v>
      </c>
      <c r="HC101" s="206" t="str">
        <f>IFERROR(INDEX($A$2:$A$113,MATCH(ROWS($DG$2:DG101),$DG$2:$DG$113,0)),"")</f>
        <v>OTROS DELITOS PREVISTOS EN LA LEY DE ESTUPEFACIENTES 23.737</v>
      </c>
      <c r="HD101" s="206" t="str">
        <f>IFERROR(INDEX($A$2:$A$113,MATCH(ROWS($DH$2:DH101),$DH$2:$DH$113,0)),"")</f>
        <v>OTROS DELITOS PREVISTOS EN LA LEY DE ESTUPEFACIENTES 23.737</v>
      </c>
      <c r="HE101" s="206" t="str">
        <f>IFERROR(INDEX($A$2:$A$113,MATCH(ROWS($DI$2:DI101),$DI$2:$DI$113,0)),"")</f>
        <v>OTROS DELITOS PREVISTOS EN LA LEY DE ESTUPEFACIENTES 23.737</v>
      </c>
      <c r="HF101" s="206" t="str">
        <f>IFERROR(INDEX($A$2:$A$113,MATCH(ROWS($DJ$2:DJ101),$DJ$2:$DJ$113,0)),"")</f>
        <v>OTROS DELITOS PREVISTOS EN LA LEY DE ESTUPEFACIENTES 23.737</v>
      </c>
      <c r="HG101" s="206" t="str">
        <f>IFERROR(INDEX($A$2:$A$113,MATCH(ROWS($DK$2:DK101),$DK$2:$DK$113,0)),"")</f>
        <v>OTROS DELITOS PREVISTOS EN LA LEY DE ESTUPEFACIENTES 23.737</v>
      </c>
      <c r="HH101" s="206" t="str">
        <f>IFERROR(INDEX($A$2:$A$113,MATCH(ROWS($DL$2:DL101),$DL$2:$DL$113,0)),"")</f>
        <v>OTROS DELITOS PREVISTOS EN LA LEY DE ESTUPEFACIENTES 23.737</v>
      </c>
      <c r="HI101" s="206" t="str">
        <f>IFERROR(INDEX($A$2:$A$113,MATCH(ROWS($DM$2:DM101),$DM$2:$DM$113,0)),"")</f>
        <v>OTROS DELITOS PREVISTOS EN LA LEY DE ESTUPEFACIENTES 23.737</v>
      </c>
      <c r="HJ101" s="206" t="str">
        <f>IFERROR(INDEX($A$2:$A$113,MATCH(ROWS($DN$2:DN101),$DN$2:$DN$113,0)),"")</f>
        <v>OTROS DELITOS PREVISTOS EN LA LEY DE ESTUPEFACIENTES 23.737</v>
      </c>
      <c r="HK101" s="206" t="str">
        <f>IFERROR(INDEX($A$2:$A$113,MATCH(ROWS($DO$2:DO101),$DO$2:$DO$113,0)),"")</f>
        <v>OTROS DELITOS PREVISTOS EN LA LEY DE ESTUPEFACIENTES 23.737</v>
      </c>
      <c r="HL101" s="206" t="str">
        <f>IFERROR(INDEX($A$2:$A$113,MATCH(ROWS($DP$2:DP101),$DP$2:$DP$113,0)),"")</f>
        <v>OTROS DELITOS PREVISTOS EN LA LEY DE ESTUPEFACIENTES 23.737</v>
      </c>
      <c r="HM101" s="206" t="str">
        <f>IFERROR(INDEX($A$2:$A$113,MATCH(ROWS($DQ$2:DQ101),$DQ$2:$DQ$113,0)),"")</f>
        <v>OTROS DELITOS PREVISTOS EN LA LEY DE ESTUPEFACIENTES 23.737</v>
      </c>
      <c r="HN101" s="206" t="str">
        <f>IFERROR(INDEX($A$2:$A$113,MATCH(ROWS($DR$2:DR101),$DR$2:$DR$113,0)),"")</f>
        <v>OTROS DELITOS PREVISTOS EN LA LEY DE ESTUPEFACIENTES 23.737</v>
      </c>
      <c r="HO101" s="206" t="str">
        <f>IFERROR(INDEX($A$2:$A$113,MATCH(ROWS($DS$2:DS101),$DS$2:$DS$113,0)),"")</f>
        <v>OTROS DELITOS PREVISTOS EN LA LEY DE ESTUPEFACIENTES 23.737</v>
      </c>
      <c r="HP101" s="206" t="str">
        <f>IFERROR(INDEX($A$2:$A$113,MATCH(ROWS($DT$2:DT101),$DT$2:$DT$113,0)),"")</f>
        <v>OTROS DELITOS PREVISTOS EN LA LEY DE ESTUPEFACIENTES 23.737</v>
      </c>
      <c r="HQ101" s="206" t="str">
        <f>IFERROR(INDEX($A$2:$A$113,MATCH(ROWS($DU$2:DU101),$DU$2:$DU$113,0)),"")</f>
        <v>OTROS DELITOS PREVISTOS EN LA LEY DE ESTUPEFACIENTES 23.737</v>
      </c>
      <c r="HR101" s="206" t="str">
        <f>IFERROR(INDEX($A$2:$A$113,MATCH(ROWS($DV$2:DV101),$DV$2:$DV$113,0)),"")</f>
        <v>OTROS DELITOS PREVISTOS EN LA LEY DE ESTUPEFACIENTES 23.737</v>
      </c>
      <c r="HS101" s="206" t="str">
        <f>IFERROR(INDEX($A$2:$A$113,MATCH(ROWS($DW$2:DW101),$DW$2:$DW$113,0)),"")</f>
        <v>OTROS DELITOS PREVISTOS EN LA LEY DE ESTUPEFACIENTES 23.737</v>
      </c>
      <c r="HT101" s="206" t="str">
        <f>IFERROR(INDEX($A$2:$A$113,MATCH(ROWS($DX$2:DX101),$DX$2:$DX$113,0)),"")</f>
        <v>OTROS DELITOS PREVISTOS EN LA LEY DE ESTUPEFACIENTES 23.737</v>
      </c>
      <c r="HU101" s="206" t="str">
        <f>IFERROR(INDEX($A$2:$A$113,MATCH(ROWS($DY$2:DY101),$DY$2:$DY$113,0)),"")</f>
        <v>OTROS DELITOS PREVISTOS EN LA LEY DE ESTUPEFACIENTES 23.737</v>
      </c>
      <c r="HV101" s="206" t="str">
        <f>IFERROR(INDEX($A$2:$A$113,MATCH(ROWS($DZ$2:DZ101),$DZ$2:$DZ$113,0)),"")</f>
        <v>OTROS DELITOS PREVISTOS EN LA LEY DE ESTUPEFACIENTES 23.737</v>
      </c>
      <c r="HW101" s="206" t="str">
        <f>IFERROR(INDEX($A$2:$A$113,MATCH(ROWS($EA$2:EA101),$EA$2:$EA$113,0)),"")</f>
        <v>OTROS DELITOS PREVISTOS EN LA LEY DE ESTUPEFACIENTES 23.737</v>
      </c>
      <c r="HX101" s="206" t="str">
        <f>IFERROR(INDEX($A$2:$A$113,MATCH(ROWS($EB$2:EB101),$EB$2:$EB$113,0)),"")</f>
        <v>OTROS DELITOS PREVISTOS EN LA LEY DE ESTUPEFACIENTES 23.737</v>
      </c>
      <c r="HY101" s="206" t="str">
        <f>IFERROR(INDEX($A$2:$A$113,MATCH(ROWS($EC$2:EC101),$EC$2:$EC$113,0)),"")</f>
        <v>OTROS DELITOS PREVISTOS EN LA LEY DE ESTUPEFACIENTES 23.737</v>
      </c>
      <c r="HZ101" s="206" t="str">
        <f>IFERROR(INDEX($A$2:$A$113,MATCH(ROWS($ED$2:ED101),$ED$2:$ED$113,0)),"")</f>
        <v>OTROS DELITOS PREVISTOS EN LA LEY DE ESTUPEFACIENTES 23.737</v>
      </c>
      <c r="IA101" s="206" t="str">
        <f>IFERROR(INDEX($A$2:$A$113,MATCH(ROWS($EE$2:EE101),$EE$2:$EE$113,0)),"")</f>
        <v>OTROS DELITOS PREVISTOS EN LA LEY DE ESTUPEFACIENTES 23.737</v>
      </c>
      <c r="IB101" s="206" t="str">
        <f>IFERROR(INDEX($A$2:$A$113,MATCH(ROWS($EF$2:EF101),$EF$2:$EF$113,0)),"")</f>
        <v>OTROS DELITOS PREVISTOS EN LA LEY DE ESTUPEFACIENTES 23.737</v>
      </c>
      <c r="IC101" s="206" t="str">
        <f>IFERROR(INDEX($A$2:$A$113,MATCH(ROWS($EG$2:EG101),$EG$2:$EG$113,0)),"")</f>
        <v>OTROS DELITOS PREVISTOS EN LA LEY DE ESTUPEFACIENTES 23.737</v>
      </c>
      <c r="ID101" s="206" t="str">
        <f>IFERROR(INDEX($A$2:$A$113,MATCH(ROWS($EH$2:EH101),$EH$2:$EH$113,0)),"")</f>
        <v>OTROS DELITOS PREVISTOS EN LA LEY DE ESTUPEFACIENTES 23.737</v>
      </c>
      <c r="IE101" s="206" t="str">
        <f>IFERROR(INDEX($A$2:$A$113,MATCH(ROWS($EI$2:EI101),$EI$2:$EI$113,0)),"")</f>
        <v>OTROS DELITOS PREVISTOS EN LA LEY DE ESTUPEFACIENTES 23.737</v>
      </c>
      <c r="IF101" s="206" t="str">
        <f>IFERROR(INDEX($A$2:$A$113,MATCH(ROWS($EJ$2:EJ101),$EJ$2:$EJ$113,0)),"")</f>
        <v>OTROS DELITOS PREVISTOS EN LA LEY DE ESTUPEFACIENTES 23.737</v>
      </c>
      <c r="IG101" s="206" t="str">
        <f>IFERROR(INDEX($A$2:$A$113,MATCH(ROWS($EK$2:EK101),$EK$2:$EK$113,0)),"")</f>
        <v>OTROS DELITOS PREVISTOS EN LA LEY DE ESTUPEFACIENTES 23.737</v>
      </c>
      <c r="IH101" s="206" t="str">
        <f>IFERROR(INDEX($A$2:$A$113,MATCH(ROWS($EL$2:EL101),$EL$2:$EL$113,0)),"")</f>
        <v>OTROS DELITOS PREVISTOS EN LA LEY DE ESTUPEFACIENTES 23.737</v>
      </c>
      <c r="II101" s="206" t="str">
        <f>IFERROR(INDEX($A$2:$A$113,MATCH(ROWS($EM$2:EM101),$EM$2:$EM$113,0)),"")</f>
        <v>OTROS DELITOS PREVISTOS EN LA LEY DE ESTUPEFACIENTES 23.737</v>
      </c>
      <c r="IJ101" s="206" t="str">
        <f>IFERROR(INDEX($A$2:$A$113,MATCH(ROWS($EN$2:EN101),$EN$2:$EN$113,0)),"")</f>
        <v>OTROS DELITOS PREVISTOS EN LA LEY DE ESTUPEFACIENTES 23.737</v>
      </c>
      <c r="IK101" s="207" t="str">
        <f>IFERROR(INDEX($A$2:$A$113,MATCH(ROWS($EO$2:EO101),$EO$2:$EO$113,0)),"")</f>
        <v>OTROS DELITOS PREVISTOS EN LA LEY DE ESTUPEFACIENTES 23.737</v>
      </c>
      <c r="IL101" s="207" t="str">
        <f>IFERROR(INDEX($A$2:$A$113,MATCH(ROWS($EP$2:EP101),$EP$2:$EP$113,0)),"")</f>
        <v>OTROS DELITOS PREVISTOS EN LA LEY DE ESTUPEFACIENTES 23.737</v>
      </c>
      <c r="IM101" s="207" t="str">
        <f>IFERROR(INDEX($A$2:$A$113,MATCH(ROWS($EQ$2:EQ101),$EQ$2:$EQ$113,0)),"")</f>
        <v>OTROS DELITOS PREVISTOS EN LA LEY DE ESTUPEFACIENTES 23.737</v>
      </c>
      <c r="IN101" s="207" t="str">
        <f>IFERROR(INDEX($A$2:$A$113,MATCH(ROWS($ER$2:ER101),$ER$2:$ER$113,0)),"")</f>
        <v>OTROS DELITOS PREVISTOS EN LA LEY DE ESTUPEFACIENTES 23.737</v>
      </c>
      <c r="IO101" s="207" t="str">
        <f>IFERROR(INDEX($A$2:$A$113,MATCH(ROWS($ES$2:ES101),$ES$2:$ES$113,0)),"")</f>
        <v>OTROS DELITOS PREVISTOS EN LA LEY DE ESTUPEFACIENTES 23.737</v>
      </c>
      <c r="IP101" s="207" t="str">
        <f>IFERROR(INDEX($A$2:$A$113,MATCH(ROWS($ET$2:ET101),$ET$2:$ET$113,0)),"")</f>
        <v>OTROS DELITOS PREVISTOS EN LA LEY DE ESTUPEFACIENTES 23.737</v>
      </c>
      <c r="IQ101" s="207" t="str">
        <f>IFERROR(INDEX($A$2:$A$113,MATCH(ROWS($EU$2:EU101),$EU$2:$EU$113,0)),"")</f>
        <v>OTROS DELITOS PREVISTOS EN LA LEY DE ESTUPEFACIENTES 23.737</v>
      </c>
      <c r="IR101" s="207" t="str">
        <f>IFERROR(INDEX($A$2:$A$113,MATCH(ROWS($EV$2:EV101),$EV$2:$EV$113,0)),"")</f>
        <v>OTROS DELITOS PREVISTOS EN LA LEY DE ESTUPEFACIENTES 23.737</v>
      </c>
      <c r="IS101" s="207" t="str">
        <f>IFERROR(INDEX($A$2:$A$113,MATCH(ROWS($EW$2:EW101),$EW$2:$EW$113,0)),"")</f>
        <v>OTROS DELITOS PREVISTOS EN LA LEY DE ESTUPEFACIENTES 23.737</v>
      </c>
      <c r="IT101" s="207" t="str">
        <f>IFERROR(INDEX($A$2:$A$113,MATCH(ROWS($EX$2:EX101),$EX$2:$EX$113,0)),"")</f>
        <v>OTROS DELITOS PREVISTOS EN LA LEY DE ESTUPEFACIENTES 23.737</v>
      </c>
      <c r="IU101" s="207" t="str">
        <f>IFERROR(INDEX($A$2:$A$113,MATCH(ROWS($EY$2:EY101),$EY$2:$EY$113,0)),"")</f>
        <v>OTROS DELITOS PREVISTOS EN LA LEY DE ESTUPEFACIENTES 23.737</v>
      </c>
      <c r="IV101" s="207" t="str">
        <f>IFERROR(INDEX($A$2:$A$113,MATCH(ROWS($EZ$2:EZ101),$EZ$2:$EZ$113,0)),"")</f>
        <v>OTROS DELITOS PREVISTOS EN LA LEY DE ESTUPEFACIENTES 23.737</v>
      </c>
      <c r="IW101" s="207" t="str">
        <f>IFERROR(INDEX($A$2:$A$113,MATCH(ROWS($FA$2:FA101),$FA$2:$FA$113,0)),"")</f>
        <v>OTROS DELITOS PREVISTOS EN LA LEY DE ESTUPEFACIENTES 23.737</v>
      </c>
      <c r="IX101" s="207" t="str">
        <f>IFERROR(INDEX($A$2:$A$113,MATCH(ROWS($FB$2:FB101),$FB$2:$FB$113,0)),"")</f>
        <v>OTROS DELITOS PREVISTOS EN LA LEY DE ESTUPEFACIENTES 23.737</v>
      </c>
      <c r="IY101" s="207" t="str">
        <f>IFERROR(INDEX($A$2:$A$113,MATCH(ROWS($FC$2:FC101),$FC$2:$FC$113,0)),"")</f>
        <v>OTROS DELITOS PREVISTOS EN LA LEY DE ESTUPEFACIENTES 23.737</v>
      </c>
      <c r="IZ101" s="207" t="str">
        <f>IFERROR(INDEX($A$2:$A$113,MATCH(ROWS($FD$2:FD101),$FD$2:$FD$113,0)),"")</f>
        <v>OTROS DELITOS PREVISTOS EN LA LEY DE ESTUPEFACIENTES 23.737</v>
      </c>
      <c r="JA101" s="207" t="str">
        <f>IFERROR(INDEX($A$2:$A$113,MATCH(ROWS($FE$2:FE101),$FE$2:$FE$113,0)),"")</f>
        <v>OTROS DELITOS PREVISTOS EN LA LEY DE ESTUPEFACIENTES 23.737</v>
      </c>
      <c r="JB101" s="207" t="str">
        <f>IFERROR(INDEX($A$2:$A$113,MATCH(ROWS($FF$2:FF101),$FF$2:$FF$113,0)),"")</f>
        <v>OTROS DELITOS PREVISTOS EN LA LEY DE ESTUPEFACIENTES 23.737</v>
      </c>
      <c r="JC101" s="207" t="str">
        <f>IFERROR(INDEX($A$2:$A$113,MATCH(ROWS($FG$2:FG101),$FG$2:$FG$113,0)),"")</f>
        <v>OTROS DELITOS PREVISTOS EN LA LEY DE ESTUPEFACIENTES 23.737</v>
      </c>
      <c r="JD101" s="207" t="str">
        <f>IFERROR(INDEX($A$2:$A$113,MATCH(ROWS($FH$2:FH101),$FH$2:$FH$113,0)),"")</f>
        <v>OTROS DELITOS PREVISTOS EN LA LEY DE ESTUPEFACIENTES 23.737</v>
      </c>
      <c r="JE101" s="207" t="str">
        <f>IFERROR(INDEX($A$2:$A$113,MATCH(ROWS($FI$2:FI101),$FI$2:$FI$113,0)),"")</f>
        <v>OTROS DELITOS PREVISTOS EN LA LEY DE ESTUPEFACIENTES 23.737</v>
      </c>
      <c r="JF101" s="207" t="str">
        <f>IFERROR(INDEX($A$2:$A$113,MATCH(ROWS($FJ$2:FJ101),$FJ$2:$FJ$113,0)),"")</f>
        <v>OTROS DELITOS PREVISTOS EN LA LEY DE ESTUPEFACIENTES 23.737</v>
      </c>
      <c r="JG101" s="207" t="str">
        <f>IFERROR(INDEX($A$2:$A$113,MATCH(ROWS($FK$2:FK101),$FK$2:$FK$113,0)),"")</f>
        <v>OTROS DELITOS PREVISTOS EN LA LEY DE ESTUPEFACIENTES 23.737</v>
      </c>
      <c r="JH101" s="207" t="str">
        <f>IFERROR(INDEX($A$2:$A$113,MATCH(ROWS($FL$2:FL101),$FL$2:$FL$113,0)),"")</f>
        <v>OTROS DELITOS PREVISTOS EN LA LEY DE ESTUPEFACIENTES 23.737</v>
      </c>
      <c r="JI101" s="207" t="str">
        <f>IFERROR(INDEX($A$2:$A$113,MATCH(ROWS($FM$2:FM101),$FM$2:$FM$113,0)),"")</f>
        <v>OTROS DELITOS PREVISTOS EN LA LEY DE ESTUPEFACIENTES 23.737</v>
      </c>
      <c r="JJ101" s="207" t="str">
        <f>IFERROR(INDEX($A$2:$A$113,MATCH(ROWS($FN$2:FN101),$FN$2:$FN$113,0)),"")</f>
        <v>OTROS DELITOS PREVISTOS EN LA LEY DE ESTUPEFACIENTES 23.737</v>
      </c>
      <c r="JK101" s="207" t="str">
        <f>IFERROR(INDEX($A$2:$A$113,MATCH(ROWS($FO$2:FO101),$FO$2:$FO$113,0)),"")</f>
        <v>OTROS DELITOS PREVISTOS EN LA LEY DE ESTUPEFACIENTES 23.737</v>
      </c>
      <c r="JL101" s="207" t="str">
        <f>IFERROR(INDEX($A$2:$A$113,MATCH(ROWS($FP$2:FP101),$FP$2:$FP$113,0)),"")</f>
        <v>OTROS DELITOS PREVISTOS EN LA LEY DE ESTUPEFACIENTES 23.737</v>
      </c>
      <c r="JM101" s="207" t="str">
        <f>IFERROR(INDEX($A$2:$A$113,MATCH(ROWS($FQ$2:FQ101),$FQ$2:$FQ$113,0)),"")</f>
        <v>OTROS DELITOS PREVISTOS EN LA LEY DE ESTUPEFACIENTES 23.737</v>
      </c>
      <c r="JN101" s="207" t="str">
        <f>IFERROR(INDEX($A$2:$A$113,MATCH(ROWS($FR$2:FR101),$FR$2:$FR$113,0)),"")</f>
        <v>OTROS DELITOS PREVISTOS EN LA LEY DE ESTUPEFACIENTES 23.737</v>
      </c>
      <c r="JO101" s="207" t="str">
        <f>IFERROR(INDEX($A$2:$A$113,MATCH(ROWS($FS$2:FS101),$FS$2:$FS$113,0)),"")</f>
        <v>OTROS DELITOS PREVISTOS EN LA LEY DE ESTUPEFACIENTES 23.737</v>
      </c>
      <c r="JP101" s="207" t="str">
        <f>IFERROR(INDEX($A$2:$A$113,MATCH(ROWS($FT$2:FT101),$FT$2:$FT$113,0)),"")</f>
        <v>OTROS DELITOS PREVISTOS EN LA LEY DE ESTUPEFACIENTES 23.737</v>
      </c>
      <c r="JQ101" s="207" t="str">
        <f>IFERROR(INDEX($A$2:$A$113,MATCH(ROWS($FU$2:FU101),$FU$2:$FU$113,0)),"")</f>
        <v>OTROS DELITOS PREVISTOS EN LA LEY DE ESTUPEFACIENTES 23.737</v>
      </c>
      <c r="JR101" s="207" t="str">
        <f>IFERROR(INDEX($A$2:$A$113,MATCH(ROWS($FV$2:FV101),$FV$2:$FV$113,0)),"")</f>
        <v>OTROS DELITOS PREVISTOS EN LA LEY DE ESTUPEFACIENTES 23.737</v>
      </c>
      <c r="JS101" s="207" t="str">
        <f>IFERROR(INDEX($A$2:$A$113,MATCH(ROWS($FW$2:FW101),$FW$2:$FW$113,0)),"")</f>
        <v>OTROS DELITOS PREVISTOS EN LA LEY DE ESTUPEFACIENTES 23.737</v>
      </c>
      <c r="JT101" s="207" t="str">
        <f>IFERROR(INDEX($A$2:$A$113,MATCH(ROWS($FX$2:FX101),$FX$2:$FX$113,0)),"")</f>
        <v>OTROS DELITOS PREVISTOS EN LA LEY DE ESTUPEFACIENTES 23.737</v>
      </c>
      <c r="JU101" s="207" t="str">
        <f>IFERROR(INDEX($A$2:$A$113,MATCH(ROWS($FY$2:FY101),$FY$2:$FY$113,0)),"")</f>
        <v>OTROS DELITOS PREVISTOS EN LA LEY DE ESTUPEFACIENTES 23.737</v>
      </c>
      <c r="JV101" s="207" t="str">
        <f>IFERROR(INDEX($A$2:$A$113,MATCH(ROWS($FZ$2:FZ101),$FZ$2:$FZ$113,0)),"")</f>
        <v>OTROS DELITOS PREVISTOS EN LA LEY DE ESTUPEFACIENTES 23.737</v>
      </c>
      <c r="JW101" s="207" t="str">
        <f>IFERROR(INDEX($A$2:$A$113,MATCH(ROWS($GA$2:GA101),$GA$2:$GA$113,0)),"")</f>
        <v>OTROS DELITOS PREVISTOS EN LA LEY DE ESTUPEFACIENTES 23.737</v>
      </c>
      <c r="JX101" s="207" t="str">
        <f>IFERROR(INDEX($A$2:$A$113,MATCH(ROWS($GB$2:GB101),$GB$2:$GB$113,0)),"")</f>
        <v>OTROS DELITOS PREVISTOS EN LA LEY DE ESTUPEFACIENTES 23.737</v>
      </c>
      <c r="JY101" s="207" t="str">
        <f>IFERROR(INDEX($A$2:$A$113,MATCH(ROWS($GC$2:GC101),$GC$2:$GC$113,0)),"")</f>
        <v>OTROS DELITOS PREVISTOS EN LA LEY DE ESTUPEFACIENTES 23.737</v>
      </c>
      <c r="JZ101" s="207" t="str">
        <f>IFERROR(INDEX($A$2:$A$113,MATCH(ROWS($GD$2:GD101),$GD$2:$GD$113,0)),"")</f>
        <v>OTROS DELITOS PREVISTOS EN LA LEY DE ESTUPEFACIENTES 23.737</v>
      </c>
      <c r="KA101" s="207" t="str">
        <f>IFERROR(INDEX($A$2:$A$113,MATCH(ROWS($GE$2:GE101),$GE$2:$GE$113,0)),"")</f>
        <v>OTROS DELITOS PREVISTOS EN LA LEY DE ESTUPEFACIENTES 23.737</v>
      </c>
      <c r="KB101" s="207" t="str">
        <f>IFERROR(INDEX($A$2:$A$113,MATCH(ROWS($GF$2:GF101),$GF$2:$GF$113,0)),"")</f>
        <v>OTROS DELITOS PREVISTOS EN LA LEY DE ESTUPEFACIENTES 23.737</v>
      </c>
      <c r="KC101" s="207" t="str">
        <f>IFERROR(INDEX($A$2:$A$113,MATCH(ROWS($GG$2:GG101),$GG$2:$GG$113,0)),"")</f>
        <v>OTROS DELITOS PREVISTOS EN LA LEY DE ESTUPEFACIENTES 23.737</v>
      </c>
      <c r="KD101" s="207" t="str">
        <f>IFERROR(INDEX($A$2:$A$113,MATCH(ROWS($GH$2:GH101),$GH$2:$GH$113,0)),"")</f>
        <v>OTROS DELITOS PREVISTOS EN LA LEY DE ESTUPEFACIENTES 23.737</v>
      </c>
      <c r="KE101" s="207" t="str">
        <f>IFERROR(INDEX($A$2:$A$113,MATCH(ROWS($GI$2:GI101),$GI$2:$GI$113,0)),"")</f>
        <v>OTROS DELITOS PREVISTOS EN LA LEY DE ESTUPEFACIENTES 23.737</v>
      </c>
      <c r="KF101" s="207" t="str">
        <f>IFERROR(INDEX($A$2:$A$113,MATCH(ROWS($GJ$2:GJ101),$GJ$2:$GJ$113,0)),"")</f>
        <v>OTROS DELITOS PREVISTOS EN LA LEY DE ESTUPEFACIENTES 23.737</v>
      </c>
      <c r="KG101" s="207" t="str">
        <f>IFERROR(INDEX($A$2:$A$113,MATCH(ROWS($GK$2:GK101),$GK$2:$GK$113,0)),"")</f>
        <v>OTROS DELITOS PREVISTOS EN LA LEY DE ESTUPEFACIENTES 23.737</v>
      </c>
      <c r="KH101" s="207" t="str">
        <f>IFERROR(INDEX($A$2:$A$113,MATCH(ROWS($GL$2:GL101),$GL$2:$GL$113,0)),"")</f>
        <v>OTROS DELITOS PREVISTOS EN LA LEY DE ESTUPEFACIENTES 23.737</v>
      </c>
      <c r="KI101" s="207" t="str">
        <f>IFERROR(INDEX($A$2:$A$113,MATCH(ROWS($GM$2:GM101),$GM$2:$GM$113,0)),"")</f>
        <v>OTROS DELITOS PREVISTOS EN LA LEY DE ESTUPEFACIENTES 23.737</v>
      </c>
      <c r="KJ101" s="207" t="str">
        <f>IFERROR(INDEX($A$2:$A$113,MATCH(ROWS($GN$2:GN101),$GN$2:$GN$113,0)),"")</f>
        <v>OTROS DELITOS PREVISTOS EN LA LEY DE ESTUPEFACIENTES 23.737</v>
      </c>
      <c r="KK101" s="207" t="str">
        <f>IFERROR(INDEX($A$2:$A$113,MATCH(ROWS($GO$2:GO101),$GO$2:$GO$113,0)),"")</f>
        <v>OTROS DELITOS PREVISTOS EN LA LEY DE ESTUPEFACIENTES 23.737</v>
      </c>
      <c r="KL101" s="207" t="str">
        <f>IFERROR(INDEX($A$2:$A$113,MATCH(ROWS($GP$2:GP101),$GP$2:$GP$113,0)),"")</f>
        <v>OTROS DELITOS PREVISTOS EN LA LEY DE ESTUPEFACIENTES 23.737</v>
      </c>
      <c r="KM101" s="207" t="str">
        <f>IFERROR(INDEX($A$2:$A$113,MATCH(ROWS($GQ$2:GQ101),$GQ$2:$GQ$113,0)),"")</f>
        <v>OTROS DELITOS PREVISTOS EN LA LEY DE ESTUPEFACIENTES 23.737</v>
      </c>
      <c r="KN101" s="207" t="str">
        <f>IFERROR(INDEX($A$2:$A$113,MATCH(ROWS($GR$2:GR101),$GR$2:$GR$113,0)),"")</f>
        <v>OTROS DELITOS PREVISTOS EN LA LEY DE ESTUPEFACIENTES 23.737</v>
      </c>
      <c r="KO101" s="207" t="str">
        <f>IFERROR(INDEX($A$2:$A$113,MATCH(ROWS($GS$2:GS101),$GS$2:$GS$113,0)),"")</f>
        <v>OTROS DELITOS PREVISTOS EN LA LEY DE ESTUPEFACIENTES 23.737</v>
      </c>
      <c r="KP101" s="207" t="str">
        <f>IFERROR(INDEX($A$2:$A$113,MATCH(ROWS($GT$2:GT101),$GT$2:$GT$113,0)),"")</f>
        <v>OTROS DELITOS PREVISTOS EN LA LEY DE ESTUPEFACIENTES 23.737</v>
      </c>
      <c r="KQ101" s="207" t="str">
        <f>IFERROR(INDEX($A$2:$A$113,MATCH(ROWS($GU$2:GU101),$GU$2:$GU$113,0)),"")</f>
        <v>OTROS DELITOS PREVISTOS EN LA LEY DE ESTUPEFACIENTES 23.737</v>
      </c>
      <c r="KR101" s="207" t="str">
        <f>IFERROR(INDEX($A$2:$A$113,MATCH(ROWS($GV$2:GV101),$GV$2:$GV$113,0)),"")</f>
        <v>OTROS DELITOS PREVISTOS EN LA LEY DE ESTUPEFACIENTES 23.737</v>
      </c>
      <c r="KS101" s="207" t="str">
        <f>IFERROR(INDEX($A$2:$A$113,MATCH(ROWS($GW$2:GW101),$GW$2:$GW$113,0)),"")</f>
        <v>OTROS DELITOS PREVISTOS EN LA LEY DE ESTUPEFACIENTES 23.737</v>
      </c>
    </row>
    <row r="102" spans="1:305" x14ac:dyDescent="0.25">
      <c r="A102" s="206" t="s">
        <v>127</v>
      </c>
      <c r="B102" s="206" t="s">
        <v>128</v>
      </c>
      <c r="D102" s="206" t="s">
        <v>127</v>
      </c>
      <c r="E102" s="206" t="s">
        <v>129</v>
      </c>
      <c r="F102" s="207">
        <f>--ISNUMBER(IFERROR(SEARCH('PLANILLA DJ'!$X$3,$A102,1),""))</f>
        <v>1</v>
      </c>
      <c r="G102" s="207">
        <f>--ISNUMBER(IFERROR(SEARCH('PLANILLA DJ'!$X$4,$A102,1),""))</f>
        <v>1</v>
      </c>
      <c r="H102" s="207">
        <f>--ISNUMBER(IFERROR(SEARCH('PLANILLA DJ'!$X$5,$A102,1),""))</f>
        <v>1</v>
      </c>
      <c r="I102" s="207">
        <f>--ISNUMBER(IFERROR(SEARCH('PLANILLA DJ'!$X$6,$A102,1),""))</f>
        <v>1</v>
      </c>
      <c r="J102" s="207">
        <f>--ISNUMBER(IFERROR(SEARCH('PLANILLA DJ'!$X$7,$A102,1),""))</f>
        <v>1</v>
      </c>
      <c r="K102" s="207">
        <f>--ISNUMBER(IFERROR(SEARCH('PLANILLA DJ'!$X$8,$A102,1),""))</f>
        <v>1</v>
      </c>
      <c r="L102" s="207">
        <f>--ISNUMBER(IFERROR(SEARCH('PLANILLA DJ'!$X$9,$A102,1),""))</f>
        <v>1</v>
      </c>
      <c r="M102" s="207">
        <f>--ISNUMBER(IFERROR(SEARCH('PLANILLA DJ'!$X$10,$A102,1),""))</f>
        <v>1</v>
      </c>
      <c r="N102" s="207">
        <f>--ISNUMBER(IFERROR(SEARCH('PLANILLA DJ'!$X$11,$A102,1),""))</f>
        <v>1</v>
      </c>
      <c r="O102" s="207">
        <f>--ISNUMBER(IFERROR(SEARCH('PLANILLA DJ'!$X$12,$A102,1),""))</f>
        <v>1</v>
      </c>
      <c r="P102" s="207">
        <f>--ISNUMBER(IFERROR(SEARCH('PLANILLA DJ'!$X$13,$A102,1),""))</f>
        <v>1</v>
      </c>
      <c r="Q102" s="207">
        <f>--ISNUMBER(IFERROR(SEARCH('PLANILLA DJ'!$X$14,$A102,1),""))</f>
        <v>1</v>
      </c>
      <c r="R102" s="207">
        <f>--ISNUMBER(IFERROR(SEARCH('PLANILLA DJ'!$X$15,$A102,1),""))</f>
        <v>1</v>
      </c>
      <c r="S102" s="207">
        <f>--ISNUMBER(IFERROR(SEARCH('PLANILLA DJ'!$X$16,$A102,1),""))</f>
        <v>1</v>
      </c>
      <c r="T102" s="207">
        <f>--ISNUMBER(IFERROR(SEARCH('PLANILLA DJ'!$X$17,$A102,1),""))</f>
        <v>1</v>
      </c>
      <c r="U102" s="207">
        <f>--ISNUMBER(IFERROR(SEARCH('PLANILLA DJ'!$X$18,$A102,1),""))</f>
        <v>1</v>
      </c>
      <c r="V102" s="207">
        <f>--ISNUMBER(IFERROR(SEARCH('PLANILLA DJ'!$X$19,$A102,1),""))</f>
        <v>1</v>
      </c>
      <c r="W102" s="207">
        <f>--ISNUMBER(IFERROR(SEARCH('PLANILLA DJ'!$X$20,$A102,1),""))</f>
        <v>1</v>
      </c>
      <c r="X102" s="207">
        <f>--ISNUMBER(IFERROR(SEARCH('PLANILLA DJ'!$X$21,$A102,1),""))</f>
        <v>1</v>
      </c>
      <c r="Y102" s="207">
        <f>--ISNUMBER(IFERROR(SEARCH('PLANILLA DJ'!$X$22,$A102,1),""))</f>
        <v>1</v>
      </c>
      <c r="Z102" s="207">
        <f>--ISNUMBER(IFERROR(SEARCH('PLANILLA DJ'!$X$23,$A102,1),""))</f>
        <v>1</v>
      </c>
      <c r="AA102" s="207">
        <f>--ISNUMBER(IFERROR(SEARCH('PLANILLA DJ'!$X$24,$A102,1),""))</f>
        <v>1</v>
      </c>
      <c r="AB102" s="207">
        <f>--ISNUMBER(IFERROR(SEARCH('PLANILLA DJ'!$X$25,$A102,1),""))</f>
        <v>1</v>
      </c>
      <c r="AC102" s="207">
        <f>--ISNUMBER(IFERROR(SEARCH('PLANILLA DJ'!$X$26,$A102,1),""))</f>
        <v>1</v>
      </c>
      <c r="AD102" s="207">
        <f>--ISNUMBER(IFERROR(SEARCH('PLANILLA DJ'!$X$27,$A102,1),""))</f>
        <v>1</v>
      </c>
      <c r="AE102" s="207">
        <f>--ISNUMBER(IFERROR(SEARCH('PLANILLA DJ'!$X$28,$A102,1),""))</f>
        <v>1</v>
      </c>
      <c r="AF102" s="207">
        <f>--ISNUMBER(IFERROR(SEARCH('PLANILLA DJ'!$X$29,$A102,1),""))</f>
        <v>1</v>
      </c>
      <c r="AG102" s="207">
        <f>--ISNUMBER(IFERROR(SEARCH('PLANILLA DJ'!$X$30,$A102,1),""))</f>
        <v>1</v>
      </c>
      <c r="AH102" s="207">
        <f>--ISNUMBER(IFERROR(SEARCH('PLANILLA DJ'!$X$31,$A102,1),""))</f>
        <v>1</v>
      </c>
      <c r="AI102" s="207">
        <f>--ISNUMBER(IFERROR(SEARCH('PLANILLA DJ'!$X$32,$A102,1),""))</f>
        <v>1</v>
      </c>
      <c r="AJ102" s="207">
        <f>--ISNUMBER(IFERROR(SEARCH('PLANILLA DJ'!$X$33,$A102,1),""))</f>
        <v>1</v>
      </c>
      <c r="AK102" s="207">
        <f>--ISNUMBER(IFERROR(SEARCH('PLANILLA DJ'!$X$34,$A102,1),""))</f>
        <v>1</v>
      </c>
      <c r="AL102" s="207">
        <f>--ISNUMBER(IFERROR(SEARCH('PLANILLA DJ'!$X$35,$A102,1),""))</f>
        <v>1</v>
      </c>
      <c r="AM102" s="207">
        <f>--ISNUMBER(IFERROR(SEARCH('PLANILLA DJ'!$X$36,$A102,1),""))</f>
        <v>1</v>
      </c>
      <c r="AN102" s="207">
        <f>--ISNUMBER(IFERROR(SEARCH('PLANILLA DJ'!$X$37,$A102,1),""))</f>
        <v>1</v>
      </c>
      <c r="AO102" s="207">
        <f>--ISNUMBER(IFERROR(SEARCH('PLANILLA DJ'!$X$38,$A102,1),""))</f>
        <v>1</v>
      </c>
      <c r="AP102" s="207">
        <f>--ISNUMBER(IFERROR(SEARCH('PLANILLA DJ'!$X$39,$A102,1),""))</f>
        <v>1</v>
      </c>
      <c r="AQ102" s="207">
        <f>--ISNUMBER(IFERROR(SEARCH('PLANILLA DJ'!$X$40,$A102,1),""))</f>
        <v>1</v>
      </c>
      <c r="AR102" s="207">
        <f>--ISNUMBER(IFERROR(SEARCH('PLANILLA DJ'!$X$41,$A102,1),""))</f>
        <v>1</v>
      </c>
      <c r="AS102" s="207">
        <f>--ISNUMBER(IFERROR(SEARCH('PLANILLA DJ'!$X$42,$A102,1),""))</f>
        <v>1</v>
      </c>
      <c r="AT102" s="207">
        <f>--ISNUMBER(IFERROR(SEARCH('PLANILLA DJ'!$X$43,$A102,1),""))</f>
        <v>1</v>
      </c>
      <c r="AU102" s="207">
        <f>--ISNUMBER(IFERROR(SEARCH('PLANILLA DJ'!$X$44,$A102,1),""))</f>
        <v>1</v>
      </c>
      <c r="AV102" s="207">
        <f>--ISNUMBER(IFERROR(SEARCH('PLANILLA DJ'!$X$45,$A102,1),""))</f>
        <v>1</v>
      </c>
      <c r="AW102" s="207">
        <f>--ISNUMBER(IFERROR(SEARCH('PLANILLA DJ'!$X$46,$A102,1),""))</f>
        <v>1</v>
      </c>
      <c r="AX102" s="207">
        <f>--ISNUMBER(IFERROR(SEARCH('PLANILLA DJ'!$X$47,$A102,1),""))</f>
        <v>1</v>
      </c>
      <c r="AY102" s="207">
        <f>--ISNUMBER(IFERROR(SEARCH('PLANILLA DJ'!$X$48,$A102,1),""))</f>
        <v>1</v>
      </c>
      <c r="AZ102" s="207">
        <f>--ISNUMBER(IFERROR(SEARCH('PLANILLA DJ'!$X$49,$A102,1),""))</f>
        <v>1</v>
      </c>
      <c r="BA102" s="207">
        <f>--ISNUMBER(IFERROR(SEARCH('PLANILLA DJ'!$X$50,$A102,1),""))</f>
        <v>1</v>
      </c>
      <c r="BB102" s="207">
        <f>--ISNUMBER(IFERROR(SEARCH('PLANILLA DJ'!$X$51,$A102,1),""))</f>
        <v>1</v>
      </c>
      <c r="BC102" s="207">
        <f>--ISNUMBER(IFERROR(SEARCH('PLANILLA DJ'!$X$52,$A102,1),""))</f>
        <v>1</v>
      </c>
      <c r="BD102" s="207">
        <f>--ISNUMBER(IFERROR(SEARCH('PLANILLA DJ'!$X$53,$A102,1),""))</f>
        <v>1</v>
      </c>
      <c r="BE102" s="207">
        <f>--ISNUMBER(IFERROR(SEARCH('PLANILLA DJ'!$X$54,$A102,1),""))</f>
        <v>1</v>
      </c>
      <c r="BF102" s="207">
        <f>--ISNUMBER(IFERROR(SEARCH('PLANILLA DJ'!$X$55,$A102,1),""))</f>
        <v>1</v>
      </c>
      <c r="BG102" s="207">
        <f>--ISNUMBER(IFERROR(SEARCH('PLANILLA DJ'!$X$56,$A102,1),""))</f>
        <v>1</v>
      </c>
      <c r="BH102" s="207">
        <f>--ISNUMBER(IFERROR(SEARCH('PLANILLA DJ'!$X$57,$A102,1),""))</f>
        <v>1</v>
      </c>
      <c r="BI102" s="207">
        <f>--ISNUMBER(IFERROR(SEARCH('PLANILLA DJ'!$X$58,$A102,1),""))</f>
        <v>1</v>
      </c>
      <c r="BJ102" s="207">
        <f>--ISNUMBER(IFERROR(SEARCH('PLANILLA DJ'!$X$59,$A102,1),""))</f>
        <v>1</v>
      </c>
      <c r="BK102" s="207">
        <f>--ISNUMBER(IFERROR(SEARCH('PLANILLA DJ'!$X$60,$A102,1),""))</f>
        <v>1</v>
      </c>
      <c r="BL102" s="207">
        <f>--ISNUMBER(IFERROR(SEARCH('PLANILLA DJ'!$X$61,$A102,1),""))</f>
        <v>1</v>
      </c>
      <c r="BM102" s="207">
        <f>--ISNUMBER(IFERROR(SEARCH('PLANILLA DJ'!$X$62,$A102,1),""))</f>
        <v>1</v>
      </c>
      <c r="BN102" s="207">
        <f>--ISNUMBER(IFERROR(SEARCH('PLANILLA DJ'!$X$63,$A102,1),""))</f>
        <v>1</v>
      </c>
      <c r="BO102" s="207">
        <f>--ISNUMBER(IFERROR(SEARCH('PLANILLA DJ'!$X$64,$A102,1),""))</f>
        <v>1</v>
      </c>
      <c r="BP102" s="207">
        <f>--ISNUMBER(IFERROR(SEARCH('PLANILLA DJ'!$X$65,$A102,1),""))</f>
        <v>1</v>
      </c>
      <c r="BQ102" s="207">
        <f>--ISNUMBER(IFERROR(SEARCH('PLANILLA DJ'!$X$66,$A102,1),""))</f>
        <v>1</v>
      </c>
      <c r="BR102" s="207">
        <f>--ISNUMBER(IFERROR(SEARCH('PLANILLA DJ'!$X$67,$A102,1),""))</f>
        <v>1</v>
      </c>
      <c r="BS102" s="207">
        <f>--ISNUMBER(IFERROR(SEARCH('PLANILLA DJ'!$X$68,$A102,1),""))</f>
        <v>1</v>
      </c>
      <c r="BT102" s="207">
        <f>--ISNUMBER(IFERROR(SEARCH('PLANILLA DJ'!$X$69,$A102,1),""))</f>
        <v>1</v>
      </c>
      <c r="BU102" s="207">
        <f>--ISNUMBER(IFERROR(SEARCH('PLANILLA DJ'!$X$70,$A102,1),""))</f>
        <v>1</v>
      </c>
      <c r="BV102" s="207">
        <f>--ISNUMBER(IFERROR(SEARCH('PLANILLA DJ'!$X$71,$A102,1),""))</f>
        <v>1</v>
      </c>
      <c r="BW102" s="207">
        <f>--ISNUMBER(IFERROR(SEARCH('PLANILLA DJ'!$X$72,$A102,1),""))</f>
        <v>1</v>
      </c>
      <c r="BX102" s="207">
        <f>--ISNUMBER(IFERROR(SEARCH('PLANILLA DJ'!$X$73,$A102,1),""))</f>
        <v>1</v>
      </c>
      <c r="BY102" s="207">
        <f>--ISNUMBER(IFERROR(SEARCH('PLANILLA DJ'!$X$74,$A102,1),""))</f>
        <v>1</v>
      </c>
      <c r="BZ102" s="207">
        <f>--ISNUMBER(IFERROR(SEARCH('PLANILLA DJ'!$X$75,$A102,1),""))</f>
        <v>1</v>
      </c>
      <c r="CA102" s="207">
        <f>--ISNUMBER(IFERROR(SEARCH('PLANILLA DJ'!$X$76,$A102,1),""))</f>
        <v>1</v>
      </c>
      <c r="CB102" s="207">
        <f>--ISNUMBER(IFERROR(SEARCH('PLANILLA DJ'!$X$77,$A102,1),""))</f>
        <v>1</v>
      </c>
      <c r="CC102" s="207">
        <f>--ISNUMBER(IFERROR(SEARCH('PLANILLA DJ'!$X$78,$A102,1),""))</f>
        <v>1</v>
      </c>
      <c r="CD102" s="207">
        <f>--ISNUMBER(IFERROR(SEARCH('PLANILLA DJ'!$X$79,$A102,1),""))</f>
        <v>1</v>
      </c>
      <c r="CE102" s="207">
        <f>--ISNUMBER(IFERROR(SEARCH('PLANILLA DJ'!$X$80,$A102,1),""))</f>
        <v>1</v>
      </c>
      <c r="CF102" s="207">
        <f>--ISNUMBER(IFERROR(SEARCH('PLANILLA DJ'!$X$81,$A102,1),""))</f>
        <v>1</v>
      </c>
      <c r="CG102" s="207">
        <f>--ISNUMBER(IFERROR(SEARCH('PLANILLA DJ'!$X$82,$A102,1),""))</f>
        <v>1</v>
      </c>
      <c r="CH102" s="207">
        <f>--ISNUMBER(IFERROR(SEARCH('PLANILLA DJ'!$X$83,$A102,1),""))</f>
        <v>1</v>
      </c>
      <c r="CI102" s="207">
        <f>--ISNUMBER(IFERROR(SEARCH('PLANILLA DJ'!$X$84,$A102,1),""))</f>
        <v>1</v>
      </c>
      <c r="CJ102" s="207">
        <f>--ISNUMBER(IFERROR(SEARCH('PLANILLA DJ'!$X$85,$A102,1),""))</f>
        <v>1</v>
      </c>
      <c r="CK102" s="207">
        <f>--ISNUMBER(IFERROR(SEARCH('PLANILLA DJ'!$X$86,$A102,1),""))</f>
        <v>1</v>
      </c>
      <c r="CL102" s="207">
        <f>--ISNUMBER(IFERROR(SEARCH('PLANILLA DJ'!$X$87,$A102,1),""))</f>
        <v>1</v>
      </c>
      <c r="CM102" s="207">
        <f>--ISNUMBER(IFERROR(SEARCH('PLANILLA DJ'!$X$88,$A102,1),""))</f>
        <v>1</v>
      </c>
      <c r="CN102" s="207">
        <f>--ISNUMBER(IFERROR(SEARCH('PLANILLA DJ'!$X$89,$A102,1),""))</f>
        <v>1</v>
      </c>
      <c r="CO102" s="207">
        <f>--ISNUMBER(IFERROR(SEARCH('PLANILLA DJ'!$X$90,$A102,1),""))</f>
        <v>1</v>
      </c>
      <c r="CP102" s="207">
        <f>--ISNUMBER(IFERROR(SEARCH('PLANILLA DJ'!$X$91,$A102,1),""))</f>
        <v>1</v>
      </c>
      <c r="CQ102" s="207">
        <f>--ISNUMBER(IFERROR(SEARCH('PLANILLA DJ'!$X$92,$A102,1),""))</f>
        <v>1</v>
      </c>
      <c r="CR102" s="207">
        <f>--ISNUMBER(IFERROR(SEARCH('PLANILLA DJ'!$X$93,$A102,1),""))</f>
        <v>1</v>
      </c>
      <c r="CS102" s="207">
        <f>--ISNUMBER(IFERROR(SEARCH('PLANILLA DJ'!$X$94,$A102,1),""))</f>
        <v>1</v>
      </c>
      <c r="CT102" s="207">
        <f>--ISNUMBER(IFERROR(SEARCH('PLANILLA DJ'!$X$95,$A102,1),""))</f>
        <v>1</v>
      </c>
      <c r="CU102" s="207">
        <f>--ISNUMBER(IFERROR(SEARCH('PLANILLA DJ'!$X$96,$A102,1),""))</f>
        <v>1</v>
      </c>
      <c r="CV102" s="207">
        <f>--ISNUMBER(IFERROR(SEARCH('PLANILLA DJ'!$X$97,$A102,1),""))</f>
        <v>1</v>
      </c>
      <c r="CW102" s="207">
        <f>--ISNUMBER(IFERROR(SEARCH('PLANILLA DJ'!$X$98,$A102,1),""))</f>
        <v>1</v>
      </c>
      <c r="CX102" s="207">
        <f>--ISNUMBER(IFERROR(SEARCH('PLANILLA DJ'!$X$99,$A102,1),""))</f>
        <v>1</v>
      </c>
      <c r="CY102" s="207">
        <f>--ISNUMBER(IFERROR(SEARCH('PLANILLA DJ'!$X$100,$A102,1),""))</f>
        <v>1</v>
      </c>
      <c r="CZ102" s="207">
        <f>--ISNUMBER(IFERROR(SEARCH('PLANILLA DJ'!$X$101,$A102,1),""))</f>
        <v>1</v>
      </c>
      <c r="DA102" s="207">
        <f>--ISNUMBER(IFERROR(SEARCH('PLANILLA DJ'!$X$102,$A102,1),""))</f>
        <v>1</v>
      </c>
      <c r="DB102" s="206">
        <f>IF(F102=1,COUNTIF($F$2:F102,1),"")</f>
        <v>101</v>
      </c>
      <c r="DC102" s="206">
        <f>IF(G102=1,COUNTIF($G$2:G102,1),"")</f>
        <v>101</v>
      </c>
      <c r="DD102" s="206">
        <f>IF(H102=1,COUNTIF($H$2:H102,1),"")</f>
        <v>101</v>
      </c>
      <c r="DE102" s="206">
        <f>IF(I102=1,COUNTIF($I$2:I102,1),"")</f>
        <v>101</v>
      </c>
      <c r="DF102" s="206">
        <f>IF(J102=1,COUNTIF($J$2:J102,1),"")</f>
        <v>101</v>
      </c>
      <c r="DG102" s="206">
        <f>IF(K102=1,COUNTIF($K$2:K102,1),"")</f>
        <v>101</v>
      </c>
      <c r="DH102" s="206">
        <f>IF(L102=1,COUNTIF($L$2:L102,1),"")</f>
        <v>101</v>
      </c>
      <c r="DI102" s="206">
        <f>IF(M102=1,COUNTIF($M$2:M102,1),"")</f>
        <v>101</v>
      </c>
      <c r="DJ102" s="206">
        <f>IF(N102=1,COUNTIF($N$2:N102,1),"")</f>
        <v>101</v>
      </c>
      <c r="DK102" s="206">
        <f>IF(O102=1,COUNTIF($O$2:O102,1),"")</f>
        <v>101</v>
      </c>
      <c r="DL102" s="206">
        <f>IF(P102=1,COUNTIF($P$2:P102,1),"")</f>
        <v>101</v>
      </c>
      <c r="DM102" s="206">
        <f>IF(Q102=1,COUNTIF($Q$2:Q102,1),"")</f>
        <v>101</v>
      </c>
      <c r="DN102" s="207">
        <f>IF(R102=1,COUNTIF($R$2:R102,1),"")</f>
        <v>101</v>
      </c>
      <c r="DO102" s="207">
        <f>IF(S102=1,COUNTIF($S$2:S102,1),"")</f>
        <v>101</v>
      </c>
      <c r="DP102" s="207">
        <f>IF(T102=1,COUNTIF($T$2:T102,1),"")</f>
        <v>101</v>
      </c>
      <c r="DQ102" s="207">
        <f>IF(U102=1,COUNTIF($U$2:U102,1),"")</f>
        <v>101</v>
      </c>
      <c r="DR102" s="207">
        <f>IF(V102=1,COUNTIF($V$2:V102,1),"")</f>
        <v>101</v>
      </c>
      <c r="DS102" s="207">
        <f>IF(W102=1,COUNTIF($W$2:W102,1),"")</f>
        <v>101</v>
      </c>
      <c r="DT102" s="207">
        <f>IF(X102=1,COUNTIF($X$2:X102,1),"")</f>
        <v>101</v>
      </c>
      <c r="DU102" s="207">
        <f>IF(Y102=1,COUNTIF($Y$2:Y102,1),"")</f>
        <v>101</v>
      </c>
      <c r="DV102" s="207">
        <f>IF(Z102=1,COUNTIF(Z$2:Z102,1),"")</f>
        <v>101</v>
      </c>
      <c r="DW102" s="207">
        <f>IF(AA102=1,COUNTIF($AA$2:AA102,1),"")</f>
        <v>101</v>
      </c>
      <c r="DX102" s="207">
        <f>IF(AB102=1,COUNTIF($AB$2:AB102,1),"")</f>
        <v>101</v>
      </c>
      <c r="DY102" s="207">
        <f>IF(AC102=1,COUNTIF($AC$2:AC102,1),"")</f>
        <v>101</v>
      </c>
      <c r="DZ102" s="207">
        <f>IF(AD102=1,COUNTIF($AD$2:AD102,1),"")</f>
        <v>101</v>
      </c>
      <c r="EA102" s="207">
        <f>IF(AE102=1,COUNTIF($AE$2:AE102,1),"")</f>
        <v>101</v>
      </c>
      <c r="EB102" s="207">
        <f>IF(AF102=1,COUNTIF($AF$2:AF102,1),"")</f>
        <v>101</v>
      </c>
      <c r="EC102" s="207">
        <f>IF(AG102=1,COUNTIF($AG$2:AG102,1),"")</f>
        <v>101</v>
      </c>
      <c r="ED102" s="207">
        <f>IF(AH102=1,COUNTIF($AH$2:AH102,1),"")</f>
        <v>101</v>
      </c>
      <c r="EE102" s="207">
        <f>IF(AI102=1,COUNTIF($AI$2:AI102,1),"")</f>
        <v>101</v>
      </c>
      <c r="EF102" s="207">
        <f>IF(AJ102=1,COUNTIF($AJ$2:AJ102,1),"")</f>
        <v>101</v>
      </c>
      <c r="EG102" s="207">
        <f>IF(AK102=1,COUNTIF($AK$2:AK102,1),"")</f>
        <v>101</v>
      </c>
      <c r="EH102" s="207">
        <f>IF(AL102=1,COUNTIF($AL$2:AL102,1),"")</f>
        <v>101</v>
      </c>
      <c r="EI102" s="207">
        <f>IF(AM102=1,COUNTIF($AM$2:AM102,1),"")</f>
        <v>101</v>
      </c>
      <c r="EJ102" s="207">
        <f>IF(AN102=1,COUNTIF($AN$2:AN102,1),"")</f>
        <v>101</v>
      </c>
      <c r="EK102" s="207">
        <f>IF(AO102=1,COUNTIF($AO$2:AO102,1),"")</f>
        <v>101</v>
      </c>
      <c r="EL102" s="207">
        <f>IF(AP102=1,COUNTIF($AP$2:AP102,1),"")</f>
        <v>101</v>
      </c>
      <c r="EM102" s="207">
        <f>IF(AQ102=1,COUNTIF($AQ$2:AQ102,1),"")</f>
        <v>101</v>
      </c>
      <c r="EN102" s="207">
        <f>IF(AR102=1,COUNTIF($AR$2:AR102,1),"")</f>
        <v>101</v>
      </c>
      <c r="EO102" s="207">
        <f>IF(AS102=1,COUNTIF($AS$2:AS102,1),"")</f>
        <v>101</v>
      </c>
      <c r="EP102" s="207">
        <f>IF(AT102=1,COUNTIF($AT$2:AT102,1),"")</f>
        <v>101</v>
      </c>
      <c r="EQ102" s="207">
        <f>IF(AU102=1,COUNTIF($AU$2:AU102,1),"")</f>
        <v>101</v>
      </c>
      <c r="ER102" s="207">
        <f>IF(AV102=1,COUNTIF($AV$2:AV102,1),"")</f>
        <v>101</v>
      </c>
      <c r="ES102" s="207">
        <f>IF(AW102=1,COUNTIF($AW$2:AW102,1),"")</f>
        <v>101</v>
      </c>
      <c r="ET102" s="207">
        <f>IF(AX102=1,COUNTIF($AX$2:AX102,1),"")</f>
        <v>101</v>
      </c>
      <c r="EU102" s="207">
        <f>IF(AY102=1,COUNTIF($AY$2:AY102,1),"")</f>
        <v>101</v>
      </c>
      <c r="EV102" s="207">
        <f>IF(AZ102=1,COUNTIF($AZ$2:AZ102,1),"")</f>
        <v>101</v>
      </c>
      <c r="EW102" s="207">
        <f>IF(BA102=1,COUNTIF($BA$2:BA102,1),"")</f>
        <v>101</v>
      </c>
      <c r="EX102" s="207">
        <f>IF(BB102=1,COUNTIF($BB$2:BB102,1),"")</f>
        <v>101</v>
      </c>
      <c r="EY102" s="207">
        <f>IF(BC102=1,COUNTIF($BC$2:BC102,1),"")</f>
        <v>101</v>
      </c>
      <c r="EZ102" s="207">
        <f>IF(BD102=1,COUNTIF($BD$2:BD102,1),"")</f>
        <v>101</v>
      </c>
      <c r="FA102" s="207">
        <f>IF(BE102=1,COUNTIF($BE$2:BE102,1),"")</f>
        <v>101</v>
      </c>
      <c r="FB102" s="207">
        <f>IF(BF102=1,COUNTIF($BF$2:BF102,1),"")</f>
        <v>101</v>
      </c>
      <c r="FC102" s="207">
        <f>IF(BG102=1,COUNTIF($BG$2:BG102,1),"")</f>
        <v>101</v>
      </c>
      <c r="FD102" s="207">
        <f>IF(BH102=1,COUNTIF($BH$2:BH102,1),"")</f>
        <v>101</v>
      </c>
      <c r="FE102" s="207">
        <f>IF(BI102=1,COUNTIF($BI$2:BI102,1),"")</f>
        <v>101</v>
      </c>
      <c r="FF102" s="207">
        <f>IF(BJ102=1,COUNTIF($BJ$2:BJ102,1),"")</f>
        <v>101</v>
      </c>
      <c r="FG102" s="207">
        <f>IF(BK102=1,COUNTIF($BK$2:BK102,1),"")</f>
        <v>101</v>
      </c>
      <c r="FH102" s="207">
        <f>IF(BL102=1,COUNTIF($BL$2:BL102,1),"")</f>
        <v>101</v>
      </c>
      <c r="FI102" s="207">
        <f>IF(BM102=1,COUNTIF($BM$2:BM102,1),"")</f>
        <v>101</v>
      </c>
      <c r="FJ102" s="207">
        <f>IF(BN102=1,COUNTIF($BN$2:BN102,1),"")</f>
        <v>101</v>
      </c>
      <c r="FK102" s="207">
        <f>IF(BO102=1,COUNTIF($BO$2:BO102,1),"")</f>
        <v>101</v>
      </c>
      <c r="FL102" s="207">
        <f>IF(BP102=1,COUNTIF($BP$2:BP102,1),"")</f>
        <v>101</v>
      </c>
      <c r="FM102" s="207">
        <f>IF(BQ102=1,COUNTIF($BQ$2:BQ102,1),"")</f>
        <v>101</v>
      </c>
      <c r="FN102" s="207">
        <f>IF(BR102=1,COUNTIF($BR$2:BR102,1),"")</f>
        <v>101</v>
      </c>
      <c r="FO102" s="207">
        <f>IF(BS102=1,COUNTIF($BS$2:BS102,1),"")</f>
        <v>101</v>
      </c>
      <c r="FP102" s="207">
        <f>IF(BT102=1,COUNTIF($BT$2:BT102,1),"")</f>
        <v>101</v>
      </c>
      <c r="FQ102" s="207">
        <f>IF(BU102=1,COUNTIF($BU$2:BU102,1),"")</f>
        <v>101</v>
      </c>
      <c r="FR102" s="207">
        <f>IF(BV102=1,COUNTIF($BV$2:BV102,1),"")</f>
        <v>101</v>
      </c>
      <c r="FS102" s="207">
        <f>IF(BW102=1,COUNTIF($BW$2:BW102,1),"")</f>
        <v>101</v>
      </c>
      <c r="FT102" s="207">
        <f>IF(BX102=1,COUNTIF($BX$2:BX102,1),"")</f>
        <v>101</v>
      </c>
      <c r="FU102" s="207">
        <f>IF(BY102=1,COUNTIF($BY$2:BY102,1),"")</f>
        <v>101</v>
      </c>
      <c r="FV102" s="207">
        <f>IF(BZ102=1,COUNTIF($BZ$2:BZ102,1),"")</f>
        <v>101</v>
      </c>
      <c r="FW102" s="207">
        <f>IF(CA102=1,COUNTIF($CA$2:CA102,1),"")</f>
        <v>101</v>
      </c>
      <c r="FX102" s="207">
        <f>IF(CB102=1,COUNTIF($CB$2:CB102,1),"")</f>
        <v>101</v>
      </c>
      <c r="FY102" s="207">
        <f>IF(CC102=1,COUNTIF($CC$2:CC102,1),"")</f>
        <v>101</v>
      </c>
      <c r="FZ102" s="207">
        <f>IF(CD102=1,COUNTIF($CD$2:CD102,1),"")</f>
        <v>101</v>
      </c>
      <c r="GA102" s="207">
        <f>IF(CE102=1,COUNTIF($CE$2:CE102,1),"")</f>
        <v>101</v>
      </c>
      <c r="GB102" s="207">
        <f>IF(CF102=1,COUNTIF($CF$2:CF102,1),"")</f>
        <v>101</v>
      </c>
      <c r="GC102" s="207">
        <f>IF(CG102=1,COUNTIF($CG$2:CG102,1),"")</f>
        <v>101</v>
      </c>
      <c r="GD102" s="207">
        <f>IF(CH102=1,COUNTIF($CH$2:CH102,1),"")</f>
        <v>101</v>
      </c>
      <c r="GE102" s="207">
        <f>IF(CI102=1,COUNTIF($CI$2:CI102,1),"")</f>
        <v>101</v>
      </c>
      <c r="GF102" s="207">
        <f>IF(CJ102=1,COUNTIF($CJ$2:CJ102,1),"")</f>
        <v>101</v>
      </c>
      <c r="GG102" s="207">
        <f>IF(CK102=1,COUNTIF($CK$2:CK102,1),"")</f>
        <v>101</v>
      </c>
      <c r="GH102" s="207">
        <f>IF(CL102=1,COUNTIF($CL$2:CL102,1),"")</f>
        <v>101</v>
      </c>
      <c r="GI102" s="207">
        <f>IF(CM102=1,COUNTIF($CM$2:CM102,1),"")</f>
        <v>101</v>
      </c>
      <c r="GJ102" s="207">
        <f>IF(CN102=1,COUNTIF($CN$2:CN102,1),"")</f>
        <v>101</v>
      </c>
      <c r="GK102" s="207">
        <f>IF(CO102=1,COUNTIF($CO$2:CO102,1),"")</f>
        <v>101</v>
      </c>
      <c r="GL102" s="207">
        <f>IF(CP102=1,COUNTIF($CP$2:CP102,1),"")</f>
        <v>101</v>
      </c>
      <c r="GM102" s="207">
        <f>IF(CQ102=1,COUNTIF($CQ$2:CQ102,1),"")</f>
        <v>101</v>
      </c>
      <c r="GN102" s="207">
        <f>IF(CR102=1,COUNTIF($CR$2:CR102,1),"")</f>
        <v>101</v>
      </c>
      <c r="GO102" s="207">
        <f>IF(CS102=1,COUNTIF($CS$2:CS102,1),"")</f>
        <v>101</v>
      </c>
      <c r="GP102" s="207">
        <f>IF(CT102=1,COUNTIF($CT$2:CT102,1),"")</f>
        <v>101</v>
      </c>
      <c r="GQ102" s="207">
        <f>IF(CU102=1,COUNTIF($CU$2:CU102,1),"")</f>
        <v>101</v>
      </c>
      <c r="GR102" s="207">
        <f>IF(CV102=1,COUNTIF($CV$2:CV102,1),"")</f>
        <v>101</v>
      </c>
      <c r="GS102" s="207">
        <f>IF(CW102=1,COUNTIF($CW$2:CW102,1),"")</f>
        <v>101</v>
      </c>
      <c r="GT102" s="207">
        <f>IF(CX102=1,COUNTIF($CX$2:CX102,1),"")</f>
        <v>101</v>
      </c>
      <c r="GU102" s="207">
        <f>IF(CY102=1,COUNTIF($CY$2:CY102,1),"")</f>
        <v>101</v>
      </c>
      <c r="GV102" s="207">
        <f>IF(CZ102=1,COUNTIF($CZ$2:CZ102,1),"")</f>
        <v>101</v>
      </c>
      <c r="GW102" s="207">
        <f>IF(DA102=1,COUNTIF($DA$2:DA102,1),"")</f>
        <v>101</v>
      </c>
      <c r="GX102" s="206" t="str">
        <f>IFERROR(INDEX($A$2:$A$113,MATCH(ROWS($DB$2:DB102),$DB$2:$DB$113,0)),"")</f>
        <v>VIOLACION A LA LEY DE RESIDUOS PELIGROSOS</v>
      </c>
      <c r="GY102" s="206" t="str">
        <f>IFERROR(INDEX($A$2:$A$113,MATCH(ROWS($DC$2:DC102),$DC$2:$DC$113,0)),"")</f>
        <v>VIOLACION A LA LEY DE RESIDUOS PELIGROSOS</v>
      </c>
      <c r="GZ102" s="206" t="str">
        <f>IFERROR(INDEX($A$2:$A$113,MATCH(ROWS($DD$2:DD102),$DD$2:$DD$113,0)),"")</f>
        <v>VIOLACION A LA LEY DE RESIDUOS PELIGROSOS</v>
      </c>
      <c r="HA102" s="206" t="str">
        <f>IFERROR(INDEX($A$2:$A$113,MATCH(ROWS($DE$2:DE102),$DE$2:$DE$113,0)),"")</f>
        <v>VIOLACION A LA LEY DE RESIDUOS PELIGROSOS</v>
      </c>
      <c r="HB102" s="206" t="str">
        <f>IFERROR(INDEX($A$2:$A$113,MATCH(ROWS($DF$2:DF102),$DF$2:$DF$113,0)),"")</f>
        <v>VIOLACION A LA LEY DE RESIDUOS PELIGROSOS</v>
      </c>
      <c r="HC102" s="206" t="str">
        <f>IFERROR(INDEX($A$2:$A$113,MATCH(ROWS($DG$2:DG102),$DG$2:$DG$113,0)),"")</f>
        <v>VIOLACION A LA LEY DE RESIDUOS PELIGROSOS</v>
      </c>
      <c r="HD102" s="206" t="str">
        <f>IFERROR(INDEX($A$2:$A$113,MATCH(ROWS($DH$2:DH102),$DH$2:$DH$113,0)),"")</f>
        <v>VIOLACION A LA LEY DE RESIDUOS PELIGROSOS</v>
      </c>
      <c r="HE102" s="206" t="str">
        <f>IFERROR(INDEX($A$2:$A$113,MATCH(ROWS($DI$2:DI102),$DI$2:$DI$113,0)),"")</f>
        <v>VIOLACION A LA LEY DE RESIDUOS PELIGROSOS</v>
      </c>
      <c r="HF102" s="206" t="str">
        <f>IFERROR(INDEX($A$2:$A$113,MATCH(ROWS($DJ$2:DJ102),$DJ$2:$DJ$113,0)),"")</f>
        <v>VIOLACION A LA LEY DE RESIDUOS PELIGROSOS</v>
      </c>
      <c r="HG102" s="206" t="str">
        <f>IFERROR(INDEX($A$2:$A$113,MATCH(ROWS($DK$2:DK102),$DK$2:$DK$113,0)),"")</f>
        <v>VIOLACION A LA LEY DE RESIDUOS PELIGROSOS</v>
      </c>
      <c r="HH102" s="206" t="str">
        <f>IFERROR(INDEX($A$2:$A$113,MATCH(ROWS($DL$2:DL102),$DL$2:$DL$113,0)),"")</f>
        <v>VIOLACION A LA LEY DE RESIDUOS PELIGROSOS</v>
      </c>
      <c r="HI102" s="206" t="str">
        <f>IFERROR(INDEX($A$2:$A$113,MATCH(ROWS($DM$2:DM102),$DM$2:$DM$113,0)),"")</f>
        <v>VIOLACION A LA LEY DE RESIDUOS PELIGROSOS</v>
      </c>
      <c r="HJ102" s="206" t="str">
        <f>IFERROR(INDEX($A$2:$A$113,MATCH(ROWS($DN$2:DN102),$DN$2:$DN$113,0)),"")</f>
        <v>VIOLACION A LA LEY DE RESIDUOS PELIGROSOS</v>
      </c>
      <c r="HK102" s="206" t="str">
        <f>IFERROR(INDEX($A$2:$A$113,MATCH(ROWS($DO$2:DO102),$DO$2:$DO$113,0)),"")</f>
        <v>VIOLACION A LA LEY DE RESIDUOS PELIGROSOS</v>
      </c>
      <c r="HL102" s="206" t="str">
        <f>IFERROR(INDEX($A$2:$A$113,MATCH(ROWS($DP$2:DP102),$DP$2:$DP$113,0)),"")</f>
        <v>VIOLACION A LA LEY DE RESIDUOS PELIGROSOS</v>
      </c>
      <c r="HM102" s="206" t="str">
        <f>IFERROR(INDEX($A$2:$A$113,MATCH(ROWS($DQ$2:DQ102),$DQ$2:$DQ$113,0)),"")</f>
        <v>VIOLACION A LA LEY DE RESIDUOS PELIGROSOS</v>
      </c>
      <c r="HN102" s="206" t="str">
        <f>IFERROR(INDEX($A$2:$A$113,MATCH(ROWS($DR$2:DR102),$DR$2:$DR$113,0)),"")</f>
        <v>VIOLACION A LA LEY DE RESIDUOS PELIGROSOS</v>
      </c>
      <c r="HO102" s="206" t="str">
        <f>IFERROR(INDEX($A$2:$A$113,MATCH(ROWS($DS$2:DS102),$DS$2:$DS$113,0)),"")</f>
        <v>VIOLACION A LA LEY DE RESIDUOS PELIGROSOS</v>
      </c>
      <c r="HP102" s="206" t="str">
        <f>IFERROR(INDEX($A$2:$A$113,MATCH(ROWS($DT$2:DT102),$DT$2:$DT$113,0)),"")</f>
        <v>VIOLACION A LA LEY DE RESIDUOS PELIGROSOS</v>
      </c>
      <c r="HQ102" s="206" t="str">
        <f>IFERROR(INDEX($A$2:$A$113,MATCH(ROWS($DU$2:DU102),$DU$2:$DU$113,0)),"")</f>
        <v>VIOLACION A LA LEY DE RESIDUOS PELIGROSOS</v>
      </c>
      <c r="HR102" s="206" t="str">
        <f>IFERROR(INDEX($A$2:$A$113,MATCH(ROWS($DV$2:DV102),$DV$2:$DV$113,0)),"")</f>
        <v>VIOLACION A LA LEY DE RESIDUOS PELIGROSOS</v>
      </c>
      <c r="HS102" s="206" t="str">
        <f>IFERROR(INDEX($A$2:$A$113,MATCH(ROWS($DW$2:DW102),$DW$2:$DW$113,0)),"")</f>
        <v>VIOLACION A LA LEY DE RESIDUOS PELIGROSOS</v>
      </c>
      <c r="HT102" s="206" t="str">
        <f>IFERROR(INDEX($A$2:$A$113,MATCH(ROWS($DX$2:DX102),$DX$2:$DX$113,0)),"")</f>
        <v>VIOLACION A LA LEY DE RESIDUOS PELIGROSOS</v>
      </c>
      <c r="HU102" s="206" t="str">
        <f>IFERROR(INDEX($A$2:$A$113,MATCH(ROWS($DY$2:DY102),$DY$2:$DY$113,0)),"")</f>
        <v>VIOLACION A LA LEY DE RESIDUOS PELIGROSOS</v>
      </c>
      <c r="HV102" s="206" t="str">
        <f>IFERROR(INDEX($A$2:$A$113,MATCH(ROWS($DZ$2:DZ102),$DZ$2:$DZ$113,0)),"")</f>
        <v>VIOLACION A LA LEY DE RESIDUOS PELIGROSOS</v>
      </c>
      <c r="HW102" s="206" t="str">
        <f>IFERROR(INDEX($A$2:$A$113,MATCH(ROWS($EA$2:EA102),$EA$2:$EA$113,0)),"")</f>
        <v>VIOLACION A LA LEY DE RESIDUOS PELIGROSOS</v>
      </c>
      <c r="HX102" s="206" t="str">
        <f>IFERROR(INDEX($A$2:$A$113,MATCH(ROWS($EB$2:EB102),$EB$2:$EB$113,0)),"")</f>
        <v>VIOLACION A LA LEY DE RESIDUOS PELIGROSOS</v>
      </c>
      <c r="HY102" s="206" t="str">
        <f>IFERROR(INDEX($A$2:$A$113,MATCH(ROWS($EC$2:EC102),$EC$2:$EC$113,0)),"")</f>
        <v>VIOLACION A LA LEY DE RESIDUOS PELIGROSOS</v>
      </c>
      <c r="HZ102" s="206" t="str">
        <f>IFERROR(INDEX($A$2:$A$113,MATCH(ROWS($ED$2:ED102),$ED$2:$ED$113,0)),"")</f>
        <v>VIOLACION A LA LEY DE RESIDUOS PELIGROSOS</v>
      </c>
      <c r="IA102" s="206" t="str">
        <f>IFERROR(INDEX($A$2:$A$113,MATCH(ROWS($EE$2:EE102),$EE$2:$EE$113,0)),"")</f>
        <v>VIOLACION A LA LEY DE RESIDUOS PELIGROSOS</v>
      </c>
      <c r="IB102" s="206" t="str">
        <f>IFERROR(INDEX($A$2:$A$113,MATCH(ROWS($EF$2:EF102),$EF$2:$EF$113,0)),"")</f>
        <v>VIOLACION A LA LEY DE RESIDUOS PELIGROSOS</v>
      </c>
      <c r="IC102" s="206" t="str">
        <f>IFERROR(INDEX($A$2:$A$113,MATCH(ROWS($EG$2:EG102),$EG$2:$EG$113,0)),"")</f>
        <v>VIOLACION A LA LEY DE RESIDUOS PELIGROSOS</v>
      </c>
      <c r="ID102" s="206" t="str">
        <f>IFERROR(INDEX($A$2:$A$113,MATCH(ROWS($EH$2:EH102),$EH$2:$EH$113,0)),"")</f>
        <v>VIOLACION A LA LEY DE RESIDUOS PELIGROSOS</v>
      </c>
      <c r="IE102" s="206" t="str">
        <f>IFERROR(INDEX($A$2:$A$113,MATCH(ROWS($EI$2:EI102),$EI$2:$EI$113,0)),"")</f>
        <v>VIOLACION A LA LEY DE RESIDUOS PELIGROSOS</v>
      </c>
      <c r="IF102" s="206" t="str">
        <f>IFERROR(INDEX($A$2:$A$113,MATCH(ROWS($EJ$2:EJ102),$EJ$2:$EJ$113,0)),"")</f>
        <v>VIOLACION A LA LEY DE RESIDUOS PELIGROSOS</v>
      </c>
      <c r="IG102" s="206" t="str">
        <f>IFERROR(INDEX($A$2:$A$113,MATCH(ROWS($EK$2:EK102),$EK$2:$EK$113,0)),"")</f>
        <v>VIOLACION A LA LEY DE RESIDUOS PELIGROSOS</v>
      </c>
      <c r="IH102" s="206" t="str">
        <f>IFERROR(INDEX($A$2:$A$113,MATCH(ROWS($EL$2:EL102),$EL$2:$EL$113,0)),"")</f>
        <v>VIOLACION A LA LEY DE RESIDUOS PELIGROSOS</v>
      </c>
      <c r="II102" s="206" t="str">
        <f>IFERROR(INDEX($A$2:$A$113,MATCH(ROWS($EM$2:EM102),$EM$2:$EM$113,0)),"")</f>
        <v>VIOLACION A LA LEY DE RESIDUOS PELIGROSOS</v>
      </c>
      <c r="IJ102" s="206" t="str">
        <f>IFERROR(INDEX($A$2:$A$113,MATCH(ROWS($EN$2:EN102),$EN$2:$EN$113,0)),"")</f>
        <v>VIOLACION A LA LEY DE RESIDUOS PELIGROSOS</v>
      </c>
      <c r="IK102" s="207" t="str">
        <f>IFERROR(INDEX($A$2:$A$113,MATCH(ROWS($EO$2:EO102),$EO$2:$EO$113,0)),"")</f>
        <v>VIOLACION A LA LEY DE RESIDUOS PELIGROSOS</v>
      </c>
      <c r="IL102" s="207" t="str">
        <f>IFERROR(INDEX($A$2:$A$113,MATCH(ROWS($EP$2:EP102),$EP$2:$EP$113,0)),"")</f>
        <v>VIOLACION A LA LEY DE RESIDUOS PELIGROSOS</v>
      </c>
      <c r="IM102" s="207" t="str">
        <f>IFERROR(INDEX($A$2:$A$113,MATCH(ROWS($EQ$2:EQ102),$EQ$2:$EQ$113,0)),"")</f>
        <v>VIOLACION A LA LEY DE RESIDUOS PELIGROSOS</v>
      </c>
      <c r="IN102" s="207" t="str">
        <f>IFERROR(INDEX($A$2:$A$113,MATCH(ROWS($ER$2:ER102),$ER$2:$ER$113,0)),"")</f>
        <v>VIOLACION A LA LEY DE RESIDUOS PELIGROSOS</v>
      </c>
      <c r="IO102" s="207" t="str">
        <f>IFERROR(INDEX($A$2:$A$113,MATCH(ROWS($ES$2:ES102),$ES$2:$ES$113,0)),"")</f>
        <v>VIOLACION A LA LEY DE RESIDUOS PELIGROSOS</v>
      </c>
      <c r="IP102" s="207" t="str">
        <f>IFERROR(INDEX($A$2:$A$113,MATCH(ROWS($ET$2:ET102),$ET$2:$ET$113,0)),"")</f>
        <v>VIOLACION A LA LEY DE RESIDUOS PELIGROSOS</v>
      </c>
      <c r="IQ102" s="207" t="str">
        <f>IFERROR(INDEX($A$2:$A$113,MATCH(ROWS($EU$2:EU102),$EU$2:$EU$113,0)),"")</f>
        <v>VIOLACION A LA LEY DE RESIDUOS PELIGROSOS</v>
      </c>
      <c r="IR102" s="207" t="str">
        <f>IFERROR(INDEX($A$2:$A$113,MATCH(ROWS($EV$2:EV102),$EV$2:$EV$113,0)),"")</f>
        <v>VIOLACION A LA LEY DE RESIDUOS PELIGROSOS</v>
      </c>
      <c r="IS102" s="207" t="str">
        <f>IFERROR(INDEX($A$2:$A$113,MATCH(ROWS($EW$2:EW102),$EW$2:$EW$113,0)),"")</f>
        <v>VIOLACION A LA LEY DE RESIDUOS PELIGROSOS</v>
      </c>
      <c r="IT102" s="207" t="str">
        <f>IFERROR(INDEX($A$2:$A$113,MATCH(ROWS($EX$2:EX102),$EX$2:$EX$113,0)),"")</f>
        <v>VIOLACION A LA LEY DE RESIDUOS PELIGROSOS</v>
      </c>
      <c r="IU102" s="207" t="str">
        <f>IFERROR(INDEX($A$2:$A$113,MATCH(ROWS($EY$2:EY102),$EY$2:$EY$113,0)),"")</f>
        <v>VIOLACION A LA LEY DE RESIDUOS PELIGROSOS</v>
      </c>
      <c r="IV102" s="207" t="str">
        <f>IFERROR(INDEX($A$2:$A$113,MATCH(ROWS($EZ$2:EZ102),$EZ$2:$EZ$113,0)),"")</f>
        <v>VIOLACION A LA LEY DE RESIDUOS PELIGROSOS</v>
      </c>
      <c r="IW102" s="207" t="str">
        <f>IFERROR(INDEX($A$2:$A$113,MATCH(ROWS($FA$2:FA102),$FA$2:$FA$113,0)),"")</f>
        <v>VIOLACION A LA LEY DE RESIDUOS PELIGROSOS</v>
      </c>
      <c r="IX102" s="207" t="str">
        <f>IFERROR(INDEX($A$2:$A$113,MATCH(ROWS($FB$2:FB102),$FB$2:$FB$113,0)),"")</f>
        <v>VIOLACION A LA LEY DE RESIDUOS PELIGROSOS</v>
      </c>
      <c r="IY102" s="207" t="str">
        <f>IFERROR(INDEX($A$2:$A$113,MATCH(ROWS($FC$2:FC102),$FC$2:$FC$113,0)),"")</f>
        <v>VIOLACION A LA LEY DE RESIDUOS PELIGROSOS</v>
      </c>
      <c r="IZ102" s="207" t="str">
        <f>IFERROR(INDEX($A$2:$A$113,MATCH(ROWS($FD$2:FD102),$FD$2:$FD$113,0)),"")</f>
        <v>VIOLACION A LA LEY DE RESIDUOS PELIGROSOS</v>
      </c>
      <c r="JA102" s="207" t="str">
        <f>IFERROR(INDEX($A$2:$A$113,MATCH(ROWS($FE$2:FE102),$FE$2:$FE$113,0)),"")</f>
        <v>VIOLACION A LA LEY DE RESIDUOS PELIGROSOS</v>
      </c>
      <c r="JB102" s="207" t="str">
        <f>IFERROR(INDEX($A$2:$A$113,MATCH(ROWS($FF$2:FF102),$FF$2:$FF$113,0)),"")</f>
        <v>VIOLACION A LA LEY DE RESIDUOS PELIGROSOS</v>
      </c>
      <c r="JC102" s="207" t="str">
        <f>IFERROR(INDEX($A$2:$A$113,MATCH(ROWS($FG$2:FG102),$FG$2:$FG$113,0)),"")</f>
        <v>VIOLACION A LA LEY DE RESIDUOS PELIGROSOS</v>
      </c>
      <c r="JD102" s="207" t="str">
        <f>IFERROR(INDEX($A$2:$A$113,MATCH(ROWS($FH$2:FH102),$FH$2:$FH$113,0)),"")</f>
        <v>VIOLACION A LA LEY DE RESIDUOS PELIGROSOS</v>
      </c>
      <c r="JE102" s="207" t="str">
        <f>IFERROR(INDEX($A$2:$A$113,MATCH(ROWS($FI$2:FI102),$FI$2:$FI$113,0)),"")</f>
        <v>VIOLACION A LA LEY DE RESIDUOS PELIGROSOS</v>
      </c>
      <c r="JF102" s="207" t="str">
        <f>IFERROR(INDEX($A$2:$A$113,MATCH(ROWS($FJ$2:FJ102),$FJ$2:$FJ$113,0)),"")</f>
        <v>VIOLACION A LA LEY DE RESIDUOS PELIGROSOS</v>
      </c>
      <c r="JG102" s="207" t="str">
        <f>IFERROR(INDEX($A$2:$A$113,MATCH(ROWS($FK$2:FK102),$FK$2:$FK$113,0)),"")</f>
        <v>VIOLACION A LA LEY DE RESIDUOS PELIGROSOS</v>
      </c>
      <c r="JH102" s="207" t="str">
        <f>IFERROR(INDEX($A$2:$A$113,MATCH(ROWS($FL$2:FL102),$FL$2:$FL$113,0)),"")</f>
        <v>VIOLACION A LA LEY DE RESIDUOS PELIGROSOS</v>
      </c>
      <c r="JI102" s="207" t="str">
        <f>IFERROR(INDEX($A$2:$A$113,MATCH(ROWS($FM$2:FM102),$FM$2:$FM$113,0)),"")</f>
        <v>VIOLACION A LA LEY DE RESIDUOS PELIGROSOS</v>
      </c>
      <c r="JJ102" s="207" t="str">
        <f>IFERROR(INDEX($A$2:$A$113,MATCH(ROWS($FN$2:FN102),$FN$2:$FN$113,0)),"")</f>
        <v>VIOLACION A LA LEY DE RESIDUOS PELIGROSOS</v>
      </c>
      <c r="JK102" s="207" t="str">
        <f>IFERROR(INDEX($A$2:$A$113,MATCH(ROWS($FO$2:FO102),$FO$2:$FO$113,0)),"")</f>
        <v>VIOLACION A LA LEY DE RESIDUOS PELIGROSOS</v>
      </c>
      <c r="JL102" s="207" t="str">
        <f>IFERROR(INDEX($A$2:$A$113,MATCH(ROWS($FP$2:FP102),$FP$2:$FP$113,0)),"")</f>
        <v>VIOLACION A LA LEY DE RESIDUOS PELIGROSOS</v>
      </c>
      <c r="JM102" s="207" t="str">
        <f>IFERROR(INDEX($A$2:$A$113,MATCH(ROWS($FQ$2:FQ102),$FQ$2:$FQ$113,0)),"")</f>
        <v>VIOLACION A LA LEY DE RESIDUOS PELIGROSOS</v>
      </c>
      <c r="JN102" s="207" t="str">
        <f>IFERROR(INDEX($A$2:$A$113,MATCH(ROWS($FR$2:FR102),$FR$2:$FR$113,0)),"")</f>
        <v>VIOLACION A LA LEY DE RESIDUOS PELIGROSOS</v>
      </c>
      <c r="JO102" s="207" t="str">
        <f>IFERROR(INDEX($A$2:$A$113,MATCH(ROWS($FS$2:FS102),$FS$2:$FS$113,0)),"")</f>
        <v>VIOLACION A LA LEY DE RESIDUOS PELIGROSOS</v>
      </c>
      <c r="JP102" s="207" t="str">
        <f>IFERROR(INDEX($A$2:$A$113,MATCH(ROWS($FT$2:FT102),$FT$2:$FT$113,0)),"")</f>
        <v>VIOLACION A LA LEY DE RESIDUOS PELIGROSOS</v>
      </c>
      <c r="JQ102" s="207" t="str">
        <f>IFERROR(INDEX($A$2:$A$113,MATCH(ROWS($FU$2:FU102),$FU$2:$FU$113,0)),"")</f>
        <v>VIOLACION A LA LEY DE RESIDUOS PELIGROSOS</v>
      </c>
      <c r="JR102" s="207" t="str">
        <f>IFERROR(INDEX($A$2:$A$113,MATCH(ROWS($FV$2:FV102),$FV$2:$FV$113,0)),"")</f>
        <v>VIOLACION A LA LEY DE RESIDUOS PELIGROSOS</v>
      </c>
      <c r="JS102" s="207" t="str">
        <f>IFERROR(INDEX($A$2:$A$113,MATCH(ROWS($FW$2:FW102),$FW$2:$FW$113,0)),"")</f>
        <v>VIOLACION A LA LEY DE RESIDUOS PELIGROSOS</v>
      </c>
      <c r="JT102" s="207" t="str">
        <f>IFERROR(INDEX($A$2:$A$113,MATCH(ROWS($FX$2:FX102),$FX$2:$FX$113,0)),"")</f>
        <v>VIOLACION A LA LEY DE RESIDUOS PELIGROSOS</v>
      </c>
      <c r="JU102" s="207" t="str">
        <f>IFERROR(INDEX($A$2:$A$113,MATCH(ROWS($FY$2:FY102),$FY$2:$FY$113,0)),"")</f>
        <v>VIOLACION A LA LEY DE RESIDUOS PELIGROSOS</v>
      </c>
      <c r="JV102" s="207" t="str">
        <f>IFERROR(INDEX($A$2:$A$113,MATCH(ROWS($FZ$2:FZ102),$FZ$2:$FZ$113,0)),"")</f>
        <v>VIOLACION A LA LEY DE RESIDUOS PELIGROSOS</v>
      </c>
      <c r="JW102" s="207" t="str">
        <f>IFERROR(INDEX($A$2:$A$113,MATCH(ROWS($GA$2:GA102),$GA$2:$GA$113,0)),"")</f>
        <v>VIOLACION A LA LEY DE RESIDUOS PELIGROSOS</v>
      </c>
      <c r="JX102" s="207" t="str">
        <f>IFERROR(INDEX($A$2:$A$113,MATCH(ROWS($GB$2:GB102),$GB$2:$GB$113,0)),"")</f>
        <v>VIOLACION A LA LEY DE RESIDUOS PELIGROSOS</v>
      </c>
      <c r="JY102" s="207" t="str">
        <f>IFERROR(INDEX($A$2:$A$113,MATCH(ROWS($GC$2:GC102),$GC$2:$GC$113,0)),"")</f>
        <v>VIOLACION A LA LEY DE RESIDUOS PELIGROSOS</v>
      </c>
      <c r="JZ102" s="207" t="str">
        <f>IFERROR(INDEX($A$2:$A$113,MATCH(ROWS($GD$2:GD102),$GD$2:$GD$113,0)),"")</f>
        <v>VIOLACION A LA LEY DE RESIDUOS PELIGROSOS</v>
      </c>
      <c r="KA102" s="207" t="str">
        <f>IFERROR(INDEX($A$2:$A$113,MATCH(ROWS($GE$2:GE102),$GE$2:$GE$113,0)),"")</f>
        <v>VIOLACION A LA LEY DE RESIDUOS PELIGROSOS</v>
      </c>
      <c r="KB102" s="207" t="str">
        <f>IFERROR(INDEX($A$2:$A$113,MATCH(ROWS($GF$2:GF102),$GF$2:$GF$113,0)),"")</f>
        <v>VIOLACION A LA LEY DE RESIDUOS PELIGROSOS</v>
      </c>
      <c r="KC102" s="207" t="str">
        <f>IFERROR(INDEX($A$2:$A$113,MATCH(ROWS($GG$2:GG102),$GG$2:$GG$113,0)),"")</f>
        <v>VIOLACION A LA LEY DE RESIDUOS PELIGROSOS</v>
      </c>
      <c r="KD102" s="207" t="str">
        <f>IFERROR(INDEX($A$2:$A$113,MATCH(ROWS($GH$2:GH102),$GH$2:$GH$113,0)),"")</f>
        <v>VIOLACION A LA LEY DE RESIDUOS PELIGROSOS</v>
      </c>
      <c r="KE102" s="207" t="str">
        <f>IFERROR(INDEX($A$2:$A$113,MATCH(ROWS($GI$2:GI102),$GI$2:$GI$113,0)),"")</f>
        <v>VIOLACION A LA LEY DE RESIDUOS PELIGROSOS</v>
      </c>
      <c r="KF102" s="207" t="str">
        <f>IFERROR(INDEX($A$2:$A$113,MATCH(ROWS($GJ$2:GJ102),$GJ$2:$GJ$113,0)),"")</f>
        <v>VIOLACION A LA LEY DE RESIDUOS PELIGROSOS</v>
      </c>
      <c r="KG102" s="207" t="str">
        <f>IFERROR(INDEX($A$2:$A$113,MATCH(ROWS($GK$2:GK102),$GK$2:$GK$113,0)),"")</f>
        <v>VIOLACION A LA LEY DE RESIDUOS PELIGROSOS</v>
      </c>
      <c r="KH102" s="207" t="str">
        <f>IFERROR(INDEX($A$2:$A$113,MATCH(ROWS($GL$2:GL102),$GL$2:$GL$113,0)),"")</f>
        <v>VIOLACION A LA LEY DE RESIDUOS PELIGROSOS</v>
      </c>
      <c r="KI102" s="207" t="str">
        <f>IFERROR(INDEX($A$2:$A$113,MATCH(ROWS($GM$2:GM102),$GM$2:$GM$113,0)),"")</f>
        <v>VIOLACION A LA LEY DE RESIDUOS PELIGROSOS</v>
      </c>
      <c r="KJ102" s="207" t="str">
        <f>IFERROR(INDEX($A$2:$A$113,MATCH(ROWS($GN$2:GN102),$GN$2:$GN$113,0)),"")</f>
        <v>VIOLACION A LA LEY DE RESIDUOS PELIGROSOS</v>
      </c>
      <c r="KK102" s="207" t="str">
        <f>IFERROR(INDEX($A$2:$A$113,MATCH(ROWS($GO$2:GO102),$GO$2:$GO$113,0)),"")</f>
        <v>VIOLACION A LA LEY DE RESIDUOS PELIGROSOS</v>
      </c>
      <c r="KL102" s="207" t="str">
        <f>IFERROR(INDEX($A$2:$A$113,MATCH(ROWS($GP$2:GP102),$GP$2:$GP$113,0)),"")</f>
        <v>VIOLACION A LA LEY DE RESIDUOS PELIGROSOS</v>
      </c>
      <c r="KM102" s="207" t="str">
        <f>IFERROR(INDEX($A$2:$A$113,MATCH(ROWS($GQ$2:GQ102),$GQ$2:$GQ$113,0)),"")</f>
        <v>VIOLACION A LA LEY DE RESIDUOS PELIGROSOS</v>
      </c>
      <c r="KN102" s="207" t="str">
        <f>IFERROR(INDEX($A$2:$A$113,MATCH(ROWS($GR$2:GR102),$GR$2:$GR$113,0)),"")</f>
        <v>VIOLACION A LA LEY DE RESIDUOS PELIGROSOS</v>
      </c>
      <c r="KO102" s="207" t="str">
        <f>IFERROR(INDEX($A$2:$A$113,MATCH(ROWS($GS$2:GS102),$GS$2:$GS$113,0)),"")</f>
        <v>VIOLACION A LA LEY DE RESIDUOS PELIGROSOS</v>
      </c>
      <c r="KP102" s="207" t="str">
        <f>IFERROR(INDEX($A$2:$A$113,MATCH(ROWS($GT$2:GT102),$GT$2:$GT$113,0)),"")</f>
        <v>VIOLACION A LA LEY DE RESIDUOS PELIGROSOS</v>
      </c>
      <c r="KQ102" s="207" t="str">
        <f>IFERROR(INDEX($A$2:$A$113,MATCH(ROWS($GU$2:GU102),$GU$2:$GU$113,0)),"")</f>
        <v>VIOLACION A LA LEY DE RESIDUOS PELIGROSOS</v>
      </c>
      <c r="KR102" s="207" t="str">
        <f>IFERROR(INDEX($A$2:$A$113,MATCH(ROWS($GV$2:GV102),$GV$2:$GV$113,0)),"")</f>
        <v>VIOLACION A LA LEY DE RESIDUOS PELIGROSOS</v>
      </c>
      <c r="KS102" s="207" t="str">
        <f>IFERROR(INDEX($A$2:$A$113,MATCH(ROWS($GW$2:GW102),$GW$2:$GW$113,0)),"")</f>
        <v>VIOLACION A LA LEY DE RESIDUOS PELIGROSOS</v>
      </c>
    </row>
    <row r="103" spans="1:305" x14ac:dyDescent="0.25">
      <c r="A103" s="206" t="s">
        <v>130</v>
      </c>
      <c r="B103" s="206" t="s">
        <v>131</v>
      </c>
      <c r="D103" s="206" t="s">
        <v>130</v>
      </c>
      <c r="E103" s="206" t="s">
        <v>129</v>
      </c>
      <c r="F103" s="207">
        <f>--ISNUMBER(IFERROR(SEARCH('PLANILLA DJ'!$X$3,$A103,1),""))</f>
        <v>1</v>
      </c>
      <c r="G103" s="207">
        <f>--ISNUMBER(IFERROR(SEARCH('PLANILLA DJ'!$X$4,$A103,1),""))</f>
        <v>1</v>
      </c>
      <c r="H103" s="207">
        <f>--ISNUMBER(IFERROR(SEARCH('PLANILLA DJ'!$X$5,$A103,1),""))</f>
        <v>1</v>
      </c>
      <c r="I103" s="207">
        <f>--ISNUMBER(IFERROR(SEARCH('PLANILLA DJ'!$X$6,$A103,1),""))</f>
        <v>1</v>
      </c>
      <c r="J103" s="207">
        <f>--ISNUMBER(IFERROR(SEARCH('PLANILLA DJ'!$X$7,$A103,1),""))</f>
        <v>1</v>
      </c>
      <c r="K103" s="207">
        <f>--ISNUMBER(IFERROR(SEARCH('PLANILLA DJ'!$X$8,$A103,1),""))</f>
        <v>1</v>
      </c>
      <c r="L103" s="207">
        <f>--ISNUMBER(IFERROR(SEARCH('PLANILLA DJ'!$X$9,$A103,1),""))</f>
        <v>1</v>
      </c>
      <c r="M103" s="207">
        <f>--ISNUMBER(IFERROR(SEARCH('PLANILLA DJ'!$X$10,$A103,1),""))</f>
        <v>1</v>
      </c>
      <c r="N103" s="207">
        <f>--ISNUMBER(IFERROR(SEARCH('PLANILLA DJ'!$X$11,$A103,1),""))</f>
        <v>1</v>
      </c>
      <c r="O103" s="207">
        <f>--ISNUMBER(IFERROR(SEARCH('PLANILLA DJ'!$X$12,$A103,1),""))</f>
        <v>1</v>
      </c>
      <c r="P103" s="207">
        <f>--ISNUMBER(IFERROR(SEARCH('PLANILLA DJ'!$X$13,$A103,1),""))</f>
        <v>1</v>
      </c>
      <c r="Q103" s="207">
        <f>--ISNUMBER(IFERROR(SEARCH('PLANILLA DJ'!$X$14,$A103,1),""))</f>
        <v>1</v>
      </c>
      <c r="R103" s="207">
        <f>--ISNUMBER(IFERROR(SEARCH('PLANILLA DJ'!$X$15,$A103,1),""))</f>
        <v>1</v>
      </c>
      <c r="S103" s="207">
        <f>--ISNUMBER(IFERROR(SEARCH('PLANILLA DJ'!$X$16,$A103,1),""))</f>
        <v>1</v>
      </c>
      <c r="T103" s="207">
        <f>--ISNUMBER(IFERROR(SEARCH('PLANILLA DJ'!$X$17,$A103,1),""))</f>
        <v>1</v>
      </c>
      <c r="U103" s="207">
        <f>--ISNUMBER(IFERROR(SEARCH('PLANILLA DJ'!$X$18,$A103,1),""))</f>
        <v>1</v>
      </c>
      <c r="V103" s="207">
        <f>--ISNUMBER(IFERROR(SEARCH('PLANILLA DJ'!$X$19,$A103,1),""))</f>
        <v>1</v>
      </c>
      <c r="W103" s="207">
        <f>--ISNUMBER(IFERROR(SEARCH('PLANILLA DJ'!$X$20,$A103,1),""))</f>
        <v>1</v>
      </c>
      <c r="X103" s="207">
        <f>--ISNUMBER(IFERROR(SEARCH('PLANILLA DJ'!$X$21,$A103,1),""))</f>
        <v>1</v>
      </c>
      <c r="Y103" s="207">
        <f>--ISNUMBER(IFERROR(SEARCH('PLANILLA DJ'!$X$22,$A103,1),""))</f>
        <v>1</v>
      </c>
      <c r="Z103" s="207">
        <f>--ISNUMBER(IFERROR(SEARCH('PLANILLA DJ'!$X$23,$A103,1),""))</f>
        <v>1</v>
      </c>
      <c r="AA103" s="207">
        <f>--ISNUMBER(IFERROR(SEARCH('PLANILLA DJ'!$X$24,$A103,1),""))</f>
        <v>1</v>
      </c>
      <c r="AB103" s="207">
        <f>--ISNUMBER(IFERROR(SEARCH('PLANILLA DJ'!$X$25,$A103,1),""))</f>
        <v>1</v>
      </c>
      <c r="AC103" s="207">
        <f>--ISNUMBER(IFERROR(SEARCH('PLANILLA DJ'!$X$26,$A103,1),""))</f>
        <v>1</v>
      </c>
      <c r="AD103" s="207">
        <f>--ISNUMBER(IFERROR(SEARCH('PLANILLA DJ'!$X$27,$A103,1),""))</f>
        <v>1</v>
      </c>
      <c r="AE103" s="207">
        <f>--ISNUMBER(IFERROR(SEARCH('PLANILLA DJ'!$X$28,$A103,1),""))</f>
        <v>1</v>
      </c>
      <c r="AF103" s="207">
        <f>--ISNUMBER(IFERROR(SEARCH('PLANILLA DJ'!$X$29,$A103,1),""))</f>
        <v>1</v>
      </c>
      <c r="AG103" s="207">
        <f>--ISNUMBER(IFERROR(SEARCH('PLANILLA DJ'!$X$30,$A103,1),""))</f>
        <v>1</v>
      </c>
      <c r="AH103" s="207">
        <f>--ISNUMBER(IFERROR(SEARCH('PLANILLA DJ'!$X$31,$A103,1),""))</f>
        <v>1</v>
      </c>
      <c r="AI103" s="207">
        <f>--ISNUMBER(IFERROR(SEARCH('PLANILLA DJ'!$X$32,$A103,1),""))</f>
        <v>1</v>
      </c>
      <c r="AJ103" s="207">
        <f>--ISNUMBER(IFERROR(SEARCH('PLANILLA DJ'!$X$33,$A103,1),""))</f>
        <v>1</v>
      </c>
      <c r="AK103" s="207">
        <f>--ISNUMBER(IFERROR(SEARCH('PLANILLA DJ'!$X$34,$A103,1),""))</f>
        <v>1</v>
      </c>
      <c r="AL103" s="207">
        <f>--ISNUMBER(IFERROR(SEARCH('PLANILLA DJ'!$X$35,$A103,1),""))</f>
        <v>1</v>
      </c>
      <c r="AM103" s="207">
        <f>--ISNUMBER(IFERROR(SEARCH('PLANILLA DJ'!$X$36,$A103,1),""))</f>
        <v>1</v>
      </c>
      <c r="AN103" s="207">
        <f>--ISNUMBER(IFERROR(SEARCH('PLANILLA DJ'!$X$37,$A103,1),""))</f>
        <v>1</v>
      </c>
      <c r="AO103" s="207">
        <f>--ISNUMBER(IFERROR(SEARCH('PLANILLA DJ'!$X$38,$A103,1),""))</f>
        <v>1</v>
      </c>
      <c r="AP103" s="207">
        <f>--ISNUMBER(IFERROR(SEARCH('PLANILLA DJ'!$X$39,$A103,1),""))</f>
        <v>1</v>
      </c>
      <c r="AQ103" s="207">
        <f>--ISNUMBER(IFERROR(SEARCH('PLANILLA DJ'!$X$40,$A103,1),""))</f>
        <v>1</v>
      </c>
      <c r="AR103" s="207">
        <f>--ISNUMBER(IFERROR(SEARCH('PLANILLA DJ'!$X$41,$A103,1),""))</f>
        <v>1</v>
      </c>
      <c r="AS103" s="207">
        <f>--ISNUMBER(IFERROR(SEARCH('PLANILLA DJ'!$X$42,$A103,1),""))</f>
        <v>1</v>
      </c>
      <c r="AT103" s="207">
        <f>--ISNUMBER(IFERROR(SEARCH('PLANILLA DJ'!$X$43,$A103,1),""))</f>
        <v>1</v>
      </c>
      <c r="AU103" s="207">
        <f>--ISNUMBER(IFERROR(SEARCH('PLANILLA DJ'!$X$44,$A103,1),""))</f>
        <v>1</v>
      </c>
      <c r="AV103" s="207">
        <f>--ISNUMBER(IFERROR(SEARCH('PLANILLA DJ'!$X$45,$A103,1),""))</f>
        <v>1</v>
      </c>
      <c r="AW103" s="207">
        <f>--ISNUMBER(IFERROR(SEARCH('PLANILLA DJ'!$X$46,$A103,1),""))</f>
        <v>1</v>
      </c>
      <c r="AX103" s="207">
        <f>--ISNUMBER(IFERROR(SEARCH('PLANILLA DJ'!$X$47,$A103,1),""))</f>
        <v>1</v>
      </c>
      <c r="AY103" s="207">
        <f>--ISNUMBER(IFERROR(SEARCH('PLANILLA DJ'!$X$48,$A103,1),""))</f>
        <v>1</v>
      </c>
      <c r="AZ103" s="207">
        <f>--ISNUMBER(IFERROR(SEARCH('PLANILLA DJ'!$X$49,$A103,1),""))</f>
        <v>1</v>
      </c>
      <c r="BA103" s="207">
        <f>--ISNUMBER(IFERROR(SEARCH('PLANILLA DJ'!$X$50,$A103,1),""))</f>
        <v>1</v>
      </c>
      <c r="BB103" s="207">
        <f>--ISNUMBER(IFERROR(SEARCH('PLANILLA DJ'!$X$51,$A103,1),""))</f>
        <v>1</v>
      </c>
      <c r="BC103" s="207">
        <f>--ISNUMBER(IFERROR(SEARCH('PLANILLA DJ'!$X$52,$A103,1),""))</f>
        <v>1</v>
      </c>
      <c r="BD103" s="207">
        <f>--ISNUMBER(IFERROR(SEARCH('PLANILLA DJ'!$X$53,$A103,1),""))</f>
        <v>1</v>
      </c>
      <c r="BE103" s="207">
        <f>--ISNUMBER(IFERROR(SEARCH('PLANILLA DJ'!$X$54,$A103,1),""))</f>
        <v>1</v>
      </c>
      <c r="BF103" s="207">
        <f>--ISNUMBER(IFERROR(SEARCH('PLANILLA DJ'!$X$55,$A103,1),""))</f>
        <v>1</v>
      </c>
      <c r="BG103" s="207">
        <f>--ISNUMBER(IFERROR(SEARCH('PLANILLA DJ'!$X$56,$A103,1),""))</f>
        <v>1</v>
      </c>
      <c r="BH103" s="207">
        <f>--ISNUMBER(IFERROR(SEARCH('PLANILLA DJ'!$X$57,$A103,1),""))</f>
        <v>1</v>
      </c>
      <c r="BI103" s="207">
        <f>--ISNUMBER(IFERROR(SEARCH('PLANILLA DJ'!$X$58,$A103,1),""))</f>
        <v>1</v>
      </c>
      <c r="BJ103" s="207">
        <f>--ISNUMBER(IFERROR(SEARCH('PLANILLA DJ'!$X$59,$A103,1),""))</f>
        <v>1</v>
      </c>
      <c r="BK103" s="207">
        <f>--ISNUMBER(IFERROR(SEARCH('PLANILLA DJ'!$X$60,$A103,1),""))</f>
        <v>1</v>
      </c>
      <c r="BL103" s="207">
        <f>--ISNUMBER(IFERROR(SEARCH('PLANILLA DJ'!$X$61,$A103,1),""))</f>
        <v>1</v>
      </c>
      <c r="BM103" s="207">
        <f>--ISNUMBER(IFERROR(SEARCH('PLANILLA DJ'!$X$62,$A103,1),""))</f>
        <v>1</v>
      </c>
      <c r="BN103" s="207">
        <f>--ISNUMBER(IFERROR(SEARCH('PLANILLA DJ'!$X$63,$A103,1),""))</f>
        <v>1</v>
      </c>
      <c r="BO103" s="207">
        <f>--ISNUMBER(IFERROR(SEARCH('PLANILLA DJ'!$X$64,$A103,1),""))</f>
        <v>1</v>
      </c>
      <c r="BP103" s="207">
        <f>--ISNUMBER(IFERROR(SEARCH('PLANILLA DJ'!$X$65,$A103,1),""))</f>
        <v>1</v>
      </c>
      <c r="BQ103" s="207">
        <f>--ISNUMBER(IFERROR(SEARCH('PLANILLA DJ'!$X$66,$A103,1),""))</f>
        <v>1</v>
      </c>
      <c r="BR103" s="207">
        <f>--ISNUMBER(IFERROR(SEARCH('PLANILLA DJ'!$X$67,$A103,1),""))</f>
        <v>1</v>
      </c>
      <c r="BS103" s="207">
        <f>--ISNUMBER(IFERROR(SEARCH('PLANILLA DJ'!$X$68,$A103,1),""))</f>
        <v>1</v>
      </c>
      <c r="BT103" s="207">
        <f>--ISNUMBER(IFERROR(SEARCH('PLANILLA DJ'!$X$69,$A103,1),""))</f>
        <v>1</v>
      </c>
      <c r="BU103" s="207">
        <f>--ISNUMBER(IFERROR(SEARCH('PLANILLA DJ'!$X$70,$A103,1),""))</f>
        <v>1</v>
      </c>
      <c r="BV103" s="207">
        <f>--ISNUMBER(IFERROR(SEARCH('PLANILLA DJ'!$X$71,$A103,1),""))</f>
        <v>1</v>
      </c>
      <c r="BW103" s="207">
        <f>--ISNUMBER(IFERROR(SEARCH('PLANILLA DJ'!$X$72,$A103,1),""))</f>
        <v>1</v>
      </c>
      <c r="BX103" s="207">
        <f>--ISNUMBER(IFERROR(SEARCH('PLANILLA DJ'!$X$73,$A103,1),""))</f>
        <v>1</v>
      </c>
      <c r="BY103" s="207">
        <f>--ISNUMBER(IFERROR(SEARCH('PLANILLA DJ'!$X$74,$A103,1),""))</f>
        <v>1</v>
      </c>
      <c r="BZ103" s="207">
        <f>--ISNUMBER(IFERROR(SEARCH('PLANILLA DJ'!$X$75,$A103,1),""))</f>
        <v>1</v>
      </c>
      <c r="CA103" s="207">
        <f>--ISNUMBER(IFERROR(SEARCH('PLANILLA DJ'!$X$76,$A103,1),""))</f>
        <v>1</v>
      </c>
      <c r="CB103" s="207">
        <f>--ISNUMBER(IFERROR(SEARCH('PLANILLA DJ'!$X$77,$A103,1),""))</f>
        <v>1</v>
      </c>
      <c r="CC103" s="207">
        <f>--ISNUMBER(IFERROR(SEARCH('PLANILLA DJ'!$X$78,$A103,1),""))</f>
        <v>1</v>
      </c>
      <c r="CD103" s="207">
        <f>--ISNUMBER(IFERROR(SEARCH('PLANILLA DJ'!$X$79,$A103,1),""))</f>
        <v>1</v>
      </c>
      <c r="CE103" s="207">
        <f>--ISNUMBER(IFERROR(SEARCH('PLANILLA DJ'!$X$80,$A103,1),""))</f>
        <v>1</v>
      </c>
      <c r="CF103" s="207">
        <f>--ISNUMBER(IFERROR(SEARCH('PLANILLA DJ'!$X$81,$A103,1),""))</f>
        <v>1</v>
      </c>
      <c r="CG103" s="207">
        <f>--ISNUMBER(IFERROR(SEARCH('PLANILLA DJ'!$X$82,$A103,1),""))</f>
        <v>1</v>
      </c>
      <c r="CH103" s="207">
        <f>--ISNUMBER(IFERROR(SEARCH('PLANILLA DJ'!$X$83,$A103,1),""))</f>
        <v>1</v>
      </c>
      <c r="CI103" s="207">
        <f>--ISNUMBER(IFERROR(SEARCH('PLANILLA DJ'!$X$84,$A103,1),""))</f>
        <v>1</v>
      </c>
      <c r="CJ103" s="207">
        <f>--ISNUMBER(IFERROR(SEARCH('PLANILLA DJ'!$X$85,$A103,1),""))</f>
        <v>1</v>
      </c>
      <c r="CK103" s="207">
        <f>--ISNUMBER(IFERROR(SEARCH('PLANILLA DJ'!$X$86,$A103,1),""))</f>
        <v>1</v>
      </c>
      <c r="CL103" s="207">
        <f>--ISNUMBER(IFERROR(SEARCH('PLANILLA DJ'!$X$87,$A103,1),""))</f>
        <v>1</v>
      </c>
      <c r="CM103" s="207">
        <f>--ISNUMBER(IFERROR(SEARCH('PLANILLA DJ'!$X$88,$A103,1),""))</f>
        <v>1</v>
      </c>
      <c r="CN103" s="207">
        <f>--ISNUMBER(IFERROR(SEARCH('PLANILLA DJ'!$X$89,$A103,1),""))</f>
        <v>1</v>
      </c>
      <c r="CO103" s="207">
        <f>--ISNUMBER(IFERROR(SEARCH('PLANILLA DJ'!$X$90,$A103,1),""))</f>
        <v>1</v>
      </c>
      <c r="CP103" s="207">
        <f>--ISNUMBER(IFERROR(SEARCH('PLANILLA DJ'!$X$91,$A103,1),""))</f>
        <v>1</v>
      </c>
      <c r="CQ103" s="207">
        <f>--ISNUMBER(IFERROR(SEARCH('PLANILLA DJ'!$X$92,$A103,1),""))</f>
        <v>1</v>
      </c>
      <c r="CR103" s="207">
        <f>--ISNUMBER(IFERROR(SEARCH('PLANILLA DJ'!$X$93,$A103,1),""))</f>
        <v>1</v>
      </c>
      <c r="CS103" s="207">
        <f>--ISNUMBER(IFERROR(SEARCH('PLANILLA DJ'!$X$94,$A103,1),""))</f>
        <v>1</v>
      </c>
      <c r="CT103" s="207">
        <f>--ISNUMBER(IFERROR(SEARCH('PLANILLA DJ'!$X$95,$A103,1),""))</f>
        <v>1</v>
      </c>
      <c r="CU103" s="207">
        <f>--ISNUMBER(IFERROR(SEARCH('PLANILLA DJ'!$X$96,$A103,1),""))</f>
        <v>1</v>
      </c>
      <c r="CV103" s="207">
        <f>--ISNUMBER(IFERROR(SEARCH('PLANILLA DJ'!$X$97,$A103,1),""))</f>
        <v>1</v>
      </c>
      <c r="CW103" s="207">
        <f>--ISNUMBER(IFERROR(SEARCH('PLANILLA DJ'!$X$98,$A103,1),""))</f>
        <v>1</v>
      </c>
      <c r="CX103" s="207">
        <f>--ISNUMBER(IFERROR(SEARCH('PLANILLA DJ'!$X$99,$A103,1),""))</f>
        <v>1</v>
      </c>
      <c r="CY103" s="207">
        <f>--ISNUMBER(IFERROR(SEARCH('PLANILLA DJ'!$X$100,$A103,1),""))</f>
        <v>1</v>
      </c>
      <c r="CZ103" s="207">
        <f>--ISNUMBER(IFERROR(SEARCH('PLANILLA DJ'!$X$101,$A103,1),""))</f>
        <v>1</v>
      </c>
      <c r="DA103" s="207">
        <f>--ISNUMBER(IFERROR(SEARCH('PLANILLA DJ'!$X$102,$A103,1),""))</f>
        <v>1</v>
      </c>
      <c r="DB103" s="206">
        <f>IF(F103=1,COUNTIF($F$2:F103,1),"")</f>
        <v>102</v>
      </c>
      <c r="DC103" s="206">
        <f>IF(G103=1,COUNTIF($G$2:G103,1),"")</f>
        <v>102</v>
      </c>
      <c r="DD103" s="206">
        <f>IF(H103=1,COUNTIF($H$2:H103,1),"")</f>
        <v>102</v>
      </c>
      <c r="DE103" s="206">
        <f>IF(I103=1,COUNTIF($I$2:I103,1),"")</f>
        <v>102</v>
      </c>
      <c r="DF103" s="206">
        <f>IF(J103=1,COUNTIF($J$2:J103,1),"")</f>
        <v>102</v>
      </c>
      <c r="DG103" s="206">
        <f>IF(K103=1,COUNTIF($K$2:K103,1),"")</f>
        <v>102</v>
      </c>
      <c r="DH103" s="206">
        <f>IF(L103=1,COUNTIF($L$2:L103,1),"")</f>
        <v>102</v>
      </c>
      <c r="DI103" s="206">
        <f>IF(M103=1,COUNTIF($M$2:M103,1),"")</f>
        <v>102</v>
      </c>
      <c r="DJ103" s="206">
        <f>IF(N103=1,COUNTIF($N$2:N103,1),"")</f>
        <v>102</v>
      </c>
      <c r="DK103" s="206">
        <f>IF(O103=1,COUNTIF($O$2:O103,1),"")</f>
        <v>102</v>
      </c>
      <c r="DL103" s="206">
        <f>IF(P103=1,COUNTIF($P$2:P103,1),"")</f>
        <v>102</v>
      </c>
      <c r="DM103" s="206">
        <f>IF(Q103=1,COUNTIF($Q$2:Q103,1),"")</f>
        <v>102</v>
      </c>
      <c r="DN103" s="207">
        <f>IF(R103=1,COUNTIF($R$2:R103,1),"")</f>
        <v>102</v>
      </c>
      <c r="DO103" s="207">
        <f>IF(S103=1,COUNTIF($S$2:S103,1),"")</f>
        <v>102</v>
      </c>
      <c r="DP103" s="207">
        <f>IF(T103=1,COUNTIF($T$2:T103,1),"")</f>
        <v>102</v>
      </c>
      <c r="DQ103" s="207">
        <f>IF(U103=1,COUNTIF($U$2:U103,1),"")</f>
        <v>102</v>
      </c>
      <c r="DR103" s="207">
        <f>IF(V103=1,COUNTIF($V$2:V103,1),"")</f>
        <v>102</v>
      </c>
      <c r="DS103" s="207">
        <f>IF(W103=1,COUNTIF($W$2:W103,1),"")</f>
        <v>102</v>
      </c>
      <c r="DT103" s="207">
        <f>IF(X103=1,COUNTIF($X$2:X103,1),"")</f>
        <v>102</v>
      </c>
      <c r="DU103" s="207">
        <f>IF(Y103=1,COUNTIF($Y$2:Y103,1),"")</f>
        <v>102</v>
      </c>
      <c r="DV103" s="207">
        <f>IF(Z103=1,COUNTIF(Z$2:Z103,1),"")</f>
        <v>102</v>
      </c>
      <c r="DW103" s="207">
        <f>IF(AA103=1,COUNTIF($AA$2:AA103,1),"")</f>
        <v>102</v>
      </c>
      <c r="DX103" s="207">
        <f>IF(AB103=1,COUNTIF($AB$2:AB103,1),"")</f>
        <v>102</v>
      </c>
      <c r="DY103" s="207">
        <f>IF(AC103=1,COUNTIF($AC$2:AC103,1),"")</f>
        <v>102</v>
      </c>
      <c r="DZ103" s="207">
        <f>IF(AD103=1,COUNTIF($AD$2:AD103,1),"")</f>
        <v>102</v>
      </c>
      <c r="EA103" s="207">
        <f>IF(AE103=1,COUNTIF($AE$2:AE103,1),"")</f>
        <v>102</v>
      </c>
      <c r="EB103" s="207">
        <f>IF(AF103=1,COUNTIF($AF$2:AF103,1),"")</f>
        <v>102</v>
      </c>
      <c r="EC103" s="207">
        <f>IF(AG103=1,COUNTIF($AG$2:AG103,1),"")</f>
        <v>102</v>
      </c>
      <c r="ED103" s="207">
        <f>IF(AH103=1,COUNTIF($AH$2:AH103,1),"")</f>
        <v>102</v>
      </c>
      <c r="EE103" s="207">
        <f>IF(AI103=1,COUNTIF($AI$2:AI103,1),"")</f>
        <v>102</v>
      </c>
      <c r="EF103" s="207">
        <f>IF(AJ103=1,COUNTIF($AJ$2:AJ103,1),"")</f>
        <v>102</v>
      </c>
      <c r="EG103" s="207">
        <f>IF(AK103=1,COUNTIF($AK$2:AK103,1),"")</f>
        <v>102</v>
      </c>
      <c r="EH103" s="207">
        <f>IF(AL103=1,COUNTIF($AL$2:AL103,1),"")</f>
        <v>102</v>
      </c>
      <c r="EI103" s="207">
        <f>IF(AM103=1,COUNTIF($AM$2:AM103,1),"")</f>
        <v>102</v>
      </c>
      <c r="EJ103" s="207">
        <f>IF(AN103=1,COUNTIF($AN$2:AN103,1),"")</f>
        <v>102</v>
      </c>
      <c r="EK103" s="207">
        <f>IF(AO103=1,COUNTIF($AO$2:AO103,1),"")</f>
        <v>102</v>
      </c>
      <c r="EL103" s="207">
        <f>IF(AP103=1,COUNTIF($AP$2:AP103,1),"")</f>
        <v>102</v>
      </c>
      <c r="EM103" s="207">
        <f>IF(AQ103=1,COUNTIF($AQ$2:AQ103,1),"")</f>
        <v>102</v>
      </c>
      <c r="EN103" s="207">
        <f>IF(AR103=1,COUNTIF($AR$2:AR103,1),"")</f>
        <v>102</v>
      </c>
      <c r="EO103" s="207">
        <f>IF(AS103=1,COUNTIF($AS$2:AS103,1),"")</f>
        <v>102</v>
      </c>
      <c r="EP103" s="207">
        <f>IF(AT103=1,COUNTIF($AT$2:AT103,1),"")</f>
        <v>102</v>
      </c>
      <c r="EQ103" s="207">
        <f>IF(AU103=1,COUNTIF($AU$2:AU103,1),"")</f>
        <v>102</v>
      </c>
      <c r="ER103" s="207">
        <f>IF(AV103=1,COUNTIF($AV$2:AV103,1),"")</f>
        <v>102</v>
      </c>
      <c r="ES103" s="207">
        <f>IF(AW103=1,COUNTIF($AW$2:AW103,1),"")</f>
        <v>102</v>
      </c>
      <c r="ET103" s="207">
        <f>IF(AX103=1,COUNTIF($AX$2:AX103,1),"")</f>
        <v>102</v>
      </c>
      <c r="EU103" s="207">
        <f>IF(AY103=1,COUNTIF($AY$2:AY103,1),"")</f>
        <v>102</v>
      </c>
      <c r="EV103" s="207">
        <f>IF(AZ103=1,COUNTIF($AZ$2:AZ103,1),"")</f>
        <v>102</v>
      </c>
      <c r="EW103" s="207">
        <f>IF(BA103=1,COUNTIF($BA$2:BA103,1),"")</f>
        <v>102</v>
      </c>
      <c r="EX103" s="207">
        <f>IF(BB103=1,COUNTIF($BB$2:BB103,1),"")</f>
        <v>102</v>
      </c>
      <c r="EY103" s="207">
        <f>IF(BC103=1,COUNTIF($BC$2:BC103,1),"")</f>
        <v>102</v>
      </c>
      <c r="EZ103" s="207">
        <f>IF(BD103=1,COUNTIF($BD$2:BD103,1),"")</f>
        <v>102</v>
      </c>
      <c r="FA103" s="207">
        <f>IF(BE103=1,COUNTIF($BE$2:BE103,1),"")</f>
        <v>102</v>
      </c>
      <c r="FB103" s="207">
        <f>IF(BF103=1,COUNTIF($BF$2:BF103,1),"")</f>
        <v>102</v>
      </c>
      <c r="FC103" s="207">
        <f>IF(BG103=1,COUNTIF($BG$2:BG103,1),"")</f>
        <v>102</v>
      </c>
      <c r="FD103" s="207">
        <f>IF(BH103=1,COUNTIF($BH$2:BH103,1),"")</f>
        <v>102</v>
      </c>
      <c r="FE103" s="207">
        <f>IF(BI103=1,COUNTIF($BI$2:BI103,1),"")</f>
        <v>102</v>
      </c>
      <c r="FF103" s="207">
        <f>IF(BJ103=1,COUNTIF($BJ$2:BJ103,1),"")</f>
        <v>102</v>
      </c>
      <c r="FG103" s="207">
        <f>IF(BK103=1,COUNTIF($BK$2:BK103,1),"")</f>
        <v>102</v>
      </c>
      <c r="FH103" s="207">
        <f>IF(BL103=1,COUNTIF($BL$2:BL103,1),"")</f>
        <v>102</v>
      </c>
      <c r="FI103" s="207">
        <f>IF(BM103=1,COUNTIF($BM$2:BM103,1),"")</f>
        <v>102</v>
      </c>
      <c r="FJ103" s="207">
        <f>IF(BN103=1,COUNTIF($BN$2:BN103,1),"")</f>
        <v>102</v>
      </c>
      <c r="FK103" s="207">
        <f>IF(BO103=1,COUNTIF($BO$2:BO103,1),"")</f>
        <v>102</v>
      </c>
      <c r="FL103" s="207">
        <f>IF(BP103=1,COUNTIF($BP$2:BP103,1),"")</f>
        <v>102</v>
      </c>
      <c r="FM103" s="207">
        <f>IF(BQ103=1,COUNTIF($BQ$2:BQ103,1),"")</f>
        <v>102</v>
      </c>
      <c r="FN103" s="207">
        <f>IF(BR103=1,COUNTIF($BR$2:BR103,1),"")</f>
        <v>102</v>
      </c>
      <c r="FO103" s="207">
        <f>IF(BS103=1,COUNTIF($BS$2:BS103,1),"")</f>
        <v>102</v>
      </c>
      <c r="FP103" s="207">
        <f>IF(BT103=1,COUNTIF($BT$2:BT103,1),"")</f>
        <v>102</v>
      </c>
      <c r="FQ103" s="207">
        <f>IF(BU103=1,COUNTIF($BU$2:BU103,1),"")</f>
        <v>102</v>
      </c>
      <c r="FR103" s="207">
        <f>IF(BV103=1,COUNTIF($BV$2:BV103,1),"")</f>
        <v>102</v>
      </c>
      <c r="FS103" s="207">
        <f>IF(BW103=1,COUNTIF($BW$2:BW103,1),"")</f>
        <v>102</v>
      </c>
      <c r="FT103" s="207">
        <f>IF(BX103=1,COUNTIF($BX$2:BX103,1),"")</f>
        <v>102</v>
      </c>
      <c r="FU103" s="207">
        <f>IF(BY103=1,COUNTIF($BY$2:BY103,1),"")</f>
        <v>102</v>
      </c>
      <c r="FV103" s="207">
        <f>IF(BZ103=1,COUNTIF($BZ$2:BZ103,1),"")</f>
        <v>102</v>
      </c>
      <c r="FW103" s="207">
        <f>IF(CA103=1,COUNTIF($CA$2:CA103,1),"")</f>
        <v>102</v>
      </c>
      <c r="FX103" s="207">
        <f>IF(CB103=1,COUNTIF($CB$2:CB103,1),"")</f>
        <v>102</v>
      </c>
      <c r="FY103" s="207">
        <f>IF(CC103=1,COUNTIF($CC$2:CC103,1),"")</f>
        <v>102</v>
      </c>
      <c r="FZ103" s="207">
        <f>IF(CD103=1,COUNTIF($CD$2:CD103,1),"")</f>
        <v>102</v>
      </c>
      <c r="GA103" s="207">
        <f>IF(CE103=1,COUNTIF($CE$2:CE103,1),"")</f>
        <v>102</v>
      </c>
      <c r="GB103" s="207">
        <f>IF(CF103=1,COUNTIF($CF$2:CF103,1),"")</f>
        <v>102</v>
      </c>
      <c r="GC103" s="207">
        <f>IF(CG103=1,COUNTIF($CG$2:CG103,1),"")</f>
        <v>102</v>
      </c>
      <c r="GD103" s="207">
        <f>IF(CH103=1,COUNTIF($CH$2:CH103,1),"")</f>
        <v>102</v>
      </c>
      <c r="GE103" s="207">
        <f>IF(CI103=1,COUNTIF($CI$2:CI103,1),"")</f>
        <v>102</v>
      </c>
      <c r="GF103" s="207">
        <f>IF(CJ103=1,COUNTIF($CJ$2:CJ103,1),"")</f>
        <v>102</v>
      </c>
      <c r="GG103" s="207">
        <f>IF(CK103=1,COUNTIF($CK$2:CK103,1),"")</f>
        <v>102</v>
      </c>
      <c r="GH103" s="207">
        <f>IF(CL103=1,COUNTIF($CL$2:CL103,1),"")</f>
        <v>102</v>
      </c>
      <c r="GI103" s="207">
        <f>IF(CM103=1,COUNTIF($CM$2:CM103,1),"")</f>
        <v>102</v>
      </c>
      <c r="GJ103" s="207">
        <f>IF(CN103=1,COUNTIF($CN$2:CN103,1),"")</f>
        <v>102</v>
      </c>
      <c r="GK103" s="207">
        <f>IF(CO103=1,COUNTIF($CO$2:CO103,1),"")</f>
        <v>102</v>
      </c>
      <c r="GL103" s="207">
        <f>IF(CP103=1,COUNTIF($CP$2:CP103,1),"")</f>
        <v>102</v>
      </c>
      <c r="GM103" s="207">
        <f>IF(CQ103=1,COUNTIF($CQ$2:CQ103,1),"")</f>
        <v>102</v>
      </c>
      <c r="GN103" s="207">
        <f>IF(CR103=1,COUNTIF($CR$2:CR103,1),"")</f>
        <v>102</v>
      </c>
      <c r="GO103" s="207">
        <f>IF(CS103=1,COUNTIF($CS$2:CS103,1),"")</f>
        <v>102</v>
      </c>
      <c r="GP103" s="207">
        <f>IF(CT103=1,COUNTIF($CT$2:CT103,1),"")</f>
        <v>102</v>
      </c>
      <c r="GQ103" s="207">
        <f>IF(CU103=1,COUNTIF($CU$2:CU103,1),"")</f>
        <v>102</v>
      </c>
      <c r="GR103" s="207">
        <f>IF(CV103=1,COUNTIF($CV$2:CV103,1),"")</f>
        <v>102</v>
      </c>
      <c r="GS103" s="207">
        <f>IF(CW103=1,COUNTIF($CW$2:CW103,1),"")</f>
        <v>102</v>
      </c>
      <c r="GT103" s="207">
        <f>IF(CX103=1,COUNTIF($CX$2:CX103,1),"")</f>
        <v>102</v>
      </c>
      <c r="GU103" s="207">
        <f>IF(CY103=1,COUNTIF($CY$2:CY103,1),"")</f>
        <v>102</v>
      </c>
      <c r="GV103" s="207">
        <f>IF(CZ103=1,COUNTIF($CZ$2:CZ103,1),"")</f>
        <v>102</v>
      </c>
      <c r="GW103" s="207">
        <f>IF(DA103=1,COUNTIF($DA$2:DA103,1),"")</f>
        <v>102</v>
      </c>
      <c r="GX103" s="206" t="str">
        <f>IFERROR(INDEX($A$2:$A$113,MATCH(ROWS($DB$2:DB103),$DB$2:$DB$113,0)),"")</f>
        <v>VIOLACION A LA LEY DE FAUNA</v>
      </c>
      <c r="GY103" s="206" t="str">
        <f>IFERROR(INDEX($A$2:$A$113,MATCH(ROWS($DC$2:DC103),$DC$2:$DC$113,0)),"")</f>
        <v>VIOLACION A LA LEY DE FAUNA</v>
      </c>
      <c r="GZ103" s="206" t="str">
        <f>IFERROR(INDEX($A$2:$A$113,MATCH(ROWS($DD$2:DD103),$DD$2:$DD$113,0)),"")</f>
        <v>VIOLACION A LA LEY DE FAUNA</v>
      </c>
      <c r="HA103" s="206" t="str">
        <f>IFERROR(INDEX($A$2:$A$113,MATCH(ROWS($DE$2:DE103),$DE$2:$DE$113,0)),"")</f>
        <v>VIOLACION A LA LEY DE FAUNA</v>
      </c>
      <c r="HB103" s="206" t="str">
        <f>IFERROR(INDEX($A$2:$A$113,MATCH(ROWS($DF$2:DF103),$DF$2:$DF$113,0)),"")</f>
        <v>VIOLACION A LA LEY DE FAUNA</v>
      </c>
      <c r="HC103" s="206" t="str">
        <f>IFERROR(INDEX($A$2:$A$113,MATCH(ROWS($DG$2:DG103),$DG$2:$DG$113,0)),"")</f>
        <v>VIOLACION A LA LEY DE FAUNA</v>
      </c>
      <c r="HD103" s="206" t="str">
        <f>IFERROR(INDEX($A$2:$A$113,MATCH(ROWS($DH$2:DH103),$DH$2:$DH$113,0)),"")</f>
        <v>VIOLACION A LA LEY DE FAUNA</v>
      </c>
      <c r="HE103" s="206" t="str">
        <f>IFERROR(INDEX($A$2:$A$113,MATCH(ROWS($DI$2:DI103),$DI$2:$DI$113,0)),"")</f>
        <v>VIOLACION A LA LEY DE FAUNA</v>
      </c>
      <c r="HF103" s="206" t="str">
        <f>IFERROR(INDEX($A$2:$A$113,MATCH(ROWS($DJ$2:DJ103),$DJ$2:$DJ$113,0)),"")</f>
        <v>VIOLACION A LA LEY DE FAUNA</v>
      </c>
      <c r="HG103" s="206" t="str">
        <f>IFERROR(INDEX($A$2:$A$113,MATCH(ROWS($DK$2:DK103),$DK$2:$DK$113,0)),"")</f>
        <v>VIOLACION A LA LEY DE FAUNA</v>
      </c>
      <c r="HH103" s="206" t="str">
        <f>IFERROR(INDEX($A$2:$A$113,MATCH(ROWS($DL$2:DL103),$DL$2:$DL$113,0)),"")</f>
        <v>VIOLACION A LA LEY DE FAUNA</v>
      </c>
      <c r="HI103" s="206" t="str">
        <f>IFERROR(INDEX($A$2:$A$113,MATCH(ROWS($DM$2:DM103),$DM$2:$DM$113,0)),"")</f>
        <v>VIOLACION A LA LEY DE FAUNA</v>
      </c>
      <c r="HJ103" s="206" t="str">
        <f>IFERROR(INDEX($A$2:$A$113,MATCH(ROWS($DN$2:DN103),$DN$2:$DN$113,0)),"")</f>
        <v>VIOLACION A LA LEY DE FAUNA</v>
      </c>
      <c r="HK103" s="206" t="str">
        <f>IFERROR(INDEX($A$2:$A$113,MATCH(ROWS($DO$2:DO103),$DO$2:$DO$113,0)),"")</f>
        <v>VIOLACION A LA LEY DE FAUNA</v>
      </c>
      <c r="HL103" s="206" t="str">
        <f>IFERROR(INDEX($A$2:$A$113,MATCH(ROWS($DP$2:DP103),$DP$2:$DP$113,0)),"")</f>
        <v>VIOLACION A LA LEY DE FAUNA</v>
      </c>
      <c r="HM103" s="206" t="str">
        <f>IFERROR(INDEX($A$2:$A$113,MATCH(ROWS($DQ$2:DQ103),$DQ$2:$DQ$113,0)),"")</f>
        <v>VIOLACION A LA LEY DE FAUNA</v>
      </c>
      <c r="HN103" s="206" t="str">
        <f>IFERROR(INDEX($A$2:$A$113,MATCH(ROWS($DR$2:DR103),$DR$2:$DR$113,0)),"")</f>
        <v>VIOLACION A LA LEY DE FAUNA</v>
      </c>
      <c r="HO103" s="206" t="str">
        <f>IFERROR(INDEX($A$2:$A$113,MATCH(ROWS($DS$2:DS103),$DS$2:$DS$113,0)),"")</f>
        <v>VIOLACION A LA LEY DE FAUNA</v>
      </c>
      <c r="HP103" s="206" t="str">
        <f>IFERROR(INDEX($A$2:$A$113,MATCH(ROWS($DT$2:DT103),$DT$2:$DT$113,0)),"")</f>
        <v>VIOLACION A LA LEY DE FAUNA</v>
      </c>
      <c r="HQ103" s="206" t="str">
        <f>IFERROR(INDEX($A$2:$A$113,MATCH(ROWS($DU$2:DU103),$DU$2:$DU$113,0)),"")</f>
        <v>VIOLACION A LA LEY DE FAUNA</v>
      </c>
      <c r="HR103" s="206" t="str">
        <f>IFERROR(INDEX($A$2:$A$113,MATCH(ROWS($DV$2:DV103),$DV$2:$DV$113,0)),"")</f>
        <v>VIOLACION A LA LEY DE FAUNA</v>
      </c>
      <c r="HS103" s="206" t="str">
        <f>IFERROR(INDEX($A$2:$A$113,MATCH(ROWS($DW$2:DW103),$DW$2:$DW$113,0)),"")</f>
        <v>VIOLACION A LA LEY DE FAUNA</v>
      </c>
      <c r="HT103" s="206" t="str">
        <f>IFERROR(INDEX($A$2:$A$113,MATCH(ROWS($DX$2:DX103),$DX$2:$DX$113,0)),"")</f>
        <v>VIOLACION A LA LEY DE FAUNA</v>
      </c>
      <c r="HU103" s="206" t="str">
        <f>IFERROR(INDEX($A$2:$A$113,MATCH(ROWS($DY$2:DY103),$DY$2:$DY$113,0)),"")</f>
        <v>VIOLACION A LA LEY DE FAUNA</v>
      </c>
      <c r="HV103" s="206" t="str">
        <f>IFERROR(INDEX($A$2:$A$113,MATCH(ROWS($DZ$2:DZ103),$DZ$2:$DZ$113,0)),"")</f>
        <v>VIOLACION A LA LEY DE FAUNA</v>
      </c>
      <c r="HW103" s="206" t="str">
        <f>IFERROR(INDEX($A$2:$A$113,MATCH(ROWS($EA$2:EA103),$EA$2:$EA$113,0)),"")</f>
        <v>VIOLACION A LA LEY DE FAUNA</v>
      </c>
      <c r="HX103" s="206" t="str">
        <f>IFERROR(INDEX($A$2:$A$113,MATCH(ROWS($EB$2:EB103),$EB$2:$EB$113,0)),"")</f>
        <v>VIOLACION A LA LEY DE FAUNA</v>
      </c>
      <c r="HY103" s="206" t="str">
        <f>IFERROR(INDEX($A$2:$A$113,MATCH(ROWS($EC$2:EC103),$EC$2:$EC$113,0)),"")</f>
        <v>VIOLACION A LA LEY DE FAUNA</v>
      </c>
      <c r="HZ103" s="206" t="str">
        <f>IFERROR(INDEX($A$2:$A$113,MATCH(ROWS($ED$2:ED103),$ED$2:$ED$113,0)),"")</f>
        <v>VIOLACION A LA LEY DE FAUNA</v>
      </c>
      <c r="IA103" s="206" t="str">
        <f>IFERROR(INDEX($A$2:$A$113,MATCH(ROWS($EE$2:EE103),$EE$2:$EE$113,0)),"")</f>
        <v>VIOLACION A LA LEY DE FAUNA</v>
      </c>
      <c r="IB103" s="206" t="str">
        <f>IFERROR(INDEX($A$2:$A$113,MATCH(ROWS($EF$2:EF103),$EF$2:$EF$113,0)),"")</f>
        <v>VIOLACION A LA LEY DE FAUNA</v>
      </c>
      <c r="IC103" s="206" t="str">
        <f>IFERROR(INDEX($A$2:$A$113,MATCH(ROWS($EG$2:EG103),$EG$2:$EG$113,0)),"")</f>
        <v>VIOLACION A LA LEY DE FAUNA</v>
      </c>
      <c r="ID103" s="206" t="str">
        <f>IFERROR(INDEX($A$2:$A$113,MATCH(ROWS($EH$2:EH103),$EH$2:$EH$113,0)),"")</f>
        <v>VIOLACION A LA LEY DE FAUNA</v>
      </c>
      <c r="IE103" s="206" t="str">
        <f>IFERROR(INDEX($A$2:$A$113,MATCH(ROWS($EI$2:EI103),$EI$2:$EI$113,0)),"")</f>
        <v>VIOLACION A LA LEY DE FAUNA</v>
      </c>
      <c r="IF103" s="206" t="str">
        <f>IFERROR(INDEX($A$2:$A$113,MATCH(ROWS($EJ$2:EJ103),$EJ$2:$EJ$113,0)),"")</f>
        <v>VIOLACION A LA LEY DE FAUNA</v>
      </c>
      <c r="IG103" s="206" t="str">
        <f>IFERROR(INDEX($A$2:$A$113,MATCH(ROWS($EK$2:EK103),$EK$2:$EK$113,0)),"")</f>
        <v>VIOLACION A LA LEY DE FAUNA</v>
      </c>
      <c r="IH103" s="206" t="str">
        <f>IFERROR(INDEX($A$2:$A$113,MATCH(ROWS($EL$2:EL103),$EL$2:$EL$113,0)),"")</f>
        <v>VIOLACION A LA LEY DE FAUNA</v>
      </c>
      <c r="II103" s="206" t="str">
        <f>IFERROR(INDEX($A$2:$A$113,MATCH(ROWS($EM$2:EM103),$EM$2:$EM$113,0)),"")</f>
        <v>VIOLACION A LA LEY DE FAUNA</v>
      </c>
      <c r="IJ103" s="206" t="str">
        <f>IFERROR(INDEX($A$2:$A$113,MATCH(ROWS($EN$2:EN103),$EN$2:$EN$113,0)),"")</f>
        <v>VIOLACION A LA LEY DE FAUNA</v>
      </c>
      <c r="IK103" s="207" t="str">
        <f>IFERROR(INDEX($A$2:$A$113,MATCH(ROWS($EO$2:EO103),$EO$2:$EO$113,0)),"")</f>
        <v>VIOLACION A LA LEY DE FAUNA</v>
      </c>
      <c r="IL103" s="207" t="str">
        <f>IFERROR(INDEX($A$2:$A$113,MATCH(ROWS($EP$2:EP103),$EP$2:$EP$113,0)),"")</f>
        <v>VIOLACION A LA LEY DE FAUNA</v>
      </c>
      <c r="IM103" s="207" t="str">
        <f>IFERROR(INDEX($A$2:$A$113,MATCH(ROWS($EQ$2:EQ103),$EQ$2:$EQ$113,0)),"")</f>
        <v>VIOLACION A LA LEY DE FAUNA</v>
      </c>
      <c r="IN103" s="207" t="str">
        <f>IFERROR(INDEX($A$2:$A$113,MATCH(ROWS($ER$2:ER103),$ER$2:$ER$113,0)),"")</f>
        <v>VIOLACION A LA LEY DE FAUNA</v>
      </c>
      <c r="IO103" s="207" t="str">
        <f>IFERROR(INDEX($A$2:$A$113,MATCH(ROWS($ES$2:ES103),$ES$2:$ES$113,0)),"")</f>
        <v>VIOLACION A LA LEY DE FAUNA</v>
      </c>
      <c r="IP103" s="207" t="str">
        <f>IFERROR(INDEX($A$2:$A$113,MATCH(ROWS($ET$2:ET103),$ET$2:$ET$113,0)),"")</f>
        <v>VIOLACION A LA LEY DE FAUNA</v>
      </c>
      <c r="IQ103" s="207" t="str">
        <f>IFERROR(INDEX($A$2:$A$113,MATCH(ROWS($EU$2:EU103),$EU$2:$EU$113,0)),"")</f>
        <v>VIOLACION A LA LEY DE FAUNA</v>
      </c>
      <c r="IR103" s="207" t="str">
        <f>IFERROR(INDEX($A$2:$A$113,MATCH(ROWS($EV$2:EV103),$EV$2:$EV$113,0)),"")</f>
        <v>VIOLACION A LA LEY DE FAUNA</v>
      </c>
      <c r="IS103" s="207" t="str">
        <f>IFERROR(INDEX($A$2:$A$113,MATCH(ROWS($EW$2:EW103),$EW$2:$EW$113,0)),"")</f>
        <v>VIOLACION A LA LEY DE FAUNA</v>
      </c>
      <c r="IT103" s="207" t="str">
        <f>IFERROR(INDEX($A$2:$A$113,MATCH(ROWS($EX$2:EX103),$EX$2:$EX$113,0)),"")</f>
        <v>VIOLACION A LA LEY DE FAUNA</v>
      </c>
      <c r="IU103" s="207" t="str">
        <f>IFERROR(INDEX($A$2:$A$113,MATCH(ROWS($EY$2:EY103),$EY$2:$EY$113,0)),"")</f>
        <v>VIOLACION A LA LEY DE FAUNA</v>
      </c>
      <c r="IV103" s="207" t="str">
        <f>IFERROR(INDEX($A$2:$A$113,MATCH(ROWS($EZ$2:EZ103),$EZ$2:$EZ$113,0)),"")</f>
        <v>VIOLACION A LA LEY DE FAUNA</v>
      </c>
      <c r="IW103" s="207" t="str">
        <f>IFERROR(INDEX($A$2:$A$113,MATCH(ROWS($FA$2:FA103),$FA$2:$FA$113,0)),"")</f>
        <v>VIOLACION A LA LEY DE FAUNA</v>
      </c>
      <c r="IX103" s="207" t="str">
        <f>IFERROR(INDEX($A$2:$A$113,MATCH(ROWS($FB$2:FB103),$FB$2:$FB$113,0)),"")</f>
        <v>VIOLACION A LA LEY DE FAUNA</v>
      </c>
      <c r="IY103" s="207" t="str">
        <f>IFERROR(INDEX($A$2:$A$113,MATCH(ROWS($FC$2:FC103),$FC$2:$FC$113,0)),"")</f>
        <v>VIOLACION A LA LEY DE FAUNA</v>
      </c>
      <c r="IZ103" s="207" t="str">
        <f>IFERROR(INDEX($A$2:$A$113,MATCH(ROWS($FD$2:FD103),$FD$2:$FD$113,0)),"")</f>
        <v>VIOLACION A LA LEY DE FAUNA</v>
      </c>
      <c r="JA103" s="207" t="str">
        <f>IFERROR(INDEX($A$2:$A$113,MATCH(ROWS($FE$2:FE103),$FE$2:$FE$113,0)),"")</f>
        <v>VIOLACION A LA LEY DE FAUNA</v>
      </c>
      <c r="JB103" s="207" t="str">
        <f>IFERROR(INDEX($A$2:$A$113,MATCH(ROWS($FF$2:FF103),$FF$2:$FF$113,0)),"")</f>
        <v>VIOLACION A LA LEY DE FAUNA</v>
      </c>
      <c r="JC103" s="207" t="str">
        <f>IFERROR(INDEX($A$2:$A$113,MATCH(ROWS($FG$2:FG103),$FG$2:$FG$113,0)),"")</f>
        <v>VIOLACION A LA LEY DE FAUNA</v>
      </c>
      <c r="JD103" s="207" t="str">
        <f>IFERROR(INDEX($A$2:$A$113,MATCH(ROWS($FH$2:FH103),$FH$2:$FH$113,0)),"")</f>
        <v>VIOLACION A LA LEY DE FAUNA</v>
      </c>
      <c r="JE103" s="207" t="str">
        <f>IFERROR(INDEX($A$2:$A$113,MATCH(ROWS($FI$2:FI103),$FI$2:$FI$113,0)),"")</f>
        <v>VIOLACION A LA LEY DE FAUNA</v>
      </c>
      <c r="JF103" s="207" t="str">
        <f>IFERROR(INDEX($A$2:$A$113,MATCH(ROWS($FJ$2:FJ103),$FJ$2:$FJ$113,0)),"")</f>
        <v>VIOLACION A LA LEY DE FAUNA</v>
      </c>
      <c r="JG103" s="207" t="str">
        <f>IFERROR(INDEX($A$2:$A$113,MATCH(ROWS($FK$2:FK103),$FK$2:$FK$113,0)),"")</f>
        <v>VIOLACION A LA LEY DE FAUNA</v>
      </c>
      <c r="JH103" s="207" t="str">
        <f>IFERROR(INDEX($A$2:$A$113,MATCH(ROWS($FL$2:FL103),$FL$2:$FL$113,0)),"")</f>
        <v>VIOLACION A LA LEY DE FAUNA</v>
      </c>
      <c r="JI103" s="207" t="str">
        <f>IFERROR(INDEX($A$2:$A$113,MATCH(ROWS($FM$2:FM103),$FM$2:$FM$113,0)),"")</f>
        <v>VIOLACION A LA LEY DE FAUNA</v>
      </c>
      <c r="JJ103" s="207" t="str">
        <f>IFERROR(INDEX($A$2:$A$113,MATCH(ROWS($FN$2:FN103),$FN$2:$FN$113,0)),"")</f>
        <v>VIOLACION A LA LEY DE FAUNA</v>
      </c>
      <c r="JK103" s="207" t="str">
        <f>IFERROR(INDEX($A$2:$A$113,MATCH(ROWS($FO$2:FO103),$FO$2:$FO$113,0)),"")</f>
        <v>VIOLACION A LA LEY DE FAUNA</v>
      </c>
      <c r="JL103" s="207" t="str">
        <f>IFERROR(INDEX($A$2:$A$113,MATCH(ROWS($FP$2:FP103),$FP$2:$FP$113,0)),"")</f>
        <v>VIOLACION A LA LEY DE FAUNA</v>
      </c>
      <c r="JM103" s="207" t="str">
        <f>IFERROR(INDEX($A$2:$A$113,MATCH(ROWS($FQ$2:FQ103),$FQ$2:$FQ$113,0)),"")</f>
        <v>VIOLACION A LA LEY DE FAUNA</v>
      </c>
      <c r="JN103" s="207" t="str">
        <f>IFERROR(INDEX($A$2:$A$113,MATCH(ROWS($FR$2:FR103),$FR$2:$FR$113,0)),"")</f>
        <v>VIOLACION A LA LEY DE FAUNA</v>
      </c>
      <c r="JO103" s="207" t="str">
        <f>IFERROR(INDEX($A$2:$A$113,MATCH(ROWS($FS$2:FS103),$FS$2:$FS$113,0)),"")</f>
        <v>VIOLACION A LA LEY DE FAUNA</v>
      </c>
      <c r="JP103" s="207" t="str">
        <f>IFERROR(INDEX($A$2:$A$113,MATCH(ROWS($FT$2:FT103),$FT$2:$FT$113,0)),"")</f>
        <v>VIOLACION A LA LEY DE FAUNA</v>
      </c>
      <c r="JQ103" s="207" t="str">
        <f>IFERROR(INDEX($A$2:$A$113,MATCH(ROWS($FU$2:FU103),$FU$2:$FU$113,0)),"")</f>
        <v>VIOLACION A LA LEY DE FAUNA</v>
      </c>
      <c r="JR103" s="207" t="str">
        <f>IFERROR(INDEX($A$2:$A$113,MATCH(ROWS($FV$2:FV103),$FV$2:$FV$113,0)),"")</f>
        <v>VIOLACION A LA LEY DE FAUNA</v>
      </c>
      <c r="JS103" s="207" t="str">
        <f>IFERROR(INDEX($A$2:$A$113,MATCH(ROWS($FW$2:FW103),$FW$2:$FW$113,0)),"")</f>
        <v>VIOLACION A LA LEY DE FAUNA</v>
      </c>
      <c r="JT103" s="207" t="str">
        <f>IFERROR(INDEX($A$2:$A$113,MATCH(ROWS($FX$2:FX103),$FX$2:$FX$113,0)),"")</f>
        <v>VIOLACION A LA LEY DE FAUNA</v>
      </c>
      <c r="JU103" s="207" t="str">
        <f>IFERROR(INDEX($A$2:$A$113,MATCH(ROWS($FY$2:FY103),$FY$2:$FY$113,0)),"")</f>
        <v>VIOLACION A LA LEY DE FAUNA</v>
      </c>
      <c r="JV103" s="207" t="str">
        <f>IFERROR(INDEX($A$2:$A$113,MATCH(ROWS($FZ$2:FZ103),$FZ$2:$FZ$113,0)),"")</f>
        <v>VIOLACION A LA LEY DE FAUNA</v>
      </c>
      <c r="JW103" s="207" t="str">
        <f>IFERROR(INDEX($A$2:$A$113,MATCH(ROWS($GA$2:GA103),$GA$2:$GA$113,0)),"")</f>
        <v>VIOLACION A LA LEY DE FAUNA</v>
      </c>
      <c r="JX103" s="207" t="str">
        <f>IFERROR(INDEX($A$2:$A$113,MATCH(ROWS($GB$2:GB103),$GB$2:$GB$113,0)),"")</f>
        <v>VIOLACION A LA LEY DE FAUNA</v>
      </c>
      <c r="JY103" s="207" t="str">
        <f>IFERROR(INDEX($A$2:$A$113,MATCH(ROWS($GC$2:GC103),$GC$2:$GC$113,0)),"")</f>
        <v>VIOLACION A LA LEY DE FAUNA</v>
      </c>
      <c r="JZ103" s="207" t="str">
        <f>IFERROR(INDEX($A$2:$A$113,MATCH(ROWS($GD$2:GD103),$GD$2:$GD$113,0)),"")</f>
        <v>VIOLACION A LA LEY DE FAUNA</v>
      </c>
      <c r="KA103" s="207" t="str">
        <f>IFERROR(INDEX($A$2:$A$113,MATCH(ROWS($GE$2:GE103),$GE$2:$GE$113,0)),"")</f>
        <v>VIOLACION A LA LEY DE FAUNA</v>
      </c>
      <c r="KB103" s="207" t="str">
        <f>IFERROR(INDEX($A$2:$A$113,MATCH(ROWS($GF$2:GF103),$GF$2:$GF$113,0)),"")</f>
        <v>VIOLACION A LA LEY DE FAUNA</v>
      </c>
      <c r="KC103" s="207" t="str">
        <f>IFERROR(INDEX($A$2:$A$113,MATCH(ROWS($GG$2:GG103),$GG$2:$GG$113,0)),"")</f>
        <v>VIOLACION A LA LEY DE FAUNA</v>
      </c>
      <c r="KD103" s="207" t="str">
        <f>IFERROR(INDEX($A$2:$A$113,MATCH(ROWS($GH$2:GH103),$GH$2:$GH$113,0)),"")</f>
        <v>VIOLACION A LA LEY DE FAUNA</v>
      </c>
      <c r="KE103" s="207" t="str">
        <f>IFERROR(INDEX($A$2:$A$113,MATCH(ROWS($GI$2:GI103),$GI$2:$GI$113,0)),"")</f>
        <v>VIOLACION A LA LEY DE FAUNA</v>
      </c>
      <c r="KF103" s="207" t="str">
        <f>IFERROR(INDEX($A$2:$A$113,MATCH(ROWS($GJ$2:GJ103),$GJ$2:$GJ$113,0)),"")</f>
        <v>VIOLACION A LA LEY DE FAUNA</v>
      </c>
      <c r="KG103" s="207" t="str">
        <f>IFERROR(INDEX($A$2:$A$113,MATCH(ROWS($GK$2:GK103),$GK$2:$GK$113,0)),"")</f>
        <v>VIOLACION A LA LEY DE FAUNA</v>
      </c>
      <c r="KH103" s="207" t="str">
        <f>IFERROR(INDEX($A$2:$A$113,MATCH(ROWS($GL$2:GL103),$GL$2:$GL$113,0)),"")</f>
        <v>VIOLACION A LA LEY DE FAUNA</v>
      </c>
      <c r="KI103" s="207" t="str">
        <f>IFERROR(INDEX($A$2:$A$113,MATCH(ROWS($GM$2:GM103),$GM$2:$GM$113,0)),"")</f>
        <v>VIOLACION A LA LEY DE FAUNA</v>
      </c>
      <c r="KJ103" s="207" t="str">
        <f>IFERROR(INDEX($A$2:$A$113,MATCH(ROWS($GN$2:GN103),$GN$2:$GN$113,0)),"")</f>
        <v>VIOLACION A LA LEY DE FAUNA</v>
      </c>
      <c r="KK103" s="207" t="str">
        <f>IFERROR(INDEX($A$2:$A$113,MATCH(ROWS($GO$2:GO103),$GO$2:$GO$113,0)),"")</f>
        <v>VIOLACION A LA LEY DE FAUNA</v>
      </c>
      <c r="KL103" s="207" t="str">
        <f>IFERROR(INDEX($A$2:$A$113,MATCH(ROWS($GP$2:GP103),$GP$2:$GP$113,0)),"")</f>
        <v>VIOLACION A LA LEY DE FAUNA</v>
      </c>
      <c r="KM103" s="207" t="str">
        <f>IFERROR(INDEX($A$2:$A$113,MATCH(ROWS($GQ$2:GQ103),$GQ$2:$GQ$113,0)),"")</f>
        <v>VIOLACION A LA LEY DE FAUNA</v>
      </c>
      <c r="KN103" s="207" t="str">
        <f>IFERROR(INDEX($A$2:$A$113,MATCH(ROWS($GR$2:GR103),$GR$2:$GR$113,0)),"")</f>
        <v>VIOLACION A LA LEY DE FAUNA</v>
      </c>
      <c r="KO103" s="207" t="str">
        <f>IFERROR(INDEX($A$2:$A$113,MATCH(ROWS($GS$2:GS103),$GS$2:$GS$113,0)),"")</f>
        <v>VIOLACION A LA LEY DE FAUNA</v>
      </c>
      <c r="KP103" s="207" t="str">
        <f>IFERROR(INDEX($A$2:$A$113,MATCH(ROWS($GT$2:GT103),$GT$2:$GT$113,0)),"")</f>
        <v>VIOLACION A LA LEY DE FAUNA</v>
      </c>
      <c r="KQ103" s="207" t="str">
        <f>IFERROR(INDEX($A$2:$A$113,MATCH(ROWS($GU$2:GU103),$GU$2:$GU$113,0)),"")</f>
        <v>VIOLACION A LA LEY DE FAUNA</v>
      </c>
      <c r="KR103" s="207" t="str">
        <f>IFERROR(INDEX($A$2:$A$113,MATCH(ROWS($GV$2:GV103),$GV$2:$GV$113,0)),"")</f>
        <v>VIOLACION A LA LEY DE FAUNA</v>
      </c>
      <c r="KS103" s="207" t="str">
        <f>IFERROR(INDEX($A$2:$A$113,MATCH(ROWS($GW$2:GW103),$GW$2:$GW$113,0)),"")</f>
        <v>VIOLACION A LA LEY DE FAUNA</v>
      </c>
    </row>
    <row r="104" spans="1:305" x14ac:dyDescent="0.25">
      <c r="A104" s="206" t="s">
        <v>40</v>
      </c>
      <c r="B104" s="206" t="s">
        <v>132</v>
      </c>
      <c r="D104" s="206" t="s">
        <v>40</v>
      </c>
      <c r="E104" s="206" t="s">
        <v>129</v>
      </c>
      <c r="F104" s="207">
        <f>--ISNUMBER(IFERROR(SEARCH('PLANILLA DJ'!$X$3,$A104,1),""))</f>
        <v>1</v>
      </c>
      <c r="G104" s="207">
        <f>--ISNUMBER(IFERROR(SEARCH('PLANILLA DJ'!$X$4,$A104,1),""))</f>
        <v>1</v>
      </c>
      <c r="H104" s="207">
        <f>--ISNUMBER(IFERROR(SEARCH('PLANILLA DJ'!$X$5,$A104,1),""))</f>
        <v>1</v>
      </c>
      <c r="I104" s="207">
        <f>--ISNUMBER(IFERROR(SEARCH('PLANILLA DJ'!$X$6,$A104,1),""))</f>
        <v>1</v>
      </c>
      <c r="J104" s="207">
        <f>--ISNUMBER(IFERROR(SEARCH('PLANILLA DJ'!$X$7,$A104,1),""))</f>
        <v>1</v>
      </c>
      <c r="K104" s="207">
        <f>--ISNUMBER(IFERROR(SEARCH('PLANILLA DJ'!$X$8,$A104,1),""))</f>
        <v>1</v>
      </c>
      <c r="L104" s="207">
        <f>--ISNUMBER(IFERROR(SEARCH('PLANILLA DJ'!$X$9,$A104,1),""))</f>
        <v>1</v>
      </c>
      <c r="M104" s="207">
        <f>--ISNUMBER(IFERROR(SEARCH('PLANILLA DJ'!$X$10,$A104,1),""))</f>
        <v>1</v>
      </c>
      <c r="N104" s="207">
        <f>--ISNUMBER(IFERROR(SEARCH('PLANILLA DJ'!$X$11,$A104,1),""))</f>
        <v>1</v>
      </c>
      <c r="O104" s="207">
        <f>--ISNUMBER(IFERROR(SEARCH('PLANILLA DJ'!$X$12,$A104,1),""))</f>
        <v>1</v>
      </c>
      <c r="P104" s="207">
        <f>--ISNUMBER(IFERROR(SEARCH('PLANILLA DJ'!$X$13,$A104,1),""))</f>
        <v>1</v>
      </c>
      <c r="Q104" s="207">
        <f>--ISNUMBER(IFERROR(SEARCH('PLANILLA DJ'!$X$14,$A104,1),""))</f>
        <v>1</v>
      </c>
      <c r="R104" s="207">
        <f>--ISNUMBER(IFERROR(SEARCH('PLANILLA DJ'!$X$15,$A104,1),""))</f>
        <v>1</v>
      </c>
      <c r="S104" s="207">
        <f>--ISNUMBER(IFERROR(SEARCH('PLANILLA DJ'!$X$16,$A104,1),""))</f>
        <v>1</v>
      </c>
      <c r="T104" s="207">
        <f>--ISNUMBER(IFERROR(SEARCH('PLANILLA DJ'!$X$17,$A104,1),""))</f>
        <v>1</v>
      </c>
      <c r="U104" s="207">
        <f>--ISNUMBER(IFERROR(SEARCH('PLANILLA DJ'!$X$18,$A104,1),""))</f>
        <v>1</v>
      </c>
      <c r="V104" s="207">
        <f>--ISNUMBER(IFERROR(SEARCH('PLANILLA DJ'!$X$19,$A104,1),""))</f>
        <v>1</v>
      </c>
      <c r="W104" s="207">
        <f>--ISNUMBER(IFERROR(SEARCH('PLANILLA DJ'!$X$20,$A104,1),""))</f>
        <v>1</v>
      </c>
      <c r="X104" s="207">
        <f>--ISNUMBER(IFERROR(SEARCH('PLANILLA DJ'!$X$21,$A104,1),""))</f>
        <v>1</v>
      </c>
      <c r="Y104" s="207">
        <f>--ISNUMBER(IFERROR(SEARCH('PLANILLA DJ'!$X$22,$A104,1),""))</f>
        <v>1</v>
      </c>
      <c r="Z104" s="207">
        <f>--ISNUMBER(IFERROR(SEARCH('PLANILLA DJ'!$X$23,$A104,1),""))</f>
        <v>1</v>
      </c>
      <c r="AA104" s="207">
        <f>--ISNUMBER(IFERROR(SEARCH('PLANILLA DJ'!$X$24,$A104,1),""))</f>
        <v>1</v>
      </c>
      <c r="AB104" s="207">
        <f>--ISNUMBER(IFERROR(SEARCH('PLANILLA DJ'!$X$25,$A104,1),""))</f>
        <v>1</v>
      </c>
      <c r="AC104" s="207">
        <f>--ISNUMBER(IFERROR(SEARCH('PLANILLA DJ'!$X$26,$A104,1),""))</f>
        <v>1</v>
      </c>
      <c r="AD104" s="207">
        <f>--ISNUMBER(IFERROR(SEARCH('PLANILLA DJ'!$X$27,$A104,1),""))</f>
        <v>1</v>
      </c>
      <c r="AE104" s="207">
        <f>--ISNUMBER(IFERROR(SEARCH('PLANILLA DJ'!$X$28,$A104,1),""))</f>
        <v>1</v>
      </c>
      <c r="AF104" s="207">
        <f>--ISNUMBER(IFERROR(SEARCH('PLANILLA DJ'!$X$29,$A104,1),""))</f>
        <v>1</v>
      </c>
      <c r="AG104" s="207">
        <f>--ISNUMBER(IFERROR(SEARCH('PLANILLA DJ'!$X$30,$A104,1),""))</f>
        <v>1</v>
      </c>
      <c r="AH104" s="207">
        <f>--ISNUMBER(IFERROR(SEARCH('PLANILLA DJ'!$X$31,$A104,1),""))</f>
        <v>1</v>
      </c>
      <c r="AI104" s="207">
        <f>--ISNUMBER(IFERROR(SEARCH('PLANILLA DJ'!$X$32,$A104,1),""))</f>
        <v>1</v>
      </c>
      <c r="AJ104" s="207">
        <f>--ISNUMBER(IFERROR(SEARCH('PLANILLA DJ'!$X$33,$A104,1),""))</f>
        <v>1</v>
      </c>
      <c r="AK104" s="207">
        <f>--ISNUMBER(IFERROR(SEARCH('PLANILLA DJ'!$X$34,$A104,1),""))</f>
        <v>1</v>
      </c>
      <c r="AL104" s="207">
        <f>--ISNUMBER(IFERROR(SEARCH('PLANILLA DJ'!$X$35,$A104,1),""))</f>
        <v>1</v>
      </c>
      <c r="AM104" s="207">
        <f>--ISNUMBER(IFERROR(SEARCH('PLANILLA DJ'!$X$36,$A104,1),""))</f>
        <v>1</v>
      </c>
      <c r="AN104" s="207">
        <f>--ISNUMBER(IFERROR(SEARCH('PLANILLA DJ'!$X$37,$A104,1),""))</f>
        <v>1</v>
      </c>
      <c r="AO104" s="207">
        <f>--ISNUMBER(IFERROR(SEARCH('PLANILLA DJ'!$X$38,$A104,1),""))</f>
        <v>1</v>
      </c>
      <c r="AP104" s="207">
        <f>--ISNUMBER(IFERROR(SEARCH('PLANILLA DJ'!$X$39,$A104,1),""))</f>
        <v>1</v>
      </c>
      <c r="AQ104" s="207">
        <f>--ISNUMBER(IFERROR(SEARCH('PLANILLA DJ'!$X$40,$A104,1),""))</f>
        <v>1</v>
      </c>
      <c r="AR104" s="207">
        <f>--ISNUMBER(IFERROR(SEARCH('PLANILLA DJ'!$X$41,$A104,1),""))</f>
        <v>1</v>
      </c>
      <c r="AS104" s="207">
        <f>--ISNUMBER(IFERROR(SEARCH('PLANILLA DJ'!$X$42,$A104,1),""))</f>
        <v>1</v>
      </c>
      <c r="AT104" s="207">
        <f>--ISNUMBER(IFERROR(SEARCH('PLANILLA DJ'!$X$43,$A104,1),""))</f>
        <v>1</v>
      </c>
      <c r="AU104" s="207">
        <f>--ISNUMBER(IFERROR(SEARCH('PLANILLA DJ'!$X$44,$A104,1),""))</f>
        <v>1</v>
      </c>
      <c r="AV104" s="207">
        <f>--ISNUMBER(IFERROR(SEARCH('PLANILLA DJ'!$X$45,$A104,1),""))</f>
        <v>1</v>
      </c>
      <c r="AW104" s="207">
        <f>--ISNUMBER(IFERROR(SEARCH('PLANILLA DJ'!$X$46,$A104,1),""))</f>
        <v>1</v>
      </c>
      <c r="AX104" s="207">
        <f>--ISNUMBER(IFERROR(SEARCH('PLANILLA DJ'!$X$47,$A104,1),""))</f>
        <v>1</v>
      </c>
      <c r="AY104" s="207">
        <f>--ISNUMBER(IFERROR(SEARCH('PLANILLA DJ'!$X$48,$A104,1),""))</f>
        <v>1</v>
      </c>
      <c r="AZ104" s="207">
        <f>--ISNUMBER(IFERROR(SEARCH('PLANILLA DJ'!$X$49,$A104,1),""))</f>
        <v>1</v>
      </c>
      <c r="BA104" s="207">
        <f>--ISNUMBER(IFERROR(SEARCH('PLANILLA DJ'!$X$50,$A104,1),""))</f>
        <v>1</v>
      </c>
      <c r="BB104" s="207">
        <f>--ISNUMBER(IFERROR(SEARCH('PLANILLA DJ'!$X$51,$A104,1),""))</f>
        <v>1</v>
      </c>
      <c r="BC104" s="207">
        <f>--ISNUMBER(IFERROR(SEARCH('PLANILLA DJ'!$X$52,$A104,1),""))</f>
        <v>1</v>
      </c>
      <c r="BD104" s="207">
        <f>--ISNUMBER(IFERROR(SEARCH('PLANILLA DJ'!$X$53,$A104,1),""))</f>
        <v>1</v>
      </c>
      <c r="BE104" s="207">
        <f>--ISNUMBER(IFERROR(SEARCH('PLANILLA DJ'!$X$54,$A104,1),""))</f>
        <v>1</v>
      </c>
      <c r="BF104" s="207">
        <f>--ISNUMBER(IFERROR(SEARCH('PLANILLA DJ'!$X$55,$A104,1),""))</f>
        <v>1</v>
      </c>
      <c r="BG104" s="207">
        <f>--ISNUMBER(IFERROR(SEARCH('PLANILLA DJ'!$X$56,$A104,1),""))</f>
        <v>1</v>
      </c>
      <c r="BH104" s="207">
        <f>--ISNUMBER(IFERROR(SEARCH('PLANILLA DJ'!$X$57,$A104,1),""))</f>
        <v>1</v>
      </c>
      <c r="BI104" s="207">
        <f>--ISNUMBER(IFERROR(SEARCH('PLANILLA DJ'!$X$58,$A104,1),""))</f>
        <v>1</v>
      </c>
      <c r="BJ104" s="207">
        <f>--ISNUMBER(IFERROR(SEARCH('PLANILLA DJ'!$X$59,$A104,1),""))</f>
        <v>1</v>
      </c>
      <c r="BK104" s="207">
        <f>--ISNUMBER(IFERROR(SEARCH('PLANILLA DJ'!$X$60,$A104,1),""))</f>
        <v>1</v>
      </c>
      <c r="BL104" s="207">
        <f>--ISNUMBER(IFERROR(SEARCH('PLANILLA DJ'!$X$61,$A104,1),""))</f>
        <v>1</v>
      </c>
      <c r="BM104" s="207">
        <f>--ISNUMBER(IFERROR(SEARCH('PLANILLA DJ'!$X$62,$A104,1),""))</f>
        <v>1</v>
      </c>
      <c r="BN104" s="207">
        <f>--ISNUMBER(IFERROR(SEARCH('PLANILLA DJ'!$X$63,$A104,1),""))</f>
        <v>1</v>
      </c>
      <c r="BO104" s="207">
        <f>--ISNUMBER(IFERROR(SEARCH('PLANILLA DJ'!$X$64,$A104,1),""))</f>
        <v>1</v>
      </c>
      <c r="BP104" s="207">
        <f>--ISNUMBER(IFERROR(SEARCH('PLANILLA DJ'!$X$65,$A104,1),""))</f>
        <v>1</v>
      </c>
      <c r="BQ104" s="207">
        <f>--ISNUMBER(IFERROR(SEARCH('PLANILLA DJ'!$X$66,$A104,1),""))</f>
        <v>1</v>
      </c>
      <c r="BR104" s="207">
        <f>--ISNUMBER(IFERROR(SEARCH('PLANILLA DJ'!$X$67,$A104,1),""))</f>
        <v>1</v>
      </c>
      <c r="BS104" s="207">
        <f>--ISNUMBER(IFERROR(SEARCH('PLANILLA DJ'!$X$68,$A104,1),""))</f>
        <v>1</v>
      </c>
      <c r="BT104" s="207">
        <f>--ISNUMBER(IFERROR(SEARCH('PLANILLA DJ'!$X$69,$A104,1),""))</f>
        <v>1</v>
      </c>
      <c r="BU104" s="207">
        <f>--ISNUMBER(IFERROR(SEARCH('PLANILLA DJ'!$X$70,$A104,1),""))</f>
        <v>1</v>
      </c>
      <c r="BV104" s="207">
        <f>--ISNUMBER(IFERROR(SEARCH('PLANILLA DJ'!$X$71,$A104,1),""))</f>
        <v>1</v>
      </c>
      <c r="BW104" s="207">
        <f>--ISNUMBER(IFERROR(SEARCH('PLANILLA DJ'!$X$72,$A104,1),""))</f>
        <v>1</v>
      </c>
      <c r="BX104" s="207">
        <f>--ISNUMBER(IFERROR(SEARCH('PLANILLA DJ'!$X$73,$A104,1),""))</f>
        <v>1</v>
      </c>
      <c r="BY104" s="207">
        <f>--ISNUMBER(IFERROR(SEARCH('PLANILLA DJ'!$X$74,$A104,1),""))</f>
        <v>1</v>
      </c>
      <c r="BZ104" s="207">
        <f>--ISNUMBER(IFERROR(SEARCH('PLANILLA DJ'!$X$75,$A104,1),""))</f>
        <v>1</v>
      </c>
      <c r="CA104" s="207">
        <f>--ISNUMBER(IFERROR(SEARCH('PLANILLA DJ'!$X$76,$A104,1),""))</f>
        <v>1</v>
      </c>
      <c r="CB104" s="207">
        <f>--ISNUMBER(IFERROR(SEARCH('PLANILLA DJ'!$X$77,$A104,1),""))</f>
        <v>1</v>
      </c>
      <c r="CC104" s="207">
        <f>--ISNUMBER(IFERROR(SEARCH('PLANILLA DJ'!$X$78,$A104,1),""))</f>
        <v>1</v>
      </c>
      <c r="CD104" s="207">
        <f>--ISNUMBER(IFERROR(SEARCH('PLANILLA DJ'!$X$79,$A104,1),""))</f>
        <v>1</v>
      </c>
      <c r="CE104" s="207">
        <f>--ISNUMBER(IFERROR(SEARCH('PLANILLA DJ'!$X$80,$A104,1),""))</f>
        <v>1</v>
      </c>
      <c r="CF104" s="207">
        <f>--ISNUMBER(IFERROR(SEARCH('PLANILLA DJ'!$X$81,$A104,1),""))</f>
        <v>1</v>
      </c>
      <c r="CG104" s="207">
        <f>--ISNUMBER(IFERROR(SEARCH('PLANILLA DJ'!$X$82,$A104,1),""))</f>
        <v>1</v>
      </c>
      <c r="CH104" s="207">
        <f>--ISNUMBER(IFERROR(SEARCH('PLANILLA DJ'!$X$83,$A104,1),""))</f>
        <v>1</v>
      </c>
      <c r="CI104" s="207">
        <f>--ISNUMBER(IFERROR(SEARCH('PLANILLA DJ'!$X$84,$A104,1),""))</f>
        <v>1</v>
      </c>
      <c r="CJ104" s="207">
        <f>--ISNUMBER(IFERROR(SEARCH('PLANILLA DJ'!$X$85,$A104,1),""))</f>
        <v>1</v>
      </c>
      <c r="CK104" s="207">
        <f>--ISNUMBER(IFERROR(SEARCH('PLANILLA DJ'!$X$86,$A104,1),""))</f>
        <v>1</v>
      </c>
      <c r="CL104" s="207">
        <f>--ISNUMBER(IFERROR(SEARCH('PLANILLA DJ'!$X$87,$A104,1),""))</f>
        <v>1</v>
      </c>
      <c r="CM104" s="207">
        <f>--ISNUMBER(IFERROR(SEARCH('PLANILLA DJ'!$X$88,$A104,1),""))</f>
        <v>1</v>
      </c>
      <c r="CN104" s="207">
        <f>--ISNUMBER(IFERROR(SEARCH('PLANILLA DJ'!$X$89,$A104,1),""))</f>
        <v>1</v>
      </c>
      <c r="CO104" s="207">
        <f>--ISNUMBER(IFERROR(SEARCH('PLANILLA DJ'!$X$90,$A104,1),""))</f>
        <v>1</v>
      </c>
      <c r="CP104" s="207">
        <f>--ISNUMBER(IFERROR(SEARCH('PLANILLA DJ'!$X$91,$A104,1),""))</f>
        <v>1</v>
      </c>
      <c r="CQ104" s="207">
        <f>--ISNUMBER(IFERROR(SEARCH('PLANILLA DJ'!$X$92,$A104,1),""))</f>
        <v>1</v>
      </c>
      <c r="CR104" s="207">
        <f>--ISNUMBER(IFERROR(SEARCH('PLANILLA DJ'!$X$93,$A104,1),""))</f>
        <v>1</v>
      </c>
      <c r="CS104" s="207">
        <f>--ISNUMBER(IFERROR(SEARCH('PLANILLA DJ'!$X$94,$A104,1),""))</f>
        <v>1</v>
      </c>
      <c r="CT104" s="207">
        <f>--ISNUMBER(IFERROR(SEARCH('PLANILLA DJ'!$X$95,$A104,1),""))</f>
        <v>1</v>
      </c>
      <c r="CU104" s="207">
        <f>--ISNUMBER(IFERROR(SEARCH('PLANILLA DJ'!$X$96,$A104,1),""))</f>
        <v>1</v>
      </c>
      <c r="CV104" s="207">
        <f>--ISNUMBER(IFERROR(SEARCH('PLANILLA DJ'!$X$97,$A104,1),""))</f>
        <v>1</v>
      </c>
      <c r="CW104" s="207">
        <f>--ISNUMBER(IFERROR(SEARCH('PLANILLA DJ'!$X$98,$A104,1),""))</f>
        <v>1</v>
      </c>
      <c r="CX104" s="207">
        <f>--ISNUMBER(IFERROR(SEARCH('PLANILLA DJ'!$X$99,$A104,1),""))</f>
        <v>1</v>
      </c>
      <c r="CY104" s="207">
        <f>--ISNUMBER(IFERROR(SEARCH('PLANILLA DJ'!$X$100,$A104,1),""))</f>
        <v>1</v>
      </c>
      <c r="CZ104" s="207">
        <f>--ISNUMBER(IFERROR(SEARCH('PLANILLA DJ'!$X$101,$A104,1),""))</f>
        <v>1</v>
      </c>
      <c r="DA104" s="207">
        <f>--ISNUMBER(IFERROR(SEARCH('PLANILLA DJ'!$X$102,$A104,1),""))</f>
        <v>1</v>
      </c>
      <c r="DB104" s="206">
        <f>IF(F104=1,COUNTIF($F$2:F104,1),"")</f>
        <v>103</v>
      </c>
      <c r="DC104" s="206">
        <f>IF(G104=1,COUNTIF($G$2:G104,1),"")</f>
        <v>103</v>
      </c>
      <c r="DD104" s="206">
        <f>IF(H104=1,COUNTIF($H$2:H104,1),"")</f>
        <v>103</v>
      </c>
      <c r="DE104" s="206">
        <f>IF(I104=1,COUNTIF($I$2:I104,1),"")</f>
        <v>103</v>
      </c>
      <c r="DF104" s="206">
        <f>IF(J104=1,COUNTIF($J$2:J104,1),"")</f>
        <v>103</v>
      </c>
      <c r="DG104" s="206">
        <f>IF(K104=1,COUNTIF($K$2:K104,1),"")</f>
        <v>103</v>
      </c>
      <c r="DH104" s="206">
        <f>IF(L104=1,COUNTIF($L$2:L104,1),"")</f>
        <v>103</v>
      </c>
      <c r="DI104" s="206">
        <f>IF(M104=1,COUNTIF($M$2:M104,1),"")</f>
        <v>103</v>
      </c>
      <c r="DJ104" s="206">
        <f>IF(N104=1,COUNTIF($N$2:N104,1),"")</f>
        <v>103</v>
      </c>
      <c r="DK104" s="206">
        <f>IF(O104=1,COUNTIF($O$2:O104,1),"")</f>
        <v>103</v>
      </c>
      <c r="DL104" s="206">
        <f>IF(P104=1,COUNTIF($P$2:P104,1),"")</f>
        <v>103</v>
      </c>
      <c r="DM104" s="206">
        <f>IF(Q104=1,COUNTIF($Q$2:Q104,1),"")</f>
        <v>103</v>
      </c>
      <c r="DN104" s="207">
        <f>IF(R104=1,COUNTIF($R$2:R104,1),"")</f>
        <v>103</v>
      </c>
      <c r="DO104" s="207">
        <f>IF(S104=1,COUNTIF($S$2:S104,1),"")</f>
        <v>103</v>
      </c>
      <c r="DP104" s="207">
        <f>IF(T104=1,COUNTIF($T$2:T104,1),"")</f>
        <v>103</v>
      </c>
      <c r="DQ104" s="207">
        <f>IF(U104=1,COUNTIF($U$2:U104,1),"")</f>
        <v>103</v>
      </c>
      <c r="DR104" s="207">
        <f>IF(V104=1,COUNTIF($V$2:V104,1),"")</f>
        <v>103</v>
      </c>
      <c r="DS104" s="207">
        <f>IF(W104=1,COUNTIF($W$2:W104,1),"")</f>
        <v>103</v>
      </c>
      <c r="DT104" s="207">
        <f>IF(X104=1,COUNTIF($X$2:X104,1),"")</f>
        <v>103</v>
      </c>
      <c r="DU104" s="207">
        <f>IF(Y104=1,COUNTIF($Y$2:Y104,1),"")</f>
        <v>103</v>
      </c>
      <c r="DV104" s="207">
        <f>IF(Z104=1,COUNTIF(Z$2:Z104,1),"")</f>
        <v>103</v>
      </c>
      <c r="DW104" s="207">
        <f>IF(AA104=1,COUNTIF($AA$2:AA104,1),"")</f>
        <v>103</v>
      </c>
      <c r="DX104" s="207">
        <f>IF(AB104=1,COUNTIF($AB$2:AB104,1),"")</f>
        <v>103</v>
      </c>
      <c r="DY104" s="207">
        <f>IF(AC104=1,COUNTIF($AC$2:AC104,1),"")</f>
        <v>103</v>
      </c>
      <c r="DZ104" s="207">
        <f>IF(AD104=1,COUNTIF($AD$2:AD104,1),"")</f>
        <v>103</v>
      </c>
      <c r="EA104" s="207">
        <f>IF(AE104=1,COUNTIF($AE$2:AE104,1),"")</f>
        <v>103</v>
      </c>
      <c r="EB104" s="207">
        <f>IF(AF104=1,COUNTIF($AF$2:AF104,1),"")</f>
        <v>103</v>
      </c>
      <c r="EC104" s="207">
        <f>IF(AG104=1,COUNTIF($AG$2:AG104,1),"")</f>
        <v>103</v>
      </c>
      <c r="ED104" s="207">
        <f>IF(AH104=1,COUNTIF($AH$2:AH104,1),"")</f>
        <v>103</v>
      </c>
      <c r="EE104" s="207">
        <f>IF(AI104=1,COUNTIF($AI$2:AI104,1),"")</f>
        <v>103</v>
      </c>
      <c r="EF104" s="207">
        <f>IF(AJ104=1,COUNTIF($AJ$2:AJ104,1),"")</f>
        <v>103</v>
      </c>
      <c r="EG104" s="207">
        <f>IF(AK104=1,COUNTIF($AK$2:AK104,1),"")</f>
        <v>103</v>
      </c>
      <c r="EH104" s="207">
        <f>IF(AL104=1,COUNTIF($AL$2:AL104,1),"")</f>
        <v>103</v>
      </c>
      <c r="EI104" s="207">
        <f>IF(AM104=1,COUNTIF($AM$2:AM104,1),"")</f>
        <v>103</v>
      </c>
      <c r="EJ104" s="207">
        <f>IF(AN104=1,COUNTIF($AN$2:AN104,1),"")</f>
        <v>103</v>
      </c>
      <c r="EK104" s="207">
        <f>IF(AO104=1,COUNTIF($AO$2:AO104,1),"")</f>
        <v>103</v>
      </c>
      <c r="EL104" s="207">
        <f>IF(AP104=1,COUNTIF($AP$2:AP104,1),"")</f>
        <v>103</v>
      </c>
      <c r="EM104" s="207">
        <f>IF(AQ104=1,COUNTIF($AQ$2:AQ104,1),"")</f>
        <v>103</v>
      </c>
      <c r="EN104" s="207">
        <f>IF(AR104=1,COUNTIF($AR$2:AR104,1),"")</f>
        <v>103</v>
      </c>
      <c r="EO104" s="207">
        <f>IF(AS104=1,COUNTIF($AS$2:AS104,1),"")</f>
        <v>103</v>
      </c>
      <c r="EP104" s="207">
        <f>IF(AT104=1,COUNTIF($AT$2:AT104,1),"")</f>
        <v>103</v>
      </c>
      <c r="EQ104" s="207">
        <f>IF(AU104=1,COUNTIF($AU$2:AU104,1),"")</f>
        <v>103</v>
      </c>
      <c r="ER104" s="207">
        <f>IF(AV104=1,COUNTIF($AV$2:AV104,1),"")</f>
        <v>103</v>
      </c>
      <c r="ES104" s="207">
        <f>IF(AW104=1,COUNTIF($AW$2:AW104,1),"")</f>
        <v>103</v>
      </c>
      <c r="ET104" s="207">
        <f>IF(AX104=1,COUNTIF($AX$2:AX104,1),"")</f>
        <v>103</v>
      </c>
      <c r="EU104" s="207">
        <f>IF(AY104=1,COUNTIF($AY$2:AY104,1),"")</f>
        <v>103</v>
      </c>
      <c r="EV104" s="207">
        <f>IF(AZ104=1,COUNTIF($AZ$2:AZ104,1),"")</f>
        <v>103</v>
      </c>
      <c r="EW104" s="207">
        <f>IF(BA104=1,COUNTIF($BA$2:BA104,1),"")</f>
        <v>103</v>
      </c>
      <c r="EX104" s="207">
        <f>IF(BB104=1,COUNTIF($BB$2:BB104,1),"")</f>
        <v>103</v>
      </c>
      <c r="EY104" s="207">
        <f>IF(BC104=1,COUNTIF($BC$2:BC104,1),"")</f>
        <v>103</v>
      </c>
      <c r="EZ104" s="207">
        <f>IF(BD104=1,COUNTIF($BD$2:BD104,1),"")</f>
        <v>103</v>
      </c>
      <c r="FA104" s="207">
        <f>IF(BE104=1,COUNTIF($BE$2:BE104,1),"")</f>
        <v>103</v>
      </c>
      <c r="FB104" s="207">
        <f>IF(BF104=1,COUNTIF($BF$2:BF104,1),"")</f>
        <v>103</v>
      </c>
      <c r="FC104" s="207">
        <f>IF(BG104=1,COUNTIF($BG$2:BG104,1),"")</f>
        <v>103</v>
      </c>
      <c r="FD104" s="207">
        <f>IF(BH104=1,COUNTIF($BH$2:BH104,1),"")</f>
        <v>103</v>
      </c>
      <c r="FE104" s="207">
        <f>IF(BI104=1,COUNTIF($BI$2:BI104,1),"")</f>
        <v>103</v>
      </c>
      <c r="FF104" s="207">
        <f>IF(BJ104=1,COUNTIF($BJ$2:BJ104,1),"")</f>
        <v>103</v>
      </c>
      <c r="FG104" s="207">
        <f>IF(BK104=1,COUNTIF($BK$2:BK104,1),"")</f>
        <v>103</v>
      </c>
      <c r="FH104" s="207">
        <f>IF(BL104=1,COUNTIF($BL$2:BL104,1),"")</f>
        <v>103</v>
      </c>
      <c r="FI104" s="207">
        <f>IF(BM104=1,COUNTIF($BM$2:BM104,1),"")</f>
        <v>103</v>
      </c>
      <c r="FJ104" s="207">
        <f>IF(BN104=1,COUNTIF($BN$2:BN104,1),"")</f>
        <v>103</v>
      </c>
      <c r="FK104" s="207">
        <f>IF(BO104=1,COUNTIF($BO$2:BO104,1),"")</f>
        <v>103</v>
      </c>
      <c r="FL104" s="207">
        <f>IF(BP104=1,COUNTIF($BP$2:BP104,1),"")</f>
        <v>103</v>
      </c>
      <c r="FM104" s="207">
        <f>IF(BQ104=1,COUNTIF($BQ$2:BQ104,1),"")</f>
        <v>103</v>
      </c>
      <c r="FN104" s="207">
        <f>IF(BR104=1,COUNTIF($BR$2:BR104,1),"")</f>
        <v>103</v>
      </c>
      <c r="FO104" s="207">
        <f>IF(BS104=1,COUNTIF($BS$2:BS104,1),"")</f>
        <v>103</v>
      </c>
      <c r="FP104" s="207">
        <f>IF(BT104=1,COUNTIF($BT$2:BT104,1),"")</f>
        <v>103</v>
      </c>
      <c r="FQ104" s="207">
        <f>IF(BU104=1,COUNTIF($BU$2:BU104,1),"")</f>
        <v>103</v>
      </c>
      <c r="FR104" s="207">
        <f>IF(BV104=1,COUNTIF($BV$2:BV104,1),"")</f>
        <v>103</v>
      </c>
      <c r="FS104" s="207">
        <f>IF(BW104=1,COUNTIF($BW$2:BW104,1),"")</f>
        <v>103</v>
      </c>
      <c r="FT104" s="207">
        <f>IF(BX104=1,COUNTIF($BX$2:BX104,1),"")</f>
        <v>103</v>
      </c>
      <c r="FU104" s="207">
        <f>IF(BY104=1,COUNTIF($BY$2:BY104,1),"")</f>
        <v>103</v>
      </c>
      <c r="FV104" s="207">
        <f>IF(BZ104=1,COUNTIF($BZ$2:BZ104,1),"")</f>
        <v>103</v>
      </c>
      <c r="FW104" s="207">
        <f>IF(CA104=1,COUNTIF($CA$2:CA104,1),"")</f>
        <v>103</v>
      </c>
      <c r="FX104" s="207">
        <f>IF(CB104=1,COUNTIF($CB$2:CB104,1),"")</f>
        <v>103</v>
      </c>
      <c r="FY104" s="207">
        <f>IF(CC104=1,COUNTIF($CC$2:CC104,1),"")</f>
        <v>103</v>
      </c>
      <c r="FZ104" s="207">
        <f>IF(CD104=1,COUNTIF($CD$2:CD104,1),"")</f>
        <v>103</v>
      </c>
      <c r="GA104" s="207">
        <f>IF(CE104=1,COUNTIF($CE$2:CE104,1),"")</f>
        <v>103</v>
      </c>
      <c r="GB104" s="207">
        <f>IF(CF104=1,COUNTIF($CF$2:CF104,1),"")</f>
        <v>103</v>
      </c>
      <c r="GC104" s="207">
        <f>IF(CG104=1,COUNTIF($CG$2:CG104,1),"")</f>
        <v>103</v>
      </c>
      <c r="GD104" s="207">
        <f>IF(CH104=1,COUNTIF($CH$2:CH104,1),"")</f>
        <v>103</v>
      </c>
      <c r="GE104" s="207">
        <f>IF(CI104=1,COUNTIF($CI$2:CI104,1),"")</f>
        <v>103</v>
      </c>
      <c r="GF104" s="207">
        <f>IF(CJ104=1,COUNTIF($CJ$2:CJ104,1),"")</f>
        <v>103</v>
      </c>
      <c r="GG104" s="207">
        <f>IF(CK104=1,COUNTIF($CK$2:CK104,1),"")</f>
        <v>103</v>
      </c>
      <c r="GH104" s="207">
        <f>IF(CL104=1,COUNTIF($CL$2:CL104,1),"")</f>
        <v>103</v>
      </c>
      <c r="GI104" s="207">
        <f>IF(CM104=1,COUNTIF($CM$2:CM104,1),"")</f>
        <v>103</v>
      </c>
      <c r="GJ104" s="207">
        <f>IF(CN104=1,COUNTIF($CN$2:CN104,1),"")</f>
        <v>103</v>
      </c>
      <c r="GK104" s="207">
        <f>IF(CO104=1,COUNTIF($CO$2:CO104,1),"")</f>
        <v>103</v>
      </c>
      <c r="GL104" s="207">
        <f>IF(CP104=1,COUNTIF($CP$2:CP104,1),"")</f>
        <v>103</v>
      </c>
      <c r="GM104" s="207">
        <f>IF(CQ104=1,COUNTIF($CQ$2:CQ104,1),"")</f>
        <v>103</v>
      </c>
      <c r="GN104" s="207">
        <f>IF(CR104=1,COUNTIF($CR$2:CR104,1),"")</f>
        <v>103</v>
      </c>
      <c r="GO104" s="207">
        <f>IF(CS104=1,COUNTIF($CS$2:CS104,1),"")</f>
        <v>103</v>
      </c>
      <c r="GP104" s="207">
        <f>IF(CT104=1,COUNTIF($CT$2:CT104,1),"")</f>
        <v>103</v>
      </c>
      <c r="GQ104" s="207">
        <f>IF(CU104=1,COUNTIF($CU$2:CU104,1),"")</f>
        <v>103</v>
      </c>
      <c r="GR104" s="207">
        <f>IF(CV104=1,COUNTIF($CV$2:CV104,1),"")</f>
        <v>103</v>
      </c>
      <c r="GS104" s="207">
        <f>IF(CW104=1,COUNTIF($CW$2:CW104,1),"")</f>
        <v>103</v>
      </c>
      <c r="GT104" s="207">
        <f>IF(CX104=1,COUNTIF($CX$2:CX104,1),"")</f>
        <v>103</v>
      </c>
      <c r="GU104" s="207">
        <f>IF(CY104=1,COUNTIF($CY$2:CY104,1),"")</f>
        <v>103</v>
      </c>
      <c r="GV104" s="207">
        <f>IF(CZ104=1,COUNTIF($CZ$2:CZ104,1),"")</f>
        <v>103</v>
      </c>
      <c r="GW104" s="207">
        <f>IF(DA104=1,COUNTIF($DA$2:DA104,1),"")</f>
        <v>103</v>
      </c>
      <c r="GX104" s="206" t="str">
        <f>IFERROR(INDEX($A$2:$A$113,MATCH(ROWS($DB$2:DB104),$DB$2:$DB$113,0)),"")</f>
        <v>DELITOS MIGRATORIOS</v>
      </c>
      <c r="GY104" s="206" t="str">
        <f>IFERROR(INDEX($A$2:$A$113,MATCH(ROWS($DC$2:DC104),$DC$2:$DC$113,0)),"")</f>
        <v>DELITOS MIGRATORIOS</v>
      </c>
      <c r="GZ104" s="206" t="str">
        <f>IFERROR(INDEX($A$2:$A$113,MATCH(ROWS($DD$2:DD104),$DD$2:$DD$113,0)),"")</f>
        <v>DELITOS MIGRATORIOS</v>
      </c>
      <c r="HA104" s="206" t="str">
        <f>IFERROR(INDEX($A$2:$A$113,MATCH(ROWS($DE$2:DE104),$DE$2:$DE$113,0)),"")</f>
        <v>DELITOS MIGRATORIOS</v>
      </c>
      <c r="HB104" s="206" t="str">
        <f>IFERROR(INDEX($A$2:$A$113,MATCH(ROWS($DF$2:DF104),$DF$2:$DF$113,0)),"")</f>
        <v>DELITOS MIGRATORIOS</v>
      </c>
      <c r="HC104" s="206" t="str">
        <f>IFERROR(INDEX($A$2:$A$113,MATCH(ROWS($DG$2:DG104),$DG$2:$DG$113,0)),"")</f>
        <v>DELITOS MIGRATORIOS</v>
      </c>
      <c r="HD104" s="206" t="str">
        <f>IFERROR(INDEX($A$2:$A$113,MATCH(ROWS($DH$2:DH104),$DH$2:$DH$113,0)),"")</f>
        <v>DELITOS MIGRATORIOS</v>
      </c>
      <c r="HE104" s="206" t="str">
        <f>IFERROR(INDEX($A$2:$A$113,MATCH(ROWS($DI$2:DI104),$DI$2:$DI$113,0)),"")</f>
        <v>DELITOS MIGRATORIOS</v>
      </c>
      <c r="HF104" s="206" t="str">
        <f>IFERROR(INDEX($A$2:$A$113,MATCH(ROWS($DJ$2:DJ104),$DJ$2:$DJ$113,0)),"")</f>
        <v>DELITOS MIGRATORIOS</v>
      </c>
      <c r="HG104" s="206" t="str">
        <f>IFERROR(INDEX($A$2:$A$113,MATCH(ROWS($DK$2:DK104),$DK$2:$DK$113,0)),"")</f>
        <v>DELITOS MIGRATORIOS</v>
      </c>
      <c r="HH104" s="206" t="str">
        <f>IFERROR(INDEX($A$2:$A$113,MATCH(ROWS($DL$2:DL104),$DL$2:$DL$113,0)),"")</f>
        <v>DELITOS MIGRATORIOS</v>
      </c>
      <c r="HI104" s="206" t="str">
        <f>IFERROR(INDEX($A$2:$A$113,MATCH(ROWS($DM$2:DM104),$DM$2:$DM$113,0)),"")</f>
        <v>DELITOS MIGRATORIOS</v>
      </c>
      <c r="HJ104" s="206" t="str">
        <f>IFERROR(INDEX($A$2:$A$113,MATCH(ROWS($DN$2:DN104),$DN$2:$DN$113,0)),"")</f>
        <v>DELITOS MIGRATORIOS</v>
      </c>
      <c r="HK104" s="206" t="str">
        <f>IFERROR(INDEX($A$2:$A$113,MATCH(ROWS($DO$2:DO104),$DO$2:$DO$113,0)),"")</f>
        <v>DELITOS MIGRATORIOS</v>
      </c>
      <c r="HL104" s="206" t="str">
        <f>IFERROR(INDEX($A$2:$A$113,MATCH(ROWS($DP$2:DP104),$DP$2:$DP$113,0)),"")</f>
        <v>DELITOS MIGRATORIOS</v>
      </c>
      <c r="HM104" s="206" t="str">
        <f>IFERROR(INDEX($A$2:$A$113,MATCH(ROWS($DQ$2:DQ104),$DQ$2:$DQ$113,0)),"")</f>
        <v>DELITOS MIGRATORIOS</v>
      </c>
      <c r="HN104" s="206" t="str">
        <f>IFERROR(INDEX($A$2:$A$113,MATCH(ROWS($DR$2:DR104),$DR$2:$DR$113,0)),"")</f>
        <v>DELITOS MIGRATORIOS</v>
      </c>
      <c r="HO104" s="206" t="str">
        <f>IFERROR(INDEX($A$2:$A$113,MATCH(ROWS($DS$2:DS104),$DS$2:$DS$113,0)),"")</f>
        <v>DELITOS MIGRATORIOS</v>
      </c>
      <c r="HP104" s="206" t="str">
        <f>IFERROR(INDEX($A$2:$A$113,MATCH(ROWS($DT$2:DT104),$DT$2:$DT$113,0)),"")</f>
        <v>DELITOS MIGRATORIOS</v>
      </c>
      <c r="HQ104" s="206" t="str">
        <f>IFERROR(INDEX($A$2:$A$113,MATCH(ROWS($DU$2:DU104),$DU$2:$DU$113,0)),"")</f>
        <v>DELITOS MIGRATORIOS</v>
      </c>
      <c r="HR104" s="206" t="str">
        <f>IFERROR(INDEX($A$2:$A$113,MATCH(ROWS($DV$2:DV104),$DV$2:$DV$113,0)),"")</f>
        <v>DELITOS MIGRATORIOS</v>
      </c>
      <c r="HS104" s="206" t="str">
        <f>IFERROR(INDEX($A$2:$A$113,MATCH(ROWS($DW$2:DW104),$DW$2:$DW$113,0)),"")</f>
        <v>DELITOS MIGRATORIOS</v>
      </c>
      <c r="HT104" s="206" t="str">
        <f>IFERROR(INDEX($A$2:$A$113,MATCH(ROWS($DX$2:DX104),$DX$2:$DX$113,0)),"")</f>
        <v>DELITOS MIGRATORIOS</v>
      </c>
      <c r="HU104" s="206" t="str">
        <f>IFERROR(INDEX($A$2:$A$113,MATCH(ROWS($DY$2:DY104),$DY$2:$DY$113,0)),"")</f>
        <v>DELITOS MIGRATORIOS</v>
      </c>
      <c r="HV104" s="206" t="str">
        <f>IFERROR(INDEX($A$2:$A$113,MATCH(ROWS($DZ$2:DZ104),$DZ$2:$DZ$113,0)),"")</f>
        <v>DELITOS MIGRATORIOS</v>
      </c>
      <c r="HW104" s="206" t="str">
        <f>IFERROR(INDEX($A$2:$A$113,MATCH(ROWS($EA$2:EA104),$EA$2:$EA$113,0)),"")</f>
        <v>DELITOS MIGRATORIOS</v>
      </c>
      <c r="HX104" s="206" t="str">
        <f>IFERROR(INDEX($A$2:$A$113,MATCH(ROWS($EB$2:EB104),$EB$2:$EB$113,0)),"")</f>
        <v>DELITOS MIGRATORIOS</v>
      </c>
      <c r="HY104" s="206" t="str">
        <f>IFERROR(INDEX($A$2:$A$113,MATCH(ROWS($EC$2:EC104),$EC$2:$EC$113,0)),"")</f>
        <v>DELITOS MIGRATORIOS</v>
      </c>
      <c r="HZ104" s="206" t="str">
        <f>IFERROR(INDEX($A$2:$A$113,MATCH(ROWS($ED$2:ED104),$ED$2:$ED$113,0)),"")</f>
        <v>DELITOS MIGRATORIOS</v>
      </c>
      <c r="IA104" s="206" t="str">
        <f>IFERROR(INDEX($A$2:$A$113,MATCH(ROWS($EE$2:EE104),$EE$2:$EE$113,0)),"")</f>
        <v>DELITOS MIGRATORIOS</v>
      </c>
      <c r="IB104" s="206" t="str">
        <f>IFERROR(INDEX($A$2:$A$113,MATCH(ROWS($EF$2:EF104),$EF$2:$EF$113,0)),"")</f>
        <v>DELITOS MIGRATORIOS</v>
      </c>
      <c r="IC104" s="206" t="str">
        <f>IFERROR(INDEX($A$2:$A$113,MATCH(ROWS($EG$2:EG104),$EG$2:$EG$113,0)),"")</f>
        <v>DELITOS MIGRATORIOS</v>
      </c>
      <c r="ID104" s="206" t="str">
        <f>IFERROR(INDEX($A$2:$A$113,MATCH(ROWS($EH$2:EH104),$EH$2:$EH$113,0)),"")</f>
        <v>DELITOS MIGRATORIOS</v>
      </c>
      <c r="IE104" s="206" t="str">
        <f>IFERROR(INDEX($A$2:$A$113,MATCH(ROWS($EI$2:EI104),$EI$2:$EI$113,0)),"")</f>
        <v>DELITOS MIGRATORIOS</v>
      </c>
      <c r="IF104" s="206" t="str">
        <f>IFERROR(INDEX($A$2:$A$113,MATCH(ROWS($EJ$2:EJ104),$EJ$2:$EJ$113,0)),"")</f>
        <v>DELITOS MIGRATORIOS</v>
      </c>
      <c r="IG104" s="206" t="str">
        <f>IFERROR(INDEX($A$2:$A$113,MATCH(ROWS($EK$2:EK104),$EK$2:$EK$113,0)),"")</f>
        <v>DELITOS MIGRATORIOS</v>
      </c>
      <c r="IH104" s="206" t="str">
        <f>IFERROR(INDEX($A$2:$A$113,MATCH(ROWS($EL$2:EL104),$EL$2:$EL$113,0)),"")</f>
        <v>DELITOS MIGRATORIOS</v>
      </c>
      <c r="II104" s="206" t="str">
        <f>IFERROR(INDEX($A$2:$A$113,MATCH(ROWS($EM$2:EM104),$EM$2:$EM$113,0)),"")</f>
        <v>DELITOS MIGRATORIOS</v>
      </c>
      <c r="IJ104" s="206" t="str">
        <f>IFERROR(INDEX($A$2:$A$113,MATCH(ROWS($EN$2:EN104),$EN$2:$EN$113,0)),"")</f>
        <v>DELITOS MIGRATORIOS</v>
      </c>
      <c r="IK104" s="207" t="str">
        <f>IFERROR(INDEX($A$2:$A$113,MATCH(ROWS($EO$2:EO104),$EO$2:$EO$113,0)),"")</f>
        <v>DELITOS MIGRATORIOS</v>
      </c>
      <c r="IL104" s="207" t="str">
        <f>IFERROR(INDEX($A$2:$A$113,MATCH(ROWS($EP$2:EP104),$EP$2:$EP$113,0)),"")</f>
        <v>DELITOS MIGRATORIOS</v>
      </c>
      <c r="IM104" s="207" t="str">
        <f>IFERROR(INDEX($A$2:$A$113,MATCH(ROWS($EQ$2:EQ104),$EQ$2:$EQ$113,0)),"")</f>
        <v>DELITOS MIGRATORIOS</v>
      </c>
      <c r="IN104" s="207" t="str">
        <f>IFERROR(INDEX($A$2:$A$113,MATCH(ROWS($ER$2:ER104),$ER$2:$ER$113,0)),"")</f>
        <v>DELITOS MIGRATORIOS</v>
      </c>
      <c r="IO104" s="207" t="str">
        <f>IFERROR(INDEX($A$2:$A$113,MATCH(ROWS($ES$2:ES104),$ES$2:$ES$113,0)),"")</f>
        <v>DELITOS MIGRATORIOS</v>
      </c>
      <c r="IP104" s="207" t="str">
        <f>IFERROR(INDEX($A$2:$A$113,MATCH(ROWS($ET$2:ET104),$ET$2:$ET$113,0)),"")</f>
        <v>DELITOS MIGRATORIOS</v>
      </c>
      <c r="IQ104" s="207" t="str">
        <f>IFERROR(INDEX($A$2:$A$113,MATCH(ROWS($EU$2:EU104),$EU$2:$EU$113,0)),"")</f>
        <v>DELITOS MIGRATORIOS</v>
      </c>
      <c r="IR104" s="207" t="str">
        <f>IFERROR(INDEX($A$2:$A$113,MATCH(ROWS($EV$2:EV104),$EV$2:$EV$113,0)),"")</f>
        <v>DELITOS MIGRATORIOS</v>
      </c>
      <c r="IS104" s="207" t="str">
        <f>IFERROR(INDEX($A$2:$A$113,MATCH(ROWS($EW$2:EW104),$EW$2:$EW$113,0)),"")</f>
        <v>DELITOS MIGRATORIOS</v>
      </c>
      <c r="IT104" s="207" t="str">
        <f>IFERROR(INDEX($A$2:$A$113,MATCH(ROWS($EX$2:EX104),$EX$2:$EX$113,0)),"")</f>
        <v>DELITOS MIGRATORIOS</v>
      </c>
      <c r="IU104" s="207" t="str">
        <f>IFERROR(INDEX($A$2:$A$113,MATCH(ROWS($EY$2:EY104),$EY$2:$EY$113,0)),"")</f>
        <v>DELITOS MIGRATORIOS</v>
      </c>
      <c r="IV104" s="207" t="str">
        <f>IFERROR(INDEX($A$2:$A$113,MATCH(ROWS($EZ$2:EZ104),$EZ$2:$EZ$113,0)),"")</f>
        <v>DELITOS MIGRATORIOS</v>
      </c>
      <c r="IW104" s="207" t="str">
        <f>IFERROR(INDEX($A$2:$A$113,MATCH(ROWS($FA$2:FA104),$FA$2:$FA$113,0)),"")</f>
        <v>DELITOS MIGRATORIOS</v>
      </c>
      <c r="IX104" s="207" t="str">
        <f>IFERROR(INDEX($A$2:$A$113,MATCH(ROWS($FB$2:FB104),$FB$2:$FB$113,0)),"")</f>
        <v>DELITOS MIGRATORIOS</v>
      </c>
      <c r="IY104" s="207" t="str">
        <f>IFERROR(INDEX($A$2:$A$113,MATCH(ROWS($FC$2:FC104),$FC$2:$FC$113,0)),"")</f>
        <v>DELITOS MIGRATORIOS</v>
      </c>
      <c r="IZ104" s="207" t="str">
        <f>IFERROR(INDEX($A$2:$A$113,MATCH(ROWS($FD$2:FD104),$FD$2:$FD$113,0)),"")</f>
        <v>DELITOS MIGRATORIOS</v>
      </c>
      <c r="JA104" s="207" t="str">
        <f>IFERROR(INDEX($A$2:$A$113,MATCH(ROWS($FE$2:FE104),$FE$2:$FE$113,0)),"")</f>
        <v>DELITOS MIGRATORIOS</v>
      </c>
      <c r="JB104" s="207" t="str">
        <f>IFERROR(INDEX($A$2:$A$113,MATCH(ROWS($FF$2:FF104),$FF$2:$FF$113,0)),"")</f>
        <v>DELITOS MIGRATORIOS</v>
      </c>
      <c r="JC104" s="207" t="str">
        <f>IFERROR(INDEX($A$2:$A$113,MATCH(ROWS($FG$2:FG104),$FG$2:$FG$113,0)),"")</f>
        <v>DELITOS MIGRATORIOS</v>
      </c>
      <c r="JD104" s="207" t="str">
        <f>IFERROR(INDEX($A$2:$A$113,MATCH(ROWS($FH$2:FH104),$FH$2:$FH$113,0)),"")</f>
        <v>DELITOS MIGRATORIOS</v>
      </c>
      <c r="JE104" s="207" t="str">
        <f>IFERROR(INDEX($A$2:$A$113,MATCH(ROWS($FI$2:FI104),$FI$2:$FI$113,0)),"")</f>
        <v>DELITOS MIGRATORIOS</v>
      </c>
      <c r="JF104" s="207" t="str">
        <f>IFERROR(INDEX($A$2:$A$113,MATCH(ROWS($FJ$2:FJ104),$FJ$2:$FJ$113,0)),"")</f>
        <v>DELITOS MIGRATORIOS</v>
      </c>
      <c r="JG104" s="207" t="str">
        <f>IFERROR(INDEX($A$2:$A$113,MATCH(ROWS($FK$2:FK104),$FK$2:$FK$113,0)),"")</f>
        <v>DELITOS MIGRATORIOS</v>
      </c>
      <c r="JH104" s="207" t="str">
        <f>IFERROR(INDEX($A$2:$A$113,MATCH(ROWS($FL$2:FL104),$FL$2:$FL$113,0)),"")</f>
        <v>DELITOS MIGRATORIOS</v>
      </c>
      <c r="JI104" s="207" t="str">
        <f>IFERROR(INDEX($A$2:$A$113,MATCH(ROWS($FM$2:FM104),$FM$2:$FM$113,0)),"")</f>
        <v>DELITOS MIGRATORIOS</v>
      </c>
      <c r="JJ104" s="207" t="str">
        <f>IFERROR(INDEX($A$2:$A$113,MATCH(ROWS($FN$2:FN104),$FN$2:$FN$113,0)),"")</f>
        <v>DELITOS MIGRATORIOS</v>
      </c>
      <c r="JK104" s="207" t="str">
        <f>IFERROR(INDEX($A$2:$A$113,MATCH(ROWS($FO$2:FO104),$FO$2:$FO$113,0)),"")</f>
        <v>DELITOS MIGRATORIOS</v>
      </c>
      <c r="JL104" s="207" t="str">
        <f>IFERROR(INDEX($A$2:$A$113,MATCH(ROWS($FP$2:FP104),$FP$2:$FP$113,0)),"")</f>
        <v>DELITOS MIGRATORIOS</v>
      </c>
      <c r="JM104" s="207" t="str">
        <f>IFERROR(INDEX($A$2:$A$113,MATCH(ROWS($FQ$2:FQ104),$FQ$2:$FQ$113,0)),"")</f>
        <v>DELITOS MIGRATORIOS</v>
      </c>
      <c r="JN104" s="207" t="str">
        <f>IFERROR(INDEX($A$2:$A$113,MATCH(ROWS($FR$2:FR104),$FR$2:$FR$113,0)),"")</f>
        <v>DELITOS MIGRATORIOS</v>
      </c>
      <c r="JO104" s="207" t="str">
        <f>IFERROR(INDEX($A$2:$A$113,MATCH(ROWS($FS$2:FS104),$FS$2:$FS$113,0)),"")</f>
        <v>DELITOS MIGRATORIOS</v>
      </c>
      <c r="JP104" s="207" t="str">
        <f>IFERROR(INDEX($A$2:$A$113,MATCH(ROWS($FT$2:FT104),$FT$2:$FT$113,0)),"")</f>
        <v>DELITOS MIGRATORIOS</v>
      </c>
      <c r="JQ104" s="207" t="str">
        <f>IFERROR(INDEX($A$2:$A$113,MATCH(ROWS($FU$2:FU104),$FU$2:$FU$113,0)),"")</f>
        <v>DELITOS MIGRATORIOS</v>
      </c>
      <c r="JR104" s="207" t="str">
        <f>IFERROR(INDEX($A$2:$A$113,MATCH(ROWS($FV$2:FV104),$FV$2:$FV$113,0)),"")</f>
        <v>DELITOS MIGRATORIOS</v>
      </c>
      <c r="JS104" s="207" t="str">
        <f>IFERROR(INDEX($A$2:$A$113,MATCH(ROWS($FW$2:FW104),$FW$2:$FW$113,0)),"")</f>
        <v>DELITOS MIGRATORIOS</v>
      </c>
      <c r="JT104" s="207" t="str">
        <f>IFERROR(INDEX($A$2:$A$113,MATCH(ROWS($FX$2:FX104),$FX$2:$FX$113,0)),"")</f>
        <v>DELITOS MIGRATORIOS</v>
      </c>
      <c r="JU104" s="207" t="str">
        <f>IFERROR(INDEX($A$2:$A$113,MATCH(ROWS($FY$2:FY104),$FY$2:$FY$113,0)),"")</f>
        <v>DELITOS MIGRATORIOS</v>
      </c>
      <c r="JV104" s="207" t="str">
        <f>IFERROR(INDEX($A$2:$A$113,MATCH(ROWS($FZ$2:FZ104),$FZ$2:$FZ$113,0)),"")</f>
        <v>DELITOS MIGRATORIOS</v>
      </c>
      <c r="JW104" s="207" t="str">
        <f>IFERROR(INDEX($A$2:$A$113,MATCH(ROWS($GA$2:GA104),$GA$2:$GA$113,0)),"")</f>
        <v>DELITOS MIGRATORIOS</v>
      </c>
      <c r="JX104" s="207" t="str">
        <f>IFERROR(INDEX($A$2:$A$113,MATCH(ROWS($GB$2:GB104),$GB$2:$GB$113,0)),"")</f>
        <v>DELITOS MIGRATORIOS</v>
      </c>
      <c r="JY104" s="207" t="str">
        <f>IFERROR(INDEX($A$2:$A$113,MATCH(ROWS($GC$2:GC104),$GC$2:$GC$113,0)),"")</f>
        <v>DELITOS MIGRATORIOS</v>
      </c>
      <c r="JZ104" s="207" t="str">
        <f>IFERROR(INDEX($A$2:$A$113,MATCH(ROWS($GD$2:GD104),$GD$2:$GD$113,0)),"")</f>
        <v>DELITOS MIGRATORIOS</v>
      </c>
      <c r="KA104" s="207" t="str">
        <f>IFERROR(INDEX($A$2:$A$113,MATCH(ROWS($GE$2:GE104),$GE$2:$GE$113,0)),"")</f>
        <v>DELITOS MIGRATORIOS</v>
      </c>
      <c r="KB104" s="207" t="str">
        <f>IFERROR(INDEX($A$2:$A$113,MATCH(ROWS($GF$2:GF104),$GF$2:$GF$113,0)),"")</f>
        <v>DELITOS MIGRATORIOS</v>
      </c>
      <c r="KC104" s="207" t="str">
        <f>IFERROR(INDEX($A$2:$A$113,MATCH(ROWS($GG$2:GG104),$GG$2:$GG$113,0)),"")</f>
        <v>DELITOS MIGRATORIOS</v>
      </c>
      <c r="KD104" s="207" t="str">
        <f>IFERROR(INDEX($A$2:$A$113,MATCH(ROWS($GH$2:GH104),$GH$2:$GH$113,0)),"")</f>
        <v>DELITOS MIGRATORIOS</v>
      </c>
      <c r="KE104" s="207" t="str">
        <f>IFERROR(INDEX($A$2:$A$113,MATCH(ROWS($GI$2:GI104),$GI$2:$GI$113,0)),"")</f>
        <v>DELITOS MIGRATORIOS</v>
      </c>
      <c r="KF104" s="207" t="str">
        <f>IFERROR(INDEX($A$2:$A$113,MATCH(ROWS($GJ$2:GJ104),$GJ$2:$GJ$113,0)),"")</f>
        <v>DELITOS MIGRATORIOS</v>
      </c>
      <c r="KG104" s="207" t="str">
        <f>IFERROR(INDEX($A$2:$A$113,MATCH(ROWS($GK$2:GK104),$GK$2:$GK$113,0)),"")</f>
        <v>DELITOS MIGRATORIOS</v>
      </c>
      <c r="KH104" s="207" t="str">
        <f>IFERROR(INDEX($A$2:$A$113,MATCH(ROWS($GL$2:GL104),$GL$2:$GL$113,0)),"")</f>
        <v>DELITOS MIGRATORIOS</v>
      </c>
      <c r="KI104" s="207" t="str">
        <f>IFERROR(INDEX($A$2:$A$113,MATCH(ROWS($GM$2:GM104),$GM$2:$GM$113,0)),"")</f>
        <v>DELITOS MIGRATORIOS</v>
      </c>
      <c r="KJ104" s="207" t="str">
        <f>IFERROR(INDEX($A$2:$A$113,MATCH(ROWS($GN$2:GN104),$GN$2:$GN$113,0)),"")</f>
        <v>DELITOS MIGRATORIOS</v>
      </c>
      <c r="KK104" s="207" t="str">
        <f>IFERROR(INDEX($A$2:$A$113,MATCH(ROWS($GO$2:GO104),$GO$2:$GO$113,0)),"")</f>
        <v>DELITOS MIGRATORIOS</v>
      </c>
      <c r="KL104" s="207" t="str">
        <f>IFERROR(INDEX($A$2:$A$113,MATCH(ROWS($GP$2:GP104),$GP$2:$GP$113,0)),"")</f>
        <v>DELITOS MIGRATORIOS</v>
      </c>
      <c r="KM104" s="207" t="str">
        <f>IFERROR(INDEX($A$2:$A$113,MATCH(ROWS($GQ$2:GQ104),$GQ$2:$GQ$113,0)),"")</f>
        <v>DELITOS MIGRATORIOS</v>
      </c>
      <c r="KN104" s="207" t="str">
        <f>IFERROR(INDEX($A$2:$A$113,MATCH(ROWS($GR$2:GR104),$GR$2:$GR$113,0)),"")</f>
        <v>DELITOS MIGRATORIOS</v>
      </c>
      <c r="KO104" s="207" t="str">
        <f>IFERROR(INDEX($A$2:$A$113,MATCH(ROWS($GS$2:GS104),$GS$2:$GS$113,0)),"")</f>
        <v>DELITOS MIGRATORIOS</v>
      </c>
      <c r="KP104" s="207" t="str">
        <f>IFERROR(INDEX($A$2:$A$113,MATCH(ROWS($GT$2:GT104),$GT$2:$GT$113,0)),"")</f>
        <v>DELITOS MIGRATORIOS</v>
      </c>
      <c r="KQ104" s="207" t="str">
        <f>IFERROR(INDEX($A$2:$A$113,MATCH(ROWS($GU$2:GU104),$GU$2:$GU$113,0)),"")</f>
        <v>DELITOS MIGRATORIOS</v>
      </c>
      <c r="KR104" s="207" t="str">
        <f>IFERROR(INDEX($A$2:$A$113,MATCH(ROWS($GV$2:GV104),$GV$2:$GV$113,0)),"")</f>
        <v>DELITOS MIGRATORIOS</v>
      </c>
      <c r="KS104" s="207" t="str">
        <f>IFERROR(INDEX($A$2:$A$113,MATCH(ROWS($GW$2:GW104),$GW$2:$GW$113,0)),"")</f>
        <v>DELITOS MIGRATORIOS</v>
      </c>
    </row>
    <row r="105" spans="1:305" x14ac:dyDescent="0.25">
      <c r="A105" s="206" t="s">
        <v>916</v>
      </c>
      <c r="B105" s="206" t="s">
        <v>133</v>
      </c>
      <c r="D105" s="206" t="s">
        <v>41</v>
      </c>
      <c r="E105" s="206" t="s">
        <v>129</v>
      </c>
      <c r="F105" s="207">
        <f>--ISNUMBER(IFERROR(SEARCH('PLANILLA DJ'!$X$3,$A105,1),""))</f>
        <v>1</v>
      </c>
      <c r="G105" s="207">
        <f>--ISNUMBER(IFERROR(SEARCH('PLANILLA DJ'!$X$4,$A105,1),""))</f>
        <v>1</v>
      </c>
      <c r="H105" s="207">
        <f>--ISNUMBER(IFERROR(SEARCH('PLANILLA DJ'!$X$5,$A105,1),""))</f>
        <v>1</v>
      </c>
      <c r="I105" s="207">
        <f>--ISNUMBER(IFERROR(SEARCH('PLANILLA DJ'!$X$6,$A105,1),""))</f>
        <v>1</v>
      </c>
      <c r="J105" s="207">
        <f>--ISNUMBER(IFERROR(SEARCH('PLANILLA DJ'!$X$7,$A105,1),""))</f>
        <v>1</v>
      </c>
      <c r="K105" s="207">
        <f>--ISNUMBER(IFERROR(SEARCH('PLANILLA DJ'!$X$8,$A105,1),""))</f>
        <v>1</v>
      </c>
      <c r="L105" s="207">
        <f>--ISNUMBER(IFERROR(SEARCH('PLANILLA DJ'!$X$9,$A105,1),""))</f>
        <v>1</v>
      </c>
      <c r="M105" s="207">
        <f>--ISNUMBER(IFERROR(SEARCH('PLANILLA DJ'!$X$10,$A105,1),""))</f>
        <v>1</v>
      </c>
      <c r="N105" s="207">
        <f>--ISNUMBER(IFERROR(SEARCH('PLANILLA DJ'!$X$11,$A105,1),""))</f>
        <v>1</v>
      </c>
      <c r="O105" s="207">
        <f>--ISNUMBER(IFERROR(SEARCH('PLANILLA DJ'!$X$12,$A105,1),""))</f>
        <v>1</v>
      </c>
      <c r="P105" s="207">
        <f>--ISNUMBER(IFERROR(SEARCH('PLANILLA DJ'!$X$13,$A105,1),""))</f>
        <v>1</v>
      </c>
      <c r="Q105" s="207">
        <f>--ISNUMBER(IFERROR(SEARCH('PLANILLA DJ'!$X$14,$A105,1),""))</f>
        <v>1</v>
      </c>
      <c r="R105" s="207">
        <f>--ISNUMBER(IFERROR(SEARCH('PLANILLA DJ'!$X$15,$A105,1),""))</f>
        <v>1</v>
      </c>
      <c r="S105" s="207">
        <f>--ISNUMBER(IFERROR(SEARCH('PLANILLA DJ'!$X$16,$A105,1),""))</f>
        <v>1</v>
      </c>
      <c r="T105" s="207">
        <f>--ISNUMBER(IFERROR(SEARCH('PLANILLA DJ'!$X$17,$A105,1),""))</f>
        <v>1</v>
      </c>
      <c r="U105" s="207">
        <f>--ISNUMBER(IFERROR(SEARCH('PLANILLA DJ'!$X$18,$A105,1),""))</f>
        <v>1</v>
      </c>
      <c r="V105" s="207">
        <f>--ISNUMBER(IFERROR(SEARCH('PLANILLA DJ'!$X$19,$A105,1),""))</f>
        <v>1</v>
      </c>
      <c r="W105" s="207">
        <f>--ISNUMBER(IFERROR(SEARCH('PLANILLA DJ'!$X$20,$A105,1),""))</f>
        <v>1</v>
      </c>
      <c r="X105" s="207">
        <f>--ISNUMBER(IFERROR(SEARCH('PLANILLA DJ'!$X$21,$A105,1),""))</f>
        <v>1</v>
      </c>
      <c r="Y105" s="207">
        <f>--ISNUMBER(IFERROR(SEARCH('PLANILLA DJ'!$X$22,$A105,1),""))</f>
        <v>1</v>
      </c>
      <c r="Z105" s="207">
        <f>--ISNUMBER(IFERROR(SEARCH('PLANILLA DJ'!$X$23,$A105,1),""))</f>
        <v>1</v>
      </c>
      <c r="AA105" s="207">
        <f>--ISNUMBER(IFERROR(SEARCH('PLANILLA DJ'!$X$24,$A105,1),""))</f>
        <v>1</v>
      </c>
      <c r="AB105" s="207">
        <f>--ISNUMBER(IFERROR(SEARCH('PLANILLA DJ'!$X$25,$A105,1),""))</f>
        <v>1</v>
      </c>
      <c r="AC105" s="207">
        <f>--ISNUMBER(IFERROR(SEARCH('PLANILLA DJ'!$X$26,$A105,1),""))</f>
        <v>1</v>
      </c>
      <c r="AD105" s="207">
        <f>--ISNUMBER(IFERROR(SEARCH('PLANILLA DJ'!$X$27,$A105,1),""))</f>
        <v>1</v>
      </c>
      <c r="AE105" s="207">
        <f>--ISNUMBER(IFERROR(SEARCH('PLANILLA DJ'!$X$28,$A105,1),""))</f>
        <v>1</v>
      </c>
      <c r="AF105" s="207">
        <f>--ISNUMBER(IFERROR(SEARCH('PLANILLA DJ'!$X$29,$A105,1),""))</f>
        <v>1</v>
      </c>
      <c r="AG105" s="207">
        <f>--ISNUMBER(IFERROR(SEARCH('PLANILLA DJ'!$X$30,$A105,1),""))</f>
        <v>1</v>
      </c>
      <c r="AH105" s="207">
        <f>--ISNUMBER(IFERROR(SEARCH('PLANILLA DJ'!$X$31,$A105,1),""))</f>
        <v>1</v>
      </c>
      <c r="AI105" s="207">
        <f>--ISNUMBER(IFERROR(SEARCH('PLANILLA DJ'!$X$32,$A105,1),""))</f>
        <v>1</v>
      </c>
      <c r="AJ105" s="207">
        <f>--ISNUMBER(IFERROR(SEARCH('PLANILLA DJ'!$X$33,$A105,1),""))</f>
        <v>1</v>
      </c>
      <c r="AK105" s="207">
        <f>--ISNUMBER(IFERROR(SEARCH('PLANILLA DJ'!$X$34,$A105,1),""))</f>
        <v>1</v>
      </c>
      <c r="AL105" s="207">
        <f>--ISNUMBER(IFERROR(SEARCH('PLANILLA DJ'!$X$35,$A105,1),""))</f>
        <v>1</v>
      </c>
      <c r="AM105" s="207">
        <f>--ISNUMBER(IFERROR(SEARCH('PLANILLA DJ'!$X$36,$A105,1),""))</f>
        <v>1</v>
      </c>
      <c r="AN105" s="207">
        <f>--ISNUMBER(IFERROR(SEARCH('PLANILLA DJ'!$X$37,$A105,1),""))</f>
        <v>1</v>
      </c>
      <c r="AO105" s="207">
        <f>--ISNUMBER(IFERROR(SEARCH('PLANILLA DJ'!$X$38,$A105,1),""))</f>
        <v>1</v>
      </c>
      <c r="AP105" s="207">
        <f>--ISNUMBER(IFERROR(SEARCH('PLANILLA DJ'!$X$39,$A105,1),""))</f>
        <v>1</v>
      </c>
      <c r="AQ105" s="207">
        <f>--ISNUMBER(IFERROR(SEARCH('PLANILLA DJ'!$X$40,$A105,1),""))</f>
        <v>1</v>
      </c>
      <c r="AR105" s="207">
        <f>--ISNUMBER(IFERROR(SEARCH('PLANILLA DJ'!$X$41,$A105,1),""))</f>
        <v>1</v>
      </c>
      <c r="AS105" s="207">
        <f>--ISNUMBER(IFERROR(SEARCH('PLANILLA DJ'!$X$42,$A105,1),""))</f>
        <v>1</v>
      </c>
      <c r="AT105" s="207">
        <f>--ISNUMBER(IFERROR(SEARCH('PLANILLA DJ'!$X$43,$A105,1),""))</f>
        <v>1</v>
      </c>
      <c r="AU105" s="207">
        <f>--ISNUMBER(IFERROR(SEARCH('PLANILLA DJ'!$X$44,$A105,1),""))</f>
        <v>1</v>
      </c>
      <c r="AV105" s="207">
        <f>--ISNUMBER(IFERROR(SEARCH('PLANILLA DJ'!$X$45,$A105,1),""))</f>
        <v>1</v>
      </c>
      <c r="AW105" s="207">
        <f>--ISNUMBER(IFERROR(SEARCH('PLANILLA DJ'!$X$46,$A105,1),""))</f>
        <v>1</v>
      </c>
      <c r="AX105" s="207">
        <f>--ISNUMBER(IFERROR(SEARCH('PLANILLA DJ'!$X$47,$A105,1),""))</f>
        <v>1</v>
      </c>
      <c r="AY105" s="207">
        <f>--ISNUMBER(IFERROR(SEARCH('PLANILLA DJ'!$X$48,$A105,1),""))</f>
        <v>1</v>
      </c>
      <c r="AZ105" s="207">
        <f>--ISNUMBER(IFERROR(SEARCH('PLANILLA DJ'!$X$49,$A105,1),""))</f>
        <v>1</v>
      </c>
      <c r="BA105" s="207">
        <f>--ISNUMBER(IFERROR(SEARCH('PLANILLA DJ'!$X$50,$A105,1),""))</f>
        <v>1</v>
      </c>
      <c r="BB105" s="207">
        <f>--ISNUMBER(IFERROR(SEARCH('PLANILLA DJ'!$X$51,$A105,1),""))</f>
        <v>1</v>
      </c>
      <c r="BC105" s="207">
        <f>--ISNUMBER(IFERROR(SEARCH('PLANILLA DJ'!$X$52,$A105,1),""))</f>
        <v>1</v>
      </c>
      <c r="BD105" s="207">
        <f>--ISNUMBER(IFERROR(SEARCH('PLANILLA DJ'!$X$53,$A105,1),""))</f>
        <v>1</v>
      </c>
      <c r="BE105" s="207">
        <f>--ISNUMBER(IFERROR(SEARCH('PLANILLA DJ'!$X$54,$A105,1),""))</f>
        <v>1</v>
      </c>
      <c r="BF105" s="207">
        <f>--ISNUMBER(IFERROR(SEARCH('PLANILLA DJ'!$X$55,$A105,1),""))</f>
        <v>1</v>
      </c>
      <c r="BG105" s="207">
        <f>--ISNUMBER(IFERROR(SEARCH('PLANILLA DJ'!$X$56,$A105,1),""))</f>
        <v>1</v>
      </c>
      <c r="BH105" s="207">
        <f>--ISNUMBER(IFERROR(SEARCH('PLANILLA DJ'!$X$57,$A105,1),""))</f>
        <v>1</v>
      </c>
      <c r="BI105" s="207">
        <f>--ISNUMBER(IFERROR(SEARCH('PLANILLA DJ'!$X$58,$A105,1),""))</f>
        <v>1</v>
      </c>
      <c r="BJ105" s="207">
        <f>--ISNUMBER(IFERROR(SEARCH('PLANILLA DJ'!$X$59,$A105,1),""))</f>
        <v>1</v>
      </c>
      <c r="BK105" s="207">
        <f>--ISNUMBER(IFERROR(SEARCH('PLANILLA DJ'!$X$60,$A105,1),""))</f>
        <v>1</v>
      </c>
      <c r="BL105" s="207">
        <f>--ISNUMBER(IFERROR(SEARCH('PLANILLA DJ'!$X$61,$A105,1),""))</f>
        <v>1</v>
      </c>
      <c r="BM105" s="207">
        <f>--ISNUMBER(IFERROR(SEARCH('PLANILLA DJ'!$X$62,$A105,1),""))</f>
        <v>1</v>
      </c>
      <c r="BN105" s="207">
        <f>--ISNUMBER(IFERROR(SEARCH('PLANILLA DJ'!$X$63,$A105,1),""))</f>
        <v>1</v>
      </c>
      <c r="BO105" s="207">
        <f>--ISNUMBER(IFERROR(SEARCH('PLANILLA DJ'!$X$64,$A105,1),""))</f>
        <v>1</v>
      </c>
      <c r="BP105" s="207">
        <f>--ISNUMBER(IFERROR(SEARCH('PLANILLA DJ'!$X$65,$A105,1),""))</f>
        <v>1</v>
      </c>
      <c r="BQ105" s="207">
        <f>--ISNUMBER(IFERROR(SEARCH('PLANILLA DJ'!$X$66,$A105,1),""))</f>
        <v>1</v>
      </c>
      <c r="BR105" s="207">
        <f>--ISNUMBER(IFERROR(SEARCH('PLANILLA DJ'!$X$67,$A105,1),""))</f>
        <v>1</v>
      </c>
      <c r="BS105" s="207">
        <f>--ISNUMBER(IFERROR(SEARCH('PLANILLA DJ'!$X$68,$A105,1),""))</f>
        <v>1</v>
      </c>
      <c r="BT105" s="207">
        <f>--ISNUMBER(IFERROR(SEARCH('PLANILLA DJ'!$X$69,$A105,1),""))</f>
        <v>1</v>
      </c>
      <c r="BU105" s="207">
        <f>--ISNUMBER(IFERROR(SEARCH('PLANILLA DJ'!$X$70,$A105,1),""))</f>
        <v>1</v>
      </c>
      <c r="BV105" s="207">
        <f>--ISNUMBER(IFERROR(SEARCH('PLANILLA DJ'!$X$71,$A105,1),""))</f>
        <v>1</v>
      </c>
      <c r="BW105" s="207">
        <f>--ISNUMBER(IFERROR(SEARCH('PLANILLA DJ'!$X$72,$A105,1),""))</f>
        <v>1</v>
      </c>
      <c r="BX105" s="207">
        <f>--ISNUMBER(IFERROR(SEARCH('PLANILLA DJ'!$X$73,$A105,1),""))</f>
        <v>1</v>
      </c>
      <c r="BY105" s="207">
        <f>--ISNUMBER(IFERROR(SEARCH('PLANILLA DJ'!$X$74,$A105,1),""))</f>
        <v>1</v>
      </c>
      <c r="BZ105" s="207">
        <f>--ISNUMBER(IFERROR(SEARCH('PLANILLA DJ'!$X$75,$A105,1),""))</f>
        <v>1</v>
      </c>
      <c r="CA105" s="207">
        <f>--ISNUMBER(IFERROR(SEARCH('PLANILLA DJ'!$X$76,$A105,1),""))</f>
        <v>1</v>
      </c>
      <c r="CB105" s="207">
        <f>--ISNUMBER(IFERROR(SEARCH('PLANILLA DJ'!$X$77,$A105,1),""))</f>
        <v>1</v>
      </c>
      <c r="CC105" s="207">
        <f>--ISNUMBER(IFERROR(SEARCH('PLANILLA DJ'!$X$78,$A105,1),""))</f>
        <v>1</v>
      </c>
      <c r="CD105" s="207">
        <f>--ISNUMBER(IFERROR(SEARCH('PLANILLA DJ'!$X$79,$A105,1),""))</f>
        <v>1</v>
      </c>
      <c r="CE105" s="207">
        <f>--ISNUMBER(IFERROR(SEARCH('PLANILLA DJ'!$X$80,$A105,1),""))</f>
        <v>1</v>
      </c>
      <c r="CF105" s="207">
        <f>--ISNUMBER(IFERROR(SEARCH('PLANILLA DJ'!$X$81,$A105,1),""))</f>
        <v>1</v>
      </c>
      <c r="CG105" s="207">
        <f>--ISNUMBER(IFERROR(SEARCH('PLANILLA DJ'!$X$82,$A105,1),""))</f>
        <v>1</v>
      </c>
      <c r="CH105" s="207">
        <f>--ISNUMBER(IFERROR(SEARCH('PLANILLA DJ'!$X$83,$A105,1),""))</f>
        <v>1</v>
      </c>
      <c r="CI105" s="207">
        <f>--ISNUMBER(IFERROR(SEARCH('PLANILLA DJ'!$X$84,$A105,1),""))</f>
        <v>1</v>
      </c>
      <c r="CJ105" s="207">
        <f>--ISNUMBER(IFERROR(SEARCH('PLANILLA DJ'!$X$85,$A105,1),""))</f>
        <v>1</v>
      </c>
      <c r="CK105" s="207">
        <f>--ISNUMBER(IFERROR(SEARCH('PLANILLA DJ'!$X$86,$A105,1),""))</f>
        <v>1</v>
      </c>
      <c r="CL105" s="207">
        <f>--ISNUMBER(IFERROR(SEARCH('PLANILLA DJ'!$X$87,$A105,1),""))</f>
        <v>1</v>
      </c>
      <c r="CM105" s="207">
        <f>--ISNUMBER(IFERROR(SEARCH('PLANILLA DJ'!$X$88,$A105,1),""))</f>
        <v>1</v>
      </c>
      <c r="CN105" s="207">
        <f>--ISNUMBER(IFERROR(SEARCH('PLANILLA DJ'!$X$89,$A105,1),""))</f>
        <v>1</v>
      </c>
      <c r="CO105" s="207">
        <f>--ISNUMBER(IFERROR(SEARCH('PLANILLA DJ'!$X$90,$A105,1),""))</f>
        <v>1</v>
      </c>
      <c r="CP105" s="207">
        <f>--ISNUMBER(IFERROR(SEARCH('PLANILLA DJ'!$X$91,$A105,1),""))</f>
        <v>1</v>
      </c>
      <c r="CQ105" s="207">
        <f>--ISNUMBER(IFERROR(SEARCH('PLANILLA DJ'!$X$92,$A105,1),""))</f>
        <v>1</v>
      </c>
      <c r="CR105" s="207">
        <f>--ISNUMBER(IFERROR(SEARCH('PLANILLA DJ'!$X$93,$A105,1),""))</f>
        <v>1</v>
      </c>
      <c r="CS105" s="207">
        <f>--ISNUMBER(IFERROR(SEARCH('PLANILLA DJ'!$X$94,$A105,1),""))</f>
        <v>1</v>
      </c>
      <c r="CT105" s="207">
        <f>--ISNUMBER(IFERROR(SEARCH('PLANILLA DJ'!$X$95,$A105,1),""))</f>
        <v>1</v>
      </c>
      <c r="CU105" s="207">
        <f>--ISNUMBER(IFERROR(SEARCH('PLANILLA DJ'!$X$96,$A105,1),""))</f>
        <v>1</v>
      </c>
      <c r="CV105" s="207">
        <f>--ISNUMBER(IFERROR(SEARCH('PLANILLA DJ'!$X$97,$A105,1),""))</f>
        <v>1</v>
      </c>
      <c r="CW105" s="207">
        <f>--ISNUMBER(IFERROR(SEARCH('PLANILLA DJ'!$X$98,$A105,1),""))</f>
        <v>1</v>
      </c>
      <c r="CX105" s="207">
        <f>--ISNUMBER(IFERROR(SEARCH('PLANILLA DJ'!$X$99,$A105,1),""))</f>
        <v>1</v>
      </c>
      <c r="CY105" s="207">
        <f>--ISNUMBER(IFERROR(SEARCH('PLANILLA DJ'!$X$100,$A105,1),""))</f>
        <v>1</v>
      </c>
      <c r="CZ105" s="207">
        <f>--ISNUMBER(IFERROR(SEARCH('PLANILLA DJ'!$X$101,$A105,1),""))</f>
        <v>1</v>
      </c>
      <c r="DA105" s="207">
        <f>--ISNUMBER(IFERROR(SEARCH('PLANILLA DJ'!$X$102,$A105,1),""))</f>
        <v>1</v>
      </c>
      <c r="DB105" s="206">
        <f>IF(F105=1,COUNTIF($F$2:F105,1),"")</f>
        <v>104</v>
      </c>
      <c r="DC105" s="206">
        <f>IF(G105=1,COUNTIF($G$2:G105,1),"")</f>
        <v>104</v>
      </c>
      <c r="DD105" s="206">
        <f>IF(H105=1,COUNTIF($H$2:H105,1),"")</f>
        <v>104</v>
      </c>
      <c r="DE105" s="206">
        <f>IF(I105=1,COUNTIF($I$2:I105,1),"")</f>
        <v>104</v>
      </c>
      <c r="DF105" s="206">
        <f>IF(J105=1,COUNTIF($J$2:J105,1),"")</f>
        <v>104</v>
      </c>
      <c r="DG105" s="206">
        <f>IF(K105=1,COUNTIF($K$2:K105,1),"")</f>
        <v>104</v>
      </c>
      <c r="DH105" s="206">
        <f>IF(L105=1,COUNTIF($L$2:L105,1),"")</f>
        <v>104</v>
      </c>
      <c r="DI105" s="206">
        <f>IF(M105=1,COUNTIF($M$2:M105,1),"")</f>
        <v>104</v>
      </c>
      <c r="DJ105" s="206">
        <f>IF(N105=1,COUNTIF($N$2:N105,1),"")</f>
        <v>104</v>
      </c>
      <c r="DK105" s="206">
        <f>IF(O105=1,COUNTIF($O$2:O105,1),"")</f>
        <v>104</v>
      </c>
      <c r="DL105" s="206">
        <f>IF(P105=1,COUNTIF($P$2:P105,1),"")</f>
        <v>104</v>
      </c>
      <c r="DM105" s="206">
        <f>IF(Q105=1,COUNTIF($Q$2:Q105,1),"")</f>
        <v>104</v>
      </c>
      <c r="DN105" s="207">
        <f>IF(R105=1,COUNTIF($R$2:R105,1),"")</f>
        <v>104</v>
      </c>
      <c r="DO105" s="207">
        <f>IF(S105=1,COUNTIF($S$2:S105,1),"")</f>
        <v>104</v>
      </c>
      <c r="DP105" s="207">
        <f>IF(T105=1,COUNTIF($T$2:T105,1),"")</f>
        <v>104</v>
      </c>
      <c r="DQ105" s="207">
        <f>IF(U105=1,COUNTIF($U$2:U105,1),"")</f>
        <v>104</v>
      </c>
      <c r="DR105" s="207">
        <f>IF(V105=1,COUNTIF($V$2:V105,1),"")</f>
        <v>104</v>
      </c>
      <c r="DS105" s="207">
        <f>IF(W105=1,COUNTIF($W$2:W105,1),"")</f>
        <v>104</v>
      </c>
      <c r="DT105" s="207">
        <f>IF(X105=1,COUNTIF($X$2:X105,1),"")</f>
        <v>104</v>
      </c>
      <c r="DU105" s="207">
        <f>IF(Y105=1,COUNTIF($Y$2:Y105,1),"")</f>
        <v>104</v>
      </c>
      <c r="DV105" s="207">
        <f>IF(Z105=1,COUNTIF(Z$2:Z105,1),"")</f>
        <v>104</v>
      </c>
      <c r="DW105" s="207">
        <f>IF(AA105=1,COUNTIF($AA$2:AA105,1),"")</f>
        <v>104</v>
      </c>
      <c r="DX105" s="207">
        <f>IF(AB105=1,COUNTIF($AB$2:AB105,1),"")</f>
        <v>104</v>
      </c>
      <c r="DY105" s="207">
        <f>IF(AC105=1,COUNTIF($AC$2:AC105,1),"")</f>
        <v>104</v>
      </c>
      <c r="DZ105" s="207">
        <f>IF(AD105=1,COUNTIF($AD$2:AD105,1),"")</f>
        <v>104</v>
      </c>
      <c r="EA105" s="207">
        <f>IF(AE105=1,COUNTIF($AE$2:AE105,1),"")</f>
        <v>104</v>
      </c>
      <c r="EB105" s="207">
        <f>IF(AF105=1,COUNTIF($AF$2:AF105,1),"")</f>
        <v>104</v>
      </c>
      <c r="EC105" s="207">
        <f>IF(AG105=1,COUNTIF($AG$2:AG105,1),"")</f>
        <v>104</v>
      </c>
      <c r="ED105" s="207">
        <f>IF(AH105=1,COUNTIF($AH$2:AH105,1),"")</f>
        <v>104</v>
      </c>
      <c r="EE105" s="207">
        <f>IF(AI105=1,COUNTIF($AI$2:AI105,1),"")</f>
        <v>104</v>
      </c>
      <c r="EF105" s="207">
        <f>IF(AJ105=1,COUNTIF($AJ$2:AJ105,1),"")</f>
        <v>104</v>
      </c>
      <c r="EG105" s="207">
        <f>IF(AK105=1,COUNTIF($AK$2:AK105,1),"")</f>
        <v>104</v>
      </c>
      <c r="EH105" s="207">
        <f>IF(AL105=1,COUNTIF($AL$2:AL105,1),"")</f>
        <v>104</v>
      </c>
      <c r="EI105" s="207">
        <f>IF(AM105=1,COUNTIF($AM$2:AM105,1),"")</f>
        <v>104</v>
      </c>
      <c r="EJ105" s="207">
        <f>IF(AN105=1,COUNTIF($AN$2:AN105,1),"")</f>
        <v>104</v>
      </c>
      <c r="EK105" s="207">
        <f>IF(AO105=1,COUNTIF($AO$2:AO105,1),"")</f>
        <v>104</v>
      </c>
      <c r="EL105" s="207">
        <f>IF(AP105=1,COUNTIF($AP$2:AP105,1),"")</f>
        <v>104</v>
      </c>
      <c r="EM105" s="207">
        <f>IF(AQ105=1,COUNTIF($AQ$2:AQ105,1),"")</f>
        <v>104</v>
      </c>
      <c r="EN105" s="207">
        <f>IF(AR105=1,COUNTIF($AR$2:AR105,1),"")</f>
        <v>104</v>
      </c>
      <c r="EO105" s="207">
        <f>IF(AS105=1,COUNTIF($AS$2:AS105,1),"")</f>
        <v>104</v>
      </c>
      <c r="EP105" s="207">
        <f>IF(AT105=1,COUNTIF($AT$2:AT105,1),"")</f>
        <v>104</v>
      </c>
      <c r="EQ105" s="207">
        <f>IF(AU105=1,COUNTIF($AU$2:AU105,1),"")</f>
        <v>104</v>
      </c>
      <c r="ER105" s="207">
        <f>IF(AV105=1,COUNTIF($AV$2:AV105,1),"")</f>
        <v>104</v>
      </c>
      <c r="ES105" s="207">
        <f>IF(AW105=1,COUNTIF($AW$2:AW105,1),"")</f>
        <v>104</v>
      </c>
      <c r="ET105" s="207">
        <f>IF(AX105=1,COUNTIF($AX$2:AX105,1),"")</f>
        <v>104</v>
      </c>
      <c r="EU105" s="207">
        <f>IF(AY105=1,COUNTIF($AY$2:AY105,1),"")</f>
        <v>104</v>
      </c>
      <c r="EV105" s="207">
        <f>IF(AZ105=1,COUNTIF($AZ$2:AZ105,1),"")</f>
        <v>104</v>
      </c>
      <c r="EW105" s="207">
        <f>IF(BA105=1,COUNTIF($BA$2:BA105,1),"")</f>
        <v>104</v>
      </c>
      <c r="EX105" s="207">
        <f>IF(BB105=1,COUNTIF($BB$2:BB105,1),"")</f>
        <v>104</v>
      </c>
      <c r="EY105" s="207">
        <f>IF(BC105=1,COUNTIF($BC$2:BC105,1),"")</f>
        <v>104</v>
      </c>
      <c r="EZ105" s="207">
        <f>IF(BD105=1,COUNTIF($BD$2:BD105,1),"")</f>
        <v>104</v>
      </c>
      <c r="FA105" s="207">
        <f>IF(BE105=1,COUNTIF($BE$2:BE105,1),"")</f>
        <v>104</v>
      </c>
      <c r="FB105" s="207">
        <f>IF(BF105=1,COUNTIF($BF$2:BF105,1),"")</f>
        <v>104</v>
      </c>
      <c r="FC105" s="207">
        <f>IF(BG105=1,COUNTIF($BG$2:BG105,1),"")</f>
        <v>104</v>
      </c>
      <c r="FD105" s="207">
        <f>IF(BH105=1,COUNTIF($BH$2:BH105,1),"")</f>
        <v>104</v>
      </c>
      <c r="FE105" s="207">
        <f>IF(BI105=1,COUNTIF($BI$2:BI105,1),"")</f>
        <v>104</v>
      </c>
      <c r="FF105" s="207">
        <f>IF(BJ105=1,COUNTIF($BJ$2:BJ105,1),"")</f>
        <v>104</v>
      </c>
      <c r="FG105" s="207">
        <f>IF(BK105=1,COUNTIF($BK$2:BK105,1),"")</f>
        <v>104</v>
      </c>
      <c r="FH105" s="207">
        <f>IF(BL105=1,COUNTIF($BL$2:BL105,1),"")</f>
        <v>104</v>
      </c>
      <c r="FI105" s="207">
        <f>IF(BM105=1,COUNTIF($BM$2:BM105,1),"")</f>
        <v>104</v>
      </c>
      <c r="FJ105" s="207">
        <f>IF(BN105=1,COUNTIF($BN$2:BN105,1),"")</f>
        <v>104</v>
      </c>
      <c r="FK105" s="207">
        <f>IF(BO105=1,COUNTIF($BO$2:BO105,1),"")</f>
        <v>104</v>
      </c>
      <c r="FL105" s="207">
        <f>IF(BP105=1,COUNTIF($BP$2:BP105,1),"")</f>
        <v>104</v>
      </c>
      <c r="FM105" s="207">
        <f>IF(BQ105=1,COUNTIF($BQ$2:BQ105,1),"")</f>
        <v>104</v>
      </c>
      <c r="FN105" s="207">
        <f>IF(BR105=1,COUNTIF($BR$2:BR105,1),"")</f>
        <v>104</v>
      </c>
      <c r="FO105" s="207">
        <f>IF(BS105=1,COUNTIF($BS$2:BS105,1),"")</f>
        <v>104</v>
      </c>
      <c r="FP105" s="207">
        <f>IF(BT105=1,COUNTIF($BT$2:BT105,1),"")</f>
        <v>104</v>
      </c>
      <c r="FQ105" s="207">
        <f>IF(BU105=1,COUNTIF($BU$2:BU105,1),"")</f>
        <v>104</v>
      </c>
      <c r="FR105" s="207">
        <f>IF(BV105=1,COUNTIF($BV$2:BV105,1),"")</f>
        <v>104</v>
      </c>
      <c r="FS105" s="207">
        <f>IF(BW105=1,COUNTIF($BW$2:BW105,1),"")</f>
        <v>104</v>
      </c>
      <c r="FT105" s="207">
        <f>IF(BX105=1,COUNTIF($BX$2:BX105,1),"")</f>
        <v>104</v>
      </c>
      <c r="FU105" s="207">
        <f>IF(BY105=1,COUNTIF($BY$2:BY105,1),"")</f>
        <v>104</v>
      </c>
      <c r="FV105" s="207">
        <f>IF(BZ105=1,COUNTIF($BZ$2:BZ105,1),"")</f>
        <v>104</v>
      </c>
      <c r="FW105" s="207">
        <f>IF(CA105=1,COUNTIF($CA$2:CA105,1),"")</f>
        <v>104</v>
      </c>
      <c r="FX105" s="207">
        <f>IF(CB105=1,COUNTIF($CB$2:CB105,1),"")</f>
        <v>104</v>
      </c>
      <c r="FY105" s="207">
        <f>IF(CC105=1,COUNTIF($CC$2:CC105,1),"")</f>
        <v>104</v>
      </c>
      <c r="FZ105" s="207">
        <f>IF(CD105=1,COUNTIF($CD$2:CD105,1),"")</f>
        <v>104</v>
      </c>
      <c r="GA105" s="207">
        <f>IF(CE105=1,COUNTIF($CE$2:CE105,1),"")</f>
        <v>104</v>
      </c>
      <c r="GB105" s="207">
        <f>IF(CF105=1,COUNTIF($CF$2:CF105,1),"")</f>
        <v>104</v>
      </c>
      <c r="GC105" s="207">
        <f>IF(CG105=1,COUNTIF($CG$2:CG105,1),"")</f>
        <v>104</v>
      </c>
      <c r="GD105" s="207">
        <f>IF(CH105=1,COUNTIF($CH$2:CH105,1),"")</f>
        <v>104</v>
      </c>
      <c r="GE105" s="207">
        <f>IF(CI105=1,COUNTIF($CI$2:CI105,1),"")</f>
        <v>104</v>
      </c>
      <c r="GF105" s="207">
        <f>IF(CJ105=1,COUNTIF($CJ$2:CJ105,1),"")</f>
        <v>104</v>
      </c>
      <c r="GG105" s="207">
        <f>IF(CK105=1,COUNTIF($CK$2:CK105,1),"")</f>
        <v>104</v>
      </c>
      <c r="GH105" s="207">
        <f>IF(CL105=1,COUNTIF($CL$2:CL105,1),"")</f>
        <v>104</v>
      </c>
      <c r="GI105" s="207">
        <f>IF(CM105=1,COUNTIF($CM$2:CM105,1),"")</f>
        <v>104</v>
      </c>
      <c r="GJ105" s="207">
        <f>IF(CN105=1,COUNTIF($CN$2:CN105,1),"")</f>
        <v>104</v>
      </c>
      <c r="GK105" s="207">
        <f>IF(CO105=1,COUNTIF($CO$2:CO105,1),"")</f>
        <v>104</v>
      </c>
      <c r="GL105" s="207">
        <f>IF(CP105=1,COUNTIF($CP$2:CP105,1),"")</f>
        <v>104</v>
      </c>
      <c r="GM105" s="207">
        <f>IF(CQ105=1,COUNTIF($CQ$2:CQ105,1),"")</f>
        <v>104</v>
      </c>
      <c r="GN105" s="207">
        <f>IF(CR105=1,COUNTIF($CR$2:CR105,1),"")</f>
        <v>104</v>
      </c>
      <c r="GO105" s="207">
        <f>IF(CS105=1,COUNTIF($CS$2:CS105,1),"")</f>
        <v>104</v>
      </c>
      <c r="GP105" s="207">
        <f>IF(CT105=1,COUNTIF($CT$2:CT105,1),"")</f>
        <v>104</v>
      </c>
      <c r="GQ105" s="207">
        <f>IF(CU105=1,COUNTIF($CU$2:CU105,1),"")</f>
        <v>104</v>
      </c>
      <c r="GR105" s="207">
        <f>IF(CV105=1,COUNTIF($CV$2:CV105,1),"")</f>
        <v>104</v>
      </c>
      <c r="GS105" s="207">
        <f>IF(CW105=1,COUNTIF($CW$2:CW105,1),"")</f>
        <v>104</v>
      </c>
      <c r="GT105" s="207">
        <f>IF(CX105=1,COUNTIF($CX$2:CX105,1),"")</f>
        <v>104</v>
      </c>
      <c r="GU105" s="207">
        <f>IF(CY105=1,COUNTIF($CY$2:CY105,1),"")</f>
        <v>104</v>
      </c>
      <c r="GV105" s="207">
        <f>IF(CZ105=1,COUNTIF($CZ$2:CZ105,1),"")</f>
        <v>104</v>
      </c>
      <c r="GW105" s="207">
        <f>IF(DA105=1,COUNTIF($DA$2:DA105,1),"")</f>
        <v>104</v>
      </c>
      <c r="GX105" s="206" t="str">
        <f>IFERROR(INDEX($A$2:$A$113,MATCH(ROWS($DB$2:DB105),$DB$2:$DB$113,0)),"")</f>
        <v>OBSTRUCCION DEL CODIGO ADUANERO</v>
      </c>
      <c r="GY105" s="206" t="str">
        <f>IFERROR(INDEX($A$2:$A$113,MATCH(ROWS($DC$2:DC105),$DC$2:$DC$113,0)),"")</f>
        <v>OBSTRUCCION DEL CODIGO ADUANERO</v>
      </c>
      <c r="GZ105" s="206" t="str">
        <f>IFERROR(INDEX($A$2:$A$113,MATCH(ROWS($DD$2:DD105),$DD$2:$DD$113,0)),"")</f>
        <v>OBSTRUCCION DEL CODIGO ADUANERO</v>
      </c>
      <c r="HA105" s="206" t="str">
        <f>IFERROR(INDEX($A$2:$A$113,MATCH(ROWS($DE$2:DE105),$DE$2:$DE$113,0)),"")</f>
        <v>OBSTRUCCION DEL CODIGO ADUANERO</v>
      </c>
      <c r="HB105" s="206" t="str">
        <f>IFERROR(INDEX($A$2:$A$113,MATCH(ROWS($DF$2:DF105),$DF$2:$DF$113,0)),"")</f>
        <v>OBSTRUCCION DEL CODIGO ADUANERO</v>
      </c>
      <c r="HC105" s="206" t="str">
        <f>IFERROR(INDEX($A$2:$A$113,MATCH(ROWS($DG$2:DG105),$DG$2:$DG$113,0)),"")</f>
        <v>OBSTRUCCION DEL CODIGO ADUANERO</v>
      </c>
      <c r="HD105" s="206" t="str">
        <f>IFERROR(INDEX($A$2:$A$113,MATCH(ROWS($DH$2:DH105),$DH$2:$DH$113,0)),"")</f>
        <v>OBSTRUCCION DEL CODIGO ADUANERO</v>
      </c>
      <c r="HE105" s="206" t="str">
        <f>IFERROR(INDEX($A$2:$A$113,MATCH(ROWS($DI$2:DI105),$DI$2:$DI$113,0)),"")</f>
        <v>OBSTRUCCION DEL CODIGO ADUANERO</v>
      </c>
      <c r="HF105" s="206" t="str">
        <f>IFERROR(INDEX($A$2:$A$113,MATCH(ROWS($DJ$2:DJ105),$DJ$2:$DJ$113,0)),"")</f>
        <v>OBSTRUCCION DEL CODIGO ADUANERO</v>
      </c>
      <c r="HG105" s="206" t="str">
        <f>IFERROR(INDEX($A$2:$A$113,MATCH(ROWS($DK$2:DK105),$DK$2:$DK$113,0)),"")</f>
        <v>OBSTRUCCION DEL CODIGO ADUANERO</v>
      </c>
      <c r="HH105" s="206" t="str">
        <f>IFERROR(INDEX($A$2:$A$113,MATCH(ROWS($DL$2:DL105),$DL$2:$DL$113,0)),"")</f>
        <v>OBSTRUCCION DEL CODIGO ADUANERO</v>
      </c>
      <c r="HI105" s="206" t="str">
        <f>IFERROR(INDEX($A$2:$A$113,MATCH(ROWS($DM$2:DM105),$DM$2:$DM$113,0)),"")</f>
        <v>OBSTRUCCION DEL CODIGO ADUANERO</v>
      </c>
      <c r="HJ105" s="206" t="str">
        <f>IFERROR(INDEX($A$2:$A$113,MATCH(ROWS($DN$2:DN105),$DN$2:$DN$113,0)),"")</f>
        <v>OBSTRUCCION DEL CODIGO ADUANERO</v>
      </c>
      <c r="HK105" s="206" t="str">
        <f>IFERROR(INDEX($A$2:$A$113,MATCH(ROWS($DO$2:DO105),$DO$2:$DO$113,0)),"")</f>
        <v>OBSTRUCCION DEL CODIGO ADUANERO</v>
      </c>
      <c r="HL105" s="206" t="str">
        <f>IFERROR(INDEX($A$2:$A$113,MATCH(ROWS($DP$2:DP105),$DP$2:$DP$113,0)),"")</f>
        <v>OBSTRUCCION DEL CODIGO ADUANERO</v>
      </c>
      <c r="HM105" s="206" t="str">
        <f>IFERROR(INDEX($A$2:$A$113,MATCH(ROWS($DQ$2:DQ105),$DQ$2:$DQ$113,0)),"")</f>
        <v>OBSTRUCCION DEL CODIGO ADUANERO</v>
      </c>
      <c r="HN105" s="206" t="str">
        <f>IFERROR(INDEX($A$2:$A$113,MATCH(ROWS($DR$2:DR105),$DR$2:$DR$113,0)),"")</f>
        <v>OBSTRUCCION DEL CODIGO ADUANERO</v>
      </c>
      <c r="HO105" s="206" t="str">
        <f>IFERROR(INDEX($A$2:$A$113,MATCH(ROWS($DS$2:DS105),$DS$2:$DS$113,0)),"")</f>
        <v>OBSTRUCCION DEL CODIGO ADUANERO</v>
      </c>
      <c r="HP105" s="206" t="str">
        <f>IFERROR(INDEX($A$2:$A$113,MATCH(ROWS($DT$2:DT105),$DT$2:$DT$113,0)),"")</f>
        <v>OBSTRUCCION DEL CODIGO ADUANERO</v>
      </c>
      <c r="HQ105" s="206" t="str">
        <f>IFERROR(INDEX($A$2:$A$113,MATCH(ROWS($DU$2:DU105),$DU$2:$DU$113,0)),"")</f>
        <v>OBSTRUCCION DEL CODIGO ADUANERO</v>
      </c>
      <c r="HR105" s="206" t="str">
        <f>IFERROR(INDEX($A$2:$A$113,MATCH(ROWS($DV$2:DV105),$DV$2:$DV$113,0)),"")</f>
        <v>OBSTRUCCION DEL CODIGO ADUANERO</v>
      </c>
      <c r="HS105" s="206" t="str">
        <f>IFERROR(INDEX($A$2:$A$113,MATCH(ROWS($DW$2:DW105),$DW$2:$DW$113,0)),"")</f>
        <v>OBSTRUCCION DEL CODIGO ADUANERO</v>
      </c>
      <c r="HT105" s="206" t="str">
        <f>IFERROR(INDEX($A$2:$A$113,MATCH(ROWS($DX$2:DX105),$DX$2:$DX$113,0)),"")</f>
        <v>OBSTRUCCION DEL CODIGO ADUANERO</v>
      </c>
      <c r="HU105" s="206" t="str">
        <f>IFERROR(INDEX($A$2:$A$113,MATCH(ROWS($DY$2:DY105),$DY$2:$DY$113,0)),"")</f>
        <v>OBSTRUCCION DEL CODIGO ADUANERO</v>
      </c>
      <c r="HV105" s="206" t="str">
        <f>IFERROR(INDEX($A$2:$A$113,MATCH(ROWS($DZ$2:DZ105),$DZ$2:$DZ$113,0)),"")</f>
        <v>OBSTRUCCION DEL CODIGO ADUANERO</v>
      </c>
      <c r="HW105" s="206" t="str">
        <f>IFERROR(INDEX($A$2:$A$113,MATCH(ROWS($EA$2:EA105),$EA$2:$EA$113,0)),"")</f>
        <v>OBSTRUCCION DEL CODIGO ADUANERO</v>
      </c>
      <c r="HX105" s="206" t="str">
        <f>IFERROR(INDEX($A$2:$A$113,MATCH(ROWS($EB$2:EB105),$EB$2:$EB$113,0)),"")</f>
        <v>OBSTRUCCION DEL CODIGO ADUANERO</v>
      </c>
      <c r="HY105" s="206" t="str">
        <f>IFERROR(INDEX($A$2:$A$113,MATCH(ROWS($EC$2:EC105),$EC$2:$EC$113,0)),"")</f>
        <v>OBSTRUCCION DEL CODIGO ADUANERO</v>
      </c>
      <c r="HZ105" s="206" t="str">
        <f>IFERROR(INDEX($A$2:$A$113,MATCH(ROWS($ED$2:ED105),$ED$2:$ED$113,0)),"")</f>
        <v>OBSTRUCCION DEL CODIGO ADUANERO</v>
      </c>
      <c r="IA105" s="206" t="str">
        <f>IFERROR(INDEX($A$2:$A$113,MATCH(ROWS($EE$2:EE105),$EE$2:$EE$113,0)),"")</f>
        <v>OBSTRUCCION DEL CODIGO ADUANERO</v>
      </c>
      <c r="IB105" s="206" t="str">
        <f>IFERROR(INDEX($A$2:$A$113,MATCH(ROWS($EF$2:EF105),$EF$2:$EF$113,0)),"")</f>
        <v>OBSTRUCCION DEL CODIGO ADUANERO</v>
      </c>
      <c r="IC105" s="206" t="str">
        <f>IFERROR(INDEX($A$2:$A$113,MATCH(ROWS($EG$2:EG105),$EG$2:$EG$113,0)),"")</f>
        <v>OBSTRUCCION DEL CODIGO ADUANERO</v>
      </c>
      <c r="ID105" s="206" t="str">
        <f>IFERROR(INDEX($A$2:$A$113,MATCH(ROWS($EH$2:EH105),$EH$2:$EH$113,0)),"")</f>
        <v>OBSTRUCCION DEL CODIGO ADUANERO</v>
      </c>
      <c r="IE105" s="206" t="str">
        <f>IFERROR(INDEX($A$2:$A$113,MATCH(ROWS($EI$2:EI105),$EI$2:$EI$113,0)),"")</f>
        <v>OBSTRUCCION DEL CODIGO ADUANERO</v>
      </c>
      <c r="IF105" s="206" t="str">
        <f>IFERROR(INDEX($A$2:$A$113,MATCH(ROWS($EJ$2:EJ105),$EJ$2:$EJ$113,0)),"")</f>
        <v>OBSTRUCCION DEL CODIGO ADUANERO</v>
      </c>
      <c r="IG105" s="206" t="str">
        <f>IFERROR(INDEX($A$2:$A$113,MATCH(ROWS($EK$2:EK105),$EK$2:$EK$113,0)),"")</f>
        <v>OBSTRUCCION DEL CODIGO ADUANERO</v>
      </c>
      <c r="IH105" s="206" t="str">
        <f>IFERROR(INDEX($A$2:$A$113,MATCH(ROWS($EL$2:EL105),$EL$2:$EL$113,0)),"")</f>
        <v>OBSTRUCCION DEL CODIGO ADUANERO</v>
      </c>
      <c r="II105" s="206" t="str">
        <f>IFERROR(INDEX($A$2:$A$113,MATCH(ROWS($EM$2:EM105),$EM$2:$EM$113,0)),"")</f>
        <v>OBSTRUCCION DEL CODIGO ADUANERO</v>
      </c>
      <c r="IJ105" s="206" t="str">
        <f>IFERROR(INDEX($A$2:$A$113,MATCH(ROWS($EN$2:EN105),$EN$2:$EN$113,0)),"")</f>
        <v>OBSTRUCCION DEL CODIGO ADUANERO</v>
      </c>
      <c r="IK105" s="207" t="str">
        <f>IFERROR(INDEX($A$2:$A$113,MATCH(ROWS($EO$2:EO105),$EO$2:$EO$113,0)),"")</f>
        <v>OBSTRUCCION DEL CODIGO ADUANERO</v>
      </c>
      <c r="IL105" s="207" t="str">
        <f>IFERROR(INDEX($A$2:$A$113,MATCH(ROWS($EP$2:EP105),$EP$2:$EP$113,0)),"")</f>
        <v>OBSTRUCCION DEL CODIGO ADUANERO</v>
      </c>
      <c r="IM105" s="207" t="str">
        <f>IFERROR(INDEX($A$2:$A$113,MATCH(ROWS($EQ$2:EQ105),$EQ$2:$EQ$113,0)),"")</f>
        <v>OBSTRUCCION DEL CODIGO ADUANERO</v>
      </c>
      <c r="IN105" s="207" t="str">
        <f>IFERROR(INDEX($A$2:$A$113,MATCH(ROWS($ER$2:ER105),$ER$2:$ER$113,0)),"")</f>
        <v>OBSTRUCCION DEL CODIGO ADUANERO</v>
      </c>
      <c r="IO105" s="207" t="str">
        <f>IFERROR(INDEX($A$2:$A$113,MATCH(ROWS($ES$2:ES105),$ES$2:$ES$113,0)),"")</f>
        <v>OBSTRUCCION DEL CODIGO ADUANERO</v>
      </c>
      <c r="IP105" s="207" t="str">
        <f>IFERROR(INDEX($A$2:$A$113,MATCH(ROWS($ET$2:ET105),$ET$2:$ET$113,0)),"")</f>
        <v>OBSTRUCCION DEL CODIGO ADUANERO</v>
      </c>
      <c r="IQ105" s="207" t="str">
        <f>IFERROR(INDEX($A$2:$A$113,MATCH(ROWS($EU$2:EU105),$EU$2:$EU$113,0)),"")</f>
        <v>OBSTRUCCION DEL CODIGO ADUANERO</v>
      </c>
      <c r="IR105" s="207" t="str">
        <f>IFERROR(INDEX($A$2:$A$113,MATCH(ROWS($EV$2:EV105),$EV$2:$EV$113,0)),"")</f>
        <v>OBSTRUCCION DEL CODIGO ADUANERO</v>
      </c>
      <c r="IS105" s="207" t="str">
        <f>IFERROR(INDEX($A$2:$A$113,MATCH(ROWS($EW$2:EW105),$EW$2:$EW$113,0)),"")</f>
        <v>OBSTRUCCION DEL CODIGO ADUANERO</v>
      </c>
      <c r="IT105" s="207" t="str">
        <f>IFERROR(INDEX($A$2:$A$113,MATCH(ROWS($EX$2:EX105),$EX$2:$EX$113,0)),"")</f>
        <v>OBSTRUCCION DEL CODIGO ADUANERO</v>
      </c>
      <c r="IU105" s="207" t="str">
        <f>IFERROR(INDEX($A$2:$A$113,MATCH(ROWS($EY$2:EY105),$EY$2:$EY$113,0)),"")</f>
        <v>OBSTRUCCION DEL CODIGO ADUANERO</v>
      </c>
      <c r="IV105" s="207" t="str">
        <f>IFERROR(INDEX($A$2:$A$113,MATCH(ROWS($EZ$2:EZ105),$EZ$2:$EZ$113,0)),"")</f>
        <v>OBSTRUCCION DEL CODIGO ADUANERO</v>
      </c>
      <c r="IW105" s="207" t="str">
        <f>IFERROR(INDEX($A$2:$A$113,MATCH(ROWS($FA$2:FA105),$FA$2:$FA$113,0)),"")</f>
        <v>OBSTRUCCION DEL CODIGO ADUANERO</v>
      </c>
      <c r="IX105" s="207" t="str">
        <f>IFERROR(INDEX($A$2:$A$113,MATCH(ROWS($FB$2:FB105),$FB$2:$FB$113,0)),"")</f>
        <v>OBSTRUCCION DEL CODIGO ADUANERO</v>
      </c>
      <c r="IY105" s="207" t="str">
        <f>IFERROR(INDEX($A$2:$A$113,MATCH(ROWS($FC$2:FC105),$FC$2:$FC$113,0)),"")</f>
        <v>OBSTRUCCION DEL CODIGO ADUANERO</v>
      </c>
      <c r="IZ105" s="207" t="str">
        <f>IFERROR(INDEX($A$2:$A$113,MATCH(ROWS($FD$2:FD105),$FD$2:$FD$113,0)),"")</f>
        <v>OBSTRUCCION DEL CODIGO ADUANERO</v>
      </c>
      <c r="JA105" s="207" t="str">
        <f>IFERROR(INDEX($A$2:$A$113,MATCH(ROWS($FE$2:FE105),$FE$2:$FE$113,0)),"")</f>
        <v>OBSTRUCCION DEL CODIGO ADUANERO</v>
      </c>
      <c r="JB105" s="207" t="str">
        <f>IFERROR(INDEX($A$2:$A$113,MATCH(ROWS($FF$2:FF105),$FF$2:$FF$113,0)),"")</f>
        <v>OBSTRUCCION DEL CODIGO ADUANERO</v>
      </c>
      <c r="JC105" s="207" t="str">
        <f>IFERROR(INDEX($A$2:$A$113,MATCH(ROWS($FG$2:FG105),$FG$2:$FG$113,0)),"")</f>
        <v>OBSTRUCCION DEL CODIGO ADUANERO</v>
      </c>
      <c r="JD105" s="207" t="str">
        <f>IFERROR(INDEX($A$2:$A$113,MATCH(ROWS($FH$2:FH105),$FH$2:$FH$113,0)),"")</f>
        <v>OBSTRUCCION DEL CODIGO ADUANERO</v>
      </c>
      <c r="JE105" s="207" t="str">
        <f>IFERROR(INDEX($A$2:$A$113,MATCH(ROWS($FI$2:FI105),$FI$2:$FI$113,0)),"")</f>
        <v>OBSTRUCCION DEL CODIGO ADUANERO</v>
      </c>
      <c r="JF105" s="207" t="str">
        <f>IFERROR(INDEX($A$2:$A$113,MATCH(ROWS($FJ$2:FJ105),$FJ$2:$FJ$113,0)),"")</f>
        <v>OBSTRUCCION DEL CODIGO ADUANERO</v>
      </c>
      <c r="JG105" s="207" t="str">
        <f>IFERROR(INDEX($A$2:$A$113,MATCH(ROWS($FK$2:FK105),$FK$2:$FK$113,0)),"")</f>
        <v>OBSTRUCCION DEL CODIGO ADUANERO</v>
      </c>
      <c r="JH105" s="207" t="str">
        <f>IFERROR(INDEX($A$2:$A$113,MATCH(ROWS($FL$2:FL105),$FL$2:$FL$113,0)),"")</f>
        <v>OBSTRUCCION DEL CODIGO ADUANERO</v>
      </c>
      <c r="JI105" s="207" t="str">
        <f>IFERROR(INDEX($A$2:$A$113,MATCH(ROWS($FM$2:FM105),$FM$2:$FM$113,0)),"")</f>
        <v>OBSTRUCCION DEL CODIGO ADUANERO</v>
      </c>
      <c r="JJ105" s="207" t="str">
        <f>IFERROR(INDEX($A$2:$A$113,MATCH(ROWS($FN$2:FN105),$FN$2:$FN$113,0)),"")</f>
        <v>OBSTRUCCION DEL CODIGO ADUANERO</v>
      </c>
      <c r="JK105" s="207" t="str">
        <f>IFERROR(INDEX($A$2:$A$113,MATCH(ROWS($FO$2:FO105),$FO$2:$FO$113,0)),"")</f>
        <v>OBSTRUCCION DEL CODIGO ADUANERO</v>
      </c>
      <c r="JL105" s="207" t="str">
        <f>IFERROR(INDEX($A$2:$A$113,MATCH(ROWS($FP$2:FP105),$FP$2:$FP$113,0)),"")</f>
        <v>OBSTRUCCION DEL CODIGO ADUANERO</v>
      </c>
      <c r="JM105" s="207" t="str">
        <f>IFERROR(INDEX($A$2:$A$113,MATCH(ROWS($FQ$2:FQ105),$FQ$2:$FQ$113,0)),"")</f>
        <v>OBSTRUCCION DEL CODIGO ADUANERO</v>
      </c>
      <c r="JN105" s="207" t="str">
        <f>IFERROR(INDEX($A$2:$A$113,MATCH(ROWS($FR$2:FR105),$FR$2:$FR$113,0)),"")</f>
        <v>OBSTRUCCION DEL CODIGO ADUANERO</v>
      </c>
      <c r="JO105" s="207" t="str">
        <f>IFERROR(INDEX($A$2:$A$113,MATCH(ROWS($FS$2:FS105),$FS$2:$FS$113,0)),"")</f>
        <v>OBSTRUCCION DEL CODIGO ADUANERO</v>
      </c>
      <c r="JP105" s="207" t="str">
        <f>IFERROR(INDEX($A$2:$A$113,MATCH(ROWS($FT$2:FT105),$FT$2:$FT$113,0)),"")</f>
        <v>OBSTRUCCION DEL CODIGO ADUANERO</v>
      </c>
      <c r="JQ105" s="207" t="str">
        <f>IFERROR(INDEX($A$2:$A$113,MATCH(ROWS($FU$2:FU105),$FU$2:$FU$113,0)),"")</f>
        <v>OBSTRUCCION DEL CODIGO ADUANERO</v>
      </c>
      <c r="JR105" s="207" t="str">
        <f>IFERROR(INDEX($A$2:$A$113,MATCH(ROWS($FV$2:FV105),$FV$2:$FV$113,0)),"")</f>
        <v>OBSTRUCCION DEL CODIGO ADUANERO</v>
      </c>
      <c r="JS105" s="207" t="str">
        <f>IFERROR(INDEX($A$2:$A$113,MATCH(ROWS($FW$2:FW105),$FW$2:$FW$113,0)),"")</f>
        <v>OBSTRUCCION DEL CODIGO ADUANERO</v>
      </c>
      <c r="JT105" s="207" t="str">
        <f>IFERROR(INDEX($A$2:$A$113,MATCH(ROWS($FX$2:FX105),$FX$2:$FX$113,0)),"")</f>
        <v>OBSTRUCCION DEL CODIGO ADUANERO</v>
      </c>
      <c r="JU105" s="207" t="str">
        <f>IFERROR(INDEX($A$2:$A$113,MATCH(ROWS($FY$2:FY105),$FY$2:$FY$113,0)),"")</f>
        <v>OBSTRUCCION DEL CODIGO ADUANERO</v>
      </c>
      <c r="JV105" s="207" t="str">
        <f>IFERROR(INDEX($A$2:$A$113,MATCH(ROWS($FZ$2:FZ105),$FZ$2:$FZ$113,0)),"")</f>
        <v>OBSTRUCCION DEL CODIGO ADUANERO</v>
      </c>
      <c r="JW105" s="207" t="str">
        <f>IFERROR(INDEX($A$2:$A$113,MATCH(ROWS($GA$2:GA105),$GA$2:$GA$113,0)),"")</f>
        <v>OBSTRUCCION DEL CODIGO ADUANERO</v>
      </c>
      <c r="JX105" s="207" t="str">
        <f>IFERROR(INDEX($A$2:$A$113,MATCH(ROWS($GB$2:GB105),$GB$2:$GB$113,0)),"")</f>
        <v>OBSTRUCCION DEL CODIGO ADUANERO</v>
      </c>
      <c r="JY105" s="207" t="str">
        <f>IFERROR(INDEX($A$2:$A$113,MATCH(ROWS($GC$2:GC105),$GC$2:$GC$113,0)),"")</f>
        <v>OBSTRUCCION DEL CODIGO ADUANERO</v>
      </c>
      <c r="JZ105" s="207" t="str">
        <f>IFERROR(INDEX($A$2:$A$113,MATCH(ROWS($GD$2:GD105),$GD$2:$GD$113,0)),"")</f>
        <v>OBSTRUCCION DEL CODIGO ADUANERO</v>
      </c>
      <c r="KA105" s="207" t="str">
        <f>IFERROR(INDEX($A$2:$A$113,MATCH(ROWS($GE$2:GE105),$GE$2:$GE$113,0)),"")</f>
        <v>OBSTRUCCION DEL CODIGO ADUANERO</v>
      </c>
      <c r="KB105" s="207" t="str">
        <f>IFERROR(INDEX($A$2:$A$113,MATCH(ROWS($GF$2:GF105),$GF$2:$GF$113,0)),"")</f>
        <v>OBSTRUCCION DEL CODIGO ADUANERO</v>
      </c>
      <c r="KC105" s="207" t="str">
        <f>IFERROR(INDEX($A$2:$A$113,MATCH(ROWS($GG$2:GG105),$GG$2:$GG$113,0)),"")</f>
        <v>OBSTRUCCION DEL CODIGO ADUANERO</v>
      </c>
      <c r="KD105" s="207" t="str">
        <f>IFERROR(INDEX($A$2:$A$113,MATCH(ROWS($GH$2:GH105),$GH$2:$GH$113,0)),"")</f>
        <v>OBSTRUCCION DEL CODIGO ADUANERO</v>
      </c>
      <c r="KE105" s="207" t="str">
        <f>IFERROR(INDEX($A$2:$A$113,MATCH(ROWS($GI$2:GI105),$GI$2:$GI$113,0)),"")</f>
        <v>OBSTRUCCION DEL CODIGO ADUANERO</v>
      </c>
      <c r="KF105" s="207" t="str">
        <f>IFERROR(INDEX($A$2:$A$113,MATCH(ROWS($GJ$2:GJ105),$GJ$2:$GJ$113,0)),"")</f>
        <v>OBSTRUCCION DEL CODIGO ADUANERO</v>
      </c>
      <c r="KG105" s="207" t="str">
        <f>IFERROR(INDEX($A$2:$A$113,MATCH(ROWS($GK$2:GK105),$GK$2:$GK$113,0)),"")</f>
        <v>OBSTRUCCION DEL CODIGO ADUANERO</v>
      </c>
      <c r="KH105" s="207" t="str">
        <f>IFERROR(INDEX($A$2:$A$113,MATCH(ROWS($GL$2:GL105),$GL$2:$GL$113,0)),"")</f>
        <v>OBSTRUCCION DEL CODIGO ADUANERO</v>
      </c>
      <c r="KI105" s="207" t="str">
        <f>IFERROR(INDEX($A$2:$A$113,MATCH(ROWS($GM$2:GM105),$GM$2:$GM$113,0)),"")</f>
        <v>OBSTRUCCION DEL CODIGO ADUANERO</v>
      </c>
      <c r="KJ105" s="207" t="str">
        <f>IFERROR(INDEX($A$2:$A$113,MATCH(ROWS($GN$2:GN105),$GN$2:$GN$113,0)),"")</f>
        <v>OBSTRUCCION DEL CODIGO ADUANERO</v>
      </c>
      <c r="KK105" s="207" t="str">
        <f>IFERROR(INDEX($A$2:$A$113,MATCH(ROWS($GO$2:GO105),$GO$2:$GO$113,0)),"")</f>
        <v>OBSTRUCCION DEL CODIGO ADUANERO</v>
      </c>
      <c r="KL105" s="207" t="str">
        <f>IFERROR(INDEX($A$2:$A$113,MATCH(ROWS($GP$2:GP105),$GP$2:$GP$113,0)),"")</f>
        <v>OBSTRUCCION DEL CODIGO ADUANERO</v>
      </c>
      <c r="KM105" s="207" t="str">
        <f>IFERROR(INDEX($A$2:$A$113,MATCH(ROWS($GQ$2:GQ105),$GQ$2:$GQ$113,0)),"")</f>
        <v>OBSTRUCCION DEL CODIGO ADUANERO</v>
      </c>
      <c r="KN105" s="207" t="str">
        <f>IFERROR(INDEX($A$2:$A$113,MATCH(ROWS($GR$2:GR105),$GR$2:$GR$113,0)),"")</f>
        <v>OBSTRUCCION DEL CODIGO ADUANERO</v>
      </c>
      <c r="KO105" s="207" t="str">
        <f>IFERROR(INDEX($A$2:$A$113,MATCH(ROWS($GS$2:GS105),$GS$2:$GS$113,0)),"")</f>
        <v>OBSTRUCCION DEL CODIGO ADUANERO</v>
      </c>
      <c r="KP105" s="207" t="str">
        <f>IFERROR(INDEX($A$2:$A$113,MATCH(ROWS($GT$2:GT105),$GT$2:$GT$113,0)),"")</f>
        <v>OBSTRUCCION DEL CODIGO ADUANERO</v>
      </c>
      <c r="KQ105" s="207" t="str">
        <f>IFERROR(INDEX($A$2:$A$113,MATCH(ROWS($GU$2:GU105),$GU$2:$GU$113,0)),"")</f>
        <v>OBSTRUCCION DEL CODIGO ADUANERO</v>
      </c>
      <c r="KR105" s="207" t="str">
        <f>IFERROR(INDEX($A$2:$A$113,MATCH(ROWS($GV$2:GV105),$GV$2:$GV$113,0)),"")</f>
        <v>OBSTRUCCION DEL CODIGO ADUANERO</v>
      </c>
      <c r="KS105" s="207" t="str">
        <f>IFERROR(INDEX($A$2:$A$113,MATCH(ROWS($GW$2:GW105),$GW$2:$GW$113,0)),"")</f>
        <v>OBSTRUCCION DEL CODIGO ADUANERO</v>
      </c>
    </row>
    <row r="106" spans="1:305" x14ac:dyDescent="0.25">
      <c r="A106" s="206" t="s">
        <v>432</v>
      </c>
      <c r="B106" s="206" t="s">
        <v>134</v>
      </c>
      <c r="D106" s="206" t="s">
        <v>42</v>
      </c>
      <c r="E106" s="206" t="s">
        <v>129</v>
      </c>
      <c r="F106" s="207">
        <f>--ISNUMBER(IFERROR(SEARCH('PLANILLA DJ'!$X$3,$A106,1),""))</f>
        <v>1</v>
      </c>
      <c r="G106" s="207">
        <f>--ISNUMBER(IFERROR(SEARCH('PLANILLA DJ'!$X$4,$A106,1),""))</f>
        <v>1</v>
      </c>
      <c r="H106" s="207">
        <f>--ISNUMBER(IFERROR(SEARCH('PLANILLA DJ'!$X$5,$A106,1),""))</f>
        <v>1</v>
      </c>
      <c r="I106" s="207">
        <f>--ISNUMBER(IFERROR(SEARCH('PLANILLA DJ'!$X$6,$A106,1),""))</f>
        <v>1</v>
      </c>
      <c r="J106" s="207">
        <f>--ISNUMBER(IFERROR(SEARCH('PLANILLA DJ'!$X$7,$A106,1),""))</f>
        <v>1</v>
      </c>
      <c r="K106" s="207">
        <f>--ISNUMBER(IFERROR(SEARCH('PLANILLA DJ'!$X$8,$A106,1),""))</f>
        <v>1</v>
      </c>
      <c r="L106" s="207">
        <f>--ISNUMBER(IFERROR(SEARCH('PLANILLA DJ'!$X$9,$A106,1),""))</f>
        <v>1</v>
      </c>
      <c r="M106" s="207">
        <f>--ISNUMBER(IFERROR(SEARCH('PLANILLA DJ'!$X$10,$A106,1),""))</f>
        <v>1</v>
      </c>
      <c r="N106" s="207">
        <f>--ISNUMBER(IFERROR(SEARCH('PLANILLA DJ'!$X$11,$A106,1),""))</f>
        <v>1</v>
      </c>
      <c r="O106" s="207">
        <f>--ISNUMBER(IFERROR(SEARCH('PLANILLA DJ'!$X$12,$A106,1),""))</f>
        <v>1</v>
      </c>
      <c r="P106" s="207">
        <f>--ISNUMBER(IFERROR(SEARCH('PLANILLA DJ'!$X$13,$A106,1),""))</f>
        <v>1</v>
      </c>
      <c r="Q106" s="207">
        <f>--ISNUMBER(IFERROR(SEARCH('PLANILLA DJ'!$X$14,$A106,1),""))</f>
        <v>1</v>
      </c>
      <c r="R106" s="207">
        <f>--ISNUMBER(IFERROR(SEARCH('PLANILLA DJ'!$X$15,$A106,1),""))</f>
        <v>1</v>
      </c>
      <c r="S106" s="207">
        <f>--ISNUMBER(IFERROR(SEARCH('PLANILLA DJ'!$X$16,$A106,1),""))</f>
        <v>1</v>
      </c>
      <c r="T106" s="207">
        <f>--ISNUMBER(IFERROR(SEARCH('PLANILLA DJ'!$X$17,$A106,1),""))</f>
        <v>1</v>
      </c>
      <c r="U106" s="207">
        <f>--ISNUMBER(IFERROR(SEARCH('PLANILLA DJ'!$X$18,$A106,1),""))</f>
        <v>1</v>
      </c>
      <c r="V106" s="207">
        <f>--ISNUMBER(IFERROR(SEARCH('PLANILLA DJ'!$X$19,$A106,1),""))</f>
        <v>1</v>
      </c>
      <c r="W106" s="207">
        <f>--ISNUMBER(IFERROR(SEARCH('PLANILLA DJ'!$X$20,$A106,1),""))</f>
        <v>1</v>
      </c>
      <c r="X106" s="207">
        <f>--ISNUMBER(IFERROR(SEARCH('PLANILLA DJ'!$X$21,$A106,1),""))</f>
        <v>1</v>
      </c>
      <c r="Y106" s="207">
        <f>--ISNUMBER(IFERROR(SEARCH('PLANILLA DJ'!$X$22,$A106,1),""))</f>
        <v>1</v>
      </c>
      <c r="Z106" s="207">
        <f>--ISNUMBER(IFERROR(SEARCH('PLANILLA DJ'!$X$23,$A106,1),""))</f>
        <v>1</v>
      </c>
      <c r="AA106" s="207">
        <f>--ISNUMBER(IFERROR(SEARCH('PLANILLA DJ'!$X$24,$A106,1),""))</f>
        <v>1</v>
      </c>
      <c r="AB106" s="207">
        <f>--ISNUMBER(IFERROR(SEARCH('PLANILLA DJ'!$X$25,$A106,1),""))</f>
        <v>1</v>
      </c>
      <c r="AC106" s="207">
        <f>--ISNUMBER(IFERROR(SEARCH('PLANILLA DJ'!$X$26,$A106,1),""))</f>
        <v>1</v>
      </c>
      <c r="AD106" s="207">
        <f>--ISNUMBER(IFERROR(SEARCH('PLANILLA DJ'!$X$27,$A106,1),""))</f>
        <v>1</v>
      </c>
      <c r="AE106" s="207">
        <f>--ISNUMBER(IFERROR(SEARCH('PLANILLA DJ'!$X$28,$A106,1),""))</f>
        <v>1</v>
      </c>
      <c r="AF106" s="207">
        <f>--ISNUMBER(IFERROR(SEARCH('PLANILLA DJ'!$X$29,$A106,1),""))</f>
        <v>1</v>
      </c>
      <c r="AG106" s="207">
        <f>--ISNUMBER(IFERROR(SEARCH('PLANILLA DJ'!$X$30,$A106,1),""))</f>
        <v>1</v>
      </c>
      <c r="AH106" s="207">
        <f>--ISNUMBER(IFERROR(SEARCH('PLANILLA DJ'!$X$31,$A106,1),""))</f>
        <v>1</v>
      </c>
      <c r="AI106" s="207">
        <f>--ISNUMBER(IFERROR(SEARCH('PLANILLA DJ'!$X$32,$A106,1),""))</f>
        <v>1</v>
      </c>
      <c r="AJ106" s="207">
        <f>--ISNUMBER(IFERROR(SEARCH('PLANILLA DJ'!$X$33,$A106,1),""))</f>
        <v>1</v>
      </c>
      <c r="AK106" s="207">
        <f>--ISNUMBER(IFERROR(SEARCH('PLANILLA DJ'!$X$34,$A106,1),""))</f>
        <v>1</v>
      </c>
      <c r="AL106" s="207">
        <f>--ISNUMBER(IFERROR(SEARCH('PLANILLA DJ'!$X$35,$A106,1),""))</f>
        <v>1</v>
      </c>
      <c r="AM106" s="207">
        <f>--ISNUMBER(IFERROR(SEARCH('PLANILLA DJ'!$X$36,$A106,1),""))</f>
        <v>1</v>
      </c>
      <c r="AN106" s="207">
        <f>--ISNUMBER(IFERROR(SEARCH('PLANILLA DJ'!$X$37,$A106,1),""))</f>
        <v>1</v>
      </c>
      <c r="AO106" s="207">
        <f>--ISNUMBER(IFERROR(SEARCH('PLANILLA DJ'!$X$38,$A106,1),""))</f>
        <v>1</v>
      </c>
      <c r="AP106" s="207">
        <f>--ISNUMBER(IFERROR(SEARCH('PLANILLA DJ'!$X$39,$A106,1),""))</f>
        <v>1</v>
      </c>
      <c r="AQ106" s="207">
        <f>--ISNUMBER(IFERROR(SEARCH('PLANILLA DJ'!$X$40,$A106,1),""))</f>
        <v>1</v>
      </c>
      <c r="AR106" s="207">
        <f>--ISNUMBER(IFERROR(SEARCH('PLANILLA DJ'!$X$41,$A106,1),""))</f>
        <v>1</v>
      </c>
      <c r="AS106" s="207">
        <f>--ISNUMBER(IFERROR(SEARCH('PLANILLA DJ'!$X$42,$A106,1),""))</f>
        <v>1</v>
      </c>
      <c r="AT106" s="207">
        <f>--ISNUMBER(IFERROR(SEARCH('PLANILLA DJ'!$X$43,$A106,1),""))</f>
        <v>1</v>
      </c>
      <c r="AU106" s="207">
        <f>--ISNUMBER(IFERROR(SEARCH('PLANILLA DJ'!$X$44,$A106,1),""))</f>
        <v>1</v>
      </c>
      <c r="AV106" s="207">
        <f>--ISNUMBER(IFERROR(SEARCH('PLANILLA DJ'!$X$45,$A106,1),""))</f>
        <v>1</v>
      </c>
      <c r="AW106" s="207">
        <f>--ISNUMBER(IFERROR(SEARCH('PLANILLA DJ'!$X$46,$A106,1),""))</f>
        <v>1</v>
      </c>
      <c r="AX106" s="207">
        <f>--ISNUMBER(IFERROR(SEARCH('PLANILLA DJ'!$X$47,$A106,1),""))</f>
        <v>1</v>
      </c>
      <c r="AY106" s="207">
        <f>--ISNUMBER(IFERROR(SEARCH('PLANILLA DJ'!$X$48,$A106,1),""))</f>
        <v>1</v>
      </c>
      <c r="AZ106" s="207">
        <f>--ISNUMBER(IFERROR(SEARCH('PLANILLA DJ'!$X$49,$A106,1),""))</f>
        <v>1</v>
      </c>
      <c r="BA106" s="207">
        <f>--ISNUMBER(IFERROR(SEARCH('PLANILLA DJ'!$X$50,$A106,1),""))</f>
        <v>1</v>
      </c>
      <c r="BB106" s="207">
        <f>--ISNUMBER(IFERROR(SEARCH('PLANILLA DJ'!$X$51,$A106,1),""))</f>
        <v>1</v>
      </c>
      <c r="BC106" s="207">
        <f>--ISNUMBER(IFERROR(SEARCH('PLANILLA DJ'!$X$52,$A106,1),""))</f>
        <v>1</v>
      </c>
      <c r="BD106" s="207">
        <f>--ISNUMBER(IFERROR(SEARCH('PLANILLA DJ'!$X$53,$A106,1),""))</f>
        <v>1</v>
      </c>
      <c r="BE106" s="207">
        <f>--ISNUMBER(IFERROR(SEARCH('PLANILLA DJ'!$X$54,$A106,1),""))</f>
        <v>1</v>
      </c>
      <c r="BF106" s="207">
        <f>--ISNUMBER(IFERROR(SEARCH('PLANILLA DJ'!$X$55,$A106,1),""))</f>
        <v>1</v>
      </c>
      <c r="BG106" s="207">
        <f>--ISNUMBER(IFERROR(SEARCH('PLANILLA DJ'!$X$56,$A106,1),""))</f>
        <v>1</v>
      </c>
      <c r="BH106" s="207">
        <f>--ISNUMBER(IFERROR(SEARCH('PLANILLA DJ'!$X$57,$A106,1),""))</f>
        <v>1</v>
      </c>
      <c r="BI106" s="207">
        <f>--ISNUMBER(IFERROR(SEARCH('PLANILLA DJ'!$X$58,$A106,1),""))</f>
        <v>1</v>
      </c>
      <c r="BJ106" s="207">
        <f>--ISNUMBER(IFERROR(SEARCH('PLANILLA DJ'!$X$59,$A106,1),""))</f>
        <v>1</v>
      </c>
      <c r="BK106" s="207">
        <f>--ISNUMBER(IFERROR(SEARCH('PLANILLA DJ'!$X$60,$A106,1),""))</f>
        <v>1</v>
      </c>
      <c r="BL106" s="207">
        <f>--ISNUMBER(IFERROR(SEARCH('PLANILLA DJ'!$X$61,$A106,1),""))</f>
        <v>1</v>
      </c>
      <c r="BM106" s="207">
        <f>--ISNUMBER(IFERROR(SEARCH('PLANILLA DJ'!$X$62,$A106,1),""))</f>
        <v>1</v>
      </c>
      <c r="BN106" s="207">
        <f>--ISNUMBER(IFERROR(SEARCH('PLANILLA DJ'!$X$63,$A106,1),""))</f>
        <v>1</v>
      </c>
      <c r="BO106" s="207">
        <f>--ISNUMBER(IFERROR(SEARCH('PLANILLA DJ'!$X$64,$A106,1),""))</f>
        <v>1</v>
      </c>
      <c r="BP106" s="207">
        <f>--ISNUMBER(IFERROR(SEARCH('PLANILLA DJ'!$X$65,$A106,1),""))</f>
        <v>1</v>
      </c>
      <c r="BQ106" s="207">
        <f>--ISNUMBER(IFERROR(SEARCH('PLANILLA DJ'!$X$66,$A106,1),""))</f>
        <v>1</v>
      </c>
      <c r="BR106" s="207">
        <f>--ISNUMBER(IFERROR(SEARCH('PLANILLA DJ'!$X$67,$A106,1),""))</f>
        <v>1</v>
      </c>
      <c r="BS106" s="207">
        <f>--ISNUMBER(IFERROR(SEARCH('PLANILLA DJ'!$X$68,$A106,1),""))</f>
        <v>1</v>
      </c>
      <c r="BT106" s="207">
        <f>--ISNUMBER(IFERROR(SEARCH('PLANILLA DJ'!$X$69,$A106,1),""))</f>
        <v>1</v>
      </c>
      <c r="BU106" s="207">
        <f>--ISNUMBER(IFERROR(SEARCH('PLANILLA DJ'!$X$70,$A106,1),""))</f>
        <v>1</v>
      </c>
      <c r="BV106" s="207">
        <f>--ISNUMBER(IFERROR(SEARCH('PLANILLA DJ'!$X$71,$A106,1),""))</f>
        <v>1</v>
      </c>
      <c r="BW106" s="207">
        <f>--ISNUMBER(IFERROR(SEARCH('PLANILLA DJ'!$X$72,$A106,1),""))</f>
        <v>1</v>
      </c>
      <c r="BX106" s="207">
        <f>--ISNUMBER(IFERROR(SEARCH('PLANILLA DJ'!$X$73,$A106,1),""))</f>
        <v>1</v>
      </c>
      <c r="BY106" s="207">
        <f>--ISNUMBER(IFERROR(SEARCH('PLANILLA DJ'!$X$74,$A106,1),""))</f>
        <v>1</v>
      </c>
      <c r="BZ106" s="207">
        <f>--ISNUMBER(IFERROR(SEARCH('PLANILLA DJ'!$X$75,$A106,1),""))</f>
        <v>1</v>
      </c>
      <c r="CA106" s="207">
        <f>--ISNUMBER(IFERROR(SEARCH('PLANILLA DJ'!$X$76,$A106,1),""))</f>
        <v>1</v>
      </c>
      <c r="CB106" s="207">
        <f>--ISNUMBER(IFERROR(SEARCH('PLANILLA DJ'!$X$77,$A106,1),""))</f>
        <v>1</v>
      </c>
      <c r="CC106" s="207">
        <f>--ISNUMBER(IFERROR(SEARCH('PLANILLA DJ'!$X$78,$A106,1),""))</f>
        <v>1</v>
      </c>
      <c r="CD106" s="207">
        <f>--ISNUMBER(IFERROR(SEARCH('PLANILLA DJ'!$X$79,$A106,1),""))</f>
        <v>1</v>
      </c>
      <c r="CE106" s="207">
        <f>--ISNUMBER(IFERROR(SEARCH('PLANILLA DJ'!$X$80,$A106,1),""))</f>
        <v>1</v>
      </c>
      <c r="CF106" s="207">
        <f>--ISNUMBER(IFERROR(SEARCH('PLANILLA DJ'!$X$81,$A106,1),""))</f>
        <v>1</v>
      </c>
      <c r="CG106" s="207">
        <f>--ISNUMBER(IFERROR(SEARCH('PLANILLA DJ'!$X$82,$A106,1),""))</f>
        <v>1</v>
      </c>
      <c r="CH106" s="207">
        <f>--ISNUMBER(IFERROR(SEARCH('PLANILLA DJ'!$X$83,$A106,1),""))</f>
        <v>1</v>
      </c>
      <c r="CI106" s="207">
        <f>--ISNUMBER(IFERROR(SEARCH('PLANILLA DJ'!$X$84,$A106,1),""))</f>
        <v>1</v>
      </c>
      <c r="CJ106" s="207">
        <f>--ISNUMBER(IFERROR(SEARCH('PLANILLA DJ'!$X$85,$A106,1),""))</f>
        <v>1</v>
      </c>
      <c r="CK106" s="207">
        <f>--ISNUMBER(IFERROR(SEARCH('PLANILLA DJ'!$X$86,$A106,1),""))</f>
        <v>1</v>
      </c>
      <c r="CL106" s="207">
        <f>--ISNUMBER(IFERROR(SEARCH('PLANILLA DJ'!$X$87,$A106,1),""))</f>
        <v>1</v>
      </c>
      <c r="CM106" s="207">
        <f>--ISNUMBER(IFERROR(SEARCH('PLANILLA DJ'!$X$88,$A106,1),""))</f>
        <v>1</v>
      </c>
      <c r="CN106" s="207">
        <f>--ISNUMBER(IFERROR(SEARCH('PLANILLA DJ'!$X$89,$A106,1),""))</f>
        <v>1</v>
      </c>
      <c r="CO106" s="207">
        <f>--ISNUMBER(IFERROR(SEARCH('PLANILLA DJ'!$X$90,$A106,1),""))</f>
        <v>1</v>
      </c>
      <c r="CP106" s="207">
        <f>--ISNUMBER(IFERROR(SEARCH('PLANILLA DJ'!$X$91,$A106,1),""))</f>
        <v>1</v>
      </c>
      <c r="CQ106" s="207">
        <f>--ISNUMBER(IFERROR(SEARCH('PLANILLA DJ'!$X$92,$A106,1),""))</f>
        <v>1</v>
      </c>
      <c r="CR106" s="207">
        <f>--ISNUMBER(IFERROR(SEARCH('PLANILLA DJ'!$X$93,$A106,1),""))</f>
        <v>1</v>
      </c>
      <c r="CS106" s="207">
        <f>--ISNUMBER(IFERROR(SEARCH('PLANILLA DJ'!$X$94,$A106,1),""))</f>
        <v>1</v>
      </c>
      <c r="CT106" s="207">
        <f>--ISNUMBER(IFERROR(SEARCH('PLANILLA DJ'!$X$95,$A106,1),""))</f>
        <v>1</v>
      </c>
      <c r="CU106" s="207">
        <f>--ISNUMBER(IFERROR(SEARCH('PLANILLA DJ'!$X$96,$A106,1),""))</f>
        <v>1</v>
      </c>
      <c r="CV106" s="207">
        <f>--ISNUMBER(IFERROR(SEARCH('PLANILLA DJ'!$X$97,$A106,1),""))</f>
        <v>1</v>
      </c>
      <c r="CW106" s="207">
        <f>--ISNUMBER(IFERROR(SEARCH('PLANILLA DJ'!$X$98,$A106,1),""))</f>
        <v>1</v>
      </c>
      <c r="CX106" s="207">
        <f>--ISNUMBER(IFERROR(SEARCH('PLANILLA DJ'!$X$99,$A106,1),""))</f>
        <v>1</v>
      </c>
      <c r="CY106" s="207">
        <f>--ISNUMBER(IFERROR(SEARCH('PLANILLA DJ'!$X$100,$A106,1),""))</f>
        <v>1</v>
      </c>
      <c r="CZ106" s="207">
        <f>--ISNUMBER(IFERROR(SEARCH('PLANILLA DJ'!$X$101,$A106,1),""))</f>
        <v>1</v>
      </c>
      <c r="DA106" s="207">
        <f>--ISNUMBER(IFERROR(SEARCH('PLANILLA DJ'!$X$102,$A106,1),""))</f>
        <v>1</v>
      </c>
      <c r="DB106" s="206">
        <f>IF(F106=1,COUNTIF($F$2:F106,1),"")</f>
        <v>105</v>
      </c>
      <c r="DC106" s="206">
        <f>IF(G106=1,COUNTIF($G$2:G106,1),"")</f>
        <v>105</v>
      </c>
      <c r="DD106" s="206">
        <f>IF(H106=1,COUNTIF($H$2:H106,1),"")</f>
        <v>105</v>
      </c>
      <c r="DE106" s="206">
        <f>IF(I106=1,COUNTIF($I$2:I106,1),"")</f>
        <v>105</v>
      </c>
      <c r="DF106" s="206">
        <f>IF(J106=1,COUNTIF($J$2:J106,1),"")</f>
        <v>105</v>
      </c>
      <c r="DG106" s="206">
        <f>IF(K106=1,COUNTIF($K$2:K106,1),"")</f>
        <v>105</v>
      </c>
      <c r="DH106" s="206">
        <f>IF(L106=1,COUNTIF($L$2:L106,1),"")</f>
        <v>105</v>
      </c>
      <c r="DI106" s="206">
        <f>IF(M106=1,COUNTIF($M$2:M106,1),"")</f>
        <v>105</v>
      </c>
      <c r="DJ106" s="206">
        <f>IF(N106=1,COUNTIF($N$2:N106,1),"")</f>
        <v>105</v>
      </c>
      <c r="DK106" s="206">
        <f>IF(O106=1,COUNTIF($O$2:O106,1),"")</f>
        <v>105</v>
      </c>
      <c r="DL106" s="206">
        <f>IF(P106=1,COUNTIF($P$2:P106,1),"")</f>
        <v>105</v>
      </c>
      <c r="DM106" s="206">
        <f>IF(Q106=1,COUNTIF($Q$2:Q106,1),"")</f>
        <v>105</v>
      </c>
      <c r="DN106" s="207">
        <f>IF(R106=1,COUNTIF($R$2:R106,1),"")</f>
        <v>105</v>
      </c>
      <c r="DO106" s="207">
        <f>IF(S106=1,COUNTIF($S$2:S106,1),"")</f>
        <v>105</v>
      </c>
      <c r="DP106" s="207">
        <f>IF(T106=1,COUNTIF($T$2:T106,1),"")</f>
        <v>105</v>
      </c>
      <c r="DQ106" s="207">
        <f>IF(U106=1,COUNTIF($U$2:U106,1),"")</f>
        <v>105</v>
      </c>
      <c r="DR106" s="207">
        <f>IF(V106=1,COUNTIF($V$2:V106,1),"")</f>
        <v>105</v>
      </c>
      <c r="DS106" s="207">
        <f>IF(W106=1,COUNTIF($W$2:W106,1),"")</f>
        <v>105</v>
      </c>
      <c r="DT106" s="207">
        <f>IF(X106=1,COUNTIF($X$2:X106,1),"")</f>
        <v>105</v>
      </c>
      <c r="DU106" s="207">
        <f>IF(Y106=1,COUNTIF($Y$2:Y106,1),"")</f>
        <v>105</v>
      </c>
      <c r="DV106" s="207">
        <f>IF(Z106=1,COUNTIF(Z$2:Z106,1),"")</f>
        <v>105</v>
      </c>
      <c r="DW106" s="207">
        <f>IF(AA106=1,COUNTIF($AA$2:AA106,1),"")</f>
        <v>105</v>
      </c>
      <c r="DX106" s="207">
        <f>IF(AB106=1,COUNTIF($AB$2:AB106,1),"")</f>
        <v>105</v>
      </c>
      <c r="DY106" s="207">
        <f>IF(AC106=1,COUNTIF($AC$2:AC106,1),"")</f>
        <v>105</v>
      </c>
      <c r="DZ106" s="207">
        <f>IF(AD106=1,COUNTIF($AD$2:AD106,1),"")</f>
        <v>105</v>
      </c>
      <c r="EA106" s="207">
        <f>IF(AE106=1,COUNTIF($AE$2:AE106,1),"")</f>
        <v>105</v>
      </c>
      <c r="EB106" s="207">
        <f>IF(AF106=1,COUNTIF($AF$2:AF106,1),"")</f>
        <v>105</v>
      </c>
      <c r="EC106" s="207">
        <f>IF(AG106=1,COUNTIF($AG$2:AG106,1),"")</f>
        <v>105</v>
      </c>
      <c r="ED106" s="207">
        <f>IF(AH106=1,COUNTIF($AH$2:AH106,1),"")</f>
        <v>105</v>
      </c>
      <c r="EE106" s="207">
        <f>IF(AI106=1,COUNTIF($AI$2:AI106,1),"")</f>
        <v>105</v>
      </c>
      <c r="EF106" s="207">
        <f>IF(AJ106=1,COUNTIF($AJ$2:AJ106,1),"")</f>
        <v>105</v>
      </c>
      <c r="EG106" s="207">
        <f>IF(AK106=1,COUNTIF($AK$2:AK106,1),"")</f>
        <v>105</v>
      </c>
      <c r="EH106" s="207">
        <f>IF(AL106=1,COUNTIF($AL$2:AL106,1),"")</f>
        <v>105</v>
      </c>
      <c r="EI106" s="207">
        <f>IF(AM106=1,COUNTIF($AM$2:AM106,1),"")</f>
        <v>105</v>
      </c>
      <c r="EJ106" s="207">
        <f>IF(AN106=1,COUNTIF($AN$2:AN106,1),"")</f>
        <v>105</v>
      </c>
      <c r="EK106" s="207">
        <f>IF(AO106=1,COUNTIF($AO$2:AO106,1),"")</f>
        <v>105</v>
      </c>
      <c r="EL106" s="207">
        <f>IF(AP106=1,COUNTIF($AP$2:AP106,1),"")</f>
        <v>105</v>
      </c>
      <c r="EM106" s="207">
        <f>IF(AQ106=1,COUNTIF($AQ$2:AQ106,1),"")</f>
        <v>105</v>
      </c>
      <c r="EN106" s="207">
        <f>IF(AR106=1,COUNTIF($AR$2:AR106,1),"")</f>
        <v>105</v>
      </c>
      <c r="EO106" s="207">
        <f>IF(AS106=1,COUNTIF($AS$2:AS106,1),"")</f>
        <v>105</v>
      </c>
      <c r="EP106" s="207">
        <f>IF(AT106=1,COUNTIF($AT$2:AT106,1),"")</f>
        <v>105</v>
      </c>
      <c r="EQ106" s="207">
        <f>IF(AU106=1,COUNTIF($AU$2:AU106,1),"")</f>
        <v>105</v>
      </c>
      <c r="ER106" s="207">
        <f>IF(AV106=1,COUNTIF($AV$2:AV106,1),"")</f>
        <v>105</v>
      </c>
      <c r="ES106" s="207">
        <f>IF(AW106=1,COUNTIF($AW$2:AW106,1),"")</f>
        <v>105</v>
      </c>
      <c r="ET106" s="207">
        <f>IF(AX106=1,COUNTIF($AX$2:AX106,1),"")</f>
        <v>105</v>
      </c>
      <c r="EU106" s="207">
        <f>IF(AY106=1,COUNTIF($AY$2:AY106,1),"")</f>
        <v>105</v>
      </c>
      <c r="EV106" s="207">
        <f>IF(AZ106=1,COUNTIF($AZ$2:AZ106,1),"")</f>
        <v>105</v>
      </c>
      <c r="EW106" s="207">
        <f>IF(BA106=1,COUNTIF($BA$2:BA106,1),"")</f>
        <v>105</v>
      </c>
      <c r="EX106" s="207">
        <f>IF(BB106=1,COUNTIF($BB$2:BB106,1),"")</f>
        <v>105</v>
      </c>
      <c r="EY106" s="207">
        <f>IF(BC106=1,COUNTIF($BC$2:BC106,1),"")</f>
        <v>105</v>
      </c>
      <c r="EZ106" s="207">
        <f>IF(BD106=1,COUNTIF($BD$2:BD106,1),"")</f>
        <v>105</v>
      </c>
      <c r="FA106" s="207">
        <f>IF(BE106=1,COUNTIF($BE$2:BE106,1),"")</f>
        <v>105</v>
      </c>
      <c r="FB106" s="207">
        <f>IF(BF106=1,COUNTIF($BF$2:BF106,1),"")</f>
        <v>105</v>
      </c>
      <c r="FC106" s="207">
        <f>IF(BG106=1,COUNTIF($BG$2:BG106,1),"")</f>
        <v>105</v>
      </c>
      <c r="FD106" s="207">
        <f>IF(BH106=1,COUNTIF($BH$2:BH106,1),"")</f>
        <v>105</v>
      </c>
      <c r="FE106" s="207">
        <f>IF(BI106=1,COUNTIF($BI$2:BI106,1),"")</f>
        <v>105</v>
      </c>
      <c r="FF106" s="207">
        <f>IF(BJ106=1,COUNTIF($BJ$2:BJ106,1),"")</f>
        <v>105</v>
      </c>
      <c r="FG106" s="207">
        <f>IF(BK106=1,COUNTIF($BK$2:BK106,1),"")</f>
        <v>105</v>
      </c>
      <c r="FH106" s="207">
        <f>IF(BL106=1,COUNTIF($BL$2:BL106,1),"")</f>
        <v>105</v>
      </c>
      <c r="FI106" s="207">
        <f>IF(BM106=1,COUNTIF($BM$2:BM106,1),"")</f>
        <v>105</v>
      </c>
      <c r="FJ106" s="207">
        <f>IF(BN106=1,COUNTIF($BN$2:BN106,1),"")</f>
        <v>105</v>
      </c>
      <c r="FK106" s="207">
        <f>IF(BO106=1,COUNTIF($BO$2:BO106,1),"")</f>
        <v>105</v>
      </c>
      <c r="FL106" s="207">
        <f>IF(BP106=1,COUNTIF($BP$2:BP106,1),"")</f>
        <v>105</v>
      </c>
      <c r="FM106" s="207">
        <f>IF(BQ106=1,COUNTIF($BQ$2:BQ106,1),"")</f>
        <v>105</v>
      </c>
      <c r="FN106" s="207">
        <f>IF(BR106=1,COUNTIF($BR$2:BR106,1),"")</f>
        <v>105</v>
      </c>
      <c r="FO106" s="207">
        <f>IF(BS106=1,COUNTIF($BS$2:BS106,1),"")</f>
        <v>105</v>
      </c>
      <c r="FP106" s="207">
        <f>IF(BT106=1,COUNTIF($BT$2:BT106,1),"")</f>
        <v>105</v>
      </c>
      <c r="FQ106" s="207">
        <f>IF(BU106=1,COUNTIF($BU$2:BU106,1),"")</f>
        <v>105</v>
      </c>
      <c r="FR106" s="207">
        <f>IF(BV106=1,COUNTIF($BV$2:BV106,1),"")</f>
        <v>105</v>
      </c>
      <c r="FS106" s="207">
        <f>IF(BW106=1,COUNTIF($BW$2:BW106,1),"")</f>
        <v>105</v>
      </c>
      <c r="FT106" s="207">
        <f>IF(BX106=1,COUNTIF($BX$2:BX106,1),"")</f>
        <v>105</v>
      </c>
      <c r="FU106" s="207">
        <f>IF(BY106=1,COUNTIF($BY$2:BY106,1),"")</f>
        <v>105</v>
      </c>
      <c r="FV106" s="207">
        <f>IF(BZ106=1,COUNTIF($BZ$2:BZ106,1),"")</f>
        <v>105</v>
      </c>
      <c r="FW106" s="207">
        <f>IF(CA106=1,COUNTIF($CA$2:CA106,1),"")</f>
        <v>105</v>
      </c>
      <c r="FX106" s="207">
        <f>IF(CB106=1,COUNTIF($CB$2:CB106,1),"")</f>
        <v>105</v>
      </c>
      <c r="FY106" s="207">
        <f>IF(CC106=1,COUNTIF($CC$2:CC106,1),"")</f>
        <v>105</v>
      </c>
      <c r="FZ106" s="207">
        <f>IF(CD106=1,COUNTIF($CD$2:CD106,1),"")</f>
        <v>105</v>
      </c>
      <c r="GA106" s="207">
        <f>IF(CE106=1,COUNTIF($CE$2:CE106,1),"")</f>
        <v>105</v>
      </c>
      <c r="GB106" s="207">
        <f>IF(CF106=1,COUNTIF($CF$2:CF106,1),"")</f>
        <v>105</v>
      </c>
      <c r="GC106" s="207">
        <f>IF(CG106=1,COUNTIF($CG$2:CG106,1),"")</f>
        <v>105</v>
      </c>
      <c r="GD106" s="207">
        <f>IF(CH106=1,COUNTIF($CH$2:CH106,1),"")</f>
        <v>105</v>
      </c>
      <c r="GE106" s="207">
        <f>IF(CI106=1,COUNTIF($CI$2:CI106,1),"")</f>
        <v>105</v>
      </c>
      <c r="GF106" s="207">
        <f>IF(CJ106=1,COUNTIF($CJ$2:CJ106,1),"")</f>
        <v>105</v>
      </c>
      <c r="GG106" s="207">
        <f>IF(CK106=1,COUNTIF($CK$2:CK106,1),"")</f>
        <v>105</v>
      </c>
      <c r="GH106" s="207">
        <f>IF(CL106=1,COUNTIF($CL$2:CL106,1),"")</f>
        <v>105</v>
      </c>
      <c r="GI106" s="207">
        <f>IF(CM106=1,COUNTIF($CM$2:CM106,1),"")</f>
        <v>105</v>
      </c>
      <c r="GJ106" s="207">
        <f>IF(CN106=1,COUNTIF($CN$2:CN106,1),"")</f>
        <v>105</v>
      </c>
      <c r="GK106" s="207">
        <f>IF(CO106=1,COUNTIF($CO$2:CO106,1),"")</f>
        <v>105</v>
      </c>
      <c r="GL106" s="207">
        <f>IF(CP106=1,COUNTIF($CP$2:CP106,1),"")</f>
        <v>105</v>
      </c>
      <c r="GM106" s="207">
        <f>IF(CQ106=1,COUNTIF($CQ$2:CQ106,1),"")</f>
        <v>105</v>
      </c>
      <c r="GN106" s="207">
        <f>IF(CR106=1,COUNTIF($CR$2:CR106,1),"")</f>
        <v>105</v>
      </c>
      <c r="GO106" s="207">
        <f>IF(CS106=1,COUNTIF($CS$2:CS106,1),"")</f>
        <v>105</v>
      </c>
      <c r="GP106" s="207">
        <f>IF(CT106=1,COUNTIF($CT$2:CT106,1),"")</f>
        <v>105</v>
      </c>
      <c r="GQ106" s="207">
        <f>IF(CU106=1,COUNTIF($CU$2:CU106,1),"")</f>
        <v>105</v>
      </c>
      <c r="GR106" s="207">
        <f>IF(CV106=1,COUNTIF($CV$2:CV106,1),"")</f>
        <v>105</v>
      </c>
      <c r="GS106" s="207">
        <f>IF(CW106=1,COUNTIF($CW$2:CW106,1),"")</f>
        <v>105</v>
      </c>
      <c r="GT106" s="207">
        <f>IF(CX106=1,COUNTIF($CX$2:CX106,1),"")</f>
        <v>105</v>
      </c>
      <c r="GU106" s="207">
        <f>IF(CY106=1,COUNTIF($CY$2:CY106,1),"")</f>
        <v>105</v>
      </c>
      <c r="GV106" s="207">
        <f>IF(CZ106=1,COUNTIF($CZ$2:CZ106,1),"")</f>
        <v>105</v>
      </c>
      <c r="GW106" s="207">
        <f>IF(DA106=1,COUNTIF($DA$2:DA106,1),"")</f>
        <v>105</v>
      </c>
      <c r="GX106" s="206" t="str">
        <f>IFERROR(INDEX($A$2:$A$113,MATCH(ROWS($DB$2:DB106),$DB$2:$DB$113,0)),"")</f>
        <v>CONTRABANDO SIMPLE / AGRAVADO</v>
      </c>
      <c r="GY106" s="206" t="str">
        <f>IFERROR(INDEX($A$2:$A$113,MATCH(ROWS($DC$2:DC106),$DC$2:$DC$113,0)),"")</f>
        <v>CONTRABANDO SIMPLE / AGRAVADO</v>
      </c>
      <c r="GZ106" s="206" t="str">
        <f>IFERROR(INDEX($A$2:$A$113,MATCH(ROWS($DD$2:DD106),$DD$2:$DD$113,0)),"")</f>
        <v>CONTRABANDO SIMPLE / AGRAVADO</v>
      </c>
      <c r="HA106" s="206" t="str">
        <f>IFERROR(INDEX($A$2:$A$113,MATCH(ROWS($DE$2:DE106),$DE$2:$DE$113,0)),"")</f>
        <v>CONTRABANDO SIMPLE / AGRAVADO</v>
      </c>
      <c r="HB106" s="206" t="str">
        <f>IFERROR(INDEX($A$2:$A$113,MATCH(ROWS($DF$2:DF106),$DF$2:$DF$113,0)),"")</f>
        <v>CONTRABANDO SIMPLE / AGRAVADO</v>
      </c>
      <c r="HC106" s="206" t="str">
        <f>IFERROR(INDEX($A$2:$A$113,MATCH(ROWS($DG$2:DG106),$DG$2:$DG$113,0)),"")</f>
        <v>CONTRABANDO SIMPLE / AGRAVADO</v>
      </c>
      <c r="HD106" s="206" t="str">
        <f>IFERROR(INDEX($A$2:$A$113,MATCH(ROWS($DH$2:DH106),$DH$2:$DH$113,0)),"")</f>
        <v>CONTRABANDO SIMPLE / AGRAVADO</v>
      </c>
      <c r="HE106" s="206" t="str">
        <f>IFERROR(INDEX($A$2:$A$113,MATCH(ROWS($DI$2:DI106),$DI$2:$DI$113,0)),"")</f>
        <v>CONTRABANDO SIMPLE / AGRAVADO</v>
      </c>
      <c r="HF106" s="206" t="str">
        <f>IFERROR(INDEX($A$2:$A$113,MATCH(ROWS($DJ$2:DJ106),$DJ$2:$DJ$113,0)),"")</f>
        <v>CONTRABANDO SIMPLE / AGRAVADO</v>
      </c>
      <c r="HG106" s="206" t="str">
        <f>IFERROR(INDEX($A$2:$A$113,MATCH(ROWS($DK$2:DK106),$DK$2:$DK$113,0)),"")</f>
        <v>CONTRABANDO SIMPLE / AGRAVADO</v>
      </c>
      <c r="HH106" s="206" t="str">
        <f>IFERROR(INDEX($A$2:$A$113,MATCH(ROWS($DL$2:DL106),$DL$2:$DL$113,0)),"")</f>
        <v>CONTRABANDO SIMPLE / AGRAVADO</v>
      </c>
      <c r="HI106" s="206" t="str">
        <f>IFERROR(INDEX($A$2:$A$113,MATCH(ROWS($DM$2:DM106),$DM$2:$DM$113,0)),"")</f>
        <v>CONTRABANDO SIMPLE / AGRAVADO</v>
      </c>
      <c r="HJ106" s="206" t="str">
        <f>IFERROR(INDEX($A$2:$A$113,MATCH(ROWS($DN$2:DN106),$DN$2:$DN$113,0)),"")</f>
        <v>CONTRABANDO SIMPLE / AGRAVADO</v>
      </c>
      <c r="HK106" s="206" t="str">
        <f>IFERROR(INDEX($A$2:$A$113,MATCH(ROWS($DO$2:DO106),$DO$2:$DO$113,0)),"")</f>
        <v>CONTRABANDO SIMPLE / AGRAVADO</v>
      </c>
      <c r="HL106" s="206" t="str">
        <f>IFERROR(INDEX($A$2:$A$113,MATCH(ROWS($DP$2:DP106),$DP$2:$DP$113,0)),"")</f>
        <v>CONTRABANDO SIMPLE / AGRAVADO</v>
      </c>
      <c r="HM106" s="206" t="str">
        <f>IFERROR(INDEX($A$2:$A$113,MATCH(ROWS($DQ$2:DQ106),$DQ$2:$DQ$113,0)),"")</f>
        <v>CONTRABANDO SIMPLE / AGRAVADO</v>
      </c>
      <c r="HN106" s="206" t="str">
        <f>IFERROR(INDEX($A$2:$A$113,MATCH(ROWS($DR$2:DR106),$DR$2:$DR$113,0)),"")</f>
        <v>CONTRABANDO SIMPLE / AGRAVADO</v>
      </c>
      <c r="HO106" s="206" t="str">
        <f>IFERROR(INDEX($A$2:$A$113,MATCH(ROWS($DS$2:DS106),$DS$2:$DS$113,0)),"")</f>
        <v>CONTRABANDO SIMPLE / AGRAVADO</v>
      </c>
      <c r="HP106" s="206" t="str">
        <f>IFERROR(INDEX($A$2:$A$113,MATCH(ROWS($DT$2:DT106),$DT$2:$DT$113,0)),"")</f>
        <v>CONTRABANDO SIMPLE / AGRAVADO</v>
      </c>
      <c r="HQ106" s="206" t="str">
        <f>IFERROR(INDEX($A$2:$A$113,MATCH(ROWS($DU$2:DU106),$DU$2:$DU$113,0)),"")</f>
        <v>CONTRABANDO SIMPLE / AGRAVADO</v>
      </c>
      <c r="HR106" s="206" t="str">
        <f>IFERROR(INDEX($A$2:$A$113,MATCH(ROWS($DV$2:DV106),$DV$2:$DV$113,0)),"")</f>
        <v>CONTRABANDO SIMPLE / AGRAVADO</v>
      </c>
      <c r="HS106" s="206" t="str">
        <f>IFERROR(INDEX($A$2:$A$113,MATCH(ROWS($DW$2:DW106),$DW$2:$DW$113,0)),"")</f>
        <v>CONTRABANDO SIMPLE / AGRAVADO</v>
      </c>
      <c r="HT106" s="206" t="str">
        <f>IFERROR(INDEX($A$2:$A$113,MATCH(ROWS($DX$2:DX106),$DX$2:$DX$113,0)),"")</f>
        <v>CONTRABANDO SIMPLE / AGRAVADO</v>
      </c>
      <c r="HU106" s="206" t="str">
        <f>IFERROR(INDEX($A$2:$A$113,MATCH(ROWS($DY$2:DY106),$DY$2:$DY$113,0)),"")</f>
        <v>CONTRABANDO SIMPLE / AGRAVADO</v>
      </c>
      <c r="HV106" s="206" t="str">
        <f>IFERROR(INDEX($A$2:$A$113,MATCH(ROWS($DZ$2:DZ106),$DZ$2:$DZ$113,0)),"")</f>
        <v>CONTRABANDO SIMPLE / AGRAVADO</v>
      </c>
      <c r="HW106" s="206" t="str">
        <f>IFERROR(INDEX($A$2:$A$113,MATCH(ROWS($EA$2:EA106),$EA$2:$EA$113,0)),"")</f>
        <v>CONTRABANDO SIMPLE / AGRAVADO</v>
      </c>
      <c r="HX106" s="206" t="str">
        <f>IFERROR(INDEX($A$2:$A$113,MATCH(ROWS($EB$2:EB106),$EB$2:$EB$113,0)),"")</f>
        <v>CONTRABANDO SIMPLE / AGRAVADO</v>
      </c>
      <c r="HY106" s="206" t="str">
        <f>IFERROR(INDEX($A$2:$A$113,MATCH(ROWS($EC$2:EC106),$EC$2:$EC$113,0)),"")</f>
        <v>CONTRABANDO SIMPLE / AGRAVADO</v>
      </c>
      <c r="HZ106" s="206" t="str">
        <f>IFERROR(INDEX($A$2:$A$113,MATCH(ROWS($ED$2:ED106),$ED$2:$ED$113,0)),"")</f>
        <v>CONTRABANDO SIMPLE / AGRAVADO</v>
      </c>
      <c r="IA106" s="206" t="str">
        <f>IFERROR(INDEX($A$2:$A$113,MATCH(ROWS($EE$2:EE106),$EE$2:$EE$113,0)),"")</f>
        <v>CONTRABANDO SIMPLE / AGRAVADO</v>
      </c>
      <c r="IB106" s="206" t="str">
        <f>IFERROR(INDEX($A$2:$A$113,MATCH(ROWS($EF$2:EF106),$EF$2:$EF$113,0)),"")</f>
        <v>CONTRABANDO SIMPLE / AGRAVADO</v>
      </c>
      <c r="IC106" s="206" t="str">
        <f>IFERROR(INDEX($A$2:$A$113,MATCH(ROWS($EG$2:EG106),$EG$2:$EG$113,0)),"")</f>
        <v>CONTRABANDO SIMPLE / AGRAVADO</v>
      </c>
      <c r="ID106" s="206" t="str">
        <f>IFERROR(INDEX($A$2:$A$113,MATCH(ROWS($EH$2:EH106),$EH$2:$EH$113,0)),"")</f>
        <v>CONTRABANDO SIMPLE / AGRAVADO</v>
      </c>
      <c r="IE106" s="206" t="str">
        <f>IFERROR(INDEX($A$2:$A$113,MATCH(ROWS($EI$2:EI106),$EI$2:$EI$113,0)),"")</f>
        <v>CONTRABANDO SIMPLE / AGRAVADO</v>
      </c>
      <c r="IF106" s="206" t="str">
        <f>IFERROR(INDEX($A$2:$A$113,MATCH(ROWS($EJ$2:EJ106),$EJ$2:$EJ$113,0)),"")</f>
        <v>CONTRABANDO SIMPLE / AGRAVADO</v>
      </c>
      <c r="IG106" s="206" t="str">
        <f>IFERROR(INDEX($A$2:$A$113,MATCH(ROWS($EK$2:EK106),$EK$2:$EK$113,0)),"")</f>
        <v>CONTRABANDO SIMPLE / AGRAVADO</v>
      </c>
      <c r="IH106" s="206" t="str">
        <f>IFERROR(INDEX($A$2:$A$113,MATCH(ROWS($EL$2:EL106),$EL$2:$EL$113,0)),"")</f>
        <v>CONTRABANDO SIMPLE / AGRAVADO</v>
      </c>
      <c r="II106" s="206" t="str">
        <f>IFERROR(INDEX($A$2:$A$113,MATCH(ROWS($EM$2:EM106),$EM$2:$EM$113,0)),"")</f>
        <v>CONTRABANDO SIMPLE / AGRAVADO</v>
      </c>
      <c r="IJ106" s="206" t="str">
        <f>IFERROR(INDEX($A$2:$A$113,MATCH(ROWS($EN$2:EN106),$EN$2:$EN$113,0)),"")</f>
        <v>CONTRABANDO SIMPLE / AGRAVADO</v>
      </c>
      <c r="IK106" s="207" t="str">
        <f>IFERROR(INDEX($A$2:$A$113,MATCH(ROWS($EO$2:EO106),$EO$2:$EO$113,0)),"")</f>
        <v>CONTRABANDO SIMPLE / AGRAVADO</v>
      </c>
      <c r="IL106" s="207" t="str">
        <f>IFERROR(INDEX($A$2:$A$113,MATCH(ROWS($EP$2:EP106),$EP$2:$EP$113,0)),"")</f>
        <v>CONTRABANDO SIMPLE / AGRAVADO</v>
      </c>
      <c r="IM106" s="207" t="str">
        <f>IFERROR(INDEX($A$2:$A$113,MATCH(ROWS($EQ$2:EQ106),$EQ$2:$EQ$113,0)),"")</f>
        <v>CONTRABANDO SIMPLE / AGRAVADO</v>
      </c>
      <c r="IN106" s="207" t="str">
        <f>IFERROR(INDEX($A$2:$A$113,MATCH(ROWS($ER$2:ER106),$ER$2:$ER$113,0)),"")</f>
        <v>CONTRABANDO SIMPLE / AGRAVADO</v>
      </c>
      <c r="IO106" s="207" t="str">
        <f>IFERROR(INDEX($A$2:$A$113,MATCH(ROWS($ES$2:ES106),$ES$2:$ES$113,0)),"")</f>
        <v>CONTRABANDO SIMPLE / AGRAVADO</v>
      </c>
      <c r="IP106" s="207" t="str">
        <f>IFERROR(INDEX($A$2:$A$113,MATCH(ROWS($ET$2:ET106),$ET$2:$ET$113,0)),"")</f>
        <v>CONTRABANDO SIMPLE / AGRAVADO</v>
      </c>
      <c r="IQ106" s="207" t="str">
        <f>IFERROR(INDEX($A$2:$A$113,MATCH(ROWS($EU$2:EU106),$EU$2:$EU$113,0)),"")</f>
        <v>CONTRABANDO SIMPLE / AGRAVADO</v>
      </c>
      <c r="IR106" s="207" t="str">
        <f>IFERROR(INDEX($A$2:$A$113,MATCH(ROWS($EV$2:EV106),$EV$2:$EV$113,0)),"")</f>
        <v>CONTRABANDO SIMPLE / AGRAVADO</v>
      </c>
      <c r="IS106" s="207" t="str">
        <f>IFERROR(INDEX($A$2:$A$113,MATCH(ROWS($EW$2:EW106),$EW$2:$EW$113,0)),"")</f>
        <v>CONTRABANDO SIMPLE / AGRAVADO</v>
      </c>
      <c r="IT106" s="207" t="str">
        <f>IFERROR(INDEX($A$2:$A$113,MATCH(ROWS($EX$2:EX106),$EX$2:$EX$113,0)),"")</f>
        <v>CONTRABANDO SIMPLE / AGRAVADO</v>
      </c>
      <c r="IU106" s="207" t="str">
        <f>IFERROR(INDEX($A$2:$A$113,MATCH(ROWS($EY$2:EY106),$EY$2:$EY$113,0)),"")</f>
        <v>CONTRABANDO SIMPLE / AGRAVADO</v>
      </c>
      <c r="IV106" s="207" t="str">
        <f>IFERROR(INDEX($A$2:$A$113,MATCH(ROWS($EZ$2:EZ106),$EZ$2:$EZ$113,0)),"")</f>
        <v>CONTRABANDO SIMPLE / AGRAVADO</v>
      </c>
      <c r="IW106" s="207" t="str">
        <f>IFERROR(INDEX($A$2:$A$113,MATCH(ROWS($FA$2:FA106),$FA$2:$FA$113,0)),"")</f>
        <v>CONTRABANDO SIMPLE / AGRAVADO</v>
      </c>
      <c r="IX106" s="207" t="str">
        <f>IFERROR(INDEX($A$2:$A$113,MATCH(ROWS($FB$2:FB106),$FB$2:$FB$113,0)),"")</f>
        <v>CONTRABANDO SIMPLE / AGRAVADO</v>
      </c>
      <c r="IY106" s="207" t="str">
        <f>IFERROR(INDEX($A$2:$A$113,MATCH(ROWS($FC$2:FC106),$FC$2:$FC$113,0)),"")</f>
        <v>CONTRABANDO SIMPLE / AGRAVADO</v>
      </c>
      <c r="IZ106" s="207" t="str">
        <f>IFERROR(INDEX($A$2:$A$113,MATCH(ROWS($FD$2:FD106),$FD$2:$FD$113,0)),"")</f>
        <v>CONTRABANDO SIMPLE / AGRAVADO</v>
      </c>
      <c r="JA106" s="207" t="str">
        <f>IFERROR(INDEX($A$2:$A$113,MATCH(ROWS($FE$2:FE106),$FE$2:$FE$113,0)),"")</f>
        <v>CONTRABANDO SIMPLE / AGRAVADO</v>
      </c>
      <c r="JB106" s="207" t="str">
        <f>IFERROR(INDEX($A$2:$A$113,MATCH(ROWS($FF$2:FF106),$FF$2:$FF$113,0)),"")</f>
        <v>CONTRABANDO SIMPLE / AGRAVADO</v>
      </c>
      <c r="JC106" s="207" t="str">
        <f>IFERROR(INDEX($A$2:$A$113,MATCH(ROWS($FG$2:FG106),$FG$2:$FG$113,0)),"")</f>
        <v>CONTRABANDO SIMPLE / AGRAVADO</v>
      </c>
      <c r="JD106" s="207" t="str">
        <f>IFERROR(INDEX($A$2:$A$113,MATCH(ROWS($FH$2:FH106),$FH$2:$FH$113,0)),"")</f>
        <v>CONTRABANDO SIMPLE / AGRAVADO</v>
      </c>
      <c r="JE106" s="207" t="str">
        <f>IFERROR(INDEX($A$2:$A$113,MATCH(ROWS($FI$2:FI106),$FI$2:$FI$113,0)),"")</f>
        <v>CONTRABANDO SIMPLE / AGRAVADO</v>
      </c>
      <c r="JF106" s="207" t="str">
        <f>IFERROR(INDEX($A$2:$A$113,MATCH(ROWS($FJ$2:FJ106),$FJ$2:$FJ$113,0)),"")</f>
        <v>CONTRABANDO SIMPLE / AGRAVADO</v>
      </c>
      <c r="JG106" s="207" t="str">
        <f>IFERROR(INDEX($A$2:$A$113,MATCH(ROWS($FK$2:FK106),$FK$2:$FK$113,0)),"")</f>
        <v>CONTRABANDO SIMPLE / AGRAVADO</v>
      </c>
      <c r="JH106" s="207" t="str">
        <f>IFERROR(INDEX($A$2:$A$113,MATCH(ROWS($FL$2:FL106),$FL$2:$FL$113,0)),"")</f>
        <v>CONTRABANDO SIMPLE / AGRAVADO</v>
      </c>
      <c r="JI106" s="207" t="str">
        <f>IFERROR(INDEX($A$2:$A$113,MATCH(ROWS($FM$2:FM106),$FM$2:$FM$113,0)),"")</f>
        <v>CONTRABANDO SIMPLE / AGRAVADO</v>
      </c>
      <c r="JJ106" s="207" t="str">
        <f>IFERROR(INDEX($A$2:$A$113,MATCH(ROWS($FN$2:FN106),$FN$2:$FN$113,0)),"")</f>
        <v>CONTRABANDO SIMPLE / AGRAVADO</v>
      </c>
      <c r="JK106" s="207" t="str">
        <f>IFERROR(INDEX($A$2:$A$113,MATCH(ROWS($FO$2:FO106),$FO$2:$FO$113,0)),"")</f>
        <v>CONTRABANDO SIMPLE / AGRAVADO</v>
      </c>
      <c r="JL106" s="207" t="str">
        <f>IFERROR(INDEX($A$2:$A$113,MATCH(ROWS($FP$2:FP106),$FP$2:$FP$113,0)),"")</f>
        <v>CONTRABANDO SIMPLE / AGRAVADO</v>
      </c>
      <c r="JM106" s="207" t="str">
        <f>IFERROR(INDEX($A$2:$A$113,MATCH(ROWS($FQ$2:FQ106),$FQ$2:$FQ$113,0)),"")</f>
        <v>CONTRABANDO SIMPLE / AGRAVADO</v>
      </c>
      <c r="JN106" s="207" t="str">
        <f>IFERROR(INDEX($A$2:$A$113,MATCH(ROWS($FR$2:FR106),$FR$2:$FR$113,0)),"")</f>
        <v>CONTRABANDO SIMPLE / AGRAVADO</v>
      </c>
      <c r="JO106" s="207" t="str">
        <f>IFERROR(INDEX($A$2:$A$113,MATCH(ROWS($FS$2:FS106),$FS$2:$FS$113,0)),"")</f>
        <v>CONTRABANDO SIMPLE / AGRAVADO</v>
      </c>
      <c r="JP106" s="207" t="str">
        <f>IFERROR(INDEX($A$2:$A$113,MATCH(ROWS($FT$2:FT106),$FT$2:$FT$113,0)),"")</f>
        <v>CONTRABANDO SIMPLE / AGRAVADO</v>
      </c>
      <c r="JQ106" s="207" t="str">
        <f>IFERROR(INDEX($A$2:$A$113,MATCH(ROWS($FU$2:FU106),$FU$2:$FU$113,0)),"")</f>
        <v>CONTRABANDO SIMPLE / AGRAVADO</v>
      </c>
      <c r="JR106" s="207" t="str">
        <f>IFERROR(INDEX($A$2:$A$113,MATCH(ROWS($FV$2:FV106),$FV$2:$FV$113,0)),"")</f>
        <v>CONTRABANDO SIMPLE / AGRAVADO</v>
      </c>
      <c r="JS106" s="207" t="str">
        <f>IFERROR(INDEX($A$2:$A$113,MATCH(ROWS($FW$2:FW106),$FW$2:$FW$113,0)),"")</f>
        <v>CONTRABANDO SIMPLE / AGRAVADO</v>
      </c>
      <c r="JT106" s="207" t="str">
        <f>IFERROR(INDEX($A$2:$A$113,MATCH(ROWS($FX$2:FX106),$FX$2:$FX$113,0)),"")</f>
        <v>CONTRABANDO SIMPLE / AGRAVADO</v>
      </c>
      <c r="JU106" s="207" t="str">
        <f>IFERROR(INDEX($A$2:$A$113,MATCH(ROWS($FY$2:FY106),$FY$2:$FY$113,0)),"")</f>
        <v>CONTRABANDO SIMPLE / AGRAVADO</v>
      </c>
      <c r="JV106" s="207" t="str">
        <f>IFERROR(INDEX($A$2:$A$113,MATCH(ROWS($FZ$2:FZ106),$FZ$2:$FZ$113,0)),"")</f>
        <v>CONTRABANDO SIMPLE / AGRAVADO</v>
      </c>
      <c r="JW106" s="207" t="str">
        <f>IFERROR(INDEX($A$2:$A$113,MATCH(ROWS($GA$2:GA106),$GA$2:$GA$113,0)),"")</f>
        <v>CONTRABANDO SIMPLE / AGRAVADO</v>
      </c>
      <c r="JX106" s="207" t="str">
        <f>IFERROR(INDEX($A$2:$A$113,MATCH(ROWS($GB$2:GB106),$GB$2:$GB$113,0)),"")</f>
        <v>CONTRABANDO SIMPLE / AGRAVADO</v>
      </c>
      <c r="JY106" s="207" t="str">
        <f>IFERROR(INDEX($A$2:$A$113,MATCH(ROWS($GC$2:GC106),$GC$2:$GC$113,0)),"")</f>
        <v>CONTRABANDO SIMPLE / AGRAVADO</v>
      </c>
      <c r="JZ106" s="207" t="str">
        <f>IFERROR(INDEX($A$2:$A$113,MATCH(ROWS($GD$2:GD106),$GD$2:$GD$113,0)),"")</f>
        <v>CONTRABANDO SIMPLE / AGRAVADO</v>
      </c>
      <c r="KA106" s="207" t="str">
        <f>IFERROR(INDEX($A$2:$A$113,MATCH(ROWS($GE$2:GE106),$GE$2:$GE$113,0)),"")</f>
        <v>CONTRABANDO SIMPLE / AGRAVADO</v>
      </c>
      <c r="KB106" s="207" t="str">
        <f>IFERROR(INDEX($A$2:$A$113,MATCH(ROWS($GF$2:GF106),$GF$2:$GF$113,0)),"")</f>
        <v>CONTRABANDO SIMPLE / AGRAVADO</v>
      </c>
      <c r="KC106" s="207" t="str">
        <f>IFERROR(INDEX($A$2:$A$113,MATCH(ROWS($GG$2:GG106),$GG$2:$GG$113,0)),"")</f>
        <v>CONTRABANDO SIMPLE / AGRAVADO</v>
      </c>
      <c r="KD106" s="207" t="str">
        <f>IFERROR(INDEX($A$2:$A$113,MATCH(ROWS($GH$2:GH106),$GH$2:$GH$113,0)),"")</f>
        <v>CONTRABANDO SIMPLE / AGRAVADO</v>
      </c>
      <c r="KE106" s="207" t="str">
        <f>IFERROR(INDEX($A$2:$A$113,MATCH(ROWS($GI$2:GI106),$GI$2:$GI$113,0)),"")</f>
        <v>CONTRABANDO SIMPLE / AGRAVADO</v>
      </c>
      <c r="KF106" s="207" t="str">
        <f>IFERROR(INDEX($A$2:$A$113,MATCH(ROWS($GJ$2:GJ106),$GJ$2:$GJ$113,0)),"")</f>
        <v>CONTRABANDO SIMPLE / AGRAVADO</v>
      </c>
      <c r="KG106" s="207" t="str">
        <f>IFERROR(INDEX($A$2:$A$113,MATCH(ROWS($GK$2:GK106),$GK$2:$GK$113,0)),"")</f>
        <v>CONTRABANDO SIMPLE / AGRAVADO</v>
      </c>
      <c r="KH106" s="207" t="str">
        <f>IFERROR(INDEX($A$2:$A$113,MATCH(ROWS($GL$2:GL106),$GL$2:$GL$113,0)),"")</f>
        <v>CONTRABANDO SIMPLE / AGRAVADO</v>
      </c>
      <c r="KI106" s="207" t="str">
        <f>IFERROR(INDEX($A$2:$A$113,MATCH(ROWS($GM$2:GM106),$GM$2:$GM$113,0)),"")</f>
        <v>CONTRABANDO SIMPLE / AGRAVADO</v>
      </c>
      <c r="KJ106" s="207" t="str">
        <f>IFERROR(INDEX($A$2:$A$113,MATCH(ROWS($GN$2:GN106),$GN$2:$GN$113,0)),"")</f>
        <v>CONTRABANDO SIMPLE / AGRAVADO</v>
      </c>
      <c r="KK106" s="207" t="str">
        <f>IFERROR(INDEX($A$2:$A$113,MATCH(ROWS($GO$2:GO106),$GO$2:$GO$113,0)),"")</f>
        <v>CONTRABANDO SIMPLE / AGRAVADO</v>
      </c>
      <c r="KL106" s="207" t="str">
        <f>IFERROR(INDEX($A$2:$A$113,MATCH(ROWS($GP$2:GP106),$GP$2:$GP$113,0)),"")</f>
        <v>CONTRABANDO SIMPLE / AGRAVADO</v>
      </c>
      <c r="KM106" s="207" t="str">
        <f>IFERROR(INDEX($A$2:$A$113,MATCH(ROWS($GQ$2:GQ106),$GQ$2:$GQ$113,0)),"")</f>
        <v>CONTRABANDO SIMPLE / AGRAVADO</v>
      </c>
      <c r="KN106" s="207" t="str">
        <f>IFERROR(INDEX($A$2:$A$113,MATCH(ROWS($GR$2:GR106),$GR$2:$GR$113,0)),"")</f>
        <v>CONTRABANDO SIMPLE / AGRAVADO</v>
      </c>
      <c r="KO106" s="207" t="str">
        <f>IFERROR(INDEX($A$2:$A$113,MATCH(ROWS($GS$2:GS106),$GS$2:$GS$113,0)),"")</f>
        <v>CONTRABANDO SIMPLE / AGRAVADO</v>
      </c>
      <c r="KP106" s="207" t="str">
        <f>IFERROR(INDEX($A$2:$A$113,MATCH(ROWS($GT$2:GT106),$GT$2:$GT$113,0)),"")</f>
        <v>CONTRABANDO SIMPLE / AGRAVADO</v>
      </c>
      <c r="KQ106" s="207" t="str">
        <f>IFERROR(INDEX($A$2:$A$113,MATCH(ROWS($GU$2:GU106),$GU$2:$GU$113,0)),"")</f>
        <v>CONTRABANDO SIMPLE / AGRAVADO</v>
      </c>
      <c r="KR106" s="207" t="str">
        <f>IFERROR(INDEX($A$2:$A$113,MATCH(ROWS($GV$2:GV106),$GV$2:$GV$113,0)),"")</f>
        <v>CONTRABANDO SIMPLE / AGRAVADO</v>
      </c>
      <c r="KS106" s="207" t="str">
        <f>IFERROR(INDEX($A$2:$A$113,MATCH(ROWS($GW$2:GW106),$GW$2:$GW$113,0)),"")</f>
        <v>CONTRABANDO SIMPLE / AGRAVADO</v>
      </c>
    </row>
    <row r="107" spans="1:305" x14ac:dyDescent="0.25">
      <c r="A107" s="206" t="s">
        <v>892</v>
      </c>
      <c r="B107" s="206" t="s">
        <v>135</v>
      </c>
      <c r="D107" s="206" t="s">
        <v>43</v>
      </c>
      <c r="E107" s="206" t="s">
        <v>129</v>
      </c>
      <c r="F107" s="207">
        <f>--ISNUMBER(IFERROR(SEARCH('PLANILLA DJ'!$X$3,$A107,1),""))</f>
        <v>1</v>
      </c>
      <c r="G107" s="207">
        <f>--ISNUMBER(IFERROR(SEARCH('PLANILLA DJ'!$X$4,$A107,1),""))</f>
        <v>1</v>
      </c>
      <c r="H107" s="207">
        <f>--ISNUMBER(IFERROR(SEARCH('PLANILLA DJ'!$X$5,$A107,1),""))</f>
        <v>1</v>
      </c>
      <c r="I107" s="207">
        <f>--ISNUMBER(IFERROR(SEARCH('PLANILLA DJ'!$X$6,$A107,1),""))</f>
        <v>1</v>
      </c>
      <c r="J107" s="207">
        <f>--ISNUMBER(IFERROR(SEARCH('PLANILLA DJ'!$X$7,$A107,1),""))</f>
        <v>1</v>
      </c>
      <c r="K107" s="207">
        <f>--ISNUMBER(IFERROR(SEARCH('PLANILLA DJ'!$X$8,$A107,1),""))</f>
        <v>1</v>
      </c>
      <c r="L107" s="207">
        <f>--ISNUMBER(IFERROR(SEARCH('PLANILLA DJ'!$X$9,$A107,1),""))</f>
        <v>1</v>
      </c>
      <c r="M107" s="207">
        <f>--ISNUMBER(IFERROR(SEARCH('PLANILLA DJ'!$X$10,$A107,1),""))</f>
        <v>1</v>
      </c>
      <c r="N107" s="207">
        <f>--ISNUMBER(IFERROR(SEARCH('PLANILLA DJ'!$X$11,$A107,1),""))</f>
        <v>1</v>
      </c>
      <c r="O107" s="207">
        <f>--ISNUMBER(IFERROR(SEARCH('PLANILLA DJ'!$X$12,$A107,1),""))</f>
        <v>1</v>
      </c>
      <c r="P107" s="207">
        <f>--ISNUMBER(IFERROR(SEARCH('PLANILLA DJ'!$X$13,$A107,1),""))</f>
        <v>1</v>
      </c>
      <c r="Q107" s="207">
        <f>--ISNUMBER(IFERROR(SEARCH('PLANILLA DJ'!$X$14,$A107,1),""))</f>
        <v>1</v>
      </c>
      <c r="R107" s="207">
        <f>--ISNUMBER(IFERROR(SEARCH('PLANILLA DJ'!$X$15,$A107,1),""))</f>
        <v>1</v>
      </c>
      <c r="S107" s="207">
        <f>--ISNUMBER(IFERROR(SEARCH('PLANILLA DJ'!$X$16,$A107,1),""))</f>
        <v>1</v>
      </c>
      <c r="T107" s="207">
        <f>--ISNUMBER(IFERROR(SEARCH('PLANILLA DJ'!$X$17,$A107,1),""))</f>
        <v>1</v>
      </c>
      <c r="U107" s="207">
        <f>--ISNUMBER(IFERROR(SEARCH('PLANILLA DJ'!$X$18,$A107,1),""))</f>
        <v>1</v>
      </c>
      <c r="V107" s="207">
        <f>--ISNUMBER(IFERROR(SEARCH('PLANILLA DJ'!$X$19,$A107,1),""))</f>
        <v>1</v>
      </c>
      <c r="W107" s="207">
        <f>--ISNUMBER(IFERROR(SEARCH('PLANILLA DJ'!$X$20,$A107,1),""))</f>
        <v>1</v>
      </c>
      <c r="X107" s="207">
        <f>--ISNUMBER(IFERROR(SEARCH('PLANILLA DJ'!$X$21,$A107,1),""))</f>
        <v>1</v>
      </c>
      <c r="Y107" s="207">
        <f>--ISNUMBER(IFERROR(SEARCH('PLANILLA DJ'!$X$22,$A107,1),""))</f>
        <v>1</v>
      </c>
      <c r="Z107" s="207">
        <f>--ISNUMBER(IFERROR(SEARCH('PLANILLA DJ'!$X$23,$A107,1),""))</f>
        <v>1</v>
      </c>
      <c r="AA107" s="207">
        <f>--ISNUMBER(IFERROR(SEARCH('PLANILLA DJ'!$X$24,$A107,1),""))</f>
        <v>1</v>
      </c>
      <c r="AB107" s="207">
        <f>--ISNUMBER(IFERROR(SEARCH('PLANILLA DJ'!$X$25,$A107,1),""))</f>
        <v>1</v>
      </c>
      <c r="AC107" s="207">
        <f>--ISNUMBER(IFERROR(SEARCH('PLANILLA DJ'!$X$26,$A107,1),""))</f>
        <v>1</v>
      </c>
      <c r="AD107" s="207">
        <f>--ISNUMBER(IFERROR(SEARCH('PLANILLA DJ'!$X$27,$A107,1),""))</f>
        <v>1</v>
      </c>
      <c r="AE107" s="207">
        <f>--ISNUMBER(IFERROR(SEARCH('PLANILLA DJ'!$X$28,$A107,1),""))</f>
        <v>1</v>
      </c>
      <c r="AF107" s="207">
        <f>--ISNUMBER(IFERROR(SEARCH('PLANILLA DJ'!$X$29,$A107,1),""))</f>
        <v>1</v>
      </c>
      <c r="AG107" s="207">
        <f>--ISNUMBER(IFERROR(SEARCH('PLANILLA DJ'!$X$30,$A107,1),""))</f>
        <v>1</v>
      </c>
      <c r="AH107" s="207">
        <f>--ISNUMBER(IFERROR(SEARCH('PLANILLA DJ'!$X$31,$A107,1),""))</f>
        <v>1</v>
      </c>
      <c r="AI107" s="207">
        <f>--ISNUMBER(IFERROR(SEARCH('PLANILLA DJ'!$X$32,$A107,1),""))</f>
        <v>1</v>
      </c>
      <c r="AJ107" s="207">
        <f>--ISNUMBER(IFERROR(SEARCH('PLANILLA DJ'!$X$33,$A107,1),""))</f>
        <v>1</v>
      </c>
      <c r="AK107" s="207">
        <f>--ISNUMBER(IFERROR(SEARCH('PLANILLA DJ'!$X$34,$A107,1),""))</f>
        <v>1</v>
      </c>
      <c r="AL107" s="207">
        <f>--ISNUMBER(IFERROR(SEARCH('PLANILLA DJ'!$X$35,$A107,1),""))</f>
        <v>1</v>
      </c>
      <c r="AM107" s="207">
        <f>--ISNUMBER(IFERROR(SEARCH('PLANILLA DJ'!$X$36,$A107,1),""))</f>
        <v>1</v>
      </c>
      <c r="AN107" s="207">
        <f>--ISNUMBER(IFERROR(SEARCH('PLANILLA DJ'!$X$37,$A107,1),""))</f>
        <v>1</v>
      </c>
      <c r="AO107" s="207">
        <f>--ISNUMBER(IFERROR(SEARCH('PLANILLA DJ'!$X$38,$A107,1),""))</f>
        <v>1</v>
      </c>
      <c r="AP107" s="207">
        <f>--ISNUMBER(IFERROR(SEARCH('PLANILLA DJ'!$X$39,$A107,1),""))</f>
        <v>1</v>
      </c>
      <c r="AQ107" s="207">
        <f>--ISNUMBER(IFERROR(SEARCH('PLANILLA DJ'!$X$40,$A107,1),""))</f>
        <v>1</v>
      </c>
      <c r="AR107" s="207">
        <f>--ISNUMBER(IFERROR(SEARCH('PLANILLA DJ'!$X$41,$A107,1),""))</f>
        <v>1</v>
      </c>
      <c r="AS107" s="207">
        <f>--ISNUMBER(IFERROR(SEARCH('PLANILLA DJ'!$X$42,$A107,1),""))</f>
        <v>1</v>
      </c>
      <c r="AT107" s="207">
        <f>--ISNUMBER(IFERROR(SEARCH('PLANILLA DJ'!$X$43,$A107,1),""))</f>
        <v>1</v>
      </c>
      <c r="AU107" s="207">
        <f>--ISNUMBER(IFERROR(SEARCH('PLANILLA DJ'!$X$44,$A107,1),""))</f>
        <v>1</v>
      </c>
      <c r="AV107" s="207">
        <f>--ISNUMBER(IFERROR(SEARCH('PLANILLA DJ'!$X$45,$A107,1),""))</f>
        <v>1</v>
      </c>
      <c r="AW107" s="207">
        <f>--ISNUMBER(IFERROR(SEARCH('PLANILLA DJ'!$X$46,$A107,1),""))</f>
        <v>1</v>
      </c>
      <c r="AX107" s="207">
        <f>--ISNUMBER(IFERROR(SEARCH('PLANILLA DJ'!$X$47,$A107,1),""))</f>
        <v>1</v>
      </c>
      <c r="AY107" s="207">
        <f>--ISNUMBER(IFERROR(SEARCH('PLANILLA DJ'!$X$48,$A107,1),""))</f>
        <v>1</v>
      </c>
      <c r="AZ107" s="207">
        <f>--ISNUMBER(IFERROR(SEARCH('PLANILLA DJ'!$X$49,$A107,1),""))</f>
        <v>1</v>
      </c>
      <c r="BA107" s="207">
        <f>--ISNUMBER(IFERROR(SEARCH('PLANILLA DJ'!$X$50,$A107,1),""))</f>
        <v>1</v>
      </c>
      <c r="BB107" s="207">
        <f>--ISNUMBER(IFERROR(SEARCH('PLANILLA DJ'!$X$51,$A107,1),""))</f>
        <v>1</v>
      </c>
      <c r="BC107" s="207">
        <f>--ISNUMBER(IFERROR(SEARCH('PLANILLA DJ'!$X$52,$A107,1),""))</f>
        <v>1</v>
      </c>
      <c r="BD107" s="207">
        <f>--ISNUMBER(IFERROR(SEARCH('PLANILLA DJ'!$X$53,$A107,1),""))</f>
        <v>1</v>
      </c>
      <c r="BE107" s="207">
        <f>--ISNUMBER(IFERROR(SEARCH('PLANILLA DJ'!$X$54,$A107,1),""))</f>
        <v>1</v>
      </c>
      <c r="BF107" s="207">
        <f>--ISNUMBER(IFERROR(SEARCH('PLANILLA DJ'!$X$55,$A107,1),""))</f>
        <v>1</v>
      </c>
      <c r="BG107" s="207">
        <f>--ISNUMBER(IFERROR(SEARCH('PLANILLA DJ'!$X$56,$A107,1),""))</f>
        <v>1</v>
      </c>
      <c r="BH107" s="207">
        <f>--ISNUMBER(IFERROR(SEARCH('PLANILLA DJ'!$X$57,$A107,1),""))</f>
        <v>1</v>
      </c>
      <c r="BI107" s="207">
        <f>--ISNUMBER(IFERROR(SEARCH('PLANILLA DJ'!$X$58,$A107,1),""))</f>
        <v>1</v>
      </c>
      <c r="BJ107" s="207">
        <f>--ISNUMBER(IFERROR(SEARCH('PLANILLA DJ'!$X$59,$A107,1),""))</f>
        <v>1</v>
      </c>
      <c r="BK107" s="207">
        <f>--ISNUMBER(IFERROR(SEARCH('PLANILLA DJ'!$X$60,$A107,1),""))</f>
        <v>1</v>
      </c>
      <c r="BL107" s="207">
        <f>--ISNUMBER(IFERROR(SEARCH('PLANILLA DJ'!$X$61,$A107,1),""))</f>
        <v>1</v>
      </c>
      <c r="BM107" s="207">
        <f>--ISNUMBER(IFERROR(SEARCH('PLANILLA DJ'!$X$62,$A107,1),""))</f>
        <v>1</v>
      </c>
      <c r="BN107" s="207">
        <f>--ISNUMBER(IFERROR(SEARCH('PLANILLA DJ'!$X$63,$A107,1),""))</f>
        <v>1</v>
      </c>
      <c r="BO107" s="207">
        <f>--ISNUMBER(IFERROR(SEARCH('PLANILLA DJ'!$X$64,$A107,1),""))</f>
        <v>1</v>
      </c>
      <c r="BP107" s="207">
        <f>--ISNUMBER(IFERROR(SEARCH('PLANILLA DJ'!$X$65,$A107,1),""))</f>
        <v>1</v>
      </c>
      <c r="BQ107" s="207">
        <f>--ISNUMBER(IFERROR(SEARCH('PLANILLA DJ'!$X$66,$A107,1),""))</f>
        <v>1</v>
      </c>
      <c r="BR107" s="207">
        <f>--ISNUMBER(IFERROR(SEARCH('PLANILLA DJ'!$X$67,$A107,1),""))</f>
        <v>1</v>
      </c>
      <c r="BS107" s="207">
        <f>--ISNUMBER(IFERROR(SEARCH('PLANILLA DJ'!$X$68,$A107,1),""))</f>
        <v>1</v>
      </c>
      <c r="BT107" s="207">
        <f>--ISNUMBER(IFERROR(SEARCH('PLANILLA DJ'!$X$69,$A107,1),""))</f>
        <v>1</v>
      </c>
      <c r="BU107" s="207">
        <f>--ISNUMBER(IFERROR(SEARCH('PLANILLA DJ'!$X$70,$A107,1),""))</f>
        <v>1</v>
      </c>
      <c r="BV107" s="207">
        <f>--ISNUMBER(IFERROR(SEARCH('PLANILLA DJ'!$X$71,$A107,1),""))</f>
        <v>1</v>
      </c>
      <c r="BW107" s="207">
        <f>--ISNUMBER(IFERROR(SEARCH('PLANILLA DJ'!$X$72,$A107,1),""))</f>
        <v>1</v>
      </c>
      <c r="BX107" s="207">
        <f>--ISNUMBER(IFERROR(SEARCH('PLANILLA DJ'!$X$73,$A107,1),""))</f>
        <v>1</v>
      </c>
      <c r="BY107" s="207">
        <f>--ISNUMBER(IFERROR(SEARCH('PLANILLA DJ'!$X$74,$A107,1),""))</f>
        <v>1</v>
      </c>
      <c r="BZ107" s="207">
        <f>--ISNUMBER(IFERROR(SEARCH('PLANILLA DJ'!$X$75,$A107,1),""))</f>
        <v>1</v>
      </c>
      <c r="CA107" s="207">
        <f>--ISNUMBER(IFERROR(SEARCH('PLANILLA DJ'!$X$76,$A107,1),""))</f>
        <v>1</v>
      </c>
      <c r="CB107" s="207">
        <f>--ISNUMBER(IFERROR(SEARCH('PLANILLA DJ'!$X$77,$A107,1),""))</f>
        <v>1</v>
      </c>
      <c r="CC107" s="207">
        <f>--ISNUMBER(IFERROR(SEARCH('PLANILLA DJ'!$X$78,$A107,1),""))</f>
        <v>1</v>
      </c>
      <c r="CD107" s="207">
        <f>--ISNUMBER(IFERROR(SEARCH('PLANILLA DJ'!$X$79,$A107,1),""))</f>
        <v>1</v>
      </c>
      <c r="CE107" s="207">
        <f>--ISNUMBER(IFERROR(SEARCH('PLANILLA DJ'!$X$80,$A107,1),""))</f>
        <v>1</v>
      </c>
      <c r="CF107" s="207">
        <f>--ISNUMBER(IFERROR(SEARCH('PLANILLA DJ'!$X$81,$A107,1),""))</f>
        <v>1</v>
      </c>
      <c r="CG107" s="207">
        <f>--ISNUMBER(IFERROR(SEARCH('PLANILLA DJ'!$X$82,$A107,1),""))</f>
        <v>1</v>
      </c>
      <c r="CH107" s="207">
        <f>--ISNUMBER(IFERROR(SEARCH('PLANILLA DJ'!$X$83,$A107,1),""))</f>
        <v>1</v>
      </c>
      <c r="CI107" s="207">
        <f>--ISNUMBER(IFERROR(SEARCH('PLANILLA DJ'!$X$84,$A107,1),""))</f>
        <v>1</v>
      </c>
      <c r="CJ107" s="207">
        <f>--ISNUMBER(IFERROR(SEARCH('PLANILLA DJ'!$X$85,$A107,1),""))</f>
        <v>1</v>
      </c>
      <c r="CK107" s="207">
        <f>--ISNUMBER(IFERROR(SEARCH('PLANILLA DJ'!$X$86,$A107,1),""))</f>
        <v>1</v>
      </c>
      <c r="CL107" s="207">
        <f>--ISNUMBER(IFERROR(SEARCH('PLANILLA DJ'!$X$87,$A107,1),""))</f>
        <v>1</v>
      </c>
      <c r="CM107" s="207">
        <f>--ISNUMBER(IFERROR(SEARCH('PLANILLA DJ'!$X$88,$A107,1),""))</f>
        <v>1</v>
      </c>
      <c r="CN107" s="207">
        <f>--ISNUMBER(IFERROR(SEARCH('PLANILLA DJ'!$X$89,$A107,1),""))</f>
        <v>1</v>
      </c>
      <c r="CO107" s="207">
        <f>--ISNUMBER(IFERROR(SEARCH('PLANILLA DJ'!$X$90,$A107,1),""))</f>
        <v>1</v>
      </c>
      <c r="CP107" s="207">
        <f>--ISNUMBER(IFERROR(SEARCH('PLANILLA DJ'!$X$91,$A107,1),""))</f>
        <v>1</v>
      </c>
      <c r="CQ107" s="207">
        <f>--ISNUMBER(IFERROR(SEARCH('PLANILLA DJ'!$X$92,$A107,1),""))</f>
        <v>1</v>
      </c>
      <c r="CR107" s="207">
        <f>--ISNUMBER(IFERROR(SEARCH('PLANILLA DJ'!$X$93,$A107,1),""))</f>
        <v>1</v>
      </c>
      <c r="CS107" s="207">
        <f>--ISNUMBER(IFERROR(SEARCH('PLANILLA DJ'!$X$94,$A107,1),""))</f>
        <v>1</v>
      </c>
      <c r="CT107" s="207">
        <f>--ISNUMBER(IFERROR(SEARCH('PLANILLA DJ'!$X$95,$A107,1),""))</f>
        <v>1</v>
      </c>
      <c r="CU107" s="207">
        <f>--ISNUMBER(IFERROR(SEARCH('PLANILLA DJ'!$X$96,$A107,1),""))</f>
        <v>1</v>
      </c>
      <c r="CV107" s="207">
        <f>--ISNUMBER(IFERROR(SEARCH('PLANILLA DJ'!$X$97,$A107,1),""))</f>
        <v>1</v>
      </c>
      <c r="CW107" s="207">
        <f>--ISNUMBER(IFERROR(SEARCH('PLANILLA DJ'!$X$98,$A107,1),""))</f>
        <v>1</v>
      </c>
      <c r="CX107" s="207">
        <f>--ISNUMBER(IFERROR(SEARCH('PLANILLA DJ'!$X$99,$A107,1),""))</f>
        <v>1</v>
      </c>
      <c r="CY107" s="207">
        <f>--ISNUMBER(IFERROR(SEARCH('PLANILLA DJ'!$X$100,$A107,1),""))</f>
        <v>1</v>
      </c>
      <c r="CZ107" s="207">
        <f>--ISNUMBER(IFERROR(SEARCH('PLANILLA DJ'!$X$101,$A107,1),""))</f>
        <v>1</v>
      </c>
      <c r="DA107" s="207">
        <f>--ISNUMBER(IFERROR(SEARCH('PLANILLA DJ'!$X$102,$A107,1),""))</f>
        <v>1</v>
      </c>
      <c r="DB107" s="206">
        <f>IF(F107=1,COUNTIF($F$2:F107,1),"")</f>
        <v>106</v>
      </c>
      <c r="DC107" s="206">
        <f>IF(G107=1,COUNTIF($G$2:G107,1),"")</f>
        <v>106</v>
      </c>
      <c r="DD107" s="206">
        <f>IF(H107=1,COUNTIF($H$2:H107,1),"")</f>
        <v>106</v>
      </c>
      <c r="DE107" s="206">
        <f>IF(I107=1,COUNTIF($I$2:I107,1),"")</f>
        <v>106</v>
      </c>
      <c r="DF107" s="206">
        <f>IF(J107=1,COUNTIF($J$2:J107,1),"")</f>
        <v>106</v>
      </c>
      <c r="DG107" s="206">
        <f>IF(K107=1,COUNTIF($K$2:K107,1),"")</f>
        <v>106</v>
      </c>
      <c r="DH107" s="206">
        <f>IF(L107=1,COUNTIF($L$2:L107,1),"")</f>
        <v>106</v>
      </c>
      <c r="DI107" s="206">
        <f>IF(M107=1,COUNTIF($M$2:M107,1),"")</f>
        <v>106</v>
      </c>
      <c r="DJ107" s="206">
        <f>IF(N107=1,COUNTIF($N$2:N107,1),"")</f>
        <v>106</v>
      </c>
      <c r="DK107" s="206">
        <f>IF(O107=1,COUNTIF($O$2:O107,1),"")</f>
        <v>106</v>
      </c>
      <c r="DL107" s="206">
        <f>IF(P107=1,COUNTIF($P$2:P107,1),"")</f>
        <v>106</v>
      </c>
      <c r="DM107" s="206">
        <f>IF(Q107=1,COUNTIF($Q$2:Q107,1),"")</f>
        <v>106</v>
      </c>
      <c r="DN107" s="207">
        <f>IF(R107=1,COUNTIF($R$2:R107,1),"")</f>
        <v>106</v>
      </c>
      <c r="DO107" s="207">
        <f>IF(S107=1,COUNTIF($S$2:S107,1),"")</f>
        <v>106</v>
      </c>
      <c r="DP107" s="207">
        <f>IF(T107=1,COUNTIF($T$2:T107,1),"")</f>
        <v>106</v>
      </c>
      <c r="DQ107" s="207">
        <f>IF(U107=1,COUNTIF($U$2:U107,1),"")</f>
        <v>106</v>
      </c>
      <c r="DR107" s="207">
        <f>IF(V107=1,COUNTIF($V$2:V107,1),"")</f>
        <v>106</v>
      </c>
      <c r="DS107" s="207">
        <f>IF(W107=1,COUNTIF($W$2:W107,1),"")</f>
        <v>106</v>
      </c>
      <c r="DT107" s="207">
        <f>IF(X107=1,COUNTIF($X$2:X107,1),"")</f>
        <v>106</v>
      </c>
      <c r="DU107" s="207">
        <f>IF(Y107=1,COUNTIF($Y$2:Y107,1),"")</f>
        <v>106</v>
      </c>
      <c r="DV107" s="207">
        <f>IF(Z107=1,COUNTIF(Z$2:Z107,1),"")</f>
        <v>106</v>
      </c>
      <c r="DW107" s="207">
        <f>IF(AA107=1,COUNTIF($AA$2:AA107,1),"")</f>
        <v>106</v>
      </c>
      <c r="DX107" s="207">
        <f>IF(AB107=1,COUNTIF($AB$2:AB107,1),"")</f>
        <v>106</v>
      </c>
      <c r="DY107" s="207">
        <f>IF(AC107=1,COUNTIF($AC$2:AC107,1),"")</f>
        <v>106</v>
      </c>
      <c r="DZ107" s="207">
        <f>IF(AD107=1,COUNTIF($AD$2:AD107,1),"")</f>
        <v>106</v>
      </c>
      <c r="EA107" s="207">
        <f>IF(AE107=1,COUNTIF($AE$2:AE107,1),"")</f>
        <v>106</v>
      </c>
      <c r="EB107" s="207">
        <f>IF(AF107=1,COUNTIF($AF$2:AF107,1),"")</f>
        <v>106</v>
      </c>
      <c r="EC107" s="207">
        <f>IF(AG107=1,COUNTIF($AG$2:AG107,1),"")</f>
        <v>106</v>
      </c>
      <c r="ED107" s="207">
        <f>IF(AH107=1,COUNTIF($AH$2:AH107,1),"")</f>
        <v>106</v>
      </c>
      <c r="EE107" s="207">
        <f>IF(AI107=1,COUNTIF($AI$2:AI107,1),"")</f>
        <v>106</v>
      </c>
      <c r="EF107" s="207">
        <f>IF(AJ107=1,COUNTIF($AJ$2:AJ107,1),"")</f>
        <v>106</v>
      </c>
      <c r="EG107" s="207">
        <f>IF(AK107=1,COUNTIF($AK$2:AK107,1),"")</f>
        <v>106</v>
      </c>
      <c r="EH107" s="207">
        <f>IF(AL107=1,COUNTIF($AL$2:AL107,1),"")</f>
        <v>106</v>
      </c>
      <c r="EI107" s="207">
        <f>IF(AM107=1,COUNTIF($AM$2:AM107,1),"")</f>
        <v>106</v>
      </c>
      <c r="EJ107" s="207">
        <f>IF(AN107=1,COUNTIF($AN$2:AN107,1),"")</f>
        <v>106</v>
      </c>
      <c r="EK107" s="207">
        <f>IF(AO107=1,COUNTIF($AO$2:AO107,1),"")</f>
        <v>106</v>
      </c>
      <c r="EL107" s="207">
        <f>IF(AP107=1,COUNTIF($AP$2:AP107,1),"")</f>
        <v>106</v>
      </c>
      <c r="EM107" s="207">
        <f>IF(AQ107=1,COUNTIF($AQ$2:AQ107,1),"")</f>
        <v>106</v>
      </c>
      <c r="EN107" s="207">
        <f>IF(AR107=1,COUNTIF($AR$2:AR107,1),"")</f>
        <v>106</v>
      </c>
      <c r="EO107" s="207">
        <f>IF(AS107=1,COUNTIF($AS$2:AS107,1),"")</f>
        <v>106</v>
      </c>
      <c r="EP107" s="207">
        <f>IF(AT107=1,COUNTIF($AT$2:AT107,1),"")</f>
        <v>106</v>
      </c>
      <c r="EQ107" s="207">
        <f>IF(AU107=1,COUNTIF($AU$2:AU107,1),"")</f>
        <v>106</v>
      </c>
      <c r="ER107" s="207">
        <f>IF(AV107=1,COUNTIF($AV$2:AV107,1),"")</f>
        <v>106</v>
      </c>
      <c r="ES107" s="207">
        <f>IF(AW107=1,COUNTIF($AW$2:AW107,1),"")</f>
        <v>106</v>
      </c>
      <c r="ET107" s="207">
        <f>IF(AX107=1,COUNTIF($AX$2:AX107,1),"")</f>
        <v>106</v>
      </c>
      <c r="EU107" s="207">
        <f>IF(AY107=1,COUNTIF($AY$2:AY107,1),"")</f>
        <v>106</v>
      </c>
      <c r="EV107" s="207">
        <f>IF(AZ107=1,COUNTIF($AZ$2:AZ107,1),"")</f>
        <v>106</v>
      </c>
      <c r="EW107" s="207">
        <f>IF(BA107=1,COUNTIF($BA$2:BA107,1),"")</f>
        <v>106</v>
      </c>
      <c r="EX107" s="207">
        <f>IF(BB107=1,COUNTIF($BB$2:BB107,1),"")</f>
        <v>106</v>
      </c>
      <c r="EY107" s="207">
        <f>IF(BC107=1,COUNTIF($BC$2:BC107,1),"")</f>
        <v>106</v>
      </c>
      <c r="EZ107" s="207">
        <f>IF(BD107=1,COUNTIF($BD$2:BD107,1),"")</f>
        <v>106</v>
      </c>
      <c r="FA107" s="207">
        <f>IF(BE107=1,COUNTIF($BE$2:BE107,1),"")</f>
        <v>106</v>
      </c>
      <c r="FB107" s="207">
        <f>IF(BF107=1,COUNTIF($BF$2:BF107,1),"")</f>
        <v>106</v>
      </c>
      <c r="FC107" s="207">
        <f>IF(BG107=1,COUNTIF($BG$2:BG107,1),"")</f>
        <v>106</v>
      </c>
      <c r="FD107" s="207">
        <f>IF(BH107=1,COUNTIF($BH$2:BH107,1),"")</f>
        <v>106</v>
      </c>
      <c r="FE107" s="207">
        <f>IF(BI107=1,COUNTIF($BI$2:BI107,1),"")</f>
        <v>106</v>
      </c>
      <c r="FF107" s="207">
        <f>IF(BJ107=1,COUNTIF($BJ$2:BJ107,1),"")</f>
        <v>106</v>
      </c>
      <c r="FG107" s="207">
        <f>IF(BK107=1,COUNTIF($BK$2:BK107,1),"")</f>
        <v>106</v>
      </c>
      <c r="FH107" s="207">
        <f>IF(BL107=1,COUNTIF($BL$2:BL107,1),"")</f>
        <v>106</v>
      </c>
      <c r="FI107" s="207">
        <f>IF(BM107=1,COUNTIF($BM$2:BM107,1),"")</f>
        <v>106</v>
      </c>
      <c r="FJ107" s="207">
        <f>IF(BN107=1,COUNTIF($BN$2:BN107,1),"")</f>
        <v>106</v>
      </c>
      <c r="FK107" s="207">
        <f>IF(BO107=1,COUNTIF($BO$2:BO107,1),"")</f>
        <v>106</v>
      </c>
      <c r="FL107" s="207">
        <f>IF(BP107=1,COUNTIF($BP$2:BP107,1),"")</f>
        <v>106</v>
      </c>
      <c r="FM107" s="207">
        <f>IF(BQ107=1,COUNTIF($BQ$2:BQ107,1),"")</f>
        <v>106</v>
      </c>
      <c r="FN107" s="207">
        <f>IF(BR107=1,COUNTIF($BR$2:BR107,1),"")</f>
        <v>106</v>
      </c>
      <c r="FO107" s="207">
        <f>IF(BS107=1,COUNTIF($BS$2:BS107,1),"")</f>
        <v>106</v>
      </c>
      <c r="FP107" s="207">
        <f>IF(BT107=1,COUNTIF($BT$2:BT107,1),"")</f>
        <v>106</v>
      </c>
      <c r="FQ107" s="207">
        <f>IF(BU107=1,COUNTIF($BU$2:BU107,1),"")</f>
        <v>106</v>
      </c>
      <c r="FR107" s="207">
        <f>IF(BV107=1,COUNTIF($BV$2:BV107,1),"")</f>
        <v>106</v>
      </c>
      <c r="FS107" s="207">
        <f>IF(BW107=1,COUNTIF($BW$2:BW107,1),"")</f>
        <v>106</v>
      </c>
      <c r="FT107" s="207">
        <f>IF(BX107=1,COUNTIF($BX$2:BX107,1),"")</f>
        <v>106</v>
      </c>
      <c r="FU107" s="207">
        <f>IF(BY107=1,COUNTIF($BY$2:BY107,1),"")</f>
        <v>106</v>
      </c>
      <c r="FV107" s="207">
        <f>IF(BZ107=1,COUNTIF($BZ$2:BZ107,1),"")</f>
        <v>106</v>
      </c>
      <c r="FW107" s="207">
        <f>IF(CA107=1,COUNTIF($CA$2:CA107,1),"")</f>
        <v>106</v>
      </c>
      <c r="FX107" s="207">
        <f>IF(CB107=1,COUNTIF($CB$2:CB107,1),"")</f>
        <v>106</v>
      </c>
      <c r="FY107" s="207">
        <f>IF(CC107=1,COUNTIF($CC$2:CC107,1),"")</f>
        <v>106</v>
      </c>
      <c r="FZ107" s="207">
        <f>IF(CD107=1,COUNTIF($CD$2:CD107,1),"")</f>
        <v>106</v>
      </c>
      <c r="GA107" s="207">
        <f>IF(CE107=1,COUNTIF($CE$2:CE107,1),"")</f>
        <v>106</v>
      </c>
      <c r="GB107" s="207">
        <f>IF(CF107=1,COUNTIF($CF$2:CF107,1),"")</f>
        <v>106</v>
      </c>
      <c r="GC107" s="207">
        <f>IF(CG107=1,COUNTIF($CG$2:CG107,1),"")</f>
        <v>106</v>
      </c>
      <c r="GD107" s="207">
        <f>IF(CH107=1,COUNTIF($CH$2:CH107,1),"")</f>
        <v>106</v>
      </c>
      <c r="GE107" s="207">
        <f>IF(CI107=1,COUNTIF($CI$2:CI107,1),"")</f>
        <v>106</v>
      </c>
      <c r="GF107" s="207">
        <f>IF(CJ107=1,COUNTIF($CJ$2:CJ107,1),"")</f>
        <v>106</v>
      </c>
      <c r="GG107" s="207">
        <f>IF(CK107=1,COUNTIF($CK$2:CK107,1),"")</f>
        <v>106</v>
      </c>
      <c r="GH107" s="207">
        <f>IF(CL107=1,COUNTIF($CL$2:CL107,1),"")</f>
        <v>106</v>
      </c>
      <c r="GI107" s="207">
        <f>IF(CM107=1,COUNTIF($CM$2:CM107,1),"")</f>
        <v>106</v>
      </c>
      <c r="GJ107" s="207">
        <f>IF(CN107=1,COUNTIF($CN$2:CN107,1),"")</f>
        <v>106</v>
      </c>
      <c r="GK107" s="207">
        <f>IF(CO107=1,COUNTIF($CO$2:CO107,1),"")</f>
        <v>106</v>
      </c>
      <c r="GL107" s="207">
        <f>IF(CP107=1,COUNTIF($CP$2:CP107,1),"")</f>
        <v>106</v>
      </c>
      <c r="GM107" s="207">
        <f>IF(CQ107=1,COUNTIF($CQ$2:CQ107,1),"")</f>
        <v>106</v>
      </c>
      <c r="GN107" s="207">
        <f>IF(CR107=1,COUNTIF($CR$2:CR107,1),"")</f>
        <v>106</v>
      </c>
      <c r="GO107" s="207">
        <f>IF(CS107=1,COUNTIF($CS$2:CS107,1),"")</f>
        <v>106</v>
      </c>
      <c r="GP107" s="207">
        <f>IF(CT107=1,COUNTIF($CT$2:CT107,1),"")</f>
        <v>106</v>
      </c>
      <c r="GQ107" s="207">
        <f>IF(CU107=1,COUNTIF($CU$2:CU107,1),"")</f>
        <v>106</v>
      </c>
      <c r="GR107" s="207">
        <f>IF(CV107=1,COUNTIF($CV$2:CV107,1),"")</f>
        <v>106</v>
      </c>
      <c r="GS107" s="207">
        <f>IF(CW107=1,COUNTIF($CW$2:CW107,1),"")</f>
        <v>106</v>
      </c>
      <c r="GT107" s="207">
        <f>IF(CX107=1,COUNTIF($CX$2:CX107,1),"")</f>
        <v>106</v>
      </c>
      <c r="GU107" s="207">
        <f>IF(CY107=1,COUNTIF($CY$2:CY107,1),"")</f>
        <v>106</v>
      </c>
      <c r="GV107" s="207">
        <f>IF(CZ107=1,COUNTIF($CZ$2:CZ107,1),"")</f>
        <v>106</v>
      </c>
      <c r="GW107" s="207">
        <f>IF(DA107=1,COUNTIF($DA$2:DA107,1),"")</f>
        <v>106</v>
      </c>
      <c r="GX107" s="206" t="str">
        <f>IFERROR(INDEX($A$2:$A$113,MATCH(ROWS($DB$2:DB107),$DB$2:$DB$113,0)),"")</f>
        <v>CONTRABANDO DE ELEMENTOS NUCLEARES, AGRESIVOS QUIMICOS, ARMAS Y MUNICIONES</v>
      </c>
      <c r="GY107" s="206" t="str">
        <f>IFERROR(INDEX($A$2:$A$113,MATCH(ROWS($DC$2:DC107),$DC$2:$DC$113,0)),"")</f>
        <v>CONTRABANDO DE ELEMENTOS NUCLEARES, AGRESIVOS QUIMICOS, ARMAS Y MUNICIONES</v>
      </c>
      <c r="GZ107" s="206" t="str">
        <f>IFERROR(INDEX($A$2:$A$113,MATCH(ROWS($DD$2:DD107),$DD$2:$DD$113,0)),"")</f>
        <v>CONTRABANDO DE ELEMENTOS NUCLEARES, AGRESIVOS QUIMICOS, ARMAS Y MUNICIONES</v>
      </c>
      <c r="HA107" s="206" t="str">
        <f>IFERROR(INDEX($A$2:$A$113,MATCH(ROWS($DE$2:DE107),$DE$2:$DE$113,0)),"")</f>
        <v>CONTRABANDO DE ELEMENTOS NUCLEARES, AGRESIVOS QUIMICOS, ARMAS Y MUNICIONES</v>
      </c>
      <c r="HB107" s="206" t="str">
        <f>IFERROR(INDEX($A$2:$A$113,MATCH(ROWS($DF$2:DF107),$DF$2:$DF$113,0)),"")</f>
        <v>CONTRABANDO DE ELEMENTOS NUCLEARES, AGRESIVOS QUIMICOS, ARMAS Y MUNICIONES</v>
      </c>
      <c r="HC107" s="206" t="str">
        <f>IFERROR(INDEX($A$2:$A$113,MATCH(ROWS($DG$2:DG107),$DG$2:$DG$113,0)),"")</f>
        <v>CONTRABANDO DE ELEMENTOS NUCLEARES, AGRESIVOS QUIMICOS, ARMAS Y MUNICIONES</v>
      </c>
      <c r="HD107" s="206" t="str">
        <f>IFERROR(INDEX($A$2:$A$113,MATCH(ROWS($DH$2:DH107),$DH$2:$DH$113,0)),"")</f>
        <v>CONTRABANDO DE ELEMENTOS NUCLEARES, AGRESIVOS QUIMICOS, ARMAS Y MUNICIONES</v>
      </c>
      <c r="HE107" s="206" t="str">
        <f>IFERROR(INDEX($A$2:$A$113,MATCH(ROWS($DI$2:DI107),$DI$2:$DI$113,0)),"")</f>
        <v>CONTRABANDO DE ELEMENTOS NUCLEARES, AGRESIVOS QUIMICOS, ARMAS Y MUNICIONES</v>
      </c>
      <c r="HF107" s="206" t="str">
        <f>IFERROR(INDEX($A$2:$A$113,MATCH(ROWS($DJ$2:DJ107),$DJ$2:$DJ$113,0)),"")</f>
        <v>CONTRABANDO DE ELEMENTOS NUCLEARES, AGRESIVOS QUIMICOS, ARMAS Y MUNICIONES</v>
      </c>
      <c r="HG107" s="206" t="str">
        <f>IFERROR(INDEX($A$2:$A$113,MATCH(ROWS($DK$2:DK107),$DK$2:$DK$113,0)),"")</f>
        <v>CONTRABANDO DE ELEMENTOS NUCLEARES, AGRESIVOS QUIMICOS, ARMAS Y MUNICIONES</v>
      </c>
      <c r="HH107" s="206" t="str">
        <f>IFERROR(INDEX($A$2:$A$113,MATCH(ROWS($DL$2:DL107),$DL$2:$DL$113,0)),"")</f>
        <v>CONTRABANDO DE ELEMENTOS NUCLEARES, AGRESIVOS QUIMICOS, ARMAS Y MUNICIONES</v>
      </c>
      <c r="HI107" s="206" t="str">
        <f>IFERROR(INDEX($A$2:$A$113,MATCH(ROWS($DM$2:DM107),$DM$2:$DM$113,0)),"")</f>
        <v>CONTRABANDO DE ELEMENTOS NUCLEARES, AGRESIVOS QUIMICOS, ARMAS Y MUNICIONES</v>
      </c>
      <c r="HJ107" s="206" t="str">
        <f>IFERROR(INDEX($A$2:$A$113,MATCH(ROWS($DN$2:DN107),$DN$2:$DN$113,0)),"")</f>
        <v>CONTRABANDO DE ELEMENTOS NUCLEARES, AGRESIVOS QUIMICOS, ARMAS Y MUNICIONES</v>
      </c>
      <c r="HK107" s="206" t="str">
        <f>IFERROR(INDEX($A$2:$A$113,MATCH(ROWS($DO$2:DO107),$DO$2:$DO$113,0)),"")</f>
        <v>CONTRABANDO DE ELEMENTOS NUCLEARES, AGRESIVOS QUIMICOS, ARMAS Y MUNICIONES</v>
      </c>
      <c r="HL107" s="206" t="str">
        <f>IFERROR(INDEX($A$2:$A$113,MATCH(ROWS($DP$2:DP107),$DP$2:$DP$113,0)),"")</f>
        <v>CONTRABANDO DE ELEMENTOS NUCLEARES, AGRESIVOS QUIMICOS, ARMAS Y MUNICIONES</v>
      </c>
      <c r="HM107" s="206" t="str">
        <f>IFERROR(INDEX($A$2:$A$113,MATCH(ROWS($DQ$2:DQ107),$DQ$2:$DQ$113,0)),"")</f>
        <v>CONTRABANDO DE ELEMENTOS NUCLEARES, AGRESIVOS QUIMICOS, ARMAS Y MUNICIONES</v>
      </c>
      <c r="HN107" s="206" t="str">
        <f>IFERROR(INDEX($A$2:$A$113,MATCH(ROWS($DR$2:DR107),$DR$2:$DR$113,0)),"")</f>
        <v>CONTRABANDO DE ELEMENTOS NUCLEARES, AGRESIVOS QUIMICOS, ARMAS Y MUNICIONES</v>
      </c>
      <c r="HO107" s="206" t="str">
        <f>IFERROR(INDEX($A$2:$A$113,MATCH(ROWS($DS$2:DS107),$DS$2:$DS$113,0)),"")</f>
        <v>CONTRABANDO DE ELEMENTOS NUCLEARES, AGRESIVOS QUIMICOS, ARMAS Y MUNICIONES</v>
      </c>
      <c r="HP107" s="206" t="str">
        <f>IFERROR(INDEX($A$2:$A$113,MATCH(ROWS($DT$2:DT107),$DT$2:$DT$113,0)),"")</f>
        <v>CONTRABANDO DE ELEMENTOS NUCLEARES, AGRESIVOS QUIMICOS, ARMAS Y MUNICIONES</v>
      </c>
      <c r="HQ107" s="206" t="str">
        <f>IFERROR(INDEX($A$2:$A$113,MATCH(ROWS($DU$2:DU107),$DU$2:$DU$113,0)),"")</f>
        <v>CONTRABANDO DE ELEMENTOS NUCLEARES, AGRESIVOS QUIMICOS, ARMAS Y MUNICIONES</v>
      </c>
      <c r="HR107" s="206" t="str">
        <f>IFERROR(INDEX($A$2:$A$113,MATCH(ROWS($DV$2:DV107),$DV$2:$DV$113,0)),"")</f>
        <v>CONTRABANDO DE ELEMENTOS NUCLEARES, AGRESIVOS QUIMICOS, ARMAS Y MUNICIONES</v>
      </c>
      <c r="HS107" s="206" t="str">
        <f>IFERROR(INDEX($A$2:$A$113,MATCH(ROWS($DW$2:DW107),$DW$2:$DW$113,0)),"")</f>
        <v>CONTRABANDO DE ELEMENTOS NUCLEARES, AGRESIVOS QUIMICOS, ARMAS Y MUNICIONES</v>
      </c>
      <c r="HT107" s="206" t="str">
        <f>IFERROR(INDEX($A$2:$A$113,MATCH(ROWS($DX$2:DX107),$DX$2:$DX$113,0)),"")</f>
        <v>CONTRABANDO DE ELEMENTOS NUCLEARES, AGRESIVOS QUIMICOS, ARMAS Y MUNICIONES</v>
      </c>
      <c r="HU107" s="206" t="str">
        <f>IFERROR(INDEX($A$2:$A$113,MATCH(ROWS($DY$2:DY107),$DY$2:$DY$113,0)),"")</f>
        <v>CONTRABANDO DE ELEMENTOS NUCLEARES, AGRESIVOS QUIMICOS, ARMAS Y MUNICIONES</v>
      </c>
      <c r="HV107" s="206" t="str">
        <f>IFERROR(INDEX($A$2:$A$113,MATCH(ROWS($DZ$2:DZ107),$DZ$2:$DZ$113,0)),"")</f>
        <v>CONTRABANDO DE ELEMENTOS NUCLEARES, AGRESIVOS QUIMICOS, ARMAS Y MUNICIONES</v>
      </c>
      <c r="HW107" s="206" t="str">
        <f>IFERROR(INDEX($A$2:$A$113,MATCH(ROWS($EA$2:EA107),$EA$2:$EA$113,0)),"")</f>
        <v>CONTRABANDO DE ELEMENTOS NUCLEARES, AGRESIVOS QUIMICOS, ARMAS Y MUNICIONES</v>
      </c>
      <c r="HX107" s="206" t="str">
        <f>IFERROR(INDEX($A$2:$A$113,MATCH(ROWS($EB$2:EB107),$EB$2:$EB$113,0)),"")</f>
        <v>CONTRABANDO DE ELEMENTOS NUCLEARES, AGRESIVOS QUIMICOS, ARMAS Y MUNICIONES</v>
      </c>
      <c r="HY107" s="206" t="str">
        <f>IFERROR(INDEX($A$2:$A$113,MATCH(ROWS($EC$2:EC107),$EC$2:$EC$113,0)),"")</f>
        <v>CONTRABANDO DE ELEMENTOS NUCLEARES, AGRESIVOS QUIMICOS, ARMAS Y MUNICIONES</v>
      </c>
      <c r="HZ107" s="206" t="str">
        <f>IFERROR(INDEX($A$2:$A$113,MATCH(ROWS($ED$2:ED107),$ED$2:$ED$113,0)),"")</f>
        <v>CONTRABANDO DE ELEMENTOS NUCLEARES, AGRESIVOS QUIMICOS, ARMAS Y MUNICIONES</v>
      </c>
      <c r="IA107" s="206" t="str">
        <f>IFERROR(INDEX($A$2:$A$113,MATCH(ROWS($EE$2:EE107),$EE$2:$EE$113,0)),"")</f>
        <v>CONTRABANDO DE ELEMENTOS NUCLEARES, AGRESIVOS QUIMICOS, ARMAS Y MUNICIONES</v>
      </c>
      <c r="IB107" s="206" t="str">
        <f>IFERROR(INDEX($A$2:$A$113,MATCH(ROWS($EF$2:EF107),$EF$2:$EF$113,0)),"")</f>
        <v>CONTRABANDO DE ELEMENTOS NUCLEARES, AGRESIVOS QUIMICOS, ARMAS Y MUNICIONES</v>
      </c>
      <c r="IC107" s="206" t="str">
        <f>IFERROR(INDEX($A$2:$A$113,MATCH(ROWS($EG$2:EG107),$EG$2:$EG$113,0)),"")</f>
        <v>CONTRABANDO DE ELEMENTOS NUCLEARES, AGRESIVOS QUIMICOS, ARMAS Y MUNICIONES</v>
      </c>
      <c r="ID107" s="206" t="str">
        <f>IFERROR(INDEX($A$2:$A$113,MATCH(ROWS($EH$2:EH107),$EH$2:$EH$113,0)),"")</f>
        <v>CONTRABANDO DE ELEMENTOS NUCLEARES, AGRESIVOS QUIMICOS, ARMAS Y MUNICIONES</v>
      </c>
      <c r="IE107" s="206" t="str">
        <f>IFERROR(INDEX($A$2:$A$113,MATCH(ROWS($EI$2:EI107),$EI$2:$EI$113,0)),"")</f>
        <v>CONTRABANDO DE ELEMENTOS NUCLEARES, AGRESIVOS QUIMICOS, ARMAS Y MUNICIONES</v>
      </c>
      <c r="IF107" s="206" t="str">
        <f>IFERROR(INDEX($A$2:$A$113,MATCH(ROWS($EJ$2:EJ107),$EJ$2:$EJ$113,0)),"")</f>
        <v>CONTRABANDO DE ELEMENTOS NUCLEARES, AGRESIVOS QUIMICOS, ARMAS Y MUNICIONES</v>
      </c>
      <c r="IG107" s="206" t="str">
        <f>IFERROR(INDEX($A$2:$A$113,MATCH(ROWS($EK$2:EK107),$EK$2:$EK$113,0)),"")</f>
        <v>CONTRABANDO DE ELEMENTOS NUCLEARES, AGRESIVOS QUIMICOS, ARMAS Y MUNICIONES</v>
      </c>
      <c r="IH107" s="206" t="str">
        <f>IFERROR(INDEX($A$2:$A$113,MATCH(ROWS($EL$2:EL107),$EL$2:$EL$113,0)),"")</f>
        <v>CONTRABANDO DE ELEMENTOS NUCLEARES, AGRESIVOS QUIMICOS, ARMAS Y MUNICIONES</v>
      </c>
      <c r="II107" s="206" t="str">
        <f>IFERROR(INDEX($A$2:$A$113,MATCH(ROWS($EM$2:EM107),$EM$2:$EM$113,0)),"")</f>
        <v>CONTRABANDO DE ELEMENTOS NUCLEARES, AGRESIVOS QUIMICOS, ARMAS Y MUNICIONES</v>
      </c>
      <c r="IJ107" s="206" t="str">
        <f>IFERROR(INDEX($A$2:$A$113,MATCH(ROWS($EN$2:EN107),$EN$2:$EN$113,0)),"")</f>
        <v>CONTRABANDO DE ELEMENTOS NUCLEARES, AGRESIVOS QUIMICOS, ARMAS Y MUNICIONES</v>
      </c>
      <c r="IK107" s="207" t="str">
        <f>IFERROR(INDEX($A$2:$A$113,MATCH(ROWS($EO$2:EO107),$EO$2:$EO$113,0)),"")</f>
        <v>CONTRABANDO DE ELEMENTOS NUCLEARES, AGRESIVOS QUIMICOS, ARMAS Y MUNICIONES</v>
      </c>
      <c r="IL107" s="207" t="str">
        <f>IFERROR(INDEX($A$2:$A$113,MATCH(ROWS($EP$2:EP107),$EP$2:$EP$113,0)),"")</f>
        <v>CONTRABANDO DE ELEMENTOS NUCLEARES, AGRESIVOS QUIMICOS, ARMAS Y MUNICIONES</v>
      </c>
      <c r="IM107" s="207" t="str">
        <f>IFERROR(INDEX($A$2:$A$113,MATCH(ROWS($EQ$2:EQ107),$EQ$2:$EQ$113,0)),"")</f>
        <v>CONTRABANDO DE ELEMENTOS NUCLEARES, AGRESIVOS QUIMICOS, ARMAS Y MUNICIONES</v>
      </c>
      <c r="IN107" s="207" t="str">
        <f>IFERROR(INDEX($A$2:$A$113,MATCH(ROWS($ER$2:ER107),$ER$2:$ER$113,0)),"")</f>
        <v>CONTRABANDO DE ELEMENTOS NUCLEARES, AGRESIVOS QUIMICOS, ARMAS Y MUNICIONES</v>
      </c>
      <c r="IO107" s="207" t="str">
        <f>IFERROR(INDEX($A$2:$A$113,MATCH(ROWS($ES$2:ES107),$ES$2:$ES$113,0)),"")</f>
        <v>CONTRABANDO DE ELEMENTOS NUCLEARES, AGRESIVOS QUIMICOS, ARMAS Y MUNICIONES</v>
      </c>
      <c r="IP107" s="207" t="str">
        <f>IFERROR(INDEX($A$2:$A$113,MATCH(ROWS($ET$2:ET107),$ET$2:$ET$113,0)),"")</f>
        <v>CONTRABANDO DE ELEMENTOS NUCLEARES, AGRESIVOS QUIMICOS, ARMAS Y MUNICIONES</v>
      </c>
      <c r="IQ107" s="207" t="str">
        <f>IFERROR(INDEX($A$2:$A$113,MATCH(ROWS($EU$2:EU107),$EU$2:$EU$113,0)),"")</f>
        <v>CONTRABANDO DE ELEMENTOS NUCLEARES, AGRESIVOS QUIMICOS, ARMAS Y MUNICIONES</v>
      </c>
      <c r="IR107" s="207" t="str">
        <f>IFERROR(INDEX($A$2:$A$113,MATCH(ROWS($EV$2:EV107),$EV$2:$EV$113,0)),"")</f>
        <v>CONTRABANDO DE ELEMENTOS NUCLEARES, AGRESIVOS QUIMICOS, ARMAS Y MUNICIONES</v>
      </c>
      <c r="IS107" s="207" t="str">
        <f>IFERROR(INDEX($A$2:$A$113,MATCH(ROWS($EW$2:EW107),$EW$2:$EW$113,0)),"")</f>
        <v>CONTRABANDO DE ELEMENTOS NUCLEARES, AGRESIVOS QUIMICOS, ARMAS Y MUNICIONES</v>
      </c>
      <c r="IT107" s="207" t="str">
        <f>IFERROR(INDEX($A$2:$A$113,MATCH(ROWS($EX$2:EX107),$EX$2:$EX$113,0)),"")</f>
        <v>CONTRABANDO DE ELEMENTOS NUCLEARES, AGRESIVOS QUIMICOS, ARMAS Y MUNICIONES</v>
      </c>
      <c r="IU107" s="207" t="str">
        <f>IFERROR(INDEX($A$2:$A$113,MATCH(ROWS($EY$2:EY107),$EY$2:$EY$113,0)),"")</f>
        <v>CONTRABANDO DE ELEMENTOS NUCLEARES, AGRESIVOS QUIMICOS, ARMAS Y MUNICIONES</v>
      </c>
      <c r="IV107" s="207" t="str">
        <f>IFERROR(INDEX($A$2:$A$113,MATCH(ROWS($EZ$2:EZ107),$EZ$2:$EZ$113,0)),"")</f>
        <v>CONTRABANDO DE ELEMENTOS NUCLEARES, AGRESIVOS QUIMICOS, ARMAS Y MUNICIONES</v>
      </c>
      <c r="IW107" s="207" t="str">
        <f>IFERROR(INDEX($A$2:$A$113,MATCH(ROWS($FA$2:FA107),$FA$2:$FA$113,0)),"")</f>
        <v>CONTRABANDO DE ELEMENTOS NUCLEARES, AGRESIVOS QUIMICOS, ARMAS Y MUNICIONES</v>
      </c>
      <c r="IX107" s="207" t="str">
        <f>IFERROR(INDEX($A$2:$A$113,MATCH(ROWS($FB$2:FB107),$FB$2:$FB$113,0)),"")</f>
        <v>CONTRABANDO DE ELEMENTOS NUCLEARES, AGRESIVOS QUIMICOS, ARMAS Y MUNICIONES</v>
      </c>
      <c r="IY107" s="207" t="str">
        <f>IFERROR(INDEX($A$2:$A$113,MATCH(ROWS($FC$2:FC107),$FC$2:$FC$113,0)),"")</f>
        <v>CONTRABANDO DE ELEMENTOS NUCLEARES, AGRESIVOS QUIMICOS, ARMAS Y MUNICIONES</v>
      </c>
      <c r="IZ107" s="207" t="str">
        <f>IFERROR(INDEX($A$2:$A$113,MATCH(ROWS($FD$2:FD107),$FD$2:$FD$113,0)),"")</f>
        <v>CONTRABANDO DE ELEMENTOS NUCLEARES, AGRESIVOS QUIMICOS, ARMAS Y MUNICIONES</v>
      </c>
      <c r="JA107" s="207" t="str">
        <f>IFERROR(INDEX($A$2:$A$113,MATCH(ROWS($FE$2:FE107),$FE$2:$FE$113,0)),"")</f>
        <v>CONTRABANDO DE ELEMENTOS NUCLEARES, AGRESIVOS QUIMICOS, ARMAS Y MUNICIONES</v>
      </c>
      <c r="JB107" s="207" t="str">
        <f>IFERROR(INDEX($A$2:$A$113,MATCH(ROWS($FF$2:FF107),$FF$2:$FF$113,0)),"")</f>
        <v>CONTRABANDO DE ELEMENTOS NUCLEARES, AGRESIVOS QUIMICOS, ARMAS Y MUNICIONES</v>
      </c>
      <c r="JC107" s="207" t="str">
        <f>IFERROR(INDEX($A$2:$A$113,MATCH(ROWS($FG$2:FG107),$FG$2:$FG$113,0)),"")</f>
        <v>CONTRABANDO DE ELEMENTOS NUCLEARES, AGRESIVOS QUIMICOS, ARMAS Y MUNICIONES</v>
      </c>
      <c r="JD107" s="207" t="str">
        <f>IFERROR(INDEX($A$2:$A$113,MATCH(ROWS($FH$2:FH107),$FH$2:$FH$113,0)),"")</f>
        <v>CONTRABANDO DE ELEMENTOS NUCLEARES, AGRESIVOS QUIMICOS, ARMAS Y MUNICIONES</v>
      </c>
      <c r="JE107" s="207" t="str">
        <f>IFERROR(INDEX($A$2:$A$113,MATCH(ROWS($FI$2:FI107),$FI$2:$FI$113,0)),"")</f>
        <v>CONTRABANDO DE ELEMENTOS NUCLEARES, AGRESIVOS QUIMICOS, ARMAS Y MUNICIONES</v>
      </c>
      <c r="JF107" s="207" t="str">
        <f>IFERROR(INDEX($A$2:$A$113,MATCH(ROWS($FJ$2:FJ107),$FJ$2:$FJ$113,0)),"")</f>
        <v>CONTRABANDO DE ELEMENTOS NUCLEARES, AGRESIVOS QUIMICOS, ARMAS Y MUNICIONES</v>
      </c>
      <c r="JG107" s="207" t="str">
        <f>IFERROR(INDEX($A$2:$A$113,MATCH(ROWS($FK$2:FK107),$FK$2:$FK$113,0)),"")</f>
        <v>CONTRABANDO DE ELEMENTOS NUCLEARES, AGRESIVOS QUIMICOS, ARMAS Y MUNICIONES</v>
      </c>
      <c r="JH107" s="207" t="str">
        <f>IFERROR(INDEX($A$2:$A$113,MATCH(ROWS($FL$2:FL107),$FL$2:$FL$113,0)),"")</f>
        <v>CONTRABANDO DE ELEMENTOS NUCLEARES, AGRESIVOS QUIMICOS, ARMAS Y MUNICIONES</v>
      </c>
      <c r="JI107" s="207" t="str">
        <f>IFERROR(INDEX($A$2:$A$113,MATCH(ROWS($FM$2:FM107),$FM$2:$FM$113,0)),"")</f>
        <v>CONTRABANDO DE ELEMENTOS NUCLEARES, AGRESIVOS QUIMICOS, ARMAS Y MUNICIONES</v>
      </c>
      <c r="JJ107" s="207" t="str">
        <f>IFERROR(INDEX($A$2:$A$113,MATCH(ROWS($FN$2:FN107),$FN$2:$FN$113,0)),"")</f>
        <v>CONTRABANDO DE ELEMENTOS NUCLEARES, AGRESIVOS QUIMICOS, ARMAS Y MUNICIONES</v>
      </c>
      <c r="JK107" s="207" t="str">
        <f>IFERROR(INDEX($A$2:$A$113,MATCH(ROWS($FO$2:FO107),$FO$2:$FO$113,0)),"")</f>
        <v>CONTRABANDO DE ELEMENTOS NUCLEARES, AGRESIVOS QUIMICOS, ARMAS Y MUNICIONES</v>
      </c>
      <c r="JL107" s="207" t="str">
        <f>IFERROR(INDEX($A$2:$A$113,MATCH(ROWS($FP$2:FP107),$FP$2:$FP$113,0)),"")</f>
        <v>CONTRABANDO DE ELEMENTOS NUCLEARES, AGRESIVOS QUIMICOS, ARMAS Y MUNICIONES</v>
      </c>
      <c r="JM107" s="207" t="str">
        <f>IFERROR(INDEX($A$2:$A$113,MATCH(ROWS($FQ$2:FQ107),$FQ$2:$FQ$113,0)),"")</f>
        <v>CONTRABANDO DE ELEMENTOS NUCLEARES, AGRESIVOS QUIMICOS, ARMAS Y MUNICIONES</v>
      </c>
      <c r="JN107" s="207" t="str">
        <f>IFERROR(INDEX($A$2:$A$113,MATCH(ROWS($FR$2:FR107),$FR$2:$FR$113,0)),"")</f>
        <v>CONTRABANDO DE ELEMENTOS NUCLEARES, AGRESIVOS QUIMICOS, ARMAS Y MUNICIONES</v>
      </c>
      <c r="JO107" s="207" t="str">
        <f>IFERROR(INDEX($A$2:$A$113,MATCH(ROWS($FS$2:FS107),$FS$2:$FS$113,0)),"")</f>
        <v>CONTRABANDO DE ELEMENTOS NUCLEARES, AGRESIVOS QUIMICOS, ARMAS Y MUNICIONES</v>
      </c>
      <c r="JP107" s="207" t="str">
        <f>IFERROR(INDEX($A$2:$A$113,MATCH(ROWS($FT$2:FT107),$FT$2:$FT$113,0)),"")</f>
        <v>CONTRABANDO DE ELEMENTOS NUCLEARES, AGRESIVOS QUIMICOS, ARMAS Y MUNICIONES</v>
      </c>
      <c r="JQ107" s="207" t="str">
        <f>IFERROR(INDEX($A$2:$A$113,MATCH(ROWS($FU$2:FU107),$FU$2:$FU$113,0)),"")</f>
        <v>CONTRABANDO DE ELEMENTOS NUCLEARES, AGRESIVOS QUIMICOS, ARMAS Y MUNICIONES</v>
      </c>
      <c r="JR107" s="207" t="str">
        <f>IFERROR(INDEX($A$2:$A$113,MATCH(ROWS($FV$2:FV107),$FV$2:$FV$113,0)),"")</f>
        <v>CONTRABANDO DE ELEMENTOS NUCLEARES, AGRESIVOS QUIMICOS, ARMAS Y MUNICIONES</v>
      </c>
      <c r="JS107" s="207" t="str">
        <f>IFERROR(INDEX($A$2:$A$113,MATCH(ROWS($FW$2:FW107),$FW$2:$FW$113,0)),"")</f>
        <v>CONTRABANDO DE ELEMENTOS NUCLEARES, AGRESIVOS QUIMICOS, ARMAS Y MUNICIONES</v>
      </c>
      <c r="JT107" s="207" t="str">
        <f>IFERROR(INDEX($A$2:$A$113,MATCH(ROWS($FX$2:FX107),$FX$2:$FX$113,0)),"")</f>
        <v>CONTRABANDO DE ELEMENTOS NUCLEARES, AGRESIVOS QUIMICOS, ARMAS Y MUNICIONES</v>
      </c>
      <c r="JU107" s="207" t="str">
        <f>IFERROR(INDEX($A$2:$A$113,MATCH(ROWS($FY$2:FY107),$FY$2:$FY$113,0)),"")</f>
        <v>CONTRABANDO DE ELEMENTOS NUCLEARES, AGRESIVOS QUIMICOS, ARMAS Y MUNICIONES</v>
      </c>
      <c r="JV107" s="207" t="str">
        <f>IFERROR(INDEX($A$2:$A$113,MATCH(ROWS($FZ$2:FZ107),$FZ$2:$FZ$113,0)),"")</f>
        <v>CONTRABANDO DE ELEMENTOS NUCLEARES, AGRESIVOS QUIMICOS, ARMAS Y MUNICIONES</v>
      </c>
      <c r="JW107" s="207" t="str">
        <f>IFERROR(INDEX($A$2:$A$113,MATCH(ROWS($GA$2:GA107),$GA$2:$GA$113,0)),"")</f>
        <v>CONTRABANDO DE ELEMENTOS NUCLEARES, AGRESIVOS QUIMICOS, ARMAS Y MUNICIONES</v>
      </c>
      <c r="JX107" s="207" t="str">
        <f>IFERROR(INDEX($A$2:$A$113,MATCH(ROWS($GB$2:GB107),$GB$2:$GB$113,0)),"")</f>
        <v>CONTRABANDO DE ELEMENTOS NUCLEARES, AGRESIVOS QUIMICOS, ARMAS Y MUNICIONES</v>
      </c>
      <c r="JY107" s="207" t="str">
        <f>IFERROR(INDEX($A$2:$A$113,MATCH(ROWS($GC$2:GC107),$GC$2:$GC$113,0)),"")</f>
        <v>CONTRABANDO DE ELEMENTOS NUCLEARES, AGRESIVOS QUIMICOS, ARMAS Y MUNICIONES</v>
      </c>
      <c r="JZ107" s="207" t="str">
        <f>IFERROR(INDEX($A$2:$A$113,MATCH(ROWS($GD$2:GD107),$GD$2:$GD$113,0)),"")</f>
        <v>CONTRABANDO DE ELEMENTOS NUCLEARES, AGRESIVOS QUIMICOS, ARMAS Y MUNICIONES</v>
      </c>
      <c r="KA107" s="207" t="str">
        <f>IFERROR(INDEX($A$2:$A$113,MATCH(ROWS($GE$2:GE107),$GE$2:$GE$113,0)),"")</f>
        <v>CONTRABANDO DE ELEMENTOS NUCLEARES, AGRESIVOS QUIMICOS, ARMAS Y MUNICIONES</v>
      </c>
      <c r="KB107" s="207" t="str">
        <f>IFERROR(INDEX($A$2:$A$113,MATCH(ROWS($GF$2:GF107),$GF$2:$GF$113,0)),"")</f>
        <v>CONTRABANDO DE ELEMENTOS NUCLEARES, AGRESIVOS QUIMICOS, ARMAS Y MUNICIONES</v>
      </c>
      <c r="KC107" s="207" t="str">
        <f>IFERROR(INDEX($A$2:$A$113,MATCH(ROWS($GG$2:GG107),$GG$2:$GG$113,0)),"")</f>
        <v>CONTRABANDO DE ELEMENTOS NUCLEARES, AGRESIVOS QUIMICOS, ARMAS Y MUNICIONES</v>
      </c>
      <c r="KD107" s="207" t="str">
        <f>IFERROR(INDEX($A$2:$A$113,MATCH(ROWS($GH$2:GH107),$GH$2:$GH$113,0)),"")</f>
        <v>CONTRABANDO DE ELEMENTOS NUCLEARES, AGRESIVOS QUIMICOS, ARMAS Y MUNICIONES</v>
      </c>
      <c r="KE107" s="207" t="str">
        <f>IFERROR(INDEX($A$2:$A$113,MATCH(ROWS($GI$2:GI107),$GI$2:$GI$113,0)),"")</f>
        <v>CONTRABANDO DE ELEMENTOS NUCLEARES, AGRESIVOS QUIMICOS, ARMAS Y MUNICIONES</v>
      </c>
      <c r="KF107" s="207" t="str">
        <f>IFERROR(INDEX($A$2:$A$113,MATCH(ROWS($GJ$2:GJ107),$GJ$2:$GJ$113,0)),"")</f>
        <v>CONTRABANDO DE ELEMENTOS NUCLEARES, AGRESIVOS QUIMICOS, ARMAS Y MUNICIONES</v>
      </c>
      <c r="KG107" s="207" t="str">
        <f>IFERROR(INDEX($A$2:$A$113,MATCH(ROWS($GK$2:GK107),$GK$2:$GK$113,0)),"")</f>
        <v>CONTRABANDO DE ELEMENTOS NUCLEARES, AGRESIVOS QUIMICOS, ARMAS Y MUNICIONES</v>
      </c>
      <c r="KH107" s="207" t="str">
        <f>IFERROR(INDEX($A$2:$A$113,MATCH(ROWS($GL$2:GL107),$GL$2:$GL$113,0)),"")</f>
        <v>CONTRABANDO DE ELEMENTOS NUCLEARES, AGRESIVOS QUIMICOS, ARMAS Y MUNICIONES</v>
      </c>
      <c r="KI107" s="207" t="str">
        <f>IFERROR(INDEX($A$2:$A$113,MATCH(ROWS($GM$2:GM107),$GM$2:$GM$113,0)),"")</f>
        <v>CONTRABANDO DE ELEMENTOS NUCLEARES, AGRESIVOS QUIMICOS, ARMAS Y MUNICIONES</v>
      </c>
      <c r="KJ107" s="207" t="str">
        <f>IFERROR(INDEX($A$2:$A$113,MATCH(ROWS($GN$2:GN107),$GN$2:$GN$113,0)),"")</f>
        <v>CONTRABANDO DE ELEMENTOS NUCLEARES, AGRESIVOS QUIMICOS, ARMAS Y MUNICIONES</v>
      </c>
      <c r="KK107" s="207" t="str">
        <f>IFERROR(INDEX($A$2:$A$113,MATCH(ROWS($GO$2:GO107),$GO$2:$GO$113,0)),"")</f>
        <v>CONTRABANDO DE ELEMENTOS NUCLEARES, AGRESIVOS QUIMICOS, ARMAS Y MUNICIONES</v>
      </c>
      <c r="KL107" s="207" t="str">
        <f>IFERROR(INDEX($A$2:$A$113,MATCH(ROWS($GP$2:GP107),$GP$2:$GP$113,0)),"")</f>
        <v>CONTRABANDO DE ELEMENTOS NUCLEARES, AGRESIVOS QUIMICOS, ARMAS Y MUNICIONES</v>
      </c>
      <c r="KM107" s="207" t="str">
        <f>IFERROR(INDEX($A$2:$A$113,MATCH(ROWS($GQ$2:GQ107),$GQ$2:$GQ$113,0)),"")</f>
        <v>CONTRABANDO DE ELEMENTOS NUCLEARES, AGRESIVOS QUIMICOS, ARMAS Y MUNICIONES</v>
      </c>
      <c r="KN107" s="207" t="str">
        <f>IFERROR(INDEX($A$2:$A$113,MATCH(ROWS($GR$2:GR107),$GR$2:$GR$113,0)),"")</f>
        <v>CONTRABANDO DE ELEMENTOS NUCLEARES, AGRESIVOS QUIMICOS, ARMAS Y MUNICIONES</v>
      </c>
      <c r="KO107" s="207" t="str">
        <f>IFERROR(INDEX($A$2:$A$113,MATCH(ROWS($GS$2:GS107),$GS$2:$GS$113,0)),"")</f>
        <v>CONTRABANDO DE ELEMENTOS NUCLEARES, AGRESIVOS QUIMICOS, ARMAS Y MUNICIONES</v>
      </c>
      <c r="KP107" s="207" t="str">
        <f>IFERROR(INDEX($A$2:$A$113,MATCH(ROWS($GT$2:GT107),$GT$2:$GT$113,0)),"")</f>
        <v>CONTRABANDO DE ELEMENTOS NUCLEARES, AGRESIVOS QUIMICOS, ARMAS Y MUNICIONES</v>
      </c>
      <c r="KQ107" s="207" t="str">
        <f>IFERROR(INDEX($A$2:$A$113,MATCH(ROWS($GU$2:GU107),$GU$2:$GU$113,0)),"")</f>
        <v>CONTRABANDO DE ELEMENTOS NUCLEARES, AGRESIVOS QUIMICOS, ARMAS Y MUNICIONES</v>
      </c>
      <c r="KR107" s="207" t="str">
        <f>IFERROR(INDEX($A$2:$A$113,MATCH(ROWS($GV$2:GV107),$GV$2:$GV$113,0)),"")</f>
        <v>CONTRABANDO DE ELEMENTOS NUCLEARES, AGRESIVOS QUIMICOS, ARMAS Y MUNICIONES</v>
      </c>
      <c r="KS107" s="207" t="str">
        <f>IFERROR(INDEX($A$2:$A$113,MATCH(ROWS($GW$2:GW107),$GW$2:$GW$113,0)),"")</f>
        <v>CONTRABANDO DE ELEMENTOS NUCLEARES, AGRESIVOS QUIMICOS, ARMAS Y MUNICIONES</v>
      </c>
    </row>
    <row r="108" spans="1:305" x14ac:dyDescent="0.25">
      <c r="A108" s="206" t="s">
        <v>44</v>
      </c>
      <c r="B108" s="206" t="s">
        <v>136</v>
      </c>
      <c r="D108" s="206" t="s">
        <v>44</v>
      </c>
      <c r="E108" s="206" t="s">
        <v>129</v>
      </c>
      <c r="F108" s="207">
        <f>--ISNUMBER(IFERROR(SEARCH('PLANILLA DJ'!$X$3,$A108,1),""))</f>
        <v>1</v>
      </c>
      <c r="G108" s="207">
        <f>--ISNUMBER(IFERROR(SEARCH('PLANILLA DJ'!$X$4,$A108,1),""))</f>
        <v>1</v>
      </c>
      <c r="H108" s="207">
        <f>--ISNUMBER(IFERROR(SEARCH('PLANILLA DJ'!$X$5,$A108,1),""))</f>
        <v>1</v>
      </c>
      <c r="I108" s="207">
        <f>--ISNUMBER(IFERROR(SEARCH('PLANILLA DJ'!$X$6,$A108,1),""))</f>
        <v>1</v>
      </c>
      <c r="J108" s="207">
        <f>--ISNUMBER(IFERROR(SEARCH('PLANILLA DJ'!$X$7,$A108,1),""))</f>
        <v>1</v>
      </c>
      <c r="K108" s="207">
        <f>--ISNUMBER(IFERROR(SEARCH('PLANILLA DJ'!$X$8,$A108,1),""))</f>
        <v>1</v>
      </c>
      <c r="L108" s="207">
        <f>--ISNUMBER(IFERROR(SEARCH('PLANILLA DJ'!$X$9,$A108,1),""))</f>
        <v>1</v>
      </c>
      <c r="M108" s="207">
        <f>--ISNUMBER(IFERROR(SEARCH('PLANILLA DJ'!$X$10,$A108,1),""))</f>
        <v>1</v>
      </c>
      <c r="N108" s="207">
        <f>--ISNUMBER(IFERROR(SEARCH('PLANILLA DJ'!$X$11,$A108,1),""))</f>
        <v>1</v>
      </c>
      <c r="O108" s="207">
        <f>--ISNUMBER(IFERROR(SEARCH('PLANILLA DJ'!$X$12,$A108,1),""))</f>
        <v>1</v>
      </c>
      <c r="P108" s="207">
        <f>--ISNUMBER(IFERROR(SEARCH('PLANILLA DJ'!$X$13,$A108,1),""))</f>
        <v>1</v>
      </c>
      <c r="Q108" s="207">
        <f>--ISNUMBER(IFERROR(SEARCH('PLANILLA DJ'!$X$14,$A108,1),""))</f>
        <v>1</v>
      </c>
      <c r="R108" s="207">
        <f>--ISNUMBER(IFERROR(SEARCH('PLANILLA DJ'!$X$15,$A108,1),""))</f>
        <v>1</v>
      </c>
      <c r="S108" s="207">
        <f>--ISNUMBER(IFERROR(SEARCH('PLANILLA DJ'!$X$16,$A108,1),""))</f>
        <v>1</v>
      </c>
      <c r="T108" s="207">
        <f>--ISNUMBER(IFERROR(SEARCH('PLANILLA DJ'!$X$17,$A108,1),""))</f>
        <v>1</v>
      </c>
      <c r="U108" s="207">
        <f>--ISNUMBER(IFERROR(SEARCH('PLANILLA DJ'!$X$18,$A108,1),""))</f>
        <v>1</v>
      </c>
      <c r="V108" s="207">
        <f>--ISNUMBER(IFERROR(SEARCH('PLANILLA DJ'!$X$19,$A108,1),""))</f>
        <v>1</v>
      </c>
      <c r="W108" s="207">
        <f>--ISNUMBER(IFERROR(SEARCH('PLANILLA DJ'!$X$20,$A108,1),""))</f>
        <v>1</v>
      </c>
      <c r="X108" s="207">
        <f>--ISNUMBER(IFERROR(SEARCH('PLANILLA DJ'!$X$21,$A108,1),""))</f>
        <v>1</v>
      </c>
      <c r="Y108" s="207">
        <f>--ISNUMBER(IFERROR(SEARCH('PLANILLA DJ'!$X$22,$A108,1),""))</f>
        <v>1</v>
      </c>
      <c r="Z108" s="207">
        <f>--ISNUMBER(IFERROR(SEARCH('PLANILLA DJ'!$X$23,$A108,1),""))</f>
        <v>1</v>
      </c>
      <c r="AA108" s="207">
        <f>--ISNUMBER(IFERROR(SEARCH('PLANILLA DJ'!$X$24,$A108,1),""))</f>
        <v>1</v>
      </c>
      <c r="AB108" s="207">
        <f>--ISNUMBER(IFERROR(SEARCH('PLANILLA DJ'!$X$25,$A108,1),""))</f>
        <v>1</v>
      </c>
      <c r="AC108" s="207">
        <f>--ISNUMBER(IFERROR(SEARCH('PLANILLA DJ'!$X$26,$A108,1),""))</f>
        <v>1</v>
      </c>
      <c r="AD108" s="207">
        <f>--ISNUMBER(IFERROR(SEARCH('PLANILLA DJ'!$X$27,$A108,1),""))</f>
        <v>1</v>
      </c>
      <c r="AE108" s="207">
        <f>--ISNUMBER(IFERROR(SEARCH('PLANILLA DJ'!$X$28,$A108,1),""))</f>
        <v>1</v>
      </c>
      <c r="AF108" s="207">
        <f>--ISNUMBER(IFERROR(SEARCH('PLANILLA DJ'!$X$29,$A108,1),""))</f>
        <v>1</v>
      </c>
      <c r="AG108" s="207">
        <f>--ISNUMBER(IFERROR(SEARCH('PLANILLA DJ'!$X$30,$A108,1),""))</f>
        <v>1</v>
      </c>
      <c r="AH108" s="207">
        <f>--ISNUMBER(IFERROR(SEARCH('PLANILLA DJ'!$X$31,$A108,1),""))</f>
        <v>1</v>
      </c>
      <c r="AI108" s="207">
        <f>--ISNUMBER(IFERROR(SEARCH('PLANILLA DJ'!$X$32,$A108,1),""))</f>
        <v>1</v>
      </c>
      <c r="AJ108" s="207">
        <f>--ISNUMBER(IFERROR(SEARCH('PLANILLA DJ'!$X$33,$A108,1),""))</f>
        <v>1</v>
      </c>
      <c r="AK108" s="207">
        <f>--ISNUMBER(IFERROR(SEARCH('PLANILLA DJ'!$X$34,$A108,1),""))</f>
        <v>1</v>
      </c>
      <c r="AL108" s="207">
        <f>--ISNUMBER(IFERROR(SEARCH('PLANILLA DJ'!$X$35,$A108,1),""))</f>
        <v>1</v>
      </c>
      <c r="AM108" s="207">
        <f>--ISNUMBER(IFERROR(SEARCH('PLANILLA DJ'!$X$36,$A108,1),""))</f>
        <v>1</v>
      </c>
      <c r="AN108" s="207">
        <f>--ISNUMBER(IFERROR(SEARCH('PLANILLA DJ'!$X$37,$A108,1),""))</f>
        <v>1</v>
      </c>
      <c r="AO108" s="207">
        <f>--ISNUMBER(IFERROR(SEARCH('PLANILLA DJ'!$X$38,$A108,1),""))</f>
        <v>1</v>
      </c>
      <c r="AP108" s="207">
        <f>--ISNUMBER(IFERROR(SEARCH('PLANILLA DJ'!$X$39,$A108,1),""))</f>
        <v>1</v>
      </c>
      <c r="AQ108" s="207">
        <f>--ISNUMBER(IFERROR(SEARCH('PLANILLA DJ'!$X$40,$A108,1),""))</f>
        <v>1</v>
      </c>
      <c r="AR108" s="207">
        <f>--ISNUMBER(IFERROR(SEARCH('PLANILLA DJ'!$X$41,$A108,1),""))</f>
        <v>1</v>
      </c>
      <c r="AS108" s="207">
        <f>--ISNUMBER(IFERROR(SEARCH('PLANILLA DJ'!$X$42,$A108,1),""))</f>
        <v>1</v>
      </c>
      <c r="AT108" s="207">
        <f>--ISNUMBER(IFERROR(SEARCH('PLANILLA DJ'!$X$43,$A108,1),""))</f>
        <v>1</v>
      </c>
      <c r="AU108" s="207">
        <f>--ISNUMBER(IFERROR(SEARCH('PLANILLA DJ'!$X$44,$A108,1),""))</f>
        <v>1</v>
      </c>
      <c r="AV108" s="207">
        <f>--ISNUMBER(IFERROR(SEARCH('PLANILLA DJ'!$X$45,$A108,1),""))</f>
        <v>1</v>
      </c>
      <c r="AW108" s="207">
        <f>--ISNUMBER(IFERROR(SEARCH('PLANILLA DJ'!$X$46,$A108,1),""))</f>
        <v>1</v>
      </c>
      <c r="AX108" s="207">
        <f>--ISNUMBER(IFERROR(SEARCH('PLANILLA DJ'!$X$47,$A108,1),""))</f>
        <v>1</v>
      </c>
      <c r="AY108" s="207">
        <f>--ISNUMBER(IFERROR(SEARCH('PLANILLA DJ'!$X$48,$A108,1),""))</f>
        <v>1</v>
      </c>
      <c r="AZ108" s="207">
        <f>--ISNUMBER(IFERROR(SEARCH('PLANILLA DJ'!$X$49,$A108,1),""))</f>
        <v>1</v>
      </c>
      <c r="BA108" s="207">
        <f>--ISNUMBER(IFERROR(SEARCH('PLANILLA DJ'!$X$50,$A108,1),""))</f>
        <v>1</v>
      </c>
      <c r="BB108" s="207">
        <f>--ISNUMBER(IFERROR(SEARCH('PLANILLA DJ'!$X$51,$A108,1),""))</f>
        <v>1</v>
      </c>
      <c r="BC108" s="207">
        <f>--ISNUMBER(IFERROR(SEARCH('PLANILLA DJ'!$X$52,$A108,1),""))</f>
        <v>1</v>
      </c>
      <c r="BD108" s="207">
        <f>--ISNUMBER(IFERROR(SEARCH('PLANILLA DJ'!$X$53,$A108,1),""))</f>
        <v>1</v>
      </c>
      <c r="BE108" s="207">
        <f>--ISNUMBER(IFERROR(SEARCH('PLANILLA DJ'!$X$54,$A108,1),""))</f>
        <v>1</v>
      </c>
      <c r="BF108" s="207">
        <f>--ISNUMBER(IFERROR(SEARCH('PLANILLA DJ'!$X$55,$A108,1),""))</f>
        <v>1</v>
      </c>
      <c r="BG108" s="207">
        <f>--ISNUMBER(IFERROR(SEARCH('PLANILLA DJ'!$X$56,$A108,1),""))</f>
        <v>1</v>
      </c>
      <c r="BH108" s="207">
        <f>--ISNUMBER(IFERROR(SEARCH('PLANILLA DJ'!$X$57,$A108,1),""))</f>
        <v>1</v>
      </c>
      <c r="BI108" s="207">
        <f>--ISNUMBER(IFERROR(SEARCH('PLANILLA DJ'!$X$58,$A108,1),""))</f>
        <v>1</v>
      </c>
      <c r="BJ108" s="207">
        <f>--ISNUMBER(IFERROR(SEARCH('PLANILLA DJ'!$X$59,$A108,1),""))</f>
        <v>1</v>
      </c>
      <c r="BK108" s="207">
        <f>--ISNUMBER(IFERROR(SEARCH('PLANILLA DJ'!$X$60,$A108,1),""))</f>
        <v>1</v>
      </c>
      <c r="BL108" s="207">
        <f>--ISNUMBER(IFERROR(SEARCH('PLANILLA DJ'!$X$61,$A108,1),""))</f>
        <v>1</v>
      </c>
      <c r="BM108" s="207">
        <f>--ISNUMBER(IFERROR(SEARCH('PLANILLA DJ'!$X$62,$A108,1),""))</f>
        <v>1</v>
      </c>
      <c r="BN108" s="207">
        <f>--ISNUMBER(IFERROR(SEARCH('PLANILLA DJ'!$X$63,$A108,1),""))</f>
        <v>1</v>
      </c>
      <c r="BO108" s="207">
        <f>--ISNUMBER(IFERROR(SEARCH('PLANILLA DJ'!$X$64,$A108,1),""))</f>
        <v>1</v>
      </c>
      <c r="BP108" s="207">
        <f>--ISNUMBER(IFERROR(SEARCH('PLANILLA DJ'!$X$65,$A108,1),""))</f>
        <v>1</v>
      </c>
      <c r="BQ108" s="207">
        <f>--ISNUMBER(IFERROR(SEARCH('PLANILLA DJ'!$X$66,$A108,1),""))</f>
        <v>1</v>
      </c>
      <c r="BR108" s="207">
        <f>--ISNUMBER(IFERROR(SEARCH('PLANILLA DJ'!$X$67,$A108,1),""))</f>
        <v>1</v>
      </c>
      <c r="BS108" s="207">
        <f>--ISNUMBER(IFERROR(SEARCH('PLANILLA DJ'!$X$68,$A108,1),""))</f>
        <v>1</v>
      </c>
      <c r="BT108" s="207">
        <f>--ISNUMBER(IFERROR(SEARCH('PLANILLA DJ'!$X$69,$A108,1),""))</f>
        <v>1</v>
      </c>
      <c r="BU108" s="207">
        <f>--ISNUMBER(IFERROR(SEARCH('PLANILLA DJ'!$X$70,$A108,1),""))</f>
        <v>1</v>
      </c>
      <c r="BV108" s="207">
        <f>--ISNUMBER(IFERROR(SEARCH('PLANILLA DJ'!$X$71,$A108,1),""))</f>
        <v>1</v>
      </c>
      <c r="BW108" s="207">
        <f>--ISNUMBER(IFERROR(SEARCH('PLANILLA DJ'!$X$72,$A108,1),""))</f>
        <v>1</v>
      </c>
      <c r="BX108" s="207">
        <f>--ISNUMBER(IFERROR(SEARCH('PLANILLA DJ'!$X$73,$A108,1),""))</f>
        <v>1</v>
      </c>
      <c r="BY108" s="207">
        <f>--ISNUMBER(IFERROR(SEARCH('PLANILLA DJ'!$X$74,$A108,1),""))</f>
        <v>1</v>
      </c>
      <c r="BZ108" s="207">
        <f>--ISNUMBER(IFERROR(SEARCH('PLANILLA DJ'!$X$75,$A108,1),""))</f>
        <v>1</v>
      </c>
      <c r="CA108" s="207">
        <f>--ISNUMBER(IFERROR(SEARCH('PLANILLA DJ'!$X$76,$A108,1),""))</f>
        <v>1</v>
      </c>
      <c r="CB108" s="207">
        <f>--ISNUMBER(IFERROR(SEARCH('PLANILLA DJ'!$X$77,$A108,1),""))</f>
        <v>1</v>
      </c>
      <c r="CC108" s="207">
        <f>--ISNUMBER(IFERROR(SEARCH('PLANILLA DJ'!$X$78,$A108,1),""))</f>
        <v>1</v>
      </c>
      <c r="CD108" s="207">
        <f>--ISNUMBER(IFERROR(SEARCH('PLANILLA DJ'!$X$79,$A108,1),""))</f>
        <v>1</v>
      </c>
      <c r="CE108" s="207">
        <f>--ISNUMBER(IFERROR(SEARCH('PLANILLA DJ'!$X$80,$A108,1),""))</f>
        <v>1</v>
      </c>
      <c r="CF108" s="207">
        <f>--ISNUMBER(IFERROR(SEARCH('PLANILLA DJ'!$X$81,$A108,1),""))</f>
        <v>1</v>
      </c>
      <c r="CG108" s="207">
        <f>--ISNUMBER(IFERROR(SEARCH('PLANILLA DJ'!$X$82,$A108,1),""))</f>
        <v>1</v>
      </c>
      <c r="CH108" s="207">
        <f>--ISNUMBER(IFERROR(SEARCH('PLANILLA DJ'!$X$83,$A108,1),""))</f>
        <v>1</v>
      </c>
      <c r="CI108" s="207">
        <f>--ISNUMBER(IFERROR(SEARCH('PLANILLA DJ'!$X$84,$A108,1),""))</f>
        <v>1</v>
      </c>
      <c r="CJ108" s="207">
        <f>--ISNUMBER(IFERROR(SEARCH('PLANILLA DJ'!$X$85,$A108,1),""))</f>
        <v>1</v>
      </c>
      <c r="CK108" s="207">
        <f>--ISNUMBER(IFERROR(SEARCH('PLANILLA DJ'!$X$86,$A108,1),""))</f>
        <v>1</v>
      </c>
      <c r="CL108" s="207">
        <f>--ISNUMBER(IFERROR(SEARCH('PLANILLA DJ'!$X$87,$A108,1),""))</f>
        <v>1</v>
      </c>
      <c r="CM108" s="207">
        <f>--ISNUMBER(IFERROR(SEARCH('PLANILLA DJ'!$X$88,$A108,1),""))</f>
        <v>1</v>
      </c>
      <c r="CN108" s="207">
        <f>--ISNUMBER(IFERROR(SEARCH('PLANILLA DJ'!$X$89,$A108,1),""))</f>
        <v>1</v>
      </c>
      <c r="CO108" s="207">
        <f>--ISNUMBER(IFERROR(SEARCH('PLANILLA DJ'!$X$90,$A108,1),""))</f>
        <v>1</v>
      </c>
      <c r="CP108" s="207">
        <f>--ISNUMBER(IFERROR(SEARCH('PLANILLA DJ'!$X$91,$A108,1),""))</f>
        <v>1</v>
      </c>
      <c r="CQ108" s="207">
        <f>--ISNUMBER(IFERROR(SEARCH('PLANILLA DJ'!$X$92,$A108,1),""))</f>
        <v>1</v>
      </c>
      <c r="CR108" s="207">
        <f>--ISNUMBER(IFERROR(SEARCH('PLANILLA DJ'!$X$93,$A108,1),""))</f>
        <v>1</v>
      </c>
      <c r="CS108" s="207">
        <f>--ISNUMBER(IFERROR(SEARCH('PLANILLA DJ'!$X$94,$A108,1),""))</f>
        <v>1</v>
      </c>
      <c r="CT108" s="207">
        <f>--ISNUMBER(IFERROR(SEARCH('PLANILLA DJ'!$X$95,$A108,1),""))</f>
        <v>1</v>
      </c>
      <c r="CU108" s="207">
        <f>--ISNUMBER(IFERROR(SEARCH('PLANILLA DJ'!$X$96,$A108,1),""))</f>
        <v>1</v>
      </c>
      <c r="CV108" s="207">
        <f>--ISNUMBER(IFERROR(SEARCH('PLANILLA DJ'!$X$97,$A108,1),""))</f>
        <v>1</v>
      </c>
      <c r="CW108" s="207">
        <f>--ISNUMBER(IFERROR(SEARCH('PLANILLA DJ'!$X$98,$A108,1),""))</f>
        <v>1</v>
      </c>
      <c r="CX108" s="207">
        <f>--ISNUMBER(IFERROR(SEARCH('PLANILLA DJ'!$X$99,$A108,1),""))</f>
        <v>1</v>
      </c>
      <c r="CY108" s="207">
        <f>--ISNUMBER(IFERROR(SEARCH('PLANILLA DJ'!$X$100,$A108,1),""))</f>
        <v>1</v>
      </c>
      <c r="CZ108" s="207">
        <f>--ISNUMBER(IFERROR(SEARCH('PLANILLA DJ'!$X$101,$A108,1),""))</f>
        <v>1</v>
      </c>
      <c r="DA108" s="207">
        <f>--ISNUMBER(IFERROR(SEARCH('PLANILLA DJ'!$X$102,$A108,1),""))</f>
        <v>1</v>
      </c>
      <c r="DB108" s="206">
        <f>IF(F108=1,COUNTIF($F$2:F108,1),"")</f>
        <v>107</v>
      </c>
      <c r="DC108" s="206">
        <f>IF(G108=1,COUNTIF($G$2:G108,1),"")</f>
        <v>107</v>
      </c>
      <c r="DD108" s="206">
        <f>IF(H108=1,COUNTIF($H$2:H108,1),"")</f>
        <v>107</v>
      </c>
      <c r="DE108" s="206">
        <f>IF(I108=1,COUNTIF($I$2:I108,1),"")</f>
        <v>107</v>
      </c>
      <c r="DF108" s="206">
        <f>IF(J108=1,COUNTIF($J$2:J108,1),"")</f>
        <v>107</v>
      </c>
      <c r="DG108" s="206">
        <f>IF(K108=1,COUNTIF($K$2:K108,1),"")</f>
        <v>107</v>
      </c>
      <c r="DH108" s="206">
        <f>IF(L108=1,COUNTIF($L$2:L108,1),"")</f>
        <v>107</v>
      </c>
      <c r="DI108" s="206">
        <f>IF(M108=1,COUNTIF($M$2:M108,1),"")</f>
        <v>107</v>
      </c>
      <c r="DJ108" s="206">
        <f>IF(N108=1,COUNTIF($N$2:N108,1),"")</f>
        <v>107</v>
      </c>
      <c r="DK108" s="206">
        <f>IF(O108=1,COUNTIF($O$2:O108,1),"")</f>
        <v>107</v>
      </c>
      <c r="DL108" s="206">
        <f>IF(P108=1,COUNTIF($P$2:P108,1),"")</f>
        <v>107</v>
      </c>
      <c r="DM108" s="206">
        <f>IF(Q108=1,COUNTIF($Q$2:Q108,1),"")</f>
        <v>107</v>
      </c>
      <c r="DN108" s="207">
        <f>IF(R108=1,COUNTIF($R$2:R108,1),"")</f>
        <v>107</v>
      </c>
      <c r="DO108" s="207">
        <f>IF(S108=1,COUNTIF($S$2:S108,1),"")</f>
        <v>107</v>
      </c>
      <c r="DP108" s="207">
        <f>IF(T108=1,COUNTIF($T$2:T108,1),"")</f>
        <v>107</v>
      </c>
      <c r="DQ108" s="207">
        <f>IF(U108=1,COUNTIF($U$2:U108,1),"")</f>
        <v>107</v>
      </c>
      <c r="DR108" s="207">
        <f>IF(V108=1,COUNTIF($V$2:V108,1),"")</f>
        <v>107</v>
      </c>
      <c r="DS108" s="207">
        <f>IF(W108=1,COUNTIF($W$2:W108,1),"")</f>
        <v>107</v>
      </c>
      <c r="DT108" s="207">
        <f>IF(X108=1,COUNTIF($X$2:X108,1),"")</f>
        <v>107</v>
      </c>
      <c r="DU108" s="207">
        <f>IF(Y108=1,COUNTIF($Y$2:Y108,1),"")</f>
        <v>107</v>
      </c>
      <c r="DV108" s="207">
        <f>IF(Z108=1,COUNTIF(Z$2:Z108,1),"")</f>
        <v>107</v>
      </c>
      <c r="DW108" s="207">
        <f>IF(AA108=1,COUNTIF($AA$2:AA108,1),"")</f>
        <v>107</v>
      </c>
      <c r="DX108" s="207">
        <f>IF(AB108=1,COUNTIF($AB$2:AB108,1),"")</f>
        <v>107</v>
      </c>
      <c r="DY108" s="207">
        <f>IF(AC108=1,COUNTIF($AC$2:AC108,1),"")</f>
        <v>107</v>
      </c>
      <c r="DZ108" s="207">
        <f>IF(AD108=1,COUNTIF($AD$2:AD108,1),"")</f>
        <v>107</v>
      </c>
      <c r="EA108" s="207">
        <f>IF(AE108=1,COUNTIF($AE$2:AE108,1),"")</f>
        <v>107</v>
      </c>
      <c r="EB108" s="207">
        <f>IF(AF108=1,COUNTIF($AF$2:AF108,1),"")</f>
        <v>107</v>
      </c>
      <c r="EC108" s="207">
        <f>IF(AG108=1,COUNTIF($AG$2:AG108,1),"")</f>
        <v>107</v>
      </c>
      <c r="ED108" s="207">
        <f>IF(AH108=1,COUNTIF($AH$2:AH108,1),"")</f>
        <v>107</v>
      </c>
      <c r="EE108" s="207">
        <f>IF(AI108=1,COUNTIF($AI$2:AI108,1),"")</f>
        <v>107</v>
      </c>
      <c r="EF108" s="207">
        <f>IF(AJ108=1,COUNTIF($AJ$2:AJ108,1),"")</f>
        <v>107</v>
      </c>
      <c r="EG108" s="207">
        <f>IF(AK108=1,COUNTIF($AK$2:AK108,1),"")</f>
        <v>107</v>
      </c>
      <c r="EH108" s="207">
        <f>IF(AL108=1,COUNTIF($AL$2:AL108,1),"")</f>
        <v>107</v>
      </c>
      <c r="EI108" s="207">
        <f>IF(AM108=1,COUNTIF($AM$2:AM108,1),"")</f>
        <v>107</v>
      </c>
      <c r="EJ108" s="207">
        <f>IF(AN108=1,COUNTIF($AN$2:AN108,1),"")</f>
        <v>107</v>
      </c>
      <c r="EK108" s="207">
        <f>IF(AO108=1,COUNTIF($AO$2:AO108,1),"")</f>
        <v>107</v>
      </c>
      <c r="EL108" s="207">
        <f>IF(AP108=1,COUNTIF($AP$2:AP108,1),"")</f>
        <v>107</v>
      </c>
      <c r="EM108" s="207">
        <f>IF(AQ108=1,COUNTIF($AQ$2:AQ108,1),"")</f>
        <v>107</v>
      </c>
      <c r="EN108" s="207">
        <f>IF(AR108=1,COUNTIF($AR$2:AR108,1),"")</f>
        <v>107</v>
      </c>
      <c r="EO108" s="207">
        <f>IF(AS108=1,COUNTIF($AS$2:AS108,1),"")</f>
        <v>107</v>
      </c>
      <c r="EP108" s="207">
        <f>IF(AT108=1,COUNTIF($AT$2:AT108,1),"")</f>
        <v>107</v>
      </c>
      <c r="EQ108" s="207">
        <f>IF(AU108=1,COUNTIF($AU$2:AU108,1),"")</f>
        <v>107</v>
      </c>
      <c r="ER108" s="207">
        <f>IF(AV108=1,COUNTIF($AV$2:AV108,1),"")</f>
        <v>107</v>
      </c>
      <c r="ES108" s="207">
        <f>IF(AW108=1,COUNTIF($AW$2:AW108,1),"")</f>
        <v>107</v>
      </c>
      <c r="ET108" s="207">
        <f>IF(AX108=1,COUNTIF($AX$2:AX108,1),"")</f>
        <v>107</v>
      </c>
      <c r="EU108" s="207">
        <f>IF(AY108=1,COUNTIF($AY$2:AY108,1),"")</f>
        <v>107</v>
      </c>
      <c r="EV108" s="207">
        <f>IF(AZ108=1,COUNTIF($AZ$2:AZ108,1),"")</f>
        <v>107</v>
      </c>
      <c r="EW108" s="207">
        <f>IF(BA108=1,COUNTIF($BA$2:BA108,1),"")</f>
        <v>107</v>
      </c>
      <c r="EX108" s="207">
        <f>IF(BB108=1,COUNTIF($BB$2:BB108,1),"")</f>
        <v>107</v>
      </c>
      <c r="EY108" s="207">
        <f>IF(BC108=1,COUNTIF($BC$2:BC108,1),"")</f>
        <v>107</v>
      </c>
      <c r="EZ108" s="207">
        <f>IF(BD108=1,COUNTIF($BD$2:BD108,1),"")</f>
        <v>107</v>
      </c>
      <c r="FA108" s="207">
        <f>IF(BE108=1,COUNTIF($BE$2:BE108,1),"")</f>
        <v>107</v>
      </c>
      <c r="FB108" s="207">
        <f>IF(BF108=1,COUNTIF($BF$2:BF108,1),"")</f>
        <v>107</v>
      </c>
      <c r="FC108" s="207">
        <f>IF(BG108=1,COUNTIF($BG$2:BG108,1),"")</f>
        <v>107</v>
      </c>
      <c r="FD108" s="207">
        <f>IF(BH108=1,COUNTIF($BH$2:BH108,1),"")</f>
        <v>107</v>
      </c>
      <c r="FE108" s="207">
        <f>IF(BI108=1,COUNTIF($BI$2:BI108,1),"")</f>
        <v>107</v>
      </c>
      <c r="FF108" s="207">
        <f>IF(BJ108=1,COUNTIF($BJ$2:BJ108,1),"")</f>
        <v>107</v>
      </c>
      <c r="FG108" s="207">
        <f>IF(BK108=1,COUNTIF($BK$2:BK108,1),"")</f>
        <v>107</v>
      </c>
      <c r="FH108" s="207">
        <f>IF(BL108=1,COUNTIF($BL$2:BL108,1),"")</f>
        <v>107</v>
      </c>
      <c r="FI108" s="207">
        <f>IF(BM108=1,COUNTIF($BM$2:BM108,1),"")</f>
        <v>107</v>
      </c>
      <c r="FJ108" s="207">
        <f>IF(BN108=1,COUNTIF($BN$2:BN108,1),"")</f>
        <v>107</v>
      </c>
      <c r="FK108" s="207">
        <f>IF(BO108=1,COUNTIF($BO$2:BO108,1),"")</f>
        <v>107</v>
      </c>
      <c r="FL108" s="207">
        <f>IF(BP108=1,COUNTIF($BP$2:BP108,1),"")</f>
        <v>107</v>
      </c>
      <c r="FM108" s="207">
        <f>IF(BQ108=1,COUNTIF($BQ$2:BQ108,1),"")</f>
        <v>107</v>
      </c>
      <c r="FN108" s="207">
        <f>IF(BR108=1,COUNTIF($BR$2:BR108,1),"")</f>
        <v>107</v>
      </c>
      <c r="FO108" s="207">
        <f>IF(BS108=1,COUNTIF($BS$2:BS108,1),"")</f>
        <v>107</v>
      </c>
      <c r="FP108" s="207">
        <f>IF(BT108=1,COUNTIF($BT$2:BT108,1),"")</f>
        <v>107</v>
      </c>
      <c r="FQ108" s="207">
        <f>IF(BU108=1,COUNTIF($BU$2:BU108,1),"")</f>
        <v>107</v>
      </c>
      <c r="FR108" s="207">
        <f>IF(BV108=1,COUNTIF($BV$2:BV108,1),"")</f>
        <v>107</v>
      </c>
      <c r="FS108" s="207">
        <f>IF(BW108=1,COUNTIF($BW$2:BW108,1),"")</f>
        <v>107</v>
      </c>
      <c r="FT108" s="207">
        <f>IF(BX108=1,COUNTIF($BX$2:BX108,1),"")</f>
        <v>107</v>
      </c>
      <c r="FU108" s="207">
        <f>IF(BY108=1,COUNTIF($BY$2:BY108,1),"")</f>
        <v>107</v>
      </c>
      <c r="FV108" s="207">
        <f>IF(BZ108=1,COUNTIF($BZ$2:BZ108,1),"")</f>
        <v>107</v>
      </c>
      <c r="FW108" s="207">
        <f>IF(CA108=1,COUNTIF($CA$2:CA108,1),"")</f>
        <v>107</v>
      </c>
      <c r="FX108" s="207">
        <f>IF(CB108=1,COUNTIF($CB$2:CB108,1),"")</f>
        <v>107</v>
      </c>
      <c r="FY108" s="207">
        <f>IF(CC108=1,COUNTIF($CC$2:CC108,1),"")</f>
        <v>107</v>
      </c>
      <c r="FZ108" s="207">
        <f>IF(CD108=1,COUNTIF($CD$2:CD108,1),"")</f>
        <v>107</v>
      </c>
      <c r="GA108" s="207">
        <f>IF(CE108=1,COUNTIF($CE$2:CE108,1),"")</f>
        <v>107</v>
      </c>
      <c r="GB108" s="207">
        <f>IF(CF108=1,COUNTIF($CF$2:CF108,1),"")</f>
        <v>107</v>
      </c>
      <c r="GC108" s="207">
        <f>IF(CG108=1,COUNTIF($CG$2:CG108,1),"")</f>
        <v>107</v>
      </c>
      <c r="GD108" s="207">
        <f>IF(CH108=1,COUNTIF($CH$2:CH108,1),"")</f>
        <v>107</v>
      </c>
      <c r="GE108" s="207">
        <f>IF(CI108=1,COUNTIF($CI$2:CI108,1),"")</f>
        <v>107</v>
      </c>
      <c r="GF108" s="207">
        <f>IF(CJ108=1,COUNTIF($CJ$2:CJ108,1),"")</f>
        <v>107</v>
      </c>
      <c r="GG108" s="207">
        <f>IF(CK108=1,COUNTIF($CK$2:CK108,1),"")</f>
        <v>107</v>
      </c>
      <c r="GH108" s="207">
        <f>IF(CL108=1,COUNTIF($CL$2:CL108,1),"")</f>
        <v>107</v>
      </c>
      <c r="GI108" s="207">
        <f>IF(CM108=1,COUNTIF($CM$2:CM108,1),"")</f>
        <v>107</v>
      </c>
      <c r="GJ108" s="207">
        <f>IF(CN108=1,COUNTIF($CN$2:CN108,1),"")</f>
        <v>107</v>
      </c>
      <c r="GK108" s="207">
        <f>IF(CO108=1,COUNTIF($CO$2:CO108,1),"")</f>
        <v>107</v>
      </c>
      <c r="GL108" s="207">
        <f>IF(CP108=1,COUNTIF($CP$2:CP108,1),"")</f>
        <v>107</v>
      </c>
      <c r="GM108" s="207">
        <f>IF(CQ108=1,COUNTIF($CQ$2:CQ108,1),"")</f>
        <v>107</v>
      </c>
      <c r="GN108" s="207">
        <f>IF(CR108=1,COUNTIF($CR$2:CR108,1),"")</f>
        <v>107</v>
      </c>
      <c r="GO108" s="207">
        <f>IF(CS108=1,COUNTIF($CS$2:CS108,1),"")</f>
        <v>107</v>
      </c>
      <c r="GP108" s="207">
        <f>IF(CT108=1,COUNTIF($CT$2:CT108,1),"")</f>
        <v>107</v>
      </c>
      <c r="GQ108" s="207">
        <f>IF(CU108=1,COUNTIF($CU$2:CU108,1),"")</f>
        <v>107</v>
      </c>
      <c r="GR108" s="207">
        <f>IF(CV108=1,COUNTIF($CV$2:CV108,1),"")</f>
        <v>107</v>
      </c>
      <c r="GS108" s="207">
        <f>IF(CW108=1,COUNTIF($CW$2:CW108,1),"")</f>
        <v>107</v>
      </c>
      <c r="GT108" s="207">
        <f>IF(CX108=1,COUNTIF($CX$2:CX108,1),"")</f>
        <v>107</v>
      </c>
      <c r="GU108" s="207">
        <f>IF(CY108=1,COUNTIF($CY$2:CY108,1),"")</f>
        <v>107</v>
      </c>
      <c r="GV108" s="207">
        <f>IF(CZ108=1,COUNTIF($CZ$2:CZ108,1),"")</f>
        <v>107</v>
      </c>
      <c r="GW108" s="207">
        <f>IF(DA108=1,COUNTIF($DA$2:DA108,1),"")</f>
        <v>107</v>
      </c>
      <c r="GX108" s="206" t="str">
        <f>IFERROR(INDEX($A$2:$A$113,MATCH(ROWS($DB$2:DB108),$DB$2:$DB$113,0)),"")</f>
        <v>OTROS DELITOS PREVISTOS EN LEYES ESPECIALES</v>
      </c>
      <c r="GY108" s="206" t="str">
        <f>IFERROR(INDEX($A$2:$A$113,MATCH(ROWS($DC$2:DC108),$DC$2:$DC$113,0)),"")</f>
        <v>OTROS DELITOS PREVISTOS EN LEYES ESPECIALES</v>
      </c>
      <c r="GZ108" s="206" t="str">
        <f>IFERROR(INDEX($A$2:$A$113,MATCH(ROWS($DD$2:DD108),$DD$2:$DD$113,0)),"")</f>
        <v>OTROS DELITOS PREVISTOS EN LEYES ESPECIALES</v>
      </c>
      <c r="HA108" s="206" t="str">
        <f>IFERROR(INDEX($A$2:$A$113,MATCH(ROWS($DE$2:DE108),$DE$2:$DE$113,0)),"")</f>
        <v>OTROS DELITOS PREVISTOS EN LEYES ESPECIALES</v>
      </c>
      <c r="HB108" s="206" t="str">
        <f>IFERROR(INDEX($A$2:$A$113,MATCH(ROWS($DF$2:DF108),$DF$2:$DF$113,0)),"")</f>
        <v>OTROS DELITOS PREVISTOS EN LEYES ESPECIALES</v>
      </c>
      <c r="HC108" s="206" t="str">
        <f>IFERROR(INDEX($A$2:$A$113,MATCH(ROWS($DG$2:DG108),$DG$2:$DG$113,0)),"")</f>
        <v>OTROS DELITOS PREVISTOS EN LEYES ESPECIALES</v>
      </c>
      <c r="HD108" s="206" t="str">
        <f>IFERROR(INDEX($A$2:$A$113,MATCH(ROWS($DH$2:DH108),$DH$2:$DH$113,0)),"")</f>
        <v>OTROS DELITOS PREVISTOS EN LEYES ESPECIALES</v>
      </c>
      <c r="HE108" s="206" t="str">
        <f>IFERROR(INDEX($A$2:$A$113,MATCH(ROWS($DI$2:DI108),$DI$2:$DI$113,0)),"")</f>
        <v>OTROS DELITOS PREVISTOS EN LEYES ESPECIALES</v>
      </c>
      <c r="HF108" s="206" t="str">
        <f>IFERROR(INDEX($A$2:$A$113,MATCH(ROWS($DJ$2:DJ108),$DJ$2:$DJ$113,0)),"")</f>
        <v>OTROS DELITOS PREVISTOS EN LEYES ESPECIALES</v>
      </c>
      <c r="HG108" s="206" t="str">
        <f>IFERROR(INDEX($A$2:$A$113,MATCH(ROWS($DK$2:DK108),$DK$2:$DK$113,0)),"")</f>
        <v>OTROS DELITOS PREVISTOS EN LEYES ESPECIALES</v>
      </c>
      <c r="HH108" s="206" t="str">
        <f>IFERROR(INDEX($A$2:$A$113,MATCH(ROWS($DL$2:DL108),$DL$2:$DL$113,0)),"")</f>
        <v>OTROS DELITOS PREVISTOS EN LEYES ESPECIALES</v>
      </c>
      <c r="HI108" s="206" t="str">
        <f>IFERROR(INDEX($A$2:$A$113,MATCH(ROWS($DM$2:DM108),$DM$2:$DM$113,0)),"")</f>
        <v>OTROS DELITOS PREVISTOS EN LEYES ESPECIALES</v>
      </c>
      <c r="HJ108" s="206" t="str">
        <f>IFERROR(INDEX($A$2:$A$113,MATCH(ROWS($DN$2:DN108),$DN$2:$DN$113,0)),"")</f>
        <v>OTROS DELITOS PREVISTOS EN LEYES ESPECIALES</v>
      </c>
      <c r="HK108" s="206" t="str">
        <f>IFERROR(INDEX($A$2:$A$113,MATCH(ROWS($DO$2:DO108),$DO$2:$DO$113,0)),"")</f>
        <v>OTROS DELITOS PREVISTOS EN LEYES ESPECIALES</v>
      </c>
      <c r="HL108" s="206" t="str">
        <f>IFERROR(INDEX($A$2:$A$113,MATCH(ROWS($DP$2:DP108),$DP$2:$DP$113,0)),"")</f>
        <v>OTROS DELITOS PREVISTOS EN LEYES ESPECIALES</v>
      </c>
      <c r="HM108" s="206" t="str">
        <f>IFERROR(INDEX($A$2:$A$113,MATCH(ROWS($DQ$2:DQ108),$DQ$2:$DQ$113,0)),"")</f>
        <v>OTROS DELITOS PREVISTOS EN LEYES ESPECIALES</v>
      </c>
      <c r="HN108" s="206" t="str">
        <f>IFERROR(INDEX($A$2:$A$113,MATCH(ROWS($DR$2:DR108),$DR$2:$DR$113,0)),"")</f>
        <v>OTROS DELITOS PREVISTOS EN LEYES ESPECIALES</v>
      </c>
      <c r="HO108" s="206" t="str">
        <f>IFERROR(INDEX($A$2:$A$113,MATCH(ROWS($DS$2:DS108),$DS$2:$DS$113,0)),"")</f>
        <v>OTROS DELITOS PREVISTOS EN LEYES ESPECIALES</v>
      </c>
      <c r="HP108" s="206" t="str">
        <f>IFERROR(INDEX($A$2:$A$113,MATCH(ROWS($DT$2:DT108),$DT$2:$DT$113,0)),"")</f>
        <v>OTROS DELITOS PREVISTOS EN LEYES ESPECIALES</v>
      </c>
      <c r="HQ108" s="206" t="str">
        <f>IFERROR(INDEX($A$2:$A$113,MATCH(ROWS($DU$2:DU108),$DU$2:$DU$113,0)),"")</f>
        <v>OTROS DELITOS PREVISTOS EN LEYES ESPECIALES</v>
      </c>
      <c r="HR108" s="206" t="str">
        <f>IFERROR(INDEX($A$2:$A$113,MATCH(ROWS($DV$2:DV108),$DV$2:$DV$113,0)),"")</f>
        <v>OTROS DELITOS PREVISTOS EN LEYES ESPECIALES</v>
      </c>
      <c r="HS108" s="206" t="str">
        <f>IFERROR(INDEX($A$2:$A$113,MATCH(ROWS($DW$2:DW108),$DW$2:$DW$113,0)),"")</f>
        <v>OTROS DELITOS PREVISTOS EN LEYES ESPECIALES</v>
      </c>
      <c r="HT108" s="206" t="str">
        <f>IFERROR(INDEX($A$2:$A$113,MATCH(ROWS($DX$2:DX108),$DX$2:$DX$113,0)),"")</f>
        <v>OTROS DELITOS PREVISTOS EN LEYES ESPECIALES</v>
      </c>
      <c r="HU108" s="206" t="str">
        <f>IFERROR(INDEX($A$2:$A$113,MATCH(ROWS($DY$2:DY108),$DY$2:$DY$113,0)),"")</f>
        <v>OTROS DELITOS PREVISTOS EN LEYES ESPECIALES</v>
      </c>
      <c r="HV108" s="206" t="str">
        <f>IFERROR(INDEX($A$2:$A$113,MATCH(ROWS($DZ$2:DZ108),$DZ$2:$DZ$113,0)),"")</f>
        <v>OTROS DELITOS PREVISTOS EN LEYES ESPECIALES</v>
      </c>
      <c r="HW108" s="206" t="str">
        <f>IFERROR(INDEX($A$2:$A$113,MATCH(ROWS($EA$2:EA108),$EA$2:$EA$113,0)),"")</f>
        <v>OTROS DELITOS PREVISTOS EN LEYES ESPECIALES</v>
      </c>
      <c r="HX108" s="206" t="str">
        <f>IFERROR(INDEX($A$2:$A$113,MATCH(ROWS($EB$2:EB108),$EB$2:$EB$113,0)),"")</f>
        <v>OTROS DELITOS PREVISTOS EN LEYES ESPECIALES</v>
      </c>
      <c r="HY108" s="206" t="str">
        <f>IFERROR(INDEX($A$2:$A$113,MATCH(ROWS($EC$2:EC108),$EC$2:$EC$113,0)),"")</f>
        <v>OTROS DELITOS PREVISTOS EN LEYES ESPECIALES</v>
      </c>
      <c r="HZ108" s="206" t="str">
        <f>IFERROR(INDEX($A$2:$A$113,MATCH(ROWS($ED$2:ED108),$ED$2:$ED$113,0)),"")</f>
        <v>OTROS DELITOS PREVISTOS EN LEYES ESPECIALES</v>
      </c>
      <c r="IA108" s="206" t="str">
        <f>IFERROR(INDEX($A$2:$A$113,MATCH(ROWS($EE$2:EE108),$EE$2:$EE$113,0)),"")</f>
        <v>OTROS DELITOS PREVISTOS EN LEYES ESPECIALES</v>
      </c>
      <c r="IB108" s="206" t="str">
        <f>IFERROR(INDEX($A$2:$A$113,MATCH(ROWS($EF$2:EF108),$EF$2:$EF$113,0)),"")</f>
        <v>OTROS DELITOS PREVISTOS EN LEYES ESPECIALES</v>
      </c>
      <c r="IC108" s="206" t="str">
        <f>IFERROR(INDEX($A$2:$A$113,MATCH(ROWS($EG$2:EG108),$EG$2:$EG$113,0)),"")</f>
        <v>OTROS DELITOS PREVISTOS EN LEYES ESPECIALES</v>
      </c>
      <c r="ID108" s="206" t="str">
        <f>IFERROR(INDEX($A$2:$A$113,MATCH(ROWS($EH$2:EH108),$EH$2:$EH$113,0)),"")</f>
        <v>OTROS DELITOS PREVISTOS EN LEYES ESPECIALES</v>
      </c>
      <c r="IE108" s="206" t="str">
        <f>IFERROR(INDEX($A$2:$A$113,MATCH(ROWS($EI$2:EI108),$EI$2:$EI$113,0)),"")</f>
        <v>OTROS DELITOS PREVISTOS EN LEYES ESPECIALES</v>
      </c>
      <c r="IF108" s="206" t="str">
        <f>IFERROR(INDEX($A$2:$A$113,MATCH(ROWS($EJ$2:EJ108),$EJ$2:$EJ$113,0)),"")</f>
        <v>OTROS DELITOS PREVISTOS EN LEYES ESPECIALES</v>
      </c>
      <c r="IG108" s="206" t="str">
        <f>IFERROR(INDEX($A$2:$A$113,MATCH(ROWS($EK$2:EK108),$EK$2:$EK$113,0)),"")</f>
        <v>OTROS DELITOS PREVISTOS EN LEYES ESPECIALES</v>
      </c>
      <c r="IH108" s="206" t="str">
        <f>IFERROR(INDEX($A$2:$A$113,MATCH(ROWS($EL$2:EL108),$EL$2:$EL$113,0)),"")</f>
        <v>OTROS DELITOS PREVISTOS EN LEYES ESPECIALES</v>
      </c>
      <c r="II108" s="206" t="str">
        <f>IFERROR(INDEX($A$2:$A$113,MATCH(ROWS($EM$2:EM108),$EM$2:$EM$113,0)),"")</f>
        <v>OTROS DELITOS PREVISTOS EN LEYES ESPECIALES</v>
      </c>
      <c r="IJ108" s="206" t="str">
        <f>IFERROR(INDEX($A$2:$A$113,MATCH(ROWS($EN$2:EN108),$EN$2:$EN$113,0)),"")</f>
        <v>OTROS DELITOS PREVISTOS EN LEYES ESPECIALES</v>
      </c>
      <c r="IK108" s="207" t="str">
        <f>IFERROR(INDEX($A$2:$A$113,MATCH(ROWS($EO$2:EO108),$EO$2:$EO$113,0)),"")</f>
        <v>OTROS DELITOS PREVISTOS EN LEYES ESPECIALES</v>
      </c>
      <c r="IL108" s="207" t="str">
        <f>IFERROR(INDEX($A$2:$A$113,MATCH(ROWS($EP$2:EP108),$EP$2:$EP$113,0)),"")</f>
        <v>OTROS DELITOS PREVISTOS EN LEYES ESPECIALES</v>
      </c>
      <c r="IM108" s="207" t="str">
        <f>IFERROR(INDEX($A$2:$A$113,MATCH(ROWS($EQ$2:EQ108),$EQ$2:$EQ$113,0)),"")</f>
        <v>OTROS DELITOS PREVISTOS EN LEYES ESPECIALES</v>
      </c>
      <c r="IN108" s="207" t="str">
        <f>IFERROR(INDEX($A$2:$A$113,MATCH(ROWS($ER$2:ER108),$ER$2:$ER$113,0)),"")</f>
        <v>OTROS DELITOS PREVISTOS EN LEYES ESPECIALES</v>
      </c>
      <c r="IO108" s="207" t="str">
        <f>IFERROR(INDEX($A$2:$A$113,MATCH(ROWS($ES$2:ES108),$ES$2:$ES$113,0)),"")</f>
        <v>OTROS DELITOS PREVISTOS EN LEYES ESPECIALES</v>
      </c>
      <c r="IP108" s="207" t="str">
        <f>IFERROR(INDEX($A$2:$A$113,MATCH(ROWS($ET$2:ET108),$ET$2:$ET$113,0)),"")</f>
        <v>OTROS DELITOS PREVISTOS EN LEYES ESPECIALES</v>
      </c>
      <c r="IQ108" s="207" t="str">
        <f>IFERROR(INDEX($A$2:$A$113,MATCH(ROWS($EU$2:EU108),$EU$2:$EU$113,0)),"")</f>
        <v>OTROS DELITOS PREVISTOS EN LEYES ESPECIALES</v>
      </c>
      <c r="IR108" s="207" t="str">
        <f>IFERROR(INDEX($A$2:$A$113,MATCH(ROWS($EV$2:EV108),$EV$2:$EV$113,0)),"")</f>
        <v>OTROS DELITOS PREVISTOS EN LEYES ESPECIALES</v>
      </c>
      <c r="IS108" s="207" t="str">
        <f>IFERROR(INDEX($A$2:$A$113,MATCH(ROWS($EW$2:EW108),$EW$2:$EW$113,0)),"")</f>
        <v>OTROS DELITOS PREVISTOS EN LEYES ESPECIALES</v>
      </c>
      <c r="IT108" s="207" t="str">
        <f>IFERROR(INDEX($A$2:$A$113,MATCH(ROWS($EX$2:EX108),$EX$2:$EX$113,0)),"")</f>
        <v>OTROS DELITOS PREVISTOS EN LEYES ESPECIALES</v>
      </c>
      <c r="IU108" s="207" t="str">
        <f>IFERROR(INDEX($A$2:$A$113,MATCH(ROWS($EY$2:EY108),$EY$2:$EY$113,0)),"")</f>
        <v>OTROS DELITOS PREVISTOS EN LEYES ESPECIALES</v>
      </c>
      <c r="IV108" s="207" t="str">
        <f>IFERROR(INDEX($A$2:$A$113,MATCH(ROWS($EZ$2:EZ108),$EZ$2:$EZ$113,0)),"")</f>
        <v>OTROS DELITOS PREVISTOS EN LEYES ESPECIALES</v>
      </c>
      <c r="IW108" s="207" t="str">
        <f>IFERROR(INDEX($A$2:$A$113,MATCH(ROWS($FA$2:FA108),$FA$2:$FA$113,0)),"")</f>
        <v>OTROS DELITOS PREVISTOS EN LEYES ESPECIALES</v>
      </c>
      <c r="IX108" s="207" t="str">
        <f>IFERROR(INDEX($A$2:$A$113,MATCH(ROWS($FB$2:FB108),$FB$2:$FB$113,0)),"")</f>
        <v>OTROS DELITOS PREVISTOS EN LEYES ESPECIALES</v>
      </c>
      <c r="IY108" s="207" t="str">
        <f>IFERROR(INDEX($A$2:$A$113,MATCH(ROWS($FC$2:FC108),$FC$2:$FC$113,0)),"")</f>
        <v>OTROS DELITOS PREVISTOS EN LEYES ESPECIALES</v>
      </c>
      <c r="IZ108" s="207" t="str">
        <f>IFERROR(INDEX($A$2:$A$113,MATCH(ROWS($FD$2:FD108),$FD$2:$FD$113,0)),"")</f>
        <v>OTROS DELITOS PREVISTOS EN LEYES ESPECIALES</v>
      </c>
      <c r="JA108" s="207" t="str">
        <f>IFERROR(INDEX($A$2:$A$113,MATCH(ROWS($FE$2:FE108),$FE$2:$FE$113,0)),"")</f>
        <v>OTROS DELITOS PREVISTOS EN LEYES ESPECIALES</v>
      </c>
      <c r="JB108" s="207" t="str">
        <f>IFERROR(INDEX($A$2:$A$113,MATCH(ROWS($FF$2:FF108),$FF$2:$FF$113,0)),"")</f>
        <v>OTROS DELITOS PREVISTOS EN LEYES ESPECIALES</v>
      </c>
      <c r="JC108" s="207" t="str">
        <f>IFERROR(INDEX($A$2:$A$113,MATCH(ROWS($FG$2:FG108),$FG$2:$FG$113,0)),"")</f>
        <v>OTROS DELITOS PREVISTOS EN LEYES ESPECIALES</v>
      </c>
      <c r="JD108" s="207" t="str">
        <f>IFERROR(INDEX($A$2:$A$113,MATCH(ROWS($FH$2:FH108),$FH$2:$FH$113,0)),"")</f>
        <v>OTROS DELITOS PREVISTOS EN LEYES ESPECIALES</v>
      </c>
      <c r="JE108" s="207" t="str">
        <f>IFERROR(INDEX($A$2:$A$113,MATCH(ROWS($FI$2:FI108),$FI$2:$FI$113,0)),"")</f>
        <v>OTROS DELITOS PREVISTOS EN LEYES ESPECIALES</v>
      </c>
      <c r="JF108" s="207" t="str">
        <f>IFERROR(INDEX($A$2:$A$113,MATCH(ROWS($FJ$2:FJ108),$FJ$2:$FJ$113,0)),"")</f>
        <v>OTROS DELITOS PREVISTOS EN LEYES ESPECIALES</v>
      </c>
      <c r="JG108" s="207" t="str">
        <f>IFERROR(INDEX($A$2:$A$113,MATCH(ROWS($FK$2:FK108),$FK$2:$FK$113,0)),"")</f>
        <v>OTROS DELITOS PREVISTOS EN LEYES ESPECIALES</v>
      </c>
      <c r="JH108" s="207" t="str">
        <f>IFERROR(INDEX($A$2:$A$113,MATCH(ROWS($FL$2:FL108),$FL$2:$FL$113,0)),"")</f>
        <v>OTROS DELITOS PREVISTOS EN LEYES ESPECIALES</v>
      </c>
      <c r="JI108" s="207" t="str">
        <f>IFERROR(INDEX($A$2:$A$113,MATCH(ROWS($FM$2:FM108),$FM$2:$FM$113,0)),"")</f>
        <v>OTROS DELITOS PREVISTOS EN LEYES ESPECIALES</v>
      </c>
      <c r="JJ108" s="207" t="str">
        <f>IFERROR(INDEX($A$2:$A$113,MATCH(ROWS($FN$2:FN108),$FN$2:$FN$113,0)),"")</f>
        <v>OTROS DELITOS PREVISTOS EN LEYES ESPECIALES</v>
      </c>
      <c r="JK108" s="207" t="str">
        <f>IFERROR(INDEX($A$2:$A$113,MATCH(ROWS($FO$2:FO108),$FO$2:$FO$113,0)),"")</f>
        <v>OTROS DELITOS PREVISTOS EN LEYES ESPECIALES</v>
      </c>
      <c r="JL108" s="207" t="str">
        <f>IFERROR(INDEX($A$2:$A$113,MATCH(ROWS($FP$2:FP108),$FP$2:$FP$113,0)),"")</f>
        <v>OTROS DELITOS PREVISTOS EN LEYES ESPECIALES</v>
      </c>
      <c r="JM108" s="207" t="str">
        <f>IFERROR(INDEX($A$2:$A$113,MATCH(ROWS($FQ$2:FQ108),$FQ$2:$FQ$113,0)),"")</f>
        <v>OTROS DELITOS PREVISTOS EN LEYES ESPECIALES</v>
      </c>
      <c r="JN108" s="207" t="str">
        <f>IFERROR(INDEX($A$2:$A$113,MATCH(ROWS($FR$2:FR108),$FR$2:$FR$113,0)),"")</f>
        <v>OTROS DELITOS PREVISTOS EN LEYES ESPECIALES</v>
      </c>
      <c r="JO108" s="207" t="str">
        <f>IFERROR(INDEX($A$2:$A$113,MATCH(ROWS($FS$2:FS108),$FS$2:$FS$113,0)),"")</f>
        <v>OTROS DELITOS PREVISTOS EN LEYES ESPECIALES</v>
      </c>
      <c r="JP108" s="207" t="str">
        <f>IFERROR(INDEX($A$2:$A$113,MATCH(ROWS($FT$2:FT108),$FT$2:$FT$113,0)),"")</f>
        <v>OTROS DELITOS PREVISTOS EN LEYES ESPECIALES</v>
      </c>
      <c r="JQ108" s="207" t="str">
        <f>IFERROR(INDEX($A$2:$A$113,MATCH(ROWS($FU$2:FU108),$FU$2:$FU$113,0)),"")</f>
        <v>OTROS DELITOS PREVISTOS EN LEYES ESPECIALES</v>
      </c>
      <c r="JR108" s="207" t="str">
        <f>IFERROR(INDEX($A$2:$A$113,MATCH(ROWS($FV$2:FV108),$FV$2:$FV$113,0)),"")</f>
        <v>OTROS DELITOS PREVISTOS EN LEYES ESPECIALES</v>
      </c>
      <c r="JS108" s="207" t="str">
        <f>IFERROR(INDEX($A$2:$A$113,MATCH(ROWS($FW$2:FW108),$FW$2:$FW$113,0)),"")</f>
        <v>OTROS DELITOS PREVISTOS EN LEYES ESPECIALES</v>
      </c>
      <c r="JT108" s="207" t="str">
        <f>IFERROR(INDEX($A$2:$A$113,MATCH(ROWS($FX$2:FX108),$FX$2:$FX$113,0)),"")</f>
        <v>OTROS DELITOS PREVISTOS EN LEYES ESPECIALES</v>
      </c>
      <c r="JU108" s="207" t="str">
        <f>IFERROR(INDEX($A$2:$A$113,MATCH(ROWS($FY$2:FY108),$FY$2:$FY$113,0)),"")</f>
        <v>OTROS DELITOS PREVISTOS EN LEYES ESPECIALES</v>
      </c>
      <c r="JV108" s="207" t="str">
        <f>IFERROR(INDEX($A$2:$A$113,MATCH(ROWS($FZ$2:FZ108),$FZ$2:$FZ$113,0)),"")</f>
        <v>OTROS DELITOS PREVISTOS EN LEYES ESPECIALES</v>
      </c>
      <c r="JW108" s="207" t="str">
        <f>IFERROR(INDEX($A$2:$A$113,MATCH(ROWS($GA$2:GA108),$GA$2:$GA$113,0)),"")</f>
        <v>OTROS DELITOS PREVISTOS EN LEYES ESPECIALES</v>
      </c>
      <c r="JX108" s="207" t="str">
        <f>IFERROR(INDEX($A$2:$A$113,MATCH(ROWS($GB$2:GB108),$GB$2:$GB$113,0)),"")</f>
        <v>OTROS DELITOS PREVISTOS EN LEYES ESPECIALES</v>
      </c>
      <c r="JY108" s="207" t="str">
        <f>IFERROR(INDEX($A$2:$A$113,MATCH(ROWS($GC$2:GC108),$GC$2:$GC$113,0)),"")</f>
        <v>OTROS DELITOS PREVISTOS EN LEYES ESPECIALES</v>
      </c>
      <c r="JZ108" s="207" t="str">
        <f>IFERROR(INDEX($A$2:$A$113,MATCH(ROWS($GD$2:GD108),$GD$2:$GD$113,0)),"")</f>
        <v>OTROS DELITOS PREVISTOS EN LEYES ESPECIALES</v>
      </c>
      <c r="KA108" s="207" t="str">
        <f>IFERROR(INDEX($A$2:$A$113,MATCH(ROWS($GE$2:GE108),$GE$2:$GE$113,0)),"")</f>
        <v>OTROS DELITOS PREVISTOS EN LEYES ESPECIALES</v>
      </c>
      <c r="KB108" s="207" t="str">
        <f>IFERROR(INDEX($A$2:$A$113,MATCH(ROWS($GF$2:GF108),$GF$2:$GF$113,0)),"")</f>
        <v>OTROS DELITOS PREVISTOS EN LEYES ESPECIALES</v>
      </c>
      <c r="KC108" s="207" t="str">
        <f>IFERROR(INDEX($A$2:$A$113,MATCH(ROWS($GG$2:GG108),$GG$2:$GG$113,0)),"")</f>
        <v>OTROS DELITOS PREVISTOS EN LEYES ESPECIALES</v>
      </c>
      <c r="KD108" s="207" t="str">
        <f>IFERROR(INDEX($A$2:$A$113,MATCH(ROWS($GH$2:GH108),$GH$2:$GH$113,0)),"")</f>
        <v>OTROS DELITOS PREVISTOS EN LEYES ESPECIALES</v>
      </c>
      <c r="KE108" s="207" t="str">
        <f>IFERROR(INDEX($A$2:$A$113,MATCH(ROWS($GI$2:GI108),$GI$2:$GI$113,0)),"")</f>
        <v>OTROS DELITOS PREVISTOS EN LEYES ESPECIALES</v>
      </c>
      <c r="KF108" s="207" t="str">
        <f>IFERROR(INDEX($A$2:$A$113,MATCH(ROWS($GJ$2:GJ108),$GJ$2:$GJ$113,0)),"")</f>
        <v>OTROS DELITOS PREVISTOS EN LEYES ESPECIALES</v>
      </c>
      <c r="KG108" s="207" t="str">
        <f>IFERROR(INDEX($A$2:$A$113,MATCH(ROWS($GK$2:GK108),$GK$2:$GK$113,0)),"")</f>
        <v>OTROS DELITOS PREVISTOS EN LEYES ESPECIALES</v>
      </c>
      <c r="KH108" s="207" t="str">
        <f>IFERROR(INDEX($A$2:$A$113,MATCH(ROWS($GL$2:GL108),$GL$2:$GL$113,0)),"")</f>
        <v>OTROS DELITOS PREVISTOS EN LEYES ESPECIALES</v>
      </c>
      <c r="KI108" s="207" t="str">
        <f>IFERROR(INDEX($A$2:$A$113,MATCH(ROWS($GM$2:GM108),$GM$2:$GM$113,0)),"")</f>
        <v>OTROS DELITOS PREVISTOS EN LEYES ESPECIALES</v>
      </c>
      <c r="KJ108" s="207" t="str">
        <f>IFERROR(INDEX($A$2:$A$113,MATCH(ROWS($GN$2:GN108),$GN$2:$GN$113,0)),"")</f>
        <v>OTROS DELITOS PREVISTOS EN LEYES ESPECIALES</v>
      </c>
      <c r="KK108" s="207" t="str">
        <f>IFERROR(INDEX($A$2:$A$113,MATCH(ROWS($GO$2:GO108),$GO$2:$GO$113,0)),"")</f>
        <v>OTROS DELITOS PREVISTOS EN LEYES ESPECIALES</v>
      </c>
      <c r="KL108" s="207" t="str">
        <f>IFERROR(INDEX($A$2:$A$113,MATCH(ROWS($GP$2:GP108),$GP$2:$GP$113,0)),"")</f>
        <v>OTROS DELITOS PREVISTOS EN LEYES ESPECIALES</v>
      </c>
      <c r="KM108" s="207" t="str">
        <f>IFERROR(INDEX($A$2:$A$113,MATCH(ROWS($GQ$2:GQ108),$GQ$2:$GQ$113,0)),"")</f>
        <v>OTROS DELITOS PREVISTOS EN LEYES ESPECIALES</v>
      </c>
      <c r="KN108" s="207" t="str">
        <f>IFERROR(INDEX($A$2:$A$113,MATCH(ROWS($GR$2:GR108),$GR$2:$GR$113,0)),"")</f>
        <v>OTROS DELITOS PREVISTOS EN LEYES ESPECIALES</v>
      </c>
      <c r="KO108" s="207" t="str">
        <f>IFERROR(INDEX($A$2:$A$113,MATCH(ROWS($GS$2:GS108),$GS$2:$GS$113,0)),"")</f>
        <v>OTROS DELITOS PREVISTOS EN LEYES ESPECIALES</v>
      </c>
      <c r="KP108" s="207" t="str">
        <f>IFERROR(INDEX($A$2:$A$113,MATCH(ROWS($GT$2:GT108),$GT$2:$GT$113,0)),"")</f>
        <v>OTROS DELITOS PREVISTOS EN LEYES ESPECIALES</v>
      </c>
      <c r="KQ108" s="207" t="str">
        <f>IFERROR(INDEX($A$2:$A$113,MATCH(ROWS($GU$2:GU108),$GU$2:$GU$113,0)),"")</f>
        <v>OTROS DELITOS PREVISTOS EN LEYES ESPECIALES</v>
      </c>
      <c r="KR108" s="207" t="str">
        <f>IFERROR(INDEX($A$2:$A$113,MATCH(ROWS($GV$2:GV108),$GV$2:$GV$113,0)),"")</f>
        <v>OTROS DELITOS PREVISTOS EN LEYES ESPECIALES</v>
      </c>
      <c r="KS108" s="207" t="str">
        <f>IFERROR(INDEX($A$2:$A$113,MATCH(ROWS($GW$2:GW108),$GW$2:$GW$113,0)),"")</f>
        <v>OTROS DELITOS PREVISTOS EN LEYES ESPECIALES</v>
      </c>
    </row>
    <row r="109" spans="1:305" x14ac:dyDescent="0.25">
      <c r="A109" s="206" t="s">
        <v>505</v>
      </c>
      <c r="B109" s="206">
        <v>31</v>
      </c>
      <c r="D109" s="206" t="s">
        <v>472</v>
      </c>
      <c r="E109" s="206" t="s">
        <v>509</v>
      </c>
      <c r="F109" s="207">
        <f>--ISNUMBER(IFERROR(SEARCH('PLANILLA DJ'!$X$3,$A109,1),""))</f>
        <v>1</v>
      </c>
      <c r="G109" s="207">
        <f>--ISNUMBER(IFERROR(SEARCH('PLANILLA DJ'!$X$4,$A109,1),""))</f>
        <v>1</v>
      </c>
      <c r="H109" s="207">
        <f>--ISNUMBER(IFERROR(SEARCH('PLANILLA DJ'!$X$5,$A109,1),""))</f>
        <v>1</v>
      </c>
      <c r="I109" s="207">
        <f>--ISNUMBER(IFERROR(SEARCH('PLANILLA DJ'!$X$6,$A109,1),""))</f>
        <v>1</v>
      </c>
      <c r="J109" s="207">
        <f>--ISNUMBER(IFERROR(SEARCH('PLANILLA DJ'!$X$7,$A109,1),""))</f>
        <v>1</v>
      </c>
      <c r="K109" s="207">
        <f>--ISNUMBER(IFERROR(SEARCH('PLANILLA DJ'!$X$8,$A109,1),""))</f>
        <v>1</v>
      </c>
      <c r="L109" s="207">
        <f>--ISNUMBER(IFERROR(SEARCH('PLANILLA DJ'!$X$9,$A109,1),""))</f>
        <v>1</v>
      </c>
      <c r="M109" s="207">
        <f>--ISNUMBER(IFERROR(SEARCH('PLANILLA DJ'!$X$10,$A109,1),""))</f>
        <v>1</v>
      </c>
      <c r="N109" s="207">
        <f>--ISNUMBER(IFERROR(SEARCH('PLANILLA DJ'!$X$11,$A109,1),""))</f>
        <v>1</v>
      </c>
      <c r="O109" s="207">
        <f>--ISNUMBER(IFERROR(SEARCH('PLANILLA DJ'!$X$12,$A109,1),""))</f>
        <v>1</v>
      </c>
      <c r="P109" s="207">
        <f>--ISNUMBER(IFERROR(SEARCH('PLANILLA DJ'!$X$13,$A109,1),""))</f>
        <v>1</v>
      </c>
      <c r="Q109" s="207">
        <f>--ISNUMBER(IFERROR(SEARCH('PLANILLA DJ'!$X$14,$A109,1),""))</f>
        <v>1</v>
      </c>
      <c r="R109" s="207">
        <f>--ISNUMBER(IFERROR(SEARCH('PLANILLA DJ'!$X$15,$A109,1),""))</f>
        <v>1</v>
      </c>
      <c r="S109" s="207">
        <f>--ISNUMBER(IFERROR(SEARCH('PLANILLA DJ'!$X$16,$A109,1),""))</f>
        <v>1</v>
      </c>
      <c r="T109" s="207">
        <f>--ISNUMBER(IFERROR(SEARCH('PLANILLA DJ'!$X$17,$A109,1),""))</f>
        <v>1</v>
      </c>
      <c r="U109" s="207">
        <f>--ISNUMBER(IFERROR(SEARCH('PLANILLA DJ'!$X$18,$A109,1),""))</f>
        <v>1</v>
      </c>
      <c r="V109" s="207">
        <f>--ISNUMBER(IFERROR(SEARCH('PLANILLA DJ'!$X$19,$A109,1),""))</f>
        <v>1</v>
      </c>
      <c r="W109" s="207">
        <f>--ISNUMBER(IFERROR(SEARCH('PLANILLA DJ'!$X$20,$A109,1),""))</f>
        <v>1</v>
      </c>
      <c r="X109" s="207">
        <f>--ISNUMBER(IFERROR(SEARCH('PLANILLA DJ'!$X$21,$A109,1),""))</f>
        <v>1</v>
      </c>
      <c r="Y109" s="207">
        <f>--ISNUMBER(IFERROR(SEARCH('PLANILLA DJ'!$X$22,$A109,1),""))</f>
        <v>1</v>
      </c>
      <c r="Z109" s="207">
        <f>--ISNUMBER(IFERROR(SEARCH('PLANILLA DJ'!$X$23,$A109,1),""))</f>
        <v>1</v>
      </c>
      <c r="AA109" s="207">
        <f>--ISNUMBER(IFERROR(SEARCH('PLANILLA DJ'!$X$24,$A109,1),""))</f>
        <v>1</v>
      </c>
      <c r="AB109" s="207">
        <f>--ISNUMBER(IFERROR(SEARCH('PLANILLA DJ'!$X$25,$A109,1),""))</f>
        <v>1</v>
      </c>
      <c r="AC109" s="207">
        <f>--ISNUMBER(IFERROR(SEARCH('PLANILLA DJ'!$X$26,$A109,1),""))</f>
        <v>1</v>
      </c>
      <c r="AD109" s="207">
        <f>--ISNUMBER(IFERROR(SEARCH('PLANILLA DJ'!$X$27,$A109,1),""))</f>
        <v>1</v>
      </c>
      <c r="AE109" s="207">
        <f>--ISNUMBER(IFERROR(SEARCH('PLANILLA DJ'!$X$28,$A109,1),""))</f>
        <v>1</v>
      </c>
      <c r="AF109" s="207">
        <f>--ISNUMBER(IFERROR(SEARCH('PLANILLA DJ'!$X$29,$A109,1),""))</f>
        <v>1</v>
      </c>
      <c r="AG109" s="207">
        <f>--ISNUMBER(IFERROR(SEARCH('PLANILLA DJ'!$X$30,$A109,1),""))</f>
        <v>1</v>
      </c>
      <c r="AH109" s="207">
        <f>--ISNUMBER(IFERROR(SEARCH('PLANILLA DJ'!$X$31,$A109,1),""))</f>
        <v>1</v>
      </c>
      <c r="AI109" s="207">
        <f>--ISNUMBER(IFERROR(SEARCH('PLANILLA DJ'!$X$32,$A109,1),""))</f>
        <v>1</v>
      </c>
      <c r="AJ109" s="207">
        <f>--ISNUMBER(IFERROR(SEARCH('PLANILLA DJ'!$X$33,$A109,1),""))</f>
        <v>1</v>
      </c>
      <c r="AK109" s="207">
        <f>--ISNUMBER(IFERROR(SEARCH('PLANILLA DJ'!$X$34,$A109,1),""))</f>
        <v>1</v>
      </c>
      <c r="AL109" s="207">
        <f>--ISNUMBER(IFERROR(SEARCH('PLANILLA DJ'!$X$35,$A109,1),""))</f>
        <v>1</v>
      </c>
      <c r="AM109" s="207">
        <f>--ISNUMBER(IFERROR(SEARCH('PLANILLA DJ'!$X$36,$A109,1),""))</f>
        <v>1</v>
      </c>
      <c r="AN109" s="207">
        <f>--ISNUMBER(IFERROR(SEARCH('PLANILLA DJ'!$X$37,$A109,1),""))</f>
        <v>1</v>
      </c>
      <c r="AO109" s="207">
        <f>--ISNUMBER(IFERROR(SEARCH('PLANILLA DJ'!$X$38,$A109,1),""))</f>
        <v>1</v>
      </c>
      <c r="AP109" s="207">
        <f>--ISNUMBER(IFERROR(SEARCH('PLANILLA DJ'!$X$39,$A109,1),""))</f>
        <v>1</v>
      </c>
      <c r="AQ109" s="207">
        <f>--ISNUMBER(IFERROR(SEARCH('PLANILLA DJ'!$X$40,$A109,1),""))</f>
        <v>1</v>
      </c>
      <c r="AR109" s="207">
        <f>--ISNUMBER(IFERROR(SEARCH('PLANILLA DJ'!$X$41,$A109,1),""))</f>
        <v>1</v>
      </c>
      <c r="AS109" s="207">
        <f>--ISNUMBER(IFERROR(SEARCH('PLANILLA DJ'!$X$42,$A109,1),""))</f>
        <v>1</v>
      </c>
      <c r="AT109" s="207">
        <f>--ISNUMBER(IFERROR(SEARCH('PLANILLA DJ'!$X$43,$A109,1),""))</f>
        <v>1</v>
      </c>
      <c r="AU109" s="207">
        <f>--ISNUMBER(IFERROR(SEARCH('PLANILLA DJ'!$X$44,$A109,1),""))</f>
        <v>1</v>
      </c>
      <c r="AV109" s="207">
        <f>--ISNUMBER(IFERROR(SEARCH('PLANILLA DJ'!$X$45,$A109,1),""))</f>
        <v>1</v>
      </c>
      <c r="AW109" s="207">
        <f>--ISNUMBER(IFERROR(SEARCH('PLANILLA DJ'!$X$46,$A109,1),""))</f>
        <v>1</v>
      </c>
      <c r="AX109" s="207">
        <f>--ISNUMBER(IFERROR(SEARCH('PLANILLA DJ'!$X$47,$A109,1),""))</f>
        <v>1</v>
      </c>
      <c r="AY109" s="207">
        <f>--ISNUMBER(IFERROR(SEARCH('PLANILLA DJ'!$X$48,$A109,1),""))</f>
        <v>1</v>
      </c>
      <c r="AZ109" s="207">
        <f>--ISNUMBER(IFERROR(SEARCH('PLANILLA DJ'!$X$49,$A109,1),""))</f>
        <v>1</v>
      </c>
      <c r="BA109" s="207">
        <f>--ISNUMBER(IFERROR(SEARCH('PLANILLA DJ'!$X$50,$A109,1),""))</f>
        <v>1</v>
      </c>
      <c r="BB109" s="207">
        <f>--ISNUMBER(IFERROR(SEARCH('PLANILLA DJ'!$X$51,$A109,1),""))</f>
        <v>1</v>
      </c>
      <c r="BC109" s="207">
        <f>--ISNUMBER(IFERROR(SEARCH('PLANILLA DJ'!$X$52,$A109,1),""))</f>
        <v>1</v>
      </c>
      <c r="BD109" s="207">
        <f>--ISNUMBER(IFERROR(SEARCH('PLANILLA DJ'!$X$53,$A109,1),""))</f>
        <v>1</v>
      </c>
      <c r="BE109" s="207">
        <f>--ISNUMBER(IFERROR(SEARCH('PLANILLA DJ'!$X$54,$A109,1),""))</f>
        <v>1</v>
      </c>
      <c r="BF109" s="207">
        <f>--ISNUMBER(IFERROR(SEARCH('PLANILLA DJ'!$X$55,$A109,1),""))</f>
        <v>1</v>
      </c>
      <c r="BG109" s="207">
        <f>--ISNUMBER(IFERROR(SEARCH('PLANILLA DJ'!$X$56,$A109,1),""))</f>
        <v>1</v>
      </c>
      <c r="BH109" s="207">
        <f>--ISNUMBER(IFERROR(SEARCH('PLANILLA DJ'!$X$57,$A109,1),""))</f>
        <v>1</v>
      </c>
      <c r="BI109" s="207">
        <f>--ISNUMBER(IFERROR(SEARCH('PLANILLA DJ'!$X$58,$A109,1),""))</f>
        <v>1</v>
      </c>
      <c r="BJ109" s="207">
        <f>--ISNUMBER(IFERROR(SEARCH('PLANILLA DJ'!$X$59,$A109,1),""))</f>
        <v>1</v>
      </c>
      <c r="BK109" s="207">
        <f>--ISNUMBER(IFERROR(SEARCH('PLANILLA DJ'!$X$60,$A109,1),""))</f>
        <v>1</v>
      </c>
      <c r="BL109" s="207">
        <f>--ISNUMBER(IFERROR(SEARCH('PLANILLA DJ'!$X$61,$A109,1),""))</f>
        <v>1</v>
      </c>
      <c r="BM109" s="207">
        <f>--ISNUMBER(IFERROR(SEARCH('PLANILLA DJ'!$X$62,$A109,1),""))</f>
        <v>1</v>
      </c>
      <c r="BN109" s="207">
        <f>--ISNUMBER(IFERROR(SEARCH('PLANILLA DJ'!$X$63,$A109,1),""))</f>
        <v>1</v>
      </c>
      <c r="BO109" s="207">
        <f>--ISNUMBER(IFERROR(SEARCH('PLANILLA DJ'!$X$64,$A109,1),""))</f>
        <v>1</v>
      </c>
      <c r="BP109" s="207">
        <f>--ISNUMBER(IFERROR(SEARCH('PLANILLA DJ'!$X$65,$A109,1),""))</f>
        <v>1</v>
      </c>
      <c r="BQ109" s="207">
        <f>--ISNUMBER(IFERROR(SEARCH('PLANILLA DJ'!$X$66,$A109,1),""))</f>
        <v>1</v>
      </c>
      <c r="BR109" s="207">
        <f>--ISNUMBER(IFERROR(SEARCH('PLANILLA DJ'!$X$67,$A109,1),""))</f>
        <v>1</v>
      </c>
      <c r="BS109" s="207">
        <f>--ISNUMBER(IFERROR(SEARCH('PLANILLA DJ'!$X$68,$A109,1),""))</f>
        <v>1</v>
      </c>
      <c r="BT109" s="207">
        <f>--ISNUMBER(IFERROR(SEARCH('PLANILLA DJ'!$X$69,$A109,1),""))</f>
        <v>1</v>
      </c>
      <c r="BU109" s="207">
        <f>--ISNUMBER(IFERROR(SEARCH('PLANILLA DJ'!$X$70,$A109,1),""))</f>
        <v>1</v>
      </c>
      <c r="BV109" s="207">
        <f>--ISNUMBER(IFERROR(SEARCH('PLANILLA DJ'!$X$71,$A109,1),""))</f>
        <v>1</v>
      </c>
      <c r="BW109" s="207">
        <f>--ISNUMBER(IFERROR(SEARCH('PLANILLA DJ'!$X$72,$A109,1),""))</f>
        <v>1</v>
      </c>
      <c r="BX109" s="207">
        <f>--ISNUMBER(IFERROR(SEARCH('PLANILLA DJ'!$X$73,$A109,1),""))</f>
        <v>1</v>
      </c>
      <c r="BY109" s="207">
        <f>--ISNUMBER(IFERROR(SEARCH('PLANILLA DJ'!$X$74,$A109,1),""))</f>
        <v>1</v>
      </c>
      <c r="BZ109" s="207">
        <f>--ISNUMBER(IFERROR(SEARCH('PLANILLA DJ'!$X$75,$A109,1),""))</f>
        <v>1</v>
      </c>
      <c r="CA109" s="207">
        <f>--ISNUMBER(IFERROR(SEARCH('PLANILLA DJ'!$X$76,$A109,1),""))</f>
        <v>1</v>
      </c>
      <c r="CB109" s="207">
        <f>--ISNUMBER(IFERROR(SEARCH('PLANILLA DJ'!$X$77,$A109,1),""))</f>
        <v>1</v>
      </c>
      <c r="CC109" s="207">
        <f>--ISNUMBER(IFERROR(SEARCH('PLANILLA DJ'!$X$78,$A109,1),""))</f>
        <v>1</v>
      </c>
      <c r="CD109" s="207">
        <f>--ISNUMBER(IFERROR(SEARCH('PLANILLA DJ'!$X$79,$A109,1),""))</f>
        <v>1</v>
      </c>
      <c r="CE109" s="207">
        <f>--ISNUMBER(IFERROR(SEARCH('PLANILLA DJ'!$X$80,$A109,1),""))</f>
        <v>1</v>
      </c>
      <c r="CF109" s="207">
        <f>--ISNUMBER(IFERROR(SEARCH('PLANILLA DJ'!$X$81,$A109,1),""))</f>
        <v>1</v>
      </c>
      <c r="CG109" s="207">
        <f>--ISNUMBER(IFERROR(SEARCH('PLANILLA DJ'!$X$82,$A109,1),""))</f>
        <v>1</v>
      </c>
      <c r="CH109" s="207">
        <f>--ISNUMBER(IFERROR(SEARCH('PLANILLA DJ'!$X$83,$A109,1),""))</f>
        <v>1</v>
      </c>
      <c r="CI109" s="207">
        <f>--ISNUMBER(IFERROR(SEARCH('PLANILLA DJ'!$X$84,$A109,1),""))</f>
        <v>1</v>
      </c>
      <c r="CJ109" s="207">
        <f>--ISNUMBER(IFERROR(SEARCH('PLANILLA DJ'!$X$85,$A109,1),""))</f>
        <v>1</v>
      </c>
      <c r="CK109" s="207">
        <f>--ISNUMBER(IFERROR(SEARCH('PLANILLA DJ'!$X$86,$A109,1),""))</f>
        <v>1</v>
      </c>
      <c r="CL109" s="207">
        <f>--ISNUMBER(IFERROR(SEARCH('PLANILLA DJ'!$X$87,$A109,1),""))</f>
        <v>1</v>
      </c>
      <c r="CM109" s="207">
        <f>--ISNUMBER(IFERROR(SEARCH('PLANILLA DJ'!$X$88,$A109,1),""))</f>
        <v>1</v>
      </c>
      <c r="CN109" s="207">
        <f>--ISNUMBER(IFERROR(SEARCH('PLANILLA DJ'!$X$89,$A109,1),""))</f>
        <v>1</v>
      </c>
      <c r="CO109" s="207">
        <f>--ISNUMBER(IFERROR(SEARCH('PLANILLA DJ'!$X$90,$A109,1),""))</f>
        <v>1</v>
      </c>
      <c r="CP109" s="207">
        <f>--ISNUMBER(IFERROR(SEARCH('PLANILLA DJ'!$X$91,$A109,1),""))</f>
        <v>1</v>
      </c>
      <c r="CQ109" s="207">
        <f>--ISNUMBER(IFERROR(SEARCH('PLANILLA DJ'!$X$92,$A109,1),""))</f>
        <v>1</v>
      </c>
      <c r="CR109" s="207">
        <f>--ISNUMBER(IFERROR(SEARCH('PLANILLA DJ'!$X$93,$A109,1),""))</f>
        <v>1</v>
      </c>
      <c r="CS109" s="207">
        <f>--ISNUMBER(IFERROR(SEARCH('PLANILLA DJ'!$X$94,$A109,1),""))</f>
        <v>1</v>
      </c>
      <c r="CT109" s="207">
        <f>--ISNUMBER(IFERROR(SEARCH('PLANILLA DJ'!$X$95,$A109,1),""))</f>
        <v>1</v>
      </c>
      <c r="CU109" s="207">
        <f>--ISNUMBER(IFERROR(SEARCH('PLANILLA DJ'!$X$96,$A109,1),""))</f>
        <v>1</v>
      </c>
      <c r="CV109" s="207">
        <f>--ISNUMBER(IFERROR(SEARCH('PLANILLA DJ'!$X$97,$A109,1),""))</f>
        <v>1</v>
      </c>
      <c r="CW109" s="207">
        <f>--ISNUMBER(IFERROR(SEARCH('PLANILLA DJ'!$X$98,$A109,1),""))</f>
        <v>1</v>
      </c>
      <c r="CX109" s="207">
        <f>--ISNUMBER(IFERROR(SEARCH('PLANILLA DJ'!$X$99,$A109,1),""))</f>
        <v>1</v>
      </c>
      <c r="CY109" s="207">
        <f>--ISNUMBER(IFERROR(SEARCH('PLANILLA DJ'!$X$100,$A109,1),""))</f>
        <v>1</v>
      </c>
      <c r="CZ109" s="207">
        <f>--ISNUMBER(IFERROR(SEARCH('PLANILLA DJ'!$X$101,$A109,1),""))</f>
        <v>1</v>
      </c>
      <c r="DA109" s="207">
        <f>--ISNUMBER(IFERROR(SEARCH('PLANILLA DJ'!$X$102,$A109,1),""))</f>
        <v>1</v>
      </c>
      <c r="DB109" s="206">
        <f>IF(F109=1,COUNTIF($F$2:F109,1),"")</f>
        <v>108</v>
      </c>
      <c r="DC109" s="206">
        <f>IF(G109=1,COUNTIF($G$2:G109,1),"")</f>
        <v>108</v>
      </c>
      <c r="DD109" s="206">
        <f>IF(H109=1,COUNTIF($H$2:H109,1),"")</f>
        <v>108</v>
      </c>
      <c r="DE109" s="206">
        <f>IF(I109=1,COUNTIF($I$2:I109,1),"")</f>
        <v>108</v>
      </c>
      <c r="DF109" s="206">
        <f>IF(J109=1,COUNTIF($J$2:J109,1),"")</f>
        <v>108</v>
      </c>
      <c r="DG109" s="206">
        <f>IF(K109=1,COUNTIF($K$2:K109,1),"")</f>
        <v>108</v>
      </c>
      <c r="DH109" s="206">
        <f>IF(L109=1,COUNTIF($L$2:L109,1),"")</f>
        <v>108</v>
      </c>
      <c r="DI109" s="206">
        <f>IF(M109=1,COUNTIF($M$2:M109,1),"")</f>
        <v>108</v>
      </c>
      <c r="DJ109" s="206">
        <f>IF(N109=1,COUNTIF($N$2:N109,1),"")</f>
        <v>108</v>
      </c>
      <c r="DK109" s="206">
        <f>IF(O109=1,COUNTIF($O$2:O109,1),"")</f>
        <v>108</v>
      </c>
      <c r="DL109" s="206">
        <f>IF(P109=1,COUNTIF($P$2:P109,1),"")</f>
        <v>108</v>
      </c>
      <c r="DM109" s="206">
        <f>IF(Q109=1,COUNTIF($Q$2:Q109,1),"")</f>
        <v>108</v>
      </c>
      <c r="DN109" s="207">
        <f>IF(R109=1,COUNTIF($R$2:R109,1),"")</f>
        <v>108</v>
      </c>
      <c r="DO109" s="207">
        <f>IF(S109=1,COUNTIF($S$2:S109,1),"")</f>
        <v>108</v>
      </c>
      <c r="DP109" s="207">
        <f>IF(T109=1,COUNTIF($T$2:T109,1),"")</f>
        <v>108</v>
      </c>
      <c r="DQ109" s="207">
        <f>IF(U109=1,COUNTIF($U$2:U109,1),"")</f>
        <v>108</v>
      </c>
      <c r="DR109" s="207">
        <f>IF(V109=1,COUNTIF($V$2:V109,1),"")</f>
        <v>108</v>
      </c>
      <c r="DS109" s="207">
        <f>IF(W109=1,COUNTIF($W$2:W109,1),"")</f>
        <v>108</v>
      </c>
      <c r="DT109" s="207">
        <f>IF(X109=1,COUNTIF($X$2:X109,1),"")</f>
        <v>108</v>
      </c>
      <c r="DU109" s="207">
        <f>IF(Y109=1,COUNTIF($Y$2:Y109,1),"")</f>
        <v>108</v>
      </c>
      <c r="DV109" s="207">
        <f>IF(Z109=1,COUNTIF(Z$2:Z109,1),"")</f>
        <v>108</v>
      </c>
      <c r="DW109" s="207">
        <f>IF(AA109=1,COUNTIF($AA$2:AA109,1),"")</f>
        <v>108</v>
      </c>
      <c r="DX109" s="207">
        <f>IF(AB109=1,COUNTIF($AB$2:AB109,1),"")</f>
        <v>108</v>
      </c>
      <c r="DY109" s="207">
        <f>IF(AC109=1,COUNTIF($AC$2:AC109,1),"")</f>
        <v>108</v>
      </c>
      <c r="DZ109" s="207">
        <f>IF(AD109=1,COUNTIF($AD$2:AD109,1),"")</f>
        <v>108</v>
      </c>
      <c r="EA109" s="207">
        <f>IF(AE109=1,COUNTIF($AE$2:AE109,1),"")</f>
        <v>108</v>
      </c>
      <c r="EB109" s="207">
        <f>IF(AF109=1,COUNTIF($AF$2:AF109,1),"")</f>
        <v>108</v>
      </c>
      <c r="EC109" s="207">
        <f>IF(AG109=1,COUNTIF($AG$2:AG109,1),"")</f>
        <v>108</v>
      </c>
      <c r="ED109" s="207">
        <f>IF(AH109=1,COUNTIF($AH$2:AH109,1),"")</f>
        <v>108</v>
      </c>
      <c r="EE109" s="207">
        <f>IF(AI109=1,COUNTIF($AI$2:AI109,1),"")</f>
        <v>108</v>
      </c>
      <c r="EF109" s="207">
        <f>IF(AJ109=1,COUNTIF($AJ$2:AJ109,1),"")</f>
        <v>108</v>
      </c>
      <c r="EG109" s="207">
        <f>IF(AK109=1,COUNTIF($AK$2:AK109,1),"")</f>
        <v>108</v>
      </c>
      <c r="EH109" s="207">
        <f>IF(AL109=1,COUNTIF($AL$2:AL109,1),"")</f>
        <v>108</v>
      </c>
      <c r="EI109" s="207">
        <f>IF(AM109=1,COUNTIF($AM$2:AM109,1),"")</f>
        <v>108</v>
      </c>
      <c r="EJ109" s="207">
        <f>IF(AN109=1,COUNTIF($AN$2:AN109,1),"")</f>
        <v>108</v>
      </c>
      <c r="EK109" s="207">
        <f>IF(AO109=1,COUNTIF($AO$2:AO109,1),"")</f>
        <v>108</v>
      </c>
      <c r="EL109" s="207">
        <f>IF(AP109=1,COUNTIF($AP$2:AP109,1),"")</f>
        <v>108</v>
      </c>
      <c r="EM109" s="207">
        <f>IF(AQ109=1,COUNTIF($AQ$2:AQ109,1),"")</f>
        <v>108</v>
      </c>
      <c r="EN109" s="207">
        <f>IF(AR109=1,COUNTIF($AR$2:AR109,1),"")</f>
        <v>108</v>
      </c>
      <c r="EO109" s="207">
        <f>IF(AS109=1,COUNTIF($AS$2:AS109,1),"")</f>
        <v>108</v>
      </c>
      <c r="EP109" s="207">
        <f>IF(AT109=1,COUNTIF($AT$2:AT109,1),"")</f>
        <v>108</v>
      </c>
      <c r="EQ109" s="207">
        <f>IF(AU109=1,COUNTIF($AU$2:AU109,1),"")</f>
        <v>108</v>
      </c>
      <c r="ER109" s="207">
        <f>IF(AV109=1,COUNTIF($AV$2:AV109,1),"")</f>
        <v>108</v>
      </c>
      <c r="ES109" s="207">
        <f>IF(AW109=1,COUNTIF($AW$2:AW109,1),"")</f>
        <v>108</v>
      </c>
      <c r="ET109" s="207">
        <f>IF(AX109=1,COUNTIF($AX$2:AX109,1),"")</f>
        <v>108</v>
      </c>
      <c r="EU109" s="207">
        <f>IF(AY109=1,COUNTIF($AY$2:AY109,1),"")</f>
        <v>108</v>
      </c>
      <c r="EV109" s="207">
        <f>IF(AZ109=1,COUNTIF($AZ$2:AZ109,1),"")</f>
        <v>108</v>
      </c>
      <c r="EW109" s="207">
        <f>IF(BA109=1,COUNTIF($BA$2:BA109,1),"")</f>
        <v>108</v>
      </c>
      <c r="EX109" s="207">
        <f>IF(BB109=1,COUNTIF($BB$2:BB109,1),"")</f>
        <v>108</v>
      </c>
      <c r="EY109" s="207">
        <f>IF(BC109=1,COUNTIF($BC$2:BC109,1),"")</f>
        <v>108</v>
      </c>
      <c r="EZ109" s="207">
        <f>IF(BD109=1,COUNTIF($BD$2:BD109,1),"")</f>
        <v>108</v>
      </c>
      <c r="FA109" s="207">
        <f>IF(BE109=1,COUNTIF($BE$2:BE109,1),"")</f>
        <v>108</v>
      </c>
      <c r="FB109" s="207">
        <f>IF(BF109=1,COUNTIF($BF$2:BF109,1),"")</f>
        <v>108</v>
      </c>
      <c r="FC109" s="207">
        <f>IF(BG109=1,COUNTIF($BG$2:BG109,1),"")</f>
        <v>108</v>
      </c>
      <c r="FD109" s="207">
        <f>IF(BH109=1,COUNTIF($BH$2:BH109,1),"")</f>
        <v>108</v>
      </c>
      <c r="FE109" s="207">
        <f>IF(BI109=1,COUNTIF($BI$2:BI109,1),"")</f>
        <v>108</v>
      </c>
      <c r="FF109" s="207">
        <f>IF(BJ109=1,COUNTIF($BJ$2:BJ109,1),"")</f>
        <v>108</v>
      </c>
      <c r="FG109" s="207">
        <f>IF(BK109=1,COUNTIF($BK$2:BK109,1),"")</f>
        <v>108</v>
      </c>
      <c r="FH109" s="207">
        <f>IF(BL109=1,COUNTIF($BL$2:BL109,1),"")</f>
        <v>108</v>
      </c>
      <c r="FI109" s="207">
        <f>IF(BM109=1,COUNTIF($BM$2:BM109,1),"")</f>
        <v>108</v>
      </c>
      <c r="FJ109" s="207">
        <f>IF(BN109=1,COUNTIF($BN$2:BN109,1),"")</f>
        <v>108</v>
      </c>
      <c r="FK109" s="207">
        <f>IF(BO109=1,COUNTIF($BO$2:BO109,1),"")</f>
        <v>108</v>
      </c>
      <c r="FL109" s="207">
        <f>IF(BP109=1,COUNTIF($BP$2:BP109,1),"")</f>
        <v>108</v>
      </c>
      <c r="FM109" s="207">
        <f>IF(BQ109=1,COUNTIF($BQ$2:BQ109,1),"")</f>
        <v>108</v>
      </c>
      <c r="FN109" s="207">
        <f>IF(BR109=1,COUNTIF($BR$2:BR109,1),"")</f>
        <v>108</v>
      </c>
      <c r="FO109" s="207">
        <f>IF(BS109=1,COUNTIF($BS$2:BS109,1),"")</f>
        <v>108</v>
      </c>
      <c r="FP109" s="207">
        <f>IF(BT109=1,COUNTIF($BT$2:BT109,1),"")</f>
        <v>108</v>
      </c>
      <c r="FQ109" s="207">
        <f>IF(BU109=1,COUNTIF($BU$2:BU109,1),"")</f>
        <v>108</v>
      </c>
      <c r="FR109" s="207">
        <f>IF(BV109=1,COUNTIF($BV$2:BV109,1),"")</f>
        <v>108</v>
      </c>
      <c r="FS109" s="207">
        <f>IF(BW109=1,COUNTIF($BW$2:BW109,1),"")</f>
        <v>108</v>
      </c>
      <c r="FT109" s="207">
        <f>IF(BX109=1,COUNTIF($BX$2:BX109,1),"")</f>
        <v>108</v>
      </c>
      <c r="FU109" s="207">
        <f>IF(BY109=1,COUNTIF($BY$2:BY109,1),"")</f>
        <v>108</v>
      </c>
      <c r="FV109" s="207">
        <f>IF(BZ109=1,COUNTIF($BZ$2:BZ109,1),"")</f>
        <v>108</v>
      </c>
      <c r="FW109" s="207">
        <f>IF(CA109=1,COUNTIF($CA$2:CA109,1),"")</f>
        <v>108</v>
      </c>
      <c r="FX109" s="207">
        <f>IF(CB109=1,COUNTIF($CB$2:CB109,1),"")</f>
        <v>108</v>
      </c>
      <c r="FY109" s="207">
        <f>IF(CC109=1,COUNTIF($CC$2:CC109,1),"")</f>
        <v>108</v>
      </c>
      <c r="FZ109" s="207">
        <f>IF(CD109=1,COUNTIF($CD$2:CD109,1),"")</f>
        <v>108</v>
      </c>
      <c r="GA109" s="207">
        <f>IF(CE109=1,COUNTIF($CE$2:CE109,1),"")</f>
        <v>108</v>
      </c>
      <c r="GB109" s="207">
        <f>IF(CF109=1,COUNTIF($CF$2:CF109,1),"")</f>
        <v>108</v>
      </c>
      <c r="GC109" s="207">
        <f>IF(CG109=1,COUNTIF($CG$2:CG109,1),"")</f>
        <v>108</v>
      </c>
      <c r="GD109" s="207">
        <f>IF(CH109=1,COUNTIF($CH$2:CH109,1),"")</f>
        <v>108</v>
      </c>
      <c r="GE109" s="207">
        <f>IF(CI109=1,COUNTIF($CI$2:CI109,1),"")</f>
        <v>108</v>
      </c>
      <c r="GF109" s="207">
        <f>IF(CJ109=1,COUNTIF($CJ$2:CJ109,1),"")</f>
        <v>108</v>
      </c>
      <c r="GG109" s="207">
        <f>IF(CK109=1,COUNTIF($CK$2:CK109,1),"")</f>
        <v>108</v>
      </c>
      <c r="GH109" s="207">
        <f>IF(CL109=1,COUNTIF($CL$2:CL109,1),"")</f>
        <v>108</v>
      </c>
      <c r="GI109" s="207">
        <f>IF(CM109=1,COUNTIF($CM$2:CM109,1),"")</f>
        <v>108</v>
      </c>
      <c r="GJ109" s="207">
        <f>IF(CN109=1,COUNTIF($CN$2:CN109,1),"")</f>
        <v>108</v>
      </c>
      <c r="GK109" s="207">
        <f>IF(CO109=1,COUNTIF($CO$2:CO109,1),"")</f>
        <v>108</v>
      </c>
      <c r="GL109" s="207">
        <f>IF(CP109=1,COUNTIF($CP$2:CP109,1),"")</f>
        <v>108</v>
      </c>
      <c r="GM109" s="207">
        <f>IF(CQ109=1,COUNTIF($CQ$2:CQ109,1),"")</f>
        <v>108</v>
      </c>
      <c r="GN109" s="207">
        <f>IF(CR109=1,COUNTIF($CR$2:CR109,1),"")</f>
        <v>108</v>
      </c>
      <c r="GO109" s="207">
        <f>IF(CS109=1,COUNTIF($CS$2:CS109,1),"")</f>
        <v>108</v>
      </c>
      <c r="GP109" s="207">
        <f>IF(CT109=1,COUNTIF($CT$2:CT109,1),"")</f>
        <v>108</v>
      </c>
      <c r="GQ109" s="207">
        <f>IF(CU109=1,COUNTIF($CU$2:CU109,1),"")</f>
        <v>108</v>
      </c>
      <c r="GR109" s="207">
        <f>IF(CV109=1,COUNTIF($CV$2:CV109,1),"")</f>
        <v>108</v>
      </c>
      <c r="GS109" s="207">
        <f>IF(CW109=1,COUNTIF($CW$2:CW109,1),"")</f>
        <v>108</v>
      </c>
      <c r="GT109" s="207">
        <f>IF(CX109=1,COUNTIF($CX$2:CX109,1),"")</f>
        <v>108</v>
      </c>
      <c r="GU109" s="207">
        <f>IF(CY109=1,COUNTIF($CY$2:CY109,1),"")</f>
        <v>108</v>
      </c>
      <c r="GV109" s="207">
        <f>IF(CZ109=1,COUNTIF($CZ$2:CZ109,1),"")</f>
        <v>108</v>
      </c>
      <c r="GW109" s="207">
        <f>IF(DA109=1,COUNTIF($DA$2:DA109,1),"")</f>
        <v>108</v>
      </c>
      <c r="GX109" s="206" t="str">
        <f>IFERROR(INDEX($A$2:$A$113,MATCH(ROWS($DB$2:DB109),$DB$2:$DB$113,0)),"")</f>
        <v>SUICIDIO_(CONSUMADO)</v>
      </c>
      <c r="GY109" s="206" t="str">
        <f>IFERROR(INDEX($A$2:$A$113,MATCH(ROWS($DC$2:DC109),$DC$2:$DC$113,0)),"")</f>
        <v>SUICIDIO_(CONSUMADO)</v>
      </c>
      <c r="GZ109" s="206" t="str">
        <f>IFERROR(INDEX($A$2:$A$113,MATCH(ROWS($DD$2:DD109),$DD$2:$DD$113,0)),"")</f>
        <v>SUICIDIO_(CONSUMADO)</v>
      </c>
      <c r="HA109" s="206" t="str">
        <f>IFERROR(INDEX($A$2:$A$113,MATCH(ROWS($DE$2:DE109),$DE$2:$DE$113,0)),"")</f>
        <v>SUICIDIO_(CONSUMADO)</v>
      </c>
      <c r="HB109" s="206" t="str">
        <f>IFERROR(INDEX($A$2:$A$113,MATCH(ROWS($DF$2:DF109),$DF$2:$DF$113,0)),"")</f>
        <v>SUICIDIO_(CONSUMADO)</v>
      </c>
      <c r="HC109" s="206" t="str">
        <f>IFERROR(INDEX($A$2:$A$113,MATCH(ROWS($DG$2:DG109),$DG$2:$DG$113,0)),"")</f>
        <v>SUICIDIO_(CONSUMADO)</v>
      </c>
      <c r="HD109" s="206" t="str">
        <f>IFERROR(INDEX($A$2:$A$113,MATCH(ROWS($DH$2:DH109),$DH$2:$DH$113,0)),"")</f>
        <v>SUICIDIO_(CONSUMADO)</v>
      </c>
      <c r="HE109" s="206" t="str">
        <f>IFERROR(INDEX($A$2:$A$113,MATCH(ROWS($DI$2:DI109),$DI$2:$DI$113,0)),"")</f>
        <v>SUICIDIO_(CONSUMADO)</v>
      </c>
      <c r="HF109" s="206" t="str">
        <f>IFERROR(INDEX($A$2:$A$113,MATCH(ROWS($DJ$2:DJ109),$DJ$2:$DJ$113,0)),"")</f>
        <v>SUICIDIO_(CONSUMADO)</v>
      </c>
      <c r="HG109" s="206" t="str">
        <f>IFERROR(INDEX($A$2:$A$113,MATCH(ROWS($DK$2:DK109),$DK$2:$DK$113,0)),"")</f>
        <v>SUICIDIO_(CONSUMADO)</v>
      </c>
      <c r="HH109" s="206" t="str">
        <f>IFERROR(INDEX($A$2:$A$113,MATCH(ROWS($DL$2:DL109),$DL$2:$DL$113,0)),"")</f>
        <v>SUICIDIO_(CONSUMADO)</v>
      </c>
      <c r="HI109" s="206" t="str">
        <f>IFERROR(INDEX($A$2:$A$113,MATCH(ROWS($DM$2:DM109),$DM$2:$DM$113,0)),"")</f>
        <v>SUICIDIO_(CONSUMADO)</v>
      </c>
      <c r="HJ109" s="206" t="str">
        <f>IFERROR(INDEX($A$2:$A$113,MATCH(ROWS($DN$2:DN109),$DN$2:$DN$113,0)),"")</f>
        <v>SUICIDIO_(CONSUMADO)</v>
      </c>
      <c r="HK109" s="206" t="str">
        <f>IFERROR(INDEX($A$2:$A$113,MATCH(ROWS($DO$2:DO109),$DO$2:$DO$113,0)),"")</f>
        <v>SUICIDIO_(CONSUMADO)</v>
      </c>
      <c r="HL109" s="206" t="str">
        <f>IFERROR(INDEX($A$2:$A$113,MATCH(ROWS($DP$2:DP109),$DP$2:$DP$113,0)),"")</f>
        <v>SUICIDIO_(CONSUMADO)</v>
      </c>
      <c r="HM109" s="206" t="str">
        <f>IFERROR(INDEX($A$2:$A$113,MATCH(ROWS($DQ$2:DQ109),$DQ$2:$DQ$113,0)),"")</f>
        <v>SUICIDIO_(CONSUMADO)</v>
      </c>
      <c r="HN109" s="206" t="str">
        <f>IFERROR(INDEX($A$2:$A$113,MATCH(ROWS($DR$2:DR109),$DR$2:$DR$113,0)),"")</f>
        <v>SUICIDIO_(CONSUMADO)</v>
      </c>
      <c r="HO109" s="206" t="str">
        <f>IFERROR(INDEX($A$2:$A$113,MATCH(ROWS($DS$2:DS109),$DS$2:$DS$113,0)),"")</f>
        <v>SUICIDIO_(CONSUMADO)</v>
      </c>
      <c r="HP109" s="206" t="str">
        <f>IFERROR(INDEX($A$2:$A$113,MATCH(ROWS($DT$2:DT109),$DT$2:$DT$113,0)),"")</f>
        <v>SUICIDIO_(CONSUMADO)</v>
      </c>
      <c r="HQ109" s="206" t="str">
        <f>IFERROR(INDEX($A$2:$A$113,MATCH(ROWS($DU$2:DU109),$DU$2:$DU$113,0)),"")</f>
        <v>SUICIDIO_(CONSUMADO)</v>
      </c>
      <c r="HR109" s="206" t="str">
        <f>IFERROR(INDEX($A$2:$A$113,MATCH(ROWS($DV$2:DV109),$DV$2:$DV$113,0)),"")</f>
        <v>SUICIDIO_(CONSUMADO)</v>
      </c>
      <c r="HS109" s="206" t="str">
        <f>IFERROR(INDEX($A$2:$A$113,MATCH(ROWS($DW$2:DW109),$DW$2:$DW$113,0)),"")</f>
        <v>SUICIDIO_(CONSUMADO)</v>
      </c>
      <c r="HT109" s="206" t="str">
        <f>IFERROR(INDEX($A$2:$A$113,MATCH(ROWS($DX$2:DX109),$DX$2:$DX$113,0)),"")</f>
        <v>SUICIDIO_(CONSUMADO)</v>
      </c>
      <c r="HU109" s="206" t="str">
        <f>IFERROR(INDEX($A$2:$A$113,MATCH(ROWS($DY$2:DY109),$DY$2:$DY$113,0)),"")</f>
        <v>SUICIDIO_(CONSUMADO)</v>
      </c>
      <c r="HV109" s="206" t="str">
        <f>IFERROR(INDEX($A$2:$A$113,MATCH(ROWS($DZ$2:DZ109),$DZ$2:$DZ$113,0)),"")</f>
        <v>SUICIDIO_(CONSUMADO)</v>
      </c>
      <c r="HW109" s="206" t="str">
        <f>IFERROR(INDEX($A$2:$A$113,MATCH(ROWS($EA$2:EA109),$EA$2:$EA$113,0)),"")</f>
        <v>SUICIDIO_(CONSUMADO)</v>
      </c>
      <c r="HX109" s="206" t="str">
        <f>IFERROR(INDEX($A$2:$A$113,MATCH(ROWS($EB$2:EB109),$EB$2:$EB$113,0)),"")</f>
        <v>SUICIDIO_(CONSUMADO)</v>
      </c>
      <c r="HY109" s="206" t="str">
        <f>IFERROR(INDEX($A$2:$A$113,MATCH(ROWS($EC$2:EC109),$EC$2:$EC$113,0)),"")</f>
        <v>SUICIDIO_(CONSUMADO)</v>
      </c>
      <c r="HZ109" s="206" t="str">
        <f>IFERROR(INDEX($A$2:$A$113,MATCH(ROWS($ED$2:ED109),$ED$2:$ED$113,0)),"")</f>
        <v>SUICIDIO_(CONSUMADO)</v>
      </c>
      <c r="IA109" s="206" t="str">
        <f>IFERROR(INDEX($A$2:$A$113,MATCH(ROWS($EE$2:EE109),$EE$2:$EE$113,0)),"")</f>
        <v>SUICIDIO_(CONSUMADO)</v>
      </c>
      <c r="IB109" s="206" t="str">
        <f>IFERROR(INDEX($A$2:$A$113,MATCH(ROWS($EF$2:EF109),$EF$2:$EF$113,0)),"")</f>
        <v>SUICIDIO_(CONSUMADO)</v>
      </c>
      <c r="IC109" s="206" t="str">
        <f>IFERROR(INDEX($A$2:$A$113,MATCH(ROWS($EG$2:EG109),$EG$2:$EG$113,0)),"")</f>
        <v>SUICIDIO_(CONSUMADO)</v>
      </c>
      <c r="ID109" s="206" t="str">
        <f>IFERROR(INDEX($A$2:$A$113,MATCH(ROWS($EH$2:EH109),$EH$2:$EH$113,0)),"")</f>
        <v>SUICIDIO_(CONSUMADO)</v>
      </c>
      <c r="IE109" s="206" t="str">
        <f>IFERROR(INDEX($A$2:$A$113,MATCH(ROWS($EI$2:EI109),$EI$2:$EI$113,0)),"")</f>
        <v>SUICIDIO_(CONSUMADO)</v>
      </c>
      <c r="IF109" s="206" t="str">
        <f>IFERROR(INDEX($A$2:$A$113,MATCH(ROWS($EJ$2:EJ109),$EJ$2:$EJ$113,0)),"")</f>
        <v>SUICIDIO_(CONSUMADO)</v>
      </c>
      <c r="IG109" s="206" t="str">
        <f>IFERROR(INDEX($A$2:$A$113,MATCH(ROWS($EK$2:EK109),$EK$2:$EK$113,0)),"")</f>
        <v>SUICIDIO_(CONSUMADO)</v>
      </c>
      <c r="IH109" s="206" t="str">
        <f>IFERROR(INDEX($A$2:$A$113,MATCH(ROWS($EL$2:EL109),$EL$2:$EL$113,0)),"")</f>
        <v>SUICIDIO_(CONSUMADO)</v>
      </c>
      <c r="II109" s="206" t="str">
        <f>IFERROR(INDEX($A$2:$A$113,MATCH(ROWS($EM$2:EM109),$EM$2:$EM$113,0)),"")</f>
        <v>SUICIDIO_(CONSUMADO)</v>
      </c>
      <c r="IJ109" s="206" t="str">
        <f>IFERROR(INDEX($A$2:$A$113,MATCH(ROWS($EN$2:EN109),$EN$2:$EN$113,0)),"")</f>
        <v>SUICIDIO_(CONSUMADO)</v>
      </c>
      <c r="IK109" s="207" t="str">
        <f>IFERROR(INDEX($A$2:$A$113,MATCH(ROWS($EO$2:EO109),$EO$2:$EO$113,0)),"")</f>
        <v>SUICIDIO_(CONSUMADO)</v>
      </c>
      <c r="IL109" s="207" t="str">
        <f>IFERROR(INDEX($A$2:$A$113,MATCH(ROWS($EP$2:EP109),$EP$2:$EP$113,0)),"")</f>
        <v>SUICIDIO_(CONSUMADO)</v>
      </c>
      <c r="IM109" s="207" t="str">
        <f>IFERROR(INDEX($A$2:$A$113,MATCH(ROWS($EQ$2:EQ109),$EQ$2:$EQ$113,0)),"")</f>
        <v>SUICIDIO_(CONSUMADO)</v>
      </c>
      <c r="IN109" s="207" t="str">
        <f>IFERROR(INDEX($A$2:$A$113,MATCH(ROWS($ER$2:ER109),$ER$2:$ER$113,0)),"")</f>
        <v>SUICIDIO_(CONSUMADO)</v>
      </c>
      <c r="IO109" s="207" t="str">
        <f>IFERROR(INDEX($A$2:$A$113,MATCH(ROWS($ES$2:ES109),$ES$2:$ES$113,0)),"")</f>
        <v>SUICIDIO_(CONSUMADO)</v>
      </c>
      <c r="IP109" s="207" t="str">
        <f>IFERROR(INDEX($A$2:$A$113,MATCH(ROWS($ET$2:ET109),$ET$2:$ET$113,0)),"")</f>
        <v>SUICIDIO_(CONSUMADO)</v>
      </c>
      <c r="IQ109" s="207" t="str">
        <f>IFERROR(INDEX($A$2:$A$113,MATCH(ROWS($EU$2:EU109),$EU$2:$EU$113,0)),"")</f>
        <v>SUICIDIO_(CONSUMADO)</v>
      </c>
      <c r="IR109" s="207" t="str">
        <f>IFERROR(INDEX($A$2:$A$113,MATCH(ROWS($EV$2:EV109),$EV$2:$EV$113,0)),"")</f>
        <v>SUICIDIO_(CONSUMADO)</v>
      </c>
      <c r="IS109" s="207" t="str">
        <f>IFERROR(INDEX($A$2:$A$113,MATCH(ROWS($EW$2:EW109),$EW$2:$EW$113,0)),"")</f>
        <v>SUICIDIO_(CONSUMADO)</v>
      </c>
      <c r="IT109" s="207" t="str">
        <f>IFERROR(INDEX($A$2:$A$113,MATCH(ROWS($EX$2:EX109),$EX$2:$EX$113,0)),"")</f>
        <v>SUICIDIO_(CONSUMADO)</v>
      </c>
      <c r="IU109" s="207" t="str">
        <f>IFERROR(INDEX($A$2:$A$113,MATCH(ROWS($EY$2:EY109),$EY$2:$EY$113,0)),"")</f>
        <v>SUICIDIO_(CONSUMADO)</v>
      </c>
      <c r="IV109" s="207" t="str">
        <f>IFERROR(INDEX($A$2:$A$113,MATCH(ROWS($EZ$2:EZ109),$EZ$2:$EZ$113,0)),"")</f>
        <v>SUICIDIO_(CONSUMADO)</v>
      </c>
      <c r="IW109" s="207" t="str">
        <f>IFERROR(INDEX($A$2:$A$113,MATCH(ROWS($FA$2:FA109),$FA$2:$FA$113,0)),"")</f>
        <v>SUICIDIO_(CONSUMADO)</v>
      </c>
      <c r="IX109" s="207" t="str">
        <f>IFERROR(INDEX($A$2:$A$113,MATCH(ROWS($FB$2:FB109),$FB$2:$FB$113,0)),"")</f>
        <v>SUICIDIO_(CONSUMADO)</v>
      </c>
      <c r="IY109" s="207" t="str">
        <f>IFERROR(INDEX($A$2:$A$113,MATCH(ROWS($FC$2:FC109),$FC$2:$FC$113,0)),"")</f>
        <v>SUICIDIO_(CONSUMADO)</v>
      </c>
      <c r="IZ109" s="207" t="str">
        <f>IFERROR(INDEX($A$2:$A$113,MATCH(ROWS($FD$2:FD109),$FD$2:$FD$113,0)),"")</f>
        <v>SUICIDIO_(CONSUMADO)</v>
      </c>
      <c r="JA109" s="207" t="str">
        <f>IFERROR(INDEX($A$2:$A$113,MATCH(ROWS($FE$2:FE109),$FE$2:$FE$113,0)),"")</f>
        <v>SUICIDIO_(CONSUMADO)</v>
      </c>
      <c r="JB109" s="207" t="str">
        <f>IFERROR(INDEX($A$2:$A$113,MATCH(ROWS($FF$2:FF109),$FF$2:$FF$113,0)),"")</f>
        <v>SUICIDIO_(CONSUMADO)</v>
      </c>
      <c r="JC109" s="207" t="str">
        <f>IFERROR(INDEX($A$2:$A$113,MATCH(ROWS($FG$2:FG109),$FG$2:$FG$113,0)),"")</f>
        <v>SUICIDIO_(CONSUMADO)</v>
      </c>
      <c r="JD109" s="207" t="str">
        <f>IFERROR(INDEX($A$2:$A$113,MATCH(ROWS($FH$2:FH109),$FH$2:$FH$113,0)),"")</f>
        <v>SUICIDIO_(CONSUMADO)</v>
      </c>
      <c r="JE109" s="207" t="str">
        <f>IFERROR(INDEX($A$2:$A$113,MATCH(ROWS($FI$2:FI109),$FI$2:$FI$113,0)),"")</f>
        <v>SUICIDIO_(CONSUMADO)</v>
      </c>
      <c r="JF109" s="207" t="str">
        <f>IFERROR(INDEX($A$2:$A$113,MATCH(ROWS($FJ$2:FJ109),$FJ$2:$FJ$113,0)),"")</f>
        <v>SUICIDIO_(CONSUMADO)</v>
      </c>
      <c r="JG109" s="207" t="str">
        <f>IFERROR(INDEX($A$2:$A$113,MATCH(ROWS($FK$2:FK109),$FK$2:$FK$113,0)),"")</f>
        <v>SUICIDIO_(CONSUMADO)</v>
      </c>
      <c r="JH109" s="207" t="str">
        <f>IFERROR(INDEX($A$2:$A$113,MATCH(ROWS($FL$2:FL109),$FL$2:$FL$113,0)),"")</f>
        <v>SUICIDIO_(CONSUMADO)</v>
      </c>
      <c r="JI109" s="207" t="str">
        <f>IFERROR(INDEX($A$2:$A$113,MATCH(ROWS($FM$2:FM109),$FM$2:$FM$113,0)),"")</f>
        <v>SUICIDIO_(CONSUMADO)</v>
      </c>
      <c r="JJ109" s="207" t="str">
        <f>IFERROR(INDEX($A$2:$A$113,MATCH(ROWS($FN$2:FN109),$FN$2:$FN$113,0)),"")</f>
        <v>SUICIDIO_(CONSUMADO)</v>
      </c>
      <c r="JK109" s="207" t="str">
        <f>IFERROR(INDEX($A$2:$A$113,MATCH(ROWS($FO$2:FO109),$FO$2:$FO$113,0)),"")</f>
        <v>SUICIDIO_(CONSUMADO)</v>
      </c>
      <c r="JL109" s="207" t="str">
        <f>IFERROR(INDEX($A$2:$A$113,MATCH(ROWS($FP$2:FP109),$FP$2:$FP$113,0)),"")</f>
        <v>SUICIDIO_(CONSUMADO)</v>
      </c>
      <c r="JM109" s="207" t="str">
        <f>IFERROR(INDEX($A$2:$A$113,MATCH(ROWS($FQ$2:FQ109),$FQ$2:$FQ$113,0)),"")</f>
        <v>SUICIDIO_(CONSUMADO)</v>
      </c>
      <c r="JN109" s="207" t="str">
        <f>IFERROR(INDEX($A$2:$A$113,MATCH(ROWS($FR$2:FR109),$FR$2:$FR$113,0)),"")</f>
        <v>SUICIDIO_(CONSUMADO)</v>
      </c>
      <c r="JO109" s="207" t="str">
        <f>IFERROR(INDEX($A$2:$A$113,MATCH(ROWS($FS$2:FS109),$FS$2:$FS$113,0)),"")</f>
        <v>SUICIDIO_(CONSUMADO)</v>
      </c>
      <c r="JP109" s="207" t="str">
        <f>IFERROR(INDEX($A$2:$A$113,MATCH(ROWS($FT$2:FT109),$FT$2:$FT$113,0)),"")</f>
        <v>SUICIDIO_(CONSUMADO)</v>
      </c>
      <c r="JQ109" s="207" t="str">
        <f>IFERROR(INDEX($A$2:$A$113,MATCH(ROWS($FU$2:FU109),$FU$2:$FU$113,0)),"")</f>
        <v>SUICIDIO_(CONSUMADO)</v>
      </c>
      <c r="JR109" s="207" t="str">
        <f>IFERROR(INDEX($A$2:$A$113,MATCH(ROWS($FV$2:FV109),$FV$2:$FV$113,0)),"")</f>
        <v>SUICIDIO_(CONSUMADO)</v>
      </c>
      <c r="JS109" s="207" t="str">
        <f>IFERROR(INDEX($A$2:$A$113,MATCH(ROWS($FW$2:FW109),$FW$2:$FW$113,0)),"")</f>
        <v>SUICIDIO_(CONSUMADO)</v>
      </c>
      <c r="JT109" s="207" t="str">
        <f>IFERROR(INDEX($A$2:$A$113,MATCH(ROWS($FX$2:FX109),$FX$2:$FX$113,0)),"")</f>
        <v>SUICIDIO_(CONSUMADO)</v>
      </c>
      <c r="JU109" s="207" t="str">
        <f>IFERROR(INDEX($A$2:$A$113,MATCH(ROWS($FY$2:FY109),$FY$2:$FY$113,0)),"")</f>
        <v>SUICIDIO_(CONSUMADO)</v>
      </c>
      <c r="JV109" s="207" t="str">
        <f>IFERROR(INDEX($A$2:$A$113,MATCH(ROWS($FZ$2:FZ109),$FZ$2:$FZ$113,0)),"")</f>
        <v>SUICIDIO_(CONSUMADO)</v>
      </c>
      <c r="JW109" s="207" t="str">
        <f>IFERROR(INDEX($A$2:$A$113,MATCH(ROWS($GA$2:GA109),$GA$2:$GA$113,0)),"")</f>
        <v>SUICIDIO_(CONSUMADO)</v>
      </c>
      <c r="JX109" s="207" t="str">
        <f>IFERROR(INDEX($A$2:$A$113,MATCH(ROWS($GB$2:GB109),$GB$2:$GB$113,0)),"")</f>
        <v>SUICIDIO_(CONSUMADO)</v>
      </c>
      <c r="JY109" s="207" t="str">
        <f>IFERROR(INDEX($A$2:$A$113,MATCH(ROWS($GC$2:GC109),$GC$2:$GC$113,0)),"")</f>
        <v>SUICIDIO_(CONSUMADO)</v>
      </c>
      <c r="JZ109" s="207" t="str">
        <f>IFERROR(INDEX($A$2:$A$113,MATCH(ROWS($GD$2:GD109),$GD$2:$GD$113,0)),"")</f>
        <v>SUICIDIO_(CONSUMADO)</v>
      </c>
      <c r="KA109" s="207" t="str">
        <f>IFERROR(INDEX($A$2:$A$113,MATCH(ROWS($GE$2:GE109),$GE$2:$GE$113,0)),"")</f>
        <v>SUICIDIO_(CONSUMADO)</v>
      </c>
      <c r="KB109" s="207" t="str">
        <f>IFERROR(INDEX($A$2:$A$113,MATCH(ROWS($GF$2:GF109),$GF$2:$GF$113,0)),"")</f>
        <v>SUICIDIO_(CONSUMADO)</v>
      </c>
      <c r="KC109" s="207" t="str">
        <f>IFERROR(INDEX($A$2:$A$113,MATCH(ROWS($GG$2:GG109),$GG$2:$GG$113,0)),"")</f>
        <v>SUICIDIO_(CONSUMADO)</v>
      </c>
      <c r="KD109" s="207" t="str">
        <f>IFERROR(INDEX($A$2:$A$113,MATCH(ROWS($GH$2:GH109),$GH$2:$GH$113,0)),"")</f>
        <v>SUICIDIO_(CONSUMADO)</v>
      </c>
      <c r="KE109" s="207" t="str">
        <f>IFERROR(INDEX($A$2:$A$113,MATCH(ROWS($GI$2:GI109),$GI$2:$GI$113,0)),"")</f>
        <v>SUICIDIO_(CONSUMADO)</v>
      </c>
      <c r="KF109" s="207" t="str">
        <f>IFERROR(INDEX($A$2:$A$113,MATCH(ROWS($GJ$2:GJ109),$GJ$2:$GJ$113,0)),"")</f>
        <v>SUICIDIO_(CONSUMADO)</v>
      </c>
      <c r="KG109" s="207" t="str">
        <f>IFERROR(INDEX($A$2:$A$113,MATCH(ROWS($GK$2:GK109),$GK$2:$GK$113,0)),"")</f>
        <v>SUICIDIO_(CONSUMADO)</v>
      </c>
      <c r="KH109" s="207" t="str">
        <f>IFERROR(INDEX($A$2:$A$113,MATCH(ROWS($GL$2:GL109),$GL$2:$GL$113,0)),"")</f>
        <v>SUICIDIO_(CONSUMADO)</v>
      </c>
      <c r="KI109" s="207" t="str">
        <f>IFERROR(INDEX($A$2:$A$113,MATCH(ROWS($GM$2:GM109),$GM$2:$GM$113,0)),"")</f>
        <v>SUICIDIO_(CONSUMADO)</v>
      </c>
      <c r="KJ109" s="207" t="str">
        <f>IFERROR(INDEX($A$2:$A$113,MATCH(ROWS($GN$2:GN109),$GN$2:$GN$113,0)),"")</f>
        <v>SUICIDIO_(CONSUMADO)</v>
      </c>
      <c r="KK109" s="207" t="str">
        <f>IFERROR(INDEX($A$2:$A$113,MATCH(ROWS($GO$2:GO109),$GO$2:$GO$113,0)),"")</f>
        <v>SUICIDIO_(CONSUMADO)</v>
      </c>
      <c r="KL109" s="207" t="str">
        <f>IFERROR(INDEX($A$2:$A$113,MATCH(ROWS($GP$2:GP109),$GP$2:$GP$113,0)),"")</f>
        <v>SUICIDIO_(CONSUMADO)</v>
      </c>
      <c r="KM109" s="207" t="str">
        <f>IFERROR(INDEX($A$2:$A$113,MATCH(ROWS($GQ$2:GQ109),$GQ$2:$GQ$113,0)),"")</f>
        <v>SUICIDIO_(CONSUMADO)</v>
      </c>
      <c r="KN109" s="207" t="str">
        <f>IFERROR(INDEX($A$2:$A$113,MATCH(ROWS($GR$2:GR109),$GR$2:$GR$113,0)),"")</f>
        <v>SUICIDIO_(CONSUMADO)</v>
      </c>
      <c r="KO109" s="207" t="str">
        <f>IFERROR(INDEX($A$2:$A$113,MATCH(ROWS($GS$2:GS109),$GS$2:$GS$113,0)),"")</f>
        <v>SUICIDIO_(CONSUMADO)</v>
      </c>
      <c r="KP109" s="207" t="str">
        <f>IFERROR(INDEX($A$2:$A$113,MATCH(ROWS($GT$2:GT109),$GT$2:$GT$113,0)),"")</f>
        <v>SUICIDIO_(CONSUMADO)</v>
      </c>
      <c r="KQ109" s="207" t="str">
        <f>IFERROR(INDEX($A$2:$A$113,MATCH(ROWS($GU$2:GU109),$GU$2:$GU$113,0)),"")</f>
        <v>SUICIDIO_(CONSUMADO)</v>
      </c>
      <c r="KR109" s="207" t="str">
        <f>IFERROR(INDEX($A$2:$A$113,MATCH(ROWS($GV$2:GV109),$GV$2:$GV$113,0)),"")</f>
        <v>SUICIDIO_(CONSUMADO)</v>
      </c>
      <c r="KS109" s="207" t="str">
        <f>IFERROR(INDEX($A$2:$A$113,MATCH(ROWS($GW$2:GW109),$GW$2:$GW$113,0)),"")</f>
        <v>SUICIDIO_(CONSUMADO)</v>
      </c>
    </row>
    <row r="110" spans="1:305" x14ac:dyDescent="0.25">
      <c r="A110" s="206" t="s">
        <v>811</v>
      </c>
      <c r="F110" s="207">
        <f>--ISNUMBER(IFERROR(SEARCH('PLANILLA DJ'!$X$3,$A110,1),""))</f>
        <v>1</v>
      </c>
      <c r="G110" s="207">
        <f>--ISNUMBER(IFERROR(SEARCH('PLANILLA DJ'!$X$4,$A110,1),""))</f>
        <v>1</v>
      </c>
      <c r="H110" s="207">
        <f>--ISNUMBER(IFERROR(SEARCH('PLANILLA DJ'!$X$5,$A110,1),""))</f>
        <v>1</v>
      </c>
      <c r="I110" s="207">
        <f>--ISNUMBER(IFERROR(SEARCH('PLANILLA DJ'!$X$6,$A110,1),""))</f>
        <v>1</v>
      </c>
      <c r="J110" s="207">
        <f>--ISNUMBER(IFERROR(SEARCH('PLANILLA DJ'!$X$7,$A110,1),""))</f>
        <v>1</v>
      </c>
      <c r="K110" s="207">
        <f>--ISNUMBER(IFERROR(SEARCH('PLANILLA DJ'!$X$8,$A110,1),""))</f>
        <v>1</v>
      </c>
      <c r="L110" s="207">
        <f>--ISNUMBER(IFERROR(SEARCH('PLANILLA DJ'!$X$9,$A110,1),""))</f>
        <v>1</v>
      </c>
      <c r="M110" s="207">
        <f>--ISNUMBER(IFERROR(SEARCH('PLANILLA DJ'!$X$10,$A110,1),""))</f>
        <v>1</v>
      </c>
      <c r="N110" s="207">
        <f>--ISNUMBER(IFERROR(SEARCH('PLANILLA DJ'!$X$11,$A110,1),""))</f>
        <v>1</v>
      </c>
      <c r="O110" s="207">
        <f>--ISNUMBER(IFERROR(SEARCH('PLANILLA DJ'!$X$12,$A110,1),""))</f>
        <v>1</v>
      </c>
      <c r="P110" s="207">
        <f>--ISNUMBER(IFERROR(SEARCH('PLANILLA DJ'!$X$13,$A110,1),""))</f>
        <v>1</v>
      </c>
      <c r="Q110" s="207">
        <f>--ISNUMBER(IFERROR(SEARCH('PLANILLA DJ'!$X$14,$A110,1),""))</f>
        <v>1</v>
      </c>
      <c r="R110" s="207">
        <f>--ISNUMBER(IFERROR(SEARCH('PLANILLA DJ'!$X$15,$A110,1),""))</f>
        <v>1</v>
      </c>
      <c r="S110" s="207">
        <f>--ISNUMBER(IFERROR(SEARCH('PLANILLA DJ'!$X$16,$A110,1),""))</f>
        <v>1</v>
      </c>
      <c r="T110" s="207">
        <f>--ISNUMBER(IFERROR(SEARCH('PLANILLA DJ'!$X$17,$A110,1),""))</f>
        <v>1</v>
      </c>
      <c r="U110" s="207">
        <f>--ISNUMBER(IFERROR(SEARCH('PLANILLA DJ'!$X$18,$A110,1),""))</f>
        <v>1</v>
      </c>
      <c r="V110" s="207">
        <f>--ISNUMBER(IFERROR(SEARCH('PLANILLA DJ'!$X$19,$A110,1),""))</f>
        <v>1</v>
      </c>
      <c r="W110" s="207">
        <f>--ISNUMBER(IFERROR(SEARCH('PLANILLA DJ'!$X$20,$A110,1),""))</f>
        <v>1</v>
      </c>
      <c r="X110" s="207">
        <f>--ISNUMBER(IFERROR(SEARCH('PLANILLA DJ'!$X$21,$A110,1),""))</f>
        <v>1</v>
      </c>
      <c r="Y110" s="207">
        <f>--ISNUMBER(IFERROR(SEARCH('PLANILLA DJ'!$X$22,$A110,1),""))</f>
        <v>1</v>
      </c>
      <c r="Z110" s="207">
        <f>--ISNUMBER(IFERROR(SEARCH('PLANILLA DJ'!$X$23,$A110,1),""))</f>
        <v>1</v>
      </c>
      <c r="AA110" s="207">
        <f>--ISNUMBER(IFERROR(SEARCH('PLANILLA DJ'!$X$24,$A110,1),""))</f>
        <v>1</v>
      </c>
      <c r="AB110" s="207">
        <f>--ISNUMBER(IFERROR(SEARCH('PLANILLA DJ'!$X$25,$A110,1),""))</f>
        <v>1</v>
      </c>
      <c r="AC110" s="207">
        <f>--ISNUMBER(IFERROR(SEARCH('PLANILLA DJ'!$X$26,$A110,1),""))</f>
        <v>1</v>
      </c>
      <c r="AD110" s="207">
        <f>--ISNUMBER(IFERROR(SEARCH('PLANILLA DJ'!$X$27,$A110,1),""))</f>
        <v>1</v>
      </c>
      <c r="AE110" s="207">
        <f>--ISNUMBER(IFERROR(SEARCH('PLANILLA DJ'!$X$28,$A110,1),""))</f>
        <v>1</v>
      </c>
      <c r="AF110" s="207">
        <f>--ISNUMBER(IFERROR(SEARCH('PLANILLA DJ'!$X$29,$A110,1),""))</f>
        <v>1</v>
      </c>
      <c r="AG110" s="207">
        <f>--ISNUMBER(IFERROR(SEARCH('PLANILLA DJ'!$X$30,$A110,1),""))</f>
        <v>1</v>
      </c>
      <c r="AH110" s="207">
        <f>--ISNUMBER(IFERROR(SEARCH('PLANILLA DJ'!$X$31,$A110,1),""))</f>
        <v>1</v>
      </c>
      <c r="AI110" s="207">
        <f>--ISNUMBER(IFERROR(SEARCH('PLANILLA DJ'!$X$32,$A110,1),""))</f>
        <v>1</v>
      </c>
      <c r="AJ110" s="207">
        <f>--ISNUMBER(IFERROR(SEARCH('PLANILLA DJ'!$X$33,$A110,1),""))</f>
        <v>1</v>
      </c>
      <c r="AK110" s="207">
        <f>--ISNUMBER(IFERROR(SEARCH('PLANILLA DJ'!$X$34,$A110,1),""))</f>
        <v>1</v>
      </c>
      <c r="AL110" s="207">
        <f>--ISNUMBER(IFERROR(SEARCH('PLANILLA DJ'!$X$35,$A110,1),""))</f>
        <v>1</v>
      </c>
      <c r="AM110" s="207">
        <f>--ISNUMBER(IFERROR(SEARCH('PLANILLA DJ'!$X$36,$A110,1),""))</f>
        <v>1</v>
      </c>
      <c r="AN110" s="207">
        <f>--ISNUMBER(IFERROR(SEARCH('PLANILLA DJ'!$X$37,$A110,1),""))</f>
        <v>1</v>
      </c>
      <c r="AO110" s="207">
        <f>--ISNUMBER(IFERROR(SEARCH('PLANILLA DJ'!$X$38,$A110,1),""))</f>
        <v>1</v>
      </c>
      <c r="AP110" s="207">
        <f>--ISNUMBER(IFERROR(SEARCH('PLANILLA DJ'!$X$39,$A110,1),""))</f>
        <v>1</v>
      </c>
      <c r="AQ110" s="207">
        <f>--ISNUMBER(IFERROR(SEARCH('PLANILLA DJ'!$X$40,$A110,1),""))</f>
        <v>1</v>
      </c>
      <c r="AR110" s="207">
        <f>--ISNUMBER(IFERROR(SEARCH('PLANILLA DJ'!$X$41,$A110,1),""))</f>
        <v>1</v>
      </c>
      <c r="AS110" s="207">
        <f>--ISNUMBER(IFERROR(SEARCH('PLANILLA DJ'!$X$42,$A110,1),""))</f>
        <v>1</v>
      </c>
      <c r="AT110" s="207">
        <f>--ISNUMBER(IFERROR(SEARCH('PLANILLA DJ'!$X$43,$A110,1),""))</f>
        <v>1</v>
      </c>
      <c r="AU110" s="207">
        <f>--ISNUMBER(IFERROR(SEARCH('PLANILLA DJ'!$X$44,$A110,1),""))</f>
        <v>1</v>
      </c>
      <c r="AV110" s="207">
        <f>--ISNUMBER(IFERROR(SEARCH('PLANILLA DJ'!$X$45,$A110,1),""))</f>
        <v>1</v>
      </c>
      <c r="AW110" s="207">
        <f>--ISNUMBER(IFERROR(SEARCH('PLANILLA DJ'!$X$46,$A110,1),""))</f>
        <v>1</v>
      </c>
      <c r="AX110" s="207">
        <f>--ISNUMBER(IFERROR(SEARCH('PLANILLA DJ'!$X$47,$A110,1),""))</f>
        <v>1</v>
      </c>
      <c r="AY110" s="207">
        <f>--ISNUMBER(IFERROR(SEARCH('PLANILLA DJ'!$X$48,$A110,1),""))</f>
        <v>1</v>
      </c>
      <c r="AZ110" s="207">
        <f>--ISNUMBER(IFERROR(SEARCH('PLANILLA DJ'!$X$49,$A110,1),""))</f>
        <v>1</v>
      </c>
      <c r="BA110" s="207">
        <f>--ISNUMBER(IFERROR(SEARCH('PLANILLA DJ'!$X$50,$A110,1),""))</f>
        <v>1</v>
      </c>
      <c r="BB110" s="207">
        <f>--ISNUMBER(IFERROR(SEARCH('PLANILLA DJ'!$X$51,$A110,1),""))</f>
        <v>1</v>
      </c>
      <c r="BC110" s="207">
        <f>--ISNUMBER(IFERROR(SEARCH('PLANILLA DJ'!$X$52,$A110,1),""))</f>
        <v>1</v>
      </c>
      <c r="BD110" s="207">
        <f>--ISNUMBER(IFERROR(SEARCH('PLANILLA DJ'!$X$53,$A110,1),""))</f>
        <v>1</v>
      </c>
      <c r="BE110" s="207">
        <f>--ISNUMBER(IFERROR(SEARCH('PLANILLA DJ'!$X$54,$A110,1),""))</f>
        <v>1</v>
      </c>
      <c r="BF110" s="207">
        <f>--ISNUMBER(IFERROR(SEARCH('PLANILLA DJ'!$X$55,$A110,1),""))</f>
        <v>1</v>
      </c>
      <c r="BG110" s="207">
        <f>--ISNUMBER(IFERROR(SEARCH('PLANILLA DJ'!$X$56,$A110,1),""))</f>
        <v>1</v>
      </c>
      <c r="BH110" s="207">
        <f>--ISNUMBER(IFERROR(SEARCH('PLANILLA DJ'!$X$57,$A110,1),""))</f>
        <v>1</v>
      </c>
      <c r="BI110" s="207">
        <f>--ISNUMBER(IFERROR(SEARCH('PLANILLA DJ'!$X$58,$A110,1),""))</f>
        <v>1</v>
      </c>
      <c r="BJ110" s="207">
        <f>--ISNUMBER(IFERROR(SEARCH('PLANILLA DJ'!$X$59,$A110,1),""))</f>
        <v>1</v>
      </c>
      <c r="BK110" s="207">
        <f>--ISNUMBER(IFERROR(SEARCH('PLANILLA DJ'!$X$60,$A110,1),""))</f>
        <v>1</v>
      </c>
      <c r="BL110" s="207">
        <f>--ISNUMBER(IFERROR(SEARCH('PLANILLA DJ'!$X$61,$A110,1),""))</f>
        <v>1</v>
      </c>
      <c r="BM110" s="207">
        <f>--ISNUMBER(IFERROR(SEARCH('PLANILLA DJ'!$X$62,$A110,1),""))</f>
        <v>1</v>
      </c>
      <c r="BN110" s="207">
        <f>--ISNUMBER(IFERROR(SEARCH('PLANILLA DJ'!$X$63,$A110,1),""))</f>
        <v>1</v>
      </c>
      <c r="BO110" s="207">
        <f>--ISNUMBER(IFERROR(SEARCH('PLANILLA DJ'!$X$64,$A110,1),""))</f>
        <v>1</v>
      </c>
      <c r="BP110" s="207">
        <f>--ISNUMBER(IFERROR(SEARCH('PLANILLA DJ'!$X$65,$A110,1),""))</f>
        <v>1</v>
      </c>
      <c r="BQ110" s="207">
        <f>--ISNUMBER(IFERROR(SEARCH('PLANILLA DJ'!$X$66,$A110,1),""))</f>
        <v>1</v>
      </c>
      <c r="BR110" s="207">
        <f>--ISNUMBER(IFERROR(SEARCH('PLANILLA DJ'!$X$67,$A110,1),""))</f>
        <v>1</v>
      </c>
      <c r="BS110" s="207">
        <f>--ISNUMBER(IFERROR(SEARCH('PLANILLA DJ'!$X$68,$A110,1),""))</f>
        <v>1</v>
      </c>
      <c r="BT110" s="207">
        <f>--ISNUMBER(IFERROR(SEARCH('PLANILLA DJ'!$X$69,$A110,1),""))</f>
        <v>1</v>
      </c>
      <c r="BU110" s="207">
        <f>--ISNUMBER(IFERROR(SEARCH('PLANILLA DJ'!$X$70,$A110,1),""))</f>
        <v>1</v>
      </c>
      <c r="BV110" s="207">
        <f>--ISNUMBER(IFERROR(SEARCH('PLANILLA DJ'!$X$71,$A110,1),""))</f>
        <v>1</v>
      </c>
      <c r="BW110" s="207">
        <f>--ISNUMBER(IFERROR(SEARCH('PLANILLA DJ'!$X$72,$A110,1),""))</f>
        <v>1</v>
      </c>
      <c r="BX110" s="207">
        <f>--ISNUMBER(IFERROR(SEARCH('PLANILLA DJ'!$X$73,$A110,1),""))</f>
        <v>1</v>
      </c>
      <c r="BY110" s="207">
        <f>--ISNUMBER(IFERROR(SEARCH('PLANILLA DJ'!$X$74,$A110,1),""))</f>
        <v>1</v>
      </c>
      <c r="BZ110" s="207">
        <f>--ISNUMBER(IFERROR(SEARCH('PLANILLA DJ'!$X$75,$A110,1),""))</f>
        <v>1</v>
      </c>
      <c r="CA110" s="207">
        <f>--ISNUMBER(IFERROR(SEARCH('PLANILLA DJ'!$X$76,$A110,1),""))</f>
        <v>1</v>
      </c>
      <c r="CB110" s="207">
        <f>--ISNUMBER(IFERROR(SEARCH('PLANILLA DJ'!$X$77,$A110,1),""))</f>
        <v>1</v>
      </c>
      <c r="CC110" s="207">
        <f>--ISNUMBER(IFERROR(SEARCH('PLANILLA DJ'!$X$78,$A110,1),""))</f>
        <v>1</v>
      </c>
      <c r="CD110" s="207">
        <f>--ISNUMBER(IFERROR(SEARCH('PLANILLA DJ'!$X$79,$A110,1),""))</f>
        <v>1</v>
      </c>
      <c r="CE110" s="207">
        <f>--ISNUMBER(IFERROR(SEARCH('PLANILLA DJ'!$X$80,$A110,1),""))</f>
        <v>1</v>
      </c>
      <c r="CF110" s="207">
        <f>--ISNUMBER(IFERROR(SEARCH('PLANILLA DJ'!$X$81,$A110,1),""))</f>
        <v>1</v>
      </c>
      <c r="CG110" s="207">
        <f>--ISNUMBER(IFERROR(SEARCH('PLANILLA DJ'!$X$82,$A110,1),""))</f>
        <v>1</v>
      </c>
      <c r="CH110" s="207">
        <f>--ISNUMBER(IFERROR(SEARCH('PLANILLA DJ'!$X$83,$A110,1),""))</f>
        <v>1</v>
      </c>
      <c r="CI110" s="207">
        <f>--ISNUMBER(IFERROR(SEARCH('PLANILLA DJ'!$X$84,$A110,1),""))</f>
        <v>1</v>
      </c>
      <c r="CJ110" s="207">
        <f>--ISNUMBER(IFERROR(SEARCH('PLANILLA DJ'!$X$85,$A110,1),""))</f>
        <v>1</v>
      </c>
      <c r="CK110" s="207">
        <f>--ISNUMBER(IFERROR(SEARCH('PLANILLA DJ'!$X$86,$A110,1),""))</f>
        <v>1</v>
      </c>
      <c r="CL110" s="207">
        <f>--ISNUMBER(IFERROR(SEARCH('PLANILLA DJ'!$X$87,$A110,1),""))</f>
        <v>1</v>
      </c>
      <c r="CM110" s="207">
        <f>--ISNUMBER(IFERROR(SEARCH('PLANILLA DJ'!$X$88,$A110,1),""))</f>
        <v>1</v>
      </c>
      <c r="CN110" s="207">
        <f>--ISNUMBER(IFERROR(SEARCH('PLANILLA DJ'!$X$89,$A110,1),""))</f>
        <v>1</v>
      </c>
      <c r="CO110" s="207">
        <f>--ISNUMBER(IFERROR(SEARCH('PLANILLA DJ'!$X$90,$A110,1),""))</f>
        <v>1</v>
      </c>
      <c r="CP110" s="207">
        <f>--ISNUMBER(IFERROR(SEARCH('PLANILLA DJ'!$X$91,$A110,1),""))</f>
        <v>1</v>
      </c>
      <c r="CQ110" s="207">
        <f>--ISNUMBER(IFERROR(SEARCH('PLANILLA DJ'!$X$92,$A110,1),""))</f>
        <v>1</v>
      </c>
      <c r="CR110" s="207">
        <f>--ISNUMBER(IFERROR(SEARCH('PLANILLA DJ'!$X$93,$A110,1),""))</f>
        <v>1</v>
      </c>
      <c r="CS110" s="207">
        <f>--ISNUMBER(IFERROR(SEARCH('PLANILLA DJ'!$X$94,$A110,1),""))</f>
        <v>1</v>
      </c>
      <c r="CT110" s="207">
        <f>--ISNUMBER(IFERROR(SEARCH('PLANILLA DJ'!$X$95,$A110,1),""))</f>
        <v>1</v>
      </c>
      <c r="CU110" s="207">
        <f>--ISNUMBER(IFERROR(SEARCH('PLANILLA DJ'!$X$96,$A110,1),""))</f>
        <v>1</v>
      </c>
      <c r="CV110" s="207">
        <f>--ISNUMBER(IFERROR(SEARCH('PLANILLA DJ'!$X$97,$A110,1),""))</f>
        <v>1</v>
      </c>
      <c r="CW110" s="207">
        <f>--ISNUMBER(IFERROR(SEARCH('PLANILLA DJ'!$X$98,$A110,1),""))</f>
        <v>1</v>
      </c>
      <c r="CX110" s="207">
        <f>--ISNUMBER(IFERROR(SEARCH('PLANILLA DJ'!$X$99,$A110,1),""))</f>
        <v>1</v>
      </c>
      <c r="CY110" s="207">
        <f>--ISNUMBER(IFERROR(SEARCH('PLANILLA DJ'!$X$100,$A110,1),""))</f>
        <v>1</v>
      </c>
      <c r="CZ110" s="207">
        <f>--ISNUMBER(IFERROR(SEARCH('PLANILLA DJ'!$X$101,$A110,1),""))</f>
        <v>1</v>
      </c>
      <c r="DA110" s="207">
        <f>--ISNUMBER(IFERROR(SEARCH('PLANILLA DJ'!$X$102,$A110,1),""))</f>
        <v>1</v>
      </c>
      <c r="DB110" s="206">
        <f>IF(F110=1,COUNTIF($F$2:F110,1),"")</f>
        <v>109</v>
      </c>
      <c r="DC110" s="206">
        <f>IF(G110=1,COUNTIF($G$2:G110,1),"")</f>
        <v>109</v>
      </c>
      <c r="DD110" s="206">
        <f>IF(H110=1,COUNTIF($H$2:H110,1),"")</f>
        <v>109</v>
      </c>
      <c r="DE110" s="206">
        <f>IF(I110=1,COUNTIF($I$2:I110,1),"")</f>
        <v>109</v>
      </c>
      <c r="DF110" s="206">
        <f>IF(J110=1,COUNTIF($J$2:J110,1),"")</f>
        <v>109</v>
      </c>
      <c r="DG110" s="206">
        <f>IF(K110=1,COUNTIF($K$2:K110,1),"")</f>
        <v>109</v>
      </c>
      <c r="DH110" s="206">
        <f>IF(L110=1,COUNTIF($L$2:L110,1),"")</f>
        <v>109</v>
      </c>
      <c r="DI110" s="206">
        <f>IF(M110=1,COUNTIF($M$2:M110,1),"")</f>
        <v>109</v>
      </c>
      <c r="DJ110" s="206">
        <f>IF(N110=1,COUNTIF($N$2:N110,1),"")</f>
        <v>109</v>
      </c>
      <c r="DK110" s="206">
        <f>IF(O110=1,COUNTIF($O$2:O110,1),"")</f>
        <v>109</v>
      </c>
      <c r="DL110" s="206">
        <f>IF(P110=1,COUNTIF($P$2:P110,1),"")</f>
        <v>109</v>
      </c>
      <c r="DM110" s="206">
        <f>IF(Q110=1,COUNTIF($Q$2:Q110,1),"")</f>
        <v>109</v>
      </c>
      <c r="DN110" s="207">
        <f>IF(R110=1,COUNTIF($R$2:R110,1),"")</f>
        <v>109</v>
      </c>
      <c r="DO110" s="207">
        <f>IF(S110=1,COUNTIF($S$2:S110,1),"")</f>
        <v>109</v>
      </c>
      <c r="DP110" s="207">
        <f>IF(T110=1,COUNTIF($T$2:T110,1),"")</f>
        <v>109</v>
      </c>
      <c r="DQ110" s="207">
        <f>IF(U110=1,COUNTIF($U$2:U110,1),"")</f>
        <v>109</v>
      </c>
      <c r="DR110" s="207">
        <f>IF(V110=1,COUNTIF($V$2:V110,1),"")</f>
        <v>109</v>
      </c>
      <c r="DS110" s="207">
        <f>IF(W110=1,COUNTIF($W$2:W110,1),"")</f>
        <v>109</v>
      </c>
      <c r="DT110" s="207">
        <f>IF(X110=1,COUNTIF($X$2:X110,1),"")</f>
        <v>109</v>
      </c>
      <c r="DU110" s="207">
        <f>IF(Y110=1,COUNTIF($Y$2:Y110,1),"")</f>
        <v>109</v>
      </c>
      <c r="DV110" s="207">
        <f>IF(Z110=1,COUNTIF(Z$2:Z110,1),"")</f>
        <v>109</v>
      </c>
      <c r="DW110" s="207">
        <f>IF(AA110=1,COUNTIF($AA$2:AA110,1),"")</f>
        <v>109</v>
      </c>
      <c r="DX110" s="207">
        <f>IF(AB110=1,COUNTIF($AB$2:AB110,1),"")</f>
        <v>109</v>
      </c>
      <c r="DY110" s="207">
        <f>IF(AC110=1,COUNTIF($AC$2:AC110,1),"")</f>
        <v>109</v>
      </c>
      <c r="DZ110" s="207">
        <f>IF(AD110=1,COUNTIF($AD$2:AD110,1),"")</f>
        <v>109</v>
      </c>
      <c r="EA110" s="207">
        <f>IF(AE110=1,COUNTIF($AE$2:AE110,1),"")</f>
        <v>109</v>
      </c>
      <c r="EB110" s="207">
        <f>IF(AF110=1,COUNTIF($AF$2:AF110,1),"")</f>
        <v>109</v>
      </c>
      <c r="EC110" s="207">
        <f>IF(AG110=1,COUNTIF($AG$2:AG110,1),"")</f>
        <v>109</v>
      </c>
      <c r="ED110" s="207">
        <f>IF(AH110=1,COUNTIF($AH$2:AH110,1),"")</f>
        <v>109</v>
      </c>
      <c r="EE110" s="207">
        <f>IF(AI110=1,COUNTIF($AI$2:AI110,1),"")</f>
        <v>109</v>
      </c>
      <c r="EF110" s="207">
        <f>IF(AJ110=1,COUNTIF($AJ$2:AJ110,1),"")</f>
        <v>109</v>
      </c>
      <c r="EG110" s="207">
        <f>IF(AK110=1,COUNTIF($AK$2:AK110,1),"")</f>
        <v>109</v>
      </c>
      <c r="EH110" s="207">
        <f>IF(AL110=1,COUNTIF($AL$2:AL110,1),"")</f>
        <v>109</v>
      </c>
      <c r="EI110" s="207">
        <f>IF(AM110=1,COUNTIF($AM$2:AM110,1),"")</f>
        <v>109</v>
      </c>
      <c r="EJ110" s="207">
        <f>IF(AN110=1,COUNTIF($AN$2:AN110,1),"")</f>
        <v>109</v>
      </c>
      <c r="EK110" s="207">
        <f>IF(AO110=1,COUNTIF($AO$2:AO110,1),"")</f>
        <v>109</v>
      </c>
      <c r="EL110" s="207">
        <f>IF(AP110=1,COUNTIF($AP$2:AP110,1),"")</f>
        <v>109</v>
      </c>
      <c r="EM110" s="207">
        <f>IF(AQ110=1,COUNTIF($AQ$2:AQ110,1),"")</f>
        <v>109</v>
      </c>
      <c r="EN110" s="207">
        <f>IF(AR110=1,COUNTIF($AR$2:AR110,1),"")</f>
        <v>109</v>
      </c>
      <c r="EO110" s="207">
        <f>IF(AS110=1,COUNTIF($AS$2:AS110,1),"")</f>
        <v>109</v>
      </c>
      <c r="EP110" s="207">
        <f>IF(AT110=1,COUNTIF($AT$2:AT110,1),"")</f>
        <v>109</v>
      </c>
      <c r="EQ110" s="207">
        <f>IF(AU110=1,COUNTIF($AU$2:AU110,1),"")</f>
        <v>109</v>
      </c>
      <c r="ER110" s="207">
        <f>IF(AV110=1,COUNTIF($AV$2:AV110,1),"")</f>
        <v>109</v>
      </c>
      <c r="ES110" s="207">
        <f>IF(AW110=1,COUNTIF($AW$2:AW110,1),"")</f>
        <v>109</v>
      </c>
      <c r="ET110" s="207">
        <f>IF(AX110=1,COUNTIF($AX$2:AX110,1),"")</f>
        <v>109</v>
      </c>
      <c r="EU110" s="207">
        <f>IF(AY110=1,COUNTIF($AY$2:AY110,1),"")</f>
        <v>109</v>
      </c>
      <c r="EV110" s="207">
        <f>IF(AZ110=1,COUNTIF($AZ$2:AZ110,1),"")</f>
        <v>109</v>
      </c>
      <c r="EW110" s="207">
        <f>IF(BA110=1,COUNTIF($BA$2:BA110,1),"")</f>
        <v>109</v>
      </c>
      <c r="EX110" s="207">
        <f>IF(BB110=1,COUNTIF($BB$2:BB110,1),"")</f>
        <v>109</v>
      </c>
      <c r="EY110" s="207">
        <f>IF(BC110=1,COUNTIF($BC$2:BC110,1),"")</f>
        <v>109</v>
      </c>
      <c r="EZ110" s="207">
        <f>IF(BD110=1,COUNTIF($BD$2:BD110,1),"")</f>
        <v>109</v>
      </c>
      <c r="FA110" s="207">
        <f>IF(BE110=1,COUNTIF($BE$2:BE110,1),"")</f>
        <v>109</v>
      </c>
      <c r="FB110" s="207">
        <f>IF(BF110=1,COUNTIF($BF$2:BF110,1),"")</f>
        <v>109</v>
      </c>
      <c r="FC110" s="207">
        <f>IF(BG110=1,COUNTIF($BG$2:BG110,1),"")</f>
        <v>109</v>
      </c>
      <c r="FD110" s="207">
        <f>IF(BH110=1,COUNTIF($BH$2:BH110,1),"")</f>
        <v>109</v>
      </c>
      <c r="FE110" s="207">
        <f>IF(BI110=1,COUNTIF($BI$2:BI110,1),"")</f>
        <v>109</v>
      </c>
      <c r="FF110" s="207">
        <f>IF(BJ110=1,COUNTIF($BJ$2:BJ110,1),"")</f>
        <v>109</v>
      </c>
      <c r="FG110" s="207">
        <f>IF(BK110=1,COUNTIF($BK$2:BK110,1),"")</f>
        <v>109</v>
      </c>
      <c r="FH110" s="207">
        <f>IF(BL110=1,COUNTIF($BL$2:BL110,1),"")</f>
        <v>109</v>
      </c>
      <c r="FI110" s="207">
        <f>IF(BM110=1,COUNTIF($BM$2:BM110,1),"")</f>
        <v>109</v>
      </c>
      <c r="FJ110" s="207">
        <f>IF(BN110=1,COUNTIF($BN$2:BN110,1),"")</f>
        <v>109</v>
      </c>
      <c r="FK110" s="207">
        <f>IF(BO110=1,COUNTIF($BO$2:BO110,1),"")</f>
        <v>109</v>
      </c>
      <c r="FL110" s="207">
        <f>IF(BP110=1,COUNTIF($BP$2:BP110,1),"")</f>
        <v>109</v>
      </c>
      <c r="FM110" s="207">
        <f>IF(BQ110=1,COUNTIF($BQ$2:BQ110,1),"")</f>
        <v>109</v>
      </c>
      <c r="FN110" s="207">
        <f>IF(BR110=1,COUNTIF($BR$2:BR110,1),"")</f>
        <v>109</v>
      </c>
      <c r="FO110" s="207">
        <f>IF(BS110=1,COUNTIF($BS$2:BS110,1),"")</f>
        <v>109</v>
      </c>
      <c r="FP110" s="207">
        <f>IF(BT110=1,COUNTIF($BT$2:BT110,1),"")</f>
        <v>109</v>
      </c>
      <c r="FQ110" s="207">
        <f>IF(BU110=1,COUNTIF($BU$2:BU110,1),"")</f>
        <v>109</v>
      </c>
      <c r="FR110" s="207">
        <f>IF(BV110=1,COUNTIF($BV$2:BV110,1),"")</f>
        <v>109</v>
      </c>
      <c r="FS110" s="207">
        <f>IF(BW110=1,COUNTIF($BW$2:BW110,1),"")</f>
        <v>109</v>
      </c>
      <c r="FT110" s="207">
        <f>IF(BX110=1,COUNTIF($BX$2:BX110,1),"")</f>
        <v>109</v>
      </c>
      <c r="FU110" s="207">
        <f>IF(BY110=1,COUNTIF($BY$2:BY110,1),"")</f>
        <v>109</v>
      </c>
      <c r="FV110" s="207">
        <f>IF(BZ110=1,COUNTIF($BZ$2:BZ110,1),"")</f>
        <v>109</v>
      </c>
      <c r="FW110" s="207">
        <f>IF(CA110=1,COUNTIF($CA$2:CA110,1),"")</f>
        <v>109</v>
      </c>
      <c r="FX110" s="207">
        <f>IF(CB110=1,COUNTIF($CB$2:CB110,1),"")</f>
        <v>109</v>
      </c>
      <c r="FY110" s="207">
        <f>IF(CC110=1,COUNTIF($CC$2:CC110,1),"")</f>
        <v>109</v>
      </c>
      <c r="FZ110" s="207">
        <f>IF(CD110=1,COUNTIF($CD$2:CD110,1),"")</f>
        <v>109</v>
      </c>
      <c r="GA110" s="207">
        <f>IF(CE110=1,COUNTIF($CE$2:CE110,1),"")</f>
        <v>109</v>
      </c>
      <c r="GB110" s="207">
        <f>IF(CF110=1,COUNTIF($CF$2:CF110,1),"")</f>
        <v>109</v>
      </c>
      <c r="GC110" s="207">
        <f>IF(CG110=1,COUNTIF($CG$2:CG110,1),"")</f>
        <v>109</v>
      </c>
      <c r="GD110" s="207">
        <f>IF(CH110=1,COUNTIF($CH$2:CH110,1),"")</f>
        <v>109</v>
      </c>
      <c r="GE110" s="207">
        <f>IF(CI110=1,COUNTIF($CI$2:CI110,1),"")</f>
        <v>109</v>
      </c>
      <c r="GF110" s="207">
        <f>IF(CJ110=1,COUNTIF($CJ$2:CJ110,1),"")</f>
        <v>109</v>
      </c>
      <c r="GG110" s="207">
        <f>IF(CK110=1,COUNTIF($CK$2:CK110,1),"")</f>
        <v>109</v>
      </c>
      <c r="GH110" s="207">
        <f>IF(CL110=1,COUNTIF($CL$2:CL110,1),"")</f>
        <v>109</v>
      </c>
      <c r="GI110" s="207">
        <f>IF(CM110=1,COUNTIF($CM$2:CM110,1),"")</f>
        <v>109</v>
      </c>
      <c r="GJ110" s="207">
        <f>IF(CN110=1,COUNTIF($CN$2:CN110,1),"")</f>
        <v>109</v>
      </c>
      <c r="GK110" s="207">
        <f>IF(CO110=1,COUNTIF($CO$2:CO110,1),"")</f>
        <v>109</v>
      </c>
      <c r="GL110" s="207">
        <f>IF(CP110=1,COUNTIF($CP$2:CP110,1),"")</f>
        <v>109</v>
      </c>
      <c r="GM110" s="207">
        <f>IF(CQ110=1,COUNTIF($CQ$2:CQ110,1),"")</f>
        <v>109</v>
      </c>
      <c r="GN110" s="207">
        <f>IF(CR110=1,COUNTIF($CR$2:CR110,1),"")</f>
        <v>109</v>
      </c>
      <c r="GO110" s="207">
        <f>IF(CS110=1,COUNTIF($CS$2:CS110,1),"")</f>
        <v>109</v>
      </c>
      <c r="GP110" s="207">
        <f>IF(CT110=1,COUNTIF($CT$2:CT110,1),"")</f>
        <v>109</v>
      </c>
      <c r="GQ110" s="207">
        <f>IF(CU110=1,COUNTIF($CU$2:CU110,1),"")</f>
        <v>109</v>
      </c>
      <c r="GR110" s="207">
        <f>IF(CV110=1,COUNTIF($CV$2:CV110,1),"")</f>
        <v>109</v>
      </c>
      <c r="GS110" s="207">
        <f>IF(CW110=1,COUNTIF($CW$2:CW110,1),"")</f>
        <v>109</v>
      </c>
      <c r="GT110" s="207">
        <f>IF(CX110=1,COUNTIF($CX$2:CX110,1),"")</f>
        <v>109</v>
      </c>
      <c r="GU110" s="207">
        <f>IF(CY110=1,COUNTIF($CY$2:CY110,1),"")</f>
        <v>109</v>
      </c>
      <c r="GV110" s="207">
        <f>IF(CZ110=1,COUNTIF($CZ$2:CZ110,1),"")</f>
        <v>109</v>
      </c>
      <c r="GW110" s="207">
        <f>IF(DA110=1,COUNTIF($DA$2:DA110,1),"")</f>
        <v>109</v>
      </c>
      <c r="GX110" s="206" t="str">
        <f>IFERROR(INDEX($A$2:$A$113,MATCH(ROWS($DB$2:DB110),$DB$2:$DB$113,0)),"")</f>
        <v>A CONSIDERACION</v>
      </c>
      <c r="GY110" s="206" t="str">
        <f>IFERROR(INDEX($A$2:$A$113,MATCH(ROWS($DC$2:DC110),$DC$2:$DC$113,0)),"")</f>
        <v>A CONSIDERACION</v>
      </c>
      <c r="GZ110" s="206" t="str">
        <f>IFERROR(INDEX($A$2:$A$113,MATCH(ROWS($DD$2:DD110),$DD$2:$DD$113,0)),"")</f>
        <v>A CONSIDERACION</v>
      </c>
      <c r="HA110" s="206" t="str">
        <f>IFERROR(INDEX($A$2:$A$113,MATCH(ROWS($DE$2:DE110),$DE$2:$DE$113,0)),"")</f>
        <v>A CONSIDERACION</v>
      </c>
      <c r="HB110" s="206" t="str">
        <f>IFERROR(INDEX($A$2:$A$113,MATCH(ROWS($DF$2:DF110),$DF$2:$DF$113,0)),"")</f>
        <v>A CONSIDERACION</v>
      </c>
      <c r="HC110" s="206" t="str">
        <f>IFERROR(INDEX($A$2:$A$113,MATCH(ROWS($DG$2:DG110),$DG$2:$DG$113,0)),"")</f>
        <v>A CONSIDERACION</v>
      </c>
      <c r="HD110" s="206" t="str">
        <f>IFERROR(INDEX($A$2:$A$113,MATCH(ROWS($DH$2:DH110),$DH$2:$DH$113,0)),"")</f>
        <v>A CONSIDERACION</v>
      </c>
      <c r="HE110" s="206" t="str">
        <f>IFERROR(INDEX($A$2:$A$113,MATCH(ROWS($DI$2:DI110),$DI$2:$DI$113,0)),"")</f>
        <v>A CONSIDERACION</v>
      </c>
      <c r="HF110" s="206" t="str">
        <f>IFERROR(INDEX($A$2:$A$113,MATCH(ROWS($DJ$2:DJ110),$DJ$2:$DJ$113,0)),"")</f>
        <v>A CONSIDERACION</v>
      </c>
      <c r="HG110" s="206" t="str">
        <f>IFERROR(INDEX($A$2:$A$113,MATCH(ROWS($DK$2:DK110),$DK$2:$DK$113,0)),"")</f>
        <v>A CONSIDERACION</v>
      </c>
      <c r="HH110" s="206" t="str">
        <f>IFERROR(INDEX($A$2:$A$113,MATCH(ROWS($DL$2:DL110),$DL$2:$DL$113,0)),"")</f>
        <v>A CONSIDERACION</v>
      </c>
      <c r="HI110" s="206" t="str">
        <f>IFERROR(INDEX($A$2:$A$113,MATCH(ROWS($DM$2:DM110),$DM$2:$DM$113,0)),"")</f>
        <v>A CONSIDERACION</v>
      </c>
      <c r="HJ110" s="206" t="str">
        <f>IFERROR(INDEX($A$2:$A$113,MATCH(ROWS($DN$2:DN110),$DN$2:$DN$113,0)),"")</f>
        <v>A CONSIDERACION</v>
      </c>
      <c r="HK110" s="206" t="str">
        <f>IFERROR(INDEX($A$2:$A$113,MATCH(ROWS($DO$2:DO110),$DO$2:$DO$113,0)),"")</f>
        <v>A CONSIDERACION</v>
      </c>
      <c r="HL110" s="206" t="str">
        <f>IFERROR(INDEX($A$2:$A$113,MATCH(ROWS($DP$2:DP110),$DP$2:$DP$113,0)),"")</f>
        <v>A CONSIDERACION</v>
      </c>
      <c r="HM110" s="206" t="str">
        <f>IFERROR(INDEX($A$2:$A$113,MATCH(ROWS($DQ$2:DQ110),$DQ$2:$DQ$113,0)),"")</f>
        <v>A CONSIDERACION</v>
      </c>
      <c r="HN110" s="206" t="str">
        <f>IFERROR(INDEX($A$2:$A$113,MATCH(ROWS($DR$2:DR110),$DR$2:$DR$113,0)),"")</f>
        <v>A CONSIDERACION</v>
      </c>
      <c r="HO110" s="206" t="str">
        <f>IFERROR(INDEX($A$2:$A$113,MATCH(ROWS($DS$2:DS110),$DS$2:$DS$113,0)),"")</f>
        <v>A CONSIDERACION</v>
      </c>
      <c r="HP110" s="206" t="str">
        <f>IFERROR(INDEX($A$2:$A$113,MATCH(ROWS($DT$2:DT110),$DT$2:$DT$113,0)),"")</f>
        <v>A CONSIDERACION</v>
      </c>
      <c r="HQ110" s="206" t="str">
        <f>IFERROR(INDEX($A$2:$A$113,MATCH(ROWS($DU$2:DU110),$DU$2:$DU$113,0)),"")</f>
        <v>A CONSIDERACION</v>
      </c>
      <c r="HR110" s="206" t="str">
        <f>IFERROR(INDEX($A$2:$A$113,MATCH(ROWS($DV$2:DV110),$DV$2:$DV$113,0)),"")</f>
        <v>A CONSIDERACION</v>
      </c>
      <c r="HS110" s="206" t="str">
        <f>IFERROR(INDEX($A$2:$A$113,MATCH(ROWS($DW$2:DW110),$DW$2:$DW$113,0)),"")</f>
        <v>A CONSIDERACION</v>
      </c>
      <c r="HT110" s="206" t="str">
        <f>IFERROR(INDEX($A$2:$A$113,MATCH(ROWS($DX$2:DX110),$DX$2:$DX$113,0)),"")</f>
        <v>A CONSIDERACION</v>
      </c>
      <c r="HU110" s="206" t="str">
        <f>IFERROR(INDEX($A$2:$A$113,MATCH(ROWS($DY$2:DY110),$DY$2:$DY$113,0)),"")</f>
        <v>A CONSIDERACION</v>
      </c>
      <c r="HV110" s="206" t="str">
        <f>IFERROR(INDEX($A$2:$A$113,MATCH(ROWS($DZ$2:DZ110),$DZ$2:$DZ$113,0)),"")</f>
        <v>A CONSIDERACION</v>
      </c>
      <c r="HW110" s="206" t="str">
        <f>IFERROR(INDEX($A$2:$A$113,MATCH(ROWS($EA$2:EA110),$EA$2:$EA$113,0)),"")</f>
        <v>A CONSIDERACION</v>
      </c>
      <c r="HX110" s="206" t="str">
        <f>IFERROR(INDEX($A$2:$A$113,MATCH(ROWS($EB$2:EB110),$EB$2:$EB$113,0)),"")</f>
        <v>A CONSIDERACION</v>
      </c>
      <c r="HY110" s="206" t="str">
        <f>IFERROR(INDEX($A$2:$A$113,MATCH(ROWS($EC$2:EC110),$EC$2:$EC$113,0)),"")</f>
        <v>A CONSIDERACION</v>
      </c>
      <c r="HZ110" s="206" t="str">
        <f>IFERROR(INDEX($A$2:$A$113,MATCH(ROWS($ED$2:ED110),$ED$2:$ED$113,0)),"")</f>
        <v>A CONSIDERACION</v>
      </c>
      <c r="IA110" s="206" t="str">
        <f>IFERROR(INDEX($A$2:$A$113,MATCH(ROWS($EE$2:EE110),$EE$2:$EE$113,0)),"")</f>
        <v>A CONSIDERACION</v>
      </c>
      <c r="IB110" s="206" t="str">
        <f>IFERROR(INDEX($A$2:$A$113,MATCH(ROWS($EF$2:EF110),$EF$2:$EF$113,0)),"")</f>
        <v>A CONSIDERACION</v>
      </c>
      <c r="IC110" s="206" t="str">
        <f>IFERROR(INDEX($A$2:$A$113,MATCH(ROWS($EG$2:EG110),$EG$2:$EG$113,0)),"")</f>
        <v>A CONSIDERACION</v>
      </c>
      <c r="ID110" s="206" t="str">
        <f>IFERROR(INDEX($A$2:$A$113,MATCH(ROWS($EH$2:EH110),$EH$2:$EH$113,0)),"")</f>
        <v>A CONSIDERACION</v>
      </c>
      <c r="IE110" s="206" t="str">
        <f>IFERROR(INDEX($A$2:$A$113,MATCH(ROWS($EI$2:EI110),$EI$2:$EI$113,0)),"")</f>
        <v>A CONSIDERACION</v>
      </c>
      <c r="IF110" s="206" t="str">
        <f>IFERROR(INDEX($A$2:$A$113,MATCH(ROWS($EJ$2:EJ110),$EJ$2:$EJ$113,0)),"")</f>
        <v>A CONSIDERACION</v>
      </c>
      <c r="IG110" s="206" t="str">
        <f>IFERROR(INDEX($A$2:$A$113,MATCH(ROWS($EK$2:EK110),$EK$2:$EK$113,0)),"")</f>
        <v>A CONSIDERACION</v>
      </c>
      <c r="IH110" s="206" t="str">
        <f>IFERROR(INDEX($A$2:$A$113,MATCH(ROWS($EL$2:EL110),$EL$2:$EL$113,0)),"")</f>
        <v>A CONSIDERACION</v>
      </c>
      <c r="II110" s="206" t="str">
        <f>IFERROR(INDEX($A$2:$A$113,MATCH(ROWS($EM$2:EM110),$EM$2:$EM$113,0)),"")</f>
        <v>A CONSIDERACION</v>
      </c>
      <c r="IJ110" s="206" t="str">
        <f>IFERROR(INDEX($A$2:$A$113,MATCH(ROWS($EN$2:EN110),$EN$2:$EN$113,0)),"")</f>
        <v>A CONSIDERACION</v>
      </c>
      <c r="IK110" s="207" t="str">
        <f>IFERROR(INDEX($A$2:$A$113,MATCH(ROWS($EO$2:EO110),$EO$2:$EO$113,0)),"")</f>
        <v>A CONSIDERACION</v>
      </c>
      <c r="IL110" s="207" t="str">
        <f>IFERROR(INDEX($A$2:$A$113,MATCH(ROWS($EP$2:EP110),$EP$2:$EP$113,0)),"")</f>
        <v>A CONSIDERACION</v>
      </c>
      <c r="IM110" s="207" t="str">
        <f>IFERROR(INDEX($A$2:$A$113,MATCH(ROWS($EQ$2:EQ110),$EQ$2:$EQ$113,0)),"")</f>
        <v>A CONSIDERACION</v>
      </c>
      <c r="IN110" s="207" t="str">
        <f>IFERROR(INDEX($A$2:$A$113,MATCH(ROWS($ER$2:ER110),$ER$2:$ER$113,0)),"")</f>
        <v>A CONSIDERACION</v>
      </c>
      <c r="IO110" s="207" t="str">
        <f>IFERROR(INDEX($A$2:$A$113,MATCH(ROWS($ES$2:ES110),$ES$2:$ES$113,0)),"")</f>
        <v>A CONSIDERACION</v>
      </c>
      <c r="IP110" s="207" t="str">
        <f>IFERROR(INDEX($A$2:$A$113,MATCH(ROWS($ET$2:ET110),$ET$2:$ET$113,0)),"")</f>
        <v>A CONSIDERACION</v>
      </c>
      <c r="IQ110" s="207" t="str">
        <f>IFERROR(INDEX($A$2:$A$113,MATCH(ROWS($EU$2:EU110),$EU$2:$EU$113,0)),"")</f>
        <v>A CONSIDERACION</v>
      </c>
      <c r="IR110" s="207" t="str">
        <f>IFERROR(INDEX($A$2:$A$113,MATCH(ROWS($EV$2:EV110),$EV$2:$EV$113,0)),"")</f>
        <v>A CONSIDERACION</v>
      </c>
      <c r="IS110" s="207" t="str">
        <f>IFERROR(INDEX($A$2:$A$113,MATCH(ROWS($EW$2:EW110),$EW$2:$EW$113,0)),"")</f>
        <v>A CONSIDERACION</v>
      </c>
      <c r="IT110" s="207" t="str">
        <f>IFERROR(INDEX($A$2:$A$113,MATCH(ROWS($EX$2:EX110),$EX$2:$EX$113,0)),"")</f>
        <v>A CONSIDERACION</v>
      </c>
      <c r="IU110" s="207" t="str">
        <f>IFERROR(INDEX($A$2:$A$113,MATCH(ROWS($EY$2:EY110),$EY$2:$EY$113,0)),"")</f>
        <v>A CONSIDERACION</v>
      </c>
      <c r="IV110" s="207" t="str">
        <f>IFERROR(INDEX($A$2:$A$113,MATCH(ROWS($EZ$2:EZ110),$EZ$2:$EZ$113,0)),"")</f>
        <v>A CONSIDERACION</v>
      </c>
      <c r="IW110" s="207" t="str">
        <f>IFERROR(INDEX($A$2:$A$113,MATCH(ROWS($FA$2:FA110),$FA$2:$FA$113,0)),"")</f>
        <v>A CONSIDERACION</v>
      </c>
      <c r="IX110" s="207" t="str">
        <f>IFERROR(INDEX($A$2:$A$113,MATCH(ROWS($FB$2:FB110),$FB$2:$FB$113,0)),"")</f>
        <v>A CONSIDERACION</v>
      </c>
      <c r="IY110" s="207" t="str">
        <f>IFERROR(INDEX($A$2:$A$113,MATCH(ROWS($FC$2:FC110),$FC$2:$FC$113,0)),"")</f>
        <v>A CONSIDERACION</v>
      </c>
      <c r="IZ110" s="207" t="str">
        <f>IFERROR(INDEX($A$2:$A$113,MATCH(ROWS($FD$2:FD110),$FD$2:$FD$113,0)),"")</f>
        <v>A CONSIDERACION</v>
      </c>
      <c r="JA110" s="207" t="str">
        <f>IFERROR(INDEX($A$2:$A$113,MATCH(ROWS($FE$2:FE110),$FE$2:$FE$113,0)),"")</f>
        <v>A CONSIDERACION</v>
      </c>
      <c r="JB110" s="207" t="str">
        <f>IFERROR(INDEX($A$2:$A$113,MATCH(ROWS($FF$2:FF110),$FF$2:$FF$113,0)),"")</f>
        <v>A CONSIDERACION</v>
      </c>
      <c r="JC110" s="207" t="str">
        <f>IFERROR(INDEX($A$2:$A$113,MATCH(ROWS($FG$2:FG110),$FG$2:$FG$113,0)),"")</f>
        <v>A CONSIDERACION</v>
      </c>
      <c r="JD110" s="207" t="str">
        <f>IFERROR(INDEX($A$2:$A$113,MATCH(ROWS($FH$2:FH110),$FH$2:$FH$113,0)),"")</f>
        <v>A CONSIDERACION</v>
      </c>
      <c r="JE110" s="207" t="str">
        <f>IFERROR(INDEX($A$2:$A$113,MATCH(ROWS($FI$2:FI110),$FI$2:$FI$113,0)),"")</f>
        <v>A CONSIDERACION</v>
      </c>
      <c r="JF110" s="207" t="str">
        <f>IFERROR(INDEX($A$2:$A$113,MATCH(ROWS($FJ$2:FJ110),$FJ$2:$FJ$113,0)),"")</f>
        <v>A CONSIDERACION</v>
      </c>
      <c r="JG110" s="207" t="str">
        <f>IFERROR(INDEX($A$2:$A$113,MATCH(ROWS($FK$2:FK110),$FK$2:$FK$113,0)),"")</f>
        <v>A CONSIDERACION</v>
      </c>
      <c r="JH110" s="207" t="str">
        <f>IFERROR(INDEX($A$2:$A$113,MATCH(ROWS($FL$2:FL110),$FL$2:$FL$113,0)),"")</f>
        <v>A CONSIDERACION</v>
      </c>
      <c r="JI110" s="207" t="str">
        <f>IFERROR(INDEX($A$2:$A$113,MATCH(ROWS($FM$2:FM110),$FM$2:$FM$113,0)),"")</f>
        <v>A CONSIDERACION</v>
      </c>
      <c r="JJ110" s="207" t="str">
        <f>IFERROR(INDEX($A$2:$A$113,MATCH(ROWS($FN$2:FN110),$FN$2:$FN$113,0)),"")</f>
        <v>A CONSIDERACION</v>
      </c>
      <c r="JK110" s="207" t="str">
        <f>IFERROR(INDEX($A$2:$A$113,MATCH(ROWS($FO$2:FO110),$FO$2:$FO$113,0)),"")</f>
        <v>A CONSIDERACION</v>
      </c>
      <c r="JL110" s="207" t="str">
        <f>IFERROR(INDEX($A$2:$A$113,MATCH(ROWS($FP$2:FP110),$FP$2:$FP$113,0)),"")</f>
        <v>A CONSIDERACION</v>
      </c>
      <c r="JM110" s="207" t="str">
        <f>IFERROR(INDEX($A$2:$A$113,MATCH(ROWS($FQ$2:FQ110),$FQ$2:$FQ$113,0)),"")</f>
        <v>A CONSIDERACION</v>
      </c>
      <c r="JN110" s="207" t="str">
        <f>IFERROR(INDEX($A$2:$A$113,MATCH(ROWS($FR$2:FR110),$FR$2:$FR$113,0)),"")</f>
        <v>A CONSIDERACION</v>
      </c>
      <c r="JO110" s="207" t="str">
        <f>IFERROR(INDEX($A$2:$A$113,MATCH(ROWS($FS$2:FS110),$FS$2:$FS$113,0)),"")</f>
        <v>A CONSIDERACION</v>
      </c>
      <c r="JP110" s="207" t="str">
        <f>IFERROR(INDEX($A$2:$A$113,MATCH(ROWS($FT$2:FT110),$FT$2:$FT$113,0)),"")</f>
        <v>A CONSIDERACION</v>
      </c>
      <c r="JQ110" s="207" t="str">
        <f>IFERROR(INDEX($A$2:$A$113,MATCH(ROWS($FU$2:FU110),$FU$2:$FU$113,0)),"")</f>
        <v>A CONSIDERACION</v>
      </c>
      <c r="JR110" s="207" t="str">
        <f>IFERROR(INDEX($A$2:$A$113,MATCH(ROWS($FV$2:FV110),$FV$2:$FV$113,0)),"")</f>
        <v>A CONSIDERACION</v>
      </c>
      <c r="JS110" s="207" t="str">
        <f>IFERROR(INDEX($A$2:$A$113,MATCH(ROWS($FW$2:FW110),$FW$2:$FW$113,0)),"")</f>
        <v>A CONSIDERACION</v>
      </c>
      <c r="JT110" s="207" t="str">
        <f>IFERROR(INDEX($A$2:$A$113,MATCH(ROWS($FX$2:FX110),$FX$2:$FX$113,0)),"")</f>
        <v>A CONSIDERACION</v>
      </c>
      <c r="JU110" s="207" t="str">
        <f>IFERROR(INDEX($A$2:$A$113,MATCH(ROWS($FY$2:FY110),$FY$2:$FY$113,0)),"")</f>
        <v>A CONSIDERACION</v>
      </c>
      <c r="JV110" s="207" t="str">
        <f>IFERROR(INDEX($A$2:$A$113,MATCH(ROWS($FZ$2:FZ110),$FZ$2:$FZ$113,0)),"")</f>
        <v>A CONSIDERACION</v>
      </c>
      <c r="JW110" s="207" t="str">
        <f>IFERROR(INDEX($A$2:$A$113,MATCH(ROWS($GA$2:GA110),$GA$2:$GA$113,0)),"")</f>
        <v>A CONSIDERACION</v>
      </c>
      <c r="JX110" s="207" t="str">
        <f>IFERROR(INDEX($A$2:$A$113,MATCH(ROWS($GB$2:GB110),$GB$2:$GB$113,0)),"")</f>
        <v>A CONSIDERACION</v>
      </c>
      <c r="JY110" s="207" t="str">
        <f>IFERROR(INDEX($A$2:$A$113,MATCH(ROWS($GC$2:GC110),$GC$2:$GC$113,0)),"")</f>
        <v>A CONSIDERACION</v>
      </c>
      <c r="JZ110" s="207" t="str">
        <f>IFERROR(INDEX($A$2:$A$113,MATCH(ROWS($GD$2:GD110),$GD$2:$GD$113,0)),"")</f>
        <v>A CONSIDERACION</v>
      </c>
      <c r="KA110" s="207" t="str">
        <f>IFERROR(INDEX($A$2:$A$113,MATCH(ROWS($GE$2:GE110),$GE$2:$GE$113,0)),"")</f>
        <v>A CONSIDERACION</v>
      </c>
      <c r="KB110" s="207" t="str">
        <f>IFERROR(INDEX($A$2:$A$113,MATCH(ROWS($GF$2:GF110),$GF$2:$GF$113,0)),"")</f>
        <v>A CONSIDERACION</v>
      </c>
      <c r="KC110" s="207" t="str">
        <f>IFERROR(INDEX($A$2:$A$113,MATCH(ROWS($GG$2:GG110),$GG$2:$GG$113,0)),"")</f>
        <v>A CONSIDERACION</v>
      </c>
      <c r="KD110" s="207" t="str">
        <f>IFERROR(INDEX($A$2:$A$113,MATCH(ROWS($GH$2:GH110),$GH$2:$GH$113,0)),"")</f>
        <v>A CONSIDERACION</v>
      </c>
      <c r="KE110" s="207" t="str">
        <f>IFERROR(INDEX($A$2:$A$113,MATCH(ROWS($GI$2:GI110),$GI$2:$GI$113,0)),"")</f>
        <v>A CONSIDERACION</v>
      </c>
      <c r="KF110" s="207" t="str">
        <f>IFERROR(INDEX($A$2:$A$113,MATCH(ROWS($GJ$2:GJ110),$GJ$2:$GJ$113,0)),"")</f>
        <v>A CONSIDERACION</v>
      </c>
      <c r="KG110" s="207" t="str">
        <f>IFERROR(INDEX($A$2:$A$113,MATCH(ROWS($GK$2:GK110),$GK$2:$GK$113,0)),"")</f>
        <v>A CONSIDERACION</v>
      </c>
      <c r="KH110" s="207" t="str">
        <f>IFERROR(INDEX($A$2:$A$113,MATCH(ROWS($GL$2:GL110),$GL$2:$GL$113,0)),"")</f>
        <v>A CONSIDERACION</v>
      </c>
      <c r="KI110" s="207" t="str">
        <f>IFERROR(INDEX($A$2:$A$113,MATCH(ROWS($GM$2:GM110),$GM$2:$GM$113,0)),"")</f>
        <v>A CONSIDERACION</v>
      </c>
      <c r="KJ110" s="207" t="str">
        <f>IFERROR(INDEX($A$2:$A$113,MATCH(ROWS($GN$2:GN110),$GN$2:$GN$113,0)),"")</f>
        <v>A CONSIDERACION</v>
      </c>
      <c r="KK110" s="207" t="str">
        <f>IFERROR(INDEX($A$2:$A$113,MATCH(ROWS($GO$2:GO110),$GO$2:$GO$113,0)),"")</f>
        <v>A CONSIDERACION</v>
      </c>
      <c r="KL110" s="207" t="str">
        <f>IFERROR(INDEX($A$2:$A$113,MATCH(ROWS($GP$2:GP110),$GP$2:$GP$113,0)),"")</f>
        <v>A CONSIDERACION</v>
      </c>
      <c r="KM110" s="207" t="str">
        <f>IFERROR(INDEX($A$2:$A$113,MATCH(ROWS($GQ$2:GQ110),$GQ$2:$GQ$113,0)),"")</f>
        <v>A CONSIDERACION</v>
      </c>
      <c r="KN110" s="207" t="str">
        <f>IFERROR(INDEX($A$2:$A$113,MATCH(ROWS($GR$2:GR110),$GR$2:$GR$113,0)),"")</f>
        <v>A CONSIDERACION</v>
      </c>
      <c r="KO110" s="207" t="str">
        <f>IFERROR(INDEX($A$2:$A$113,MATCH(ROWS($GS$2:GS110),$GS$2:$GS$113,0)),"")</f>
        <v>A CONSIDERACION</v>
      </c>
      <c r="KP110" s="207" t="str">
        <f>IFERROR(INDEX($A$2:$A$113,MATCH(ROWS($GT$2:GT110),$GT$2:$GT$113,0)),"")</f>
        <v>A CONSIDERACION</v>
      </c>
      <c r="KQ110" s="207" t="str">
        <f>IFERROR(INDEX($A$2:$A$113,MATCH(ROWS($GU$2:GU110),$GU$2:$GU$113,0)),"")</f>
        <v>A CONSIDERACION</v>
      </c>
      <c r="KR110" s="207" t="str">
        <f>IFERROR(INDEX($A$2:$A$113,MATCH(ROWS($GV$2:GV110),$GV$2:$GV$113,0)),"")</f>
        <v>A CONSIDERACION</v>
      </c>
      <c r="KS110" s="207" t="str">
        <f>IFERROR(INDEX($A$2:$A$113,MATCH(ROWS($GW$2:GW110),$GW$2:$GW$113,0)),"")</f>
        <v>A CONSIDERACION</v>
      </c>
    </row>
    <row r="111" spans="1:305" x14ac:dyDescent="0.25">
      <c r="A111" s="206" t="s">
        <v>1101</v>
      </c>
      <c r="F111" s="207">
        <f>--ISNUMBER(IFERROR(SEARCH('PLANILLA DJ'!$X$3,$A111,1),""))</f>
        <v>1</v>
      </c>
      <c r="G111" s="207">
        <f>--ISNUMBER(IFERROR(SEARCH('PLANILLA DJ'!$X$4,$A111,1),""))</f>
        <v>1</v>
      </c>
      <c r="H111" s="207">
        <f>--ISNUMBER(IFERROR(SEARCH('PLANILLA DJ'!$X$5,$A111,1),""))</f>
        <v>1</v>
      </c>
      <c r="I111" s="207">
        <f>--ISNUMBER(IFERROR(SEARCH('PLANILLA DJ'!$X$6,$A111,1),""))</f>
        <v>1</v>
      </c>
      <c r="J111" s="207">
        <f>--ISNUMBER(IFERROR(SEARCH('PLANILLA DJ'!$X$7,$A111,1),""))</f>
        <v>1</v>
      </c>
      <c r="K111" s="207">
        <f>--ISNUMBER(IFERROR(SEARCH('PLANILLA DJ'!$X$8,$A111,1),""))</f>
        <v>1</v>
      </c>
      <c r="L111" s="207">
        <f>--ISNUMBER(IFERROR(SEARCH('PLANILLA DJ'!$X$9,$A111,1),""))</f>
        <v>1</v>
      </c>
      <c r="M111" s="207">
        <f>--ISNUMBER(IFERROR(SEARCH('PLANILLA DJ'!$X$10,$A111,1),""))</f>
        <v>1</v>
      </c>
      <c r="N111" s="207">
        <f>--ISNUMBER(IFERROR(SEARCH('PLANILLA DJ'!$X$11,$A111,1),""))</f>
        <v>1</v>
      </c>
      <c r="O111" s="207">
        <f>--ISNUMBER(IFERROR(SEARCH('PLANILLA DJ'!$X$12,$A111,1),""))</f>
        <v>1</v>
      </c>
      <c r="P111" s="207">
        <f>--ISNUMBER(IFERROR(SEARCH('PLANILLA DJ'!$X$13,$A111,1),""))</f>
        <v>1</v>
      </c>
      <c r="Q111" s="207">
        <f>--ISNUMBER(IFERROR(SEARCH('PLANILLA DJ'!$X$14,$A111,1),""))</f>
        <v>1</v>
      </c>
      <c r="R111" s="207">
        <f>--ISNUMBER(IFERROR(SEARCH('PLANILLA DJ'!$X$15,$A111,1),""))</f>
        <v>1</v>
      </c>
      <c r="S111" s="207">
        <f>--ISNUMBER(IFERROR(SEARCH('PLANILLA DJ'!$X$16,$A111,1),""))</f>
        <v>1</v>
      </c>
      <c r="T111" s="207">
        <f>--ISNUMBER(IFERROR(SEARCH('PLANILLA DJ'!$X$17,$A111,1),""))</f>
        <v>1</v>
      </c>
      <c r="U111" s="207">
        <f>--ISNUMBER(IFERROR(SEARCH('PLANILLA DJ'!$X$18,$A111,1),""))</f>
        <v>1</v>
      </c>
      <c r="V111" s="207">
        <f>--ISNUMBER(IFERROR(SEARCH('PLANILLA DJ'!$X$19,$A111,1),""))</f>
        <v>1</v>
      </c>
      <c r="W111" s="207">
        <f>--ISNUMBER(IFERROR(SEARCH('PLANILLA DJ'!$X$20,$A111,1),""))</f>
        <v>1</v>
      </c>
      <c r="X111" s="207">
        <f>--ISNUMBER(IFERROR(SEARCH('PLANILLA DJ'!$X$21,$A111,1),""))</f>
        <v>1</v>
      </c>
      <c r="Y111" s="207">
        <f>--ISNUMBER(IFERROR(SEARCH('PLANILLA DJ'!$X$22,$A111,1),""))</f>
        <v>1</v>
      </c>
      <c r="Z111" s="207">
        <f>--ISNUMBER(IFERROR(SEARCH('PLANILLA DJ'!$X$23,$A111,1),""))</f>
        <v>1</v>
      </c>
      <c r="AA111" s="207">
        <f>--ISNUMBER(IFERROR(SEARCH('PLANILLA DJ'!$X$24,$A111,1),""))</f>
        <v>1</v>
      </c>
      <c r="AB111" s="207">
        <f>--ISNUMBER(IFERROR(SEARCH('PLANILLA DJ'!$X$25,$A111,1),""))</f>
        <v>1</v>
      </c>
      <c r="AC111" s="207">
        <f>--ISNUMBER(IFERROR(SEARCH('PLANILLA DJ'!$X$26,$A111,1),""))</f>
        <v>1</v>
      </c>
      <c r="AD111" s="207">
        <f>--ISNUMBER(IFERROR(SEARCH('PLANILLA DJ'!$X$27,$A111,1),""))</f>
        <v>1</v>
      </c>
      <c r="AE111" s="207">
        <f>--ISNUMBER(IFERROR(SEARCH('PLANILLA DJ'!$X$28,$A111,1),""))</f>
        <v>1</v>
      </c>
      <c r="AF111" s="207">
        <f>--ISNUMBER(IFERROR(SEARCH('PLANILLA DJ'!$X$29,$A111,1),""))</f>
        <v>1</v>
      </c>
      <c r="AG111" s="207">
        <f>--ISNUMBER(IFERROR(SEARCH('PLANILLA DJ'!$X$30,$A111,1),""))</f>
        <v>1</v>
      </c>
      <c r="AH111" s="207">
        <f>--ISNUMBER(IFERROR(SEARCH('PLANILLA DJ'!$X$31,$A111,1),""))</f>
        <v>1</v>
      </c>
      <c r="AI111" s="207">
        <f>--ISNUMBER(IFERROR(SEARCH('PLANILLA DJ'!$X$32,$A111,1),""))</f>
        <v>1</v>
      </c>
      <c r="AJ111" s="207">
        <f>--ISNUMBER(IFERROR(SEARCH('PLANILLA DJ'!$X$33,$A111,1),""))</f>
        <v>1</v>
      </c>
      <c r="AK111" s="207">
        <f>--ISNUMBER(IFERROR(SEARCH('PLANILLA DJ'!$X$34,$A111,1),""))</f>
        <v>1</v>
      </c>
      <c r="AL111" s="207">
        <f>--ISNUMBER(IFERROR(SEARCH('PLANILLA DJ'!$X$35,$A111,1),""))</f>
        <v>1</v>
      </c>
      <c r="AM111" s="207">
        <f>--ISNUMBER(IFERROR(SEARCH('PLANILLA DJ'!$X$36,$A111,1),""))</f>
        <v>1</v>
      </c>
      <c r="AN111" s="207">
        <f>--ISNUMBER(IFERROR(SEARCH('PLANILLA DJ'!$X$37,$A111,1),""))</f>
        <v>1</v>
      </c>
      <c r="AO111" s="207">
        <f>--ISNUMBER(IFERROR(SEARCH('PLANILLA DJ'!$X$38,$A111,1),""))</f>
        <v>1</v>
      </c>
      <c r="AP111" s="207">
        <f>--ISNUMBER(IFERROR(SEARCH('PLANILLA DJ'!$X$39,$A111,1),""))</f>
        <v>1</v>
      </c>
      <c r="AQ111" s="207">
        <f>--ISNUMBER(IFERROR(SEARCH('PLANILLA DJ'!$X$40,$A111,1),""))</f>
        <v>1</v>
      </c>
      <c r="AR111" s="207">
        <f>--ISNUMBER(IFERROR(SEARCH('PLANILLA DJ'!$X$41,$A111,1),""))</f>
        <v>1</v>
      </c>
      <c r="AS111" s="207">
        <f>--ISNUMBER(IFERROR(SEARCH('PLANILLA DJ'!$X$42,$A111,1),""))</f>
        <v>1</v>
      </c>
      <c r="AT111" s="207">
        <f>--ISNUMBER(IFERROR(SEARCH('PLANILLA DJ'!$X$43,$A111,1),""))</f>
        <v>1</v>
      </c>
      <c r="AU111" s="207">
        <f>--ISNUMBER(IFERROR(SEARCH('PLANILLA DJ'!$X$44,$A111,1),""))</f>
        <v>1</v>
      </c>
      <c r="AV111" s="207">
        <f>--ISNUMBER(IFERROR(SEARCH('PLANILLA DJ'!$X$45,$A111,1),""))</f>
        <v>1</v>
      </c>
      <c r="AW111" s="207">
        <f>--ISNUMBER(IFERROR(SEARCH('PLANILLA DJ'!$X$46,$A111,1),""))</f>
        <v>1</v>
      </c>
      <c r="AX111" s="207">
        <f>--ISNUMBER(IFERROR(SEARCH('PLANILLA DJ'!$X$47,$A111,1),""))</f>
        <v>1</v>
      </c>
      <c r="AY111" s="207">
        <f>--ISNUMBER(IFERROR(SEARCH('PLANILLA DJ'!$X$48,$A111,1),""))</f>
        <v>1</v>
      </c>
      <c r="AZ111" s="207">
        <f>--ISNUMBER(IFERROR(SEARCH('PLANILLA DJ'!$X$49,$A111,1),""))</f>
        <v>1</v>
      </c>
      <c r="BA111" s="207">
        <f>--ISNUMBER(IFERROR(SEARCH('PLANILLA DJ'!$X$50,$A111,1),""))</f>
        <v>1</v>
      </c>
      <c r="BB111" s="207">
        <f>--ISNUMBER(IFERROR(SEARCH('PLANILLA DJ'!$X$51,$A111,1),""))</f>
        <v>1</v>
      </c>
      <c r="BC111" s="207">
        <f>--ISNUMBER(IFERROR(SEARCH('PLANILLA DJ'!$X$52,$A111,1),""))</f>
        <v>1</v>
      </c>
      <c r="BD111" s="207">
        <f>--ISNUMBER(IFERROR(SEARCH('PLANILLA DJ'!$X$53,$A111,1),""))</f>
        <v>1</v>
      </c>
      <c r="BE111" s="207">
        <f>--ISNUMBER(IFERROR(SEARCH('PLANILLA DJ'!$X$54,$A111,1),""))</f>
        <v>1</v>
      </c>
      <c r="BF111" s="207">
        <f>--ISNUMBER(IFERROR(SEARCH('PLANILLA DJ'!$X$55,$A111,1),""))</f>
        <v>1</v>
      </c>
      <c r="BG111" s="207">
        <f>--ISNUMBER(IFERROR(SEARCH('PLANILLA DJ'!$X$56,$A111,1),""))</f>
        <v>1</v>
      </c>
      <c r="BH111" s="207">
        <f>--ISNUMBER(IFERROR(SEARCH('PLANILLA DJ'!$X$57,$A111,1),""))</f>
        <v>1</v>
      </c>
      <c r="BI111" s="207">
        <f>--ISNUMBER(IFERROR(SEARCH('PLANILLA DJ'!$X$58,$A111,1),""))</f>
        <v>1</v>
      </c>
      <c r="BJ111" s="207">
        <f>--ISNUMBER(IFERROR(SEARCH('PLANILLA DJ'!$X$59,$A111,1),""))</f>
        <v>1</v>
      </c>
      <c r="BK111" s="207">
        <f>--ISNUMBER(IFERROR(SEARCH('PLANILLA DJ'!$X$60,$A111,1),""))</f>
        <v>1</v>
      </c>
      <c r="BL111" s="207">
        <f>--ISNUMBER(IFERROR(SEARCH('PLANILLA DJ'!$X$61,$A111,1),""))</f>
        <v>1</v>
      </c>
      <c r="BM111" s="207">
        <f>--ISNUMBER(IFERROR(SEARCH('PLANILLA DJ'!$X$62,$A111,1),""))</f>
        <v>1</v>
      </c>
      <c r="BN111" s="207">
        <f>--ISNUMBER(IFERROR(SEARCH('PLANILLA DJ'!$X$63,$A111,1),""))</f>
        <v>1</v>
      </c>
      <c r="BO111" s="207">
        <f>--ISNUMBER(IFERROR(SEARCH('PLANILLA DJ'!$X$64,$A111,1),""))</f>
        <v>1</v>
      </c>
      <c r="BP111" s="207">
        <f>--ISNUMBER(IFERROR(SEARCH('PLANILLA DJ'!$X$65,$A111,1),""))</f>
        <v>1</v>
      </c>
      <c r="BQ111" s="207">
        <f>--ISNUMBER(IFERROR(SEARCH('PLANILLA DJ'!$X$66,$A111,1),""))</f>
        <v>1</v>
      </c>
      <c r="BR111" s="207">
        <f>--ISNUMBER(IFERROR(SEARCH('PLANILLA DJ'!$X$67,$A111,1),""))</f>
        <v>1</v>
      </c>
      <c r="BS111" s="207">
        <f>--ISNUMBER(IFERROR(SEARCH('PLANILLA DJ'!$X$68,$A111,1),""))</f>
        <v>1</v>
      </c>
      <c r="BT111" s="207">
        <f>--ISNUMBER(IFERROR(SEARCH('PLANILLA DJ'!$X$69,$A111,1),""))</f>
        <v>1</v>
      </c>
      <c r="BU111" s="207">
        <f>--ISNUMBER(IFERROR(SEARCH('PLANILLA DJ'!$X$70,$A111,1),""))</f>
        <v>1</v>
      </c>
      <c r="BV111" s="207">
        <f>--ISNUMBER(IFERROR(SEARCH('PLANILLA DJ'!$X$71,$A111,1),""))</f>
        <v>1</v>
      </c>
      <c r="BW111" s="207">
        <f>--ISNUMBER(IFERROR(SEARCH('PLANILLA DJ'!$X$72,$A111,1),""))</f>
        <v>1</v>
      </c>
      <c r="BX111" s="207">
        <f>--ISNUMBER(IFERROR(SEARCH('PLANILLA DJ'!$X$73,$A111,1),""))</f>
        <v>1</v>
      </c>
      <c r="BY111" s="207">
        <f>--ISNUMBER(IFERROR(SEARCH('PLANILLA DJ'!$X$74,$A111,1),""))</f>
        <v>1</v>
      </c>
      <c r="BZ111" s="207">
        <f>--ISNUMBER(IFERROR(SEARCH('PLANILLA DJ'!$X$75,$A111,1),""))</f>
        <v>1</v>
      </c>
      <c r="CA111" s="207">
        <f>--ISNUMBER(IFERROR(SEARCH('PLANILLA DJ'!$X$76,$A111,1),""))</f>
        <v>1</v>
      </c>
      <c r="CB111" s="207">
        <f>--ISNUMBER(IFERROR(SEARCH('PLANILLA DJ'!$X$77,$A111,1),""))</f>
        <v>1</v>
      </c>
      <c r="CC111" s="207">
        <f>--ISNUMBER(IFERROR(SEARCH('PLANILLA DJ'!$X$78,$A111,1),""))</f>
        <v>1</v>
      </c>
      <c r="CD111" s="207">
        <f>--ISNUMBER(IFERROR(SEARCH('PLANILLA DJ'!$X$79,$A111,1),""))</f>
        <v>1</v>
      </c>
      <c r="CE111" s="207">
        <f>--ISNUMBER(IFERROR(SEARCH('PLANILLA DJ'!$X$80,$A111,1),""))</f>
        <v>1</v>
      </c>
      <c r="CF111" s="207">
        <f>--ISNUMBER(IFERROR(SEARCH('PLANILLA DJ'!$X$81,$A111,1),""))</f>
        <v>1</v>
      </c>
      <c r="CG111" s="207">
        <f>--ISNUMBER(IFERROR(SEARCH('PLANILLA DJ'!$X$82,$A111,1),""))</f>
        <v>1</v>
      </c>
      <c r="CH111" s="207">
        <f>--ISNUMBER(IFERROR(SEARCH('PLANILLA DJ'!$X$83,$A111,1),""))</f>
        <v>1</v>
      </c>
      <c r="CI111" s="207">
        <f>--ISNUMBER(IFERROR(SEARCH('PLANILLA DJ'!$X$84,$A111,1),""))</f>
        <v>1</v>
      </c>
      <c r="CJ111" s="207">
        <f>--ISNUMBER(IFERROR(SEARCH('PLANILLA DJ'!$X$85,$A111,1),""))</f>
        <v>1</v>
      </c>
      <c r="CK111" s="207">
        <f>--ISNUMBER(IFERROR(SEARCH('PLANILLA DJ'!$X$86,$A111,1),""))</f>
        <v>1</v>
      </c>
      <c r="CL111" s="207">
        <f>--ISNUMBER(IFERROR(SEARCH('PLANILLA DJ'!$X$87,$A111,1),""))</f>
        <v>1</v>
      </c>
      <c r="CM111" s="207">
        <f>--ISNUMBER(IFERROR(SEARCH('PLANILLA DJ'!$X$88,$A111,1),""))</f>
        <v>1</v>
      </c>
      <c r="CN111" s="207">
        <f>--ISNUMBER(IFERROR(SEARCH('PLANILLA DJ'!$X$89,$A111,1),""))</f>
        <v>1</v>
      </c>
      <c r="CO111" s="207">
        <f>--ISNUMBER(IFERROR(SEARCH('PLANILLA DJ'!$X$90,$A111,1),""))</f>
        <v>1</v>
      </c>
      <c r="CP111" s="207">
        <f>--ISNUMBER(IFERROR(SEARCH('PLANILLA DJ'!$X$91,$A111,1),""))</f>
        <v>1</v>
      </c>
      <c r="CQ111" s="207">
        <f>--ISNUMBER(IFERROR(SEARCH('PLANILLA DJ'!$X$92,$A111,1),""))</f>
        <v>1</v>
      </c>
      <c r="CR111" s="207">
        <f>--ISNUMBER(IFERROR(SEARCH('PLANILLA DJ'!$X$93,$A111,1),""))</f>
        <v>1</v>
      </c>
      <c r="CS111" s="207">
        <f>--ISNUMBER(IFERROR(SEARCH('PLANILLA DJ'!$X$94,$A111,1),""))</f>
        <v>1</v>
      </c>
      <c r="CT111" s="207">
        <f>--ISNUMBER(IFERROR(SEARCH('PLANILLA DJ'!$X$95,$A111,1),""))</f>
        <v>1</v>
      </c>
      <c r="CU111" s="207">
        <f>--ISNUMBER(IFERROR(SEARCH('PLANILLA DJ'!$X$96,$A111,1),""))</f>
        <v>1</v>
      </c>
      <c r="CV111" s="207">
        <f>--ISNUMBER(IFERROR(SEARCH('PLANILLA DJ'!$X$97,$A111,1),""))</f>
        <v>1</v>
      </c>
      <c r="CW111" s="207">
        <f>--ISNUMBER(IFERROR(SEARCH('PLANILLA DJ'!$X$98,$A111,1),""))</f>
        <v>1</v>
      </c>
      <c r="CX111" s="207">
        <f>--ISNUMBER(IFERROR(SEARCH('PLANILLA DJ'!$X$99,$A111,1),""))</f>
        <v>1</v>
      </c>
      <c r="CY111" s="207">
        <f>--ISNUMBER(IFERROR(SEARCH('PLANILLA DJ'!$X$100,$A111,1),""))</f>
        <v>1</v>
      </c>
      <c r="CZ111" s="207">
        <f>--ISNUMBER(IFERROR(SEARCH('PLANILLA DJ'!$X$101,$A111,1),""))</f>
        <v>1</v>
      </c>
      <c r="DA111" s="207">
        <f>--ISNUMBER(IFERROR(SEARCH('PLANILLA DJ'!$X$102,$A111,1),""))</f>
        <v>1</v>
      </c>
      <c r="DB111" s="206">
        <f>IF(F111=1,COUNTIF($F$2:F111,1),"")</f>
        <v>110</v>
      </c>
      <c r="DC111" s="206">
        <f>IF(G111=1,COUNTIF($G$2:G111,1),"")</f>
        <v>110</v>
      </c>
      <c r="DD111" s="206">
        <f>IF(H111=1,COUNTIF($H$2:H111,1),"")</f>
        <v>110</v>
      </c>
      <c r="DE111" s="206">
        <f>IF(I111=1,COUNTIF($I$2:I111,1),"")</f>
        <v>110</v>
      </c>
      <c r="DF111" s="206">
        <f>IF(J111=1,COUNTIF($J$2:J111,1),"")</f>
        <v>110</v>
      </c>
      <c r="DG111" s="206">
        <f>IF(K111=1,COUNTIF($K$2:K111,1),"")</f>
        <v>110</v>
      </c>
      <c r="DH111" s="206">
        <f>IF(L111=1,COUNTIF($L$2:L111,1),"")</f>
        <v>110</v>
      </c>
      <c r="DI111" s="206">
        <f>IF(M111=1,COUNTIF($M$2:M111,1),"")</f>
        <v>110</v>
      </c>
      <c r="DJ111" s="206">
        <f>IF(N111=1,COUNTIF($N$2:N111,1),"")</f>
        <v>110</v>
      </c>
      <c r="DK111" s="206">
        <f>IF(O111=1,COUNTIF($O$2:O111,1),"")</f>
        <v>110</v>
      </c>
      <c r="DL111" s="206">
        <f>IF(P111=1,COUNTIF($P$2:P111,1),"")</f>
        <v>110</v>
      </c>
      <c r="DM111" s="206">
        <f>IF(Q111=1,COUNTIF($Q$2:Q111,1),"")</f>
        <v>110</v>
      </c>
      <c r="DN111" s="207">
        <f>IF(R111=1,COUNTIF($R$2:R111,1),"")</f>
        <v>110</v>
      </c>
      <c r="DO111" s="207">
        <f>IF(S111=1,COUNTIF($S$2:S111,1),"")</f>
        <v>110</v>
      </c>
      <c r="DP111" s="207">
        <f>IF(T111=1,COUNTIF($T$2:T111,1),"")</f>
        <v>110</v>
      </c>
      <c r="DQ111" s="207">
        <f>IF(U111=1,COUNTIF($U$2:U111,1),"")</f>
        <v>110</v>
      </c>
      <c r="DR111" s="207">
        <f>IF(V111=1,COUNTIF($V$2:V111,1),"")</f>
        <v>110</v>
      </c>
      <c r="DS111" s="207">
        <f>IF(W111=1,COUNTIF($W$2:W111,1),"")</f>
        <v>110</v>
      </c>
      <c r="DT111" s="207">
        <f>IF(X111=1,COUNTIF($X$2:X111,1),"")</f>
        <v>110</v>
      </c>
      <c r="DU111" s="207">
        <f>IF(Y111=1,COUNTIF($Y$2:Y111,1),"")</f>
        <v>110</v>
      </c>
      <c r="DV111" s="207">
        <f>IF(Z111=1,COUNTIF(Z$2:Z111,1),"")</f>
        <v>110</v>
      </c>
      <c r="DW111" s="207">
        <f>IF(AA111=1,COUNTIF($AA$2:AA111,1),"")</f>
        <v>110</v>
      </c>
      <c r="DX111" s="207">
        <f>IF(AB111=1,COUNTIF($AB$2:AB111,1),"")</f>
        <v>110</v>
      </c>
      <c r="DY111" s="207">
        <f>IF(AC111=1,COUNTIF($AC$2:AC111,1),"")</f>
        <v>110</v>
      </c>
      <c r="DZ111" s="207">
        <f>IF(AD111=1,COUNTIF($AD$2:AD111,1),"")</f>
        <v>110</v>
      </c>
      <c r="EA111" s="207">
        <f>IF(AE111=1,COUNTIF($AE$2:AE111,1),"")</f>
        <v>110</v>
      </c>
      <c r="EB111" s="207">
        <f>IF(AF111=1,COUNTIF($AF$2:AF111,1),"")</f>
        <v>110</v>
      </c>
      <c r="EC111" s="207">
        <f>IF(AG111=1,COUNTIF($AG$2:AG111,1),"")</f>
        <v>110</v>
      </c>
      <c r="ED111" s="207">
        <f>IF(AH111=1,COUNTIF($AH$2:AH111,1),"")</f>
        <v>110</v>
      </c>
      <c r="EE111" s="207">
        <f>IF(AI111=1,COUNTIF($AI$2:AI111,1),"")</f>
        <v>110</v>
      </c>
      <c r="EF111" s="207">
        <f>IF(AJ111=1,COUNTIF($AJ$2:AJ111,1),"")</f>
        <v>110</v>
      </c>
      <c r="EG111" s="207">
        <f>IF(AK111=1,COUNTIF($AK$2:AK111,1),"")</f>
        <v>110</v>
      </c>
      <c r="EH111" s="207">
        <f>IF(AL111=1,COUNTIF($AL$2:AL111,1),"")</f>
        <v>110</v>
      </c>
      <c r="EI111" s="207">
        <f>IF(AM111=1,COUNTIF($AM$2:AM111,1),"")</f>
        <v>110</v>
      </c>
      <c r="EJ111" s="207">
        <f>IF(AN111=1,COUNTIF($AN$2:AN111,1),"")</f>
        <v>110</v>
      </c>
      <c r="EK111" s="207">
        <f>IF(AO111=1,COUNTIF($AO$2:AO111,1),"")</f>
        <v>110</v>
      </c>
      <c r="EL111" s="207">
        <f>IF(AP111=1,COUNTIF($AP$2:AP111,1),"")</f>
        <v>110</v>
      </c>
      <c r="EM111" s="207">
        <f>IF(AQ111=1,COUNTIF($AQ$2:AQ111,1),"")</f>
        <v>110</v>
      </c>
      <c r="EN111" s="207">
        <f>IF(AR111=1,COUNTIF($AR$2:AR111,1),"")</f>
        <v>110</v>
      </c>
      <c r="EO111" s="207">
        <f>IF(AS111=1,COUNTIF($AS$2:AS111,1),"")</f>
        <v>110</v>
      </c>
      <c r="EP111" s="207">
        <f>IF(AT111=1,COUNTIF($AT$2:AT111,1),"")</f>
        <v>110</v>
      </c>
      <c r="EQ111" s="207">
        <f>IF(AU111=1,COUNTIF($AU$2:AU111,1),"")</f>
        <v>110</v>
      </c>
      <c r="ER111" s="207">
        <f>IF(AV111=1,COUNTIF($AV$2:AV111,1),"")</f>
        <v>110</v>
      </c>
      <c r="ES111" s="207">
        <f>IF(AW111=1,COUNTIF($AW$2:AW111,1),"")</f>
        <v>110</v>
      </c>
      <c r="ET111" s="207">
        <f>IF(AX111=1,COUNTIF($AX$2:AX111,1),"")</f>
        <v>110</v>
      </c>
      <c r="EU111" s="207">
        <f>IF(AY111=1,COUNTIF($AY$2:AY111,1),"")</f>
        <v>110</v>
      </c>
      <c r="EV111" s="207">
        <f>IF(AZ111=1,COUNTIF($AZ$2:AZ111,1),"")</f>
        <v>110</v>
      </c>
      <c r="EW111" s="207">
        <f>IF(BA111=1,COUNTIF($BA$2:BA111,1),"")</f>
        <v>110</v>
      </c>
      <c r="EX111" s="207">
        <f>IF(BB111=1,COUNTIF($BB$2:BB111,1),"")</f>
        <v>110</v>
      </c>
      <c r="EY111" s="207">
        <f>IF(BC111=1,COUNTIF($BC$2:BC111,1),"")</f>
        <v>110</v>
      </c>
      <c r="EZ111" s="207">
        <f>IF(BD111=1,COUNTIF($BD$2:BD111,1),"")</f>
        <v>110</v>
      </c>
      <c r="FA111" s="207">
        <f>IF(BE111=1,COUNTIF($BE$2:BE111,1),"")</f>
        <v>110</v>
      </c>
      <c r="FB111" s="207">
        <f>IF(BF111=1,COUNTIF($BF$2:BF111,1),"")</f>
        <v>110</v>
      </c>
      <c r="FC111" s="207">
        <f>IF(BG111=1,COUNTIF($BG$2:BG111,1),"")</f>
        <v>110</v>
      </c>
      <c r="FD111" s="207">
        <f>IF(BH111=1,COUNTIF($BH$2:BH111,1),"")</f>
        <v>110</v>
      </c>
      <c r="FE111" s="207">
        <f>IF(BI111=1,COUNTIF($BI$2:BI111,1),"")</f>
        <v>110</v>
      </c>
      <c r="FF111" s="207">
        <f>IF(BJ111=1,COUNTIF($BJ$2:BJ111,1),"")</f>
        <v>110</v>
      </c>
      <c r="FG111" s="207">
        <f>IF(BK111=1,COUNTIF($BK$2:BK111,1),"")</f>
        <v>110</v>
      </c>
      <c r="FH111" s="207">
        <f>IF(BL111=1,COUNTIF($BL$2:BL111,1),"")</f>
        <v>110</v>
      </c>
      <c r="FI111" s="207">
        <f>IF(BM111=1,COUNTIF($BM$2:BM111,1),"")</f>
        <v>110</v>
      </c>
      <c r="FJ111" s="207">
        <f>IF(BN111=1,COUNTIF($BN$2:BN111,1),"")</f>
        <v>110</v>
      </c>
      <c r="FK111" s="207">
        <f>IF(BO111=1,COUNTIF($BO$2:BO111,1),"")</f>
        <v>110</v>
      </c>
      <c r="FL111" s="207">
        <f>IF(BP111=1,COUNTIF($BP$2:BP111,1),"")</f>
        <v>110</v>
      </c>
      <c r="FM111" s="207">
        <f>IF(BQ111=1,COUNTIF($BQ$2:BQ111,1),"")</f>
        <v>110</v>
      </c>
      <c r="FN111" s="207">
        <f>IF(BR111=1,COUNTIF($BR$2:BR111,1),"")</f>
        <v>110</v>
      </c>
      <c r="FO111" s="207">
        <f>IF(BS111=1,COUNTIF($BS$2:BS111,1),"")</f>
        <v>110</v>
      </c>
      <c r="FP111" s="207">
        <f>IF(BT111=1,COUNTIF($BT$2:BT111,1),"")</f>
        <v>110</v>
      </c>
      <c r="FQ111" s="207">
        <f>IF(BU111=1,COUNTIF($BU$2:BU111,1),"")</f>
        <v>110</v>
      </c>
      <c r="FR111" s="207">
        <f>IF(BV111=1,COUNTIF($BV$2:BV111,1),"")</f>
        <v>110</v>
      </c>
      <c r="FS111" s="207">
        <f>IF(BW111=1,COUNTIF($BW$2:BW111,1),"")</f>
        <v>110</v>
      </c>
      <c r="FT111" s="207">
        <f>IF(BX111=1,COUNTIF($BX$2:BX111,1),"")</f>
        <v>110</v>
      </c>
      <c r="FU111" s="207">
        <f>IF(BY111=1,COUNTIF($BY$2:BY111,1),"")</f>
        <v>110</v>
      </c>
      <c r="FV111" s="207">
        <f>IF(BZ111=1,COUNTIF($BZ$2:BZ111,1),"")</f>
        <v>110</v>
      </c>
      <c r="FW111" s="207">
        <f>IF(CA111=1,COUNTIF($CA$2:CA111,1),"")</f>
        <v>110</v>
      </c>
      <c r="FX111" s="207">
        <f>IF(CB111=1,COUNTIF($CB$2:CB111,1),"")</f>
        <v>110</v>
      </c>
      <c r="FY111" s="207">
        <f>IF(CC111=1,COUNTIF($CC$2:CC111,1),"")</f>
        <v>110</v>
      </c>
      <c r="FZ111" s="207">
        <f>IF(CD111=1,COUNTIF($CD$2:CD111,1),"")</f>
        <v>110</v>
      </c>
      <c r="GA111" s="207">
        <f>IF(CE111=1,COUNTIF($CE$2:CE111,1),"")</f>
        <v>110</v>
      </c>
      <c r="GB111" s="207">
        <f>IF(CF111=1,COUNTIF($CF$2:CF111,1),"")</f>
        <v>110</v>
      </c>
      <c r="GC111" s="207">
        <f>IF(CG111=1,COUNTIF($CG$2:CG111,1),"")</f>
        <v>110</v>
      </c>
      <c r="GD111" s="207">
        <f>IF(CH111=1,COUNTIF($CH$2:CH111,1),"")</f>
        <v>110</v>
      </c>
      <c r="GE111" s="207">
        <f>IF(CI111=1,COUNTIF($CI$2:CI111,1),"")</f>
        <v>110</v>
      </c>
      <c r="GF111" s="207">
        <f>IF(CJ111=1,COUNTIF($CJ$2:CJ111,1),"")</f>
        <v>110</v>
      </c>
      <c r="GG111" s="207">
        <f>IF(CK111=1,COUNTIF($CK$2:CK111,1),"")</f>
        <v>110</v>
      </c>
      <c r="GH111" s="207">
        <f>IF(CL111=1,COUNTIF($CL$2:CL111,1),"")</f>
        <v>110</v>
      </c>
      <c r="GI111" s="207">
        <f>IF(CM111=1,COUNTIF($CM$2:CM111,1),"")</f>
        <v>110</v>
      </c>
      <c r="GJ111" s="207">
        <f>IF(CN111=1,COUNTIF($CN$2:CN111,1),"")</f>
        <v>110</v>
      </c>
      <c r="GK111" s="207">
        <f>IF(CO111=1,COUNTIF($CO$2:CO111,1),"")</f>
        <v>110</v>
      </c>
      <c r="GL111" s="207">
        <f>IF(CP111=1,COUNTIF($CP$2:CP111,1),"")</f>
        <v>110</v>
      </c>
      <c r="GM111" s="207">
        <f>IF(CQ111=1,COUNTIF($CQ$2:CQ111,1),"")</f>
        <v>110</v>
      </c>
      <c r="GN111" s="207">
        <f>IF(CR111=1,COUNTIF($CR$2:CR111,1),"")</f>
        <v>110</v>
      </c>
      <c r="GO111" s="207">
        <f>IF(CS111=1,COUNTIF($CS$2:CS111,1),"")</f>
        <v>110</v>
      </c>
      <c r="GP111" s="207">
        <f>IF(CT111=1,COUNTIF($CT$2:CT111,1),"")</f>
        <v>110</v>
      </c>
      <c r="GQ111" s="207">
        <f>IF(CU111=1,COUNTIF($CU$2:CU111,1),"")</f>
        <v>110</v>
      </c>
      <c r="GR111" s="207">
        <f>IF(CV111=1,COUNTIF($CV$2:CV111,1),"")</f>
        <v>110</v>
      </c>
      <c r="GS111" s="207">
        <f>IF(CW111=1,COUNTIF($CW$2:CW111,1),"")</f>
        <v>110</v>
      </c>
      <c r="GT111" s="207">
        <f>IF(CX111=1,COUNTIF($CX$2:CX111,1),"")</f>
        <v>110</v>
      </c>
      <c r="GU111" s="207">
        <f>IF(CY111=1,COUNTIF($CY$2:CY111,1),"")</f>
        <v>110</v>
      </c>
      <c r="GV111" s="207">
        <f>IF(CZ111=1,COUNTIF($CZ$2:CZ111,1),"")</f>
        <v>110</v>
      </c>
      <c r="GW111" s="207">
        <f>IF(DA111=1,COUNTIF($DA$2:DA111,1),"")</f>
        <v>110</v>
      </c>
      <c r="GX111" s="206" t="str">
        <f>IFERROR(INDEX($A$2:$A$113,MATCH(ROWS($DB$2:DB111),$DB$2:$DB$113,0)),"")</f>
        <v>MUERTE DUDOSA</v>
      </c>
      <c r="GY111" s="206" t="str">
        <f>IFERROR(INDEX($A$2:$A$113,MATCH(ROWS($DC$2:DC111),$DC$2:$DC$113,0)),"")</f>
        <v>MUERTE DUDOSA</v>
      </c>
      <c r="GZ111" s="206" t="str">
        <f>IFERROR(INDEX($A$2:$A$113,MATCH(ROWS($DD$2:DD111),$DD$2:$DD$113,0)),"")</f>
        <v>MUERTE DUDOSA</v>
      </c>
      <c r="HA111" s="206" t="str">
        <f>IFERROR(INDEX($A$2:$A$113,MATCH(ROWS($DE$2:DE111),$DE$2:$DE$113,0)),"")</f>
        <v>MUERTE DUDOSA</v>
      </c>
      <c r="HB111" s="206" t="str">
        <f>IFERROR(INDEX($A$2:$A$113,MATCH(ROWS($DF$2:DF111),$DF$2:$DF$113,0)),"")</f>
        <v>MUERTE DUDOSA</v>
      </c>
      <c r="HC111" s="206" t="str">
        <f>IFERROR(INDEX($A$2:$A$113,MATCH(ROWS($DG$2:DG111),$DG$2:$DG$113,0)),"")</f>
        <v>MUERTE DUDOSA</v>
      </c>
      <c r="HD111" s="206" t="str">
        <f>IFERROR(INDEX($A$2:$A$113,MATCH(ROWS($DH$2:DH111),$DH$2:$DH$113,0)),"")</f>
        <v>MUERTE DUDOSA</v>
      </c>
      <c r="HE111" s="206" t="str">
        <f>IFERROR(INDEX($A$2:$A$113,MATCH(ROWS($DI$2:DI111),$DI$2:$DI$113,0)),"")</f>
        <v>MUERTE DUDOSA</v>
      </c>
      <c r="HF111" s="206" t="str">
        <f>IFERROR(INDEX($A$2:$A$113,MATCH(ROWS($DJ$2:DJ111),$DJ$2:$DJ$113,0)),"")</f>
        <v>MUERTE DUDOSA</v>
      </c>
      <c r="HG111" s="206" t="str">
        <f>IFERROR(INDEX($A$2:$A$113,MATCH(ROWS($DK$2:DK111),$DK$2:$DK$113,0)),"")</f>
        <v>MUERTE DUDOSA</v>
      </c>
      <c r="HH111" s="206" t="str">
        <f>IFERROR(INDEX($A$2:$A$113,MATCH(ROWS($DL$2:DL111),$DL$2:$DL$113,0)),"")</f>
        <v>MUERTE DUDOSA</v>
      </c>
      <c r="HI111" s="206" t="str">
        <f>IFERROR(INDEX($A$2:$A$113,MATCH(ROWS($DM$2:DM111),$DM$2:$DM$113,0)),"")</f>
        <v>MUERTE DUDOSA</v>
      </c>
      <c r="HJ111" s="206" t="str">
        <f>IFERROR(INDEX($A$2:$A$113,MATCH(ROWS($DN$2:DN111),$DN$2:$DN$113,0)),"")</f>
        <v>MUERTE DUDOSA</v>
      </c>
      <c r="HK111" s="206" t="str">
        <f>IFERROR(INDEX($A$2:$A$113,MATCH(ROWS($DO$2:DO111),$DO$2:$DO$113,0)),"")</f>
        <v>MUERTE DUDOSA</v>
      </c>
      <c r="HL111" s="206" t="str">
        <f>IFERROR(INDEX($A$2:$A$113,MATCH(ROWS($DP$2:DP111),$DP$2:$DP$113,0)),"")</f>
        <v>MUERTE DUDOSA</v>
      </c>
      <c r="HM111" s="206" t="str">
        <f>IFERROR(INDEX($A$2:$A$113,MATCH(ROWS($DQ$2:DQ111),$DQ$2:$DQ$113,0)),"")</f>
        <v>MUERTE DUDOSA</v>
      </c>
      <c r="HN111" s="206" t="str">
        <f>IFERROR(INDEX($A$2:$A$113,MATCH(ROWS($DR$2:DR111),$DR$2:$DR$113,0)),"")</f>
        <v>MUERTE DUDOSA</v>
      </c>
      <c r="HO111" s="206" t="str">
        <f>IFERROR(INDEX($A$2:$A$113,MATCH(ROWS($DS$2:DS111),$DS$2:$DS$113,0)),"")</f>
        <v>MUERTE DUDOSA</v>
      </c>
      <c r="HP111" s="206" t="str">
        <f>IFERROR(INDEX($A$2:$A$113,MATCH(ROWS($DT$2:DT111),$DT$2:$DT$113,0)),"")</f>
        <v>MUERTE DUDOSA</v>
      </c>
      <c r="HQ111" s="206" t="str">
        <f>IFERROR(INDEX($A$2:$A$113,MATCH(ROWS($DU$2:DU111),$DU$2:$DU$113,0)),"")</f>
        <v>MUERTE DUDOSA</v>
      </c>
      <c r="HR111" s="206" t="str">
        <f>IFERROR(INDEX($A$2:$A$113,MATCH(ROWS($DV$2:DV111),$DV$2:$DV$113,0)),"")</f>
        <v>MUERTE DUDOSA</v>
      </c>
      <c r="HS111" s="206" t="str">
        <f>IFERROR(INDEX($A$2:$A$113,MATCH(ROWS($DW$2:DW111),$DW$2:$DW$113,0)),"")</f>
        <v>MUERTE DUDOSA</v>
      </c>
      <c r="HT111" s="206" t="str">
        <f>IFERROR(INDEX($A$2:$A$113,MATCH(ROWS($DX$2:DX111),$DX$2:$DX$113,0)),"")</f>
        <v>MUERTE DUDOSA</v>
      </c>
      <c r="HU111" s="206" t="str">
        <f>IFERROR(INDEX($A$2:$A$113,MATCH(ROWS($DY$2:DY111),$DY$2:$DY$113,0)),"")</f>
        <v>MUERTE DUDOSA</v>
      </c>
      <c r="HV111" s="206" t="str">
        <f>IFERROR(INDEX($A$2:$A$113,MATCH(ROWS($DZ$2:DZ111),$DZ$2:$DZ$113,0)),"")</f>
        <v>MUERTE DUDOSA</v>
      </c>
      <c r="HW111" s="206" t="str">
        <f>IFERROR(INDEX($A$2:$A$113,MATCH(ROWS($EA$2:EA111),$EA$2:$EA$113,0)),"")</f>
        <v>MUERTE DUDOSA</v>
      </c>
      <c r="HX111" s="206" t="str">
        <f>IFERROR(INDEX($A$2:$A$113,MATCH(ROWS($EB$2:EB111),$EB$2:$EB$113,0)),"")</f>
        <v>MUERTE DUDOSA</v>
      </c>
      <c r="HY111" s="206" t="str">
        <f>IFERROR(INDEX($A$2:$A$113,MATCH(ROWS($EC$2:EC111),$EC$2:$EC$113,0)),"")</f>
        <v>MUERTE DUDOSA</v>
      </c>
      <c r="HZ111" s="206" t="str">
        <f>IFERROR(INDEX($A$2:$A$113,MATCH(ROWS($ED$2:ED111),$ED$2:$ED$113,0)),"")</f>
        <v>MUERTE DUDOSA</v>
      </c>
      <c r="IA111" s="206" t="str">
        <f>IFERROR(INDEX($A$2:$A$113,MATCH(ROWS($EE$2:EE111),$EE$2:$EE$113,0)),"")</f>
        <v>MUERTE DUDOSA</v>
      </c>
      <c r="IB111" s="206" t="str">
        <f>IFERROR(INDEX($A$2:$A$113,MATCH(ROWS($EF$2:EF111),$EF$2:$EF$113,0)),"")</f>
        <v>MUERTE DUDOSA</v>
      </c>
      <c r="IC111" s="206" t="str">
        <f>IFERROR(INDEX($A$2:$A$113,MATCH(ROWS($EG$2:EG111),$EG$2:$EG$113,0)),"")</f>
        <v>MUERTE DUDOSA</v>
      </c>
      <c r="ID111" s="206" t="str">
        <f>IFERROR(INDEX($A$2:$A$113,MATCH(ROWS($EH$2:EH111),$EH$2:$EH$113,0)),"")</f>
        <v>MUERTE DUDOSA</v>
      </c>
      <c r="IE111" s="206" t="str">
        <f>IFERROR(INDEX($A$2:$A$113,MATCH(ROWS($EI$2:EI111),$EI$2:$EI$113,0)),"")</f>
        <v>MUERTE DUDOSA</v>
      </c>
      <c r="IF111" s="206" t="str">
        <f>IFERROR(INDEX($A$2:$A$113,MATCH(ROWS($EJ$2:EJ111),$EJ$2:$EJ$113,0)),"")</f>
        <v>MUERTE DUDOSA</v>
      </c>
      <c r="IG111" s="206" t="str">
        <f>IFERROR(INDEX($A$2:$A$113,MATCH(ROWS($EK$2:EK111),$EK$2:$EK$113,0)),"")</f>
        <v>MUERTE DUDOSA</v>
      </c>
      <c r="IH111" s="206" t="str">
        <f>IFERROR(INDEX($A$2:$A$113,MATCH(ROWS($EL$2:EL111),$EL$2:$EL$113,0)),"")</f>
        <v>MUERTE DUDOSA</v>
      </c>
      <c r="II111" s="206" t="str">
        <f>IFERROR(INDEX($A$2:$A$113,MATCH(ROWS($EM$2:EM111),$EM$2:$EM$113,0)),"")</f>
        <v>MUERTE DUDOSA</v>
      </c>
      <c r="IJ111" s="206" t="str">
        <f>IFERROR(INDEX($A$2:$A$113,MATCH(ROWS($EN$2:EN111),$EN$2:$EN$113,0)),"")</f>
        <v>MUERTE DUDOSA</v>
      </c>
      <c r="IK111" s="207" t="str">
        <f>IFERROR(INDEX($A$2:$A$113,MATCH(ROWS($EO$2:EO111),$EO$2:$EO$113,0)),"")</f>
        <v>MUERTE DUDOSA</v>
      </c>
      <c r="IL111" s="207" t="str">
        <f>IFERROR(INDEX($A$2:$A$113,MATCH(ROWS($EP$2:EP111),$EP$2:$EP$113,0)),"")</f>
        <v>MUERTE DUDOSA</v>
      </c>
      <c r="IM111" s="207" t="str">
        <f>IFERROR(INDEX($A$2:$A$113,MATCH(ROWS($EQ$2:EQ111),$EQ$2:$EQ$113,0)),"")</f>
        <v>MUERTE DUDOSA</v>
      </c>
      <c r="IN111" s="207" t="str">
        <f>IFERROR(INDEX($A$2:$A$113,MATCH(ROWS($ER$2:ER111),$ER$2:$ER$113,0)),"")</f>
        <v>MUERTE DUDOSA</v>
      </c>
      <c r="IO111" s="207" t="str">
        <f>IFERROR(INDEX($A$2:$A$113,MATCH(ROWS($ES$2:ES111),$ES$2:$ES$113,0)),"")</f>
        <v>MUERTE DUDOSA</v>
      </c>
      <c r="IP111" s="207" t="str">
        <f>IFERROR(INDEX($A$2:$A$113,MATCH(ROWS($ET$2:ET111),$ET$2:$ET$113,0)),"")</f>
        <v>MUERTE DUDOSA</v>
      </c>
      <c r="IQ111" s="207" t="str">
        <f>IFERROR(INDEX($A$2:$A$113,MATCH(ROWS($EU$2:EU111),$EU$2:$EU$113,0)),"")</f>
        <v>MUERTE DUDOSA</v>
      </c>
      <c r="IR111" s="207" t="str">
        <f>IFERROR(INDEX($A$2:$A$113,MATCH(ROWS($EV$2:EV111),$EV$2:$EV$113,0)),"")</f>
        <v>MUERTE DUDOSA</v>
      </c>
      <c r="IS111" s="207" t="str">
        <f>IFERROR(INDEX($A$2:$A$113,MATCH(ROWS($EW$2:EW111),$EW$2:$EW$113,0)),"")</f>
        <v>MUERTE DUDOSA</v>
      </c>
      <c r="IT111" s="207" t="str">
        <f>IFERROR(INDEX($A$2:$A$113,MATCH(ROWS($EX$2:EX111),$EX$2:$EX$113,0)),"")</f>
        <v>MUERTE DUDOSA</v>
      </c>
      <c r="IU111" s="207" t="str">
        <f>IFERROR(INDEX($A$2:$A$113,MATCH(ROWS($EY$2:EY111),$EY$2:$EY$113,0)),"")</f>
        <v>MUERTE DUDOSA</v>
      </c>
      <c r="IV111" s="207" t="str">
        <f>IFERROR(INDEX($A$2:$A$113,MATCH(ROWS($EZ$2:EZ111),$EZ$2:$EZ$113,0)),"")</f>
        <v>MUERTE DUDOSA</v>
      </c>
      <c r="IW111" s="207" t="str">
        <f>IFERROR(INDEX($A$2:$A$113,MATCH(ROWS($FA$2:FA111),$FA$2:$FA$113,0)),"")</f>
        <v>MUERTE DUDOSA</v>
      </c>
      <c r="IX111" s="207" t="str">
        <f>IFERROR(INDEX($A$2:$A$113,MATCH(ROWS($FB$2:FB111),$FB$2:$FB$113,0)),"")</f>
        <v>MUERTE DUDOSA</v>
      </c>
      <c r="IY111" s="207" t="str">
        <f>IFERROR(INDEX($A$2:$A$113,MATCH(ROWS($FC$2:FC111),$FC$2:$FC$113,0)),"")</f>
        <v>MUERTE DUDOSA</v>
      </c>
      <c r="IZ111" s="207" t="str">
        <f>IFERROR(INDEX($A$2:$A$113,MATCH(ROWS($FD$2:FD111),$FD$2:$FD$113,0)),"")</f>
        <v>MUERTE DUDOSA</v>
      </c>
      <c r="JA111" s="207" t="str">
        <f>IFERROR(INDEX($A$2:$A$113,MATCH(ROWS($FE$2:FE111),$FE$2:$FE$113,0)),"")</f>
        <v>MUERTE DUDOSA</v>
      </c>
      <c r="JB111" s="207" t="str">
        <f>IFERROR(INDEX($A$2:$A$113,MATCH(ROWS($FF$2:FF111),$FF$2:$FF$113,0)),"")</f>
        <v>MUERTE DUDOSA</v>
      </c>
      <c r="JC111" s="207" t="str">
        <f>IFERROR(INDEX($A$2:$A$113,MATCH(ROWS($FG$2:FG111),$FG$2:$FG$113,0)),"")</f>
        <v>MUERTE DUDOSA</v>
      </c>
      <c r="JD111" s="207" t="str">
        <f>IFERROR(INDEX($A$2:$A$113,MATCH(ROWS($FH$2:FH111),$FH$2:$FH$113,0)),"")</f>
        <v>MUERTE DUDOSA</v>
      </c>
      <c r="JE111" s="207" t="str">
        <f>IFERROR(INDEX($A$2:$A$113,MATCH(ROWS($FI$2:FI111),$FI$2:$FI$113,0)),"")</f>
        <v>MUERTE DUDOSA</v>
      </c>
      <c r="JF111" s="207" t="str">
        <f>IFERROR(INDEX($A$2:$A$113,MATCH(ROWS($FJ$2:FJ111),$FJ$2:$FJ$113,0)),"")</f>
        <v>MUERTE DUDOSA</v>
      </c>
      <c r="JG111" s="207" t="str">
        <f>IFERROR(INDEX($A$2:$A$113,MATCH(ROWS($FK$2:FK111),$FK$2:$FK$113,0)),"")</f>
        <v>MUERTE DUDOSA</v>
      </c>
      <c r="JH111" s="207" t="str">
        <f>IFERROR(INDEX($A$2:$A$113,MATCH(ROWS($FL$2:FL111),$FL$2:$FL$113,0)),"")</f>
        <v>MUERTE DUDOSA</v>
      </c>
      <c r="JI111" s="207" t="str">
        <f>IFERROR(INDEX($A$2:$A$113,MATCH(ROWS($FM$2:FM111),$FM$2:$FM$113,0)),"")</f>
        <v>MUERTE DUDOSA</v>
      </c>
      <c r="JJ111" s="207" t="str">
        <f>IFERROR(INDEX($A$2:$A$113,MATCH(ROWS($FN$2:FN111),$FN$2:$FN$113,0)),"")</f>
        <v>MUERTE DUDOSA</v>
      </c>
      <c r="JK111" s="207" t="str">
        <f>IFERROR(INDEX($A$2:$A$113,MATCH(ROWS($FO$2:FO111),$FO$2:$FO$113,0)),"")</f>
        <v>MUERTE DUDOSA</v>
      </c>
      <c r="JL111" s="207" t="str">
        <f>IFERROR(INDEX($A$2:$A$113,MATCH(ROWS($FP$2:FP111),$FP$2:$FP$113,0)),"")</f>
        <v>MUERTE DUDOSA</v>
      </c>
      <c r="JM111" s="207" t="str">
        <f>IFERROR(INDEX($A$2:$A$113,MATCH(ROWS($FQ$2:FQ111),$FQ$2:$FQ$113,0)),"")</f>
        <v>MUERTE DUDOSA</v>
      </c>
      <c r="JN111" s="207" t="str">
        <f>IFERROR(INDEX($A$2:$A$113,MATCH(ROWS($FR$2:FR111),$FR$2:$FR$113,0)),"")</f>
        <v>MUERTE DUDOSA</v>
      </c>
      <c r="JO111" s="207" t="str">
        <f>IFERROR(INDEX($A$2:$A$113,MATCH(ROWS($FS$2:FS111),$FS$2:$FS$113,0)),"")</f>
        <v>MUERTE DUDOSA</v>
      </c>
      <c r="JP111" s="207" t="str">
        <f>IFERROR(INDEX($A$2:$A$113,MATCH(ROWS($FT$2:FT111),$FT$2:$FT$113,0)),"")</f>
        <v>MUERTE DUDOSA</v>
      </c>
      <c r="JQ111" s="207" t="str">
        <f>IFERROR(INDEX($A$2:$A$113,MATCH(ROWS($FU$2:FU111),$FU$2:$FU$113,0)),"")</f>
        <v>MUERTE DUDOSA</v>
      </c>
      <c r="JR111" s="207" t="str">
        <f>IFERROR(INDEX($A$2:$A$113,MATCH(ROWS($FV$2:FV111),$FV$2:$FV$113,0)),"")</f>
        <v>MUERTE DUDOSA</v>
      </c>
      <c r="JS111" s="207" t="str">
        <f>IFERROR(INDEX($A$2:$A$113,MATCH(ROWS($FW$2:FW111),$FW$2:$FW$113,0)),"")</f>
        <v>MUERTE DUDOSA</v>
      </c>
      <c r="JT111" s="207" t="str">
        <f>IFERROR(INDEX($A$2:$A$113,MATCH(ROWS($FX$2:FX111),$FX$2:$FX$113,0)),"")</f>
        <v>MUERTE DUDOSA</v>
      </c>
      <c r="JU111" s="207" t="str">
        <f>IFERROR(INDEX($A$2:$A$113,MATCH(ROWS($FY$2:FY111),$FY$2:$FY$113,0)),"")</f>
        <v>MUERTE DUDOSA</v>
      </c>
      <c r="JV111" s="207" t="str">
        <f>IFERROR(INDEX($A$2:$A$113,MATCH(ROWS($FZ$2:FZ111),$FZ$2:$FZ$113,0)),"")</f>
        <v>MUERTE DUDOSA</v>
      </c>
      <c r="JW111" s="207" t="str">
        <f>IFERROR(INDEX($A$2:$A$113,MATCH(ROWS($GA$2:GA111),$GA$2:$GA$113,0)),"")</f>
        <v>MUERTE DUDOSA</v>
      </c>
      <c r="JX111" s="207" t="str">
        <f>IFERROR(INDEX($A$2:$A$113,MATCH(ROWS($GB$2:GB111),$GB$2:$GB$113,0)),"")</f>
        <v>MUERTE DUDOSA</v>
      </c>
      <c r="JY111" s="207" t="str">
        <f>IFERROR(INDEX($A$2:$A$113,MATCH(ROWS($GC$2:GC111),$GC$2:$GC$113,0)),"")</f>
        <v>MUERTE DUDOSA</v>
      </c>
      <c r="JZ111" s="207" t="str">
        <f>IFERROR(INDEX($A$2:$A$113,MATCH(ROWS($GD$2:GD111),$GD$2:$GD$113,0)),"")</f>
        <v>MUERTE DUDOSA</v>
      </c>
      <c r="KA111" s="207" t="str">
        <f>IFERROR(INDEX($A$2:$A$113,MATCH(ROWS($GE$2:GE111),$GE$2:$GE$113,0)),"")</f>
        <v>MUERTE DUDOSA</v>
      </c>
      <c r="KB111" s="207" t="str">
        <f>IFERROR(INDEX($A$2:$A$113,MATCH(ROWS($GF$2:GF111),$GF$2:$GF$113,0)),"")</f>
        <v>MUERTE DUDOSA</v>
      </c>
      <c r="KC111" s="207" t="str">
        <f>IFERROR(INDEX($A$2:$A$113,MATCH(ROWS($GG$2:GG111),$GG$2:$GG$113,0)),"")</f>
        <v>MUERTE DUDOSA</v>
      </c>
      <c r="KD111" s="207" t="str">
        <f>IFERROR(INDEX($A$2:$A$113,MATCH(ROWS($GH$2:GH111),$GH$2:$GH$113,0)),"")</f>
        <v>MUERTE DUDOSA</v>
      </c>
      <c r="KE111" s="207" t="str">
        <f>IFERROR(INDEX($A$2:$A$113,MATCH(ROWS($GI$2:GI111),$GI$2:$GI$113,0)),"")</f>
        <v>MUERTE DUDOSA</v>
      </c>
      <c r="KF111" s="207" t="str">
        <f>IFERROR(INDEX($A$2:$A$113,MATCH(ROWS($GJ$2:GJ111),$GJ$2:$GJ$113,0)),"")</f>
        <v>MUERTE DUDOSA</v>
      </c>
      <c r="KG111" s="207" t="str">
        <f>IFERROR(INDEX($A$2:$A$113,MATCH(ROWS($GK$2:GK111),$GK$2:$GK$113,0)),"")</f>
        <v>MUERTE DUDOSA</v>
      </c>
      <c r="KH111" s="207" t="str">
        <f>IFERROR(INDEX($A$2:$A$113,MATCH(ROWS($GL$2:GL111),$GL$2:$GL$113,0)),"")</f>
        <v>MUERTE DUDOSA</v>
      </c>
      <c r="KI111" s="207" t="str">
        <f>IFERROR(INDEX($A$2:$A$113,MATCH(ROWS($GM$2:GM111),$GM$2:$GM$113,0)),"")</f>
        <v>MUERTE DUDOSA</v>
      </c>
      <c r="KJ111" s="207" t="str">
        <f>IFERROR(INDEX($A$2:$A$113,MATCH(ROWS($GN$2:GN111),$GN$2:$GN$113,0)),"")</f>
        <v>MUERTE DUDOSA</v>
      </c>
      <c r="KK111" s="207" t="str">
        <f>IFERROR(INDEX($A$2:$A$113,MATCH(ROWS($GO$2:GO111),$GO$2:$GO$113,0)),"")</f>
        <v>MUERTE DUDOSA</v>
      </c>
      <c r="KL111" s="207" t="str">
        <f>IFERROR(INDEX($A$2:$A$113,MATCH(ROWS($GP$2:GP111),$GP$2:$GP$113,0)),"")</f>
        <v>MUERTE DUDOSA</v>
      </c>
      <c r="KM111" s="207" t="str">
        <f>IFERROR(INDEX($A$2:$A$113,MATCH(ROWS($GQ$2:GQ111),$GQ$2:$GQ$113,0)),"")</f>
        <v>MUERTE DUDOSA</v>
      </c>
      <c r="KN111" s="207" t="str">
        <f>IFERROR(INDEX($A$2:$A$113,MATCH(ROWS($GR$2:GR111),$GR$2:$GR$113,0)),"")</f>
        <v>MUERTE DUDOSA</v>
      </c>
      <c r="KO111" s="207" t="str">
        <f>IFERROR(INDEX($A$2:$A$113,MATCH(ROWS($GS$2:GS111),$GS$2:$GS$113,0)),"")</f>
        <v>MUERTE DUDOSA</v>
      </c>
      <c r="KP111" s="207" t="str">
        <f>IFERROR(INDEX($A$2:$A$113,MATCH(ROWS($GT$2:GT111),$GT$2:$GT$113,0)),"")</f>
        <v>MUERTE DUDOSA</v>
      </c>
      <c r="KQ111" s="207" t="str">
        <f>IFERROR(INDEX($A$2:$A$113,MATCH(ROWS($GU$2:GU111),$GU$2:$GU$113,0)),"")</f>
        <v>MUERTE DUDOSA</v>
      </c>
      <c r="KR111" s="207" t="str">
        <f>IFERROR(INDEX($A$2:$A$113,MATCH(ROWS($GV$2:GV111),$GV$2:$GV$113,0)),"")</f>
        <v>MUERTE DUDOSA</v>
      </c>
      <c r="KS111" s="207" t="str">
        <f>IFERROR(INDEX($A$2:$A$113,MATCH(ROWS($GW$2:GW111),$GW$2:$GW$113,0)),"")</f>
        <v>MUERTE DUDOSA</v>
      </c>
    </row>
    <row r="112" spans="1:305" x14ac:dyDescent="0.25">
      <c r="A112" s="206" t="s">
        <v>917</v>
      </c>
      <c r="B112" s="206">
        <v>32</v>
      </c>
      <c r="D112" s="206" t="s">
        <v>137</v>
      </c>
      <c r="E112" s="206" t="s">
        <v>137</v>
      </c>
      <c r="F112" s="207">
        <f>--ISNUMBER(IFERROR(SEARCH('PLANILLA DJ'!$X$3,$A112,1),""))</f>
        <v>1</v>
      </c>
      <c r="G112" s="207">
        <f>--ISNUMBER(IFERROR(SEARCH('PLANILLA DJ'!$X$4,$A112,1),""))</f>
        <v>1</v>
      </c>
      <c r="H112" s="207">
        <f>--ISNUMBER(IFERROR(SEARCH('PLANILLA DJ'!$X$5,$A112,1),""))</f>
        <v>1</v>
      </c>
      <c r="I112" s="207">
        <f>--ISNUMBER(IFERROR(SEARCH('PLANILLA DJ'!$X$6,$A112,1),""))</f>
        <v>1</v>
      </c>
      <c r="J112" s="207">
        <f>--ISNUMBER(IFERROR(SEARCH('PLANILLA DJ'!$X$7,$A112,1),""))</f>
        <v>1</v>
      </c>
      <c r="K112" s="207">
        <f>--ISNUMBER(IFERROR(SEARCH('PLANILLA DJ'!$X$8,$A112,1),""))</f>
        <v>1</v>
      </c>
      <c r="L112" s="207">
        <f>--ISNUMBER(IFERROR(SEARCH('PLANILLA DJ'!$X$9,$A112,1),""))</f>
        <v>1</v>
      </c>
      <c r="M112" s="207">
        <f>--ISNUMBER(IFERROR(SEARCH('PLANILLA DJ'!$X$10,$A112,1),""))</f>
        <v>1</v>
      </c>
      <c r="N112" s="207">
        <f>--ISNUMBER(IFERROR(SEARCH('PLANILLA DJ'!$X$11,$A112,1),""))</f>
        <v>1</v>
      </c>
      <c r="O112" s="207">
        <f>--ISNUMBER(IFERROR(SEARCH('PLANILLA DJ'!$X$12,$A112,1),""))</f>
        <v>1</v>
      </c>
      <c r="P112" s="207">
        <f>--ISNUMBER(IFERROR(SEARCH('PLANILLA DJ'!$X$13,$A112,1),""))</f>
        <v>1</v>
      </c>
      <c r="Q112" s="207">
        <f>--ISNUMBER(IFERROR(SEARCH('PLANILLA DJ'!$X$14,$A112,1),""))</f>
        <v>1</v>
      </c>
      <c r="R112" s="207">
        <f>--ISNUMBER(IFERROR(SEARCH('PLANILLA DJ'!$X$15,$A112,1),""))</f>
        <v>1</v>
      </c>
      <c r="S112" s="207">
        <f>--ISNUMBER(IFERROR(SEARCH('PLANILLA DJ'!$X$16,$A112,1),""))</f>
        <v>1</v>
      </c>
      <c r="T112" s="207">
        <f>--ISNUMBER(IFERROR(SEARCH('PLANILLA DJ'!$X$17,$A112,1),""))</f>
        <v>1</v>
      </c>
      <c r="U112" s="207">
        <f>--ISNUMBER(IFERROR(SEARCH('PLANILLA DJ'!$X$18,$A112,1),""))</f>
        <v>1</v>
      </c>
      <c r="V112" s="207">
        <f>--ISNUMBER(IFERROR(SEARCH('PLANILLA DJ'!$X$19,$A112,1),""))</f>
        <v>1</v>
      </c>
      <c r="W112" s="207">
        <f>--ISNUMBER(IFERROR(SEARCH('PLANILLA DJ'!$X$20,$A112,1),""))</f>
        <v>1</v>
      </c>
      <c r="X112" s="207">
        <f>--ISNUMBER(IFERROR(SEARCH('PLANILLA DJ'!$X$21,$A112,1),""))</f>
        <v>1</v>
      </c>
      <c r="Y112" s="207">
        <f>--ISNUMBER(IFERROR(SEARCH('PLANILLA DJ'!$X$22,$A112,1),""))</f>
        <v>1</v>
      </c>
      <c r="Z112" s="207">
        <f>--ISNUMBER(IFERROR(SEARCH('PLANILLA DJ'!$X$23,$A112,1),""))</f>
        <v>1</v>
      </c>
      <c r="AA112" s="207">
        <f>--ISNUMBER(IFERROR(SEARCH('PLANILLA DJ'!$X$24,$A112,1),""))</f>
        <v>1</v>
      </c>
      <c r="AB112" s="207">
        <f>--ISNUMBER(IFERROR(SEARCH('PLANILLA DJ'!$X$25,$A112,1),""))</f>
        <v>1</v>
      </c>
      <c r="AC112" s="207">
        <f>--ISNUMBER(IFERROR(SEARCH('PLANILLA DJ'!$X$26,$A112,1),""))</f>
        <v>1</v>
      </c>
      <c r="AD112" s="207">
        <f>--ISNUMBER(IFERROR(SEARCH('PLANILLA DJ'!$X$27,$A112,1),""))</f>
        <v>1</v>
      </c>
      <c r="AE112" s="207">
        <f>--ISNUMBER(IFERROR(SEARCH('PLANILLA DJ'!$X$28,$A112,1),""))</f>
        <v>1</v>
      </c>
      <c r="AF112" s="207">
        <f>--ISNUMBER(IFERROR(SEARCH('PLANILLA DJ'!$X$29,$A112,1),""))</f>
        <v>1</v>
      </c>
      <c r="AG112" s="207">
        <f>--ISNUMBER(IFERROR(SEARCH('PLANILLA DJ'!$X$30,$A112,1),""))</f>
        <v>1</v>
      </c>
      <c r="AH112" s="207">
        <f>--ISNUMBER(IFERROR(SEARCH('PLANILLA DJ'!$X$31,$A112,1),""))</f>
        <v>1</v>
      </c>
      <c r="AI112" s="207">
        <f>--ISNUMBER(IFERROR(SEARCH('PLANILLA DJ'!$X$32,$A112,1),""))</f>
        <v>1</v>
      </c>
      <c r="AJ112" s="207">
        <f>--ISNUMBER(IFERROR(SEARCH('PLANILLA DJ'!$X$33,$A112,1),""))</f>
        <v>1</v>
      </c>
      <c r="AK112" s="207">
        <f>--ISNUMBER(IFERROR(SEARCH('PLANILLA DJ'!$X$34,$A112,1),""))</f>
        <v>1</v>
      </c>
      <c r="AL112" s="207">
        <f>--ISNUMBER(IFERROR(SEARCH('PLANILLA DJ'!$X$35,$A112,1),""))</f>
        <v>1</v>
      </c>
      <c r="AM112" s="207">
        <f>--ISNUMBER(IFERROR(SEARCH('PLANILLA DJ'!$X$36,$A112,1),""))</f>
        <v>1</v>
      </c>
      <c r="AN112" s="207">
        <f>--ISNUMBER(IFERROR(SEARCH('PLANILLA DJ'!$X$37,$A112,1),""))</f>
        <v>1</v>
      </c>
      <c r="AO112" s="207">
        <f>--ISNUMBER(IFERROR(SEARCH('PLANILLA DJ'!$X$38,$A112,1),""))</f>
        <v>1</v>
      </c>
      <c r="AP112" s="207">
        <f>--ISNUMBER(IFERROR(SEARCH('PLANILLA DJ'!$X$39,$A112,1),""))</f>
        <v>1</v>
      </c>
      <c r="AQ112" s="207">
        <f>--ISNUMBER(IFERROR(SEARCH('PLANILLA DJ'!$X$40,$A112,1),""))</f>
        <v>1</v>
      </c>
      <c r="AR112" s="207">
        <f>--ISNUMBER(IFERROR(SEARCH('PLANILLA DJ'!$X$41,$A112,1),""))</f>
        <v>1</v>
      </c>
      <c r="AS112" s="207">
        <f>--ISNUMBER(IFERROR(SEARCH('PLANILLA DJ'!$X$42,$A112,1),""))</f>
        <v>1</v>
      </c>
      <c r="AT112" s="207">
        <f>--ISNUMBER(IFERROR(SEARCH('PLANILLA DJ'!$X$43,$A112,1),""))</f>
        <v>1</v>
      </c>
      <c r="AU112" s="207">
        <f>--ISNUMBER(IFERROR(SEARCH('PLANILLA DJ'!$X$44,$A112,1),""))</f>
        <v>1</v>
      </c>
      <c r="AV112" s="207">
        <f>--ISNUMBER(IFERROR(SEARCH('PLANILLA DJ'!$X$45,$A112,1),""))</f>
        <v>1</v>
      </c>
      <c r="AW112" s="207">
        <f>--ISNUMBER(IFERROR(SEARCH('PLANILLA DJ'!$X$46,$A112,1),""))</f>
        <v>1</v>
      </c>
      <c r="AX112" s="207">
        <f>--ISNUMBER(IFERROR(SEARCH('PLANILLA DJ'!$X$47,$A112,1),""))</f>
        <v>1</v>
      </c>
      <c r="AY112" s="207">
        <f>--ISNUMBER(IFERROR(SEARCH('PLANILLA DJ'!$X$48,$A112,1),""))</f>
        <v>1</v>
      </c>
      <c r="AZ112" s="207">
        <f>--ISNUMBER(IFERROR(SEARCH('PLANILLA DJ'!$X$49,$A112,1),""))</f>
        <v>1</v>
      </c>
      <c r="BA112" s="207">
        <f>--ISNUMBER(IFERROR(SEARCH('PLANILLA DJ'!$X$50,$A112,1),""))</f>
        <v>1</v>
      </c>
      <c r="BB112" s="207">
        <f>--ISNUMBER(IFERROR(SEARCH('PLANILLA DJ'!$X$51,$A112,1),""))</f>
        <v>1</v>
      </c>
      <c r="BC112" s="207">
        <f>--ISNUMBER(IFERROR(SEARCH('PLANILLA DJ'!$X$52,$A112,1),""))</f>
        <v>1</v>
      </c>
      <c r="BD112" s="207">
        <f>--ISNUMBER(IFERROR(SEARCH('PLANILLA DJ'!$X$53,$A112,1),""))</f>
        <v>1</v>
      </c>
      <c r="BE112" s="207">
        <f>--ISNUMBER(IFERROR(SEARCH('PLANILLA DJ'!$X$54,$A112,1),""))</f>
        <v>1</v>
      </c>
      <c r="BF112" s="207">
        <f>--ISNUMBER(IFERROR(SEARCH('PLANILLA DJ'!$X$55,$A112,1),""))</f>
        <v>1</v>
      </c>
      <c r="BG112" s="207">
        <f>--ISNUMBER(IFERROR(SEARCH('PLANILLA DJ'!$X$56,$A112,1),""))</f>
        <v>1</v>
      </c>
      <c r="BH112" s="207">
        <f>--ISNUMBER(IFERROR(SEARCH('PLANILLA DJ'!$X$57,$A112,1),""))</f>
        <v>1</v>
      </c>
      <c r="BI112" s="207">
        <f>--ISNUMBER(IFERROR(SEARCH('PLANILLA DJ'!$X$58,$A112,1),""))</f>
        <v>1</v>
      </c>
      <c r="BJ112" s="207">
        <f>--ISNUMBER(IFERROR(SEARCH('PLANILLA DJ'!$X$59,$A112,1),""))</f>
        <v>1</v>
      </c>
      <c r="BK112" s="207">
        <f>--ISNUMBER(IFERROR(SEARCH('PLANILLA DJ'!$X$60,$A112,1),""))</f>
        <v>1</v>
      </c>
      <c r="BL112" s="207">
        <f>--ISNUMBER(IFERROR(SEARCH('PLANILLA DJ'!$X$61,$A112,1),""))</f>
        <v>1</v>
      </c>
      <c r="BM112" s="207">
        <f>--ISNUMBER(IFERROR(SEARCH('PLANILLA DJ'!$X$62,$A112,1),""))</f>
        <v>1</v>
      </c>
      <c r="BN112" s="207">
        <f>--ISNUMBER(IFERROR(SEARCH('PLANILLA DJ'!$X$63,$A112,1),""))</f>
        <v>1</v>
      </c>
      <c r="BO112" s="207">
        <f>--ISNUMBER(IFERROR(SEARCH('PLANILLA DJ'!$X$64,$A112,1),""))</f>
        <v>1</v>
      </c>
      <c r="BP112" s="207">
        <f>--ISNUMBER(IFERROR(SEARCH('PLANILLA DJ'!$X$65,$A112,1),""))</f>
        <v>1</v>
      </c>
      <c r="BQ112" s="207">
        <f>--ISNUMBER(IFERROR(SEARCH('PLANILLA DJ'!$X$66,$A112,1),""))</f>
        <v>1</v>
      </c>
      <c r="BR112" s="207">
        <f>--ISNUMBER(IFERROR(SEARCH('PLANILLA DJ'!$X$67,$A112,1),""))</f>
        <v>1</v>
      </c>
      <c r="BS112" s="207">
        <f>--ISNUMBER(IFERROR(SEARCH('PLANILLA DJ'!$X$68,$A112,1),""))</f>
        <v>1</v>
      </c>
      <c r="BT112" s="207">
        <f>--ISNUMBER(IFERROR(SEARCH('PLANILLA DJ'!$X$69,$A112,1),""))</f>
        <v>1</v>
      </c>
      <c r="BU112" s="207">
        <f>--ISNUMBER(IFERROR(SEARCH('PLANILLA DJ'!$X$70,$A112,1),""))</f>
        <v>1</v>
      </c>
      <c r="BV112" s="207">
        <f>--ISNUMBER(IFERROR(SEARCH('PLANILLA DJ'!$X$71,$A112,1),""))</f>
        <v>1</v>
      </c>
      <c r="BW112" s="207">
        <f>--ISNUMBER(IFERROR(SEARCH('PLANILLA DJ'!$X$72,$A112,1),""))</f>
        <v>1</v>
      </c>
      <c r="BX112" s="207">
        <f>--ISNUMBER(IFERROR(SEARCH('PLANILLA DJ'!$X$73,$A112,1),""))</f>
        <v>1</v>
      </c>
      <c r="BY112" s="207">
        <f>--ISNUMBER(IFERROR(SEARCH('PLANILLA DJ'!$X$74,$A112,1),""))</f>
        <v>1</v>
      </c>
      <c r="BZ112" s="207">
        <f>--ISNUMBER(IFERROR(SEARCH('PLANILLA DJ'!$X$75,$A112,1),""))</f>
        <v>1</v>
      </c>
      <c r="CA112" s="207">
        <f>--ISNUMBER(IFERROR(SEARCH('PLANILLA DJ'!$X$76,$A112,1),""))</f>
        <v>1</v>
      </c>
      <c r="CB112" s="207">
        <f>--ISNUMBER(IFERROR(SEARCH('PLANILLA DJ'!$X$77,$A112,1),""))</f>
        <v>1</v>
      </c>
      <c r="CC112" s="207">
        <f>--ISNUMBER(IFERROR(SEARCH('PLANILLA DJ'!$X$78,$A112,1),""))</f>
        <v>1</v>
      </c>
      <c r="CD112" s="207">
        <f>--ISNUMBER(IFERROR(SEARCH('PLANILLA DJ'!$X$79,$A112,1),""))</f>
        <v>1</v>
      </c>
      <c r="CE112" s="207">
        <f>--ISNUMBER(IFERROR(SEARCH('PLANILLA DJ'!$X$80,$A112,1),""))</f>
        <v>1</v>
      </c>
      <c r="CF112" s="207">
        <f>--ISNUMBER(IFERROR(SEARCH('PLANILLA DJ'!$X$81,$A112,1),""))</f>
        <v>1</v>
      </c>
      <c r="CG112" s="207">
        <f>--ISNUMBER(IFERROR(SEARCH('PLANILLA DJ'!$X$82,$A112,1),""))</f>
        <v>1</v>
      </c>
      <c r="CH112" s="207">
        <f>--ISNUMBER(IFERROR(SEARCH('PLANILLA DJ'!$X$83,$A112,1),""))</f>
        <v>1</v>
      </c>
      <c r="CI112" s="207">
        <f>--ISNUMBER(IFERROR(SEARCH('PLANILLA DJ'!$X$84,$A112,1),""))</f>
        <v>1</v>
      </c>
      <c r="CJ112" s="207">
        <f>--ISNUMBER(IFERROR(SEARCH('PLANILLA DJ'!$X$85,$A112,1),""))</f>
        <v>1</v>
      </c>
      <c r="CK112" s="207">
        <f>--ISNUMBER(IFERROR(SEARCH('PLANILLA DJ'!$X$86,$A112,1),""))</f>
        <v>1</v>
      </c>
      <c r="CL112" s="207">
        <f>--ISNUMBER(IFERROR(SEARCH('PLANILLA DJ'!$X$87,$A112,1),""))</f>
        <v>1</v>
      </c>
      <c r="CM112" s="207">
        <f>--ISNUMBER(IFERROR(SEARCH('PLANILLA DJ'!$X$88,$A112,1),""))</f>
        <v>1</v>
      </c>
      <c r="CN112" s="207">
        <f>--ISNUMBER(IFERROR(SEARCH('PLANILLA DJ'!$X$89,$A112,1),""))</f>
        <v>1</v>
      </c>
      <c r="CO112" s="207">
        <f>--ISNUMBER(IFERROR(SEARCH('PLANILLA DJ'!$X$90,$A112,1),""))</f>
        <v>1</v>
      </c>
      <c r="CP112" s="207">
        <f>--ISNUMBER(IFERROR(SEARCH('PLANILLA DJ'!$X$91,$A112,1),""))</f>
        <v>1</v>
      </c>
      <c r="CQ112" s="207">
        <f>--ISNUMBER(IFERROR(SEARCH('PLANILLA DJ'!$X$92,$A112,1),""))</f>
        <v>1</v>
      </c>
      <c r="CR112" s="207">
        <f>--ISNUMBER(IFERROR(SEARCH('PLANILLA DJ'!$X$93,$A112,1),""))</f>
        <v>1</v>
      </c>
      <c r="CS112" s="207">
        <f>--ISNUMBER(IFERROR(SEARCH('PLANILLA DJ'!$X$94,$A112,1),""))</f>
        <v>1</v>
      </c>
      <c r="CT112" s="207">
        <f>--ISNUMBER(IFERROR(SEARCH('PLANILLA DJ'!$X$95,$A112,1),""))</f>
        <v>1</v>
      </c>
      <c r="CU112" s="207">
        <f>--ISNUMBER(IFERROR(SEARCH('PLANILLA DJ'!$X$96,$A112,1),""))</f>
        <v>1</v>
      </c>
      <c r="CV112" s="207">
        <f>--ISNUMBER(IFERROR(SEARCH('PLANILLA DJ'!$X$97,$A112,1),""))</f>
        <v>1</v>
      </c>
      <c r="CW112" s="207">
        <f>--ISNUMBER(IFERROR(SEARCH('PLANILLA DJ'!$X$98,$A112,1),""))</f>
        <v>1</v>
      </c>
      <c r="CX112" s="207">
        <f>--ISNUMBER(IFERROR(SEARCH('PLANILLA DJ'!$X$99,$A112,1),""))</f>
        <v>1</v>
      </c>
      <c r="CY112" s="207">
        <f>--ISNUMBER(IFERROR(SEARCH('PLANILLA DJ'!$X$100,$A112,1),""))</f>
        <v>1</v>
      </c>
      <c r="CZ112" s="207">
        <f>--ISNUMBER(IFERROR(SEARCH('PLANILLA DJ'!$X$101,$A112,1),""))</f>
        <v>1</v>
      </c>
      <c r="DA112" s="207">
        <f>--ISNUMBER(IFERROR(SEARCH('PLANILLA DJ'!$X$102,$A112,1),""))</f>
        <v>1</v>
      </c>
      <c r="DB112" s="206">
        <f>IF(F112=1,COUNTIF($F$2:F112,1),"")</f>
        <v>111</v>
      </c>
      <c r="DC112" s="206">
        <f>IF(G112=1,COUNTIF($G$2:G112,1),"")</f>
        <v>111</v>
      </c>
      <c r="DD112" s="206">
        <f>IF(H112=1,COUNTIF($H$2:H112,1),"")</f>
        <v>111</v>
      </c>
      <c r="DE112" s="206">
        <f>IF(I112=1,COUNTIF($I$2:I112,1),"")</f>
        <v>111</v>
      </c>
      <c r="DF112" s="206">
        <f>IF(J112=1,COUNTIF($J$2:J112,1),"")</f>
        <v>111</v>
      </c>
      <c r="DG112" s="206">
        <f>IF(K112=1,COUNTIF($K$2:K112,1),"")</f>
        <v>111</v>
      </c>
      <c r="DH112" s="206">
        <f>IF(L112=1,COUNTIF($L$2:L112,1),"")</f>
        <v>111</v>
      </c>
      <c r="DI112" s="206">
        <f>IF(M112=1,COUNTIF($M$2:M112,1),"")</f>
        <v>111</v>
      </c>
      <c r="DJ112" s="206">
        <f>IF(N112=1,COUNTIF($N$2:N112,1),"")</f>
        <v>111</v>
      </c>
      <c r="DK112" s="206">
        <f>IF(O112=1,COUNTIF($O$2:O112,1),"")</f>
        <v>111</v>
      </c>
      <c r="DL112" s="206">
        <f>IF(P112=1,COUNTIF($P$2:P112,1),"")</f>
        <v>111</v>
      </c>
      <c r="DM112" s="206">
        <f>IF(Q112=1,COUNTIF($Q$2:Q112,1),"")</f>
        <v>111</v>
      </c>
      <c r="DN112" s="207">
        <f>IF(R112=1,COUNTIF($R$2:R112,1),"")</f>
        <v>111</v>
      </c>
      <c r="DO112" s="207">
        <f>IF(S112=1,COUNTIF($S$2:S112,1),"")</f>
        <v>111</v>
      </c>
      <c r="DP112" s="207">
        <f>IF(T112=1,COUNTIF($T$2:T112,1),"")</f>
        <v>111</v>
      </c>
      <c r="DQ112" s="207">
        <f>IF(U112=1,COUNTIF($U$2:U112,1),"")</f>
        <v>111</v>
      </c>
      <c r="DR112" s="207">
        <f>IF(V112=1,COUNTIF($V$2:V112,1),"")</f>
        <v>111</v>
      </c>
      <c r="DS112" s="207">
        <f>IF(W112=1,COUNTIF($W$2:W112,1),"")</f>
        <v>111</v>
      </c>
      <c r="DT112" s="207">
        <f>IF(X112=1,COUNTIF($X$2:X112,1),"")</f>
        <v>111</v>
      </c>
      <c r="DU112" s="207">
        <f>IF(Y112=1,COUNTIF($Y$2:Y112,1),"")</f>
        <v>111</v>
      </c>
      <c r="DV112" s="207">
        <f>IF(Z112=1,COUNTIF(Z$2:Z112,1),"")</f>
        <v>111</v>
      </c>
      <c r="DW112" s="207">
        <f>IF(AA112=1,COUNTIF($AA$2:AA112,1),"")</f>
        <v>111</v>
      </c>
      <c r="DX112" s="207">
        <f>IF(AB112=1,COUNTIF($AB$2:AB112,1),"")</f>
        <v>111</v>
      </c>
      <c r="DY112" s="207">
        <f>IF(AC112=1,COUNTIF($AC$2:AC112,1),"")</f>
        <v>111</v>
      </c>
      <c r="DZ112" s="207">
        <f>IF(AD112=1,COUNTIF($AD$2:AD112,1),"")</f>
        <v>111</v>
      </c>
      <c r="EA112" s="207">
        <f>IF(AE112=1,COUNTIF($AE$2:AE112,1),"")</f>
        <v>111</v>
      </c>
      <c r="EB112" s="207">
        <f>IF(AF112=1,COUNTIF($AF$2:AF112,1),"")</f>
        <v>111</v>
      </c>
      <c r="EC112" s="207">
        <f>IF(AG112=1,COUNTIF($AG$2:AG112,1),"")</f>
        <v>111</v>
      </c>
      <c r="ED112" s="207">
        <f>IF(AH112=1,COUNTIF($AH$2:AH112,1),"")</f>
        <v>111</v>
      </c>
      <c r="EE112" s="207">
        <f>IF(AI112=1,COUNTIF($AI$2:AI112,1),"")</f>
        <v>111</v>
      </c>
      <c r="EF112" s="207">
        <f>IF(AJ112=1,COUNTIF($AJ$2:AJ112,1),"")</f>
        <v>111</v>
      </c>
      <c r="EG112" s="207">
        <f>IF(AK112=1,COUNTIF($AK$2:AK112,1),"")</f>
        <v>111</v>
      </c>
      <c r="EH112" s="207">
        <f>IF(AL112=1,COUNTIF($AL$2:AL112,1),"")</f>
        <v>111</v>
      </c>
      <c r="EI112" s="207">
        <f>IF(AM112=1,COUNTIF($AM$2:AM112,1),"")</f>
        <v>111</v>
      </c>
      <c r="EJ112" s="207">
        <f>IF(AN112=1,COUNTIF($AN$2:AN112,1),"")</f>
        <v>111</v>
      </c>
      <c r="EK112" s="207">
        <f>IF(AO112=1,COUNTIF($AO$2:AO112,1),"")</f>
        <v>111</v>
      </c>
      <c r="EL112" s="207">
        <f>IF(AP112=1,COUNTIF($AP$2:AP112,1),"")</f>
        <v>111</v>
      </c>
      <c r="EM112" s="207">
        <f>IF(AQ112=1,COUNTIF($AQ$2:AQ112,1),"")</f>
        <v>111</v>
      </c>
      <c r="EN112" s="207">
        <f>IF(AR112=1,COUNTIF($AR$2:AR112,1),"")</f>
        <v>111</v>
      </c>
      <c r="EO112" s="207">
        <f>IF(AS112=1,COUNTIF($AS$2:AS112,1),"")</f>
        <v>111</v>
      </c>
      <c r="EP112" s="207">
        <f>IF(AT112=1,COUNTIF($AT$2:AT112,1),"")</f>
        <v>111</v>
      </c>
      <c r="EQ112" s="207">
        <f>IF(AU112=1,COUNTIF($AU$2:AU112,1),"")</f>
        <v>111</v>
      </c>
      <c r="ER112" s="207">
        <f>IF(AV112=1,COUNTIF($AV$2:AV112,1),"")</f>
        <v>111</v>
      </c>
      <c r="ES112" s="207">
        <f>IF(AW112=1,COUNTIF($AW$2:AW112,1),"")</f>
        <v>111</v>
      </c>
      <c r="ET112" s="207">
        <f>IF(AX112=1,COUNTIF($AX$2:AX112,1),"")</f>
        <v>111</v>
      </c>
      <c r="EU112" s="207">
        <f>IF(AY112=1,COUNTIF($AY$2:AY112,1),"")</f>
        <v>111</v>
      </c>
      <c r="EV112" s="207">
        <f>IF(AZ112=1,COUNTIF($AZ$2:AZ112,1),"")</f>
        <v>111</v>
      </c>
      <c r="EW112" s="207">
        <f>IF(BA112=1,COUNTIF($BA$2:BA112,1),"")</f>
        <v>111</v>
      </c>
      <c r="EX112" s="207">
        <f>IF(BB112=1,COUNTIF($BB$2:BB112,1),"")</f>
        <v>111</v>
      </c>
      <c r="EY112" s="207">
        <f>IF(BC112=1,COUNTIF($BC$2:BC112,1),"")</f>
        <v>111</v>
      </c>
      <c r="EZ112" s="207">
        <f>IF(BD112=1,COUNTIF($BD$2:BD112,1),"")</f>
        <v>111</v>
      </c>
      <c r="FA112" s="207">
        <f>IF(BE112=1,COUNTIF($BE$2:BE112,1),"")</f>
        <v>111</v>
      </c>
      <c r="FB112" s="207">
        <f>IF(BF112=1,COUNTIF($BF$2:BF112,1),"")</f>
        <v>111</v>
      </c>
      <c r="FC112" s="207">
        <f>IF(BG112=1,COUNTIF($BG$2:BG112,1),"")</f>
        <v>111</v>
      </c>
      <c r="FD112" s="207">
        <f>IF(BH112=1,COUNTIF($BH$2:BH112,1),"")</f>
        <v>111</v>
      </c>
      <c r="FE112" s="207">
        <f>IF(BI112=1,COUNTIF($BI$2:BI112,1),"")</f>
        <v>111</v>
      </c>
      <c r="FF112" s="207">
        <f>IF(BJ112=1,COUNTIF($BJ$2:BJ112,1),"")</f>
        <v>111</v>
      </c>
      <c r="FG112" s="207">
        <f>IF(BK112=1,COUNTIF($BK$2:BK112,1),"")</f>
        <v>111</v>
      </c>
      <c r="FH112" s="207">
        <f>IF(BL112=1,COUNTIF($BL$2:BL112,1),"")</f>
        <v>111</v>
      </c>
      <c r="FI112" s="207">
        <f>IF(BM112=1,COUNTIF($BM$2:BM112,1),"")</f>
        <v>111</v>
      </c>
      <c r="FJ112" s="207">
        <f>IF(BN112=1,COUNTIF($BN$2:BN112,1),"")</f>
        <v>111</v>
      </c>
      <c r="FK112" s="207">
        <f>IF(BO112=1,COUNTIF($BO$2:BO112,1),"")</f>
        <v>111</v>
      </c>
      <c r="FL112" s="207">
        <f>IF(BP112=1,COUNTIF($BP$2:BP112,1),"")</f>
        <v>111</v>
      </c>
      <c r="FM112" s="207">
        <f>IF(BQ112=1,COUNTIF($BQ$2:BQ112,1),"")</f>
        <v>111</v>
      </c>
      <c r="FN112" s="207">
        <f>IF(BR112=1,COUNTIF($BR$2:BR112,1),"")</f>
        <v>111</v>
      </c>
      <c r="FO112" s="207">
        <f>IF(BS112=1,COUNTIF($BS$2:BS112,1),"")</f>
        <v>111</v>
      </c>
      <c r="FP112" s="207">
        <f>IF(BT112=1,COUNTIF($BT$2:BT112,1),"")</f>
        <v>111</v>
      </c>
      <c r="FQ112" s="207">
        <f>IF(BU112=1,COUNTIF($BU$2:BU112,1),"")</f>
        <v>111</v>
      </c>
      <c r="FR112" s="207">
        <f>IF(BV112=1,COUNTIF($BV$2:BV112,1),"")</f>
        <v>111</v>
      </c>
      <c r="FS112" s="207">
        <f>IF(BW112=1,COUNTIF($BW$2:BW112,1),"")</f>
        <v>111</v>
      </c>
      <c r="FT112" s="207">
        <f>IF(BX112=1,COUNTIF($BX$2:BX112,1),"")</f>
        <v>111</v>
      </c>
      <c r="FU112" s="207">
        <f>IF(BY112=1,COUNTIF($BY$2:BY112,1),"")</f>
        <v>111</v>
      </c>
      <c r="FV112" s="207">
        <f>IF(BZ112=1,COUNTIF($BZ$2:BZ112,1),"")</f>
        <v>111</v>
      </c>
      <c r="FW112" s="207">
        <f>IF(CA112=1,COUNTIF($CA$2:CA112,1),"")</f>
        <v>111</v>
      </c>
      <c r="FX112" s="207">
        <f>IF(CB112=1,COUNTIF($CB$2:CB112,1),"")</f>
        <v>111</v>
      </c>
      <c r="FY112" s="207">
        <f>IF(CC112=1,COUNTIF($CC$2:CC112,1),"")</f>
        <v>111</v>
      </c>
      <c r="FZ112" s="207">
        <f>IF(CD112=1,COUNTIF($CD$2:CD112,1),"")</f>
        <v>111</v>
      </c>
      <c r="GA112" s="207">
        <f>IF(CE112=1,COUNTIF($CE$2:CE112,1),"")</f>
        <v>111</v>
      </c>
      <c r="GB112" s="207">
        <f>IF(CF112=1,COUNTIF($CF$2:CF112,1),"")</f>
        <v>111</v>
      </c>
      <c r="GC112" s="207">
        <f>IF(CG112=1,COUNTIF($CG$2:CG112,1),"")</f>
        <v>111</v>
      </c>
      <c r="GD112" s="207">
        <f>IF(CH112=1,COUNTIF($CH$2:CH112,1),"")</f>
        <v>111</v>
      </c>
      <c r="GE112" s="207">
        <f>IF(CI112=1,COUNTIF($CI$2:CI112,1),"")</f>
        <v>111</v>
      </c>
      <c r="GF112" s="207">
        <f>IF(CJ112=1,COUNTIF($CJ$2:CJ112,1),"")</f>
        <v>111</v>
      </c>
      <c r="GG112" s="207">
        <f>IF(CK112=1,COUNTIF($CK$2:CK112,1),"")</f>
        <v>111</v>
      </c>
      <c r="GH112" s="207">
        <f>IF(CL112=1,COUNTIF($CL$2:CL112,1),"")</f>
        <v>111</v>
      </c>
      <c r="GI112" s="207">
        <f>IF(CM112=1,COUNTIF($CM$2:CM112,1),"")</f>
        <v>111</v>
      </c>
      <c r="GJ112" s="207">
        <f>IF(CN112=1,COUNTIF($CN$2:CN112,1),"")</f>
        <v>111</v>
      </c>
      <c r="GK112" s="207">
        <f>IF(CO112=1,COUNTIF($CO$2:CO112,1),"")</f>
        <v>111</v>
      </c>
      <c r="GL112" s="207">
        <f>IF(CP112=1,COUNTIF($CP$2:CP112,1),"")</f>
        <v>111</v>
      </c>
      <c r="GM112" s="207">
        <f>IF(CQ112=1,COUNTIF($CQ$2:CQ112,1),"")</f>
        <v>111</v>
      </c>
      <c r="GN112" s="207">
        <f>IF(CR112=1,COUNTIF($CR$2:CR112,1),"")</f>
        <v>111</v>
      </c>
      <c r="GO112" s="207">
        <f>IF(CS112=1,COUNTIF($CS$2:CS112,1),"")</f>
        <v>111</v>
      </c>
      <c r="GP112" s="207">
        <f>IF(CT112=1,COUNTIF($CT$2:CT112,1),"")</f>
        <v>111</v>
      </c>
      <c r="GQ112" s="207">
        <f>IF(CU112=1,COUNTIF($CU$2:CU112,1),"")</f>
        <v>111</v>
      </c>
      <c r="GR112" s="207">
        <f>IF(CV112=1,COUNTIF($CV$2:CV112,1),"")</f>
        <v>111</v>
      </c>
      <c r="GS112" s="207">
        <f>IF(CW112=1,COUNTIF($CW$2:CW112,1),"")</f>
        <v>111</v>
      </c>
      <c r="GT112" s="207">
        <f>IF(CX112=1,COUNTIF($CX$2:CX112,1),"")</f>
        <v>111</v>
      </c>
      <c r="GU112" s="207">
        <f>IF(CY112=1,COUNTIF($CY$2:CY112,1),"")</f>
        <v>111</v>
      </c>
      <c r="GV112" s="207">
        <f>IF(CZ112=1,COUNTIF($CZ$2:CZ112,1),"")</f>
        <v>111</v>
      </c>
      <c r="GW112" s="207">
        <f>IF(DA112=1,COUNTIF($DA$2:DA112,1),"")</f>
        <v>111</v>
      </c>
      <c r="GX112" s="206" t="str">
        <f>IFERROR(INDEX($A$2:$A$113,MATCH(ROWS($DB$2:DB112),$DB$2:$DB$113,0)),"")</f>
        <v>DELITOS CONTRA EL ORDEN ECONOMICO Y FINANCIERO</v>
      </c>
      <c r="GY112" s="206" t="str">
        <f>IFERROR(INDEX($A$2:$A$113,MATCH(ROWS($DC$2:DC112),$DC$2:$DC$113,0)),"")</f>
        <v>DELITOS CONTRA EL ORDEN ECONOMICO Y FINANCIERO</v>
      </c>
      <c r="GZ112" s="206" t="str">
        <f>IFERROR(INDEX($A$2:$A$113,MATCH(ROWS($DD$2:DD112),$DD$2:$DD$113,0)),"")</f>
        <v>DELITOS CONTRA EL ORDEN ECONOMICO Y FINANCIERO</v>
      </c>
      <c r="HA112" s="206" t="str">
        <f>IFERROR(INDEX($A$2:$A$113,MATCH(ROWS($DE$2:DE112),$DE$2:$DE$113,0)),"")</f>
        <v>DELITOS CONTRA EL ORDEN ECONOMICO Y FINANCIERO</v>
      </c>
      <c r="HB112" s="206" t="str">
        <f>IFERROR(INDEX($A$2:$A$113,MATCH(ROWS($DF$2:DF112),$DF$2:$DF$113,0)),"")</f>
        <v>DELITOS CONTRA EL ORDEN ECONOMICO Y FINANCIERO</v>
      </c>
      <c r="HC112" s="206" t="str">
        <f>IFERROR(INDEX($A$2:$A$113,MATCH(ROWS($DG$2:DG112),$DG$2:$DG$113,0)),"")</f>
        <v>DELITOS CONTRA EL ORDEN ECONOMICO Y FINANCIERO</v>
      </c>
      <c r="HD112" s="206" t="str">
        <f>IFERROR(INDEX($A$2:$A$113,MATCH(ROWS($DH$2:DH112),$DH$2:$DH$113,0)),"")</f>
        <v>DELITOS CONTRA EL ORDEN ECONOMICO Y FINANCIERO</v>
      </c>
      <c r="HE112" s="206" t="str">
        <f>IFERROR(INDEX($A$2:$A$113,MATCH(ROWS($DI$2:DI112),$DI$2:$DI$113,0)),"")</f>
        <v>DELITOS CONTRA EL ORDEN ECONOMICO Y FINANCIERO</v>
      </c>
      <c r="HF112" s="206" t="str">
        <f>IFERROR(INDEX($A$2:$A$113,MATCH(ROWS($DJ$2:DJ112),$DJ$2:$DJ$113,0)),"")</f>
        <v>DELITOS CONTRA EL ORDEN ECONOMICO Y FINANCIERO</v>
      </c>
      <c r="HG112" s="206" t="str">
        <f>IFERROR(INDEX($A$2:$A$113,MATCH(ROWS($DK$2:DK112),$DK$2:$DK$113,0)),"")</f>
        <v>DELITOS CONTRA EL ORDEN ECONOMICO Y FINANCIERO</v>
      </c>
      <c r="HH112" s="206" t="str">
        <f>IFERROR(INDEX($A$2:$A$113,MATCH(ROWS($DL$2:DL112),$DL$2:$DL$113,0)),"")</f>
        <v>DELITOS CONTRA EL ORDEN ECONOMICO Y FINANCIERO</v>
      </c>
      <c r="HI112" s="206" t="str">
        <f>IFERROR(INDEX($A$2:$A$113,MATCH(ROWS($DM$2:DM112),$DM$2:$DM$113,0)),"")</f>
        <v>DELITOS CONTRA EL ORDEN ECONOMICO Y FINANCIERO</v>
      </c>
      <c r="HJ112" s="206" t="str">
        <f>IFERROR(INDEX($A$2:$A$113,MATCH(ROWS($DN$2:DN112),$DN$2:$DN$113,0)),"")</f>
        <v>DELITOS CONTRA EL ORDEN ECONOMICO Y FINANCIERO</v>
      </c>
      <c r="HK112" s="206" t="str">
        <f>IFERROR(INDEX($A$2:$A$113,MATCH(ROWS($DO$2:DO112),$DO$2:$DO$113,0)),"")</f>
        <v>DELITOS CONTRA EL ORDEN ECONOMICO Y FINANCIERO</v>
      </c>
      <c r="HL112" s="206" t="str">
        <f>IFERROR(INDEX($A$2:$A$113,MATCH(ROWS($DP$2:DP112),$DP$2:$DP$113,0)),"")</f>
        <v>DELITOS CONTRA EL ORDEN ECONOMICO Y FINANCIERO</v>
      </c>
      <c r="HM112" s="206" t="str">
        <f>IFERROR(INDEX($A$2:$A$113,MATCH(ROWS($DQ$2:DQ112),$DQ$2:$DQ$113,0)),"")</f>
        <v>DELITOS CONTRA EL ORDEN ECONOMICO Y FINANCIERO</v>
      </c>
      <c r="HN112" s="206" t="str">
        <f>IFERROR(INDEX($A$2:$A$113,MATCH(ROWS($DR$2:DR112),$DR$2:$DR$113,0)),"")</f>
        <v>DELITOS CONTRA EL ORDEN ECONOMICO Y FINANCIERO</v>
      </c>
      <c r="HO112" s="206" t="str">
        <f>IFERROR(INDEX($A$2:$A$113,MATCH(ROWS($DS$2:DS112),$DS$2:$DS$113,0)),"")</f>
        <v>DELITOS CONTRA EL ORDEN ECONOMICO Y FINANCIERO</v>
      </c>
      <c r="HP112" s="206" t="str">
        <f>IFERROR(INDEX($A$2:$A$113,MATCH(ROWS($DT$2:DT112),$DT$2:$DT$113,0)),"")</f>
        <v>DELITOS CONTRA EL ORDEN ECONOMICO Y FINANCIERO</v>
      </c>
      <c r="HQ112" s="206" t="str">
        <f>IFERROR(INDEX($A$2:$A$113,MATCH(ROWS($DU$2:DU112),$DU$2:$DU$113,0)),"")</f>
        <v>DELITOS CONTRA EL ORDEN ECONOMICO Y FINANCIERO</v>
      </c>
      <c r="HR112" s="206" t="str">
        <f>IFERROR(INDEX($A$2:$A$113,MATCH(ROWS($DV$2:DV112),$DV$2:$DV$113,0)),"")</f>
        <v>DELITOS CONTRA EL ORDEN ECONOMICO Y FINANCIERO</v>
      </c>
      <c r="HS112" s="206" t="str">
        <f>IFERROR(INDEX($A$2:$A$113,MATCH(ROWS($DW$2:DW112),$DW$2:$DW$113,0)),"")</f>
        <v>DELITOS CONTRA EL ORDEN ECONOMICO Y FINANCIERO</v>
      </c>
      <c r="HT112" s="206" t="str">
        <f>IFERROR(INDEX($A$2:$A$113,MATCH(ROWS($DX$2:DX112),$DX$2:$DX$113,0)),"")</f>
        <v>DELITOS CONTRA EL ORDEN ECONOMICO Y FINANCIERO</v>
      </c>
      <c r="HU112" s="206" t="str">
        <f>IFERROR(INDEX($A$2:$A$113,MATCH(ROWS($DY$2:DY112),$DY$2:$DY$113,0)),"")</f>
        <v>DELITOS CONTRA EL ORDEN ECONOMICO Y FINANCIERO</v>
      </c>
      <c r="HV112" s="206" t="str">
        <f>IFERROR(INDEX($A$2:$A$113,MATCH(ROWS($DZ$2:DZ112),$DZ$2:$DZ$113,0)),"")</f>
        <v>DELITOS CONTRA EL ORDEN ECONOMICO Y FINANCIERO</v>
      </c>
      <c r="HW112" s="206" t="str">
        <f>IFERROR(INDEX($A$2:$A$113,MATCH(ROWS($EA$2:EA112),$EA$2:$EA$113,0)),"")</f>
        <v>DELITOS CONTRA EL ORDEN ECONOMICO Y FINANCIERO</v>
      </c>
      <c r="HX112" s="206" t="str">
        <f>IFERROR(INDEX($A$2:$A$113,MATCH(ROWS($EB$2:EB112),$EB$2:$EB$113,0)),"")</f>
        <v>DELITOS CONTRA EL ORDEN ECONOMICO Y FINANCIERO</v>
      </c>
      <c r="HY112" s="206" t="str">
        <f>IFERROR(INDEX($A$2:$A$113,MATCH(ROWS($EC$2:EC112),$EC$2:$EC$113,0)),"")</f>
        <v>DELITOS CONTRA EL ORDEN ECONOMICO Y FINANCIERO</v>
      </c>
      <c r="HZ112" s="206" t="str">
        <f>IFERROR(INDEX($A$2:$A$113,MATCH(ROWS($ED$2:ED112),$ED$2:$ED$113,0)),"")</f>
        <v>DELITOS CONTRA EL ORDEN ECONOMICO Y FINANCIERO</v>
      </c>
      <c r="IA112" s="206" t="str">
        <f>IFERROR(INDEX($A$2:$A$113,MATCH(ROWS($EE$2:EE112),$EE$2:$EE$113,0)),"")</f>
        <v>DELITOS CONTRA EL ORDEN ECONOMICO Y FINANCIERO</v>
      </c>
      <c r="IB112" s="206" t="str">
        <f>IFERROR(INDEX($A$2:$A$113,MATCH(ROWS($EF$2:EF112),$EF$2:$EF$113,0)),"")</f>
        <v>DELITOS CONTRA EL ORDEN ECONOMICO Y FINANCIERO</v>
      </c>
      <c r="IC112" s="206" t="str">
        <f>IFERROR(INDEX($A$2:$A$113,MATCH(ROWS($EG$2:EG112),$EG$2:$EG$113,0)),"")</f>
        <v>DELITOS CONTRA EL ORDEN ECONOMICO Y FINANCIERO</v>
      </c>
      <c r="ID112" s="206" t="str">
        <f>IFERROR(INDEX($A$2:$A$113,MATCH(ROWS($EH$2:EH112),$EH$2:$EH$113,0)),"")</f>
        <v>DELITOS CONTRA EL ORDEN ECONOMICO Y FINANCIERO</v>
      </c>
      <c r="IE112" s="206" t="str">
        <f>IFERROR(INDEX($A$2:$A$113,MATCH(ROWS($EI$2:EI112),$EI$2:$EI$113,0)),"")</f>
        <v>DELITOS CONTRA EL ORDEN ECONOMICO Y FINANCIERO</v>
      </c>
      <c r="IF112" s="206" t="str">
        <f>IFERROR(INDEX($A$2:$A$113,MATCH(ROWS($EJ$2:EJ112),$EJ$2:$EJ$113,0)),"")</f>
        <v>DELITOS CONTRA EL ORDEN ECONOMICO Y FINANCIERO</v>
      </c>
      <c r="IG112" s="206" t="str">
        <f>IFERROR(INDEX($A$2:$A$113,MATCH(ROWS($EK$2:EK112),$EK$2:$EK$113,0)),"")</f>
        <v>DELITOS CONTRA EL ORDEN ECONOMICO Y FINANCIERO</v>
      </c>
      <c r="IH112" s="206" t="str">
        <f>IFERROR(INDEX($A$2:$A$113,MATCH(ROWS($EL$2:EL112),$EL$2:$EL$113,0)),"")</f>
        <v>DELITOS CONTRA EL ORDEN ECONOMICO Y FINANCIERO</v>
      </c>
      <c r="II112" s="206" t="str">
        <f>IFERROR(INDEX($A$2:$A$113,MATCH(ROWS($EM$2:EM112),$EM$2:$EM$113,0)),"")</f>
        <v>DELITOS CONTRA EL ORDEN ECONOMICO Y FINANCIERO</v>
      </c>
      <c r="IJ112" s="206" t="str">
        <f>IFERROR(INDEX($A$2:$A$113,MATCH(ROWS($EN$2:EN112),$EN$2:$EN$113,0)),"")</f>
        <v>DELITOS CONTRA EL ORDEN ECONOMICO Y FINANCIERO</v>
      </c>
      <c r="IK112" s="207" t="str">
        <f>IFERROR(INDEX($A$2:$A$113,MATCH(ROWS($EO$2:EO112),$EO$2:$EO$113,0)),"")</f>
        <v>DELITOS CONTRA EL ORDEN ECONOMICO Y FINANCIERO</v>
      </c>
      <c r="IL112" s="207" t="str">
        <f>IFERROR(INDEX($A$2:$A$113,MATCH(ROWS($EP$2:EP112),$EP$2:$EP$113,0)),"")</f>
        <v>DELITOS CONTRA EL ORDEN ECONOMICO Y FINANCIERO</v>
      </c>
      <c r="IM112" s="207" t="str">
        <f>IFERROR(INDEX($A$2:$A$113,MATCH(ROWS($EQ$2:EQ112),$EQ$2:$EQ$113,0)),"")</f>
        <v>DELITOS CONTRA EL ORDEN ECONOMICO Y FINANCIERO</v>
      </c>
      <c r="IN112" s="207" t="str">
        <f>IFERROR(INDEX($A$2:$A$113,MATCH(ROWS($ER$2:ER112),$ER$2:$ER$113,0)),"")</f>
        <v>DELITOS CONTRA EL ORDEN ECONOMICO Y FINANCIERO</v>
      </c>
      <c r="IO112" s="207" t="str">
        <f>IFERROR(INDEX($A$2:$A$113,MATCH(ROWS($ES$2:ES112),$ES$2:$ES$113,0)),"")</f>
        <v>DELITOS CONTRA EL ORDEN ECONOMICO Y FINANCIERO</v>
      </c>
      <c r="IP112" s="207" t="str">
        <f>IFERROR(INDEX($A$2:$A$113,MATCH(ROWS($ET$2:ET112),$ET$2:$ET$113,0)),"")</f>
        <v>DELITOS CONTRA EL ORDEN ECONOMICO Y FINANCIERO</v>
      </c>
      <c r="IQ112" s="207" t="str">
        <f>IFERROR(INDEX($A$2:$A$113,MATCH(ROWS($EU$2:EU112),$EU$2:$EU$113,0)),"")</f>
        <v>DELITOS CONTRA EL ORDEN ECONOMICO Y FINANCIERO</v>
      </c>
      <c r="IR112" s="207" t="str">
        <f>IFERROR(INDEX($A$2:$A$113,MATCH(ROWS($EV$2:EV112),$EV$2:$EV$113,0)),"")</f>
        <v>DELITOS CONTRA EL ORDEN ECONOMICO Y FINANCIERO</v>
      </c>
      <c r="IS112" s="207" t="str">
        <f>IFERROR(INDEX($A$2:$A$113,MATCH(ROWS($EW$2:EW112),$EW$2:$EW$113,0)),"")</f>
        <v>DELITOS CONTRA EL ORDEN ECONOMICO Y FINANCIERO</v>
      </c>
      <c r="IT112" s="207" t="str">
        <f>IFERROR(INDEX($A$2:$A$113,MATCH(ROWS($EX$2:EX112),$EX$2:$EX$113,0)),"")</f>
        <v>DELITOS CONTRA EL ORDEN ECONOMICO Y FINANCIERO</v>
      </c>
      <c r="IU112" s="207" t="str">
        <f>IFERROR(INDEX($A$2:$A$113,MATCH(ROWS($EY$2:EY112),$EY$2:$EY$113,0)),"")</f>
        <v>DELITOS CONTRA EL ORDEN ECONOMICO Y FINANCIERO</v>
      </c>
      <c r="IV112" s="207" t="str">
        <f>IFERROR(INDEX($A$2:$A$113,MATCH(ROWS($EZ$2:EZ112),$EZ$2:$EZ$113,0)),"")</f>
        <v>DELITOS CONTRA EL ORDEN ECONOMICO Y FINANCIERO</v>
      </c>
      <c r="IW112" s="207" t="str">
        <f>IFERROR(INDEX($A$2:$A$113,MATCH(ROWS($FA$2:FA112),$FA$2:$FA$113,0)),"")</f>
        <v>DELITOS CONTRA EL ORDEN ECONOMICO Y FINANCIERO</v>
      </c>
      <c r="IX112" s="207" t="str">
        <f>IFERROR(INDEX($A$2:$A$113,MATCH(ROWS($FB$2:FB112),$FB$2:$FB$113,0)),"")</f>
        <v>DELITOS CONTRA EL ORDEN ECONOMICO Y FINANCIERO</v>
      </c>
      <c r="IY112" s="207" t="str">
        <f>IFERROR(INDEX($A$2:$A$113,MATCH(ROWS($FC$2:FC112),$FC$2:$FC$113,0)),"")</f>
        <v>DELITOS CONTRA EL ORDEN ECONOMICO Y FINANCIERO</v>
      </c>
      <c r="IZ112" s="207" t="str">
        <f>IFERROR(INDEX($A$2:$A$113,MATCH(ROWS($FD$2:FD112),$FD$2:$FD$113,0)),"")</f>
        <v>DELITOS CONTRA EL ORDEN ECONOMICO Y FINANCIERO</v>
      </c>
      <c r="JA112" s="207" t="str">
        <f>IFERROR(INDEX($A$2:$A$113,MATCH(ROWS($FE$2:FE112),$FE$2:$FE$113,0)),"")</f>
        <v>DELITOS CONTRA EL ORDEN ECONOMICO Y FINANCIERO</v>
      </c>
      <c r="JB112" s="207" t="str">
        <f>IFERROR(INDEX($A$2:$A$113,MATCH(ROWS($FF$2:FF112),$FF$2:$FF$113,0)),"")</f>
        <v>DELITOS CONTRA EL ORDEN ECONOMICO Y FINANCIERO</v>
      </c>
      <c r="JC112" s="207" t="str">
        <f>IFERROR(INDEX($A$2:$A$113,MATCH(ROWS($FG$2:FG112),$FG$2:$FG$113,0)),"")</f>
        <v>DELITOS CONTRA EL ORDEN ECONOMICO Y FINANCIERO</v>
      </c>
      <c r="JD112" s="207" t="str">
        <f>IFERROR(INDEX($A$2:$A$113,MATCH(ROWS($FH$2:FH112),$FH$2:$FH$113,0)),"")</f>
        <v>DELITOS CONTRA EL ORDEN ECONOMICO Y FINANCIERO</v>
      </c>
      <c r="JE112" s="207" t="str">
        <f>IFERROR(INDEX($A$2:$A$113,MATCH(ROWS($FI$2:FI112),$FI$2:$FI$113,0)),"")</f>
        <v>DELITOS CONTRA EL ORDEN ECONOMICO Y FINANCIERO</v>
      </c>
      <c r="JF112" s="207" t="str">
        <f>IFERROR(INDEX($A$2:$A$113,MATCH(ROWS($FJ$2:FJ112),$FJ$2:$FJ$113,0)),"")</f>
        <v>DELITOS CONTRA EL ORDEN ECONOMICO Y FINANCIERO</v>
      </c>
      <c r="JG112" s="207" t="str">
        <f>IFERROR(INDEX($A$2:$A$113,MATCH(ROWS($FK$2:FK112),$FK$2:$FK$113,0)),"")</f>
        <v>DELITOS CONTRA EL ORDEN ECONOMICO Y FINANCIERO</v>
      </c>
      <c r="JH112" s="207" t="str">
        <f>IFERROR(INDEX($A$2:$A$113,MATCH(ROWS($FL$2:FL112),$FL$2:$FL$113,0)),"")</f>
        <v>DELITOS CONTRA EL ORDEN ECONOMICO Y FINANCIERO</v>
      </c>
      <c r="JI112" s="207" t="str">
        <f>IFERROR(INDEX($A$2:$A$113,MATCH(ROWS($FM$2:FM112),$FM$2:$FM$113,0)),"")</f>
        <v>DELITOS CONTRA EL ORDEN ECONOMICO Y FINANCIERO</v>
      </c>
      <c r="JJ112" s="207" t="str">
        <f>IFERROR(INDEX($A$2:$A$113,MATCH(ROWS($FN$2:FN112),$FN$2:$FN$113,0)),"")</f>
        <v>DELITOS CONTRA EL ORDEN ECONOMICO Y FINANCIERO</v>
      </c>
      <c r="JK112" s="207" t="str">
        <f>IFERROR(INDEX($A$2:$A$113,MATCH(ROWS($FO$2:FO112),$FO$2:$FO$113,0)),"")</f>
        <v>DELITOS CONTRA EL ORDEN ECONOMICO Y FINANCIERO</v>
      </c>
      <c r="JL112" s="207" t="str">
        <f>IFERROR(INDEX($A$2:$A$113,MATCH(ROWS($FP$2:FP112),$FP$2:$FP$113,0)),"")</f>
        <v>DELITOS CONTRA EL ORDEN ECONOMICO Y FINANCIERO</v>
      </c>
      <c r="JM112" s="207" t="str">
        <f>IFERROR(INDEX($A$2:$A$113,MATCH(ROWS($FQ$2:FQ112),$FQ$2:$FQ$113,0)),"")</f>
        <v>DELITOS CONTRA EL ORDEN ECONOMICO Y FINANCIERO</v>
      </c>
      <c r="JN112" s="207" t="str">
        <f>IFERROR(INDEX($A$2:$A$113,MATCH(ROWS($FR$2:FR112),$FR$2:$FR$113,0)),"")</f>
        <v>DELITOS CONTRA EL ORDEN ECONOMICO Y FINANCIERO</v>
      </c>
      <c r="JO112" s="207" t="str">
        <f>IFERROR(INDEX($A$2:$A$113,MATCH(ROWS($FS$2:FS112),$FS$2:$FS$113,0)),"")</f>
        <v>DELITOS CONTRA EL ORDEN ECONOMICO Y FINANCIERO</v>
      </c>
      <c r="JP112" s="207" t="str">
        <f>IFERROR(INDEX($A$2:$A$113,MATCH(ROWS($FT$2:FT112),$FT$2:$FT$113,0)),"")</f>
        <v>DELITOS CONTRA EL ORDEN ECONOMICO Y FINANCIERO</v>
      </c>
      <c r="JQ112" s="207" t="str">
        <f>IFERROR(INDEX($A$2:$A$113,MATCH(ROWS($FU$2:FU112),$FU$2:$FU$113,0)),"")</f>
        <v>DELITOS CONTRA EL ORDEN ECONOMICO Y FINANCIERO</v>
      </c>
      <c r="JR112" s="207" t="str">
        <f>IFERROR(INDEX($A$2:$A$113,MATCH(ROWS($FV$2:FV112),$FV$2:$FV$113,0)),"")</f>
        <v>DELITOS CONTRA EL ORDEN ECONOMICO Y FINANCIERO</v>
      </c>
      <c r="JS112" s="207" t="str">
        <f>IFERROR(INDEX($A$2:$A$113,MATCH(ROWS($FW$2:FW112),$FW$2:$FW$113,0)),"")</f>
        <v>DELITOS CONTRA EL ORDEN ECONOMICO Y FINANCIERO</v>
      </c>
      <c r="JT112" s="207" t="str">
        <f>IFERROR(INDEX($A$2:$A$113,MATCH(ROWS($FX$2:FX112),$FX$2:$FX$113,0)),"")</f>
        <v>DELITOS CONTRA EL ORDEN ECONOMICO Y FINANCIERO</v>
      </c>
      <c r="JU112" s="207" t="str">
        <f>IFERROR(INDEX($A$2:$A$113,MATCH(ROWS($FY$2:FY112),$FY$2:$FY$113,0)),"")</f>
        <v>DELITOS CONTRA EL ORDEN ECONOMICO Y FINANCIERO</v>
      </c>
      <c r="JV112" s="207" t="str">
        <f>IFERROR(INDEX($A$2:$A$113,MATCH(ROWS($FZ$2:FZ112),$FZ$2:$FZ$113,0)),"")</f>
        <v>DELITOS CONTRA EL ORDEN ECONOMICO Y FINANCIERO</v>
      </c>
      <c r="JW112" s="207" t="str">
        <f>IFERROR(INDEX($A$2:$A$113,MATCH(ROWS($GA$2:GA112),$GA$2:$GA$113,0)),"")</f>
        <v>DELITOS CONTRA EL ORDEN ECONOMICO Y FINANCIERO</v>
      </c>
      <c r="JX112" s="207" t="str">
        <f>IFERROR(INDEX($A$2:$A$113,MATCH(ROWS($GB$2:GB112),$GB$2:$GB$113,0)),"")</f>
        <v>DELITOS CONTRA EL ORDEN ECONOMICO Y FINANCIERO</v>
      </c>
      <c r="JY112" s="207" t="str">
        <f>IFERROR(INDEX($A$2:$A$113,MATCH(ROWS($GC$2:GC112),$GC$2:$GC$113,0)),"")</f>
        <v>DELITOS CONTRA EL ORDEN ECONOMICO Y FINANCIERO</v>
      </c>
      <c r="JZ112" s="207" t="str">
        <f>IFERROR(INDEX($A$2:$A$113,MATCH(ROWS($GD$2:GD112),$GD$2:$GD$113,0)),"")</f>
        <v>DELITOS CONTRA EL ORDEN ECONOMICO Y FINANCIERO</v>
      </c>
      <c r="KA112" s="207" t="str">
        <f>IFERROR(INDEX($A$2:$A$113,MATCH(ROWS($GE$2:GE112),$GE$2:$GE$113,0)),"")</f>
        <v>DELITOS CONTRA EL ORDEN ECONOMICO Y FINANCIERO</v>
      </c>
      <c r="KB112" s="207" t="str">
        <f>IFERROR(INDEX($A$2:$A$113,MATCH(ROWS($GF$2:GF112),$GF$2:$GF$113,0)),"")</f>
        <v>DELITOS CONTRA EL ORDEN ECONOMICO Y FINANCIERO</v>
      </c>
      <c r="KC112" s="207" t="str">
        <f>IFERROR(INDEX($A$2:$A$113,MATCH(ROWS($GG$2:GG112),$GG$2:$GG$113,0)),"")</f>
        <v>DELITOS CONTRA EL ORDEN ECONOMICO Y FINANCIERO</v>
      </c>
      <c r="KD112" s="207" t="str">
        <f>IFERROR(INDEX($A$2:$A$113,MATCH(ROWS($GH$2:GH112),$GH$2:$GH$113,0)),"")</f>
        <v>DELITOS CONTRA EL ORDEN ECONOMICO Y FINANCIERO</v>
      </c>
      <c r="KE112" s="207" t="str">
        <f>IFERROR(INDEX($A$2:$A$113,MATCH(ROWS($GI$2:GI112),$GI$2:$GI$113,0)),"")</f>
        <v>DELITOS CONTRA EL ORDEN ECONOMICO Y FINANCIERO</v>
      </c>
      <c r="KF112" s="207" t="str">
        <f>IFERROR(INDEX($A$2:$A$113,MATCH(ROWS($GJ$2:GJ112),$GJ$2:$GJ$113,0)),"")</f>
        <v>DELITOS CONTRA EL ORDEN ECONOMICO Y FINANCIERO</v>
      </c>
      <c r="KG112" s="207" t="str">
        <f>IFERROR(INDEX($A$2:$A$113,MATCH(ROWS($GK$2:GK112),$GK$2:$GK$113,0)),"")</f>
        <v>DELITOS CONTRA EL ORDEN ECONOMICO Y FINANCIERO</v>
      </c>
      <c r="KH112" s="207" t="str">
        <f>IFERROR(INDEX($A$2:$A$113,MATCH(ROWS($GL$2:GL112),$GL$2:$GL$113,0)),"")</f>
        <v>DELITOS CONTRA EL ORDEN ECONOMICO Y FINANCIERO</v>
      </c>
      <c r="KI112" s="207" t="str">
        <f>IFERROR(INDEX($A$2:$A$113,MATCH(ROWS($GM$2:GM112),$GM$2:$GM$113,0)),"")</f>
        <v>DELITOS CONTRA EL ORDEN ECONOMICO Y FINANCIERO</v>
      </c>
      <c r="KJ112" s="207" t="str">
        <f>IFERROR(INDEX($A$2:$A$113,MATCH(ROWS($GN$2:GN112),$GN$2:$GN$113,0)),"")</f>
        <v>DELITOS CONTRA EL ORDEN ECONOMICO Y FINANCIERO</v>
      </c>
      <c r="KK112" s="207" t="str">
        <f>IFERROR(INDEX($A$2:$A$113,MATCH(ROWS($GO$2:GO112),$GO$2:$GO$113,0)),"")</f>
        <v>DELITOS CONTRA EL ORDEN ECONOMICO Y FINANCIERO</v>
      </c>
      <c r="KL112" s="207" t="str">
        <f>IFERROR(INDEX($A$2:$A$113,MATCH(ROWS($GP$2:GP112),$GP$2:$GP$113,0)),"")</f>
        <v>DELITOS CONTRA EL ORDEN ECONOMICO Y FINANCIERO</v>
      </c>
      <c r="KM112" s="207" t="str">
        <f>IFERROR(INDEX($A$2:$A$113,MATCH(ROWS($GQ$2:GQ112),$GQ$2:$GQ$113,0)),"")</f>
        <v>DELITOS CONTRA EL ORDEN ECONOMICO Y FINANCIERO</v>
      </c>
      <c r="KN112" s="207" t="str">
        <f>IFERROR(INDEX($A$2:$A$113,MATCH(ROWS($GR$2:GR112),$GR$2:$GR$113,0)),"")</f>
        <v>DELITOS CONTRA EL ORDEN ECONOMICO Y FINANCIERO</v>
      </c>
      <c r="KO112" s="207" t="str">
        <f>IFERROR(INDEX($A$2:$A$113,MATCH(ROWS($GS$2:GS112),$GS$2:$GS$113,0)),"")</f>
        <v>DELITOS CONTRA EL ORDEN ECONOMICO Y FINANCIERO</v>
      </c>
      <c r="KP112" s="207" t="str">
        <f>IFERROR(INDEX($A$2:$A$113,MATCH(ROWS($GT$2:GT112),$GT$2:$GT$113,0)),"")</f>
        <v>DELITOS CONTRA EL ORDEN ECONOMICO Y FINANCIERO</v>
      </c>
      <c r="KQ112" s="207" t="str">
        <f>IFERROR(INDEX($A$2:$A$113,MATCH(ROWS($GU$2:GU112),$GU$2:$GU$113,0)),"")</f>
        <v>DELITOS CONTRA EL ORDEN ECONOMICO Y FINANCIERO</v>
      </c>
      <c r="KR112" s="207" t="str">
        <f>IFERROR(INDEX($A$2:$A$113,MATCH(ROWS($GV$2:GV112),$GV$2:$GV$113,0)),"")</f>
        <v>DELITOS CONTRA EL ORDEN ECONOMICO Y FINANCIERO</v>
      </c>
      <c r="KS112" s="207" t="str">
        <f>IFERROR(INDEX($A$2:$A$113,MATCH(ROWS($GW$2:GW112),$GW$2:$GW$113,0)),"")</f>
        <v>DELITOS CONTRA EL ORDEN ECONOMICO Y FINANCIERO</v>
      </c>
    </row>
    <row r="113" spans="1:305" x14ac:dyDescent="0.25">
      <c r="A113" s="206" t="str">
        <f>""</f>
        <v/>
      </c>
      <c r="AS113" s="207"/>
      <c r="AT113" s="207"/>
      <c r="AU113" s="207"/>
      <c r="AV113" s="207"/>
      <c r="AW113" s="207"/>
      <c r="AX113" s="207"/>
      <c r="AY113" s="207"/>
      <c r="AZ113" s="207"/>
      <c r="BA113" s="207"/>
      <c r="BB113" s="207"/>
      <c r="BC113" s="207"/>
      <c r="BD113" s="207"/>
      <c r="BE113" s="207"/>
      <c r="BF113" s="207"/>
      <c r="BG113" s="207"/>
      <c r="BH113" s="207"/>
      <c r="BI113" s="207"/>
      <c r="BJ113" s="207"/>
      <c r="BK113" s="207"/>
      <c r="BL113" s="207"/>
      <c r="BM113" s="207"/>
      <c r="BN113" s="207"/>
      <c r="BO113" s="207"/>
      <c r="BP113" s="207"/>
      <c r="BQ113" s="207"/>
      <c r="BR113" s="207"/>
      <c r="BS113" s="207"/>
      <c r="BT113" s="207"/>
      <c r="BU113" s="207"/>
      <c r="BV113" s="207"/>
      <c r="BW113" s="207"/>
      <c r="BX113" s="207"/>
      <c r="BY113" s="207"/>
      <c r="BZ113" s="207"/>
      <c r="CA113" s="207"/>
      <c r="CB113" s="207"/>
      <c r="CC113" s="207"/>
      <c r="CD113" s="207"/>
      <c r="CE113" s="207"/>
      <c r="CF113" s="207"/>
      <c r="CG113" s="207"/>
      <c r="CH113" s="207"/>
      <c r="CI113" s="207"/>
      <c r="CJ113" s="207"/>
      <c r="CK113" s="207"/>
      <c r="CL113" s="207"/>
      <c r="CM113" s="207"/>
      <c r="CN113" s="207"/>
      <c r="CO113" s="207"/>
      <c r="CP113" s="207"/>
      <c r="CQ113" s="207"/>
      <c r="CR113" s="207"/>
      <c r="CS113" s="207"/>
      <c r="CT113" s="207"/>
      <c r="CU113" s="207"/>
      <c r="CV113" s="207"/>
      <c r="CW113" s="207"/>
      <c r="CX113" s="207"/>
      <c r="CY113" s="207"/>
      <c r="CZ113" s="207"/>
      <c r="DA113" s="207"/>
      <c r="DB113" s="207"/>
      <c r="EO113" s="207"/>
      <c r="EP113" s="207"/>
      <c r="EQ113" s="207"/>
      <c r="ER113" s="207"/>
      <c r="ES113" s="207"/>
      <c r="ET113" s="207"/>
      <c r="EU113" s="207"/>
      <c r="EV113" s="207"/>
      <c r="EW113" s="207"/>
      <c r="EX113" s="207"/>
      <c r="EY113" s="207"/>
      <c r="EZ113" s="207"/>
      <c r="FA113" s="207"/>
      <c r="FB113" s="207"/>
      <c r="FC113" s="207"/>
      <c r="FD113" s="207"/>
      <c r="FE113" s="207"/>
      <c r="FF113" s="207"/>
      <c r="FG113" s="207"/>
      <c r="FH113" s="207"/>
      <c r="FI113" s="207"/>
      <c r="FJ113" s="207"/>
      <c r="FK113" s="207"/>
      <c r="FL113" s="207"/>
      <c r="FM113" s="207"/>
      <c r="FN113" s="207"/>
      <c r="FO113" s="207"/>
      <c r="FP113" s="207"/>
      <c r="FQ113" s="207"/>
      <c r="FR113" s="207"/>
      <c r="FS113" s="207"/>
      <c r="FT113" s="207"/>
      <c r="FU113" s="207"/>
      <c r="FV113" s="207"/>
      <c r="FW113" s="207"/>
      <c r="FX113" s="207"/>
      <c r="FY113" s="207"/>
      <c r="FZ113" s="207"/>
      <c r="GA113" s="207"/>
      <c r="GB113" s="207"/>
      <c r="GC113" s="207"/>
      <c r="GD113" s="207"/>
      <c r="GE113" s="207"/>
      <c r="GF113" s="207"/>
      <c r="GG113" s="207"/>
      <c r="GH113" s="207"/>
      <c r="GI113" s="207"/>
      <c r="GJ113" s="207"/>
      <c r="GK113" s="207"/>
      <c r="GL113" s="207"/>
      <c r="GM113" s="207"/>
      <c r="GN113" s="207"/>
      <c r="GO113" s="207"/>
      <c r="GP113" s="207"/>
      <c r="GQ113" s="207"/>
      <c r="GR113" s="207"/>
      <c r="GS113" s="207"/>
      <c r="GT113" s="207"/>
      <c r="GU113" s="207"/>
      <c r="GV113" s="207"/>
      <c r="GW113" s="207"/>
      <c r="IK113" s="207"/>
      <c r="IL113" s="207"/>
      <c r="IM113" s="207"/>
      <c r="IN113" s="207"/>
      <c r="IO113" s="207"/>
      <c r="IP113" s="207"/>
      <c r="IQ113" s="207"/>
      <c r="IR113" s="207"/>
      <c r="IS113" s="207"/>
      <c r="IT113" s="207"/>
      <c r="IU113" s="207"/>
      <c r="IV113" s="207"/>
      <c r="IW113" s="207"/>
      <c r="IX113" s="207"/>
      <c r="IY113" s="207"/>
      <c r="IZ113" s="207"/>
      <c r="JA113" s="207"/>
      <c r="JB113" s="207"/>
      <c r="JC113" s="207"/>
      <c r="JD113" s="207"/>
      <c r="JE113" s="207"/>
      <c r="JF113" s="207"/>
      <c r="JG113" s="207"/>
      <c r="JH113" s="207"/>
      <c r="JI113" s="207"/>
      <c r="JJ113" s="207"/>
      <c r="JK113" s="207"/>
      <c r="JL113" s="207"/>
      <c r="JM113" s="207"/>
      <c r="JN113" s="207"/>
      <c r="JO113" s="207"/>
      <c r="JP113" s="207"/>
      <c r="JQ113" s="207"/>
      <c r="JR113" s="207"/>
      <c r="JS113" s="207"/>
      <c r="JT113" s="207"/>
      <c r="JU113" s="207"/>
      <c r="JV113" s="207"/>
      <c r="JW113" s="207"/>
      <c r="JX113" s="207"/>
      <c r="JY113" s="207"/>
      <c r="JZ113" s="207"/>
      <c r="KA113" s="207"/>
      <c r="KB113" s="207"/>
      <c r="KC113" s="207"/>
      <c r="KD113" s="207"/>
      <c r="KE113" s="207"/>
      <c r="KF113" s="207"/>
      <c r="KG113" s="207"/>
      <c r="KH113" s="207"/>
      <c r="KI113" s="207"/>
      <c r="KJ113" s="207"/>
      <c r="KK113" s="207"/>
      <c r="KL113" s="207"/>
      <c r="KM113" s="207"/>
      <c r="KN113" s="207"/>
      <c r="KO113" s="207"/>
      <c r="KP113" s="207"/>
      <c r="KQ113" s="207"/>
      <c r="KR113" s="207"/>
      <c r="KS113" s="207"/>
    </row>
    <row r="114" spans="1:305" x14ac:dyDescent="0.25">
      <c r="AS114" s="207"/>
    </row>
    <row r="116" spans="1:305" x14ac:dyDescent="0.25">
      <c r="B116" s="206" t="s">
        <v>401</v>
      </c>
      <c r="D116" s="206" t="s">
        <v>401</v>
      </c>
    </row>
    <row r="117" spans="1:305" x14ac:dyDescent="0.25">
      <c r="B117" s="206" t="s">
        <v>402</v>
      </c>
      <c r="D117" s="206" t="s">
        <v>402</v>
      </c>
    </row>
    <row r="118" spans="1:305" x14ac:dyDescent="0.25">
      <c r="B118" s="206" t="s">
        <v>403</v>
      </c>
      <c r="D118" s="206" t="s">
        <v>403</v>
      </c>
    </row>
    <row r="119" spans="1:305" x14ac:dyDescent="0.25">
      <c r="B119" s="206" t="s">
        <v>404</v>
      </c>
      <c r="D119" s="206" t="s">
        <v>404</v>
      </c>
    </row>
    <row r="122" spans="1:305" x14ac:dyDescent="0.25">
      <c r="B122" s="206" t="s">
        <v>408</v>
      </c>
    </row>
    <row r="123" spans="1:305" x14ac:dyDescent="0.25">
      <c r="B123" s="206" t="s">
        <v>409</v>
      </c>
    </row>
    <row r="124" spans="1:305" x14ac:dyDescent="0.25">
      <c r="B124" s="206" t="s">
        <v>410</v>
      </c>
    </row>
    <row r="125" spans="1:305" x14ac:dyDescent="0.25">
      <c r="B125" s="206" t="s">
        <v>652</v>
      </c>
    </row>
    <row r="126" spans="1:305" x14ac:dyDescent="0.25">
      <c r="B126" s="206" t="s">
        <v>479</v>
      </c>
    </row>
    <row r="127" spans="1:305" x14ac:dyDescent="0.25">
      <c r="B127" s="206" t="s">
        <v>413</v>
      </c>
    </row>
    <row r="128" spans="1:305" x14ac:dyDescent="0.25">
      <c r="B128" s="206" t="s">
        <v>414</v>
      </c>
    </row>
    <row r="131" spans="2:6" x14ac:dyDescent="0.25">
      <c r="B131" s="206" t="s">
        <v>415</v>
      </c>
      <c r="C131" s="206" t="s">
        <v>416</v>
      </c>
      <c r="D131" s="206" t="s">
        <v>411</v>
      </c>
      <c r="E131" s="206" t="s">
        <v>417</v>
      </c>
      <c r="F131" s="206" t="s">
        <v>418</v>
      </c>
    </row>
    <row r="132" spans="2:6" x14ac:dyDescent="0.25">
      <c r="B132" s="206" t="s">
        <v>416</v>
      </c>
      <c r="E132" s="206" t="s">
        <v>420</v>
      </c>
      <c r="F132" s="206" t="s">
        <v>429</v>
      </c>
    </row>
    <row r="133" spans="2:6" x14ac:dyDescent="0.25">
      <c r="B133" s="206" t="s">
        <v>411</v>
      </c>
      <c r="E133" s="206" t="s">
        <v>421</v>
      </c>
      <c r="F133" s="206" t="s">
        <v>428</v>
      </c>
    </row>
    <row r="134" spans="2:6" x14ac:dyDescent="0.25">
      <c r="B134" s="206" t="s">
        <v>417</v>
      </c>
      <c r="E134" s="206" t="s">
        <v>422</v>
      </c>
      <c r="F134" s="206" t="s">
        <v>427</v>
      </c>
    </row>
    <row r="135" spans="2:6" x14ac:dyDescent="0.25">
      <c r="B135" s="206" t="s">
        <v>418</v>
      </c>
      <c r="E135" s="206" t="s">
        <v>425</v>
      </c>
      <c r="F135" s="206" t="s">
        <v>430</v>
      </c>
    </row>
    <row r="136" spans="2:6" x14ac:dyDescent="0.25">
      <c r="E136" s="206" t="s">
        <v>423</v>
      </c>
      <c r="F136" s="206" t="s">
        <v>972</v>
      </c>
    </row>
    <row r="137" spans="2:6" x14ac:dyDescent="0.25">
      <c r="E137" s="206" t="s">
        <v>424</v>
      </c>
      <c r="F137" s="206" t="s">
        <v>512</v>
      </c>
    </row>
    <row r="138" spans="2:6" x14ac:dyDescent="0.25">
      <c r="B138" s="206" t="s">
        <v>468</v>
      </c>
      <c r="E138" s="206" t="s">
        <v>433</v>
      </c>
      <c r="F138" s="206" t="s">
        <v>957</v>
      </c>
    </row>
    <row r="139" spans="2:6" x14ac:dyDescent="0.25">
      <c r="B139" s="206" t="s">
        <v>469</v>
      </c>
      <c r="E139" s="206" t="s">
        <v>426</v>
      </c>
      <c r="F139" s="206" t="s">
        <v>970</v>
      </c>
    </row>
    <row r="140" spans="2:6" x14ac:dyDescent="0.25">
      <c r="B140" s="206" t="s">
        <v>811</v>
      </c>
      <c r="F140" s="206" t="s">
        <v>973</v>
      </c>
    </row>
    <row r="141" spans="2:6" x14ac:dyDescent="0.25">
      <c r="F141" s="206" t="s">
        <v>1024</v>
      </c>
    </row>
    <row r="142" spans="2:6" x14ac:dyDescent="0.25">
      <c r="F142" s="206" t="s">
        <v>971</v>
      </c>
    </row>
    <row r="143" spans="2:6" x14ac:dyDescent="0.25">
      <c r="F143" s="206" t="s">
        <v>1074</v>
      </c>
    </row>
    <row r="144" spans="2:6" x14ac:dyDescent="0.25">
      <c r="F144" s="206" t="s">
        <v>1099</v>
      </c>
    </row>
    <row r="145" spans="2:10" x14ac:dyDescent="0.25">
      <c r="F145" s="206" t="s">
        <v>1100</v>
      </c>
    </row>
    <row r="147" spans="2:10" x14ac:dyDescent="0.25">
      <c r="B147" s="206" t="s">
        <v>48</v>
      </c>
      <c r="C147" s="206" t="s">
        <v>487</v>
      </c>
      <c r="D147" s="206" t="s">
        <v>472</v>
      </c>
      <c r="E147" s="206" t="s">
        <v>47</v>
      </c>
      <c r="F147" s="206" t="s">
        <v>46</v>
      </c>
      <c r="G147" s="206" t="s">
        <v>50</v>
      </c>
    </row>
    <row r="148" spans="2:10" x14ac:dyDescent="0.25">
      <c r="B148" s="206" t="s">
        <v>473</v>
      </c>
      <c r="C148" s="206" t="s">
        <v>480</v>
      </c>
      <c r="D148" s="206" t="s">
        <v>473</v>
      </c>
      <c r="E148" s="206" t="s">
        <v>1044</v>
      </c>
      <c r="F148" s="206" t="s">
        <v>1044</v>
      </c>
      <c r="G148" s="206" t="s">
        <v>1044</v>
      </c>
      <c r="H148" s="206" t="s">
        <v>1025</v>
      </c>
      <c r="I148" s="206" t="s">
        <v>480</v>
      </c>
      <c r="J148" s="206" t="s">
        <v>1037</v>
      </c>
    </row>
    <row r="149" spans="2:10" x14ac:dyDescent="0.25">
      <c r="B149" s="206" t="s">
        <v>474</v>
      </c>
      <c r="C149" s="206" t="s">
        <v>481</v>
      </c>
      <c r="D149" s="206" t="s">
        <v>474</v>
      </c>
      <c r="E149" s="206" t="s">
        <v>1065</v>
      </c>
      <c r="F149" s="206" t="s">
        <v>1065</v>
      </c>
      <c r="G149" s="206" t="s">
        <v>1065</v>
      </c>
      <c r="H149" s="206" t="s">
        <v>1026</v>
      </c>
      <c r="I149" s="206" t="s">
        <v>1032</v>
      </c>
      <c r="J149" s="206" t="s">
        <v>1038</v>
      </c>
    </row>
    <row r="150" spans="2:10" x14ac:dyDescent="0.25">
      <c r="B150" s="206" t="s">
        <v>475</v>
      </c>
      <c r="C150" s="206" t="s">
        <v>482</v>
      </c>
      <c r="D150" s="206" t="s">
        <v>486</v>
      </c>
      <c r="E150" s="206" t="s">
        <v>1027</v>
      </c>
      <c r="F150" s="206" t="s">
        <v>1027</v>
      </c>
      <c r="G150" s="206" t="s">
        <v>1027</v>
      </c>
      <c r="H150" s="206" t="s">
        <v>1029</v>
      </c>
      <c r="I150" s="206" t="s">
        <v>1033</v>
      </c>
      <c r="J150" s="206" t="s">
        <v>1045</v>
      </c>
    </row>
    <row r="151" spans="2:10" x14ac:dyDescent="0.25">
      <c r="B151" s="206" t="s">
        <v>476</v>
      </c>
      <c r="C151" s="206" t="s">
        <v>483</v>
      </c>
      <c r="D151" s="206" t="s">
        <v>477</v>
      </c>
      <c r="E151" s="206" t="s">
        <v>410</v>
      </c>
      <c r="F151" s="206" t="s">
        <v>410</v>
      </c>
      <c r="G151" s="206" t="s">
        <v>410</v>
      </c>
      <c r="H151" s="206" t="s">
        <v>1030</v>
      </c>
      <c r="I151" s="206" t="s">
        <v>1034</v>
      </c>
      <c r="J151" s="206" t="s">
        <v>1034</v>
      </c>
    </row>
    <row r="152" spans="2:10" x14ac:dyDescent="0.25">
      <c r="B152" s="206" t="s">
        <v>477</v>
      </c>
      <c r="C152" s="206" t="s">
        <v>484</v>
      </c>
      <c r="D152" s="206" t="s">
        <v>478</v>
      </c>
      <c r="E152" s="206" t="s">
        <v>479</v>
      </c>
      <c r="F152" s="206" t="s">
        <v>479</v>
      </c>
      <c r="G152" s="206" t="s">
        <v>479</v>
      </c>
      <c r="H152" s="206" t="s">
        <v>1031</v>
      </c>
      <c r="I152" s="206" t="s">
        <v>1035</v>
      </c>
      <c r="J152" s="206" t="s">
        <v>1039</v>
      </c>
    </row>
    <row r="153" spans="2:10" x14ac:dyDescent="0.25">
      <c r="B153" s="206" t="s">
        <v>478</v>
      </c>
      <c r="C153" s="206" t="s">
        <v>485</v>
      </c>
      <c r="D153" s="206" t="s">
        <v>479</v>
      </c>
      <c r="E153" s="206" t="s">
        <v>652</v>
      </c>
      <c r="H153" s="206" t="s">
        <v>596</v>
      </c>
      <c r="I153" s="206" t="s">
        <v>1040</v>
      </c>
      <c r="J153" s="206" t="s">
        <v>1042</v>
      </c>
    </row>
    <row r="154" spans="2:10" x14ac:dyDescent="0.25">
      <c r="B154" s="206" t="s">
        <v>479</v>
      </c>
      <c r="C154" s="206" t="s">
        <v>479</v>
      </c>
      <c r="H154" s="206" t="s">
        <v>1028</v>
      </c>
      <c r="I154" s="206" t="s">
        <v>1036</v>
      </c>
      <c r="J154" s="206" t="s">
        <v>1066</v>
      </c>
    </row>
    <row r="155" spans="2:10" x14ac:dyDescent="0.25">
      <c r="H155" s="206" t="s">
        <v>1043</v>
      </c>
      <c r="I155" s="206" t="s">
        <v>1041</v>
      </c>
      <c r="J155" s="206" t="s">
        <v>1067</v>
      </c>
    </row>
    <row r="156" spans="2:10" x14ac:dyDescent="0.25">
      <c r="I156" s="206" t="s">
        <v>1043</v>
      </c>
      <c r="J156" s="206" t="s">
        <v>1068</v>
      </c>
    </row>
    <row r="157" spans="2:10" x14ac:dyDescent="0.25">
      <c r="B157" s="206" t="s">
        <v>508</v>
      </c>
      <c r="C157" s="206" t="s">
        <v>509</v>
      </c>
      <c r="D157" s="206" t="s">
        <v>510</v>
      </c>
      <c r="E157" s="206" t="s">
        <v>784</v>
      </c>
      <c r="J157" s="206" t="s">
        <v>1069</v>
      </c>
    </row>
    <row r="158" spans="2:10" x14ac:dyDescent="0.25">
      <c r="B158" s="206" t="s">
        <v>490</v>
      </c>
      <c r="C158" s="206" t="s">
        <v>490</v>
      </c>
      <c r="D158" s="206" t="s">
        <v>223</v>
      </c>
      <c r="E158" s="206" t="s">
        <v>225</v>
      </c>
      <c r="J158" s="206" t="s">
        <v>1070</v>
      </c>
    </row>
    <row r="159" spans="2:10" x14ac:dyDescent="0.25">
      <c r="B159" s="206" t="s">
        <v>491</v>
      </c>
      <c r="C159" s="206" t="s">
        <v>499</v>
      </c>
      <c r="D159" s="206" t="s">
        <v>224</v>
      </c>
    </row>
    <row r="160" spans="2:10" x14ac:dyDescent="0.25">
      <c r="B160" s="206" t="s">
        <v>492</v>
      </c>
      <c r="C160" s="206" t="s">
        <v>500</v>
      </c>
      <c r="D160" s="206" t="s">
        <v>225</v>
      </c>
    </row>
    <row r="161" spans="2:61" x14ac:dyDescent="0.25">
      <c r="B161" s="206" t="s">
        <v>493</v>
      </c>
      <c r="C161" s="206" t="s">
        <v>494</v>
      </c>
      <c r="D161" s="206" t="s">
        <v>226</v>
      </c>
    </row>
    <row r="162" spans="2:61" x14ac:dyDescent="0.25">
      <c r="B162" s="206" t="s">
        <v>513</v>
      </c>
      <c r="C162" s="206" t="s">
        <v>501</v>
      </c>
    </row>
    <row r="163" spans="2:61" x14ac:dyDescent="0.25">
      <c r="B163" s="206" t="s">
        <v>872</v>
      </c>
      <c r="C163" s="206" t="s">
        <v>502</v>
      </c>
    </row>
    <row r="164" spans="2:61" x14ac:dyDescent="0.25">
      <c r="B164" s="206" t="s">
        <v>494</v>
      </c>
      <c r="C164" s="206" t="s">
        <v>503</v>
      </c>
    </row>
    <row r="165" spans="2:61" x14ac:dyDescent="0.25">
      <c r="B165" s="206" t="s">
        <v>495</v>
      </c>
      <c r="C165" s="206" t="s">
        <v>504</v>
      </c>
    </row>
    <row r="166" spans="2:61" x14ac:dyDescent="0.25">
      <c r="B166" s="206" t="s">
        <v>496</v>
      </c>
      <c r="C166" s="206" t="s">
        <v>479</v>
      </c>
    </row>
    <row r="167" spans="2:61" x14ac:dyDescent="0.25">
      <c r="B167" s="206" t="s">
        <v>497</v>
      </c>
    </row>
    <row r="168" spans="2:61" x14ac:dyDescent="0.25">
      <c r="B168" s="206" t="s">
        <v>498</v>
      </c>
    </row>
    <row r="171" spans="2:61" x14ac:dyDescent="0.25">
      <c r="C171" s="206" t="s">
        <v>1121</v>
      </c>
      <c r="D171" s="206" t="s">
        <v>515</v>
      </c>
      <c r="E171" s="206" t="s">
        <v>516</v>
      </c>
      <c r="F171" s="206" t="s">
        <v>517</v>
      </c>
      <c r="G171" s="206" t="s">
        <v>518</v>
      </c>
      <c r="H171" s="206" t="s">
        <v>1122</v>
      </c>
      <c r="I171" s="206" t="s">
        <v>519</v>
      </c>
      <c r="J171" s="206" t="s">
        <v>1123</v>
      </c>
      <c r="K171" s="206" t="s">
        <v>520</v>
      </c>
      <c r="L171" s="206" t="s">
        <v>521</v>
      </c>
      <c r="M171" s="206" t="s">
        <v>522</v>
      </c>
      <c r="N171" s="206" t="s">
        <v>1124</v>
      </c>
      <c r="O171" s="206" t="s">
        <v>523</v>
      </c>
      <c r="P171" s="206" t="s">
        <v>1125</v>
      </c>
      <c r="Q171" s="206" t="s">
        <v>1126</v>
      </c>
      <c r="R171" s="206" t="s">
        <v>1127</v>
      </c>
      <c r="S171" s="206" t="s">
        <v>1128</v>
      </c>
      <c r="T171" s="206" t="s">
        <v>524</v>
      </c>
      <c r="U171" s="206" t="s">
        <v>1129</v>
      </c>
      <c r="V171" s="206" t="s">
        <v>1130</v>
      </c>
      <c r="W171" s="206" t="s">
        <v>1131</v>
      </c>
      <c r="X171" s="206" t="s">
        <v>1132</v>
      </c>
      <c r="Y171" s="206" t="s">
        <v>1133</v>
      </c>
      <c r="Z171" s="206" t="s">
        <v>525</v>
      </c>
      <c r="AA171" s="206" t="s">
        <v>1134</v>
      </c>
      <c r="AB171" s="206" t="s">
        <v>1135</v>
      </c>
      <c r="AC171" s="206" t="s">
        <v>1136</v>
      </c>
      <c r="AD171" s="206" t="s">
        <v>1137</v>
      </c>
      <c r="AE171" s="206" t="s">
        <v>1138</v>
      </c>
      <c r="AF171" s="206" t="s">
        <v>526</v>
      </c>
      <c r="AG171" s="206" t="s">
        <v>527</v>
      </c>
      <c r="AH171" s="206" t="s">
        <v>1139</v>
      </c>
      <c r="AI171" s="206" t="s">
        <v>1140</v>
      </c>
      <c r="AJ171" s="206" t="s">
        <v>1141</v>
      </c>
      <c r="AK171" s="206" t="s">
        <v>1142</v>
      </c>
      <c r="AL171" s="206" t="s">
        <v>1143</v>
      </c>
      <c r="AM171" s="206" t="s">
        <v>528</v>
      </c>
      <c r="AN171" s="206" t="s">
        <v>1144</v>
      </c>
      <c r="AO171" s="206" t="s">
        <v>1145</v>
      </c>
      <c r="AP171" s="206" t="s">
        <v>1146</v>
      </c>
      <c r="AQ171" s="206" t="s">
        <v>1147</v>
      </c>
      <c r="AR171" s="206" t="s">
        <v>1148</v>
      </c>
      <c r="AS171" s="206" t="s">
        <v>1149</v>
      </c>
      <c r="AT171" s="206" t="s">
        <v>529</v>
      </c>
      <c r="AU171" s="206" t="s">
        <v>530</v>
      </c>
      <c r="AV171" s="206" t="s">
        <v>1150</v>
      </c>
      <c r="AW171" s="206" t="s">
        <v>531</v>
      </c>
      <c r="AX171" s="206" t="s">
        <v>1151</v>
      </c>
      <c r="AY171" s="206" t="s">
        <v>1152</v>
      </c>
      <c r="AZ171" s="206" t="s">
        <v>1153</v>
      </c>
      <c r="BA171" s="206" t="s">
        <v>1154</v>
      </c>
      <c r="BB171" s="206" t="s">
        <v>1155</v>
      </c>
      <c r="BC171" s="206" t="s">
        <v>1156</v>
      </c>
      <c r="BD171" s="206" t="s">
        <v>1157</v>
      </c>
      <c r="BE171" s="206" t="s">
        <v>1158</v>
      </c>
      <c r="BF171" s="206" t="s">
        <v>1159</v>
      </c>
      <c r="BG171" s="206" t="s">
        <v>532</v>
      </c>
      <c r="BH171" s="206" t="s">
        <v>982</v>
      </c>
      <c r="BI171" s="206" t="s">
        <v>983</v>
      </c>
    </row>
    <row r="172" spans="2:61" x14ac:dyDescent="0.25">
      <c r="F172" s="206" t="s">
        <v>582</v>
      </c>
      <c r="L172" s="206" t="s">
        <v>590</v>
      </c>
      <c r="P172" s="206" t="s">
        <v>583</v>
      </c>
      <c r="U172" s="206" t="s">
        <v>635</v>
      </c>
      <c r="AG172" s="206" t="s">
        <v>580</v>
      </c>
      <c r="AL172" s="206" t="s">
        <v>616</v>
      </c>
      <c r="AM172" s="206" t="s">
        <v>651</v>
      </c>
    </row>
    <row r="173" spans="2:61" x14ac:dyDescent="0.25">
      <c r="F173" s="206" t="s">
        <v>583</v>
      </c>
      <c r="L173" s="206" t="s">
        <v>591</v>
      </c>
      <c r="P173" s="206" t="s">
        <v>600</v>
      </c>
      <c r="U173" s="206" t="s">
        <v>637</v>
      </c>
      <c r="AG173" s="206" t="s">
        <v>533</v>
      </c>
      <c r="AL173" s="206" t="s">
        <v>628</v>
      </c>
      <c r="AM173" s="206" t="s">
        <v>641</v>
      </c>
    </row>
    <row r="174" spans="2:61" x14ac:dyDescent="0.25">
      <c r="F174" s="206" t="s">
        <v>584</v>
      </c>
      <c r="L174" s="206" t="s">
        <v>592</v>
      </c>
      <c r="P174" s="206" t="s">
        <v>601</v>
      </c>
      <c r="U174" s="206" t="s">
        <v>639</v>
      </c>
      <c r="AG174" s="206" t="s">
        <v>534</v>
      </c>
      <c r="AL174" s="206" t="s">
        <v>626</v>
      </c>
      <c r="AM174" s="206" t="s">
        <v>642</v>
      </c>
    </row>
    <row r="175" spans="2:61" x14ac:dyDescent="0.25">
      <c r="F175" s="206" t="s">
        <v>585</v>
      </c>
      <c r="L175" s="206" t="s">
        <v>593</v>
      </c>
      <c r="P175" s="206" t="s">
        <v>602</v>
      </c>
      <c r="U175" s="206" t="s">
        <v>634</v>
      </c>
      <c r="AG175" s="206" t="s">
        <v>535</v>
      </c>
      <c r="AL175" s="206" t="s">
        <v>521</v>
      </c>
      <c r="AM175" s="206" t="s">
        <v>643</v>
      </c>
    </row>
    <row r="176" spans="2:61" x14ac:dyDescent="0.25">
      <c r="F176" s="206" t="s">
        <v>586</v>
      </c>
      <c r="L176" s="206" t="s">
        <v>594</v>
      </c>
      <c r="P176" s="206" t="s">
        <v>603</v>
      </c>
      <c r="U176" s="206" t="s">
        <v>633</v>
      </c>
      <c r="AG176" s="206" t="s">
        <v>536</v>
      </c>
      <c r="AL176" s="206" t="s">
        <v>621</v>
      </c>
      <c r="AM176" s="206" t="s">
        <v>644</v>
      </c>
    </row>
    <row r="177" spans="1:39" x14ac:dyDescent="0.25">
      <c r="F177" s="206" t="s">
        <v>587</v>
      </c>
      <c r="L177" s="206" t="s">
        <v>595</v>
      </c>
      <c r="P177" s="206" t="s">
        <v>604</v>
      </c>
      <c r="U177" s="206" t="s">
        <v>630</v>
      </c>
      <c r="AG177" s="206" t="s">
        <v>537</v>
      </c>
      <c r="AL177" s="206" t="s">
        <v>622</v>
      </c>
      <c r="AM177" s="206" t="s">
        <v>645</v>
      </c>
    </row>
    <row r="178" spans="1:39" x14ac:dyDescent="0.25">
      <c r="F178" s="206" t="s">
        <v>588</v>
      </c>
      <c r="L178" s="206" t="s">
        <v>596</v>
      </c>
      <c r="P178" s="206" t="s">
        <v>605</v>
      </c>
      <c r="U178" s="206" t="s">
        <v>632</v>
      </c>
      <c r="AG178" s="206" t="s">
        <v>538</v>
      </c>
      <c r="AL178" s="206" t="s">
        <v>619</v>
      </c>
      <c r="AM178" s="206" t="s">
        <v>646</v>
      </c>
    </row>
    <row r="179" spans="1:39" x14ac:dyDescent="0.25">
      <c r="F179" s="206" t="s">
        <v>589</v>
      </c>
      <c r="L179" s="206" t="s">
        <v>597</v>
      </c>
      <c r="P179" s="206" t="s">
        <v>606</v>
      </c>
      <c r="U179" s="206" t="s">
        <v>636</v>
      </c>
      <c r="AG179" s="206" t="s">
        <v>539</v>
      </c>
      <c r="AL179" s="206" t="s">
        <v>627</v>
      </c>
      <c r="AM179" s="206" t="s">
        <v>640</v>
      </c>
    </row>
    <row r="180" spans="1:39" x14ac:dyDescent="0.25">
      <c r="A180" s="206" t="s">
        <v>416</v>
      </c>
      <c r="B180" s="206" t="s">
        <v>415</v>
      </c>
      <c r="F180" s="206" t="s">
        <v>808</v>
      </c>
      <c r="L180" s="206" t="s">
        <v>598</v>
      </c>
      <c r="P180" s="206" t="s">
        <v>607</v>
      </c>
      <c r="U180" s="206" t="s">
        <v>638</v>
      </c>
      <c r="AG180" s="206" t="s">
        <v>581</v>
      </c>
      <c r="AL180" s="206" t="s">
        <v>418</v>
      </c>
      <c r="AM180" s="206" t="s">
        <v>647</v>
      </c>
    </row>
    <row r="181" spans="1:39" x14ac:dyDescent="0.25">
      <c r="A181" s="206" t="s">
        <v>963</v>
      </c>
      <c r="B181" s="206" t="s">
        <v>929</v>
      </c>
      <c r="L181" s="206" t="s">
        <v>599</v>
      </c>
      <c r="P181" s="206" t="s">
        <v>608</v>
      </c>
      <c r="U181" s="206" t="s">
        <v>631</v>
      </c>
      <c r="AG181" s="206" t="s">
        <v>540</v>
      </c>
      <c r="AL181" s="206" t="s">
        <v>629</v>
      </c>
      <c r="AM181" s="206" t="s">
        <v>648</v>
      </c>
    </row>
    <row r="182" spans="1:39" x14ac:dyDescent="0.25">
      <c r="A182" s="206" t="s">
        <v>961</v>
      </c>
      <c r="B182" s="206" t="s">
        <v>930</v>
      </c>
      <c r="L182" s="206" t="s">
        <v>808</v>
      </c>
      <c r="P182" s="206" t="s">
        <v>582</v>
      </c>
      <c r="U182" s="206" t="s">
        <v>808</v>
      </c>
      <c r="AG182" s="206" t="s">
        <v>541</v>
      </c>
      <c r="AL182" s="206" t="s">
        <v>624</v>
      </c>
      <c r="AM182" s="206" t="s">
        <v>649</v>
      </c>
    </row>
    <row r="183" spans="1:39" x14ac:dyDescent="0.25">
      <c r="A183" s="206" t="s">
        <v>962</v>
      </c>
      <c r="B183" s="206" t="s">
        <v>953</v>
      </c>
      <c r="P183" s="206" t="s">
        <v>609</v>
      </c>
      <c r="AG183" s="206" t="s">
        <v>542</v>
      </c>
      <c r="AL183" s="206" t="s">
        <v>625</v>
      </c>
      <c r="AM183" s="206" t="s">
        <v>650</v>
      </c>
    </row>
    <row r="184" spans="1:39" x14ac:dyDescent="0.25">
      <c r="A184" s="206" t="s">
        <v>964</v>
      </c>
      <c r="B184" s="206" t="s">
        <v>932</v>
      </c>
      <c r="D184" s="206" t="s">
        <v>929</v>
      </c>
      <c r="E184" s="206" t="s">
        <v>930</v>
      </c>
      <c r="F184" s="206" t="s">
        <v>931</v>
      </c>
      <c r="G184" s="206" t="s">
        <v>932</v>
      </c>
      <c r="H184" s="206" t="s">
        <v>933</v>
      </c>
      <c r="I184" s="206" t="s">
        <v>934</v>
      </c>
      <c r="J184" s="206" t="s">
        <v>935</v>
      </c>
      <c r="K184" s="206" t="s">
        <v>936</v>
      </c>
      <c r="L184" s="206" t="s">
        <v>937</v>
      </c>
      <c r="M184" s="206" t="s">
        <v>938</v>
      </c>
      <c r="N184" s="206" t="s">
        <v>939</v>
      </c>
      <c r="O184" s="206" t="s">
        <v>940</v>
      </c>
      <c r="P184" s="206" t="s">
        <v>610</v>
      </c>
      <c r="Q184" s="206" t="s">
        <v>941</v>
      </c>
      <c r="R184" s="206" t="s">
        <v>954</v>
      </c>
      <c r="S184" s="206" t="s">
        <v>942</v>
      </c>
      <c r="T184" s="206" t="s">
        <v>945</v>
      </c>
      <c r="U184" s="206" t="s">
        <v>1073</v>
      </c>
      <c r="AG184" s="206" t="s">
        <v>543</v>
      </c>
      <c r="AL184" s="206" t="s">
        <v>620</v>
      </c>
      <c r="AM184" s="206" t="s">
        <v>808</v>
      </c>
    </row>
    <row r="185" spans="1:39" x14ac:dyDescent="0.25">
      <c r="B185" s="206" t="s">
        <v>933</v>
      </c>
      <c r="D185" s="206" t="s">
        <v>947</v>
      </c>
      <c r="E185" s="206" t="s">
        <v>947</v>
      </c>
      <c r="F185" s="206" t="s">
        <v>947</v>
      </c>
      <c r="G185" s="206" t="s">
        <v>947</v>
      </c>
      <c r="H185" s="206" t="s">
        <v>947</v>
      </c>
      <c r="I185" s="206" t="s">
        <v>947</v>
      </c>
      <c r="J185" s="206" t="s">
        <v>952</v>
      </c>
      <c r="K185" s="206" t="s">
        <v>947</v>
      </c>
      <c r="L185" s="206" t="s">
        <v>947</v>
      </c>
      <c r="M185" s="206" t="s">
        <v>952</v>
      </c>
      <c r="N185" s="206" t="s">
        <v>947</v>
      </c>
      <c r="O185" s="206" t="s">
        <v>947</v>
      </c>
      <c r="P185" s="206" t="s">
        <v>611</v>
      </c>
      <c r="Q185" s="206" t="s">
        <v>947</v>
      </c>
      <c r="R185" s="206" t="s">
        <v>947</v>
      </c>
      <c r="S185" s="206" t="s">
        <v>947</v>
      </c>
      <c r="T185" s="206" t="s">
        <v>947</v>
      </c>
      <c r="U185" s="206" t="s">
        <v>947</v>
      </c>
      <c r="AG185" s="206" t="s">
        <v>544</v>
      </c>
      <c r="AL185" s="206" t="s">
        <v>623</v>
      </c>
    </row>
    <row r="186" spans="1:39" x14ac:dyDescent="0.25">
      <c r="B186" s="206" t="s">
        <v>934</v>
      </c>
      <c r="D186" s="206" t="s">
        <v>959</v>
      </c>
      <c r="E186" s="206" t="s">
        <v>959</v>
      </c>
      <c r="F186" s="206" t="s">
        <v>959</v>
      </c>
      <c r="G186" s="206" t="s">
        <v>959</v>
      </c>
      <c r="H186" s="206" t="s">
        <v>959</v>
      </c>
      <c r="I186" s="206" t="s">
        <v>959</v>
      </c>
      <c r="J186" s="206" t="s">
        <v>1071</v>
      </c>
      <c r="K186" s="206" t="s">
        <v>959</v>
      </c>
      <c r="L186" s="206" t="s">
        <v>959</v>
      </c>
      <c r="M186" s="206" t="s">
        <v>1071</v>
      </c>
      <c r="N186" s="206" t="s">
        <v>959</v>
      </c>
      <c r="O186" s="206" t="s">
        <v>959</v>
      </c>
      <c r="P186" s="206" t="s">
        <v>612</v>
      </c>
      <c r="Q186" s="206" t="s">
        <v>959</v>
      </c>
      <c r="R186" s="206" t="s">
        <v>959</v>
      </c>
      <c r="S186" s="206" t="s">
        <v>959</v>
      </c>
      <c r="T186" s="206" t="s">
        <v>959</v>
      </c>
      <c r="U186" s="206" t="s">
        <v>959</v>
      </c>
      <c r="AG186" s="206" t="s">
        <v>545</v>
      </c>
      <c r="AL186" s="206" t="s">
        <v>808</v>
      </c>
    </row>
    <row r="187" spans="1:39" x14ac:dyDescent="0.25">
      <c r="B187" s="206" t="s">
        <v>935</v>
      </c>
      <c r="D187" s="206" t="s">
        <v>960</v>
      </c>
      <c r="E187" s="206" t="s">
        <v>960</v>
      </c>
      <c r="F187" s="206" t="s">
        <v>960</v>
      </c>
      <c r="G187" s="206" t="s">
        <v>960</v>
      </c>
      <c r="H187" s="206" t="s">
        <v>960</v>
      </c>
      <c r="I187" s="206" t="s">
        <v>960</v>
      </c>
      <c r="J187" s="206" t="s">
        <v>1072</v>
      </c>
      <c r="K187" s="206" t="s">
        <v>960</v>
      </c>
      <c r="L187" s="206" t="s">
        <v>960</v>
      </c>
      <c r="M187" s="206" t="s">
        <v>1072</v>
      </c>
      <c r="N187" s="206" t="s">
        <v>960</v>
      </c>
      <c r="O187" s="206" t="s">
        <v>960</v>
      </c>
      <c r="P187" s="206" t="s">
        <v>613</v>
      </c>
      <c r="Q187" s="206" t="s">
        <v>960</v>
      </c>
      <c r="R187" s="206" t="s">
        <v>960</v>
      </c>
      <c r="S187" s="206" t="s">
        <v>960</v>
      </c>
      <c r="T187" s="206" t="s">
        <v>960</v>
      </c>
      <c r="U187" s="206" t="s">
        <v>960</v>
      </c>
      <c r="AG187" s="206" t="s">
        <v>1023</v>
      </c>
    </row>
    <row r="188" spans="1:39" x14ac:dyDescent="0.25">
      <c r="B188" s="206" t="s">
        <v>936</v>
      </c>
      <c r="D188" s="206" t="s">
        <v>948</v>
      </c>
      <c r="E188" s="206" t="s">
        <v>948</v>
      </c>
      <c r="F188" s="206" t="s">
        <v>948</v>
      </c>
      <c r="G188" s="206" t="s">
        <v>948</v>
      </c>
      <c r="H188" s="206" t="s">
        <v>948</v>
      </c>
      <c r="I188" s="206" t="s">
        <v>948</v>
      </c>
      <c r="K188" s="206" t="s">
        <v>948</v>
      </c>
      <c r="L188" s="206" t="s">
        <v>948</v>
      </c>
      <c r="N188" s="206" t="s">
        <v>948</v>
      </c>
      <c r="O188" s="206" t="s">
        <v>948</v>
      </c>
      <c r="P188" s="206" t="s">
        <v>614</v>
      </c>
      <c r="Q188" s="206" t="s">
        <v>948</v>
      </c>
      <c r="R188" s="206" t="s">
        <v>948</v>
      </c>
      <c r="S188" s="206" t="s">
        <v>948</v>
      </c>
      <c r="T188" s="206" t="s">
        <v>948</v>
      </c>
      <c r="U188" s="206" t="s">
        <v>948</v>
      </c>
      <c r="AG188" s="206" t="s">
        <v>546</v>
      </c>
    </row>
    <row r="189" spans="1:39" x14ac:dyDescent="0.25">
      <c r="B189" s="206" t="s">
        <v>937</v>
      </c>
      <c r="D189" s="206" t="s">
        <v>949</v>
      </c>
      <c r="E189" s="206" t="s">
        <v>949</v>
      </c>
      <c r="F189" s="206" t="s">
        <v>949</v>
      </c>
      <c r="G189" s="206" t="s">
        <v>949</v>
      </c>
      <c r="H189" s="206" t="s">
        <v>949</v>
      </c>
      <c r="I189" s="206" t="s">
        <v>949</v>
      </c>
      <c r="K189" s="206" t="s">
        <v>949</v>
      </c>
      <c r="L189" s="206" t="s">
        <v>949</v>
      </c>
      <c r="N189" s="206" t="s">
        <v>949</v>
      </c>
      <c r="O189" s="206" t="s">
        <v>949</v>
      </c>
      <c r="P189" s="206" t="s">
        <v>615</v>
      </c>
      <c r="Q189" s="206" t="s">
        <v>949</v>
      </c>
      <c r="R189" s="206" t="s">
        <v>949</v>
      </c>
      <c r="S189" s="206" t="s">
        <v>949</v>
      </c>
      <c r="T189" s="206" t="s">
        <v>949</v>
      </c>
      <c r="U189" s="206" t="s">
        <v>949</v>
      </c>
      <c r="AG189" s="206" t="s">
        <v>547</v>
      </c>
    </row>
    <row r="190" spans="1:39" x14ac:dyDescent="0.25">
      <c r="B190" s="206" t="s">
        <v>938</v>
      </c>
      <c r="D190" s="206" t="s">
        <v>950</v>
      </c>
      <c r="E190" s="206" t="s">
        <v>950</v>
      </c>
      <c r="F190" s="206" t="s">
        <v>950</v>
      </c>
      <c r="G190" s="206" t="s">
        <v>950</v>
      </c>
      <c r="H190" s="206" t="s">
        <v>950</v>
      </c>
      <c r="I190" s="206" t="s">
        <v>950</v>
      </c>
      <c r="K190" s="206" t="s">
        <v>950</v>
      </c>
      <c r="L190" s="206" t="s">
        <v>950</v>
      </c>
      <c r="N190" s="206" t="s">
        <v>950</v>
      </c>
      <c r="O190" s="206" t="s">
        <v>950</v>
      </c>
      <c r="P190" s="206" t="s">
        <v>616</v>
      </c>
      <c r="Q190" s="206" t="s">
        <v>950</v>
      </c>
      <c r="R190" s="206" t="s">
        <v>950</v>
      </c>
      <c r="S190" s="206" t="s">
        <v>950</v>
      </c>
      <c r="T190" s="206" t="s">
        <v>950</v>
      </c>
      <c r="U190" s="206" t="s">
        <v>950</v>
      </c>
      <c r="AG190" s="206" t="s">
        <v>548</v>
      </c>
    </row>
    <row r="191" spans="1:39" x14ac:dyDescent="0.25">
      <c r="B191" s="206" t="s">
        <v>939</v>
      </c>
      <c r="D191" s="206" t="s">
        <v>951</v>
      </c>
      <c r="E191" s="206" t="s">
        <v>951</v>
      </c>
      <c r="F191" s="206" t="s">
        <v>951</v>
      </c>
      <c r="G191" s="206" t="s">
        <v>951</v>
      </c>
      <c r="H191" s="206" t="s">
        <v>951</v>
      </c>
      <c r="I191" s="206" t="s">
        <v>951</v>
      </c>
      <c r="K191" s="206" t="s">
        <v>951</v>
      </c>
      <c r="L191" s="206" t="s">
        <v>951</v>
      </c>
      <c r="N191" s="206" t="s">
        <v>951</v>
      </c>
      <c r="O191" s="206" t="s">
        <v>951</v>
      </c>
      <c r="P191" s="206" t="s">
        <v>617</v>
      </c>
      <c r="Q191" s="206" t="s">
        <v>951</v>
      </c>
      <c r="R191" s="206" t="s">
        <v>951</v>
      </c>
      <c r="S191" s="206" t="s">
        <v>951</v>
      </c>
      <c r="T191" s="206" t="s">
        <v>951</v>
      </c>
      <c r="U191" s="206" t="s">
        <v>951</v>
      </c>
      <c r="AG191" s="206" t="s">
        <v>549</v>
      </c>
    </row>
    <row r="192" spans="1:39" x14ac:dyDescent="0.25">
      <c r="B192" s="206" t="s">
        <v>940</v>
      </c>
      <c r="D192" s="206" t="s">
        <v>952</v>
      </c>
      <c r="E192" s="206" t="s">
        <v>952</v>
      </c>
      <c r="F192" s="206" t="s">
        <v>952</v>
      </c>
      <c r="G192" s="206" t="s">
        <v>952</v>
      </c>
      <c r="H192" s="206" t="s">
        <v>952</v>
      </c>
      <c r="I192" s="206" t="s">
        <v>952</v>
      </c>
      <c r="K192" s="206" t="s">
        <v>952</v>
      </c>
      <c r="L192" s="206" t="s">
        <v>952</v>
      </c>
      <c r="N192" s="206" t="s">
        <v>952</v>
      </c>
      <c r="O192" s="206" t="s">
        <v>952</v>
      </c>
      <c r="P192" s="206" t="s">
        <v>618</v>
      </c>
      <c r="Q192" s="206" t="s">
        <v>952</v>
      </c>
      <c r="R192" s="206" t="s">
        <v>952</v>
      </c>
      <c r="S192" s="206" t="s">
        <v>952</v>
      </c>
      <c r="T192" s="206" t="s">
        <v>952</v>
      </c>
      <c r="U192" s="206" t="s">
        <v>952</v>
      </c>
      <c r="AG192" s="206" t="s">
        <v>550</v>
      </c>
    </row>
    <row r="193" spans="1:33" x14ac:dyDescent="0.25">
      <c r="B193" s="206" t="s">
        <v>941</v>
      </c>
      <c r="D193" s="206" t="s">
        <v>1071</v>
      </c>
      <c r="E193" s="206" t="s">
        <v>952</v>
      </c>
      <c r="F193" s="206" t="s">
        <v>1071</v>
      </c>
      <c r="G193" s="206" t="s">
        <v>1071</v>
      </c>
      <c r="H193" s="206" t="s">
        <v>1071</v>
      </c>
      <c r="I193" s="206" t="s">
        <v>1071</v>
      </c>
      <c r="K193" s="206" t="s">
        <v>1071</v>
      </c>
      <c r="L193" s="206" t="s">
        <v>1071</v>
      </c>
      <c r="N193" s="206" t="s">
        <v>1071</v>
      </c>
      <c r="O193" s="206" t="s">
        <v>1071</v>
      </c>
      <c r="P193" s="206" t="s">
        <v>808</v>
      </c>
      <c r="Q193" s="206" t="s">
        <v>1071</v>
      </c>
      <c r="R193" s="206" t="s">
        <v>1071</v>
      </c>
      <c r="S193" s="206" t="s">
        <v>1071</v>
      </c>
      <c r="T193" s="206" t="s">
        <v>1071</v>
      </c>
      <c r="U193" s="206" t="s">
        <v>1071</v>
      </c>
      <c r="AG193" s="206" t="s">
        <v>551</v>
      </c>
    </row>
    <row r="194" spans="1:33" x14ac:dyDescent="0.25">
      <c r="B194" s="206" t="s">
        <v>955</v>
      </c>
      <c r="D194" s="206" t="s">
        <v>1072</v>
      </c>
      <c r="E194" s="206" t="s">
        <v>1071</v>
      </c>
      <c r="F194" s="206" t="s">
        <v>1072</v>
      </c>
      <c r="G194" s="206" t="s">
        <v>1072</v>
      </c>
      <c r="H194" s="206" t="s">
        <v>1072</v>
      </c>
      <c r="I194" s="206" t="s">
        <v>1072</v>
      </c>
      <c r="K194" s="206" t="s">
        <v>1072</v>
      </c>
      <c r="L194" s="206" t="s">
        <v>1072</v>
      </c>
      <c r="N194" s="206" t="s">
        <v>1072</v>
      </c>
      <c r="O194" s="206" t="s">
        <v>1072</v>
      </c>
      <c r="Q194" s="206" t="s">
        <v>1072</v>
      </c>
      <c r="R194" s="206" t="s">
        <v>1072</v>
      </c>
      <c r="S194" s="206" t="s">
        <v>1072</v>
      </c>
      <c r="T194" s="206" t="s">
        <v>1072</v>
      </c>
      <c r="U194" s="206" t="s">
        <v>1072</v>
      </c>
      <c r="AG194" s="206" t="s">
        <v>552</v>
      </c>
    </row>
    <row r="195" spans="1:33" x14ac:dyDescent="0.25">
      <c r="B195" s="206" t="s">
        <v>942</v>
      </c>
      <c r="E195" s="206" t="s">
        <v>1072</v>
      </c>
      <c r="AG195" s="206" t="s">
        <v>553</v>
      </c>
    </row>
    <row r="196" spans="1:33" x14ac:dyDescent="0.25">
      <c r="B196" s="206" t="s">
        <v>945</v>
      </c>
      <c r="AG196" s="206" t="s">
        <v>554</v>
      </c>
    </row>
    <row r="197" spans="1:33" x14ac:dyDescent="0.25">
      <c r="B197" s="206" t="s">
        <v>1073</v>
      </c>
      <c r="AG197" s="206" t="s">
        <v>555</v>
      </c>
    </row>
    <row r="198" spans="1:33" x14ac:dyDescent="0.25">
      <c r="AG198" s="206" t="s">
        <v>556</v>
      </c>
    </row>
    <row r="199" spans="1:33" x14ac:dyDescent="0.25">
      <c r="AG199" s="206" t="s">
        <v>557</v>
      </c>
    </row>
    <row r="200" spans="1:33" x14ac:dyDescent="0.25">
      <c r="AG200" s="206" t="s">
        <v>558</v>
      </c>
    </row>
    <row r="201" spans="1:33" x14ac:dyDescent="0.25">
      <c r="AG201" s="206" t="s">
        <v>559</v>
      </c>
    </row>
    <row r="202" spans="1:33" x14ac:dyDescent="0.25">
      <c r="AG202" s="206" t="s">
        <v>560</v>
      </c>
    </row>
    <row r="203" spans="1:33" x14ac:dyDescent="0.25">
      <c r="A203" s="206" t="s">
        <v>963</v>
      </c>
      <c r="B203" s="206" t="s">
        <v>961</v>
      </c>
      <c r="C203" s="206" t="s">
        <v>962</v>
      </c>
      <c r="AG203" s="206" t="s">
        <v>561</v>
      </c>
    </row>
    <row r="204" spans="1:33" x14ac:dyDescent="0.25">
      <c r="A204" s="206" t="s">
        <v>965</v>
      </c>
      <c r="B204" s="206" t="s">
        <v>965</v>
      </c>
      <c r="C204" s="206" t="s">
        <v>965</v>
      </c>
      <c r="AG204" s="206" t="s">
        <v>562</v>
      </c>
    </row>
    <row r="205" spans="1:33" x14ac:dyDescent="0.25">
      <c r="A205" s="206" t="s">
        <v>966</v>
      </c>
      <c r="B205" s="206" t="s">
        <v>966</v>
      </c>
      <c r="C205" s="206" t="s">
        <v>966</v>
      </c>
      <c r="AG205" s="206" t="s">
        <v>563</v>
      </c>
    </row>
    <row r="206" spans="1:33" x14ac:dyDescent="0.25">
      <c r="A206" s="206" t="s">
        <v>967</v>
      </c>
      <c r="B206" s="206" t="s">
        <v>967</v>
      </c>
      <c r="C206" s="206" t="s">
        <v>967</v>
      </c>
      <c r="AG206" s="206" t="s">
        <v>564</v>
      </c>
    </row>
    <row r="207" spans="1:33" x14ac:dyDescent="0.25">
      <c r="A207" s="206" t="s">
        <v>958</v>
      </c>
      <c r="B207" s="206" t="s">
        <v>958</v>
      </c>
      <c r="C207" s="206" t="s">
        <v>958</v>
      </c>
      <c r="AG207" s="206" t="s">
        <v>565</v>
      </c>
    </row>
    <row r="208" spans="1:33" x14ac:dyDescent="0.25">
      <c r="A208" s="206" t="s">
        <v>968</v>
      </c>
      <c r="B208" s="206" t="s">
        <v>968</v>
      </c>
      <c r="C208" s="206" t="s">
        <v>968</v>
      </c>
      <c r="AG208" s="206" t="s">
        <v>566</v>
      </c>
    </row>
    <row r="209" spans="4:33" x14ac:dyDescent="0.25">
      <c r="AG209" s="206" t="s">
        <v>567</v>
      </c>
    </row>
    <row r="210" spans="4:33" x14ac:dyDescent="0.25">
      <c r="AG210" s="206" t="s">
        <v>568</v>
      </c>
    </row>
    <row r="211" spans="4:33" x14ac:dyDescent="0.25">
      <c r="AG211" s="206" t="s">
        <v>569</v>
      </c>
    </row>
    <row r="212" spans="4:33" x14ac:dyDescent="0.25">
      <c r="AG212" s="206" t="s">
        <v>570</v>
      </c>
    </row>
    <row r="213" spans="4:33" x14ac:dyDescent="0.25">
      <c r="AG213" s="206" t="s">
        <v>571</v>
      </c>
    </row>
    <row r="214" spans="4:33" x14ac:dyDescent="0.25">
      <c r="AG214" s="206" t="s">
        <v>572</v>
      </c>
    </row>
    <row r="215" spans="4:33" x14ac:dyDescent="0.25">
      <c r="AG215" s="206" t="s">
        <v>573</v>
      </c>
    </row>
    <row r="216" spans="4:33" x14ac:dyDescent="0.25">
      <c r="AG216" s="206" t="s">
        <v>574</v>
      </c>
    </row>
    <row r="217" spans="4:33" x14ac:dyDescent="0.25">
      <c r="AG217" s="206" t="s">
        <v>575</v>
      </c>
    </row>
    <row r="218" spans="4:33" x14ac:dyDescent="0.25">
      <c r="AG218" s="206" t="s">
        <v>576</v>
      </c>
    </row>
    <row r="219" spans="4:33" x14ac:dyDescent="0.25">
      <c r="AG219" s="206" t="s">
        <v>577</v>
      </c>
    </row>
    <row r="220" spans="4:33" x14ac:dyDescent="0.25">
      <c r="AG220" s="206" t="s">
        <v>578</v>
      </c>
    </row>
    <row r="221" spans="4:33" x14ac:dyDescent="0.25">
      <c r="AG221" s="206" t="s">
        <v>579</v>
      </c>
    </row>
    <row r="222" spans="4:33" x14ac:dyDescent="0.25">
      <c r="AG222" s="206" t="s">
        <v>1064</v>
      </c>
    </row>
    <row r="223" spans="4:33" x14ac:dyDescent="0.25">
      <c r="AG223" s="206" t="s">
        <v>808</v>
      </c>
    </row>
    <row r="224" spans="4:33" x14ac:dyDescent="0.25">
      <c r="D224" s="206" t="s">
        <v>800</v>
      </c>
    </row>
    <row r="225" spans="1:44" x14ac:dyDescent="0.25">
      <c r="A225" s="206" t="s">
        <v>797</v>
      </c>
      <c r="B225" s="206" t="s">
        <v>798</v>
      </c>
      <c r="C225" s="206" t="s">
        <v>799</v>
      </c>
      <c r="D225" s="206" t="s">
        <v>413</v>
      </c>
    </row>
    <row r="226" spans="1:44" x14ac:dyDescent="0.25">
      <c r="A226" s="206" t="s">
        <v>413</v>
      </c>
      <c r="B226" s="206" t="s">
        <v>413</v>
      </c>
      <c r="C226" s="206" t="s">
        <v>413</v>
      </c>
      <c r="D226" s="206" t="s">
        <v>414</v>
      </c>
    </row>
    <row r="227" spans="1:44" x14ac:dyDescent="0.25">
      <c r="A227" s="206" t="s">
        <v>414</v>
      </c>
      <c r="B227" s="206" t="s">
        <v>414</v>
      </c>
      <c r="C227" s="206" t="s">
        <v>414</v>
      </c>
    </row>
    <row r="229" spans="1:44" x14ac:dyDescent="0.25">
      <c r="A229" s="206" t="s">
        <v>413</v>
      </c>
      <c r="B229" s="206" t="s">
        <v>414</v>
      </c>
    </row>
    <row r="230" spans="1:44" x14ac:dyDescent="0.25">
      <c r="A230" s="206">
        <v>1</v>
      </c>
    </row>
    <row r="231" spans="1:44" x14ac:dyDescent="0.25">
      <c r="A231" s="206">
        <v>2</v>
      </c>
      <c r="F231" s="206" t="s">
        <v>1000</v>
      </c>
      <c r="H231" s="206" t="s">
        <v>47</v>
      </c>
    </row>
    <row r="232" spans="1:44" x14ac:dyDescent="0.25">
      <c r="A232" s="206">
        <v>3</v>
      </c>
      <c r="D232" s="206" t="s">
        <v>988</v>
      </c>
      <c r="E232" s="206" t="s">
        <v>989</v>
      </c>
      <c r="F232" s="206" t="s">
        <v>1007</v>
      </c>
      <c r="G232" s="206" t="s">
        <v>1010</v>
      </c>
      <c r="H232" s="206" t="s">
        <v>1020</v>
      </c>
      <c r="I232" s="206" t="s">
        <v>1011</v>
      </c>
      <c r="J232" s="206" t="s">
        <v>1048</v>
      </c>
    </row>
    <row r="233" spans="1:44" x14ac:dyDescent="0.25">
      <c r="A233" s="206">
        <v>4</v>
      </c>
      <c r="D233" s="206">
        <v>1</v>
      </c>
      <c r="E233" s="206" t="s">
        <v>990</v>
      </c>
      <c r="F233" s="206" t="s">
        <v>1008</v>
      </c>
      <c r="G233" s="206" t="s">
        <v>1001</v>
      </c>
      <c r="H233" s="206" t="s">
        <v>1011</v>
      </c>
      <c r="I233" s="206" t="s">
        <v>1012</v>
      </c>
      <c r="J233" s="206" t="s">
        <v>1049</v>
      </c>
    </row>
    <row r="234" spans="1:44" x14ac:dyDescent="0.25">
      <c r="A234" s="206">
        <v>5</v>
      </c>
      <c r="D234" s="206">
        <v>2</v>
      </c>
      <c r="E234" s="206" t="s">
        <v>997</v>
      </c>
      <c r="F234" s="206" t="s">
        <v>1009</v>
      </c>
      <c r="G234" s="206" t="s">
        <v>1002</v>
      </c>
      <c r="H234" s="206" t="s">
        <v>1016</v>
      </c>
      <c r="I234" s="206" t="s">
        <v>1013</v>
      </c>
    </row>
    <row r="235" spans="1:44" x14ac:dyDescent="0.25">
      <c r="A235" s="206">
        <v>6</v>
      </c>
      <c r="D235" s="206">
        <v>3</v>
      </c>
      <c r="E235" s="206" t="s">
        <v>991</v>
      </c>
      <c r="F235" s="206" t="s">
        <v>1016</v>
      </c>
      <c r="G235" s="206" t="s">
        <v>1003</v>
      </c>
      <c r="H235" s="206" t="s">
        <v>1021</v>
      </c>
      <c r="I235" s="206" t="s">
        <v>1014</v>
      </c>
    </row>
    <row r="236" spans="1:44" x14ac:dyDescent="0.25">
      <c r="A236" s="206">
        <v>7</v>
      </c>
      <c r="D236" s="206">
        <v>4</v>
      </c>
      <c r="E236" s="206" t="s">
        <v>992</v>
      </c>
      <c r="F236" s="206" t="s">
        <v>1018</v>
      </c>
      <c r="G236" s="206" t="s">
        <v>1004</v>
      </c>
      <c r="H236" s="206" t="s">
        <v>1022</v>
      </c>
      <c r="I236" s="206" t="s">
        <v>1015</v>
      </c>
      <c r="AR236" s="206" t="s">
        <v>864</v>
      </c>
    </row>
    <row r="237" spans="1:44" x14ac:dyDescent="0.25">
      <c r="A237" s="206">
        <v>8</v>
      </c>
      <c r="D237" s="206">
        <v>5</v>
      </c>
      <c r="E237" s="206" t="s">
        <v>998</v>
      </c>
      <c r="F237" s="206" t="s">
        <v>1050</v>
      </c>
      <c r="G237" s="206" t="s">
        <v>1005</v>
      </c>
      <c r="H237" s="206" t="s">
        <v>1050</v>
      </c>
      <c r="I237" s="206" t="s">
        <v>1047</v>
      </c>
      <c r="AR237" s="206" t="s">
        <v>815</v>
      </c>
    </row>
    <row r="238" spans="1:44" x14ac:dyDescent="0.25">
      <c r="A238" s="206">
        <v>9</v>
      </c>
      <c r="D238" s="206">
        <v>6</v>
      </c>
      <c r="E238" s="206" t="s">
        <v>994</v>
      </c>
      <c r="F238" s="206" t="s">
        <v>1051</v>
      </c>
      <c r="G238" s="206" t="s">
        <v>1006</v>
      </c>
      <c r="H238" s="206" t="s">
        <v>1051</v>
      </c>
      <c r="AR238" s="206" t="s">
        <v>816</v>
      </c>
    </row>
    <row r="239" spans="1:44" x14ac:dyDescent="0.25">
      <c r="A239" s="206">
        <v>10</v>
      </c>
      <c r="D239" s="206">
        <v>7</v>
      </c>
      <c r="E239" s="206" t="s">
        <v>999</v>
      </c>
      <c r="F239" s="206" t="s">
        <v>1052</v>
      </c>
      <c r="H239" s="206" t="s">
        <v>1007</v>
      </c>
      <c r="AR239" s="206" t="s">
        <v>817</v>
      </c>
    </row>
    <row r="240" spans="1:44" x14ac:dyDescent="0.25">
      <c r="D240" s="206">
        <v>8</v>
      </c>
      <c r="E240" s="206" t="s">
        <v>995</v>
      </c>
      <c r="AR240" s="206" t="s">
        <v>818</v>
      </c>
    </row>
    <row r="241" spans="1:44" x14ac:dyDescent="0.25">
      <c r="A241" s="206" t="s">
        <v>802</v>
      </c>
      <c r="D241" s="206">
        <v>9</v>
      </c>
      <c r="E241" s="206" t="s">
        <v>996</v>
      </c>
      <c r="AR241" s="206" t="s">
        <v>819</v>
      </c>
    </row>
    <row r="242" spans="1:44" x14ac:dyDescent="0.25">
      <c r="A242" s="206" t="s">
        <v>413</v>
      </c>
      <c r="D242" s="206">
        <v>10</v>
      </c>
      <c r="AR242" s="206" t="s">
        <v>820</v>
      </c>
    </row>
    <row r="243" spans="1:44" x14ac:dyDescent="0.25">
      <c r="A243" s="206" t="s">
        <v>414</v>
      </c>
      <c r="AR243" s="206" t="s">
        <v>821</v>
      </c>
    </row>
    <row r="244" spans="1:44" x14ac:dyDescent="0.25">
      <c r="AR244" s="206" t="s">
        <v>822</v>
      </c>
    </row>
    <row r="245" spans="1:44" x14ac:dyDescent="0.25">
      <c r="AR245" s="206" t="s">
        <v>823</v>
      </c>
    </row>
    <row r="246" spans="1:44" x14ac:dyDescent="0.25">
      <c r="A246" s="206" t="s">
        <v>804</v>
      </c>
      <c r="B246" s="206" t="s">
        <v>805</v>
      </c>
      <c r="C246" s="206" t="s">
        <v>801</v>
      </c>
      <c r="AR246" s="206" t="s">
        <v>824</v>
      </c>
    </row>
    <row r="247" spans="1:44" x14ac:dyDescent="0.25">
      <c r="A247" s="206" t="s">
        <v>415</v>
      </c>
      <c r="B247" s="206" t="s">
        <v>415</v>
      </c>
      <c r="C247" s="206" t="s">
        <v>415</v>
      </c>
      <c r="AR247" s="206" t="s">
        <v>825</v>
      </c>
    </row>
    <row r="248" spans="1:44" x14ac:dyDescent="0.25">
      <c r="A248" s="206" t="s">
        <v>416</v>
      </c>
      <c r="B248" s="206" t="s">
        <v>416</v>
      </c>
      <c r="C248" s="206" t="s">
        <v>418</v>
      </c>
      <c r="AR248" s="206" t="s">
        <v>826</v>
      </c>
    </row>
    <row r="249" spans="1:44" x14ac:dyDescent="0.25">
      <c r="A249" s="206" t="s">
        <v>411</v>
      </c>
      <c r="B249" s="206" t="s">
        <v>411</v>
      </c>
      <c r="C249" s="206" t="s">
        <v>416</v>
      </c>
      <c r="AR249" s="206" t="s">
        <v>827</v>
      </c>
    </row>
    <row r="250" spans="1:44" x14ac:dyDescent="0.25">
      <c r="A250" s="206" t="s">
        <v>417</v>
      </c>
      <c r="B250" s="206" t="s">
        <v>417</v>
      </c>
      <c r="AR250" s="206" t="s">
        <v>828</v>
      </c>
    </row>
    <row r="251" spans="1:44" x14ac:dyDescent="0.25">
      <c r="A251" s="206" t="s">
        <v>418</v>
      </c>
      <c r="B251" s="206" t="s">
        <v>418</v>
      </c>
      <c r="AR251" s="206" t="s">
        <v>829</v>
      </c>
    </row>
    <row r="252" spans="1:44" x14ac:dyDescent="0.25">
      <c r="AR252" s="206" t="s">
        <v>830</v>
      </c>
    </row>
    <row r="253" spans="1:44" x14ac:dyDescent="0.25">
      <c r="AR253" s="206" t="s">
        <v>831</v>
      </c>
    </row>
    <row r="254" spans="1:44" x14ac:dyDescent="0.25">
      <c r="A254" s="206" t="s">
        <v>868</v>
      </c>
      <c r="B254" s="206" t="s">
        <v>869</v>
      </c>
      <c r="C254" s="206" t="s">
        <v>870</v>
      </c>
      <c r="AR254" s="206" t="s">
        <v>832</v>
      </c>
    </row>
    <row r="255" spans="1:44" x14ac:dyDescent="0.25">
      <c r="A255" s="206" t="s">
        <v>415</v>
      </c>
      <c r="B255" s="206" t="s">
        <v>415</v>
      </c>
      <c r="C255" s="206" t="s">
        <v>415</v>
      </c>
      <c r="AR255" s="206" t="s">
        <v>833</v>
      </c>
    </row>
    <row r="256" spans="1:44" x14ac:dyDescent="0.25">
      <c r="A256" s="206" t="s">
        <v>416</v>
      </c>
      <c r="B256" s="206" t="s">
        <v>416</v>
      </c>
      <c r="C256" s="206" t="s">
        <v>416</v>
      </c>
      <c r="AR256" s="206" t="s">
        <v>834</v>
      </c>
    </row>
    <row r="257" spans="1:44" x14ac:dyDescent="0.25">
      <c r="A257" s="206" t="s">
        <v>411</v>
      </c>
      <c r="B257" s="206" t="s">
        <v>411</v>
      </c>
      <c r="C257" s="206" t="s">
        <v>411</v>
      </c>
      <c r="AR257" s="206" t="s">
        <v>835</v>
      </c>
    </row>
    <row r="258" spans="1:44" x14ac:dyDescent="0.25">
      <c r="A258" s="206" t="s">
        <v>417</v>
      </c>
      <c r="B258" s="206" t="s">
        <v>417</v>
      </c>
      <c r="C258" s="206" t="s">
        <v>417</v>
      </c>
      <c r="AR258" s="206" t="s">
        <v>836</v>
      </c>
    </row>
    <row r="259" spans="1:44" x14ac:dyDescent="0.25">
      <c r="A259" s="206" t="s">
        <v>418</v>
      </c>
      <c r="B259" s="206" t="s">
        <v>418</v>
      </c>
      <c r="C259" s="206" t="s">
        <v>418</v>
      </c>
      <c r="AR259" s="206" t="s">
        <v>837</v>
      </c>
    </row>
    <row r="260" spans="1:44" x14ac:dyDescent="0.25">
      <c r="AR260" s="206" t="s">
        <v>838</v>
      </c>
    </row>
    <row r="261" spans="1:44" x14ac:dyDescent="0.25">
      <c r="AR261" s="206" t="s">
        <v>839</v>
      </c>
    </row>
    <row r="262" spans="1:44" x14ac:dyDescent="0.25">
      <c r="AR262" s="206" t="s">
        <v>840</v>
      </c>
    </row>
    <row r="263" spans="1:44" x14ac:dyDescent="0.25">
      <c r="A263" s="206" t="s">
        <v>984</v>
      </c>
      <c r="AR263" s="206" t="s">
        <v>841</v>
      </c>
    </row>
    <row r="264" spans="1:44" x14ac:dyDescent="0.25">
      <c r="A264" s="206" t="s">
        <v>985</v>
      </c>
      <c r="AR264" s="206" t="s">
        <v>842</v>
      </c>
    </row>
    <row r="265" spans="1:44" x14ac:dyDescent="0.25">
      <c r="A265" s="208">
        <v>0</v>
      </c>
      <c r="AR265" s="206" t="s">
        <v>843</v>
      </c>
    </row>
    <row r="266" spans="1:44" x14ac:dyDescent="0.25">
      <c r="A266" s="208">
        <v>2.0833333333333332E-2</v>
      </c>
      <c r="AR266" s="206" t="s">
        <v>844</v>
      </c>
    </row>
    <row r="267" spans="1:44" x14ac:dyDescent="0.25">
      <c r="A267" s="208">
        <v>4.1666666666666664E-2</v>
      </c>
      <c r="AR267" s="206" t="s">
        <v>845</v>
      </c>
    </row>
    <row r="268" spans="1:44" x14ac:dyDescent="0.25">
      <c r="A268" s="208">
        <v>6.25E-2</v>
      </c>
      <c r="AR268" s="206" t="s">
        <v>846</v>
      </c>
    </row>
    <row r="269" spans="1:44" x14ac:dyDescent="0.25">
      <c r="A269" s="208">
        <v>8.3333333333333329E-2</v>
      </c>
      <c r="AR269" s="206" t="s">
        <v>847</v>
      </c>
    </row>
    <row r="270" spans="1:44" x14ac:dyDescent="0.25">
      <c r="A270" s="208">
        <v>0.10416666666666667</v>
      </c>
      <c r="AR270" s="206" t="s">
        <v>848</v>
      </c>
    </row>
    <row r="271" spans="1:44" x14ac:dyDescent="0.25">
      <c r="A271" s="208">
        <v>0.125</v>
      </c>
      <c r="AR271" s="206" t="s">
        <v>849</v>
      </c>
    </row>
    <row r="272" spans="1:44" x14ac:dyDescent="0.25">
      <c r="A272" s="208">
        <v>0.14583333333333334</v>
      </c>
      <c r="AR272" s="206" t="s">
        <v>850</v>
      </c>
    </row>
    <row r="273" spans="1:44" x14ac:dyDescent="0.25">
      <c r="A273" s="208">
        <v>0.16666666666666666</v>
      </c>
      <c r="AR273" s="206" t="s">
        <v>851</v>
      </c>
    </row>
    <row r="274" spans="1:44" x14ac:dyDescent="0.25">
      <c r="A274" s="208">
        <v>0.1875</v>
      </c>
      <c r="AR274" s="206" t="s">
        <v>852</v>
      </c>
    </row>
    <row r="275" spans="1:44" x14ac:dyDescent="0.25">
      <c r="A275" s="208">
        <v>0.20833333333333334</v>
      </c>
      <c r="AR275" s="206" t="s">
        <v>853</v>
      </c>
    </row>
    <row r="276" spans="1:44" x14ac:dyDescent="0.25">
      <c r="A276" s="208">
        <v>0.22916666666666666</v>
      </c>
      <c r="AR276" s="206" t="s">
        <v>854</v>
      </c>
    </row>
    <row r="277" spans="1:44" x14ac:dyDescent="0.25">
      <c r="A277" s="208">
        <v>0.25</v>
      </c>
      <c r="AR277" s="206" t="s">
        <v>855</v>
      </c>
    </row>
    <row r="278" spans="1:44" x14ac:dyDescent="0.25">
      <c r="A278" s="208">
        <v>0.27083333333333331</v>
      </c>
      <c r="AR278" s="206" t="s">
        <v>856</v>
      </c>
    </row>
    <row r="279" spans="1:44" x14ac:dyDescent="0.25">
      <c r="A279" s="208">
        <v>0.29166666666666669</v>
      </c>
      <c r="AR279" s="206" t="s">
        <v>857</v>
      </c>
    </row>
    <row r="280" spans="1:44" x14ac:dyDescent="0.25">
      <c r="A280" s="208">
        <v>0.3125</v>
      </c>
      <c r="AR280" s="206" t="s">
        <v>858</v>
      </c>
    </row>
    <row r="281" spans="1:44" x14ac:dyDescent="0.25">
      <c r="A281" s="208">
        <v>0.33333333333333331</v>
      </c>
      <c r="AR281" s="206" t="s">
        <v>859</v>
      </c>
    </row>
    <row r="282" spans="1:44" x14ac:dyDescent="0.25">
      <c r="A282" s="208">
        <v>0.35416666666666669</v>
      </c>
      <c r="AR282" s="206" t="s">
        <v>860</v>
      </c>
    </row>
    <row r="283" spans="1:44" x14ac:dyDescent="0.25">
      <c r="A283" s="208">
        <v>0.375</v>
      </c>
      <c r="AR283" s="206" t="s">
        <v>861</v>
      </c>
    </row>
    <row r="284" spans="1:44" x14ac:dyDescent="0.25">
      <c r="A284" s="208">
        <v>0.39583333333333331</v>
      </c>
      <c r="AR284" s="206" t="s">
        <v>862</v>
      </c>
    </row>
    <row r="285" spans="1:44" x14ac:dyDescent="0.25">
      <c r="A285" s="208">
        <v>0.41666666666666669</v>
      </c>
      <c r="AR285" s="206" t="s">
        <v>814</v>
      </c>
    </row>
    <row r="286" spans="1:44" x14ac:dyDescent="0.25">
      <c r="A286" s="208">
        <v>0.4375</v>
      </c>
      <c r="AR286" s="206" t="s">
        <v>863</v>
      </c>
    </row>
    <row r="287" spans="1:44" x14ac:dyDescent="0.25">
      <c r="A287" s="208">
        <v>0.45833333333333331</v>
      </c>
      <c r="AR287" s="206" t="s">
        <v>1077</v>
      </c>
    </row>
    <row r="288" spans="1:44" x14ac:dyDescent="0.25">
      <c r="A288" s="208">
        <v>0.47916666666666669</v>
      </c>
      <c r="AR288" s="206" t="s">
        <v>1118</v>
      </c>
    </row>
    <row r="289" spans="1:44" x14ac:dyDescent="0.25">
      <c r="A289" s="208">
        <v>0.5</v>
      </c>
      <c r="AR289" s="206" t="s">
        <v>1162</v>
      </c>
    </row>
    <row r="290" spans="1:44" x14ac:dyDescent="0.25">
      <c r="A290" s="208">
        <v>0.52083333333333337</v>
      </c>
      <c r="AR290" s="206" t="s">
        <v>1163</v>
      </c>
    </row>
    <row r="291" spans="1:44" x14ac:dyDescent="0.25">
      <c r="A291" s="208">
        <v>0.54166666666666663</v>
      </c>
      <c r="AR291" s="206" t="s">
        <v>812</v>
      </c>
    </row>
    <row r="292" spans="1:44" x14ac:dyDescent="0.25">
      <c r="A292" s="208">
        <v>0.5625</v>
      </c>
      <c r="AR292" s="206" t="s">
        <v>813</v>
      </c>
    </row>
    <row r="293" spans="1:44" x14ac:dyDescent="0.25">
      <c r="A293" s="208">
        <v>0.58333333333333337</v>
      </c>
      <c r="AR293" s="206" t="s">
        <v>1075</v>
      </c>
    </row>
    <row r="294" spans="1:44" x14ac:dyDescent="0.25">
      <c r="A294" s="208">
        <v>0.60416666666666663</v>
      </c>
      <c r="AR294" s="206" t="s">
        <v>877</v>
      </c>
    </row>
    <row r="295" spans="1:44" x14ac:dyDescent="0.25">
      <c r="A295" s="208">
        <v>0.64583333333333337</v>
      </c>
      <c r="AR295" s="206" t="s">
        <v>878</v>
      </c>
    </row>
    <row r="296" spans="1:44" x14ac:dyDescent="0.25">
      <c r="A296" s="208">
        <v>0.66666666666666663</v>
      </c>
      <c r="AR296" s="206" t="s">
        <v>879</v>
      </c>
    </row>
    <row r="297" spans="1:44" x14ac:dyDescent="0.25">
      <c r="A297" s="208">
        <v>0.6875</v>
      </c>
      <c r="AR297" s="206" t="s">
        <v>880</v>
      </c>
    </row>
    <row r="298" spans="1:44" x14ac:dyDescent="0.25">
      <c r="A298" s="208">
        <v>0.70833333333333337</v>
      </c>
      <c r="AR298" s="206" t="s">
        <v>881</v>
      </c>
    </row>
    <row r="299" spans="1:44" x14ac:dyDescent="0.25">
      <c r="A299" s="208">
        <v>0.72916666666666663</v>
      </c>
      <c r="AR299" s="206" t="s">
        <v>882</v>
      </c>
    </row>
    <row r="300" spans="1:44" x14ac:dyDescent="0.25">
      <c r="A300" s="208">
        <v>0.75</v>
      </c>
      <c r="AR300" s="206" t="s">
        <v>883</v>
      </c>
    </row>
    <row r="301" spans="1:44" x14ac:dyDescent="0.25">
      <c r="A301" s="208">
        <v>0.77083333333333337</v>
      </c>
      <c r="AR301" s="206" t="s">
        <v>1059</v>
      </c>
    </row>
    <row r="302" spans="1:44" x14ac:dyDescent="0.25">
      <c r="A302" s="208">
        <v>0.79166666666666663</v>
      </c>
      <c r="AR302" s="206" t="s">
        <v>884</v>
      </c>
    </row>
    <row r="303" spans="1:44" x14ac:dyDescent="0.25">
      <c r="A303" s="208">
        <v>0.8125</v>
      </c>
      <c r="AR303" s="206" t="s">
        <v>1060</v>
      </c>
    </row>
    <row r="304" spans="1:44" x14ac:dyDescent="0.25">
      <c r="A304" s="208">
        <v>0.83333333333333337</v>
      </c>
      <c r="AR304" s="206" t="s">
        <v>885</v>
      </c>
    </row>
    <row r="305" spans="1:44" x14ac:dyDescent="0.25">
      <c r="A305" s="208">
        <v>0.85416666666666663</v>
      </c>
      <c r="AR305" s="206" t="s">
        <v>886</v>
      </c>
    </row>
    <row r="306" spans="1:44" x14ac:dyDescent="0.25">
      <c r="A306" s="208">
        <v>0.875</v>
      </c>
      <c r="AR306" s="206" t="s">
        <v>888</v>
      </c>
    </row>
    <row r="307" spans="1:44" x14ac:dyDescent="0.25">
      <c r="A307" s="208">
        <v>0.89583333333333337</v>
      </c>
      <c r="AR307" s="206" t="s">
        <v>889</v>
      </c>
    </row>
    <row r="308" spans="1:44" x14ac:dyDescent="0.25">
      <c r="A308" s="208">
        <v>0.91666666666666663</v>
      </c>
      <c r="AR308" s="206" t="s">
        <v>890</v>
      </c>
    </row>
    <row r="309" spans="1:44" x14ac:dyDescent="0.25">
      <c r="A309" s="208">
        <v>0.9375</v>
      </c>
      <c r="AR309" s="206" t="s">
        <v>887</v>
      </c>
    </row>
    <row r="310" spans="1:44" x14ac:dyDescent="0.25">
      <c r="A310" s="208">
        <v>0.95833333333333337</v>
      </c>
      <c r="AR310" s="206" t="s">
        <v>1061</v>
      </c>
    </row>
    <row r="311" spans="1:44" x14ac:dyDescent="0.25">
      <c r="AR311" s="206" t="s">
        <v>1062</v>
      </c>
    </row>
  </sheetData>
  <sortState ref="AM171:AM182">
    <sortCondition ref="AM171:AM182"/>
  </sortState>
  <phoneticPr fontId="4" type="noConversion"/>
  <pageMargins left="0.7" right="0.7" top="0.75" bottom="0.75" header="0.3" footer="0.3"/>
  <pageSetup paperSize="9" orientation="portrait" r:id="rId1"/>
  <ignoredErrors>
    <ignoredError sqref="G2" formula="1"/>
  </ignoredErrors>
  <tableParts count="3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I42"/>
  <sheetViews>
    <sheetView showGridLines="0" zoomScale="85" zoomScaleNormal="85" workbookViewId="0">
      <pane xSplit="1" ySplit="4" topLeftCell="B5" activePane="bottomRight" state="frozen"/>
      <selection activeCell="AN31" sqref="AN31"/>
      <selection pane="topRight" activeCell="AN31" sqref="AN31"/>
      <selection pane="bottomLeft" activeCell="AN31" sqref="AN31"/>
      <selection pane="bottomRight" activeCell="B3" sqref="B3:B4"/>
    </sheetView>
  </sheetViews>
  <sheetFormatPr baseColWidth="10" defaultColWidth="14.42578125" defaultRowHeight="15" customHeight="1" x14ac:dyDescent="0.2"/>
  <cols>
    <col min="1" max="1" width="50" style="4" customWidth="1"/>
    <col min="2" max="2" width="20.42578125" style="4" bestFit="1" customWidth="1"/>
    <col min="3" max="3" width="18.42578125" style="4" customWidth="1"/>
    <col min="4" max="4" width="12.140625" style="16" customWidth="1"/>
    <col min="5" max="5" width="34.42578125" style="4" customWidth="1"/>
    <col min="6" max="6" width="10.85546875" style="4" customWidth="1"/>
    <col min="7" max="7" width="24.42578125" style="4" customWidth="1"/>
    <col min="8" max="8" width="58.85546875" style="4" customWidth="1"/>
    <col min="9" max="9" width="13.28515625" style="4" bestFit="1" customWidth="1"/>
    <col min="10" max="10" width="51.7109375" style="4" customWidth="1"/>
    <col min="11" max="11" width="13.28515625" style="4" bestFit="1" customWidth="1"/>
    <col min="12" max="12" width="48.28515625" style="4" customWidth="1"/>
    <col min="13" max="13" width="10.7109375" style="4" customWidth="1"/>
    <col min="14" max="14" width="26.28515625" style="4" customWidth="1"/>
    <col min="15" max="15" width="13.28515625" style="4" bestFit="1" customWidth="1"/>
    <col min="16" max="16" width="11.140625" style="4" bestFit="1" customWidth="1"/>
    <col min="17" max="17" width="11.5703125" style="4" customWidth="1"/>
    <col min="18" max="18" width="15.28515625" style="4" customWidth="1"/>
    <col min="19" max="19" width="14.42578125" style="4" customWidth="1"/>
    <col min="20" max="20" width="17.140625" style="4" customWidth="1"/>
    <col min="21" max="21" width="19.7109375" style="4" customWidth="1"/>
    <col min="22" max="22" width="18.7109375" style="4" customWidth="1"/>
    <col min="23" max="23" width="7.7109375" style="4" customWidth="1"/>
    <col min="24" max="24" width="6.28515625" style="4" bestFit="1" customWidth="1"/>
    <col min="25" max="25" width="27.5703125" style="4" customWidth="1"/>
    <col min="26" max="26" width="7.7109375" style="4" bestFit="1" customWidth="1"/>
    <col min="27" max="27" width="43.85546875" style="4" customWidth="1"/>
    <col min="28" max="28" width="19.5703125" style="4" customWidth="1"/>
    <col min="29" max="29" width="23" style="4" customWidth="1"/>
    <col min="30" max="30" width="22.28515625" style="4" customWidth="1"/>
    <col min="31" max="31" width="7.7109375" style="4" bestFit="1" customWidth="1"/>
    <col min="32" max="32" width="6.28515625" style="4" bestFit="1" customWidth="1"/>
    <col min="33" max="33" width="29.28515625" style="4" customWidth="1"/>
    <col min="34" max="34" width="10" style="4" customWidth="1"/>
    <col min="35" max="35" width="32.28515625" style="4" customWidth="1"/>
    <col min="36" max="16384" width="14.42578125" style="4"/>
  </cols>
  <sheetData>
    <row r="1" spans="1:35" ht="25.15" customHeight="1" x14ac:dyDescent="0.2">
      <c r="A1" s="307" t="s">
        <v>1120</v>
      </c>
      <c r="B1" s="307"/>
      <c r="C1" s="307"/>
      <c r="D1" s="307"/>
      <c r="E1" s="307"/>
      <c r="F1" s="307"/>
      <c r="G1" s="307"/>
      <c r="H1" s="307"/>
      <c r="I1" s="307"/>
      <c r="J1" s="307"/>
      <c r="K1" s="307"/>
      <c r="L1" s="307"/>
      <c r="M1" s="307"/>
      <c r="N1" s="307"/>
      <c r="O1" s="307"/>
      <c r="P1" s="307"/>
      <c r="Q1" s="307"/>
      <c r="R1" s="307"/>
      <c r="S1" s="307"/>
      <c r="T1" s="307"/>
      <c r="U1" s="307"/>
      <c r="V1" s="307"/>
      <c r="W1" s="307"/>
      <c r="X1" s="307"/>
      <c r="Y1" s="307"/>
      <c r="Z1" s="307"/>
      <c r="AA1" s="307"/>
      <c r="AB1" s="307"/>
      <c r="AC1" s="307"/>
      <c r="AD1" s="307"/>
      <c r="AE1" s="307"/>
      <c r="AF1" s="307"/>
      <c r="AG1" s="307"/>
      <c r="AH1" s="307"/>
      <c r="AI1" s="307"/>
    </row>
    <row r="2" spans="1:35" ht="30.6" customHeight="1" thickBot="1" x14ac:dyDescent="0.25">
      <c r="A2" s="150"/>
      <c r="B2" s="308" t="s">
        <v>221</v>
      </c>
      <c r="C2" s="308"/>
      <c r="D2" s="308"/>
      <c r="E2" s="308"/>
      <c r="F2" s="308"/>
      <c r="G2" s="308"/>
      <c r="H2" s="308"/>
      <c r="I2" s="308"/>
      <c r="J2" s="308"/>
      <c r="K2" s="308"/>
      <c r="L2" s="308"/>
      <c r="M2" s="308"/>
      <c r="N2" s="308"/>
      <c r="O2" s="308"/>
      <c r="P2" s="308"/>
      <c r="Q2" s="309"/>
      <c r="R2" s="310" t="s">
        <v>293</v>
      </c>
      <c r="S2" s="308"/>
      <c r="T2" s="308"/>
      <c r="U2" s="308"/>
      <c r="V2" s="308"/>
      <c r="W2" s="308"/>
      <c r="X2" s="308"/>
      <c r="Y2" s="308"/>
      <c r="Z2" s="308"/>
      <c r="AA2" s="308"/>
      <c r="AB2" s="309"/>
      <c r="AC2" s="310" t="s">
        <v>294</v>
      </c>
      <c r="AD2" s="308"/>
      <c r="AE2" s="308"/>
      <c r="AF2" s="308"/>
      <c r="AG2" s="308"/>
      <c r="AH2" s="309"/>
      <c r="AI2" s="151" t="s">
        <v>235</v>
      </c>
    </row>
    <row r="3" spans="1:35" ht="48.75" customHeight="1" x14ac:dyDescent="0.2">
      <c r="A3" s="300" t="s">
        <v>1053</v>
      </c>
      <c r="B3" s="298" t="s">
        <v>296</v>
      </c>
      <c r="C3" s="298" t="s">
        <v>297</v>
      </c>
      <c r="D3" s="298" t="s">
        <v>298</v>
      </c>
      <c r="E3" s="298" t="s">
        <v>299</v>
      </c>
      <c r="F3" s="298" t="s">
        <v>300</v>
      </c>
      <c r="G3" s="298" t="s">
        <v>301</v>
      </c>
      <c r="H3" s="298" t="s">
        <v>302</v>
      </c>
      <c r="I3" s="299"/>
      <c r="J3" s="298" t="s">
        <v>303</v>
      </c>
      <c r="K3" s="299"/>
      <c r="L3" s="298" t="s">
        <v>304</v>
      </c>
      <c r="M3" s="299"/>
      <c r="N3" s="298" t="s">
        <v>305</v>
      </c>
      <c r="O3" s="299"/>
      <c r="P3" s="311" t="s">
        <v>658</v>
      </c>
      <c r="Q3" s="299"/>
      <c r="R3" s="298" t="s">
        <v>655</v>
      </c>
      <c r="S3" s="298" t="s">
        <v>656</v>
      </c>
      <c r="T3" s="298" t="s">
        <v>657</v>
      </c>
      <c r="U3" s="298" t="s">
        <v>306</v>
      </c>
      <c r="V3" s="298" t="s">
        <v>307</v>
      </c>
      <c r="W3" s="299"/>
      <c r="X3" s="302" t="s">
        <v>308</v>
      </c>
      <c r="Y3" s="298" t="s">
        <v>309</v>
      </c>
      <c r="Z3" s="299"/>
      <c r="AA3" s="298" t="s">
        <v>310</v>
      </c>
      <c r="AB3" s="299"/>
      <c r="AC3" s="298" t="s">
        <v>306</v>
      </c>
      <c r="AD3" s="298" t="s">
        <v>307</v>
      </c>
      <c r="AE3" s="299"/>
      <c r="AF3" s="302" t="s">
        <v>308</v>
      </c>
      <c r="AG3" s="298" t="s">
        <v>309</v>
      </c>
      <c r="AH3" s="299"/>
      <c r="AI3" s="304" t="s">
        <v>311</v>
      </c>
    </row>
    <row r="4" spans="1:35" ht="51" customHeight="1" thickBot="1" x14ac:dyDescent="0.25">
      <c r="A4" s="301"/>
      <c r="B4" s="303"/>
      <c r="C4" s="303"/>
      <c r="D4" s="303"/>
      <c r="E4" s="303"/>
      <c r="F4" s="303"/>
      <c r="G4" s="303"/>
      <c r="H4" s="160" t="s">
        <v>312</v>
      </c>
      <c r="I4" s="25" t="s">
        <v>313</v>
      </c>
      <c r="J4" s="160" t="s">
        <v>314</v>
      </c>
      <c r="K4" s="25" t="s">
        <v>315</v>
      </c>
      <c r="L4" s="160" t="s">
        <v>316</v>
      </c>
      <c r="M4" s="25" t="s">
        <v>315</v>
      </c>
      <c r="N4" s="161" t="s">
        <v>317</v>
      </c>
      <c r="O4" s="25" t="s">
        <v>318</v>
      </c>
      <c r="P4" s="25" t="s">
        <v>320</v>
      </c>
      <c r="Q4" s="25" t="s">
        <v>321</v>
      </c>
      <c r="R4" s="306"/>
      <c r="S4" s="306"/>
      <c r="T4" s="306"/>
      <c r="U4" s="303"/>
      <c r="V4" s="160" t="s">
        <v>322</v>
      </c>
      <c r="W4" s="25" t="s">
        <v>323</v>
      </c>
      <c r="X4" s="303"/>
      <c r="Y4" s="160" t="s">
        <v>324</v>
      </c>
      <c r="Z4" s="25" t="s">
        <v>323</v>
      </c>
      <c r="AA4" s="160" t="s">
        <v>325</v>
      </c>
      <c r="AB4" s="25" t="s">
        <v>326</v>
      </c>
      <c r="AC4" s="303"/>
      <c r="AD4" s="160" t="s">
        <v>322</v>
      </c>
      <c r="AE4" s="25" t="s">
        <v>323</v>
      </c>
      <c r="AF4" s="303"/>
      <c r="AG4" s="160" t="s">
        <v>324</v>
      </c>
      <c r="AH4" s="25" t="s">
        <v>323</v>
      </c>
      <c r="AI4" s="305"/>
    </row>
    <row r="5" spans="1:35" ht="12.6" customHeight="1" x14ac:dyDescent="0.2">
      <c r="A5" s="158" t="str">
        <f>IF(B5="0","",IF(ISBLANK(L5),"Completar En ocasion de otro delito",IF(ISBLANK(R5),"Completar Numero de Documento de la victima",IF(ISBLANK(S5),"Completar Nombre de la victima",IF(ISBLANK(T5),"Completar Apellido de la victima",IF(ISBLANK(U5),"Completar Sexo de la victima",IF(ISBLANK(V5),"Completar Genero de la victima",IF(ISBLANK(X5),"Completar Edad",IF(ISBLANK(Y5),"Completar Clase de la victima",IF(ISBLANK(AA5),"Completar Situacion ocupacional de la victima",IF(ISBLANK(AC5),"Completar Sexo del Imputado",IF(ISBLANK(AD5),"Completar Genero del imputado",IF(ISBLANK(AF5),"Completar Edad del imputado",IF(ISBLANK(AG5),"Completar Clase del imputado",IF(ISBLANK(AI5),"Completar Vinculo","OK")))))))))))))))</f>
        <v/>
      </c>
      <c r="B5" s="124" t="str">
        <f>IFERROR(INDEX('PLANILLA DJ'!H1:H102,MATCH(BUSCADOR!$B$2,'PLANILLA DJ'!$Y$1:$Y$102,0),1),"0")</f>
        <v>0</v>
      </c>
      <c r="C5" s="125" t="str">
        <f t="array" ref="C5">IFERROR(INDEX('PLANILLA DJ'!D1:D102,MATCH(BUSCADOR!$B$2,'PLANILLA DJ'!$Y$1:$Y$102,0),1),"")</f>
        <v/>
      </c>
      <c r="D5" s="126" t="str">
        <f t="array" ref="D5">IFERROR(INDEX('PLANILLA DJ'!F1:F102,MATCH(BUSCADOR!$B$2,'PLANILLA DJ'!$Y$1:$Y$102,0),1),"")</f>
        <v/>
      </c>
      <c r="E5" s="124" t="str">
        <f t="array" ref="E5">IFERROR(INDEX('PLANILLA DJ'!L1:L102,MATCH(BUSCADOR!$B$2,'PLANILLA DJ'!$Y$1:$Y$102,0),1),"")</f>
        <v/>
      </c>
      <c r="F5" s="124" t="str">
        <f t="array" ref="F5">IFERROR(INDEX('PLANILLA DJ'!M1:M102,MATCH(BUSCADOR!$B$2,'PLANILLA DJ'!$Y$1:$Y$102,0),1),"")</f>
        <v/>
      </c>
      <c r="G5" s="144"/>
      <c r="H5" s="145" t="str">
        <f t="array" ref="H5">IFERROR(INDEX('PLANILLA DJ'!$AD$1:$AD$102,SMALL(IF('PLANILLA DJ'!$Y$1:$Y$102=BUSCADOR!$B$2,ROW('PLANILLA DJ'!$Y$1:$Y$102),""),1),1),"")</f>
        <v/>
      </c>
      <c r="I5" s="144"/>
      <c r="J5" s="145" t="str">
        <f t="array" ref="J5">IFERROR(INDEX('PLANILLA DJ'!$AR$1:$AR$102,SMALL(IF('PLANILLA DJ'!$Y$1:$Y$102=BUSCADOR!$B$2,ROW('PLANILLA DJ'!$Y$1:$Y$102),""),1),1),"")</f>
        <v/>
      </c>
      <c r="K5" s="144"/>
      <c r="L5" s="146"/>
      <c r="M5" s="144"/>
      <c r="N5" s="145" t="str">
        <f t="array" ref="N5">IFERROR(INDEX('PLANILLA DJ'!$AF$1:$AF$102,SMALL(IF('PLANILLA DJ'!$Y$1:$Y$102=BUSCADOR!$B$2,ROW('PLANILLA DJ'!$Y$1:$Y$102),""),1),1),"")</f>
        <v/>
      </c>
      <c r="O5" s="147"/>
      <c r="P5" s="148" t="str">
        <f t="array" ref="P5">IFERROR(INDEX('PLANILLA DJ'!O3:AS102,MATCH(BUSCADOR!B2,'PLANILLA DJ'!Y3:Y102,0),1),"")</f>
        <v/>
      </c>
      <c r="Q5" s="148" t="str">
        <f t="array" ref="Q5">IFERROR(INDEX('PLANILLA DJ'!O3:AS102,MATCH(BUSCADOR!B2,'PLANILLA DJ'!Y3:Y102,0),2),"")</f>
        <v/>
      </c>
      <c r="R5" s="149"/>
      <c r="S5" s="147"/>
      <c r="T5" s="147"/>
      <c r="U5" s="147"/>
      <c r="V5" s="147"/>
      <c r="W5" s="147"/>
      <c r="X5" s="144"/>
      <c r="Y5" s="144"/>
      <c r="Z5" s="144"/>
      <c r="AA5" s="144"/>
      <c r="AB5" s="144"/>
      <c r="AC5" s="144"/>
      <c r="AD5" s="144"/>
      <c r="AE5" s="144"/>
      <c r="AF5" s="144"/>
      <c r="AG5" s="144"/>
      <c r="AH5" s="144"/>
      <c r="AI5" s="159"/>
    </row>
    <row r="6" spans="1:35" s="17" customFormat="1" ht="12.6" customHeight="1" x14ac:dyDescent="0.2">
      <c r="A6" s="152" t="str">
        <f>IF(ISBLANK(R6),"",IF(ISBLANK(L6),"Completar En ocasion de otro delito",IF(ISBLANK(R6),"Completar Numero de Documento de la victima",IF(ISBLANK(S6),"Completar Nombre de la victima",IF(ISBLANK(T6),"Completar Apellido de la victima",IF(ISBLANK(U6),"Completar Sexo de la victima",IF(ISBLANK(V6),"Completar Genero de la victima",IF(ISBLANK(X6),"Completar Edad",IF(ISBLANK(Y6),"Completar Clase de la victima",IF(ISBLANK(AA6),"Completar Situacion ocupacional de la victima",IF(ISBLANK(AC6),"Completar Sexo del Imputado",IF(ISBLANK(AD6),"Completar Genero del imputado",IF(ISBLANK(AF6),"Completar Edad del imputado",IF(ISBLANK(AG6),"Completar Clase del imputado",IF(ISBLANK(AI6),"Completar Vinculo","OK")))))))))))))))</f>
        <v/>
      </c>
      <c r="B6" s="31"/>
      <c r="C6" s="32" t="str">
        <f t="shared" ref="C6:F7" si="0">IF($R6&lt;&gt;"",C5,"")</f>
        <v/>
      </c>
      <c r="D6" s="33" t="str">
        <f t="shared" si="0"/>
        <v/>
      </c>
      <c r="E6" s="31" t="str">
        <f t="shared" si="0"/>
        <v/>
      </c>
      <c r="F6" s="31" t="str">
        <f t="shared" si="0"/>
        <v/>
      </c>
      <c r="G6" s="21"/>
      <c r="H6" s="31" t="str">
        <f>IF($R6&lt;&gt;"",H5,"")</f>
        <v/>
      </c>
      <c r="I6" s="21"/>
      <c r="J6" s="31" t="str">
        <f>IF($R6&lt;&gt;"",J5,"")</f>
        <v/>
      </c>
      <c r="K6" s="21"/>
      <c r="L6" s="21"/>
      <c r="M6" s="21"/>
      <c r="N6" s="31" t="str">
        <f>IF($R6&lt;&gt;"",N5,"")</f>
        <v/>
      </c>
      <c r="O6" s="21"/>
      <c r="P6" s="31" t="str">
        <f t="shared" ref="P6:Q10" si="1">IF($R6&lt;&gt;"",P5,"")</f>
        <v/>
      </c>
      <c r="Q6" s="31" t="str">
        <f t="shared" ref="Q6:Q7" si="2">IF($R6&lt;&gt;"",Q5,"")</f>
        <v/>
      </c>
      <c r="R6" s="21"/>
      <c r="S6" s="20"/>
      <c r="T6" s="20"/>
      <c r="U6" s="20"/>
      <c r="V6" s="20"/>
      <c r="W6" s="20"/>
      <c r="X6" s="18"/>
      <c r="Y6" s="18"/>
      <c r="Z6" s="18"/>
      <c r="AA6" s="18"/>
      <c r="AB6" s="18"/>
      <c r="AC6" s="18"/>
      <c r="AD6" s="18"/>
      <c r="AE6" s="18"/>
      <c r="AF6" s="18"/>
      <c r="AG6" s="18"/>
      <c r="AH6" s="18"/>
      <c r="AI6" s="153"/>
    </row>
    <row r="7" spans="1:35" s="17" customFormat="1" ht="12.6" customHeight="1" x14ac:dyDescent="0.2">
      <c r="A7" s="152" t="str">
        <f>IF(ISBLANK(R7),"",IF(ISBLANK(L7),"Completar En ocasion de otro delito",IF(ISBLANK(R7),"Completar Numero de Documento de la victima",IF(ISBLANK(S7),"Completar Nombre de la victima",IF(ISBLANK(T7),"Completar Apellido de la victima",IF(ISBLANK(U7),"Completar Sexo de la victima",IF(ISBLANK(V7),"Completar Genero de la victima",IF(ISBLANK(X7),"Completar Edad",IF(ISBLANK(Y7),"Completar Clase de la victima",IF(ISBLANK(AA7),"Completar Situacion ocupacional de la victima",IF(ISBLANK(AC7),"Completar Sexo del Imputado",IF(ISBLANK(AD7),"Completar Genero del imputado",IF(ISBLANK(AF7),"Completar Edad del imputado",IF(ISBLANK(AG7),"Completar Clase del imputado",IF(ISBLANK(AI7),"Completar Vinculo","OK")))))))))))))))</f>
        <v/>
      </c>
      <c r="B7" s="31" t="str">
        <f>IF($R7&lt;&gt;"",B6,"")</f>
        <v/>
      </c>
      <c r="C7" s="32" t="str">
        <f t="shared" si="0"/>
        <v/>
      </c>
      <c r="D7" s="33" t="str">
        <f t="shared" si="0"/>
        <v/>
      </c>
      <c r="E7" s="31" t="str">
        <f t="shared" si="0"/>
        <v/>
      </c>
      <c r="F7" s="31" t="str">
        <f t="shared" si="0"/>
        <v/>
      </c>
      <c r="G7" s="18"/>
      <c r="H7" s="31" t="str">
        <f>IF($R7&lt;&gt;"",H6,"")</f>
        <v/>
      </c>
      <c r="I7" s="18"/>
      <c r="J7" s="31" t="str">
        <f>IF($R7&lt;&gt;"",J6,"")</f>
        <v/>
      </c>
      <c r="K7" s="18"/>
      <c r="L7" s="21"/>
      <c r="M7" s="18"/>
      <c r="N7" s="31" t="str">
        <f>IF($R7&lt;&gt;"",N6,"")</f>
        <v/>
      </c>
      <c r="O7" s="20"/>
      <c r="P7" s="31" t="str">
        <f t="shared" si="1"/>
        <v/>
      </c>
      <c r="Q7" s="31" t="str">
        <f t="shared" si="2"/>
        <v/>
      </c>
      <c r="R7" s="21"/>
      <c r="S7" s="20"/>
      <c r="T7" s="20"/>
      <c r="U7" s="20"/>
      <c r="V7" s="20"/>
      <c r="W7" s="20"/>
      <c r="X7" s="18"/>
      <c r="Y7" s="18"/>
      <c r="Z7" s="18"/>
      <c r="AA7" s="18"/>
      <c r="AB7" s="18"/>
      <c r="AC7" s="18"/>
      <c r="AD7" s="18"/>
      <c r="AE7" s="18"/>
      <c r="AF7" s="18"/>
      <c r="AG7" s="18"/>
      <c r="AH7" s="18"/>
      <c r="AI7" s="153"/>
    </row>
    <row r="8" spans="1:35" ht="12.75" customHeight="1" x14ac:dyDescent="0.2">
      <c r="A8" s="152" t="str">
        <f>IF(B8="0","",IF(ISBLANK(L8),"Completar En ocasion de otro delito",IF(ISBLANK(R8),"Completar Numero de Documento de la victima",IF(ISBLANK(S8),"Completar Nombre de la victima",IF(ISBLANK(T8),"Completar Apellido de la victima",IF(ISBLANK(U8),"Completar Sexo de la victima",IF(ISBLANK(V8),"Completar Genero de la victima",IF(ISBLANK(X8),"Completar Edad",IF(ISBLANK(Y8),"Completar Clase de la victima",IF(ISBLANK(AA8),"Completar Situacion ocupacional de la victima",IF(ISBLANK(AC8),"Completar Sexo del Imputado",IF(ISBLANK(AD8),"Completar Genero del imputado",IF(ISBLANK(AF8),"Completar Edad del imputado",IF(ISBLANK(AG8),"Completar Clase del imputado",IF(ISBLANK(AI8),"Completar Vinculo","OK")))))))))))))))</f>
        <v/>
      </c>
      <c r="B8" s="72" t="str">
        <f t="array" ref="B8">IFERROR(INDEX('PLANILLA DJ'!$H$1:$H$102,SMALL(IF('PLANILLA DJ'!$Y$1:$Y$102=BUSCADOR!$B$2,ROW('PLANILLA DJ'!$Y$1:$Y$102),""),2),1),"0")</f>
        <v>0</v>
      </c>
      <c r="C8" s="73" t="str">
        <f t="array" ref="C8">IFERROR(INDEX('PLANILLA DJ'!$D$1:$D$102,SMALL(IF('PLANILLA DJ'!$Y$1:$Y$102=BUSCADOR!$B$2,ROW('PLANILLA DJ'!$Y$1:$Y$102),""),2),1),"")</f>
        <v/>
      </c>
      <c r="D8" s="74" t="str">
        <f t="array" ref="D8">IFERROR(INDEX('PLANILLA DJ'!$F$1:$F$102,SMALL(IF('PLANILLA DJ'!$Y$1:$Y$102=BUSCADOR!$B$2,ROW('PLANILLA DJ'!$Y$1:$Y$102),""),2),1),"")</f>
        <v/>
      </c>
      <c r="E8" s="72" t="str">
        <f t="array" ref="E8">IFERROR(INDEX('PLANILLA DJ'!$L$1:$L$102,SMALL(IF('PLANILLA DJ'!$Y$1:$Y$102=BUSCADOR!$B$2,ROW('PLANILLA DJ'!$Y$1:$Y$102),""),2),1),"")</f>
        <v/>
      </c>
      <c r="F8" s="72" t="str">
        <f t="array" ref="F8">IFERROR(INDEX('PLANILLA DJ'!$M$1:$M$102,SMALL(IF('PLANILLA DJ'!$Y$1:$Y$102=BUSCADOR!$B$2,ROW('PLANILLA DJ'!$Y$1:$Y$102),""),2),1),"")</f>
        <v/>
      </c>
      <c r="G8" s="18"/>
      <c r="H8" s="72" t="str">
        <f t="array" ref="H8">IFERROR(INDEX('PLANILLA DJ'!$AD$1:$AD$102,SMALL(IF('PLANILLA DJ'!$Y$1:$Y$102=BUSCADOR!$B$2,ROW('PLANILLA DJ'!$Y$1:$Y$102),""),2),1),"")</f>
        <v/>
      </c>
      <c r="I8" s="18"/>
      <c r="J8" s="72" t="str">
        <f t="array" ref="J8">IFERROR(INDEX('PLANILLA DJ'!$AR$1:$AR$102,SMALL(IF('PLANILLA DJ'!$Y$1:$Y$102=BUSCADOR!$B$2,ROW('PLANILLA DJ'!$Y$1:$Y$102),""),2),1),"")</f>
        <v/>
      </c>
      <c r="K8" s="18"/>
      <c r="L8" s="18"/>
      <c r="M8" s="18"/>
      <c r="N8" s="72" t="str">
        <f t="array" ref="N8">IFERROR(INDEX('PLANILLA DJ'!$AF$1:$AF$102,SMALL(IF('PLANILLA DJ'!$Y$1:$Y$102=BUSCADOR!$B$2,ROW('PLANILLA DJ'!$Y$1:$Y$102),""),2),1),"")</f>
        <v/>
      </c>
      <c r="O8" s="20"/>
      <c r="P8" s="72" t="str">
        <f t="array" ref="P8">IFERROR(INDEX('PLANILLA DJ'!$O$1:$O$102,SMALL(IF('PLANILLA DJ'!$Y$1:$Y$102=BUSCADOR!$B$2,ROW('PLANILLA DJ'!$Y$1:$Y$102),""),2),1),"")</f>
        <v/>
      </c>
      <c r="Q8" s="72" t="str">
        <f t="array" ref="Q8">IFERROR(INDEX('PLANILLA DJ'!$P$1:$P$102,SMALL(IF('PLANILLA DJ'!$Y$1:$Y$102=BUSCADOR!$B$2,ROW('PLANILLA DJ'!$Y$1:$Y$102),""),2),1),"")</f>
        <v/>
      </c>
      <c r="R8" s="21"/>
      <c r="S8" s="20"/>
      <c r="T8" s="20"/>
      <c r="U8" s="20"/>
      <c r="V8" s="20"/>
      <c r="W8" s="20"/>
      <c r="X8" s="18"/>
      <c r="Y8" s="18"/>
      <c r="Z8" s="18"/>
      <c r="AA8" s="18"/>
      <c r="AB8" s="18"/>
      <c r="AC8" s="18"/>
      <c r="AD8" s="18"/>
      <c r="AE8" s="18"/>
      <c r="AF8" s="18"/>
      <c r="AG8" s="18"/>
      <c r="AH8" s="18"/>
      <c r="AI8" s="153"/>
    </row>
    <row r="9" spans="1:35" s="17" customFormat="1" ht="12.75" customHeight="1" x14ac:dyDescent="0.2">
      <c r="A9" s="152" t="str">
        <f>IF(ISBLANK(R9),"",IF(ISBLANK(L9),"Completar En ocasion de otro delito",IF(ISBLANK(R9),"Completar Numero de Documento de la victima",IF(ISBLANK(S9),"Completar Nombre de la victima",IF(ISBLANK(T9),"Completar Apellido de la victima",IF(ISBLANK(U9),"Completar Sexo de la victima",IF(ISBLANK(V9),"Completar Genero de la victima",IF(ISBLANK(X9),"Completar Edad",IF(ISBLANK(Y9),"Completar Clase de la victima",IF(ISBLANK(AA9),"Completar Situacion ocupacional de la victima",IF(ISBLANK(AC9),"Completar Sexo del Imputado",IF(ISBLANK(AD9),"Completar Genero del imputado",IF(ISBLANK(AF9),"Completar Edad del imputado",IF(ISBLANK(AG9),"Completar Clase del imputado",IF(ISBLANK(AI9),"Completar Vinculo","OK")))))))))))))))</f>
        <v/>
      </c>
      <c r="B9" s="31" t="str">
        <f t="shared" ref="B9:F10" si="3">IF($R9&lt;&gt;"",B8,"")</f>
        <v/>
      </c>
      <c r="C9" s="32" t="str">
        <f t="shared" si="3"/>
        <v/>
      </c>
      <c r="D9" s="33" t="str">
        <f t="shared" si="3"/>
        <v/>
      </c>
      <c r="E9" s="31" t="str">
        <f t="shared" si="3"/>
        <v/>
      </c>
      <c r="F9" s="31" t="str">
        <f t="shared" si="3"/>
        <v/>
      </c>
      <c r="G9" s="18"/>
      <c r="H9" s="31" t="str">
        <f>IF($R9&lt;&gt;"",H8,"")</f>
        <v/>
      </c>
      <c r="I9" s="18"/>
      <c r="J9" s="31" t="str">
        <f>IF($R9&lt;&gt;"",J8,"")</f>
        <v/>
      </c>
      <c r="K9" s="18"/>
      <c r="L9" s="21"/>
      <c r="M9" s="18"/>
      <c r="N9" s="31" t="str">
        <f>IF($R9&lt;&gt;"",N8,"")</f>
        <v/>
      </c>
      <c r="O9" s="20"/>
      <c r="P9" s="31" t="str">
        <f t="shared" si="1"/>
        <v/>
      </c>
      <c r="Q9" s="31" t="str">
        <f t="shared" si="1"/>
        <v/>
      </c>
      <c r="R9" s="21"/>
      <c r="S9" s="20"/>
      <c r="T9" s="20"/>
      <c r="U9" s="20"/>
      <c r="V9" s="20"/>
      <c r="W9" s="20"/>
      <c r="X9" s="18"/>
      <c r="Y9" s="18"/>
      <c r="Z9" s="18"/>
      <c r="AA9" s="18"/>
      <c r="AB9" s="18"/>
      <c r="AC9" s="18"/>
      <c r="AD9" s="18"/>
      <c r="AE9" s="18"/>
      <c r="AF9" s="18"/>
      <c r="AG9" s="18"/>
      <c r="AH9" s="18"/>
      <c r="AI9" s="153"/>
    </row>
    <row r="10" spans="1:35" s="17" customFormat="1" ht="12.75" customHeight="1" x14ac:dyDescent="0.2">
      <c r="A10" s="152" t="str">
        <f>IF(ISBLANK(R10),"",IF(ISBLANK(L10),"Completar En ocasion de otro delito",IF(ISBLANK(R10),"Completar Numero de Documento de la victima",IF(ISBLANK(S10),"Completar Nombre de la victima",IF(ISBLANK(T10),"Completar Apellido de la victima",IF(ISBLANK(U10),"Completar Sexo de la victima",IF(ISBLANK(V10),"Completar Genero de la victima",IF(ISBLANK(X10),"Completar Edad",IF(ISBLANK(Y10),"Completar Clase de la victima",IF(ISBLANK(AA10),"Completar Situacion ocupacional de la victima",IF(ISBLANK(AC10),"Completar Sexo del Imputado",IF(ISBLANK(AD10),"Completar Genero del imputado",IF(ISBLANK(AF10),"Completar Edad del imputado",IF(ISBLANK(AG10),"Completar Clase del imputado",IF(ISBLANK(AI10),"Completar Vinculo","OK")))))))))))))))</f>
        <v/>
      </c>
      <c r="B10" s="31" t="str">
        <f t="shared" si="3"/>
        <v/>
      </c>
      <c r="C10" s="32" t="str">
        <f t="shared" si="3"/>
        <v/>
      </c>
      <c r="D10" s="33" t="str">
        <f t="shared" si="3"/>
        <v/>
      </c>
      <c r="E10" s="31" t="str">
        <f t="shared" si="3"/>
        <v/>
      </c>
      <c r="F10" s="31" t="str">
        <f t="shared" si="3"/>
        <v/>
      </c>
      <c r="G10" s="18"/>
      <c r="H10" s="31" t="str">
        <f>IF($R10&lt;&gt;"",H9,"")</f>
        <v/>
      </c>
      <c r="I10" s="18"/>
      <c r="J10" s="31" t="str">
        <f>IF($R10&lt;&gt;"",J9,"")</f>
        <v/>
      </c>
      <c r="K10" s="18"/>
      <c r="L10" s="21"/>
      <c r="M10" s="18"/>
      <c r="N10" s="31" t="str">
        <f>IF($R10&lt;&gt;"",N9,"")</f>
        <v/>
      </c>
      <c r="O10" s="20"/>
      <c r="P10" s="31" t="str">
        <f t="shared" si="1"/>
        <v/>
      </c>
      <c r="Q10" s="31" t="str">
        <f t="shared" si="1"/>
        <v/>
      </c>
      <c r="R10" s="21"/>
      <c r="S10" s="20"/>
      <c r="T10" s="20"/>
      <c r="U10" s="20"/>
      <c r="V10" s="20"/>
      <c r="W10" s="20"/>
      <c r="X10" s="18"/>
      <c r="Y10" s="18"/>
      <c r="Z10" s="18"/>
      <c r="AA10" s="18"/>
      <c r="AB10" s="18"/>
      <c r="AC10" s="18"/>
      <c r="AD10" s="18"/>
      <c r="AE10" s="18"/>
      <c r="AF10" s="18"/>
      <c r="AG10" s="18"/>
      <c r="AH10" s="18"/>
      <c r="AI10" s="153"/>
    </row>
    <row r="11" spans="1:35" s="17" customFormat="1" ht="12.75" customHeight="1" x14ac:dyDescent="0.2">
      <c r="A11" s="150"/>
      <c r="B11" s="21"/>
      <c r="C11" s="22"/>
      <c r="D11" s="23"/>
      <c r="E11" s="21"/>
      <c r="F11" s="21"/>
      <c r="G11" s="18"/>
      <c r="H11" s="18"/>
      <c r="I11" s="18"/>
      <c r="J11" s="18"/>
      <c r="K11" s="18"/>
      <c r="L11" s="18"/>
      <c r="M11" s="18"/>
      <c r="N11" s="18"/>
      <c r="O11" s="20"/>
      <c r="P11" s="24"/>
      <c r="Q11" s="24"/>
      <c r="R11" s="21"/>
      <c r="S11" s="20"/>
      <c r="T11" s="20"/>
      <c r="U11" s="20"/>
      <c r="V11" s="20"/>
      <c r="W11" s="20"/>
      <c r="X11" s="18"/>
      <c r="Y11" s="18"/>
      <c r="Z11" s="18"/>
      <c r="AA11" s="18"/>
      <c r="AB11" s="18"/>
      <c r="AC11" s="18"/>
      <c r="AD11" s="18"/>
      <c r="AE11" s="18"/>
      <c r="AF11" s="18"/>
      <c r="AG11" s="18"/>
      <c r="AH11" s="18"/>
      <c r="AI11" s="153"/>
    </row>
    <row r="12" spans="1:35" s="17" customFormat="1" ht="12.75" customHeight="1" x14ac:dyDescent="0.2">
      <c r="A12" s="150"/>
      <c r="B12" s="21"/>
      <c r="C12" s="22"/>
      <c r="D12" s="23"/>
      <c r="E12" s="21"/>
      <c r="F12" s="21"/>
      <c r="G12" s="18"/>
      <c r="H12" s="18"/>
      <c r="I12" s="18"/>
      <c r="J12" s="18"/>
      <c r="K12" s="18"/>
      <c r="L12" s="18"/>
      <c r="M12" s="18"/>
      <c r="N12" s="18"/>
      <c r="O12" s="20"/>
      <c r="P12" s="24"/>
      <c r="Q12" s="24"/>
      <c r="R12" s="21"/>
      <c r="S12" s="20"/>
      <c r="T12" s="20"/>
      <c r="U12" s="20"/>
      <c r="V12" s="20"/>
      <c r="W12" s="20"/>
      <c r="X12" s="18"/>
      <c r="Y12" s="18"/>
      <c r="Z12" s="18"/>
      <c r="AA12" s="18"/>
      <c r="AB12" s="18"/>
      <c r="AC12" s="18"/>
      <c r="AD12" s="18"/>
      <c r="AE12" s="18"/>
      <c r="AF12" s="18"/>
      <c r="AG12" s="18"/>
      <c r="AH12" s="18"/>
      <c r="AI12" s="153"/>
    </row>
    <row r="13" spans="1:35" s="17" customFormat="1" ht="12.75" customHeight="1" x14ac:dyDescent="0.2">
      <c r="A13" s="150"/>
      <c r="B13" s="21"/>
      <c r="C13" s="22"/>
      <c r="D13" s="23"/>
      <c r="E13" s="21"/>
      <c r="F13" s="21"/>
      <c r="G13" s="18"/>
      <c r="H13" s="18"/>
      <c r="I13" s="18"/>
      <c r="J13" s="18"/>
      <c r="K13" s="18"/>
      <c r="L13" s="18"/>
      <c r="M13" s="18"/>
      <c r="N13" s="18"/>
      <c r="O13" s="20"/>
      <c r="P13" s="24"/>
      <c r="Q13" s="24"/>
      <c r="R13" s="21"/>
      <c r="S13" s="20"/>
      <c r="T13" s="20"/>
      <c r="U13" s="20"/>
      <c r="V13" s="20"/>
      <c r="W13" s="20"/>
      <c r="X13" s="18"/>
      <c r="Y13" s="18"/>
      <c r="Z13" s="18"/>
      <c r="AA13" s="18"/>
      <c r="AB13" s="18"/>
      <c r="AC13" s="18"/>
      <c r="AD13" s="18"/>
      <c r="AE13" s="18"/>
      <c r="AF13" s="18"/>
      <c r="AG13" s="18"/>
      <c r="AH13" s="18"/>
      <c r="AI13" s="153"/>
    </row>
    <row r="14" spans="1:35" s="17" customFormat="1" ht="12.75" customHeight="1" x14ac:dyDescent="0.2">
      <c r="A14" s="150"/>
      <c r="B14" s="21"/>
      <c r="C14" s="22"/>
      <c r="D14" s="23"/>
      <c r="E14" s="21"/>
      <c r="F14" s="21"/>
      <c r="G14" s="18"/>
      <c r="H14" s="18"/>
      <c r="I14" s="18"/>
      <c r="J14" s="18"/>
      <c r="K14" s="18"/>
      <c r="L14" s="18"/>
      <c r="M14" s="18"/>
      <c r="N14" s="18"/>
      <c r="O14" s="20"/>
      <c r="P14" s="24"/>
      <c r="Q14" s="24"/>
      <c r="R14" s="21"/>
      <c r="S14" s="20"/>
      <c r="T14" s="20"/>
      <c r="U14" s="20"/>
      <c r="V14" s="20"/>
      <c r="W14" s="20"/>
      <c r="X14" s="18"/>
      <c r="Y14" s="18"/>
      <c r="Z14" s="18"/>
      <c r="AA14" s="18"/>
      <c r="AB14" s="18"/>
      <c r="AC14" s="18"/>
      <c r="AD14" s="18"/>
      <c r="AE14" s="18"/>
      <c r="AF14" s="18"/>
      <c r="AG14" s="18"/>
      <c r="AH14" s="18"/>
      <c r="AI14" s="153"/>
    </row>
    <row r="15" spans="1:35" s="17" customFormat="1" ht="12.75" customHeight="1" x14ac:dyDescent="0.2">
      <c r="A15" s="150"/>
      <c r="B15" s="21"/>
      <c r="C15" s="22"/>
      <c r="D15" s="23"/>
      <c r="E15" s="21"/>
      <c r="F15" s="21"/>
      <c r="G15" s="18"/>
      <c r="H15" s="18"/>
      <c r="I15" s="18"/>
      <c r="J15" s="18"/>
      <c r="K15" s="18"/>
      <c r="L15" s="18"/>
      <c r="M15" s="18"/>
      <c r="N15" s="18"/>
      <c r="O15" s="20"/>
      <c r="P15" s="24"/>
      <c r="Q15" s="24"/>
      <c r="R15" s="21"/>
      <c r="S15" s="20"/>
      <c r="T15" s="20"/>
      <c r="U15" s="20"/>
      <c r="V15" s="20"/>
      <c r="W15" s="20"/>
      <c r="X15" s="18"/>
      <c r="Y15" s="18"/>
      <c r="Z15" s="18"/>
      <c r="AA15" s="18"/>
      <c r="AB15" s="18"/>
      <c r="AC15" s="18"/>
      <c r="AD15" s="18"/>
      <c r="AE15" s="18"/>
      <c r="AF15" s="18"/>
      <c r="AG15" s="18"/>
      <c r="AH15" s="18"/>
      <c r="AI15" s="153"/>
    </row>
    <row r="16" spans="1:35" s="17" customFormat="1" ht="12.75" customHeight="1" x14ac:dyDescent="0.2">
      <c r="A16" s="150"/>
      <c r="B16" s="21"/>
      <c r="C16" s="22"/>
      <c r="D16" s="23"/>
      <c r="E16" s="21"/>
      <c r="F16" s="21"/>
      <c r="G16" s="18"/>
      <c r="H16" s="18"/>
      <c r="I16" s="18"/>
      <c r="J16" s="18"/>
      <c r="K16" s="18"/>
      <c r="L16" s="18"/>
      <c r="M16" s="18"/>
      <c r="N16" s="18"/>
      <c r="O16" s="20"/>
      <c r="P16" s="24"/>
      <c r="Q16" s="24"/>
      <c r="R16" s="21"/>
      <c r="S16" s="20"/>
      <c r="T16" s="20"/>
      <c r="U16" s="20"/>
      <c r="V16" s="20"/>
      <c r="W16" s="20"/>
      <c r="X16" s="18"/>
      <c r="Y16" s="18"/>
      <c r="Z16" s="18"/>
      <c r="AA16" s="18"/>
      <c r="AB16" s="18"/>
      <c r="AC16" s="18"/>
      <c r="AD16" s="18"/>
      <c r="AE16" s="18"/>
      <c r="AF16" s="18"/>
      <c r="AG16" s="18"/>
      <c r="AH16" s="18"/>
      <c r="AI16" s="153"/>
    </row>
    <row r="17" spans="1:35" s="17" customFormat="1" ht="12.75" customHeight="1" thickBot="1" x14ac:dyDescent="0.25">
      <c r="A17" s="154"/>
      <c r="B17" s="114"/>
      <c r="C17" s="115"/>
      <c r="D17" s="116"/>
      <c r="E17" s="114"/>
      <c r="F17" s="114"/>
      <c r="G17" s="117"/>
      <c r="H17" s="117"/>
      <c r="I17" s="117"/>
      <c r="J17" s="117"/>
      <c r="K17" s="117"/>
      <c r="L17" s="117"/>
      <c r="M17" s="117"/>
      <c r="N17" s="117"/>
      <c r="O17" s="155"/>
      <c r="P17" s="156"/>
      <c r="Q17" s="156"/>
      <c r="R17" s="114"/>
      <c r="S17" s="155"/>
      <c r="T17" s="155"/>
      <c r="U17" s="155"/>
      <c r="V17" s="155"/>
      <c r="W17" s="155"/>
      <c r="X17" s="117"/>
      <c r="Y17" s="117"/>
      <c r="Z17" s="117"/>
      <c r="AA17" s="117"/>
      <c r="AB17" s="117"/>
      <c r="AC17" s="117"/>
      <c r="AD17" s="117"/>
      <c r="AE17" s="117"/>
      <c r="AF17" s="117"/>
      <c r="AG17" s="117"/>
      <c r="AH17" s="117"/>
      <c r="AI17" s="157"/>
    </row>
    <row r="18" spans="1:35" ht="15" customHeight="1" x14ac:dyDescent="0.2">
      <c r="R18" s="17"/>
      <c r="S18" s="17"/>
      <c r="T18" s="17"/>
      <c r="U18" s="17"/>
      <c r="V18" s="17"/>
      <c r="W18" s="17"/>
      <c r="X18" s="17"/>
      <c r="Y18" s="17"/>
      <c r="Z18" s="17"/>
      <c r="AA18" s="17"/>
      <c r="AB18" s="17"/>
      <c r="AC18" s="17"/>
      <c r="AD18" s="17"/>
      <c r="AE18" s="17"/>
      <c r="AF18" s="17"/>
      <c r="AG18" s="17"/>
      <c r="AH18" s="17"/>
      <c r="AI18" s="17"/>
    </row>
    <row r="19" spans="1:35" ht="15" hidden="1" customHeight="1" x14ac:dyDescent="0.2"/>
    <row r="20" spans="1:35" ht="15" hidden="1" customHeight="1" x14ac:dyDescent="0.2"/>
    <row r="21" spans="1:35" ht="15" hidden="1" customHeight="1" x14ac:dyDescent="0.2">
      <c r="B21" s="2"/>
      <c r="C21" s="2"/>
    </row>
    <row r="22" spans="1:35" ht="15" hidden="1" customHeight="1" x14ac:dyDescent="0.2">
      <c r="B22" s="2"/>
    </row>
    <row r="23" spans="1:35" ht="15" hidden="1" customHeight="1" x14ac:dyDescent="0.2"/>
    <row r="24" spans="1:35" ht="15" hidden="1" customHeight="1" x14ac:dyDescent="0.2"/>
    <row r="25" spans="1:35" ht="15" hidden="1" customHeight="1" x14ac:dyDescent="0.2"/>
    <row r="26" spans="1:35" s="2" customFormat="1" ht="15" hidden="1" customHeight="1" x14ac:dyDescent="0.2">
      <c r="D26" s="201"/>
      <c r="L26" s="200" t="s">
        <v>238</v>
      </c>
      <c r="U26" s="195" t="s">
        <v>240</v>
      </c>
      <c r="V26" s="195" t="s">
        <v>241</v>
      </c>
      <c r="Y26" s="200" t="s">
        <v>242</v>
      </c>
      <c r="AA26" s="200" t="s">
        <v>243</v>
      </c>
      <c r="AI26" s="195" t="s">
        <v>244</v>
      </c>
    </row>
    <row r="27" spans="1:35" s="2" customFormat="1" ht="15" hidden="1" customHeight="1" x14ac:dyDescent="0.2">
      <c r="D27" s="201"/>
      <c r="L27" s="200" t="s">
        <v>246</v>
      </c>
      <c r="U27" s="195" t="s">
        <v>248</v>
      </c>
      <c r="V27" s="195" t="s">
        <v>249</v>
      </c>
      <c r="Y27" s="200" t="s">
        <v>250</v>
      </c>
      <c r="AA27" s="200" t="s">
        <v>251</v>
      </c>
      <c r="AI27" s="200" t="s">
        <v>252</v>
      </c>
    </row>
    <row r="28" spans="1:35" s="2" customFormat="1" ht="15" hidden="1" customHeight="1" x14ac:dyDescent="0.2">
      <c r="D28" s="201"/>
      <c r="L28" s="200" t="s">
        <v>253</v>
      </c>
      <c r="U28" s="200" t="s">
        <v>255</v>
      </c>
      <c r="V28" s="195" t="s">
        <v>256</v>
      </c>
      <c r="Y28" s="200" t="s">
        <v>257</v>
      </c>
      <c r="AA28" s="200" t="s">
        <v>258</v>
      </c>
      <c r="AI28" s="200" t="s">
        <v>259</v>
      </c>
    </row>
    <row r="29" spans="1:35" s="2" customFormat="1" ht="15" hidden="1" customHeight="1" x14ac:dyDescent="0.2">
      <c r="D29" s="201"/>
      <c r="L29" s="200" t="s">
        <v>261</v>
      </c>
      <c r="V29" s="195" t="s">
        <v>263</v>
      </c>
      <c r="Y29" s="200" t="s">
        <v>264</v>
      </c>
      <c r="AA29" s="200" t="s">
        <v>265</v>
      </c>
      <c r="AI29" s="200" t="s">
        <v>266</v>
      </c>
    </row>
    <row r="30" spans="1:35" s="2" customFormat="1" ht="15" hidden="1" customHeight="1" x14ac:dyDescent="0.2">
      <c r="D30" s="201"/>
      <c r="V30" s="195" t="s">
        <v>268</v>
      </c>
      <c r="Y30" s="200" t="s">
        <v>269</v>
      </c>
      <c r="AA30" s="200" t="s">
        <v>270</v>
      </c>
      <c r="AI30" s="200" t="s">
        <v>271</v>
      </c>
    </row>
    <row r="31" spans="1:35" s="2" customFormat="1" ht="15" hidden="1" customHeight="1" x14ac:dyDescent="0.2">
      <c r="D31" s="201"/>
      <c r="V31" s="195" t="s">
        <v>255</v>
      </c>
      <c r="Y31" s="200" t="s">
        <v>272</v>
      </c>
      <c r="AA31" s="200" t="s">
        <v>273</v>
      </c>
      <c r="AI31" s="200" t="s">
        <v>274</v>
      </c>
    </row>
    <row r="32" spans="1:35" s="2" customFormat="1" ht="15" hidden="1" customHeight="1" x14ac:dyDescent="0.2">
      <c r="D32" s="201"/>
      <c r="Y32" s="200" t="s">
        <v>276</v>
      </c>
      <c r="AA32" s="200" t="s">
        <v>277</v>
      </c>
      <c r="AI32" s="200" t="s">
        <v>278</v>
      </c>
    </row>
    <row r="33" spans="4:35" s="2" customFormat="1" ht="15" hidden="1" customHeight="1" x14ac:dyDescent="0.2">
      <c r="D33" s="201"/>
      <c r="Y33" s="200" t="s">
        <v>279</v>
      </c>
      <c r="AA33" s="200" t="s">
        <v>280</v>
      </c>
      <c r="AI33" s="200" t="s">
        <v>281</v>
      </c>
    </row>
    <row r="34" spans="4:35" s="2" customFormat="1" ht="15" hidden="1" customHeight="1" x14ac:dyDescent="0.2">
      <c r="D34" s="201"/>
      <c r="Y34" s="200" t="s">
        <v>275</v>
      </c>
      <c r="AA34" s="200" t="s">
        <v>282</v>
      </c>
      <c r="AI34" s="200" t="s">
        <v>283</v>
      </c>
    </row>
    <row r="35" spans="4:35" s="2" customFormat="1" ht="15" hidden="1" customHeight="1" x14ac:dyDescent="0.2">
      <c r="D35" s="201"/>
      <c r="AA35" s="200" t="s">
        <v>284</v>
      </c>
      <c r="AI35" s="200" t="s">
        <v>285</v>
      </c>
    </row>
    <row r="36" spans="4:35" s="2" customFormat="1" ht="15" hidden="1" customHeight="1" x14ac:dyDescent="0.2">
      <c r="D36" s="201"/>
      <c r="AA36" s="200" t="s">
        <v>286</v>
      </c>
      <c r="AI36" s="200" t="s">
        <v>287</v>
      </c>
    </row>
    <row r="37" spans="4:35" s="2" customFormat="1" ht="15" hidden="1" customHeight="1" x14ac:dyDescent="0.2">
      <c r="D37" s="201"/>
      <c r="AA37" s="200" t="s">
        <v>288</v>
      </c>
      <c r="AI37" s="200" t="s">
        <v>289</v>
      </c>
    </row>
    <row r="38" spans="4:35" s="2" customFormat="1" ht="15" hidden="1" customHeight="1" x14ac:dyDescent="0.2">
      <c r="D38" s="201"/>
      <c r="AA38" s="200" t="s">
        <v>290</v>
      </c>
      <c r="AI38" s="200" t="s">
        <v>275</v>
      </c>
    </row>
    <row r="39" spans="4:35" s="2" customFormat="1" ht="15" hidden="1" customHeight="1" x14ac:dyDescent="0.2">
      <c r="D39" s="201"/>
      <c r="AA39" s="200" t="s">
        <v>291</v>
      </c>
    </row>
    <row r="40" spans="4:35" s="2" customFormat="1" ht="15" hidden="1" customHeight="1" x14ac:dyDescent="0.2">
      <c r="D40" s="201"/>
      <c r="AA40" s="200" t="s">
        <v>292</v>
      </c>
    </row>
    <row r="41" spans="4:35" s="2" customFormat="1" ht="15" hidden="1" customHeight="1" x14ac:dyDescent="0.2">
      <c r="D41" s="201"/>
    </row>
    <row r="42" spans="4:35" ht="15" hidden="1" customHeight="1" x14ac:dyDescent="0.2"/>
  </sheetData>
  <sheetProtection algorithmName="SHA-512" hashValue="Zn1Z6ThjhXOELgQknPEQQDlF8lUJhOZSSwoG1mYsNinQJdW41ckAry+ZxJ6uY+waONLUsUVgT+dfJelg7I6izw==" saltValue="MeoSRztmXw5rpT45Hrw1mA==" spinCount="100000" sheet="1" objects="1" scenarios="1"/>
  <mergeCells count="29">
    <mergeCell ref="A1:AI1"/>
    <mergeCell ref="B2:Q2"/>
    <mergeCell ref="R2:AB2"/>
    <mergeCell ref="AC2:AH2"/>
    <mergeCell ref="E3:E4"/>
    <mergeCell ref="F3:F4"/>
    <mergeCell ref="G3:G4"/>
    <mergeCell ref="H3:I3"/>
    <mergeCell ref="J3:K3"/>
    <mergeCell ref="AC3:AC4"/>
    <mergeCell ref="N3:O3"/>
    <mergeCell ref="P3:Q3"/>
    <mergeCell ref="R3:R4"/>
    <mergeCell ref="S3:S4"/>
    <mergeCell ref="B3:B4"/>
    <mergeCell ref="C3:C4"/>
    <mergeCell ref="L3:M3"/>
    <mergeCell ref="A3:A4"/>
    <mergeCell ref="AF3:AF4"/>
    <mergeCell ref="AG3:AH3"/>
    <mergeCell ref="AI3:AI4"/>
    <mergeCell ref="T3:T4"/>
    <mergeCell ref="U3:U4"/>
    <mergeCell ref="V3:W3"/>
    <mergeCell ref="X3:X4"/>
    <mergeCell ref="Y3:Z3"/>
    <mergeCell ref="AA3:AB3"/>
    <mergeCell ref="AD3:AE3"/>
    <mergeCell ref="D3:D4"/>
  </mergeCells>
  <conditionalFormatting sqref="A3">
    <cfRule type="cellIs" dxfId="13" priority="5" operator="equal">
      <formula>"OK"</formula>
    </cfRule>
  </conditionalFormatting>
  <conditionalFormatting sqref="A5:A17">
    <cfRule type="containsBlanks" dxfId="12" priority="1">
      <formula>LEN(TRIM(A5))=0</formula>
    </cfRule>
    <cfRule type="cellIs" dxfId="11" priority="2" operator="notEqual">
      <formula>"OK"</formula>
    </cfRule>
    <cfRule type="cellIs" dxfId="10" priority="4" operator="equal">
      <formula>"OK"</formula>
    </cfRule>
  </conditionalFormatting>
  <dataValidations disablePrompts="1" count="7">
    <dataValidation operator="greaterThan" allowBlank="1" showInputMessage="1" showErrorMessage="1" sqref="C5:D5 C11:D1048576"/>
    <dataValidation type="list" allowBlank="1" showInputMessage="1" showErrorMessage="1" sqref="L5:L17">
      <formula1>$L$26:$L$29</formula1>
    </dataValidation>
    <dataValidation type="list" allowBlank="1" showInputMessage="1" showErrorMessage="1" sqref="AC5:AC17 U5:U17">
      <formula1>$U$26:$U$28</formula1>
    </dataValidation>
    <dataValidation type="list" allowBlank="1" showInputMessage="1" showErrorMessage="1" sqref="AD5:AD17 V5:V17">
      <formula1>$V$26:$V$31</formula1>
    </dataValidation>
    <dataValidation type="list" allowBlank="1" showInputMessage="1" showErrorMessage="1" sqref="AG5:AG17 Y5:Y17">
      <formula1>$Y$26:$Y$34</formula1>
    </dataValidation>
    <dataValidation type="list" allowBlank="1" showInputMessage="1" showErrorMessage="1" sqref="AA5:AA17">
      <formula1>$AA$26:$AA$40</formula1>
    </dataValidation>
    <dataValidation type="list" allowBlank="1" showInputMessage="1" showErrorMessage="1" sqref="AI5:AI17">
      <formula1>$AI$26:$AI$38</formula1>
    </dataValidation>
  </dataValidations>
  <pageMargins left="0.16" right="0.12" top="0.75" bottom="0.16" header="0.3" footer="0.13"/>
  <pageSetup scale="55"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D32"/>
  <sheetViews>
    <sheetView zoomScale="55" zoomScaleNormal="55" workbookViewId="0">
      <pane xSplit="4" ySplit="20" topLeftCell="L21" activePane="bottomRight" state="frozen"/>
      <selection activeCell="AN31" sqref="AN31"/>
      <selection pane="topRight" activeCell="AN31" sqref="AN31"/>
      <selection pane="bottomLeft" activeCell="AN31" sqref="AN31"/>
      <selection pane="bottomRight" activeCell="O22" sqref="O22"/>
    </sheetView>
  </sheetViews>
  <sheetFormatPr baseColWidth="10" defaultColWidth="14.42578125" defaultRowHeight="15" customHeight="1" x14ac:dyDescent="0.2"/>
  <cols>
    <col min="1" max="1" width="51.85546875" style="2" bestFit="1" customWidth="1"/>
    <col min="2" max="2" width="15.5703125" style="2" hidden="1" customWidth="1"/>
    <col min="3" max="3" width="12.85546875" style="2" hidden="1" customWidth="1"/>
    <col min="4" max="4" width="12.5703125" style="2" hidden="1" customWidth="1"/>
    <col min="5" max="5" width="26.85546875" style="2" customWidth="1"/>
    <col min="6" max="6" width="11.42578125" style="2" customWidth="1"/>
    <col min="7" max="7" width="13.7109375" style="2" customWidth="1"/>
    <col min="8" max="8" width="56.5703125" style="2" customWidth="1"/>
    <col min="9" max="9" width="12" style="2" customWidth="1"/>
    <col min="10" max="10" width="36.5703125" style="2" customWidth="1"/>
    <col min="11" max="11" width="22" style="2" customWidth="1"/>
    <col min="12" max="12" width="20.7109375" style="2" bestFit="1" customWidth="1"/>
    <col min="13" max="13" width="32.28515625" style="2" customWidth="1"/>
    <col min="14" max="14" width="16.42578125" style="2" customWidth="1"/>
    <col min="15" max="15" width="17.42578125" style="2" customWidth="1"/>
    <col min="16" max="16" width="26" style="2" customWidth="1"/>
    <col min="17" max="17" width="14.28515625" style="2" bestFit="1" customWidth="1"/>
    <col min="18" max="20" width="14.28515625" style="2" customWidth="1"/>
    <col min="21" max="21" width="23.85546875" style="2" customWidth="1"/>
    <col min="22" max="22" width="6.7109375" style="2" customWidth="1"/>
    <col min="23" max="23" width="15.7109375" style="2" customWidth="1"/>
    <col min="24" max="24" width="10.85546875" style="2" customWidth="1"/>
    <col min="25" max="25" width="14.7109375" style="2" customWidth="1"/>
    <col min="26" max="26" width="11" style="2" customWidth="1"/>
    <col min="27" max="27" width="15.7109375" style="2" customWidth="1"/>
    <col min="28" max="28" width="10.28515625" style="2" customWidth="1"/>
    <col min="29" max="29" width="21.7109375" style="2" customWidth="1"/>
    <col min="30" max="30" width="15.42578125" style="2" customWidth="1"/>
    <col min="31" max="16384" width="14.42578125" style="2"/>
  </cols>
  <sheetData>
    <row r="1" spans="1:30" ht="25.15" customHeight="1" thickBot="1" x14ac:dyDescent="0.25">
      <c r="A1" s="340" t="s">
        <v>1057</v>
      </c>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row>
    <row r="2" spans="1:30" s="11" customFormat="1" ht="12.75" hidden="1" x14ac:dyDescent="0.2">
      <c r="B2" s="190"/>
      <c r="C2" s="190"/>
      <c r="D2" s="190"/>
      <c r="E2" s="190"/>
      <c r="F2" s="191"/>
      <c r="G2" s="191"/>
      <c r="H2" s="191"/>
      <c r="I2" s="191"/>
      <c r="J2" s="191"/>
      <c r="K2" s="191"/>
      <c r="L2" s="191"/>
      <c r="M2" s="191"/>
      <c r="N2" s="191"/>
      <c r="O2" s="191"/>
      <c r="P2" s="191"/>
      <c r="Q2" s="191"/>
      <c r="R2" s="191"/>
      <c r="S2" s="191"/>
      <c r="T2" s="191"/>
      <c r="U2" s="191"/>
      <c r="V2" s="191"/>
      <c r="W2" s="191"/>
      <c r="X2" s="191"/>
      <c r="Y2" s="191"/>
      <c r="Z2" s="191"/>
      <c r="AA2" s="191"/>
      <c r="AB2" s="191"/>
      <c r="AC2" s="190"/>
      <c r="AD2" s="190"/>
    </row>
    <row r="3" spans="1:30" s="11" customFormat="1" ht="12.75" hidden="1" x14ac:dyDescent="0.2">
      <c r="B3" s="337" t="s">
        <v>228</v>
      </c>
      <c r="C3" s="314"/>
      <c r="D3" s="314"/>
      <c r="E3" s="314"/>
      <c r="F3" s="314"/>
      <c r="G3" s="314"/>
      <c r="H3" s="314"/>
      <c r="I3" s="314"/>
      <c r="J3" s="314"/>
      <c r="K3" s="314"/>
      <c r="L3" s="192"/>
      <c r="M3" s="192"/>
      <c r="N3" s="341" t="s">
        <v>219</v>
      </c>
      <c r="O3" s="314"/>
      <c r="P3" s="314"/>
      <c r="Q3" s="314"/>
      <c r="R3" s="314"/>
      <c r="S3" s="314"/>
      <c r="T3" s="314"/>
      <c r="U3" s="314"/>
      <c r="V3" s="192"/>
      <c r="W3" s="192"/>
      <c r="X3" s="192"/>
      <c r="Y3" s="192"/>
      <c r="Z3" s="192"/>
      <c r="AA3" s="192"/>
      <c r="AB3" s="192"/>
      <c r="AC3" s="192"/>
      <c r="AD3" s="190"/>
    </row>
    <row r="4" spans="1:30" s="11" customFormat="1" ht="12.75" hidden="1" x14ac:dyDescent="0.2">
      <c r="B4" s="194" t="s">
        <v>215</v>
      </c>
      <c r="C4" s="338" t="s">
        <v>229</v>
      </c>
      <c r="D4" s="314"/>
      <c r="E4" s="194" t="s">
        <v>230</v>
      </c>
      <c r="F4" s="194" t="s">
        <v>231</v>
      </c>
      <c r="G4" s="194" t="s">
        <v>216</v>
      </c>
      <c r="H4" s="194" t="s">
        <v>217</v>
      </c>
      <c r="I4" s="194" t="s">
        <v>232</v>
      </c>
      <c r="J4" s="338" t="s">
        <v>214</v>
      </c>
      <c r="K4" s="314"/>
      <c r="L4" s="190"/>
      <c r="M4" s="190"/>
      <c r="N4" s="338" t="s">
        <v>220</v>
      </c>
      <c r="O4" s="314"/>
      <c r="P4" s="314"/>
      <c r="Q4" s="314"/>
      <c r="R4" s="314"/>
      <c r="S4" s="314"/>
      <c r="T4" s="314"/>
      <c r="U4" s="314"/>
      <c r="V4" s="190"/>
      <c r="W4" s="190"/>
      <c r="X4" s="190"/>
      <c r="Y4" s="190"/>
      <c r="Z4" s="190"/>
      <c r="AA4" s="190"/>
      <c r="AB4" s="190"/>
      <c r="AC4" s="190"/>
      <c r="AD4" s="190"/>
    </row>
    <row r="5" spans="1:30" s="11" customFormat="1" ht="48" hidden="1" x14ac:dyDescent="0.2">
      <c r="B5" s="192" t="s">
        <v>327</v>
      </c>
      <c r="C5" s="337" t="s">
        <v>233</v>
      </c>
      <c r="D5" s="314"/>
      <c r="E5" s="192" t="s">
        <v>328</v>
      </c>
      <c r="F5" s="192" t="s">
        <v>329</v>
      </c>
      <c r="G5" s="192" t="s">
        <v>222</v>
      </c>
      <c r="H5" s="192" t="s">
        <v>330</v>
      </c>
      <c r="I5" s="192" t="s">
        <v>331</v>
      </c>
      <c r="J5" s="337" t="s">
        <v>332</v>
      </c>
      <c r="K5" s="314"/>
      <c r="L5" s="202" t="s">
        <v>338</v>
      </c>
      <c r="M5" s="190"/>
      <c r="N5" s="338" t="s">
        <v>260</v>
      </c>
      <c r="O5" s="314"/>
      <c r="P5" s="314"/>
      <c r="Q5" s="314"/>
      <c r="R5" s="314"/>
      <c r="S5" s="314"/>
      <c r="T5" s="314"/>
      <c r="U5" s="314"/>
      <c r="V5" s="190"/>
      <c r="W5" s="190"/>
      <c r="X5" s="190"/>
      <c r="Y5" s="190"/>
      <c r="Z5" s="190"/>
      <c r="AA5" s="190"/>
      <c r="AB5" s="190"/>
      <c r="AC5" s="190"/>
      <c r="AD5" s="190"/>
    </row>
    <row r="6" spans="1:30" s="11" customFormat="1" ht="22.5" hidden="1" x14ac:dyDescent="0.2">
      <c r="B6" s="202" t="s">
        <v>333</v>
      </c>
      <c r="C6" s="339" t="s">
        <v>334</v>
      </c>
      <c r="D6" s="314"/>
      <c r="E6" s="202" t="s">
        <v>335</v>
      </c>
      <c r="F6" s="202" t="s">
        <v>336</v>
      </c>
      <c r="G6" s="203" t="s">
        <v>239</v>
      </c>
      <c r="H6" s="202" t="s">
        <v>240</v>
      </c>
      <c r="I6" s="202" t="s">
        <v>337</v>
      </c>
      <c r="J6" s="202"/>
      <c r="K6" s="202"/>
      <c r="L6" s="202" t="s">
        <v>345</v>
      </c>
      <c r="M6" s="190"/>
      <c r="N6" s="338" t="s">
        <v>267</v>
      </c>
      <c r="O6" s="314"/>
      <c r="P6" s="314"/>
      <c r="Q6" s="314"/>
      <c r="R6" s="314"/>
      <c r="S6" s="314"/>
      <c r="T6" s="314"/>
      <c r="U6" s="314"/>
      <c r="V6" s="190"/>
      <c r="W6" s="190"/>
      <c r="X6" s="190"/>
      <c r="Y6" s="190"/>
      <c r="Z6" s="190"/>
      <c r="AA6" s="190"/>
      <c r="AB6" s="190"/>
      <c r="AC6" s="190"/>
      <c r="AD6" s="190"/>
    </row>
    <row r="7" spans="1:30" s="11" customFormat="1" ht="22.5" hidden="1" x14ac:dyDescent="0.2">
      <c r="B7" s="202" t="s">
        <v>340</v>
      </c>
      <c r="C7" s="339" t="s">
        <v>341</v>
      </c>
      <c r="D7" s="314"/>
      <c r="E7" s="203" t="s">
        <v>342</v>
      </c>
      <c r="F7" s="202" t="s">
        <v>343</v>
      </c>
      <c r="G7" s="203" t="s">
        <v>247</v>
      </c>
      <c r="H7" s="202" t="s">
        <v>248</v>
      </c>
      <c r="I7" s="202" t="s">
        <v>344</v>
      </c>
      <c r="J7" s="202"/>
      <c r="K7" s="202"/>
      <c r="L7" s="202" t="s">
        <v>352</v>
      </c>
      <c r="M7" s="190"/>
      <c r="N7" s="190"/>
      <c r="O7" s="190"/>
      <c r="P7" s="190"/>
      <c r="Q7" s="190"/>
      <c r="R7" s="190"/>
      <c r="S7" s="190"/>
      <c r="T7" s="190"/>
      <c r="U7" s="190"/>
      <c r="V7" s="190"/>
      <c r="W7" s="190"/>
      <c r="X7" s="190"/>
      <c r="Y7" s="190"/>
      <c r="Z7" s="190"/>
      <c r="AA7" s="190"/>
      <c r="AB7" s="190"/>
      <c r="AC7" s="190"/>
      <c r="AD7" s="190"/>
    </row>
    <row r="8" spans="1:30" s="11" customFormat="1" ht="22.5" hidden="1" x14ac:dyDescent="0.2">
      <c r="B8" s="202" t="s">
        <v>347</v>
      </c>
      <c r="C8" s="339" t="s">
        <v>348</v>
      </c>
      <c r="D8" s="314"/>
      <c r="E8" s="203" t="s">
        <v>1046</v>
      </c>
      <c r="F8" s="202" t="s">
        <v>349</v>
      </c>
      <c r="G8" s="202" t="s">
        <v>350</v>
      </c>
      <c r="H8" s="202" t="s">
        <v>275</v>
      </c>
      <c r="I8" s="202" t="s">
        <v>351</v>
      </c>
      <c r="J8" s="202"/>
      <c r="K8" s="202"/>
      <c r="L8" s="202" t="s">
        <v>359</v>
      </c>
      <c r="M8" s="190"/>
      <c r="N8" s="190"/>
      <c r="O8" s="190"/>
      <c r="P8" s="190"/>
      <c r="Q8" s="190"/>
      <c r="R8" s="190"/>
      <c r="S8" s="190"/>
      <c r="T8" s="190"/>
      <c r="U8" s="190"/>
      <c r="V8" s="190"/>
      <c r="W8" s="190"/>
      <c r="X8" s="190"/>
      <c r="Y8" s="190"/>
      <c r="Z8" s="190"/>
      <c r="AA8" s="190"/>
      <c r="AB8" s="190"/>
      <c r="AC8" s="190"/>
      <c r="AD8" s="190"/>
    </row>
    <row r="9" spans="1:30" s="11" customFormat="1" ht="22.5" hidden="1" x14ac:dyDescent="0.2">
      <c r="B9" s="202" t="s">
        <v>354</v>
      </c>
      <c r="C9" s="339" t="s">
        <v>355</v>
      </c>
      <c r="D9" s="314"/>
      <c r="E9" s="203" t="s">
        <v>356</v>
      </c>
      <c r="F9" s="202" t="s">
        <v>357</v>
      </c>
      <c r="G9" s="202" t="s">
        <v>262</v>
      </c>
      <c r="H9" s="202"/>
      <c r="I9" s="202" t="s">
        <v>358</v>
      </c>
      <c r="J9" s="202"/>
      <c r="K9" s="202"/>
      <c r="L9" s="204" t="s">
        <v>365</v>
      </c>
      <c r="M9" s="203"/>
      <c r="N9" s="190"/>
      <c r="O9" s="190"/>
      <c r="P9" s="190"/>
      <c r="Q9" s="190"/>
      <c r="R9" s="190"/>
      <c r="S9" s="190"/>
      <c r="T9" s="190"/>
      <c r="U9" s="190"/>
      <c r="V9" s="190"/>
      <c r="W9" s="190"/>
      <c r="X9" s="190"/>
      <c r="Y9" s="190"/>
      <c r="Z9" s="190"/>
      <c r="AA9" s="190"/>
      <c r="AB9" s="190"/>
      <c r="AC9" s="190"/>
      <c r="AD9" s="190"/>
    </row>
    <row r="10" spans="1:30" s="11" customFormat="1" ht="22.5" hidden="1" x14ac:dyDescent="0.2">
      <c r="B10" s="202" t="s">
        <v>275</v>
      </c>
      <c r="C10" s="339" t="s">
        <v>361</v>
      </c>
      <c r="D10" s="314"/>
      <c r="E10" s="203" t="s">
        <v>362</v>
      </c>
      <c r="F10" s="202" t="s">
        <v>363</v>
      </c>
      <c r="G10" s="190"/>
      <c r="H10" s="202"/>
      <c r="I10" s="202" t="s">
        <v>364</v>
      </c>
      <c r="J10" s="202"/>
      <c r="K10" s="202"/>
      <c r="L10" s="204" t="s">
        <v>339</v>
      </c>
      <c r="M10" s="203"/>
      <c r="N10" s="190"/>
      <c r="O10" s="190"/>
      <c r="P10" s="190"/>
      <c r="Q10" s="190"/>
      <c r="R10" s="190"/>
      <c r="S10" s="190"/>
      <c r="T10" s="190"/>
      <c r="U10" s="190"/>
      <c r="V10" s="190"/>
      <c r="W10" s="190"/>
      <c r="X10" s="190"/>
      <c r="Y10" s="190"/>
      <c r="Z10" s="190"/>
      <c r="AA10" s="190"/>
      <c r="AB10" s="190"/>
      <c r="AC10" s="190"/>
      <c r="AD10" s="190"/>
    </row>
    <row r="11" spans="1:30" s="11" customFormat="1" ht="22.5" hidden="1" x14ac:dyDescent="0.2">
      <c r="B11" s="202"/>
      <c r="C11" s="339" t="s">
        <v>367</v>
      </c>
      <c r="D11" s="314"/>
      <c r="E11" s="202" t="s">
        <v>255</v>
      </c>
      <c r="F11" s="202" t="s">
        <v>368</v>
      </c>
      <c r="G11" s="192"/>
      <c r="H11" s="190"/>
      <c r="I11" s="202" t="s">
        <v>255</v>
      </c>
      <c r="J11" s="202"/>
      <c r="K11" s="203"/>
      <c r="L11" s="204" t="s">
        <v>346</v>
      </c>
      <c r="M11" s="202"/>
      <c r="N11" s="190"/>
      <c r="O11" s="190"/>
      <c r="P11" s="190"/>
      <c r="Q11" s="190"/>
      <c r="R11" s="190"/>
      <c r="S11" s="190"/>
      <c r="T11" s="190"/>
      <c r="U11" s="190"/>
      <c r="V11" s="190"/>
      <c r="W11" s="190"/>
      <c r="X11" s="190"/>
      <c r="Y11" s="190"/>
      <c r="Z11" s="190"/>
      <c r="AA11" s="190"/>
      <c r="AB11" s="190"/>
      <c r="AC11" s="190"/>
      <c r="AD11" s="190"/>
    </row>
    <row r="12" spans="1:30" s="11" customFormat="1" ht="22.5" hidden="1" x14ac:dyDescent="0.2">
      <c r="B12" s="199"/>
      <c r="C12" s="339" t="s">
        <v>275</v>
      </c>
      <c r="D12" s="314"/>
      <c r="E12" s="199"/>
      <c r="F12" s="202" t="s">
        <v>369</v>
      </c>
      <c r="G12" s="192"/>
      <c r="H12" s="190"/>
      <c r="I12" s="191"/>
      <c r="J12" s="191"/>
      <c r="K12" s="205"/>
      <c r="L12" s="202" t="s">
        <v>353</v>
      </c>
      <c r="M12" s="205"/>
      <c r="N12" s="190"/>
      <c r="O12" s="190"/>
      <c r="P12" s="190"/>
      <c r="Q12" s="190"/>
      <c r="R12" s="190"/>
      <c r="S12" s="190"/>
      <c r="T12" s="190"/>
      <c r="U12" s="190"/>
      <c r="V12" s="190"/>
      <c r="W12" s="190"/>
      <c r="X12" s="190"/>
      <c r="Y12" s="190"/>
      <c r="Z12" s="190"/>
      <c r="AA12" s="190"/>
      <c r="AB12" s="190"/>
      <c r="AC12" s="190"/>
      <c r="AD12" s="190"/>
    </row>
    <row r="13" spans="1:30" s="11" customFormat="1" ht="22.5" hidden="1" x14ac:dyDescent="0.2">
      <c r="B13" s="190"/>
      <c r="C13" s="190"/>
      <c r="D13" s="190"/>
      <c r="E13" s="190"/>
      <c r="F13" s="202" t="s">
        <v>255</v>
      </c>
      <c r="G13" s="192"/>
      <c r="H13" s="190"/>
      <c r="I13" s="190"/>
      <c r="J13" s="190"/>
      <c r="K13" s="190"/>
      <c r="L13" s="204" t="s">
        <v>360</v>
      </c>
      <c r="M13" s="190"/>
      <c r="N13" s="190"/>
      <c r="O13" s="190"/>
      <c r="P13" s="190"/>
      <c r="Q13" s="190"/>
      <c r="R13" s="190"/>
      <c r="S13" s="190"/>
      <c r="T13" s="190"/>
      <c r="U13" s="190"/>
      <c r="V13" s="190"/>
      <c r="W13" s="190"/>
      <c r="X13" s="190"/>
      <c r="Y13" s="190"/>
      <c r="Z13" s="190"/>
      <c r="AA13" s="190"/>
      <c r="AB13" s="190"/>
      <c r="AC13" s="190"/>
      <c r="AD13" s="190"/>
    </row>
    <row r="14" spans="1:30" s="11" customFormat="1" ht="12.75" hidden="1" x14ac:dyDescent="0.2">
      <c r="B14" s="335"/>
      <c r="C14" s="336"/>
      <c r="D14" s="336"/>
      <c r="E14" s="336"/>
      <c r="F14" s="202"/>
      <c r="G14" s="192"/>
      <c r="H14" s="190"/>
      <c r="I14" s="190"/>
      <c r="J14" s="190"/>
      <c r="K14" s="190"/>
      <c r="L14" s="204" t="s">
        <v>366</v>
      </c>
      <c r="M14" s="190"/>
      <c r="N14" s="190"/>
      <c r="O14" s="190"/>
      <c r="P14" s="190"/>
      <c r="Q14" s="190"/>
      <c r="R14" s="190"/>
      <c r="S14" s="190"/>
      <c r="T14" s="190"/>
      <c r="U14" s="190"/>
      <c r="V14" s="190"/>
      <c r="W14" s="190"/>
      <c r="X14" s="190"/>
      <c r="Y14" s="190"/>
      <c r="Z14" s="190"/>
      <c r="AA14" s="190"/>
      <c r="AB14" s="190"/>
      <c r="AC14" s="190"/>
      <c r="AD14" s="190"/>
    </row>
    <row r="15" spans="1:30" s="11" customFormat="1" ht="12.75" hidden="1" x14ac:dyDescent="0.2">
      <c r="B15" s="190"/>
      <c r="C15" s="190"/>
      <c r="D15" s="190"/>
      <c r="E15" s="190"/>
      <c r="F15" s="202"/>
      <c r="G15" s="192"/>
      <c r="H15" s="190"/>
      <c r="I15" s="190"/>
      <c r="J15" s="190"/>
      <c r="K15" s="190"/>
      <c r="L15" s="204" t="s">
        <v>255</v>
      </c>
      <c r="M15" s="190"/>
      <c r="N15" s="190"/>
      <c r="O15" s="190"/>
      <c r="P15" s="190"/>
      <c r="Q15" s="190"/>
      <c r="R15" s="190"/>
      <c r="S15" s="190"/>
      <c r="T15" s="190"/>
      <c r="U15" s="190"/>
      <c r="V15" s="190"/>
      <c r="W15" s="190"/>
      <c r="X15" s="190"/>
      <c r="Y15" s="190"/>
      <c r="Z15" s="190"/>
      <c r="AA15" s="190"/>
      <c r="AB15" s="190"/>
      <c r="AC15" s="190"/>
      <c r="AD15" s="190"/>
    </row>
    <row r="16" spans="1:30" s="11" customFormat="1" ht="12.75" hidden="1" x14ac:dyDescent="0.2">
      <c r="B16" s="194"/>
      <c r="C16" s="194"/>
      <c r="D16" s="194"/>
      <c r="E16" s="194"/>
      <c r="F16" s="194"/>
      <c r="G16" s="194"/>
      <c r="H16" s="194"/>
      <c r="I16" s="194"/>
      <c r="J16" s="194"/>
      <c r="K16" s="194"/>
      <c r="L16" s="194"/>
      <c r="M16" s="190"/>
      <c r="N16" s="190"/>
      <c r="O16" s="190"/>
      <c r="P16" s="190"/>
      <c r="Q16" s="190"/>
      <c r="R16" s="190"/>
      <c r="S16" s="190"/>
      <c r="T16" s="190"/>
      <c r="U16" s="190"/>
      <c r="V16" s="190"/>
      <c r="W16" s="190"/>
      <c r="X16" s="190"/>
      <c r="Y16" s="190"/>
      <c r="Z16" s="190"/>
      <c r="AA16" s="190"/>
      <c r="AB16" s="190"/>
      <c r="AC16" s="190"/>
      <c r="AD16" s="190"/>
    </row>
    <row r="17" spans="1:30" s="11" customFormat="1" ht="12.75" hidden="1" x14ac:dyDescent="0.2">
      <c r="B17" s="190"/>
      <c r="C17" s="190"/>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0"/>
      <c r="AB17" s="190"/>
      <c r="AC17" s="190"/>
      <c r="AD17" s="190"/>
    </row>
    <row r="18" spans="1:30" s="11" customFormat="1" ht="13.5" hidden="1" thickBot="1" x14ac:dyDescent="0.25">
      <c r="B18" s="330" t="s">
        <v>221</v>
      </c>
      <c r="C18" s="313"/>
      <c r="D18" s="313"/>
      <c r="E18" s="313"/>
      <c r="F18" s="313"/>
      <c r="G18" s="313"/>
      <c r="H18" s="313"/>
      <c r="I18" s="313"/>
      <c r="J18" s="313"/>
      <c r="K18" s="313"/>
      <c r="L18" s="313"/>
      <c r="M18" s="313"/>
      <c r="N18" s="313"/>
      <c r="O18" s="313"/>
      <c r="P18" s="313"/>
      <c r="Q18" s="331"/>
      <c r="R18" s="312" t="s">
        <v>293</v>
      </c>
      <c r="S18" s="315"/>
      <c r="T18" s="315"/>
      <c r="U18" s="315"/>
      <c r="V18" s="315"/>
      <c r="W18" s="315"/>
      <c r="X18" s="315"/>
      <c r="Y18" s="315"/>
      <c r="Z18" s="316"/>
      <c r="AA18" s="312" t="s">
        <v>294</v>
      </c>
      <c r="AB18" s="313"/>
      <c r="AC18" s="314"/>
      <c r="AD18" s="314"/>
    </row>
    <row r="19" spans="1:30" ht="48" customHeight="1" x14ac:dyDescent="0.2">
      <c r="A19" s="300" t="s">
        <v>1053</v>
      </c>
      <c r="B19" s="332" t="s">
        <v>218</v>
      </c>
      <c r="C19" s="317" t="s">
        <v>370</v>
      </c>
      <c r="D19" s="317" t="s">
        <v>295</v>
      </c>
      <c r="E19" s="328" t="s">
        <v>296</v>
      </c>
      <c r="F19" s="328" t="s">
        <v>297</v>
      </c>
      <c r="G19" s="328" t="s">
        <v>298</v>
      </c>
      <c r="H19" s="328" t="s">
        <v>299</v>
      </c>
      <c r="I19" s="328" t="s">
        <v>371</v>
      </c>
      <c r="J19" s="328" t="s">
        <v>301</v>
      </c>
      <c r="K19" s="317" t="s">
        <v>372</v>
      </c>
      <c r="L19" s="5" t="s">
        <v>373</v>
      </c>
      <c r="M19" s="327" t="s">
        <v>374</v>
      </c>
      <c r="N19" s="324"/>
      <c r="O19" s="328" t="s">
        <v>375</v>
      </c>
      <c r="P19" s="334" t="s">
        <v>305</v>
      </c>
      <c r="Q19" s="324"/>
      <c r="R19" s="317" t="s">
        <v>1105</v>
      </c>
      <c r="S19" s="317" t="s">
        <v>1106</v>
      </c>
      <c r="T19" s="317" t="s">
        <v>1107</v>
      </c>
      <c r="U19" s="317" t="s">
        <v>306</v>
      </c>
      <c r="V19" s="326" t="s">
        <v>308</v>
      </c>
      <c r="W19" s="327" t="s">
        <v>376</v>
      </c>
      <c r="X19" s="324"/>
      <c r="Y19" s="323" t="s">
        <v>377</v>
      </c>
      <c r="Z19" s="324"/>
      <c r="AA19" s="317" t="s">
        <v>306</v>
      </c>
      <c r="AB19" s="319" t="s">
        <v>308</v>
      </c>
      <c r="AC19" s="321" t="s">
        <v>378</v>
      </c>
      <c r="AD19" s="322"/>
    </row>
    <row r="20" spans="1:30" ht="18" x14ac:dyDescent="0.2">
      <c r="A20" s="325"/>
      <c r="B20" s="333"/>
      <c r="C20" s="318"/>
      <c r="D20" s="318"/>
      <c r="E20" s="318"/>
      <c r="F20" s="318"/>
      <c r="G20" s="318"/>
      <c r="H20" s="318"/>
      <c r="I20" s="318"/>
      <c r="J20" s="329"/>
      <c r="K20" s="329"/>
      <c r="L20" s="5" t="s">
        <v>314</v>
      </c>
      <c r="M20" s="3" t="s">
        <v>316</v>
      </c>
      <c r="N20" s="12" t="s">
        <v>379</v>
      </c>
      <c r="O20" s="318"/>
      <c r="P20" s="10" t="s">
        <v>319</v>
      </c>
      <c r="Q20" s="12" t="s">
        <v>318</v>
      </c>
      <c r="R20" s="318"/>
      <c r="S20" s="318"/>
      <c r="T20" s="318"/>
      <c r="U20" s="318"/>
      <c r="V20" s="318"/>
      <c r="W20" s="3" t="s">
        <v>324</v>
      </c>
      <c r="X20" s="12" t="s">
        <v>379</v>
      </c>
      <c r="Y20" s="3" t="s">
        <v>325</v>
      </c>
      <c r="Z20" s="12" t="s">
        <v>380</v>
      </c>
      <c r="AA20" s="318"/>
      <c r="AB20" s="320"/>
      <c r="AC20" s="26" t="s">
        <v>325</v>
      </c>
      <c r="AD20" s="143" t="s">
        <v>380</v>
      </c>
    </row>
    <row r="21" spans="1:30" s="4" customFormat="1" ht="27.75" customHeight="1" x14ac:dyDescent="0.2">
      <c r="A21" s="141" t="str">
        <f>IF(E21="0","",IF(ISBLANK(K21),"Completar la celda SEMAFORO",IF(ISBLANK(M21),"Completar la celda MODO DE PRODUCCION DEL HECHO",IF(ISBLANK(O21),"Completar la celda CONDICIONES CLIMATICAS",IF(OR(ISBLANK(R21),ISBLANK(S21),ISBLANK(T21)),"Completar Documento y Nombre de la Victima",IF(ISBLANK(U21),"Completar SEXO DE LA VICTIMA",IF(ISBLANK(V21),"Completar la celda EDAD DE LA VICTIMA",IF(ISBLANK(W21),"Completar la celda CLASE DE VICTIMA",IF(ISBLANK(Y21),"Completar la celda VEHICULO VICTIMA",IF(ISBLANK(AA21),"Completar la celda SEXO DEL IMPUTADO",IF(ISBLANK(AB21),"Completar EDAD DEL IMPUTADO",IF(ISBLANK(AC21),"Completar la celda VEHICULO DEL IMPUTADO","OK"))))))))))))</f>
        <v/>
      </c>
      <c r="B21" s="140"/>
      <c r="C21" s="6"/>
      <c r="D21" s="6"/>
      <c r="E21" s="34" t="str">
        <f t="array" ref="E21">IFERROR(INDEX('PLANILLA DJ'!$H$1:$H$102,MATCH(BUSCADOR!$B$7,'PLANILLA DJ'!$Y$1:$Y$102,0),1),"0")</f>
        <v>0</v>
      </c>
      <c r="F21" s="35" t="str">
        <f t="array" ref="F21">IFERROR(INDEX('PLANILLA DJ'!$D$1:$D$102,MATCH(BUSCADOR!$B$7,'PLANILLA DJ'!$Y$1:$Y$102,0),1),"")</f>
        <v/>
      </c>
      <c r="G21" s="36" t="str">
        <f t="array" ref="G21">IFERROR(INDEX('PLANILLA DJ'!$F$1:$F$102,MATCH(BUSCADOR!$B$7,'PLANILLA DJ'!$Y$1:$Y$102,0),1),"")</f>
        <v/>
      </c>
      <c r="H21" s="34" t="str">
        <f t="array" ref="H21">IFERROR(INDEX('PLANILLA DJ'!$L$1:$L$102,MATCH(BUSCADOR!$B$7,'PLANILLA DJ'!$Y$1:$Y$102,0),1),"")</f>
        <v/>
      </c>
      <c r="I21" s="37" t="str">
        <f t="array" ref="I21">IFERROR(INDEX('PLANILLA DJ'!$M$1:$M$102,MATCH(BUSCADOR!$B$7,'PLANILLA DJ'!$Y$1:$Y$102,0),1),"")</f>
        <v/>
      </c>
      <c r="J21" s="18"/>
      <c r="K21" s="19"/>
      <c r="L21" s="34" t="str">
        <f t="array" ref="L21">IFERROR(INDEX('PLANILLA DJ'!$AD$1:$AD$102,SMALL(IF('PLANILLA DJ'!$Y$1:$Y$102=BUSCADOR!$B$7,ROW('PLANILLA DJ'!$Y$1:$Y$102),""),1),1),"")</f>
        <v/>
      </c>
      <c r="M21" s="6"/>
      <c r="N21" s="6"/>
      <c r="O21" s="6"/>
      <c r="P21" s="34" t="str">
        <f t="array" ref="P21">IFERROR(INDEX('PLANILLA DJ'!$AF$1:$AF$102,SMALL(IF('PLANILLA DJ'!$Y$1:$Y$102=BUSCADOR!$B$7,ROW('PLANILLA DJ'!$Y$1:$Y$102),""),1),1),"")</f>
        <v/>
      </c>
      <c r="Q21" s="6"/>
      <c r="R21" s="6"/>
      <c r="S21" s="6"/>
      <c r="T21" s="6"/>
      <c r="U21" s="8"/>
      <c r="V21" s="8"/>
      <c r="W21" s="8"/>
      <c r="X21" s="9"/>
      <c r="Y21" s="9"/>
      <c r="Z21" s="7"/>
      <c r="AA21" s="8"/>
      <c r="AB21" s="142"/>
      <c r="AC21" s="20"/>
      <c r="AD21" s="20"/>
    </row>
    <row r="22" spans="1:30" s="17" customFormat="1" ht="27.75" customHeight="1" x14ac:dyDescent="0.2">
      <c r="A22" s="141" t="str">
        <f>IF(AND($A$21="OK",ISBLANK(K22)),"Si existe otra victima completar desde la columna SEMAFORO en adelante",IF(ISBLANK(K22),"",IF(ISBLANK(M22),"Completar la celda MODO DE PRODUCCION DEL HECHO",IF(ISBLANK(O22),"Completar la celda CONDICIONES CLIMATICAS",IF(OR(ISBLANK(R22),ISBLANK(S22),ISBLANK(T22)),"Completar Documento y Nombre de la Victima",IF(ISBLANK(U22),"Completar SEXO DE LA VICTIMA",IF(ISBLANK(V22),"Completar la celda EDAD DE LA VICTIMA",IF(ISBLANK(W22),"Completar la celda CLASE DE VICTIMA",IF(ISBLANK(Y22),"Completar la celda VEHICULO VICTIMA",IF(ISBLANK(AA22),"Completar la celda SEXO DEL IMPUTADO",IF(ISBLANK(AB22),"Completar EDAD DEL IMPUTADO",IF(ISBLANK(AC22),"Completar la celda VEHICULO DEL IMPUTADO","OK"))))))))))))</f>
        <v/>
      </c>
      <c r="B22" s="140"/>
      <c r="C22" s="6"/>
      <c r="D22" s="6"/>
      <c r="E22" s="34" t="str">
        <f>IF(ISBLANK($K22),"",E21)</f>
        <v/>
      </c>
      <c r="F22" s="35" t="str">
        <f t="shared" ref="E22:I28" si="0">IF(ISBLANK($K22),"",F21)</f>
        <v/>
      </c>
      <c r="G22" s="36" t="str">
        <f t="shared" si="0"/>
        <v/>
      </c>
      <c r="H22" s="34" t="str">
        <f t="shared" si="0"/>
        <v/>
      </c>
      <c r="I22" s="34" t="str">
        <f t="shared" si="0"/>
        <v/>
      </c>
      <c r="J22" s="18"/>
      <c r="K22" s="19"/>
      <c r="L22" s="34" t="str">
        <f t="shared" ref="L22:L24" si="1">IF(ISBLANK($K22),"",L21)</f>
        <v/>
      </c>
      <c r="M22" s="6"/>
      <c r="N22" s="6"/>
      <c r="O22" s="6"/>
      <c r="P22" s="34" t="str">
        <f t="shared" ref="P22:P24" si="2">IF(ISBLANK($K22),"",P21)</f>
        <v/>
      </c>
      <c r="Q22" s="6"/>
      <c r="R22" s="6"/>
      <c r="S22" s="6"/>
      <c r="T22" s="6"/>
      <c r="U22" s="8"/>
      <c r="V22" s="8"/>
      <c r="W22" s="8"/>
      <c r="X22" s="9"/>
      <c r="Y22" s="9"/>
      <c r="Z22" s="7"/>
      <c r="AA22" s="8"/>
      <c r="AB22" s="142"/>
      <c r="AC22" s="20"/>
      <c r="AD22" s="20"/>
    </row>
    <row r="23" spans="1:30" s="17" customFormat="1" ht="27.75" customHeight="1" x14ac:dyDescent="0.2">
      <c r="A23" s="141" t="str">
        <f>IF(AND($A$21="OK",ISBLANK(K23)),"Si existe otra victima completar desde la columna SEMAFORO en adelante",IF(ISBLANK(K23),"",IF(ISBLANK(M23),"Completar la celda MODO DE PRODUCCION DEL HECHO",IF(ISBLANK(O23),"Completar la celda CONDICIONES CLIMATICAS",IF(OR(ISBLANK(R23),ISBLANK(S23),ISBLANK(T23)),"Completar Documento y Nombre de la Victima",IF(ISBLANK(U23),"Completar SEXO DE LA VICTIMA",IF(ISBLANK(V23),"Completar la celda EDAD DE LA VICTIMA",IF(ISBLANK(W23),"Completar la celda CLASE DE VICTIMA",IF(ISBLANK(Y23),"Completar la celda VEHICULO VICTIMA",IF(ISBLANK(AA23),"Completar la celda SEXO DEL IMPUTADO",IF(ISBLANK(AB23),"Completar EDAD DEL IMPUTADO",IF(ISBLANK(AC23),"Completar la celda VEHICULO DEL IMPUTADO","OK"))))))))))))</f>
        <v/>
      </c>
      <c r="B23" s="140"/>
      <c r="C23" s="6"/>
      <c r="D23" s="6"/>
      <c r="E23" s="34" t="str">
        <f t="shared" ref="E23:E24" si="3">IF(ISBLANK($K23),"",E22)</f>
        <v/>
      </c>
      <c r="F23" s="35" t="str">
        <f t="shared" si="0"/>
        <v/>
      </c>
      <c r="G23" s="36" t="str">
        <f t="shared" si="0"/>
        <v/>
      </c>
      <c r="H23" s="34" t="str">
        <f t="shared" si="0"/>
        <v/>
      </c>
      <c r="I23" s="34" t="str">
        <f t="shared" si="0"/>
        <v/>
      </c>
      <c r="J23" s="18"/>
      <c r="K23" s="19"/>
      <c r="L23" s="34" t="str">
        <f t="shared" si="1"/>
        <v/>
      </c>
      <c r="M23" s="6"/>
      <c r="N23" s="6"/>
      <c r="O23" s="6"/>
      <c r="P23" s="34" t="str">
        <f t="shared" si="2"/>
        <v/>
      </c>
      <c r="Q23" s="6"/>
      <c r="R23" s="6"/>
      <c r="S23" s="6"/>
      <c r="T23" s="6"/>
      <c r="U23" s="8"/>
      <c r="V23" s="8"/>
      <c r="W23" s="8"/>
      <c r="X23" s="9"/>
      <c r="Y23" s="9"/>
      <c r="Z23" s="7"/>
      <c r="AA23" s="8"/>
      <c r="AB23" s="142"/>
      <c r="AC23" s="20"/>
      <c r="AD23" s="20"/>
    </row>
    <row r="24" spans="1:30" s="17" customFormat="1" ht="27.75" customHeight="1" x14ac:dyDescent="0.2">
      <c r="A24" s="141" t="str">
        <f>IF(AND($A$21="OK",ISBLANK(K24)),"Si existe otra victima completar desde la columna SEMAFORO en adelante",IF(ISBLANK(K24),"",IF(ISBLANK(M24),"Completar la celda MODO DE PRODUCCION DEL HECHO",IF(ISBLANK(O24),"Completar la celda CONDICIONES CLIMATICAS",IF(OR(ISBLANK(R24),ISBLANK(S24),ISBLANK(T24)),"Completar Documento y Nombre de la Victima",IF(ISBLANK(U24),"Completar SEXO DE LA VICTIMA",IF(ISBLANK(V24),"Completar la celda EDAD DE LA VICTIMA",IF(ISBLANK(W24),"Completar la celda CLASE DE VICTIMA",IF(ISBLANK(Y24),"Completar la celda VEHICULO VICTIMA",IF(ISBLANK(AA24),"Completar la celda SEXO DEL IMPUTADO",IF(ISBLANK(AB24),"Completar EDAD DEL IMPUTADO",IF(ISBLANK(AC24),"Completar la celda VEHICULO DEL IMPUTADO","OK"))))))))))))</f>
        <v/>
      </c>
      <c r="B24" s="140"/>
      <c r="C24" s="6"/>
      <c r="D24" s="6"/>
      <c r="E24" s="34" t="str">
        <f t="shared" si="3"/>
        <v/>
      </c>
      <c r="F24" s="35" t="str">
        <f t="shared" si="0"/>
        <v/>
      </c>
      <c r="G24" s="36" t="str">
        <f t="shared" si="0"/>
        <v/>
      </c>
      <c r="H24" s="34" t="str">
        <f t="shared" si="0"/>
        <v/>
      </c>
      <c r="I24" s="34" t="str">
        <f t="shared" si="0"/>
        <v/>
      </c>
      <c r="J24" s="18"/>
      <c r="K24" s="19"/>
      <c r="L24" s="34" t="str">
        <f t="shared" si="1"/>
        <v/>
      </c>
      <c r="M24" s="6"/>
      <c r="N24" s="6"/>
      <c r="O24" s="6"/>
      <c r="P24" s="34" t="str">
        <f t="shared" si="2"/>
        <v/>
      </c>
      <c r="Q24" s="6"/>
      <c r="R24" s="6"/>
      <c r="S24" s="6"/>
      <c r="T24" s="6"/>
      <c r="U24" s="8"/>
      <c r="V24" s="8"/>
      <c r="W24" s="8"/>
      <c r="X24" s="9"/>
      <c r="Y24" s="9"/>
      <c r="Z24" s="7"/>
      <c r="AA24" s="8"/>
      <c r="AB24" s="142"/>
      <c r="AC24" s="20"/>
      <c r="AD24" s="20"/>
    </row>
    <row r="25" spans="1:30" s="4" customFormat="1" ht="27.75" customHeight="1" x14ac:dyDescent="0.2">
      <c r="A25" s="141" t="str">
        <f>IF(E25="0","",IF(ISBLANK(K25),"Completar la celda SEMAFORO",IF(ISBLANK(M25),"Completar la celda MODO DE PRODUCCION DEL HECHO",IF(ISBLANK(O25),"Completar la celda CONDICIONES CLIMATICAS",IF(OR(ISBLANK(R25),ISBLANK(S25),ISBLANK(T25)),"Completar Documento y Nombre de la Victima",IF(ISBLANK(U25),"Completar SEXO DE LA VICTIMA",IF(ISBLANK(V25),"Completar la celda EDAD DE LA VICTIMA",IF(ISBLANK(W25),"Completar la celda CLASE DE VICTIMA",IF(ISBLANK(Y25),"Completar la celda VEHICULO VICTIMA",IF(ISBLANK(AA25),"Completar la celda SEXO DEL IMPUTADO",IF(ISBLANK(AB25),"Completar EDAD DEL IMPUTADO",IF(ISBLANK(AC25),"Completar la celda VEHICULO DEL IMPUTADO","OK"))))))))))))</f>
        <v/>
      </c>
      <c r="B25" s="140"/>
      <c r="C25" s="6"/>
      <c r="D25" s="6"/>
      <c r="E25" s="34" t="str">
        <f t="array" ref="E25">IFERROR(INDEX('PLANILLA DJ'!$H$1:$H$102,SMALL(IF('PLANILLA DJ'!$Y$1:$Y$102=BUSCADOR!$B$7,ROW('PLANILLA DJ'!$Y$1:$Y$102),""),2),1),"0")</f>
        <v>0</v>
      </c>
      <c r="F25" s="35" t="str">
        <f t="array" ref="F25">IFERROR(INDEX('PLANILLA DJ'!$D$1:$D$102,SMALL(IF('PLANILLA DJ'!$Y$1:$Y$102=BUSCADOR!$B$7,ROW('PLANILLA DJ'!$Y$1:$Y$102),""),2),1),"")</f>
        <v/>
      </c>
      <c r="G25" s="36" t="str">
        <f t="array" ref="G25">IFERROR(INDEX('PLANILLA DJ'!$F$1:$F$102,SMALL(IF('PLANILLA DJ'!$Y$1:$Y$102=BUSCADOR!$B$7,ROW('PLANILLA DJ'!$Y$1:$Y$102),""),2),1),"")</f>
        <v/>
      </c>
      <c r="H25" s="34" t="str">
        <f t="array" ref="H25">IFERROR(INDEX('PLANILLA DJ'!$L$1:$L$102,SMALL(IF('PLANILLA DJ'!$Y$1:$Y$102=BUSCADOR!$B$7,ROW('PLANILLA DJ'!$Y$1:$Y$102),""),2),1),"")</f>
        <v/>
      </c>
      <c r="I25" s="34" t="str">
        <f t="array" ref="I25">IFERROR(INDEX('PLANILLA DJ'!$M$1:$M$102,SMALL(IF('PLANILLA DJ'!$Y$1:$Y$102=BUSCADOR!$B$7,ROW('PLANILLA DJ'!$Y$1:$Y$102),""),2),1),"")</f>
        <v/>
      </c>
      <c r="J25" s="18"/>
      <c r="K25" s="19"/>
      <c r="L25" s="34" t="str">
        <f t="array" ref="L25">IFERROR(INDEX('PLANILLA DJ'!$AD$1:$AD$102,SMALL(IF('PLANILLA DJ'!$Y$1:$Y$102=BUSCADOR!$B$7,ROW('PLANILLA DJ'!$Y$1:$Y$102),""),2),1),"")</f>
        <v/>
      </c>
      <c r="M25" s="6"/>
      <c r="N25" s="6"/>
      <c r="O25" s="6"/>
      <c r="P25" s="34" t="str">
        <f t="array" ref="P25">IFERROR(INDEX('PLANILLA DJ'!$AF$1:$AF$102,SMALL(IF('PLANILLA DJ'!$Y$1:$Y$102=BUSCADOR!$B$7,ROW('PLANILLA DJ'!$Y$1:$Y$102),""),2),1),"")</f>
        <v/>
      </c>
      <c r="Q25" s="8"/>
      <c r="R25" s="8"/>
      <c r="S25" s="8"/>
      <c r="T25" s="8"/>
      <c r="U25" s="8"/>
      <c r="V25" s="8"/>
      <c r="W25" s="8"/>
      <c r="X25" s="9"/>
      <c r="Y25" s="9"/>
      <c r="Z25" s="7"/>
      <c r="AA25" s="8"/>
      <c r="AB25" s="142"/>
      <c r="AC25" s="20"/>
      <c r="AD25" s="20"/>
    </row>
    <row r="26" spans="1:30" s="17" customFormat="1" ht="27.75" customHeight="1" x14ac:dyDescent="0.2">
      <c r="A26" s="141" t="str">
        <f>IF(AND($A$25="OK",ISBLANK(K26)),"Si existe otra victima completar desde la columna SEMAFORO en adelante",IF(ISBLANK(K26),"",IF(ISBLANK(M26),"Completar la celda MODO DE PRODUCCION DEL HECHO",IF(ISBLANK(O26),"Completar la celda CONDICIONES CLIMATICAS",IF(OR(ISBLANK(R26),ISBLANK(S26),ISBLANK(T26)),"Completar Documento y Nombre de la Victima",IF(ISBLANK(U26),"Completar SEXO DE LA VICTIMA",IF(ISBLANK(V26),"Completar la celda EDAD DE LA VICTIMA",IF(ISBLANK(W26),"Completar la celda CLASE DE VICTIMA",IF(ISBLANK(Y26),"Completar la celda VEHICULO VICTIMA",IF(ISBLANK(AA26),"Completar la celda SEXO DEL IMPUTADO",IF(ISBLANK(AB26),"Completar EDAD DEL IMPUTADO",IF(ISBLANK(AC26),"Completar la celda VEHICULO DEL IMPUTADO","OK"))))))))))))</f>
        <v/>
      </c>
      <c r="B26" s="140"/>
      <c r="C26" s="6"/>
      <c r="D26" s="6"/>
      <c r="E26" s="34" t="str">
        <f t="shared" si="0"/>
        <v/>
      </c>
      <c r="F26" s="35" t="str">
        <f t="shared" ref="F26:F28" si="4">IF(ISBLANK($K26),"",F25)</f>
        <v/>
      </c>
      <c r="G26" s="36" t="str">
        <f t="shared" ref="G26:G28" si="5">IF(ISBLANK($K26),"",G25)</f>
        <v/>
      </c>
      <c r="H26" s="34" t="str">
        <f t="shared" ref="H26:H28" si="6">IF(ISBLANK($K26),"",H25)</f>
        <v/>
      </c>
      <c r="I26" s="34" t="str">
        <f t="shared" ref="I26:I28" si="7">IF(ISBLANK($K26),"",I25)</f>
        <v/>
      </c>
      <c r="J26" s="18"/>
      <c r="K26" s="19"/>
      <c r="L26" s="34" t="str">
        <f t="shared" ref="L26:L28" si="8">IF(ISBLANK($K26),"",L25)</f>
        <v/>
      </c>
      <c r="M26" s="6"/>
      <c r="N26" s="6"/>
      <c r="O26" s="6"/>
      <c r="P26" s="34" t="str">
        <f t="shared" ref="P26:P28" si="9">IF(ISBLANK($K26),"",P25)</f>
        <v/>
      </c>
      <c r="Q26" s="8"/>
      <c r="R26" s="8"/>
      <c r="S26" s="8"/>
      <c r="T26" s="8"/>
      <c r="U26" s="8"/>
      <c r="V26" s="8"/>
      <c r="W26" s="8"/>
      <c r="X26" s="9"/>
      <c r="Y26" s="9"/>
      <c r="Z26" s="7"/>
      <c r="AA26" s="8"/>
      <c r="AB26" s="142"/>
      <c r="AC26" s="20"/>
      <c r="AD26" s="20"/>
    </row>
    <row r="27" spans="1:30" s="17" customFormat="1" ht="27.75" customHeight="1" x14ac:dyDescent="0.2">
      <c r="A27" s="141" t="str">
        <f>IF(AND($A$25="OK",ISBLANK(K27)),"Si existe otra victima completar desde la columna SEMAFORO en adelante",IF(ISBLANK(K27),"",IF(ISBLANK(M27),"Completar la celda MODO DE PRODUCCION DEL HECHO",IF(ISBLANK(O27),"Completar la celda CONDICIONES CLIMATICAS",IF(OR(ISBLANK(R27),ISBLANK(S27),ISBLANK(T27)),"Completar Documento y Nombre de la Victima",IF(ISBLANK(U27),"Completar SEXO DE LA VICTIMA",IF(ISBLANK(V27),"Completar la celda EDAD DE LA VICTIMA",IF(ISBLANK(W27),"Completar la celda CLASE DE VICTIMA",IF(ISBLANK(Y27),"Completar la celda VEHICULO VICTIMA",IF(ISBLANK(AA27),"Completar la celda SEXO DEL IMPUTADO",IF(ISBLANK(AB27),"Completar EDAD DEL IMPUTADO",IF(ISBLANK(AC27),"Completar la celda VEHICULO DEL IMPUTADO","OK"))))))))))))</f>
        <v/>
      </c>
      <c r="B27" s="140"/>
      <c r="C27" s="6"/>
      <c r="D27" s="6"/>
      <c r="E27" s="34" t="str">
        <f t="shared" si="0"/>
        <v/>
      </c>
      <c r="F27" s="35" t="str">
        <f t="shared" si="4"/>
        <v/>
      </c>
      <c r="G27" s="36" t="str">
        <f t="shared" si="5"/>
        <v/>
      </c>
      <c r="H27" s="34" t="str">
        <f t="shared" si="6"/>
        <v/>
      </c>
      <c r="I27" s="34" t="str">
        <f t="shared" si="7"/>
        <v/>
      </c>
      <c r="J27" s="18"/>
      <c r="K27" s="19"/>
      <c r="L27" s="34" t="str">
        <f t="shared" si="8"/>
        <v/>
      </c>
      <c r="M27" s="6"/>
      <c r="N27" s="6"/>
      <c r="O27" s="6"/>
      <c r="P27" s="34" t="str">
        <f t="shared" si="9"/>
        <v/>
      </c>
      <c r="Q27" s="8"/>
      <c r="R27" s="8"/>
      <c r="S27" s="8"/>
      <c r="T27" s="8"/>
      <c r="U27" s="8"/>
      <c r="V27" s="8"/>
      <c r="W27" s="8"/>
      <c r="X27" s="9"/>
      <c r="Y27" s="9"/>
      <c r="Z27" s="7"/>
      <c r="AA27" s="8"/>
      <c r="AB27" s="142"/>
      <c r="AC27" s="20"/>
      <c r="AD27" s="20"/>
    </row>
    <row r="28" spans="1:30" s="17" customFormat="1" ht="27.75" customHeight="1" x14ac:dyDescent="0.2">
      <c r="A28" s="141" t="str">
        <f>IF(AND($A$25="OK",ISBLANK(K28)),"Si existe otra victima completar desde la columna SEMAFORO en adelante",IF(ISBLANK(K28),"",IF(ISBLANK(M28),"Completar la celda MODO DE PRODUCCION DEL HECHO",IF(ISBLANK(O28),"Completar la celda CONDICIONES CLIMATICAS",IF(OR(ISBLANK(R28),ISBLANK(S28),ISBLANK(T28)),"Completar Documento y Nombre de la Victima",IF(ISBLANK(U28),"Completar SEXO DE LA VICTIMA",IF(ISBLANK(V28),"Completar la celda EDAD DE LA VICTIMA",IF(ISBLANK(W28),"Completar la celda CLASE DE VICTIMA",IF(ISBLANK(Y28),"Completar la celda VEHICULO VICTIMA",IF(ISBLANK(AA28),"Completar la celda SEXO DEL IMPUTADO",IF(ISBLANK(AB28),"Completar EDAD DEL IMPUTADO",IF(ISBLANK(AC28),"Completar la celda VEHICULO DEL IMPUTADO","OK"))))))))))))</f>
        <v/>
      </c>
      <c r="B28" s="140"/>
      <c r="C28" s="6"/>
      <c r="D28" s="6"/>
      <c r="E28" s="34" t="str">
        <f t="shared" si="0"/>
        <v/>
      </c>
      <c r="F28" s="35" t="str">
        <f t="shared" si="4"/>
        <v/>
      </c>
      <c r="G28" s="36" t="str">
        <f t="shared" si="5"/>
        <v/>
      </c>
      <c r="H28" s="34" t="str">
        <f t="shared" si="6"/>
        <v/>
      </c>
      <c r="I28" s="34" t="str">
        <f t="shared" si="7"/>
        <v/>
      </c>
      <c r="J28" s="18"/>
      <c r="K28" s="19"/>
      <c r="L28" s="34" t="str">
        <f t="shared" si="8"/>
        <v/>
      </c>
      <c r="M28" s="6"/>
      <c r="N28" s="6"/>
      <c r="O28" s="6"/>
      <c r="P28" s="34" t="str">
        <f t="shared" si="9"/>
        <v/>
      </c>
      <c r="Q28" s="8"/>
      <c r="R28" s="8"/>
      <c r="S28" s="8"/>
      <c r="T28" s="8"/>
      <c r="U28" s="8"/>
      <c r="V28" s="8"/>
      <c r="W28" s="8"/>
      <c r="X28" s="9"/>
      <c r="Y28" s="9"/>
      <c r="Z28" s="7"/>
      <c r="AA28" s="8"/>
      <c r="AB28" s="142"/>
      <c r="AC28" s="20"/>
      <c r="AD28" s="20"/>
    </row>
    <row r="29" spans="1:30" s="4" customFormat="1" ht="27.75" customHeight="1" x14ac:dyDescent="0.2">
      <c r="A29" s="141" t="str">
        <f>IF(E29="0","",IF(ISBLANK(K29),"Completar la celda SEMAFORO",IF(ISBLANK(M29),"Completar la celda MODO DE PRODUCCION DEL HECHO",IF(ISBLANK(O29),"Completar la celda CONDICIONES CLIMATICAS",IF(OR(ISBLANK(R29),ISBLANK(S29),ISBLANK(T29)),"Completar Documento y Nombre de la Victima",IF(ISBLANK(U29),"Completar SEXO DE LA VICTIMA",IF(ISBLANK(V29),"Completar la celda EDAD DE LA VICTIMA",IF(ISBLANK(W29),"Completar la celda CLASE DE VICTIMA",IF(ISBLANK(Y29),"Completar la celda VEHICULO VICTIMA",IF(ISBLANK(AA29),"Completar la celda SEXO DEL IMPUTADO",IF(ISBLANK(AB29),"Completar EDAD DEL IMPUTADO",IF(ISBLANK(AC29),"Completar la celda VEHICULO DEL IMPUTADO","OK"))))))))))))</f>
        <v/>
      </c>
      <c r="B29" s="140"/>
      <c r="C29" s="6"/>
      <c r="D29" s="6"/>
      <c r="E29" s="34" t="str">
        <f t="array" ref="E29">IFERROR(INDEX('PLANILLA DJ'!$H$1:$H$102,SMALL(IF('PLANILLA DJ'!$Y$1:$Y$102=BUSCADOR!$B$7,ROW('PLANILLA DJ'!$Y$1:$Y$102),""),3),1),"0")</f>
        <v>0</v>
      </c>
      <c r="F29" s="35" t="str">
        <f t="array" ref="F29">IFERROR(INDEX('PLANILLA DJ'!$D$1:$D$102,SMALL(IF('PLANILLA DJ'!$Y$1:$Y$102=BUSCADOR!$B$7,ROW('PLANILLA DJ'!$Y$1:$Y$102),""),3),1),"")</f>
        <v/>
      </c>
      <c r="G29" s="36" t="str">
        <f t="array" ref="G29">IFERROR(INDEX('PLANILLA DJ'!$F$1:$F$102,SMALL(IF('PLANILLA DJ'!$Y$1:$Y$102=BUSCADOR!$B$7,ROW('PLANILLA DJ'!$Y$1:$Y$102),""),3),1),"")</f>
        <v/>
      </c>
      <c r="H29" s="34" t="str">
        <f t="array" ref="H29">IFERROR(INDEX('PLANILLA DJ'!$L$1:$L$102,SMALL(IF('PLANILLA DJ'!$Y$1:$Y$102=BUSCADOR!$B$7,ROW('PLANILLA DJ'!$Y$1:$Y$102),""),3),1),"")</f>
        <v/>
      </c>
      <c r="I29" s="34" t="str">
        <f t="array" ref="I29">IFERROR(INDEX('PLANILLA DJ'!$M$1:$M$102,SMALL(IF('PLANILLA DJ'!$Y$1:$Y$102=BUSCADOR!$B$7,ROW('PLANILLA DJ'!$Y$1:$Y$102),""),3),1),"")</f>
        <v/>
      </c>
      <c r="J29" s="18"/>
      <c r="K29" s="19"/>
      <c r="L29" s="34" t="str">
        <f t="array" ref="L29">IFERROR(INDEX('PLANILLA DJ'!$AD$1:$AD$102,SMALL(IF('PLANILLA DJ'!$Y$1:$Y$102=BUSCADOR!$B$7,ROW('PLANILLA DJ'!$Y$1:$Y$102),""),3),1),"")</f>
        <v/>
      </c>
      <c r="M29" s="6"/>
      <c r="N29" s="6"/>
      <c r="O29" s="6"/>
      <c r="P29" s="34" t="str">
        <f t="array" ref="P29">IFERROR(INDEX('PLANILLA DJ'!$AF$1:$AF$102,SMALL(IF('PLANILLA DJ'!$Y$1:$Y$102=BUSCADOR!$B$7,ROW('PLANILLA DJ'!$Y$1:$Y$102),""),3),1),"")</f>
        <v/>
      </c>
      <c r="Q29" s="8"/>
      <c r="R29" s="8"/>
      <c r="S29" s="8"/>
      <c r="T29" s="8"/>
      <c r="U29" s="8"/>
      <c r="V29" s="8"/>
      <c r="W29" s="8"/>
      <c r="X29" s="9"/>
      <c r="Y29" s="9"/>
      <c r="Z29" s="7"/>
      <c r="AA29" s="8"/>
      <c r="AB29" s="142"/>
      <c r="AC29" s="20"/>
      <c r="AD29" s="20"/>
    </row>
    <row r="30" spans="1:30" s="17" customFormat="1" ht="27.75" customHeight="1" x14ac:dyDescent="0.2">
      <c r="A30" s="141" t="str">
        <f>IF(AND($A$29="OK",ISBLANK(K30)),"Si existe otra victima completar desde la columna SEMAFORO en adelante",IF(ISBLANK(K30),"",IF(ISBLANK(M30),"Completar la celda MODO DE PRODUCCION DEL HECHO",IF(ISBLANK(O30),"Completar la celda CONDICIONES CLIMATICAS",IF(OR(ISBLANK(R30),ISBLANK(S30),ISBLANK(T30)),"Completar Documento y Nombre de la Victima",IF(ISBLANK(U30),"Completar SEXO DE LA VICTIMA",IF(ISBLANK(V30),"Completar la celda EDAD DE LA VICTIMA",IF(ISBLANK(W30),"Completar la celda CLASE DE VICTIMA",IF(ISBLANK(Y30),"Completar la celda VEHICULO VICTIMA",IF(ISBLANK(AA30),"Completar la celda SEXO DEL IMPUTADO",IF(ISBLANK(AB30),"Completar EDAD DEL IMPUTADO",IF(ISBLANK(AC30),"Completar la celda VEHICULO DEL IMPUTADO","OK"))))))))))))</f>
        <v/>
      </c>
      <c r="B30" s="140"/>
      <c r="C30" s="6"/>
      <c r="D30" s="6"/>
      <c r="E30" s="34" t="str">
        <f t="shared" ref="E30:E32" si="10">IF(ISBLANK($K30),"",E29)</f>
        <v/>
      </c>
      <c r="F30" s="35" t="str">
        <f t="shared" ref="F30:F32" si="11">IF(ISBLANK($K30),"",F29)</f>
        <v/>
      </c>
      <c r="G30" s="36" t="str">
        <f t="shared" ref="G30:G32" si="12">IF(ISBLANK($K30),"",G29)</f>
        <v/>
      </c>
      <c r="H30" s="34" t="str">
        <f t="shared" ref="H30:H32" si="13">IF(ISBLANK($K30),"",H29)</f>
        <v/>
      </c>
      <c r="I30" s="34" t="str">
        <f t="shared" ref="I30:I32" si="14">IF(ISBLANK($K30),"",I29)</f>
        <v/>
      </c>
      <c r="J30" s="18"/>
      <c r="K30" s="19"/>
      <c r="L30" s="34" t="str">
        <f t="shared" ref="L30:L32" si="15">IF(ISBLANK($K30),"",L29)</f>
        <v/>
      </c>
      <c r="M30" s="6"/>
      <c r="N30" s="6"/>
      <c r="O30" s="6"/>
      <c r="P30" s="34" t="str">
        <f t="shared" ref="P30:P32" si="16">IF(ISBLANK($K30),"",P29)</f>
        <v/>
      </c>
      <c r="Q30" s="6"/>
      <c r="R30" s="6"/>
      <c r="S30" s="6"/>
      <c r="T30" s="6"/>
      <c r="U30" s="8"/>
      <c r="V30" s="8"/>
      <c r="W30" s="8"/>
      <c r="X30" s="9"/>
      <c r="Y30" s="9"/>
      <c r="Z30" s="7"/>
      <c r="AA30" s="8"/>
      <c r="AB30" s="142"/>
      <c r="AC30" s="20"/>
      <c r="AD30" s="20"/>
    </row>
    <row r="31" spans="1:30" s="17" customFormat="1" ht="27.75" customHeight="1" x14ac:dyDescent="0.2">
      <c r="A31" s="141" t="str">
        <f>IF(AND($A$29="OK",ISBLANK(K31)),"Si existe otra victima completar desde la columna SEMAFORO en adelante",IF(ISBLANK(K31),"",IF(ISBLANK(M31),"Completar la celda MODO DE PRODUCCION DEL HECHO",IF(ISBLANK(O31),"Completar la celda CONDICIONES CLIMATICAS",IF(OR(ISBLANK(R31),ISBLANK(S31),ISBLANK(T31)),"Completar Documento y Nombre de la Victima",IF(ISBLANK(U31),"Completar SEXO DE LA VICTIMA",IF(ISBLANK(V31),"Completar la celda EDAD DE LA VICTIMA",IF(ISBLANK(W31),"Completar la celda CLASE DE VICTIMA",IF(ISBLANK(Y31),"Completar la celda VEHICULO VICTIMA",IF(ISBLANK(AA31),"Completar la celda SEXO DEL IMPUTADO",IF(ISBLANK(AB31),"Completar EDAD DEL IMPUTADO",IF(ISBLANK(AC31),"Completar la celda VEHICULO DEL IMPUTADO","OK"))))))))))))</f>
        <v/>
      </c>
      <c r="B31" s="140"/>
      <c r="C31" s="6"/>
      <c r="D31" s="6"/>
      <c r="E31" s="34" t="str">
        <f t="shared" si="10"/>
        <v/>
      </c>
      <c r="F31" s="35" t="str">
        <f t="shared" si="11"/>
        <v/>
      </c>
      <c r="G31" s="36" t="str">
        <f t="shared" si="12"/>
        <v/>
      </c>
      <c r="H31" s="34" t="str">
        <f t="shared" si="13"/>
        <v/>
      </c>
      <c r="I31" s="34" t="str">
        <f t="shared" si="14"/>
        <v/>
      </c>
      <c r="J31" s="18"/>
      <c r="K31" s="19"/>
      <c r="L31" s="34" t="str">
        <f t="shared" si="15"/>
        <v/>
      </c>
      <c r="M31" s="6"/>
      <c r="N31" s="6"/>
      <c r="O31" s="6"/>
      <c r="P31" s="34" t="str">
        <f t="shared" si="16"/>
        <v/>
      </c>
      <c r="Q31" s="6"/>
      <c r="R31" s="6"/>
      <c r="S31" s="6"/>
      <c r="T31" s="6"/>
      <c r="U31" s="8"/>
      <c r="V31" s="8"/>
      <c r="W31" s="8"/>
      <c r="X31" s="9"/>
      <c r="Y31" s="9"/>
      <c r="Z31" s="7"/>
      <c r="AA31" s="8"/>
      <c r="AB31" s="142"/>
      <c r="AC31" s="20"/>
      <c r="AD31" s="20"/>
    </row>
    <row r="32" spans="1:30" s="17" customFormat="1" ht="27.6" customHeight="1" x14ac:dyDescent="0.2">
      <c r="A32" s="141" t="str">
        <f>IF(AND($A$29="OK",ISBLANK(K32)),"Si existe otra victima completar desde la columna SEMAFORO en adelante",IF(ISBLANK(K32),"",IF(ISBLANK(M32),"Completar la celda MODO DE PRODUCCION DEL HECHO",IF(ISBLANK(O32),"Completar la celda CONDICIONES CLIMATICAS",IF(OR(ISBLANK(R32),ISBLANK(S32),ISBLANK(T32)),"Completar Documento y Nombre de la Victima",IF(ISBLANK(U32),"Completar SEXO DE LA VICTIMA",IF(ISBLANK(V32),"Completar la celda EDAD DE LA VICTIMA",IF(ISBLANK(W32),"Completar la celda CLASE DE VICTIMA",IF(ISBLANK(Y32),"Completar la celda VEHICULO VICTIMA",IF(ISBLANK(AA32),"Completar la celda SEXO DEL IMPUTADO",IF(ISBLANK(AB32),"Completar EDAD DEL IMPUTADO",IF(ISBLANK(AC32),"Completar la celda VEHICULO DEL IMPUTADO","OK"))))))))))))</f>
        <v/>
      </c>
      <c r="B32" s="140"/>
      <c r="C32" s="6"/>
      <c r="D32" s="6"/>
      <c r="E32" s="34" t="str">
        <f t="shared" si="10"/>
        <v/>
      </c>
      <c r="F32" s="35" t="str">
        <f t="shared" si="11"/>
        <v/>
      </c>
      <c r="G32" s="36" t="str">
        <f t="shared" si="12"/>
        <v/>
      </c>
      <c r="H32" s="34" t="str">
        <f t="shared" si="13"/>
        <v/>
      </c>
      <c r="I32" s="34" t="str">
        <f t="shared" si="14"/>
        <v/>
      </c>
      <c r="J32" s="18"/>
      <c r="K32" s="19"/>
      <c r="L32" s="34" t="str">
        <f t="shared" si="15"/>
        <v/>
      </c>
      <c r="M32" s="6"/>
      <c r="N32" s="6"/>
      <c r="O32" s="6"/>
      <c r="P32" s="34" t="str">
        <f t="shared" si="16"/>
        <v/>
      </c>
      <c r="Q32" s="6"/>
      <c r="R32" s="6"/>
      <c r="S32" s="6"/>
      <c r="T32" s="6"/>
      <c r="U32" s="8"/>
      <c r="V32" s="8"/>
      <c r="W32" s="8"/>
      <c r="X32" s="9"/>
      <c r="Y32" s="9"/>
      <c r="Z32" s="7"/>
      <c r="AA32" s="8"/>
      <c r="AB32" s="142"/>
      <c r="AC32" s="20"/>
      <c r="AD32" s="20"/>
    </row>
  </sheetData>
  <sheetProtection algorithmName="SHA-512" hashValue="E7ahGiYCY+0hA4hN7QjW52GrRhqVb33P4BSHoje0k2nZ7Mgm8mMsKtLdqC3Y+kiepEvEjw/oj37owZA0p/z22Q==" saltValue="r599B6VeG6kA2toteOczZw==" spinCount="100000" sheet="1" objects="1" scenarios="1"/>
  <mergeCells count="45">
    <mergeCell ref="A1:AD1"/>
    <mergeCell ref="C4:D4"/>
    <mergeCell ref="J4:K4"/>
    <mergeCell ref="N4:U4"/>
    <mergeCell ref="B3:K3"/>
    <mergeCell ref="N3:U3"/>
    <mergeCell ref="B14:E14"/>
    <mergeCell ref="C5:D5"/>
    <mergeCell ref="J5:K5"/>
    <mergeCell ref="N5:U5"/>
    <mergeCell ref="C6:D6"/>
    <mergeCell ref="N6:U6"/>
    <mergeCell ref="C7:D7"/>
    <mergeCell ref="C8:D8"/>
    <mergeCell ref="C9:D9"/>
    <mergeCell ref="C10:D10"/>
    <mergeCell ref="C11:D11"/>
    <mergeCell ref="C12:D12"/>
    <mergeCell ref="B18:Q18"/>
    <mergeCell ref="B19:B20"/>
    <mergeCell ref="C19:C20"/>
    <mergeCell ref="D19:D20"/>
    <mergeCell ref="E19:E20"/>
    <mergeCell ref="F19:F20"/>
    <mergeCell ref="G19:G20"/>
    <mergeCell ref="P19:Q19"/>
    <mergeCell ref="A19:A20"/>
    <mergeCell ref="V19:V20"/>
    <mergeCell ref="W19:X19"/>
    <mergeCell ref="H19:H20"/>
    <mergeCell ref="I19:I20"/>
    <mergeCell ref="J19:J20"/>
    <mergeCell ref="K19:K20"/>
    <mergeCell ref="M19:N19"/>
    <mergeCell ref="O19:O20"/>
    <mergeCell ref="U19:U20"/>
    <mergeCell ref="AA18:AD18"/>
    <mergeCell ref="R18:Z18"/>
    <mergeCell ref="R19:R20"/>
    <mergeCell ref="S19:S20"/>
    <mergeCell ref="T19:T20"/>
    <mergeCell ref="AB19:AB20"/>
    <mergeCell ref="AC19:AD19"/>
    <mergeCell ref="Y19:Z19"/>
    <mergeCell ref="AA19:AA20"/>
  </mergeCells>
  <conditionalFormatting sqref="A19">
    <cfRule type="cellIs" dxfId="9" priority="6" operator="equal">
      <formula>"OK"</formula>
    </cfRule>
  </conditionalFormatting>
  <conditionalFormatting sqref="A21:A32">
    <cfRule type="cellIs" dxfId="8" priority="1" operator="equal">
      <formula>"Si existe otra victima completar desde la columna SEMAFORO en adelante"</formula>
    </cfRule>
    <cfRule type="containsBlanks" dxfId="7" priority="2">
      <formula>LEN(TRIM(A21))=0</formula>
    </cfRule>
    <cfRule type="cellIs" dxfId="6" priority="3" operator="notEqual">
      <formula>"OK"</formula>
    </cfRule>
    <cfRule type="cellIs" dxfId="5" priority="5" operator="equal">
      <formula>"OK"</formula>
    </cfRule>
  </conditionalFormatting>
  <dataValidations count="6">
    <dataValidation type="list" allowBlank="1" showInputMessage="1" showErrorMessage="1" sqref="K21:K32">
      <formula1>$B$6:$B$10</formula1>
    </dataValidation>
    <dataValidation type="list" allowBlank="1" showInputMessage="1" showErrorMessage="1" sqref="M21:M32">
      <formula1>$E$6:$E$11</formula1>
    </dataValidation>
    <dataValidation type="list" allowBlank="1" showInputMessage="1" showErrorMessage="1" sqref="O21:O32">
      <formula1>$F$6:$F$13</formula1>
    </dataValidation>
    <dataValidation type="list" allowBlank="1" showInputMessage="1" showErrorMessage="1" sqref="U21:U32 AA21:AA32">
      <formula1>$H$6:$H$8</formula1>
    </dataValidation>
    <dataValidation type="list" allowBlank="1" showInputMessage="1" showErrorMessage="1" sqref="W21:W32">
      <formula1>$I$6:$I$11</formula1>
    </dataValidation>
    <dataValidation type="list" allowBlank="1" showInputMessage="1" showErrorMessage="1" sqref="AC21:AC32 Y21:Y32">
      <formula1>$L$5:$L$15</formula1>
    </dataValidation>
  </dataValidations>
  <pageMargins left="0.7" right="0.7" top="0.75" bottom="0.75" header="0" footer="0"/>
  <pageSetup orientation="landscape" r:id="rId1"/>
  <ignoredErrors>
    <ignoredError sqref="E26:I28 E30:I32"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V30"/>
  <sheetViews>
    <sheetView showGridLines="0" zoomScale="70" zoomScaleNormal="70" workbookViewId="0">
      <pane xSplit="4" ySplit="18" topLeftCell="E19" activePane="bottomRight" state="frozen"/>
      <selection activeCell="AN31" sqref="AN31"/>
      <selection pane="topRight" activeCell="AN31" sqref="AN31"/>
      <selection pane="bottomLeft" activeCell="AN31" sqref="AN31"/>
      <selection pane="bottomRight" activeCell="A19" sqref="A19"/>
    </sheetView>
  </sheetViews>
  <sheetFormatPr baseColWidth="10" defaultColWidth="14.42578125" defaultRowHeight="15" customHeight="1" x14ac:dyDescent="0.2"/>
  <cols>
    <col min="1" max="1" width="53.42578125" style="99" customWidth="1"/>
    <col min="2" max="2" width="12.85546875" style="13" customWidth="1"/>
    <col min="3" max="3" width="12.5703125" style="13" customWidth="1"/>
    <col min="4" max="4" width="13.140625" style="13" customWidth="1"/>
    <col min="5" max="5" width="13.28515625" style="13" customWidth="1"/>
    <col min="6" max="6" width="19.5703125" style="13" customWidth="1"/>
    <col min="7" max="7" width="14" style="13" customWidth="1"/>
    <col min="8" max="8" width="24.28515625" style="13" customWidth="1"/>
    <col min="9" max="9" width="11.5703125" style="13" customWidth="1"/>
    <col min="10" max="10" width="44.85546875" style="13" customWidth="1"/>
    <col min="11" max="11" width="23.140625" style="13" customWidth="1"/>
    <col min="12" max="12" width="32.140625" style="13" customWidth="1"/>
    <col min="13" max="17" width="11.5703125" style="13" customWidth="1"/>
    <col min="18" max="18" width="11.42578125" style="13" bestFit="1" customWidth="1"/>
    <col min="19" max="20" width="10.5703125" style="13" customWidth="1"/>
    <col min="21" max="21" width="10.28515625" style="13" customWidth="1"/>
    <col min="22" max="22" width="9.28515625" style="13" customWidth="1"/>
    <col min="23" max="16384" width="14.42578125" style="13"/>
  </cols>
  <sheetData>
    <row r="1" spans="1:22" ht="25.15" customHeight="1" x14ac:dyDescent="0.2">
      <c r="A1" s="365" t="s">
        <v>1056</v>
      </c>
      <c r="B1" s="366"/>
      <c r="C1" s="366"/>
      <c r="D1" s="366"/>
      <c r="E1" s="366"/>
      <c r="F1" s="366"/>
      <c r="G1" s="366"/>
      <c r="H1" s="366"/>
      <c r="I1" s="366"/>
      <c r="J1" s="366"/>
      <c r="K1" s="366"/>
      <c r="L1" s="366"/>
      <c r="M1" s="366"/>
      <c r="N1" s="366"/>
      <c r="O1" s="366"/>
      <c r="P1" s="366"/>
      <c r="Q1" s="366"/>
      <c r="R1" s="366"/>
      <c r="S1" s="366"/>
      <c r="T1" s="366"/>
      <c r="U1" s="366"/>
      <c r="V1" s="367"/>
    </row>
    <row r="2" spans="1:22" ht="25.15" hidden="1" customHeight="1" x14ac:dyDescent="0.2">
      <c r="B2" s="196"/>
      <c r="C2" s="196"/>
      <c r="D2" s="196"/>
      <c r="E2" s="196"/>
      <c r="F2" s="199"/>
      <c r="G2" s="199"/>
      <c r="H2" s="199"/>
      <c r="I2" s="199"/>
      <c r="J2" s="199"/>
      <c r="K2" s="199"/>
      <c r="L2" s="199"/>
      <c r="M2" s="199"/>
      <c r="N2" s="199"/>
      <c r="O2" s="199"/>
      <c r="P2" s="199"/>
      <c r="Q2" s="199"/>
      <c r="R2" s="199"/>
      <c r="S2" s="199"/>
      <c r="T2" s="199"/>
      <c r="U2" s="199"/>
      <c r="V2" s="199"/>
    </row>
    <row r="3" spans="1:22" ht="25.15" hidden="1" customHeight="1" x14ac:dyDescent="0.2">
      <c r="B3" s="368" t="s">
        <v>228</v>
      </c>
      <c r="C3" s="355"/>
      <c r="D3" s="355"/>
      <c r="E3" s="355"/>
      <c r="F3" s="355"/>
      <c r="G3" s="355"/>
      <c r="H3" s="355"/>
      <c r="I3" s="355"/>
      <c r="J3" s="355"/>
      <c r="K3" s="355"/>
      <c r="L3" s="199"/>
      <c r="M3" s="199"/>
      <c r="N3" s="199"/>
      <c r="O3" s="199"/>
      <c r="P3" s="199"/>
      <c r="Q3" s="199"/>
      <c r="R3" s="199"/>
      <c r="S3" s="199"/>
      <c r="T3" s="199"/>
      <c r="U3" s="199"/>
      <c r="V3" s="199"/>
    </row>
    <row r="4" spans="1:22" ht="25.15" hidden="1" customHeight="1" x14ac:dyDescent="0.2">
      <c r="B4" s="337" t="s">
        <v>215</v>
      </c>
      <c r="C4" s="355"/>
      <c r="D4" s="337" t="s">
        <v>229</v>
      </c>
      <c r="E4" s="355"/>
      <c r="F4" s="369" t="s">
        <v>230</v>
      </c>
      <c r="G4" s="355"/>
      <c r="H4" s="337" t="s">
        <v>231</v>
      </c>
      <c r="I4" s="355"/>
      <c r="J4" s="337" t="s">
        <v>216</v>
      </c>
      <c r="K4" s="355"/>
      <c r="L4" s="196"/>
      <c r="M4" s="337" t="s">
        <v>219</v>
      </c>
      <c r="N4" s="337"/>
      <c r="O4" s="337"/>
      <c r="P4" s="337"/>
      <c r="Q4" s="337"/>
      <c r="R4" s="355"/>
      <c r="S4" s="355"/>
      <c r="T4" s="355"/>
      <c r="U4" s="355"/>
      <c r="V4" s="196"/>
    </row>
    <row r="5" spans="1:22" ht="25.15" hidden="1" customHeight="1" x14ac:dyDescent="0.2">
      <c r="B5" s="337" t="s">
        <v>233</v>
      </c>
      <c r="C5" s="355"/>
      <c r="D5" s="337" t="s">
        <v>381</v>
      </c>
      <c r="E5" s="355"/>
      <c r="F5" s="337" t="s">
        <v>222</v>
      </c>
      <c r="G5" s="355"/>
      <c r="H5" s="337" t="s">
        <v>382</v>
      </c>
      <c r="I5" s="355"/>
      <c r="J5" s="337" t="s">
        <v>234</v>
      </c>
      <c r="K5" s="355"/>
      <c r="L5" s="196"/>
      <c r="M5" s="337" t="s">
        <v>220</v>
      </c>
      <c r="N5" s="337"/>
      <c r="O5" s="337"/>
      <c r="P5" s="337"/>
      <c r="Q5" s="337"/>
      <c r="R5" s="355"/>
      <c r="S5" s="355"/>
      <c r="T5" s="355"/>
      <c r="U5" s="355"/>
      <c r="V5" s="196"/>
    </row>
    <row r="6" spans="1:22" ht="25.15" hidden="1" customHeight="1" x14ac:dyDescent="0.2">
      <c r="B6" s="356" t="s">
        <v>236</v>
      </c>
      <c r="C6" s="355"/>
      <c r="D6" s="356" t="s">
        <v>237</v>
      </c>
      <c r="E6" s="355"/>
      <c r="F6" s="356" t="s">
        <v>239</v>
      </c>
      <c r="G6" s="355"/>
      <c r="H6" s="193" t="s">
        <v>240</v>
      </c>
      <c r="I6" s="197"/>
      <c r="J6" s="193" t="s">
        <v>241</v>
      </c>
      <c r="K6" s="197"/>
      <c r="L6" s="200" t="s">
        <v>242</v>
      </c>
      <c r="M6" s="337" t="s">
        <v>260</v>
      </c>
      <c r="N6" s="337"/>
      <c r="O6" s="337"/>
      <c r="P6" s="337"/>
      <c r="Q6" s="337"/>
      <c r="R6" s="355"/>
      <c r="S6" s="355"/>
      <c r="T6" s="355"/>
      <c r="U6" s="355"/>
      <c r="V6" s="196"/>
    </row>
    <row r="7" spans="1:22" ht="25.15" hidden="1" customHeight="1" x14ac:dyDescent="0.2">
      <c r="B7" s="356" t="s">
        <v>245</v>
      </c>
      <c r="C7" s="355"/>
      <c r="D7" s="356" t="s">
        <v>383</v>
      </c>
      <c r="E7" s="355"/>
      <c r="F7" s="356" t="s">
        <v>247</v>
      </c>
      <c r="G7" s="355"/>
      <c r="H7" s="193" t="s">
        <v>248</v>
      </c>
      <c r="I7" s="197"/>
      <c r="J7" s="193" t="s">
        <v>249</v>
      </c>
      <c r="K7" s="197"/>
      <c r="L7" s="200" t="s">
        <v>250</v>
      </c>
      <c r="M7" s="199"/>
      <c r="N7" s="199"/>
      <c r="O7" s="199"/>
      <c r="P7" s="199"/>
      <c r="Q7" s="199"/>
      <c r="R7" s="199"/>
      <c r="S7" s="199"/>
      <c r="T7" s="199"/>
      <c r="U7" s="199"/>
      <c r="V7" s="196"/>
    </row>
    <row r="8" spans="1:22" ht="25.15" hidden="1" customHeight="1" x14ac:dyDescent="0.2">
      <c r="B8" s="364" t="s">
        <v>384</v>
      </c>
      <c r="C8" s="355"/>
      <c r="D8" s="356" t="s">
        <v>385</v>
      </c>
      <c r="E8" s="355"/>
      <c r="F8" s="356" t="s">
        <v>254</v>
      </c>
      <c r="G8" s="355"/>
      <c r="H8" s="193" t="s">
        <v>255</v>
      </c>
      <c r="I8" s="197"/>
      <c r="J8" s="193" t="s">
        <v>256</v>
      </c>
      <c r="K8" s="197"/>
      <c r="L8" s="200" t="s">
        <v>257</v>
      </c>
      <c r="M8" s="196"/>
      <c r="N8" s="196"/>
      <c r="O8" s="196"/>
      <c r="P8" s="196"/>
      <c r="Q8" s="196"/>
      <c r="R8" s="196"/>
      <c r="S8" s="196"/>
      <c r="T8" s="196"/>
      <c r="U8" s="196"/>
      <c r="V8" s="196"/>
    </row>
    <row r="9" spans="1:22" ht="25.15" hidden="1" customHeight="1" x14ac:dyDescent="0.2">
      <c r="B9" s="356" t="s">
        <v>386</v>
      </c>
      <c r="C9" s="355"/>
      <c r="D9" s="356" t="s">
        <v>387</v>
      </c>
      <c r="E9" s="355"/>
      <c r="F9" s="356" t="s">
        <v>262</v>
      </c>
      <c r="G9" s="355"/>
      <c r="H9" s="196"/>
      <c r="I9" s="196"/>
      <c r="J9" s="193" t="s">
        <v>263</v>
      </c>
      <c r="K9" s="197"/>
      <c r="L9" s="200" t="s">
        <v>264</v>
      </c>
      <c r="M9" s="199"/>
      <c r="N9" s="199"/>
      <c r="O9" s="199"/>
      <c r="P9" s="199"/>
      <c r="Q9" s="199"/>
      <c r="R9" s="199"/>
      <c r="S9" s="199"/>
      <c r="T9" s="199"/>
      <c r="U9" s="199"/>
      <c r="V9" s="199"/>
    </row>
    <row r="10" spans="1:22" ht="25.15" hidden="1" customHeight="1" x14ac:dyDescent="0.2">
      <c r="B10" s="356" t="s">
        <v>388</v>
      </c>
      <c r="C10" s="355"/>
      <c r="D10" s="356" t="s">
        <v>389</v>
      </c>
      <c r="E10" s="355"/>
      <c r="F10" s="337"/>
      <c r="G10" s="355"/>
      <c r="H10" s="196"/>
      <c r="I10" s="196"/>
      <c r="J10" s="193" t="s">
        <v>268</v>
      </c>
      <c r="K10" s="197"/>
      <c r="L10" s="200" t="s">
        <v>269</v>
      </c>
      <c r="M10" s="199"/>
      <c r="N10" s="199"/>
      <c r="O10" s="199"/>
      <c r="P10" s="199"/>
      <c r="Q10" s="199"/>
      <c r="R10" s="199"/>
      <c r="S10" s="199"/>
      <c r="T10" s="199"/>
      <c r="U10" s="199"/>
      <c r="V10" s="199"/>
    </row>
    <row r="11" spans="1:22" ht="25.15" hidden="1" customHeight="1" x14ac:dyDescent="0.2">
      <c r="B11" s="354" t="s">
        <v>275</v>
      </c>
      <c r="C11" s="355"/>
      <c r="D11" s="364" t="s">
        <v>390</v>
      </c>
      <c r="E11" s="355"/>
      <c r="F11" s="356"/>
      <c r="G11" s="355"/>
      <c r="H11" s="196"/>
      <c r="I11" s="196"/>
      <c r="J11" s="193" t="s">
        <v>255</v>
      </c>
      <c r="K11" s="197"/>
      <c r="L11" s="200" t="s">
        <v>272</v>
      </c>
      <c r="M11" s="199"/>
      <c r="N11" s="199"/>
      <c r="O11" s="199"/>
      <c r="P11" s="199"/>
      <c r="Q11" s="199"/>
      <c r="R11" s="199"/>
      <c r="S11" s="199"/>
      <c r="T11" s="199"/>
      <c r="U11" s="199"/>
      <c r="V11" s="199"/>
    </row>
    <row r="12" spans="1:22" ht="25.15" hidden="1" customHeight="1" x14ac:dyDescent="0.2">
      <c r="B12" s="354"/>
      <c r="C12" s="355"/>
      <c r="D12" s="356" t="s">
        <v>391</v>
      </c>
      <c r="E12" s="355"/>
      <c r="F12" s="356"/>
      <c r="G12" s="355"/>
      <c r="H12" s="196"/>
      <c r="I12" s="196"/>
      <c r="J12" s="199"/>
      <c r="K12" s="199"/>
      <c r="L12" s="200" t="s">
        <v>276</v>
      </c>
      <c r="M12" s="199"/>
      <c r="N12" s="199"/>
      <c r="O12" s="199"/>
      <c r="P12" s="199"/>
      <c r="Q12" s="199"/>
      <c r="R12" s="199"/>
      <c r="S12" s="199"/>
      <c r="T12" s="199"/>
      <c r="U12" s="199"/>
      <c r="V12" s="199"/>
    </row>
    <row r="13" spans="1:22" ht="25.15" hidden="1" customHeight="1" x14ac:dyDescent="0.2">
      <c r="B13" s="354"/>
      <c r="C13" s="355"/>
      <c r="D13" s="356" t="s">
        <v>392</v>
      </c>
      <c r="E13" s="355"/>
      <c r="F13" s="193"/>
      <c r="G13" s="196"/>
      <c r="H13" s="196"/>
      <c r="I13" s="196"/>
      <c r="J13" s="199"/>
      <c r="K13" s="199"/>
      <c r="L13" s="200" t="s">
        <v>279</v>
      </c>
      <c r="M13" s="199"/>
      <c r="N13" s="199"/>
      <c r="O13" s="199"/>
      <c r="P13" s="199"/>
      <c r="Q13" s="199"/>
      <c r="R13" s="199"/>
      <c r="S13" s="199"/>
      <c r="T13" s="199"/>
      <c r="U13" s="199"/>
      <c r="V13" s="199"/>
    </row>
    <row r="14" spans="1:22" ht="25.15" hidden="1" customHeight="1" x14ac:dyDescent="0.2">
      <c r="B14" s="196"/>
      <c r="C14" s="196"/>
      <c r="D14" s="357" t="s">
        <v>255</v>
      </c>
      <c r="E14" s="355"/>
      <c r="F14" s="193"/>
      <c r="G14" s="196"/>
      <c r="H14" s="196"/>
      <c r="I14" s="196"/>
      <c r="J14" s="199"/>
      <c r="K14" s="199"/>
      <c r="L14" s="200" t="s">
        <v>275</v>
      </c>
      <c r="M14" s="199"/>
      <c r="N14" s="199"/>
      <c r="O14" s="199"/>
      <c r="P14" s="199"/>
      <c r="Q14" s="199"/>
      <c r="R14" s="199"/>
      <c r="S14" s="199"/>
      <c r="T14" s="199"/>
      <c r="U14" s="199"/>
      <c r="V14" s="199"/>
    </row>
    <row r="15" spans="1:22" ht="25.15" hidden="1" customHeight="1" x14ac:dyDescent="0.2">
      <c r="B15" s="196"/>
      <c r="C15" s="196"/>
      <c r="D15" s="196"/>
      <c r="E15" s="196"/>
      <c r="F15" s="199"/>
      <c r="G15" s="199"/>
      <c r="H15" s="199"/>
      <c r="J15" s="199"/>
      <c r="K15" s="199"/>
      <c r="L15" s="199"/>
      <c r="M15" s="199"/>
      <c r="N15" s="199"/>
      <c r="O15" s="199"/>
      <c r="P15" s="199"/>
      <c r="Q15" s="199"/>
      <c r="R15" s="199"/>
      <c r="S15" s="199"/>
      <c r="T15" s="199"/>
      <c r="U15" s="199"/>
      <c r="V15" s="199"/>
    </row>
    <row r="16" spans="1:22" ht="26.25" customHeight="1" x14ac:dyDescent="0.2">
      <c r="A16" s="198"/>
      <c r="B16" s="361" t="s">
        <v>221</v>
      </c>
      <c r="C16" s="362"/>
      <c r="D16" s="362"/>
      <c r="E16" s="362"/>
      <c r="F16" s="362"/>
      <c r="G16" s="362"/>
      <c r="H16" s="362"/>
      <c r="I16" s="362"/>
      <c r="J16" s="363"/>
      <c r="K16" s="358" t="s">
        <v>393</v>
      </c>
      <c r="L16" s="359"/>
      <c r="M16" s="359"/>
      <c r="N16" s="359"/>
      <c r="O16" s="359"/>
      <c r="P16" s="359"/>
      <c r="Q16" s="359"/>
      <c r="R16" s="360"/>
      <c r="S16" s="348" t="s">
        <v>394</v>
      </c>
      <c r="T16" s="349"/>
      <c r="U16" s="349"/>
      <c r="V16" s="349"/>
    </row>
    <row r="17" spans="1:22" ht="52.5" customHeight="1" x14ac:dyDescent="0.2">
      <c r="A17" s="342" t="s">
        <v>1053</v>
      </c>
      <c r="B17" s="350" t="s">
        <v>296</v>
      </c>
      <c r="C17" s="350" t="s">
        <v>297</v>
      </c>
      <c r="D17" s="350" t="s">
        <v>298</v>
      </c>
      <c r="E17" s="352" t="s">
        <v>302</v>
      </c>
      <c r="F17" s="345"/>
      <c r="G17" s="352" t="s">
        <v>395</v>
      </c>
      <c r="H17" s="345"/>
      <c r="I17" s="353" t="s">
        <v>305</v>
      </c>
      <c r="J17" s="345"/>
      <c r="K17" s="350" t="s">
        <v>1105</v>
      </c>
      <c r="L17" s="350" t="s">
        <v>1106</v>
      </c>
      <c r="M17" s="350" t="s">
        <v>1107</v>
      </c>
      <c r="N17" s="350" t="s">
        <v>1119</v>
      </c>
      <c r="O17" s="350" t="s">
        <v>396</v>
      </c>
      <c r="P17" s="344" t="s">
        <v>397</v>
      </c>
      <c r="Q17" s="345"/>
      <c r="R17" s="352" t="s">
        <v>398</v>
      </c>
      <c r="S17" s="353" t="s">
        <v>399</v>
      </c>
      <c r="T17" s="344" t="s">
        <v>397</v>
      </c>
      <c r="U17" s="345"/>
      <c r="V17" s="346" t="s">
        <v>227</v>
      </c>
    </row>
    <row r="18" spans="1:22" ht="35.25" customHeight="1" thickBot="1" x14ac:dyDescent="0.25">
      <c r="A18" s="343"/>
      <c r="B18" s="351"/>
      <c r="C18" s="351"/>
      <c r="D18" s="351"/>
      <c r="E18" s="133" t="s">
        <v>312</v>
      </c>
      <c r="F18" s="134" t="s">
        <v>323</v>
      </c>
      <c r="G18" s="133" t="s">
        <v>314</v>
      </c>
      <c r="H18" s="134" t="s">
        <v>400</v>
      </c>
      <c r="I18" s="135" t="s">
        <v>316</v>
      </c>
      <c r="J18" s="134" t="s">
        <v>318</v>
      </c>
      <c r="K18" s="351"/>
      <c r="L18" s="351"/>
      <c r="M18" s="351"/>
      <c r="N18" s="351"/>
      <c r="O18" s="351"/>
      <c r="P18" s="136" t="s">
        <v>319</v>
      </c>
      <c r="Q18" s="137" t="s">
        <v>379</v>
      </c>
      <c r="R18" s="351"/>
      <c r="S18" s="351"/>
      <c r="T18" s="135" t="s">
        <v>319</v>
      </c>
      <c r="U18" s="134" t="s">
        <v>379</v>
      </c>
      <c r="V18" s="347"/>
    </row>
    <row r="19" spans="1:22" ht="31.5" customHeight="1" x14ac:dyDescent="0.2">
      <c r="A19" s="138" t="str">
        <f>IF(B19="0","",IF(OR(ISBLANK(K19),ISBLANK(L19),ISBLANK(M19)),"Completar DOCUMENTO y NOMBRE DEL SUICIDA",IF(ISBLANK(N19),"Completar la celda CLASE",IF(ISBLANK(O19),"Completar la celda SEXO DEL SUICIDA",IF(ISBLANK(P19),"Completar la celda GENERO DEL SUICIDA",IF(ISBLANK(R19),"Completar la celda EDAD DEL SUICIDA",IF(ISBLANK(S19),"Completar la celda SEXO DEL TESTIGO",IF(ISBLANK(T19),"Completar la celda GENERO DEL TESTIGO",IF(ISBLANK(V19),"Completar la celda EDAD DEL TESTIGO","OK")))))))))</f>
        <v/>
      </c>
      <c r="B19" s="124" t="str" cm="1">
        <f t="array" ref="B19">IFERROR(INDEX('PLANILLA DJ'!$H$1:$H$102,SMALL(IF('PLANILLA DJ'!$Y$1:$Y$102=BUSCADOR!$B$109,ROW('PLANILLA DJ'!$Y$1:$Y$102),""),1),1),"0")</f>
        <v>0</v>
      </c>
      <c r="C19" s="125" t="str">
        <f t="array" ref="C19">IFERROR(INDEX('PLANILLA DJ'!$D$1:$D$102,MATCH(BUSCADOR!$B$109,'PLANILLA DJ'!$Y$1:$Y$102,0),1),"")</f>
        <v/>
      </c>
      <c r="D19" s="126" t="str">
        <f t="array" ref="D19">IFERROR(INDEX('PLANILLA DJ'!$F$1:$F$102,MATCH(BUSCADOR!$B$109,'PLANILLA DJ'!$Y$1:$Y$102,0),1),"")</f>
        <v/>
      </c>
      <c r="E19" s="126" t="str">
        <f t="array" ref="E19">IFERROR(INDEX('PLANILLA DJ'!$AD$1:$AD$102,SMALL(IF('PLANILLA DJ'!$Y$1:$Y$102=BUSCADOR!$B$109,ROW('PLANILLA DJ'!$Y$1:$Y$102),""),1),1),"")</f>
        <v/>
      </c>
      <c r="F19" s="127"/>
      <c r="G19" s="126" t="str">
        <f t="array" ref="G19">IFERROR(INDEX('PLANILLA DJ'!$AR$1:$AR$102,SMALL(IF('PLANILLA DJ'!$Y$1:$Y$102=BUSCADOR!$B$109,ROW('PLANILLA DJ'!$Y$1:$Y$102),""),1),1),"")</f>
        <v/>
      </c>
      <c r="H19" s="127"/>
      <c r="I19" s="126" t="str">
        <f t="array" ref="I19">IFERROR(INDEX('PLANILLA DJ'!$AF$1:$AF$102,SMALL(IF('PLANILLA DJ'!$Y$1:$Y$102=BUSCADOR!$B$109,ROW('PLANILLA DJ'!$Y$1:$Y$102),""),1),1),"")</f>
        <v/>
      </c>
      <c r="J19" s="128"/>
      <c r="K19" s="128"/>
      <c r="L19" s="128"/>
      <c r="M19" s="128"/>
      <c r="N19" s="128"/>
      <c r="O19" s="128"/>
      <c r="P19" s="128"/>
      <c r="Q19" s="129"/>
      <c r="R19" s="130"/>
      <c r="S19" s="130"/>
      <c r="T19" s="131"/>
      <c r="U19" s="131"/>
      <c r="V19" s="132"/>
    </row>
    <row r="20" spans="1:22" s="40" customFormat="1" ht="31.5" customHeight="1" x14ac:dyDescent="0.2">
      <c r="A20" s="138" t="str">
        <f>IF(AND($A$19="OK",ISBLANK(K20)),"Si existe otra victima en el mismo expediente completar desde DOCUMENTO en adelante",IF(ISBLANK(O20),"",IF(ISBLANK(P20),"Completar la celda GENERO DEL SUICIDA",IF(ISBLANK(R20),"Completar la celda EDAD DEL SUICIDA",IF(ISBLANK(S20),"Completar la celda SEXO DEL TESTIGO",IF(ISBLANK(T20),"Completar la celda GENERO DEL TESTIGO",IF(ISBLANK(V20),"Completar la celda EDAD DEL TESTIGO","OK")))))))</f>
        <v/>
      </c>
      <c r="B20" s="31" t="str">
        <f>IF(ISBLANK($O20),"",B19)</f>
        <v/>
      </c>
      <c r="C20" s="32" t="str">
        <f t="shared" ref="C20:C21" si="0">IF(ISBLANK($O20),"",C19)</f>
        <v/>
      </c>
      <c r="D20" s="33" t="str">
        <f t="shared" ref="D20:D21" si="1">IF(ISBLANK($O20),"",D19)</f>
        <v/>
      </c>
      <c r="E20" s="31" t="str">
        <f t="shared" ref="E20:E21" si="2">IF(ISBLANK($O20),"",E19)</f>
        <v/>
      </c>
      <c r="F20" s="110"/>
      <c r="G20" s="31" t="str">
        <f t="shared" ref="G20:G21" si="3">IF(ISBLANK($O20),"",G19)</f>
        <v/>
      </c>
      <c r="H20" s="110"/>
      <c r="I20" s="31" t="str">
        <f>IF(ISBLANK($O20),"",I19)</f>
        <v/>
      </c>
      <c r="J20" s="111"/>
      <c r="K20" s="111"/>
      <c r="L20" s="111"/>
      <c r="M20" s="111"/>
      <c r="N20" s="111"/>
      <c r="O20" s="111"/>
      <c r="P20" s="111"/>
      <c r="Q20" s="112"/>
      <c r="R20" s="38"/>
      <c r="S20" s="38"/>
      <c r="T20" s="39"/>
      <c r="U20" s="39"/>
      <c r="V20" s="113"/>
    </row>
    <row r="21" spans="1:22" s="40" customFormat="1" ht="31.5" customHeight="1" x14ac:dyDescent="0.2">
      <c r="A21" s="138" t="str">
        <f>IF(AND($A$19="OK",ISBLANK(K21)),"Si existe otra victima en el mismo expediente completar desde DOCUMENTO en adelante",IF(ISBLANK(O21),"",IF(ISBLANK(P21),"Completar la celda GENERO DEL SUICIDA",IF(ISBLANK(R21),"Completar la celda EDAD DEL SUICIDA",IF(ISBLANK(S21),"Completar la celda SEXO DEL TESTIGO",IF(ISBLANK(T21),"Completar la celda GENERO DEL TESTIGO",IF(ISBLANK(V21),"Completar la celda EDAD DEL TESTIGO","OK")))))))</f>
        <v/>
      </c>
      <c r="B21" s="31" t="str">
        <f t="shared" ref="B21" si="4">IF(ISBLANK($O21),"",B20)</f>
        <v/>
      </c>
      <c r="C21" s="32" t="str">
        <f t="shared" si="0"/>
        <v/>
      </c>
      <c r="D21" s="33" t="str">
        <f t="shared" si="1"/>
        <v/>
      </c>
      <c r="E21" s="31" t="str">
        <f t="shared" si="2"/>
        <v/>
      </c>
      <c r="F21" s="110"/>
      <c r="G21" s="31" t="str">
        <f t="shared" si="3"/>
        <v/>
      </c>
      <c r="H21" s="110"/>
      <c r="I21" s="31" t="str">
        <f>IF(ISBLANK($O21),"",I20)</f>
        <v/>
      </c>
      <c r="J21" s="111"/>
      <c r="K21" s="111"/>
      <c r="L21" s="111"/>
      <c r="M21" s="111"/>
      <c r="N21" s="111"/>
      <c r="O21" s="111"/>
      <c r="P21" s="111"/>
      <c r="Q21" s="112"/>
      <c r="R21" s="38"/>
      <c r="S21" s="38"/>
      <c r="T21" s="39"/>
      <c r="U21" s="39"/>
      <c r="V21" s="113"/>
    </row>
    <row r="22" spans="1:22" ht="31.5" customHeight="1" x14ac:dyDescent="0.2">
      <c r="A22" s="138" t="str">
        <f>IF(B22="0","",IF(OR(ISBLANK(K22),ISBLANK(L22),ISBLANK(M22)),"Completar DOCUMENTO y NOMBRE DEL SUICIDA",IF(ISBLANK(N22),"Completar la celda CLASE",IF(ISBLANK(O22),"Completar la celda SEXO DEL SUICIDA",IF(ISBLANK(P22),"Completar la celda GENERO DEL SUICIDA",IF(ISBLANK(R22),"Completar la celda EDAD DEL SUICIDA",IF(ISBLANK(S22),"Completar la celda SEXO DEL TESTIGO",IF(ISBLANK(T22),"Completar la celda GENERO DEL TESTIGO",IF(ISBLANK(V22),"Completar la celda EDAD DEL TESTIGO","OK")))))))))</f>
        <v/>
      </c>
      <c r="B22" s="31" t="str" cm="1">
        <f t="array" ref="B22">IFERROR(INDEX('PLANILLA DJ'!$H$1:$H$102,SMALL(IF('PLANILLA DJ'!$Y$1:$Y$102=BUSCADOR!$B$109,ROW('PLANILLA DJ'!$Y$1:$Y$102),""),2),1),"0")</f>
        <v>0</v>
      </c>
      <c r="C22" s="32" t="str">
        <f t="array" ref="C22">IFERROR(INDEX('PLANILLA DJ'!$D$1:$D$102,SMALL(IF('PLANILLA DJ'!$Y$1:$Y$102=BUSCADOR!$B$109,ROW('PLANILLA DJ'!$Y$1:$Y$102),""),2),1),"")</f>
        <v/>
      </c>
      <c r="D22" s="33" t="str">
        <f t="array" ref="D22">IFERROR(INDEX('PLANILLA DJ'!$F$1:$F$102,SMALL(IF('PLANILLA DJ'!$Y$1:$Y$102=BUSCADOR!$B$109,ROW('PLANILLA DJ'!$Y$1:$Y$102),""),2),1),"")</f>
        <v/>
      </c>
      <c r="E22" s="33" t="str">
        <f t="array" ref="E22">IFERROR(INDEX('PLANILLA DJ'!$AD$1:$AD$102,SMALL(IF('PLANILLA DJ'!$Y$1:$Y$102=BUSCADOR!$B$109,ROW('PLANILLA DJ'!$Y$1:$Y$102),""),2),1),"")</f>
        <v/>
      </c>
      <c r="F22" s="110"/>
      <c r="G22" s="33" t="str">
        <f t="array" ref="G22">IFERROR(INDEX('PLANILLA DJ'!$AR$1:$AR$102,SMALL(IF('PLANILLA DJ'!$Y$1:$Y$102=BUSCADOR!$B$109,ROW('PLANILLA DJ'!$Y$1:$Y$102),""),2),1),"")</f>
        <v/>
      </c>
      <c r="H22" s="110"/>
      <c r="I22" s="33" t="str">
        <f t="array" ref="I22">IFERROR(INDEX('PLANILLA DJ'!$AF$1:$AF$102,SMALL(IF('PLANILLA DJ'!$Y$1:$Y$102=BUSCADOR!$B$109,ROW('PLANILLA DJ'!$Y$1:$Y$102),""),2),1),"")</f>
        <v/>
      </c>
      <c r="J22" s="111"/>
      <c r="K22" s="111"/>
      <c r="L22" s="111"/>
      <c r="M22" s="111"/>
      <c r="N22" s="111"/>
      <c r="O22" s="111"/>
      <c r="P22" s="111"/>
      <c r="Q22" s="112"/>
      <c r="R22" s="38"/>
      <c r="S22" s="38"/>
      <c r="T22" s="39"/>
      <c r="U22" s="39"/>
      <c r="V22" s="113"/>
    </row>
    <row r="23" spans="1:22" s="40" customFormat="1" ht="31.5" customHeight="1" x14ac:dyDescent="0.2">
      <c r="A23" s="138" t="str">
        <f>IF(AND($A$22="OK",ISBLANK(K23)),"Si existe otra victima en el mismo expediente completar desde DOCUMENTO en adelante",IF(ISBLANK(O23),"",IF(ISBLANK(P23),"Completar la celda GENERO DEL SUICIDA",IF(ISBLANK(R23),"Completar la celda EDAD DEL SUICIDA",IF(ISBLANK(S23),"Completar la celda SEXO DEL TESTIGO",IF(ISBLANK(T23),"Completar la celda GENERO DEL TESTIGO",IF(ISBLANK(V23),"Completar la celda EDAD DEL TESTIGO","OK")))))))</f>
        <v/>
      </c>
      <c r="B23" s="31" t="str">
        <f t="shared" ref="B23:B24" si="5">IF(ISBLANK($O23),"",B22)</f>
        <v/>
      </c>
      <c r="C23" s="32" t="str">
        <f t="shared" ref="C23:C24" si="6">IF(ISBLANK($O23),"",C22)</f>
        <v/>
      </c>
      <c r="D23" s="33" t="str">
        <f t="shared" ref="D23:D24" si="7">IF(ISBLANK($O23),"",D22)</f>
        <v/>
      </c>
      <c r="E23" s="31" t="str">
        <f t="shared" ref="E23:E24" si="8">IF(ISBLANK($O23),"",E22)</f>
        <v/>
      </c>
      <c r="F23" s="110"/>
      <c r="G23" s="31" t="str">
        <f>IF(ISBLANK($O23),"",G22)</f>
        <v/>
      </c>
      <c r="H23" s="110"/>
      <c r="I23" s="31" t="str">
        <f>IF(ISBLANK($O23),"",I22)</f>
        <v/>
      </c>
      <c r="J23" s="111"/>
      <c r="K23" s="111"/>
      <c r="L23" s="111"/>
      <c r="M23" s="111"/>
      <c r="N23" s="111"/>
      <c r="O23" s="111"/>
      <c r="P23" s="111"/>
      <c r="Q23" s="112"/>
      <c r="R23" s="38"/>
      <c r="S23" s="38"/>
      <c r="T23" s="39"/>
      <c r="U23" s="39"/>
      <c r="V23" s="113"/>
    </row>
    <row r="24" spans="1:22" s="40" customFormat="1" ht="31.5" customHeight="1" x14ac:dyDescent="0.2">
      <c r="A24" s="138" t="str">
        <f>IF(AND($A$22="OK",ISBLANK(K24)),"Si existe otra victima en el mismo expediente completar desde DOCUMENTO en adelante",IF(ISBLANK(O24),"",IF(ISBLANK(P24),"Completar la celda GENERO DEL SUICIDA",IF(ISBLANK(R24),"Completar la celda EDAD DEL SUICIDA",IF(ISBLANK(S24),"Completar la celda SEXO DEL TESTIGO",IF(ISBLANK(T24),"Completar la celda GENERO DEL TESTIGO",IF(ISBLANK(V24),"Completar la celda EDAD DEL TESTIGO","OK")))))))</f>
        <v/>
      </c>
      <c r="B24" s="31" t="str">
        <f t="shared" si="5"/>
        <v/>
      </c>
      <c r="C24" s="32" t="str">
        <f t="shared" si="6"/>
        <v/>
      </c>
      <c r="D24" s="33" t="str">
        <f t="shared" si="7"/>
        <v/>
      </c>
      <c r="E24" s="31" t="str">
        <f t="shared" si="8"/>
        <v/>
      </c>
      <c r="F24" s="110"/>
      <c r="G24" s="31" t="str">
        <f>IF(ISBLANK($O24),"",G23)</f>
        <v/>
      </c>
      <c r="H24" s="110"/>
      <c r="I24" s="31" t="str">
        <f>IF(ISBLANK($O24),"",I23)</f>
        <v/>
      </c>
      <c r="J24" s="111"/>
      <c r="K24" s="111"/>
      <c r="L24" s="111"/>
      <c r="M24" s="111"/>
      <c r="N24" s="111"/>
      <c r="O24" s="111"/>
      <c r="P24" s="111"/>
      <c r="Q24" s="112"/>
      <c r="R24" s="38"/>
      <c r="S24" s="38"/>
      <c r="T24" s="39"/>
      <c r="U24" s="39"/>
      <c r="V24" s="113"/>
    </row>
    <row r="25" spans="1:22" ht="31.5" customHeight="1" x14ac:dyDescent="0.2">
      <c r="A25" s="138" t="str">
        <f>IF(B25="0","",IF(OR(ISBLANK(K25),ISBLANK(L25),ISBLANK(M25)),"Completar DOCUMENTO y NOMBRE DEL SUICIDA",IF(ISBLANK(N25),"Completar la celda CLASE",IF(ISBLANK(O25),"Completar la celda SEXO DEL SUICIDA",IF(ISBLANK(P25),"Completar la celda GENERO DEL SUICIDA",IF(ISBLANK(R25),"Completar la celda EDAD DEL SUICIDA",IF(ISBLANK(S25),"Completar la celda SEXO DEL TESTIGO",IF(ISBLANK(T25),"Completar la celda GENERO DEL TESTIGO",IF(ISBLANK(V25),"Completar la celda EDAD DEL TESTIGO","OK")))))))))</f>
        <v/>
      </c>
      <c r="B25" s="31" t="str" cm="1">
        <f t="array" ref="B25">IFERROR(INDEX('PLANILLA DJ'!$H$1:$H$102,SMALL(IF('PLANILLA DJ'!$Y$1:$Y$102=BUSCADOR!$B$109,ROW('PLANILLA DJ'!$Y$1:$Y$102),""),3),1),"0")</f>
        <v>0</v>
      </c>
      <c r="C25" s="32" t="str">
        <f t="array" ref="C25">IFERROR(INDEX('PLANILLA DJ'!$D$1:$D$102,SMALL(IF('PLANILLA DJ'!$Y$1:$Y$102=BUSCADOR!$B$109,ROW('PLANILLA DJ'!$Y$1:$Y$102),""),3),1),"")</f>
        <v/>
      </c>
      <c r="D25" s="33" t="str">
        <f t="array" ref="D25">IFERROR(INDEX('PLANILLA DJ'!$F$1:$F$102,SMALL(IF('PLANILLA DJ'!$Y$1:$Y$102=BUSCADOR!$B$109,ROW('PLANILLA DJ'!$Y$1:$Y$102),""),3),1),"")</f>
        <v/>
      </c>
      <c r="E25" s="33" t="str" cm="1">
        <f t="array" ref="E25">IFERROR(INDEX('PLANILLA DJ'!$AD$1:$AD$102,SMALL(IF('PLANILLA DJ'!$Y$1:$Y$102=BUSCADOR!$B$109,ROW('PLANILLA DJ'!$Y$1:$Y$102),""),3),1),"")</f>
        <v/>
      </c>
      <c r="F25" s="110"/>
      <c r="G25" s="33" t="str" cm="1">
        <f t="array" ref="G25">IFERROR(INDEX('PLANILLA DJ'!$AR$1:$AR$102,SMALL(IF('PLANILLA DJ'!$Y$1:$Y$102=BUSCADOR!$B$109,ROW('PLANILLA DJ'!$Y$1:$Y$102),""),3),1),"")</f>
        <v/>
      </c>
      <c r="H25" s="110"/>
      <c r="I25" s="33" t="str" cm="1">
        <f t="array" ref="I25">IFERROR(INDEX('PLANILLA DJ'!$AF$1:$AF$102,SMALL(IF('PLANILLA DJ'!$Y$1:$Y$102=BUSCADOR!$B$109,ROW('PLANILLA DJ'!$Y$1:$Y$102),""),3),1),"")</f>
        <v/>
      </c>
      <c r="J25" s="111"/>
      <c r="K25" s="111"/>
      <c r="L25" s="111"/>
      <c r="M25" s="111"/>
      <c r="N25" s="111"/>
      <c r="O25" s="111"/>
      <c r="P25" s="111"/>
      <c r="Q25" s="112"/>
      <c r="R25" s="38"/>
      <c r="S25" s="38"/>
      <c r="T25" s="39"/>
      <c r="U25" s="39"/>
      <c r="V25" s="113"/>
    </row>
    <row r="26" spans="1:22" s="40" customFormat="1" ht="31.5" customHeight="1" x14ac:dyDescent="0.2">
      <c r="A26" s="138" t="str">
        <f>IF(AND($A$25="OK",ISBLANK(K26)),"Si existe otra victima en el mismo expediente completar desde DOCUMENTO en adelante",IF(ISBLANK(O26),"",IF(ISBLANK(P26),"Completar la celda GENERO DEL SUICIDA",IF(ISBLANK(R26),"Completar la celda EDAD DEL SUICIDA",IF(ISBLANK(S26),"Completar la celda SEXO DEL TESTIGO",IF(ISBLANK(T26),"Completar la celda GENERO DEL TESTIGO",IF(ISBLANK(V26),"Completar la celda EDAD DEL TESTIGO","OK")))))))</f>
        <v/>
      </c>
      <c r="B26" s="31" t="str">
        <f t="shared" ref="B26:B28" si="9">IF(ISBLANK($O26),"",B25)</f>
        <v/>
      </c>
      <c r="C26" s="32" t="str">
        <f t="shared" ref="C26:C28" si="10">IF(ISBLANK($O26),"",C25)</f>
        <v/>
      </c>
      <c r="D26" s="168" t="str">
        <f t="shared" ref="D26:D28" si="11">IF(ISBLANK($O26),"",D25)</f>
        <v/>
      </c>
      <c r="E26" s="31" t="str">
        <f t="shared" ref="E26:E28" si="12">IF(ISBLANK($O26),"",E25)</f>
        <v/>
      </c>
      <c r="F26" s="110"/>
      <c r="G26" s="31" t="str">
        <f>IF(ISBLANK($O26),"",G25)</f>
        <v/>
      </c>
      <c r="H26" s="110"/>
      <c r="I26" s="31" t="str">
        <f>IF(ISBLANK($O26),"",I25)</f>
        <v/>
      </c>
      <c r="J26" s="111"/>
      <c r="K26" s="111"/>
      <c r="L26" s="111"/>
      <c r="M26" s="111"/>
      <c r="N26" s="111"/>
      <c r="O26" s="111"/>
      <c r="P26" s="111"/>
      <c r="Q26" s="112"/>
      <c r="R26" s="38"/>
      <c r="S26" s="38"/>
      <c r="T26" s="39"/>
      <c r="U26" s="39"/>
      <c r="V26" s="113"/>
    </row>
    <row r="27" spans="1:22" s="40" customFormat="1" ht="31.5" customHeight="1" x14ac:dyDescent="0.2">
      <c r="A27" s="138" t="str">
        <f>IF(AND($A$25="OK",ISBLANK(K27)),"Si existe otra victima en el mismo expediente completar desde DOCUMENTO en adelante",IF(ISBLANK(O27),"",IF(ISBLANK(P27),"Completar la celda GENERO DEL SUICIDA",IF(ISBLANK(R27),"Completar la celda EDAD DEL SUICIDA",IF(ISBLANK(S27),"Completar la celda SEXO DEL TESTIGO",IF(ISBLANK(T27),"Completar la celda GENERO DEL TESTIGO",IF(ISBLANK(V27),"Completar la celda EDAD DEL TESTIGO","OK")))))))</f>
        <v/>
      </c>
      <c r="B27" s="31" t="str">
        <f t="shared" si="9"/>
        <v/>
      </c>
      <c r="C27" s="32" t="str">
        <f t="shared" si="10"/>
        <v/>
      </c>
      <c r="D27" s="33" t="str">
        <f t="shared" si="11"/>
        <v/>
      </c>
      <c r="E27" s="31" t="str">
        <f t="shared" si="12"/>
        <v/>
      </c>
      <c r="F27" s="110"/>
      <c r="G27" s="31" t="str">
        <f>IF(ISBLANK($O27),"",G26)</f>
        <v/>
      </c>
      <c r="H27" s="110"/>
      <c r="I27" s="31" t="str">
        <f>IF(ISBLANK($O27),"",I26)</f>
        <v/>
      </c>
      <c r="J27" s="111"/>
      <c r="K27" s="111"/>
      <c r="L27" s="111"/>
      <c r="M27" s="111"/>
      <c r="N27" s="111"/>
      <c r="O27" s="111"/>
      <c r="P27" s="111"/>
      <c r="Q27" s="112"/>
      <c r="R27" s="38"/>
      <c r="S27" s="38"/>
      <c r="T27" s="39"/>
      <c r="U27" s="39"/>
      <c r="V27" s="113"/>
    </row>
    <row r="28" spans="1:22" s="40" customFormat="1" ht="31.5" customHeight="1" x14ac:dyDescent="0.2">
      <c r="A28" s="138" t="str">
        <f>IF(AND($A$25="OK",ISBLANK(K28)),"Si existe otra victima en el mismo expediente completar desde DOCUMENTO en adelante",IF(ISBLANK(O28),"",IF(ISBLANK(P28),"Completar la celda GENERO DEL SUICIDA",IF(ISBLANK(R28),"Completar la celda EDAD DEL SUICIDA",IF(ISBLANK(S28),"Completar la celda SEXO DEL TESTIGO",IF(ISBLANK(T28),"Completar la celda GENERO DEL TESTIGO",IF(ISBLANK(V28),"Completar la celda EDAD DEL TESTIGO","OK")))))))</f>
        <v/>
      </c>
      <c r="B28" s="31" t="str">
        <f t="shared" si="9"/>
        <v/>
      </c>
      <c r="C28" s="32" t="str">
        <f t="shared" si="10"/>
        <v/>
      </c>
      <c r="D28" s="33" t="str">
        <f t="shared" si="11"/>
        <v/>
      </c>
      <c r="E28" s="31" t="str">
        <f t="shared" si="12"/>
        <v/>
      </c>
      <c r="F28" s="110"/>
      <c r="G28" s="31" t="str">
        <f>IF(ISBLANK($O28),"",G27)</f>
        <v/>
      </c>
      <c r="H28" s="110"/>
      <c r="I28" s="31" t="str">
        <f>IF(ISBLANK($O28),"",I27)</f>
        <v/>
      </c>
      <c r="J28" s="111"/>
      <c r="K28" s="111"/>
      <c r="L28" s="111"/>
      <c r="M28" s="111"/>
      <c r="N28" s="111"/>
      <c r="O28" s="111"/>
      <c r="P28" s="111"/>
      <c r="Q28" s="112"/>
      <c r="R28" s="38"/>
      <c r="S28" s="38"/>
      <c r="T28" s="39"/>
      <c r="U28" s="39"/>
      <c r="V28" s="113"/>
    </row>
    <row r="29" spans="1:22" s="40" customFormat="1" ht="31.5" customHeight="1" x14ac:dyDescent="0.2">
      <c r="A29" s="138"/>
      <c r="B29" s="21"/>
      <c r="C29" s="22"/>
      <c r="D29" s="23"/>
      <c r="E29" s="18"/>
      <c r="F29" s="110"/>
      <c r="G29" s="18"/>
      <c r="H29" s="110"/>
      <c r="I29" s="18"/>
      <c r="J29" s="111"/>
      <c r="K29" s="111"/>
      <c r="L29" s="111"/>
      <c r="M29" s="111"/>
      <c r="N29" s="111"/>
      <c r="O29" s="111"/>
      <c r="P29" s="111"/>
      <c r="Q29" s="112"/>
      <c r="R29" s="38"/>
      <c r="S29" s="38"/>
      <c r="T29" s="39"/>
      <c r="U29" s="39"/>
      <c r="V29" s="113"/>
    </row>
    <row r="30" spans="1:22" s="40" customFormat="1" ht="31.5" customHeight="1" thickBot="1" x14ac:dyDescent="0.25">
      <c r="A30" s="139"/>
      <c r="B30" s="114"/>
      <c r="C30" s="115"/>
      <c r="D30" s="116"/>
      <c r="E30" s="117"/>
      <c r="F30" s="118"/>
      <c r="G30" s="117"/>
      <c r="H30" s="118"/>
      <c r="I30" s="117"/>
      <c r="J30" s="119"/>
      <c r="K30" s="119"/>
      <c r="L30" s="119"/>
      <c r="M30" s="119"/>
      <c r="N30" s="119"/>
      <c r="O30" s="119"/>
      <c r="P30" s="119"/>
      <c r="Q30" s="120"/>
      <c r="R30" s="121"/>
      <c r="S30" s="121"/>
      <c r="T30" s="122"/>
      <c r="U30" s="122"/>
      <c r="V30" s="123"/>
    </row>
  </sheetData>
  <sheetProtection algorithmName="SHA-512" hashValue="xXIlYD+XyHMTVl82gQZLk6ZFPcXPCW0gY++7jFQFsbzxCrO08dDEkj7uaX1ihNwHsTkZs8+Y+PQA/AeJz6T8xQ==" saltValue="jqlvhuX8BbwLfctp5LgwIg==" spinCount="100000" sheet="1" objects="1" scenarios="1"/>
  <mergeCells count="59">
    <mergeCell ref="A1:V1"/>
    <mergeCell ref="M4:U4"/>
    <mergeCell ref="B3:K3"/>
    <mergeCell ref="B4:C4"/>
    <mergeCell ref="D4:E4"/>
    <mergeCell ref="F4:G4"/>
    <mergeCell ref="H4:I4"/>
    <mergeCell ref="J4:K4"/>
    <mergeCell ref="M6:U6"/>
    <mergeCell ref="B5:C5"/>
    <mergeCell ref="D5:E5"/>
    <mergeCell ref="F5:G5"/>
    <mergeCell ref="H5:I5"/>
    <mergeCell ref="J5:K5"/>
    <mergeCell ref="M5:U5"/>
    <mergeCell ref="B6:C6"/>
    <mergeCell ref="D6:E6"/>
    <mergeCell ref="F6:G6"/>
    <mergeCell ref="B7:C7"/>
    <mergeCell ref="D7:E7"/>
    <mergeCell ref="F7:G7"/>
    <mergeCell ref="B8:C8"/>
    <mergeCell ref="D8:E8"/>
    <mergeCell ref="F8:G8"/>
    <mergeCell ref="B9:C9"/>
    <mergeCell ref="D9:E9"/>
    <mergeCell ref="F9:G9"/>
    <mergeCell ref="B10:C10"/>
    <mergeCell ref="D10:E10"/>
    <mergeCell ref="F10:G10"/>
    <mergeCell ref="B11:C11"/>
    <mergeCell ref="D11:E11"/>
    <mergeCell ref="F11:G11"/>
    <mergeCell ref="B12:C12"/>
    <mergeCell ref="D12:E12"/>
    <mergeCell ref="F12:G12"/>
    <mergeCell ref="B13:C13"/>
    <mergeCell ref="D13:E13"/>
    <mergeCell ref="D14:E14"/>
    <mergeCell ref="K17:K18"/>
    <mergeCell ref="L17:L18"/>
    <mergeCell ref="K16:R16"/>
    <mergeCell ref="N17:N18"/>
    <mergeCell ref="B16:J16"/>
    <mergeCell ref="A17:A18"/>
    <mergeCell ref="T17:U17"/>
    <mergeCell ref="V17:V18"/>
    <mergeCell ref="S16:V16"/>
    <mergeCell ref="B17:B18"/>
    <mergeCell ref="C17:C18"/>
    <mergeCell ref="D17:D18"/>
    <mergeCell ref="E17:F17"/>
    <mergeCell ref="G17:H17"/>
    <mergeCell ref="I17:J17"/>
    <mergeCell ref="O17:O18"/>
    <mergeCell ref="P17:Q17"/>
    <mergeCell ref="R17:R18"/>
    <mergeCell ref="S17:S18"/>
    <mergeCell ref="M17:M18"/>
  </mergeCells>
  <conditionalFormatting sqref="A17">
    <cfRule type="cellIs" dxfId="4" priority="6" operator="equal">
      <formula>"OK"</formula>
    </cfRule>
  </conditionalFormatting>
  <conditionalFormatting sqref="A19:A30">
    <cfRule type="containsBlanks" dxfId="3" priority="2">
      <formula>LEN(TRIM(A19))=0</formula>
    </cfRule>
    <cfRule type="cellIs" dxfId="2" priority="3" operator="notEqual">
      <formula>"OK"</formula>
    </cfRule>
    <cfRule type="cellIs" dxfId="1" priority="5" operator="equal">
      <formula>"OK"</formula>
    </cfRule>
  </conditionalFormatting>
  <conditionalFormatting sqref="S16:V16 A17:V28 A16:B16 K16">
    <cfRule type="cellIs" dxfId="0" priority="1" operator="equal">
      <formula>"Si existe otra victima en el mismo expediente completar desde DOCUMENTO en adelante"</formula>
    </cfRule>
  </conditionalFormatting>
  <dataValidations count="3">
    <dataValidation type="list" allowBlank="1" showInputMessage="1" showErrorMessage="1" sqref="O19:O30 S19:S30">
      <formula1>$H$6:$H$8</formula1>
    </dataValidation>
    <dataValidation type="list" allowBlank="1" showInputMessage="1" showErrorMessage="1" sqref="T19:T30 P19:P30">
      <formula1>$J$6:$J$11</formula1>
    </dataValidation>
    <dataValidation type="list" allowBlank="1" showInputMessage="1" showErrorMessage="1" sqref="N19:N30">
      <formula1>$L$6:$L$14</formula1>
    </dataValidation>
  </dataValidations>
  <pageMargins left="0.35" right="0.21" top="0.75" bottom="0.75" header="0" footer="0"/>
  <pageSetup scale="55" orientation="landscape" r:id="rId1"/>
  <ignoredErrors>
    <ignoredError sqref="F25 F22 H22 H25 J25 J22 AP25:XEZ25 AP22:XEZ22"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10"/>
  <sheetViews>
    <sheetView workbookViewId="0">
      <selection activeCell="A11" sqref="A11"/>
    </sheetView>
  </sheetViews>
  <sheetFormatPr baseColWidth="10" defaultRowHeight="15" x14ac:dyDescent="0.25"/>
  <sheetData>
    <row r="1" spans="1:1" x14ac:dyDescent="0.25">
      <c r="A1" t="s">
        <v>1108</v>
      </c>
    </row>
    <row r="2" spans="1:1" x14ac:dyDescent="0.25">
      <c r="A2" t="s">
        <v>1109</v>
      </c>
    </row>
    <row r="3" spans="1:1" x14ac:dyDescent="0.25">
      <c r="A3" t="s">
        <v>1113</v>
      </c>
    </row>
    <row r="4" spans="1:1" x14ac:dyDescent="0.25">
      <c r="A4" t="s">
        <v>1110</v>
      </c>
    </row>
    <row r="5" spans="1:1" x14ac:dyDescent="0.25">
      <c r="A5" t="s">
        <v>1111</v>
      </c>
    </row>
    <row r="6" spans="1:1" x14ac:dyDescent="0.25">
      <c r="A6" t="s">
        <v>1112</v>
      </c>
    </row>
    <row r="7" spans="1:1" x14ac:dyDescent="0.25">
      <c r="A7" t="s">
        <v>1114</v>
      </c>
    </row>
    <row r="8" spans="1:1" x14ac:dyDescent="0.25">
      <c r="A8" t="s">
        <v>1115</v>
      </c>
    </row>
    <row r="9" spans="1:1" x14ac:dyDescent="0.25">
      <c r="A9" t="s">
        <v>1116</v>
      </c>
    </row>
    <row r="10" spans="1:1" x14ac:dyDescent="0.25">
      <c r="A10" t="s">
        <v>1117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49</vt:i4>
      </vt:variant>
    </vt:vector>
  </HeadingPairs>
  <TitlesOfParts>
    <vt:vector size="55" baseType="lpstr">
      <vt:lpstr>PLANILLA DJ</vt:lpstr>
      <vt:lpstr>BUSCADOR</vt:lpstr>
      <vt:lpstr>SAT-Homicidios Dolosos</vt:lpstr>
      <vt:lpstr>SAT-Muertes Viales</vt:lpstr>
      <vt:lpstr>SAT-Suicidios</vt:lpstr>
      <vt:lpstr>Correcciones</vt:lpstr>
      <vt:lpstr>_____15</vt:lpstr>
      <vt:lpstr>_____17</vt:lpstr>
      <vt:lpstr>_____19</vt:lpstr>
      <vt:lpstr>____15</vt:lpstr>
      <vt:lpstr>____17</vt:lpstr>
      <vt:lpstr>____19</vt:lpstr>
      <vt:lpstr>___8</vt:lpstr>
      <vt:lpstr>__15</vt:lpstr>
      <vt:lpstr>__17</vt:lpstr>
      <vt:lpstr>__19</vt:lpstr>
      <vt:lpstr>__21_1</vt:lpstr>
      <vt:lpstr>__21_2</vt:lpstr>
      <vt:lpstr>'PLANILLA DJ'!_Hlk168363170</vt:lpstr>
      <vt:lpstr>ACTUACION</vt:lpstr>
      <vt:lpstr>ASALTANTE</vt:lpstr>
      <vt:lpstr>CALIDAD_VICTIMAS</vt:lpstr>
      <vt:lpstr>CHERY</vt:lpstr>
      <vt:lpstr>CITROEN</vt:lpstr>
      <vt:lpstr>COMISARIA</vt:lpstr>
      <vt:lpstr>CUATRICICLO</vt:lpstr>
      <vt:lpstr>DELITOS_CONTRA_L_PROPIEDAD</vt:lpstr>
      <vt:lpstr>ELEMENTOS</vt:lpstr>
      <vt:lpstr>ESCRUCHANTE_Violacion_de_domicilio</vt:lpstr>
      <vt:lpstr>FORD</vt:lpstr>
      <vt:lpstr>HECHOS_EN_ESTABLECIMIENTOS_COMERCIALES_O_PRIVADOS</vt:lpstr>
      <vt:lpstr>HECHOS_EN_ESTABLECIMIENTOS_PUBLICOS</vt:lpstr>
      <vt:lpstr>HECHOS_EN_VIA_PUBLICA</vt:lpstr>
      <vt:lpstr>Hora</vt:lpstr>
      <vt:lpstr>HURTO_</vt:lpstr>
      <vt:lpstr>HYUNDAI</vt:lpstr>
      <vt:lpstr>IVECO</vt:lpstr>
      <vt:lpstr>JEEP</vt:lpstr>
      <vt:lpstr>LOCALIDAD</vt:lpstr>
      <vt:lpstr>MERCEDES_BENZ</vt:lpstr>
      <vt:lpstr>MOTIVO</vt:lpstr>
      <vt:lpstr>MOTO</vt:lpstr>
      <vt:lpstr>NISSAN</vt:lpstr>
      <vt:lpstr>PEUGEOT</vt:lpstr>
      <vt:lpstr>RAM</vt:lpstr>
      <vt:lpstr>RENAULT</vt:lpstr>
      <vt:lpstr>ROBO_</vt:lpstr>
      <vt:lpstr>SCANIA</vt:lpstr>
      <vt:lpstr>SI</vt:lpstr>
      <vt:lpstr>SINO</vt:lpstr>
      <vt:lpstr>TOYOTA</vt:lpstr>
      <vt:lpstr>TRICICLO</vt:lpstr>
      <vt:lpstr>VARIANTE</vt:lpstr>
      <vt:lpstr>VICTIMAS</vt:lpstr>
      <vt:lpstr>VOLKSWAGEN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Usuario</cp:lastModifiedBy>
  <dcterms:created xsi:type="dcterms:W3CDTF">2021-10-13T15:31:28Z</dcterms:created>
  <dcterms:modified xsi:type="dcterms:W3CDTF">2025-02-11T13:02:43Z</dcterms:modified>
</cp:coreProperties>
</file>